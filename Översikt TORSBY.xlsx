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45969</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45969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45969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45969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45969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45969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45969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45969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45969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45969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45969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45969</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45969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46911-2024</t>
        </is>
      </c>
      <c r="B20" s="1" t="n">
        <v>45583</v>
      </c>
      <c r="C20" s="1" t="n">
        <v>45969</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45969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45969</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45969</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45969</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45969</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43822-2023</t>
        </is>
      </c>
      <c r="B26" s="1" t="n">
        <v>45182</v>
      </c>
      <c r="C26" s="1" t="n">
        <v>45969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45969</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45969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45969</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17057-2025</t>
        </is>
      </c>
      <c r="B30" s="1" t="n">
        <v>45754</v>
      </c>
      <c r="C30" s="1" t="n">
        <v>45969</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45969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45969</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44477-2024</t>
        </is>
      </c>
      <c r="B33" s="1" t="n">
        <v>45574</v>
      </c>
      <c r="C33" s="1" t="n">
        <v>45969</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12294-2025</t>
        </is>
      </c>
      <c r="B34" s="1" t="n">
        <v>45729</v>
      </c>
      <c r="C34" s="1" t="n">
        <v>45969</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45969</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45969</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45969</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45969</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45969</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45969</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45969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45969</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4972-2022</t>
        </is>
      </c>
      <c r="B43" s="1" t="n">
        <v>44593</v>
      </c>
      <c r="C43" s="1" t="n">
        <v>45969</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45969</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45969</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45969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45969</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45969</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45969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15086-2025</t>
        </is>
      </c>
      <c r="B50" s="1" t="n">
        <v>45743</v>
      </c>
      <c r="C50" s="1" t="n">
        <v>45969</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43385-2024</t>
        </is>
      </c>
      <c r="B51" s="1" t="n">
        <v>45568</v>
      </c>
      <c r="C51" s="1" t="n">
        <v>45969</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45969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20763-2025</t>
        </is>
      </c>
      <c r="B53" s="1" t="n">
        <v>45776.57929398148</v>
      </c>
      <c r="C53" s="1" t="n">
        <v>45969</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25899-2024</t>
        </is>
      </c>
      <c r="B54" s="1" t="n">
        <v>45467</v>
      </c>
      <c r="C54" s="1" t="n">
        <v>45969</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45969</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45969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45969</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67528-2021</t>
        </is>
      </c>
      <c r="B58" s="1" t="n">
        <v>44524</v>
      </c>
      <c r="C58" s="1" t="n">
        <v>45969</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46016-2023</t>
        </is>
      </c>
      <c r="B59" s="1" t="n">
        <v>45196</v>
      </c>
      <c r="C59" s="1" t="n">
        <v>45969</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42480-2022</t>
        </is>
      </c>
      <c r="B60" s="1" t="n">
        <v>44831</v>
      </c>
      <c r="C60" s="1" t="n">
        <v>45969</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45969</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23576-2022</t>
        </is>
      </c>
      <c r="B62" s="1" t="n">
        <v>44721</v>
      </c>
      <c r="C62" s="1" t="n">
        <v>45969</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57190-2024</t>
        </is>
      </c>
      <c r="B63" s="1" t="n">
        <v>45629</v>
      </c>
      <c r="C63" s="1" t="n">
        <v>45969</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31835-2024</t>
        </is>
      </c>
      <c r="B64" s="1" t="n">
        <v>45509</v>
      </c>
      <c r="C64" s="1" t="n">
        <v>45969</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45969</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45969</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45969</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45969</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42595-2025</t>
        </is>
      </c>
      <c r="B69" s="1" t="n">
        <v>45905</v>
      </c>
      <c r="C69" s="1" t="n">
        <v>45969</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59789-2024</t>
        </is>
      </c>
      <c r="B70" s="1" t="n">
        <v>45639</v>
      </c>
      <c r="C70" s="1" t="n">
        <v>45969</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45468-2025</t>
        </is>
      </c>
      <c r="B71" s="1" t="n">
        <v>45922</v>
      </c>
      <c r="C71" s="1" t="n">
        <v>45969</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45969</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45969</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45969</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45969</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23091-2024</t>
        </is>
      </c>
      <c r="B76" s="1" t="n">
        <v>45450</v>
      </c>
      <c r="C76" s="1" t="n">
        <v>45969</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33906-2025</t>
        </is>
      </c>
      <c r="B77" s="1" t="n">
        <v>45842.59878472222</v>
      </c>
      <c r="C77" s="1" t="n">
        <v>45969</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16011-2025</t>
        </is>
      </c>
      <c r="B78" s="1" t="n">
        <v>45749</v>
      </c>
      <c r="C78" s="1" t="n">
        <v>45969</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2000-2023</t>
        </is>
      </c>
      <c r="B79" s="1" t="n">
        <v>44939</v>
      </c>
      <c r="C79" s="1" t="n">
        <v>45969</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16414-2023</t>
        </is>
      </c>
      <c r="B80" s="1" t="n">
        <v>45022</v>
      </c>
      <c r="C80" s="1" t="n">
        <v>45969</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16442-2023</t>
        </is>
      </c>
      <c r="B81" s="1" t="n">
        <v>45026</v>
      </c>
      <c r="C81" s="1" t="n">
        <v>45969</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48970-2025</t>
        </is>
      </c>
      <c r="B82" s="1" t="n">
        <v>45937.56392361111</v>
      </c>
      <c r="C82" s="1" t="n">
        <v>45969</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62955-2023</t>
        </is>
      </c>
      <c r="B83" s="1" t="n">
        <v>45271</v>
      </c>
      <c r="C83" s="1" t="n">
        <v>45969</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4718-2023</t>
        </is>
      </c>
      <c r="B84" s="1" t="n">
        <v>44957</v>
      </c>
      <c r="C84" s="1" t="n">
        <v>45969</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42488-2025</t>
        </is>
      </c>
      <c r="B85" s="1" t="n">
        <v>45905</v>
      </c>
      <c r="C85" s="1" t="n">
        <v>45969</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42610-2023</t>
        </is>
      </c>
      <c r="B86" s="1" t="n">
        <v>45181</v>
      </c>
      <c r="C86" s="1" t="n">
        <v>45969</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45969</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45969</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25212-2025</t>
        </is>
      </c>
      <c r="B89" s="1" t="n">
        <v>45800</v>
      </c>
      <c r="C89" s="1" t="n">
        <v>45969</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28156-2022</t>
        </is>
      </c>
      <c r="B90" s="1" t="n">
        <v>44746</v>
      </c>
      <c r="C90" s="1" t="n">
        <v>45969</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45969</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45969</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61950-2024</t>
        </is>
      </c>
      <c r="B93" s="1" t="n">
        <v>45653</v>
      </c>
      <c r="C93" s="1" t="n">
        <v>45969</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37388-2025</t>
        </is>
      </c>
      <c r="B94" s="1" t="n">
        <v>45877</v>
      </c>
      <c r="C94" s="1" t="n">
        <v>45969</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46580-2025</t>
        </is>
      </c>
      <c r="B95" s="1" t="n">
        <v>45926</v>
      </c>
      <c r="C95" s="1" t="n">
        <v>45969</v>
      </c>
      <c r="D95" t="inlineStr">
        <is>
          <t>VÄRMLANDS LÄN</t>
        </is>
      </c>
      <c r="E95" t="inlineStr">
        <is>
          <t>TORSBY</t>
        </is>
      </c>
      <c r="G95" t="n">
        <v>1.4</v>
      </c>
      <c r="H95" t="n">
        <v>0</v>
      </c>
      <c r="I95" t="n">
        <v>0</v>
      </c>
      <c r="J95" t="n">
        <v>2</v>
      </c>
      <c r="K95" t="n">
        <v>0</v>
      </c>
      <c r="L95" t="n">
        <v>0</v>
      </c>
      <c r="M95" t="n">
        <v>0</v>
      </c>
      <c r="N95" t="n">
        <v>0</v>
      </c>
      <c r="O95" t="n">
        <v>2</v>
      </c>
      <c r="P95" t="n">
        <v>0</v>
      </c>
      <c r="Q95" t="n">
        <v>2</v>
      </c>
      <c r="R95" s="2" t="inlineStr">
        <is>
          <t>Garnlav
Vedskivlav</t>
        </is>
      </c>
      <c r="S95">
        <f>HYPERLINK("https://klasma.github.io/Logging_1737/artfynd/A 46580-2025 artfynd.xlsx", "A 46580-2025")</f>
        <v/>
      </c>
      <c r="T95">
        <f>HYPERLINK("https://klasma.github.io/Logging_1737/kartor/A 46580-2025 karta.png", "A 46580-2025")</f>
        <v/>
      </c>
      <c r="V95">
        <f>HYPERLINK("https://klasma.github.io/Logging_1737/klagomål/A 46580-2025 FSC-klagomål.docx", "A 46580-2025")</f>
        <v/>
      </c>
      <c r="W95">
        <f>HYPERLINK("https://klasma.github.io/Logging_1737/klagomålsmail/A 46580-2025 FSC-klagomål mail.docx", "A 46580-2025")</f>
        <v/>
      </c>
      <c r="X95">
        <f>HYPERLINK("https://klasma.github.io/Logging_1737/tillsyn/A 46580-2025 tillsynsbegäran.docx", "A 46580-2025")</f>
        <v/>
      </c>
      <c r="Y95">
        <f>HYPERLINK("https://klasma.github.io/Logging_1737/tillsynsmail/A 46580-2025 tillsynsbegäran mail.docx", "A 46580-2025")</f>
        <v/>
      </c>
    </row>
    <row r="96" ht="15" customHeight="1">
      <c r="A96" t="inlineStr">
        <is>
          <t>A 34853-2021</t>
        </is>
      </c>
      <c r="B96" s="1" t="n">
        <v>44383</v>
      </c>
      <c r="C96" s="1" t="n">
        <v>45969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45969</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45969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45969</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37292-2024</t>
        </is>
      </c>
      <c r="B102" s="1" t="n">
        <v>45540</v>
      </c>
      <c r="C102" s="1" t="n">
        <v>45969</v>
      </c>
      <c r="D102" t="inlineStr">
        <is>
          <t>VÄRMLANDS LÄN</t>
        </is>
      </c>
      <c r="E102" t="inlineStr">
        <is>
          <t>TORSBY</t>
        </is>
      </c>
      <c r="G102" t="n">
        <v>5.4</v>
      </c>
      <c r="H102" t="n">
        <v>0</v>
      </c>
      <c r="I102" t="n">
        <v>0</v>
      </c>
      <c r="J102" t="n">
        <v>1</v>
      </c>
      <c r="K102" t="n">
        <v>0</v>
      </c>
      <c r="L102" t="n">
        <v>0</v>
      </c>
      <c r="M102" t="n">
        <v>0</v>
      </c>
      <c r="N102" t="n">
        <v>0</v>
      </c>
      <c r="O102" t="n">
        <v>1</v>
      </c>
      <c r="P102" t="n">
        <v>0</v>
      </c>
      <c r="Q102" t="n">
        <v>1</v>
      </c>
      <c r="R102" s="2" t="inlineStr">
        <is>
          <t>Garnlav</t>
        </is>
      </c>
      <c r="S102">
        <f>HYPERLINK("https://klasma.github.io/Logging_1737/artfynd/A 37292-2024 artfynd.xlsx", "A 37292-2024")</f>
        <v/>
      </c>
      <c r="T102">
        <f>HYPERLINK("https://klasma.github.io/Logging_1737/kartor/A 37292-2024 karta.png", "A 37292-2024")</f>
        <v/>
      </c>
      <c r="V102">
        <f>HYPERLINK("https://klasma.github.io/Logging_1737/klagomål/A 37292-2024 FSC-klagomål.docx", "A 37292-2024")</f>
        <v/>
      </c>
      <c r="W102">
        <f>HYPERLINK("https://klasma.github.io/Logging_1737/klagomålsmail/A 37292-2024 FSC-klagomål mail.docx", "A 37292-2024")</f>
        <v/>
      </c>
      <c r="X102">
        <f>HYPERLINK("https://klasma.github.io/Logging_1737/tillsyn/A 37292-2024 tillsynsbegäran.docx", "A 37292-2024")</f>
        <v/>
      </c>
      <c r="Y102">
        <f>HYPERLINK("https://klasma.github.io/Logging_1737/tillsynsmail/A 37292-2024 tillsynsbegäran mail.docx", "A 37292-2024")</f>
        <v/>
      </c>
    </row>
    <row r="103" ht="15" customHeight="1">
      <c r="A103" t="inlineStr">
        <is>
          <t>A 5726-2025</t>
        </is>
      </c>
      <c r="B103" s="1" t="n">
        <v>45694</v>
      </c>
      <c r="C103" s="1" t="n">
        <v>45969</v>
      </c>
      <c r="D103" t="inlineStr">
        <is>
          <t>VÄRMLANDS LÄN</t>
        </is>
      </c>
      <c r="E103" t="inlineStr">
        <is>
          <t>TORSBY</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5726-2025 artfynd.xlsx", "A 5726-2025")</f>
        <v/>
      </c>
      <c r="T103">
        <f>HYPERLINK("https://klasma.github.io/Logging_1737/kartor/A 5726-2025 karta.png", "A 5726-2025")</f>
        <v/>
      </c>
      <c r="V103">
        <f>HYPERLINK("https://klasma.github.io/Logging_1737/klagomål/A 5726-2025 FSC-klagomål.docx", "A 5726-2025")</f>
        <v/>
      </c>
      <c r="W103">
        <f>HYPERLINK("https://klasma.github.io/Logging_1737/klagomålsmail/A 5726-2025 FSC-klagomål mail.docx", "A 5726-2025")</f>
        <v/>
      </c>
      <c r="X103">
        <f>HYPERLINK("https://klasma.github.io/Logging_1737/tillsyn/A 5726-2025 tillsynsbegäran.docx", "A 5726-2025")</f>
        <v/>
      </c>
      <c r="Y103">
        <f>HYPERLINK("https://klasma.github.io/Logging_1737/tillsynsmail/A 5726-2025 tillsynsbegäran mail.docx", "A 5726-2025")</f>
        <v/>
      </c>
    </row>
    <row r="104" ht="15" customHeight="1">
      <c r="A104" t="inlineStr">
        <is>
          <t>A 47689-2024</t>
        </is>
      </c>
      <c r="B104" s="1" t="n">
        <v>45588</v>
      </c>
      <c r="C104" s="1" t="n">
        <v>45969</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15548-2023</t>
        </is>
      </c>
      <c r="B105" s="1" t="n">
        <v>45020</v>
      </c>
      <c r="C105" s="1" t="n">
        <v>45969</v>
      </c>
      <c r="D105" t="inlineStr">
        <is>
          <t>VÄRMLANDS LÄN</t>
        </is>
      </c>
      <c r="E105" t="inlineStr">
        <is>
          <t>TORSBY</t>
        </is>
      </c>
      <c r="G105" t="n">
        <v>0.6</v>
      </c>
      <c r="H105" t="n">
        <v>1</v>
      </c>
      <c r="I105" t="n">
        <v>0</v>
      </c>
      <c r="J105" t="n">
        <v>1</v>
      </c>
      <c r="K105" t="n">
        <v>0</v>
      </c>
      <c r="L105" t="n">
        <v>0</v>
      </c>
      <c r="M105" t="n">
        <v>0</v>
      </c>
      <c r="N105" t="n">
        <v>0</v>
      </c>
      <c r="O105" t="n">
        <v>1</v>
      </c>
      <c r="P105" t="n">
        <v>0</v>
      </c>
      <c r="Q105" t="n">
        <v>1</v>
      </c>
      <c r="R105" s="2" t="inlineStr">
        <is>
          <t>Spillkråka</t>
        </is>
      </c>
      <c r="S105">
        <f>HYPERLINK("https://klasma.github.io/Logging_1737/artfynd/A 15548-2023 artfynd.xlsx", "A 15548-2023")</f>
        <v/>
      </c>
      <c r="T105">
        <f>HYPERLINK("https://klasma.github.io/Logging_1737/kartor/A 15548-2023 karta.png", "A 15548-2023")</f>
        <v/>
      </c>
      <c r="V105">
        <f>HYPERLINK("https://klasma.github.io/Logging_1737/klagomål/A 15548-2023 FSC-klagomål.docx", "A 15548-2023")</f>
        <v/>
      </c>
      <c r="W105">
        <f>HYPERLINK("https://klasma.github.io/Logging_1737/klagomålsmail/A 15548-2023 FSC-klagomål mail.docx", "A 15548-2023")</f>
        <v/>
      </c>
      <c r="X105">
        <f>HYPERLINK("https://klasma.github.io/Logging_1737/tillsyn/A 15548-2023 tillsynsbegäran.docx", "A 15548-2023")</f>
        <v/>
      </c>
      <c r="Y105">
        <f>HYPERLINK("https://klasma.github.io/Logging_1737/tillsynsmail/A 15548-2023 tillsynsbegäran mail.docx", "A 15548-2023")</f>
        <v/>
      </c>
      <c r="Z105">
        <f>HYPERLINK("https://klasma.github.io/Logging_1737/fåglar/A 15548-2023 prioriterade fågelarter.docx", "A 15548-2023")</f>
        <v/>
      </c>
    </row>
    <row r="106" ht="15" customHeight="1">
      <c r="A106" t="inlineStr">
        <is>
          <t>A 51288-2022</t>
        </is>
      </c>
      <c r="B106" s="1" t="n">
        <v>44868</v>
      </c>
      <c r="C106" s="1" t="n">
        <v>45969</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14212-2025</t>
        </is>
      </c>
      <c r="B107" s="1" t="n">
        <v>45740</v>
      </c>
      <c r="C107" s="1" t="n">
        <v>45969</v>
      </c>
      <c r="D107" t="inlineStr">
        <is>
          <t>VÄRMLANDS LÄN</t>
        </is>
      </c>
      <c r="E107" t="inlineStr">
        <is>
          <t>TORSBY</t>
        </is>
      </c>
      <c r="F107" t="inlineStr">
        <is>
          <t>Övriga statliga verk och myndigheter</t>
        </is>
      </c>
      <c r="G107" t="n">
        <v>2</v>
      </c>
      <c r="H107" t="n">
        <v>0</v>
      </c>
      <c r="I107" t="n">
        <v>0</v>
      </c>
      <c r="J107" t="n">
        <v>0</v>
      </c>
      <c r="K107" t="n">
        <v>1</v>
      </c>
      <c r="L107" t="n">
        <v>0</v>
      </c>
      <c r="M107" t="n">
        <v>0</v>
      </c>
      <c r="N107" t="n">
        <v>0</v>
      </c>
      <c r="O107" t="n">
        <v>1</v>
      </c>
      <c r="P107" t="n">
        <v>1</v>
      </c>
      <c r="Q107" t="n">
        <v>1</v>
      </c>
      <c r="R107" s="2" t="inlineStr">
        <is>
          <t>Raggbock</t>
        </is>
      </c>
      <c r="S107">
        <f>HYPERLINK("https://klasma.github.io/Logging_1737/artfynd/A 14212-2025 artfynd.xlsx", "A 14212-2025")</f>
        <v/>
      </c>
      <c r="T107">
        <f>HYPERLINK("https://klasma.github.io/Logging_1737/kartor/A 14212-2025 karta.png", "A 14212-2025")</f>
        <v/>
      </c>
      <c r="V107">
        <f>HYPERLINK("https://klasma.github.io/Logging_1737/klagomål/A 14212-2025 FSC-klagomål.docx", "A 14212-2025")</f>
        <v/>
      </c>
      <c r="W107">
        <f>HYPERLINK("https://klasma.github.io/Logging_1737/klagomålsmail/A 14212-2025 FSC-klagomål mail.docx", "A 14212-2025")</f>
        <v/>
      </c>
      <c r="X107">
        <f>HYPERLINK("https://klasma.github.io/Logging_1737/tillsyn/A 14212-2025 tillsynsbegäran.docx", "A 14212-2025")</f>
        <v/>
      </c>
      <c r="Y107">
        <f>HYPERLINK("https://klasma.github.io/Logging_1737/tillsynsmail/A 14212-2025 tillsynsbegäran mail.docx", "A 14212-2025")</f>
        <v/>
      </c>
    </row>
    <row r="108" ht="15" customHeight="1">
      <c r="A108" t="inlineStr">
        <is>
          <t>A 16164-2025</t>
        </is>
      </c>
      <c r="B108" s="1" t="n">
        <v>45750</v>
      </c>
      <c r="C108" s="1" t="n">
        <v>45969</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42500-2022</t>
        </is>
      </c>
      <c r="B109" s="1" t="n">
        <v>44831</v>
      </c>
      <c r="C109" s="1" t="n">
        <v>45969</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50236-2022</t>
        </is>
      </c>
      <c r="B110" s="1" t="n">
        <v>44865</v>
      </c>
      <c r="C110" s="1" t="n">
        <v>45969</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Garnlav</t>
        </is>
      </c>
      <c r="S110">
        <f>HYPERLINK("https://klasma.github.io/Logging_1737/artfynd/A 50236-2022 artfynd.xlsx", "A 50236-2022")</f>
        <v/>
      </c>
      <c r="T110">
        <f>HYPERLINK("https://klasma.github.io/Logging_1737/kartor/A 50236-2022 karta.png", "A 50236-2022")</f>
        <v/>
      </c>
      <c r="V110">
        <f>HYPERLINK("https://klasma.github.io/Logging_1737/klagomål/A 50236-2022 FSC-klagomål.docx", "A 50236-2022")</f>
        <v/>
      </c>
      <c r="W110">
        <f>HYPERLINK("https://klasma.github.io/Logging_1737/klagomålsmail/A 50236-2022 FSC-klagomål mail.docx", "A 50236-2022")</f>
        <v/>
      </c>
      <c r="X110">
        <f>HYPERLINK("https://klasma.github.io/Logging_1737/tillsyn/A 50236-2022 tillsynsbegäran.docx", "A 50236-2022")</f>
        <v/>
      </c>
      <c r="Y110">
        <f>HYPERLINK("https://klasma.github.io/Logging_1737/tillsynsmail/A 50236-2022 tillsynsbegäran mail.docx", "A 50236-2022")</f>
        <v/>
      </c>
    </row>
    <row r="111" ht="15" customHeight="1">
      <c r="A111" t="inlineStr">
        <is>
          <t>A 16572-2022</t>
        </is>
      </c>
      <c r="B111" s="1" t="n">
        <v>44672</v>
      </c>
      <c r="C111" s="1" t="n">
        <v>45969</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39681-2023</t>
        </is>
      </c>
      <c r="B112" s="1" t="n">
        <v>45167</v>
      </c>
      <c r="C112" s="1" t="n">
        <v>45969</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45969</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45969</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54009-2024</t>
        </is>
      </c>
      <c r="B115" s="1" t="n">
        <v>45616</v>
      </c>
      <c r="C115" s="1" t="n">
        <v>45969</v>
      </c>
      <c r="D115" t="inlineStr">
        <is>
          <t>VÄRMLANDS LÄN</t>
        </is>
      </c>
      <c r="E115" t="inlineStr">
        <is>
          <t>TORSBY</t>
        </is>
      </c>
      <c r="F115" t="inlineStr">
        <is>
          <t>Bergvik skog väst AB</t>
        </is>
      </c>
      <c r="G115" t="n">
        <v>8.800000000000001</v>
      </c>
      <c r="H115" t="n">
        <v>1</v>
      </c>
      <c r="I115" t="n">
        <v>1</v>
      </c>
      <c r="J115" t="n">
        <v>0</v>
      </c>
      <c r="K115" t="n">
        <v>0</v>
      </c>
      <c r="L115" t="n">
        <v>0</v>
      </c>
      <c r="M115" t="n">
        <v>0</v>
      </c>
      <c r="N115" t="n">
        <v>0</v>
      </c>
      <c r="O115" t="n">
        <v>0</v>
      </c>
      <c r="P115" t="n">
        <v>0</v>
      </c>
      <c r="Q115" t="n">
        <v>1</v>
      </c>
      <c r="R115" s="2" t="inlineStr">
        <is>
          <t>Korallrot</t>
        </is>
      </c>
      <c r="S115">
        <f>HYPERLINK("https://klasma.github.io/Logging_1737/artfynd/A 54009-2024 artfynd.xlsx", "A 54009-2024")</f>
        <v/>
      </c>
      <c r="T115">
        <f>HYPERLINK("https://klasma.github.io/Logging_1737/kartor/A 54009-2024 karta.png", "A 54009-2024")</f>
        <v/>
      </c>
      <c r="V115">
        <f>HYPERLINK("https://klasma.github.io/Logging_1737/klagomål/A 54009-2024 FSC-klagomål.docx", "A 54009-2024")</f>
        <v/>
      </c>
      <c r="W115">
        <f>HYPERLINK("https://klasma.github.io/Logging_1737/klagomålsmail/A 54009-2024 FSC-klagomål mail.docx", "A 54009-2024")</f>
        <v/>
      </c>
      <c r="X115">
        <f>HYPERLINK("https://klasma.github.io/Logging_1737/tillsyn/A 54009-2024 tillsynsbegäran.docx", "A 54009-2024")</f>
        <v/>
      </c>
      <c r="Y115">
        <f>HYPERLINK("https://klasma.github.io/Logging_1737/tillsynsmail/A 54009-2024 tillsynsbegäran mail.docx", "A 54009-2024")</f>
        <v/>
      </c>
    </row>
    <row r="116" ht="15" customHeight="1">
      <c r="A116" t="inlineStr">
        <is>
          <t>A 49724-2023</t>
        </is>
      </c>
      <c r="B116" s="1" t="n">
        <v>45208</v>
      </c>
      <c r="C116" s="1" t="n">
        <v>45969</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26747-2023</t>
        </is>
      </c>
      <c r="B117" s="1" t="n">
        <v>45090</v>
      </c>
      <c r="C117" s="1" t="n">
        <v>45969</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8747-2021</t>
        </is>
      </c>
      <c r="B118" s="1" t="n">
        <v>44246</v>
      </c>
      <c r="C118" s="1" t="n">
        <v>45969</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13359-2023</t>
        </is>
      </c>
      <c r="B119" s="1" t="n">
        <v>45005.46405092593</v>
      </c>
      <c r="C119" s="1" t="n">
        <v>45969</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45969</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58470-2021</t>
        </is>
      </c>
      <c r="B121" s="1" t="n">
        <v>44488</v>
      </c>
      <c r="C121" s="1" t="n">
        <v>45969</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56133-2024</t>
        </is>
      </c>
      <c r="B122" s="1" t="n">
        <v>45624</v>
      </c>
      <c r="C122" s="1" t="n">
        <v>45969</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40934-2024</t>
        </is>
      </c>
      <c r="B123" s="1" t="n">
        <v>45558</v>
      </c>
      <c r="C123" s="1" t="n">
        <v>45969</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Lunglav</t>
        </is>
      </c>
      <c r="S123">
        <f>HYPERLINK("https://klasma.github.io/Logging_1737/artfynd/A 40934-2024 artfynd.xlsx", "A 40934-2024")</f>
        <v/>
      </c>
      <c r="T123">
        <f>HYPERLINK("https://klasma.github.io/Logging_1737/kartor/A 40934-2024 karta.png", "A 40934-2024")</f>
        <v/>
      </c>
      <c r="V123">
        <f>HYPERLINK("https://klasma.github.io/Logging_1737/klagomål/A 40934-2024 FSC-klagomål.docx", "A 40934-2024")</f>
        <v/>
      </c>
      <c r="W123">
        <f>HYPERLINK("https://klasma.github.io/Logging_1737/klagomålsmail/A 40934-2024 FSC-klagomål mail.docx", "A 40934-2024")</f>
        <v/>
      </c>
      <c r="X123">
        <f>HYPERLINK("https://klasma.github.io/Logging_1737/tillsyn/A 40934-2024 tillsynsbegäran.docx", "A 40934-2024")</f>
        <v/>
      </c>
      <c r="Y123">
        <f>HYPERLINK("https://klasma.github.io/Logging_1737/tillsynsmail/A 40934-2024 tillsynsbegäran mail.docx", "A 40934-2024")</f>
        <v/>
      </c>
    </row>
    <row r="124" ht="15" customHeight="1">
      <c r="A124" t="inlineStr">
        <is>
          <t>A 54029-2024</t>
        </is>
      </c>
      <c r="B124" s="1" t="n">
        <v>45616</v>
      </c>
      <c r="C124" s="1" t="n">
        <v>45969</v>
      </c>
      <c r="D124" t="inlineStr">
        <is>
          <t>VÄRMLANDS LÄN</t>
        </is>
      </c>
      <c r="E124" t="inlineStr">
        <is>
          <t>TORSBY</t>
        </is>
      </c>
      <c r="G124" t="n">
        <v>10.2</v>
      </c>
      <c r="H124" t="n">
        <v>0</v>
      </c>
      <c r="I124" t="n">
        <v>1</v>
      </c>
      <c r="J124" t="n">
        <v>0</v>
      </c>
      <c r="K124" t="n">
        <v>0</v>
      </c>
      <c r="L124" t="n">
        <v>0</v>
      </c>
      <c r="M124" t="n">
        <v>0</v>
      </c>
      <c r="N124" t="n">
        <v>0</v>
      </c>
      <c r="O124" t="n">
        <v>0</v>
      </c>
      <c r="P124" t="n">
        <v>0</v>
      </c>
      <c r="Q124" t="n">
        <v>1</v>
      </c>
      <c r="R124" s="2" t="inlineStr">
        <is>
          <t>Vedticka</t>
        </is>
      </c>
      <c r="S124">
        <f>HYPERLINK("https://klasma.github.io/Logging_1737/artfynd/A 54029-2024 artfynd.xlsx", "A 54029-2024")</f>
        <v/>
      </c>
      <c r="T124">
        <f>HYPERLINK("https://klasma.github.io/Logging_1737/kartor/A 54029-2024 karta.png", "A 54029-2024")</f>
        <v/>
      </c>
      <c r="V124">
        <f>HYPERLINK("https://klasma.github.io/Logging_1737/klagomål/A 54029-2024 FSC-klagomål.docx", "A 54029-2024")</f>
        <v/>
      </c>
      <c r="W124">
        <f>HYPERLINK("https://klasma.github.io/Logging_1737/klagomålsmail/A 54029-2024 FSC-klagomål mail.docx", "A 54029-2024")</f>
        <v/>
      </c>
      <c r="X124">
        <f>HYPERLINK("https://klasma.github.io/Logging_1737/tillsyn/A 54029-2024 tillsynsbegäran.docx", "A 54029-2024")</f>
        <v/>
      </c>
      <c r="Y124">
        <f>HYPERLINK("https://klasma.github.io/Logging_1737/tillsynsmail/A 54029-2024 tillsynsbegäran mail.docx", "A 54029-2024")</f>
        <v/>
      </c>
    </row>
    <row r="125" ht="15" customHeight="1">
      <c r="A125" t="inlineStr">
        <is>
          <t>A 46099-2023</t>
        </is>
      </c>
      <c r="B125" s="1" t="n">
        <v>45196</v>
      </c>
      <c r="C125" s="1" t="n">
        <v>45969</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1811-2024</t>
        </is>
      </c>
      <c r="B126" s="1" t="n">
        <v>45307</v>
      </c>
      <c r="C126" s="1" t="n">
        <v>45969</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50318-2024</t>
        </is>
      </c>
      <c r="B127" s="1" t="n">
        <v>45600</v>
      </c>
      <c r="C127" s="1" t="n">
        <v>45969</v>
      </c>
      <c r="D127" t="inlineStr">
        <is>
          <t>VÄRMLANDS LÄN</t>
        </is>
      </c>
      <c r="E127" t="inlineStr">
        <is>
          <t>TORSBY</t>
        </is>
      </c>
      <c r="F127" t="inlineStr">
        <is>
          <t>Bergvik skog väst AB</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50318-2024 artfynd.xlsx", "A 50318-2024")</f>
        <v/>
      </c>
      <c r="T127">
        <f>HYPERLINK("https://klasma.github.io/Logging_1737/kartor/A 50318-2024 karta.png", "A 50318-2024")</f>
        <v/>
      </c>
      <c r="V127">
        <f>HYPERLINK("https://klasma.github.io/Logging_1737/klagomål/A 50318-2024 FSC-klagomål.docx", "A 50318-2024")</f>
        <v/>
      </c>
      <c r="W127">
        <f>HYPERLINK("https://klasma.github.io/Logging_1737/klagomålsmail/A 50318-2024 FSC-klagomål mail.docx", "A 50318-2024")</f>
        <v/>
      </c>
      <c r="X127">
        <f>HYPERLINK("https://klasma.github.io/Logging_1737/tillsyn/A 50318-2024 tillsynsbegäran.docx", "A 50318-2024")</f>
        <v/>
      </c>
      <c r="Y127">
        <f>HYPERLINK("https://klasma.github.io/Logging_1737/tillsynsmail/A 50318-2024 tillsynsbegäran mail.docx", "A 50318-2024")</f>
        <v/>
      </c>
    </row>
    <row r="128" ht="15" customHeight="1">
      <c r="A128" t="inlineStr">
        <is>
          <t>A 50712-2025</t>
        </is>
      </c>
      <c r="B128" s="1" t="n">
        <v>45946.34440972222</v>
      </c>
      <c r="C128" s="1" t="n">
        <v>45969</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25217-2025</t>
        </is>
      </c>
      <c r="B129" s="1" t="n">
        <v>45800.4756712963</v>
      </c>
      <c r="C129" s="1" t="n">
        <v>45969</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25802-2025</t>
        </is>
      </c>
      <c r="B130" s="1" t="n">
        <v>45804.40766203704</v>
      </c>
      <c r="C130" s="1" t="n">
        <v>45969</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24042-2021</t>
        </is>
      </c>
      <c r="B131" s="1" t="n">
        <v>44336</v>
      </c>
      <c r="C131" s="1" t="n">
        <v>45969</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27301-2025</t>
        </is>
      </c>
      <c r="B132" s="1" t="n">
        <v>45812.57186342592</v>
      </c>
      <c r="C132" s="1" t="n">
        <v>45969</v>
      </c>
      <c r="D132" t="inlineStr">
        <is>
          <t>VÄRMLANDS LÄN</t>
        </is>
      </c>
      <c r="E132" t="inlineStr">
        <is>
          <t>TORSBY</t>
        </is>
      </c>
      <c r="G132" t="n">
        <v>2.7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27301-2025 artfynd.xlsx", "A 27301-2025")</f>
        <v/>
      </c>
      <c r="T132">
        <f>HYPERLINK("https://klasma.github.io/Logging_1737/kartor/A 27301-2025 karta.png", "A 27301-2025")</f>
        <v/>
      </c>
      <c r="V132">
        <f>HYPERLINK("https://klasma.github.io/Logging_1737/klagomål/A 27301-2025 FSC-klagomål.docx", "A 27301-2025")</f>
        <v/>
      </c>
      <c r="W132">
        <f>HYPERLINK("https://klasma.github.io/Logging_1737/klagomålsmail/A 27301-2025 FSC-klagomål mail.docx", "A 27301-2025")</f>
        <v/>
      </c>
      <c r="X132">
        <f>HYPERLINK("https://klasma.github.io/Logging_1737/tillsyn/A 27301-2025 tillsynsbegäran.docx", "A 27301-2025")</f>
        <v/>
      </c>
      <c r="Y132">
        <f>HYPERLINK("https://klasma.github.io/Logging_1737/tillsynsmail/A 27301-2025 tillsynsbegäran mail.docx", "A 27301-2025")</f>
        <v/>
      </c>
    </row>
    <row r="133" ht="15" customHeight="1">
      <c r="A133" t="inlineStr">
        <is>
          <t>A 41477-2024</t>
        </is>
      </c>
      <c r="B133" s="1" t="n">
        <v>45560</v>
      </c>
      <c r="C133" s="1" t="n">
        <v>45969</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27108-2025</t>
        </is>
      </c>
      <c r="B134" s="1" t="n">
        <v>45811.72777777778</v>
      </c>
      <c r="C134" s="1" t="n">
        <v>45969</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52418-2025</t>
        </is>
      </c>
      <c r="B135" s="1" t="n">
        <v>45954.36844907407</v>
      </c>
      <c r="C135" s="1" t="n">
        <v>45969</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29756-2025</t>
        </is>
      </c>
      <c r="B136" s="1" t="n">
        <v>45825.61525462963</v>
      </c>
      <c r="C136" s="1" t="n">
        <v>45969</v>
      </c>
      <c r="D136" t="inlineStr">
        <is>
          <t>VÄRMLANDS LÄN</t>
        </is>
      </c>
      <c r="E136" t="inlineStr">
        <is>
          <t>TORSBY</t>
        </is>
      </c>
      <c r="G136" t="n">
        <v>6.9</v>
      </c>
      <c r="H136" t="n">
        <v>0</v>
      </c>
      <c r="I136" t="n">
        <v>0</v>
      </c>
      <c r="J136" t="n">
        <v>1</v>
      </c>
      <c r="K136" t="n">
        <v>0</v>
      </c>
      <c r="L136" t="n">
        <v>0</v>
      </c>
      <c r="M136" t="n">
        <v>0</v>
      </c>
      <c r="N136" t="n">
        <v>0</v>
      </c>
      <c r="O136" t="n">
        <v>1</v>
      </c>
      <c r="P136" t="n">
        <v>0</v>
      </c>
      <c r="Q136" t="n">
        <v>1</v>
      </c>
      <c r="R136" s="2" t="inlineStr">
        <is>
          <t>Garnlav</t>
        </is>
      </c>
      <c r="S136">
        <f>HYPERLINK("https://klasma.github.io/Logging_1737/artfynd/A 29756-2025 artfynd.xlsx", "A 29756-2025")</f>
        <v/>
      </c>
      <c r="T136">
        <f>HYPERLINK("https://klasma.github.io/Logging_1737/kartor/A 29756-2025 karta.png", "A 29756-2025")</f>
        <v/>
      </c>
      <c r="V136">
        <f>HYPERLINK("https://klasma.github.io/Logging_1737/klagomål/A 29756-2025 FSC-klagomål.docx", "A 29756-2025")</f>
        <v/>
      </c>
      <c r="W136">
        <f>HYPERLINK("https://klasma.github.io/Logging_1737/klagomålsmail/A 29756-2025 FSC-klagomål mail.docx", "A 29756-2025")</f>
        <v/>
      </c>
      <c r="X136">
        <f>HYPERLINK("https://klasma.github.io/Logging_1737/tillsyn/A 29756-2025 tillsynsbegäran.docx", "A 29756-2025")</f>
        <v/>
      </c>
      <c r="Y136">
        <f>HYPERLINK("https://klasma.github.io/Logging_1737/tillsynsmail/A 29756-2025 tillsynsbegäran mail.docx", "A 29756-2025")</f>
        <v/>
      </c>
    </row>
    <row r="137" ht="15" customHeight="1">
      <c r="A137" t="inlineStr">
        <is>
          <t>A 44018-2025</t>
        </is>
      </c>
      <c r="B137" s="1" t="n">
        <v>45915</v>
      </c>
      <c r="C137" s="1" t="n">
        <v>45969</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44018-2025 artfynd.xlsx", "A 44018-2025")</f>
        <v/>
      </c>
      <c r="T137">
        <f>HYPERLINK("https://klasma.github.io/Logging_1737/kartor/A 44018-2025 karta.png", "A 44018-2025")</f>
        <v/>
      </c>
      <c r="V137">
        <f>HYPERLINK("https://klasma.github.io/Logging_1737/klagomål/A 44018-2025 FSC-klagomål.docx", "A 44018-2025")</f>
        <v/>
      </c>
      <c r="W137">
        <f>HYPERLINK("https://klasma.github.io/Logging_1737/klagomålsmail/A 44018-2025 FSC-klagomål mail.docx", "A 44018-2025")</f>
        <v/>
      </c>
      <c r="X137">
        <f>HYPERLINK("https://klasma.github.io/Logging_1737/tillsyn/A 44018-2025 tillsynsbegäran.docx", "A 44018-2025")</f>
        <v/>
      </c>
      <c r="Y137">
        <f>HYPERLINK("https://klasma.github.io/Logging_1737/tillsynsmail/A 44018-2025 tillsynsbegäran mail.docx", "A 44018-2025")</f>
        <v/>
      </c>
    </row>
    <row r="138" ht="15" customHeight="1">
      <c r="A138" t="inlineStr">
        <is>
          <t>A 53388-2025</t>
        </is>
      </c>
      <c r="B138" s="1" t="n">
        <v>45959.54763888889</v>
      </c>
      <c r="C138" s="1" t="n">
        <v>45969</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32328-2025</t>
        </is>
      </c>
      <c r="B139" s="1" t="n">
        <v>45836.46289351852</v>
      </c>
      <c r="C139" s="1" t="n">
        <v>45969</v>
      </c>
      <c r="D139" t="inlineStr">
        <is>
          <t>VÄRMLANDS LÄN</t>
        </is>
      </c>
      <c r="E139" t="inlineStr">
        <is>
          <t>TORSBY</t>
        </is>
      </c>
      <c r="G139" t="n">
        <v>1.1</v>
      </c>
      <c r="H139" t="n">
        <v>0</v>
      </c>
      <c r="I139" t="n">
        <v>0</v>
      </c>
      <c r="J139" t="n">
        <v>1</v>
      </c>
      <c r="K139" t="n">
        <v>0</v>
      </c>
      <c r="L139" t="n">
        <v>0</v>
      </c>
      <c r="M139" t="n">
        <v>0</v>
      </c>
      <c r="N139" t="n">
        <v>0</v>
      </c>
      <c r="O139" t="n">
        <v>1</v>
      </c>
      <c r="P139" t="n">
        <v>0</v>
      </c>
      <c r="Q139" t="n">
        <v>1</v>
      </c>
      <c r="R139" s="2" t="inlineStr">
        <is>
          <t>Ullticka</t>
        </is>
      </c>
      <c r="S139">
        <f>HYPERLINK("https://klasma.github.io/Logging_1737/artfynd/A 32328-2025 artfynd.xlsx", "A 32328-2025")</f>
        <v/>
      </c>
      <c r="T139">
        <f>HYPERLINK("https://klasma.github.io/Logging_1737/kartor/A 32328-2025 karta.png", "A 32328-2025")</f>
        <v/>
      </c>
      <c r="V139">
        <f>HYPERLINK("https://klasma.github.io/Logging_1737/klagomål/A 32328-2025 FSC-klagomål.docx", "A 32328-2025")</f>
        <v/>
      </c>
      <c r="W139">
        <f>HYPERLINK("https://klasma.github.io/Logging_1737/klagomålsmail/A 32328-2025 FSC-klagomål mail.docx", "A 32328-2025")</f>
        <v/>
      </c>
      <c r="X139">
        <f>HYPERLINK("https://klasma.github.io/Logging_1737/tillsyn/A 32328-2025 tillsynsbegäran.docx", "A 32328-2025")</f>
        <v/>
      </c>
      <c r="Y139">
        <f>HYPERLINK("https://klasma.github.io/Logging_1737/tillsynsmail/A 32328-2025 tillsynsbegäran mail.docx", "A 32328-2025")</f>
        <v/>
      </c>
    </row>
    <row r="140" ht="15" customHeight="1">
      <c r="A140" t="inlineStr">
        <is>
          <t>A 15872-2025</t>
        </is>
      </c>
      <c r="B140" s="1" t="n">
        <v>45749</v>
      </c>
      <c r="C140" s="1" t="n">
        <v>45969</v>
      </c>
      <c r="D140" t="inlineStr">
        <is>
          <t>VÄRMLANDS LÄN</t>
        </is>
      </c>
      <c r="E140" t="inlineStr">
        <is>
          <t>TORSBY</t>
        </is>
      </c>
      <c r="F140" t="inlineStr">
        <is>
          <t>Bergvik skog väst AB</t>
        </is>
      </c>
      <c r="G140" t="n">
        <v>10.8</v>
      </c>
      <c r="H140" t="n">
        <v>1</v>
      </c>
      <c r="I140" t="n">
        <v>1</v>
      </c>
      <c r="J140" t="n">
        <v>0</v>
      </c>
      <c r="K140" t="n">
        <v>0</v>
      </c>
      <c r="L140" t="n">
        <v>0</v>
      </c>
      <c r="M140" t="n">
        <v>0</v>
      </c>
      <c r="N140" t="n">
        <v>0</v>
      </c>
      <c r="O140" t="n">
        <v>0</v>
      </c>
      <c r="P140" t="n">
        <v>0</v>
      </c>
      <c r="Q140" t="n">
        <v>1</v>
      </c>
      <c r="R140" s="2" t="inlineStr">
        <is>
          <t>Korallrot</t>
        </is>
      </c>
      <c r="S140">
        <f>HYPERLINK("https://klasma.github.io/Logging_1737/artfynd/A 15872-2025 artfynd.xlsx", "A 15872-2025")</f>
        <v/>
      </c>
      <c r="T140">
        <f>HYPERLINK("https://klasma.github.io/Logging_1737/kartor/A 15872-2025 karta.png", "A 15872-2025")</f>
        <v/>
      </c>
      <c r="V140">
        <f>HYPERLINK("https://klasma.github.io/Logging_1737/klagomål/A 15872-2025 FSC-klagomål.docx", "A 15872-2025")</f>
        <v/>
      </c>
      <c r="W140">
        <f>HYPERLINK("https://klasma.github.io/Logging_1737/klagomålsmail/A 15872-2025 FSC-klagomål mail.docx", "A 15872-2025")</f>
        <v/>
      </c>
      <c r="X140">
        <f>HYPERLINK("https://klasma.github.io/Logging_1737/tillsyn/A 15872-2025 tillsynsbegäran.docx", "A 15872-2025")</f>
        <v/>
      </c>
      <c r="Y140">
        <f>HYPERLINK("https://klasma.github.io/Logging_1737/tillsynsmail/A 15872-2025 tillsynsbegäran mail.docx", "A 15872-2025")</f>
        <v/>
      </c>
    </row>
    <row r="141" ht="15" customHeight="1">
      <c r="A141" t="inlineStr">
        <is>
          <t>A 25276-2025</t>
        </is>
      </c>
      <c r="B141" s="1" t="n">
        <v>45800</v>
      </c>
      <c r="C141" s="1" t="n">
        <v>45969</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45969</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45969</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45969</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45969</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45969</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45969</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45969</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45969</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45969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45969</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45969</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45969</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45969</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45969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45969</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15854-2021</t>
        </is>
      </c>
      <c r="B157" s="1" t="n">
        <v>44286</v>
      </c>
      <c r="C157" s="1" t="n">
        <v>45969</v>
      </c>
      <c r="D157" t="inlineStr">
        <is>
          <t>VÄRMLANDS LÄN</t>
        </is>
      </c>
      <c r="E157" t="inlineStr">
        <is>
          <t>TORSBY</t>
        </is>
      </c>
      <c r="G157" t="n">
        <v>1.1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45969</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45969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45969</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45969</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45969</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45969</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45969</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45969</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45969</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45969</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45969</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45969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45969</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45969</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45969</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45969</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45969</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45969</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45969</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45969</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45969</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45969</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45969</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45969</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45969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45969</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45969</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45969</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45969</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45969</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45969</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45969</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45969</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45969</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45969</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45969</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45969</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45969</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45969</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45969</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45969</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45969</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45969</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45969</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45969</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45969</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45969</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45969</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45969</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45969</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45969</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45969</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45969</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45969</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45969</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45969</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45969</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45969</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45969</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45969</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45969</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45969</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45969</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45969</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45969</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45969</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45969</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45969</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45969</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45969</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45969</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45969</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45969</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45969</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45969</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45969</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45969</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45969</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65678-2020</t>
        </is>
      </c>
      <c r="B236" s="1" t="n">
        <v>44172</v>
      </c>
      <c r="C236" s="1" t="n">
        <v>45969</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45969</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58599-2020</t>
        </is>
      </c>
      <c r="B238" s="1" t="n">
        <v>44145.65825231482</v>
      </c>
      <c r="C238" s="1" t="n">
        <v>45969</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45969</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45969</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10118-2021</t>
        </is>
      </c>
      <c r="B241" s="1" t="n">
        <v>44256</v>
      </c>
      <c r="C241" s="1" t="n">
        <v>45969</v>
      </c>
      <c r="D241" t="inlineStr">
        <is>
          <t>VÄRMLANDS LÄN</t>
        </is>
      </c>
      <c r="E241" t="inlineStr">
        <is>
          <t>TORSBY</t>
        </is>
      </c>
      <c r="G241" t="n">
        <v>12.5</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45969</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45969</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45969</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45969</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45969</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45969</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5105-2021</t>
        </is>
      </c>
      <c r="B248" s="1" t="n">
        <v>44228</v>
      </c>
      <c r="C248" s="1" t="n">
        <v>45969</v>
      </c>
      <c r="D248" t="inlineStr">
        <is>
          <t>VÄRMLANDS LÄN</t>
        </is>
      </c>
      <c r="E248" t="inlineStr">
        <is>
          <t>TORSBY</t>
        </is>
      </c>
      <c r="G248" t="n">
        <v>5.6</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45969</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23803-2022</t>
        </is>
      </c>
      <c r="B250" s="1" t="n">
        <v>44720</v>
      </c>
      <c r="C250" s="1" t="n">
        <v>45969</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45969</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45969</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45969</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51510-2021</t>
        </is>
      </c>
      <c r="B254" s="1" t="n">
        <v>44460</v>
      </c>
      <c r="C254" s="1" t="n">
        <v>45969</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45969</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45969</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31494-2021</t>
        </is>
      </c>
      <c r="B257" s="1" t="n">
        <v>44369</v>
      </c>
      <c r="C257" s="1" t="n">
        <v>45969</v>
      </c>
      <c r="D257" t="inlineStr">
        <is>
          <t>VÄRMLANDS LÄN</t>
        </is>
      </c>
      <c r="E257" t="inlineStr">
        <is>
          <t>TORSBY</t>
        </is>
      </c>
      <c r="G257" t="n">
        <v>3.5</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45969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45969</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45969</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45969</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45969</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45969</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45969</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45969</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45969</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19877-2021</t>
        </is>
      </c>
      <c r="B267" s="1" t="n">
        <v>44313</v>
      </c>
      <c r="C267" s="1" t="n">
        <v>45969</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32821-2021</t>
        </is>
      </c>
      <c r="B268" s="1" t="n">
        <v>44375</v>
      </c>
      <c r="C268" s="1" t="n">
        <v>45969</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45969</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45969</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4967-2022</t>
        </is>
      </c>
      <c r="B271" s="1" t="n">
        <v>44593</v>
      </c>
      <c r="C271" s="1" t="n">
        <v>45969</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45969</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45969</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35545-2021</t>
        </is>
      </c>
      <c r="B274" s="1" t="n">
        <v>44385</v>
      </c>
      <c r="C274" s="1" t="n">
        <v>45969</v>
      </c>
      <c r="D274" t="inlineStr">
        <is>
          <t>VÄRMLANDS LÄN</t>
        </is>
      </c>
      <c r="E274" t="inlineStr">
        <is>
          <t>TORSBY</t>
        </is>
      </c>
      <c r="G274" t="n">
        <v>6</v>
      </c>
      <c r="H274" t="n">
        <v>0</v>
      </c>
      <c r="I274" t="n">
        <v>0</v>
      </c>
      <c r="J274" t="n">
        <v>0</v>
      </c>
      <c r="K274" t="n">
        <v>0</v>
      </c>
      <c r="L274" t="n">
        <v>0</v>
      </c>
      <c r="M274" t="n">
        <v>0</v>
      </c>
      <c r="N274" t="n">
        <v>0</v>
      </c>
      <c r="O274" t="n">
        <v>0</v>
      </c>
      <c r="P274" t="n">
        <v>0</v>
      </c>
      <c r="Q274" t="n">
        <v>0</v>
      </c>
      <c r="R274" s="2" t="inlineStr"/>
    </row>
    <row r="275" ht="15" customHeight="1">
      <c r="A275" t="inlineStr">
        <is>
          <t>A 25247-2021</t>
        </is>
      </c>
      <c r="B275" s="1" t="n">
        <v>44342</v>
      </c>
      <c r="C275" s="1" t="n">
        <v>45969</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23524-2021</t>
        </is>
      </c>
      <c r="B276" s="1" t="n">
        <v>44301</v>
      </c>
      <c r="C276" s="1" t="n">
        <v>45969</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45969</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45969</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45969</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65998-2021</t>
        </is>
      </c>
      <c r="B280" s="1" t="n">
        <v>44517</v>
      </c>
      <c r="C280" s="1" t="n">
        <v>45969</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45969</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45969</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17765-2022</t>
        </is>
      </c>
      <c r="B283" s="1" t="n">
        <v>44681.41195601852</v>
      </c>
      <c r="C283" s="1" t="n">
        <v>45969</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33149-2021</t>
        </is>
      </c>
      <c r="B284" s="1" t="n">
        <v>44376.67658564815</v>
      </c>
      <c r="C284" s="1" t="n">
        <v>45969</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56062-2021</t>
        </is>
      </c>
      <c r="B285" s="1" t="n">
        <v>44477.51216435185</v>
      </c>
      <c r="C285" s="1" t="n">
        <v>45969</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33515-2021</t>
        </is>
      </c>
      <c r="B286" s="1" t="n">
        <v>44377</v>
      </c>
      <c r="C286" s="1" t="n">
        <v>45969</v>
      </c>
      <c r="D286" t="inlineStr">
        <is>
          <t>VÄRMLANDS LÄN</t>
        </is>
      </c>
      <c r="E286" t="inlineStr">
        <is>
          <t>TORSBY</t>
        </is>
      </c>
      <c r="G286" t="n">
        <v>3.5</v>
      </c>
      <c r="H286" t="n">
        <v>0</v>
      </c>
      <c r="I286" t="n">
        <v>0</v>
      </c>
      <c r="J286" t="n">
        <v>0</v>
      </c>
      <c r="K286" t="n">
        <v>0</v>
      </c>
      <c r="L286" t="n">
        <v>0</v>
      </c>
      <c r="M286" t="n">
        <v>0</v>
      </c>
      <c r="N286" t="n">
        <v>0</v>
      </c>
      <c r="O286" t="n">
        <v>0</v>
      </c>
      <c r="P286" t="n">
        <v>0</v>
      </c>
      <c r="Q286" t="n">
        <v>0</v>
      </c>
      <c r="R286" s="2" t="inlineStr"/>
    </row>
    <row r="287" ht="15" customHeight="1">
      <c r="A287" t="inlineStr">
        <is>
          <t>A 33517-2021</t>
        </is>
      </c>
      <c r="B287" s="1" t="n">
        <v>44377</v>
      </c>
      <c r="C287" s="1" t="n">
        <v>45969</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45969</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21031-2021</t>
        </is>
      </c>
      <c r="B289" s="1" t="n">
        <v>44319</v>
      </c>
      <c r="C289" s="1" t="n">
        <v>45969</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49192-2021</t>
        </is>
      </c>
      <c r="B290" s="1" t="n">
        <v>44454.33175925926</v>
      </c>
      <c r="C290" s="1" t="n">
        <v>45969</v>
      </c>
      <c r="D290" t="inlineStr">
        <is>
          <t>VÄRMLANDS LÄN</t>
        </is>
      </c>
      <c r="E290" t="inlineStr">
        <is>
          <t>TORSBY</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28562-2021</t>
        </is>
      </c>
      <c r="B291" s="1" t="n">
        <v>44356.69538194445</v>
      </c>
      <c r="C291" s="1" t="n">
        <v>45969</v>
      </c>
      <c r="D291" t="inlineStr">
        <is>
          <t>VÄRMLANDS LÄN</t>
        </is>
      </c>
      <c r="E291" t="inlineStr">
        <is>
          <t>TORSBY</t>
        </is>
      </c>
      <c r="G291" t="n">
        <v>4.4</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45969</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45969</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45969</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45969</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45969</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45969</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45969</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45969</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52386-2022</t>
        </is>
      </c>
      <c r="B300" s="1" t="n">
        <v>44874.3750462963</v>
      </c>
      <c r="C300" s="1" t="n">
        <v>45969</v>
      </c>
      <c r="D300" t="inlineStr">
        <is>
          <t>VÄRMLANDS LÄN</t>
        </is>
      </c>
      <c r="E300" t="inlineStr">
        <is>
          <t>TORSBY</t>
        </is>
      </c>
      <c r="G300" t="n">
        <v>6.7</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45969</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30162-2021</t>
        </is>
      </c>
      <c r="B302" s="1" t="n">
        <v>44363</v>
      </c>
      <c r="C302" s="1" t="n">
        <v>45969</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45969</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16375-2021</t>
        </is>
      </c>
      <c r="B304" s="1" t="n">
        <v>44292</v>
      </c>
      <c r="C304" s="1" t="n">
        <v>45969</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22113-2021</t>
        </is>
      </c>
      <c r="B305" s="1" t="n">
        <v>44323</v>
      </c>
      <c r="C305" s="1" t="n">
        <v>45969</v>
      </c>
      <c r="D305" t="inlineStr">
        <is>
          <t>VÄRMLANDS LÄN</t>
        </is>
      </c>
      <c r="E305" t="inlineStr">
        <is>
          <t>TORSBY</t>
        </is>
      </c>
      <c r="G305" t="n">
        <v>1.7</v>
      </c>
      <c r="H305" t="n">
        <v>0</v>
      </c>
      <c r="I305" t="n">
        <v>0</v>
      </c>
      <c r="J305" t="n">
        <v>0</v>
      </c>
      <c r="K305" t="n">
        <v>0</v>
      </c>
      <c r="L305" t="n">
        <v>0</v>
      </c>
      <c r="M305" t="n">
        <v>0</v>
      </c>
      <c r="N305" t="n">
        <v>0</v>
      </c>
      <c r="O305" t="n">
        <v>0</v>
      </c>
      <c r="P305" t="n">
        <v>0</v>
      </c>
      <c r="Q305" t="n">
        <v>0</v>
      </c>
      <c r="R305" s="2" t="inlineStr"/>
    </row>
    <row r="306" ht="15" customHeight="1">
      <c r="A306" t="inlineStr">
        <is>
          <t>A 61594-2020</t>
        </is>
      </c>
      <c r="B306" s="1" t="n">
        <v>44154</v>
      </c>
      <c r="C306" s="1" t="n">
        <v>45969</v>
      </c>
      <c r="D306" t="inlineStr">
        <is>
          <t>VÄRMLANDS LÄN</t>
        </is>
      </c>
      <c r="E306" t="inlineStr">
        <is>
          <t>TORSBY</t>
        </is>
      </c>
      <c r="G306" t="n">
        <v>6</v>
      </c>
      <c r="H306" t="n">
        <v>0</v>
      </c>
      <c r="I306" t="n">
        <v>0</v>
      </c>
      <c r="J306" t="n">
        <v>0</v>
      </c>
      <c r="K306" t="n">
        <v>0</v>
      </c>
      <c r="L306" t="n">
        <v>0</v>
      </c>
      <c r="M306" t="n">
        <v>0</v>
      </c>
      <c r="N306" t="n">
        <v>0</v>
      </c>
      <c r="O306" t="n">
        <v>0</v>
      </c>
      <c r="P306" t="n">
        <v>0</v>
      </c>
      <c r="Q306" t="n">
        <v>0</v>
      </c>
      <c r="R306" s="2" t="inlineStr"/>
    </row>
    <row r="307" ht="15" customHeight="1">
      <c r="A307" t="inlineStr">
        <is>
          <t>A 1516-2021</t>
        </is>
      </c>
      <c r="B307" s="1" t="n">
        <v>44209</v>
      </c>
      <c r="C307" s="1" t="n">
        <v>45969</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45969</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23194-2021</t>
        </is>
      </c>
      <c r="B309" s="1" t="n">
        <v>44328</v>
      </c>
      <c r="C309" s="1" t="n">
        <v>45969</v>
      </c>
      <c r="D309" t="inlineStr">
        <is>
          <t>VÄRMLANDS LÄN</t>
        </is>
      </c>
      <c r="E309" t="inlineStr">
        <is>
          <t>TORSBY</t>
        </is>
      </c>
      <c r="G309" t="n">
        <v>4.3</v>
      </c>
      <c r="H309" t="n">
        <v>0</v>
      </c>
      <c r="I309" t="n">
        <v>0</v>
      </c>
      <c r="J309" t="n">
        <v>0</v>
      </c>
      <c r="K309" t="n">
        <v>0</v>
      </c>
      <c r="L309" t="n">
        <v>0</v>
      </c>
      <c r="M309" t="n">
        <v>0</v>
      </c>
      <c r="N309" t="n">
        <v>0</v>
      </c>
      <c r="O309" t="n">
        <v>0</v>
      </c>
      <c r="P309" t="n">
        <v>0</v>
      </c>
      <c r="Q309" t="n">
        <v>0</v>
      </c>
      <c r="R309" s="2" t="inlineStr"/>
    </row>
    <row r="310" ht="15" customHeight="1">
      <c r="A310" t="inlineStr">
        <is>
          <t>A 70253-2021</t>
        </is>
      </c>
      <c r="B310" s="1" t="n">
        <v>44536</v>
      </c>
      <c r="C310" s="1" t="n">
        <v>45969</v>
      </c>
      <c r="D310" t="inlineStr">
        <is>
          <t>VÄRMLANDS LÄN</t>
        </is>
      </c>
      <c r="E310" t="inlineStr">
        <is>
          <t>TORSBY</t>
        </is>
      </c>
      <c r="G310" t="n">
        <v>4.3</v>
      </c>
      <c r="H310" t="n">
        <v>0</v>
      </c>
      <c r="I310" t="n">
        <v>0</v>
      </c>
      <c r="J310" t="n">
        <v>0</v>
      </c>
      <c r="K310" t="n">
        <v>0</v>
      </c>
      <c r="L310" t="n">
        <v>0</v>
      </c>
      <c r="M310" t="n">
        <v>0</v>
      </c>
      <c r="N310" t="n">
        <v>0</v>
      </c>
      <c r="O310" t="n">
        <v>0</v>
      </c>
      <c r="P310" t="n">
        <v>0</v>
      </c>
      <c r="Q310" t="n">
        <v>0</v>
      </c>
      <c r="R310" s="2" t="inlineStr"/>
    </row>
    <row r="311" ht="15" customHeight="1">
      <c r="A311" t="inlineStr">
        <is>
          <t>A 33181-2022</t>
        </is>
      </c>
      <c r="B311" s="1" t="n">
        <v>44785</v>
      </c>
      <c r="C311" s="1" t="n">
        <v>45969</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45969</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39186-2022</t>
        </is>
      </c>
      <c r="B313" s="1" t="n">
        <v>44817.51549768518</v>
      </c>
      <c r="C313" s="1" t="n">
        <v>45969</v>
      </c>
      <c r="D313" t="inlineStr">
        <is>
          <t>VÄRMLANDS LÄN</t>
        </is>
      </c>
      <c r="E313" t="inlineStr">
        <is>
          <t>TORSBY</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35851-2022</t>
        </is>
      </c>
      <c r="B314" s="1" t="n">
        <v>44802</v>
      </c>
      <c r="C314" s="1" t="n">
        <v>45969</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11664-2022</t>
        </is>
      </c>
      <c r="B315" s="1" t="n">
        <v>44632.86525462963</v>
      </c>
      <c r="C315" s="1" t="n">
        <v>45969</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53044-2022</t>
        </is>
      </c>
      <c r="B316" s="1" t="n">
        <v>44876</v>
      </c>
      <c r="C316" s="1" t="n">
        <v>45969</v>
      </c>
      <c r="D316" t="inlineStr">
        <is>
          <t>VÄRMLANDS LÄN</t>
        </is>
      </c>
      <c r="E316" t="inlineStr">
        <is>
          <t>TORSBY</t>
        </is>
      </c>
      <c r="G316" t="n">
        <v>0.2</v>
      </c>
      <c r="H316" t="n">
        <v>0</v>
      </c>
      <c r="I316" t="n">
        <v>0</v>
      </c>
      <c r="J316" t="n">
        <v>0</v>
      </c>
      <c r="K316" t="n">
        <v>0</v>
      </c>
      <c r="L316" t="n">
        <v>0</v>
      </c>
      <c r="M316" t="n">
        <v>0</v>
      </c>
      <c r="N316" t="n">
        <v>0</v>
      </c>
      <c r="O316" t="n">
        <v>0</v>
      </c>
      <c r="P316" t="n">
        <v>0</v>
      </c>
      <c r="Q316" t="n">
        <v>0</v>
      </c>
      <c r="R316" s="2" t="inlineStr"/>
    </row>
    <row r="317" ht="15" customHeight="1">
      <c r="A317" t="inlineStr">
        <is>
          <t>A 53076-2022</t>
        </is>
      </c>
      <c r="B317" s="1" t="n">
        <v>44876.38284722222</v>
      </c>
      <c r="C317" s="1" t="n">
        <v>45969</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67084-2020</t>
        </is>
      </c>
      <c r="B318" s="1" t="n">
        <v>44179</v>
      </c>
      <c r="C318" s="1" t="n">
        <v>45969</v>
      </c>
      <c r="D318" t="inlineStr">
        <is>
          <t>VÄRMLANDS LÄN</t>
        </is>
      </c>
      <c r="E318" t="inlineStr">
        <is>
          <t>TORSBY</t>
        </is>
      </c>
      <c r="G318" t="n">
        <v>1.9</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45969</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45445-2021</t>
        </is>
      </c>
      <c r="B320" s="1" t="n">
        <v>44440</v>
      </c>
      <c r="C320" s="1" t="n">
        <v>45969</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45969</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43052-2021</t>
        </is>
      </c>
      <c r="B322" s="1" t="n">
        <v>44431</v>
      </c>
      <c r="C322" s="1" t="n">
        <v>45969</v>
      </c>
      <c r="D322" t="inlineStr">
        <is>
          <t>VÄRMLANDS LÄN</t>
        </is>
      </c>
      <c r="E322" t="inlineStr">
        <is>
          <t>TORSBY</t>
        </is>
      </c>
      <c r="G322" t="n">
        <v>25.1</v>
      </c>
      <c r="H322" t="n">
        <v>0</v>
      </c>
      <c r="I322" t="n">
        <v>0</v>
      </c>
      <c r="J322" t="n">
        <v>0</v>
      </c>
      <c r="K322" t="n">
        <v>0</v>
      </c>
      <c r="L322" t="n">
        <v>0</v>
      </c>
      <c r="M322" t="n">
        <v>0</v>
      </c>
      <c r="N322" t="n">
        <v>0</v>
      </c>
      <c r="O322" t="n">
        <v>0</v>
      </c>
      <c r="P322" t="n">
        <v>0</v>
      </c>
      <c r="Q322" t="n">
        <v>0</v>
      </c>
      <c r="R322" s="2" t="inlineStr"/>
    </row>
    <row r="323" ht="15" customHeight="1">
      <c r="A323" t="inlineStr">
        <is>
          <t>A 48159-2021</t>
        </is>
      </c>
      <c r="B323" s="1" t="n">
        <v>44449.51302083334</v>
      </c>
      <c r="C323" s="1" t="n">
        <v>45969</v>
      </c>
      <c r="D323" t="inlineStr">
        <is>
          <t>VÄRMLANDS LÄN</t>
        </is>
      </c>
      <c r="E323" t="inlineStr">
        <is>
          <t>TORSBY</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29457-2021</t>
        </is>
      </c>
      <c r="B324" s="1" t="n">
        <v>44361</v>
      </c>
      <c r="C324" s="1" t="n">
        <v>45969</v>
      </c>
      <c r="D324" t="inlineStr">
        <is>
          <t>VÄRMLANDS LÄN</t>
        </is>
      </c>
      <c r="E324" t="inlineStr">
        <is>
          <t>TORSBY</t>
        </is>
      </c>
      <c r="G324" t="n">
        <v>7.6</v>
      </c>
      <c r="H324" t="n">
        <v>0</v>
      </c>
      <c r="I324" t="n">
        <v>0</v>
      </c>
      <c r="J324" t="n">
        <v>0</v>
      </c>
      <c r="K324" t="n">
        <v>0</v>
      </c>
      <c r="L324" t="n">
        <v>0</v>
      </c>
      <c r="M324" t="n">
        <v>0</v>
      </c>
      <c r="N324" t="n">
        <v>0</v>
      </c>
      <c r="O324" t="n">
        <v>0</v>
      </c>
      <c r="P324" t="n">
        <v>0</v>
      </c>
      <c r="Q324" t="n">
        <v>0</v>
      </c>
      <c r="R324" s="2" t="inlineStr"/>
    </row>
    <row r="325" ht="15" customHeight="1">
      <c r="A325" t="inlineStr">
        <is>
          <t>A 41808-2021</t>
        </is>
      </c>
      <c r="B325" s="1" t="n">
        <v>44425</v>
      </c>
      <c r="C325" s="1" t="n">
        <v>45969</v>
      </c>
      <c r="D325" t="inlineStr">
        <is>
          <t>VÄRMLANDS LÄN</t>
        </is>
      </c>
      <c r="E325" t="inlineStr">
        <is>
          <t>TORSBY</t>
        </is>
      </c>
      <c r="G325" t="n">
        <v>2.7</v>
      </c>
      <c r="H325" t="n">
        <v>0</v>
      </c>
      <c r="I325" t="n">
        <v>0</v>
      </c>
      <c r="J325" t="n">
        <v>0</v>
      </c>
      <c r="K325" t="n">
        <v>0</v>
      </c>
      <c r="L325" t="n">
        <v>0</v>
      </c>
      <c r="M325" t="n">
        <v>0</v>
      </c>
      <c r="N325" t="n">
        <v>0</v>
      </c>
      <c r="O325" t="n">
        <v>0</v>
      </c>
      <c r="P325" t="n">
        <v>0</v>
      </c>
      <c r="Q325" t="n">
        <v>0</v>
      </c>
      <c r="R325" s="2" t="inlineStr"/>
    </row>
    <row r="326" ht="15" customHeight="1">
      <c r="A326" t="inlineStr">
        <is>
          <t>A 57287-2021</t>
        </is>
      </c>
      <c r="B326" s="1" t="n">
        <v>44482</v>
      </c>
      <c r="C326" s="1" t="n">
        <v>45969</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9775-2021</t>
        </is>
      </c>
      <c r="B327" s="1" t="n">
        <v>44252</v>
      </c>
      <c r="C327" s="1" t="n">
        <v>45969</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36589-2021</t>
        </is>
      </c>
      <c r="B328" s="1" t="n">
        <v>44391</v>
      </c>
      <c r="C328" s="1" t="n">
        <v>45969</v>
      </c>
      <c r="D328" t="inlineStr">
        <is>
          <t>VÄRMLANDS LÄN</t>
        </is>
      </c>
      <c r="E328" t="inlineStr">
        <is>
          <t>TORSBY</t>
        </is>
      </c>
      <c r="G328" t="n">
        <v>3.9</v>
      </c>
      <c r="H328" t="n">
        <v>0</v>
      </c>
      <c r="I328" t="n">
        <v>0</v>
      </c>
      <c r="J328" t="n">
        <v>0</v>
      </c>
      <c r="K328" t="n">
        <v>0</v>
      </c>
      <c r="L328" t="n">
        <v>0</v>
      </c>
      <c r="M328" t="n">
        <v>0</v>
      </c>
      <c r="N328" t="n">
        <v>0</v>
      </c>
      <c r="O328" t="n">
        <v>0</v>
      </c>
      <c r="P328" t="n">
        <v>0</v>
      </c>
      <c r="Q328" t="n">
        <v>0</v>
      </c>
      <c r="R328" s="2" t="inlineStr"/>
    </row>
    <row r="329" ht="15" customHeight="1">
      <c r="A329" t="inlineStr">
        <is>
          <t>A 67913-2021</t>
        </is>
      </c>
      <c r="B329" s="1" t="n">
        <v>44525.60017361111</v>
      </c>
      <c r="C329" s="1" t="n">
        <v>45969</v>
      </c>
      <c r="D329" t="inlineStr">
        <is>
          <t>VÄRMLANDS LÄN</t>
        </is>
      </c>
      <c r="E329" t="inlineStr">
        <is>
          <t>TORSBY</t>
        </is>
      </c>
      <c r="F329" t="inlineStr">
        <is>
          <t>Bergvik skog väst AB</t>
        </is>
      </c>
      <c r="G329" t="n">
        <v>8</v>
      </c>
      <c r="H329" t="n">
        <v>0</v>
      </c>
      <c r="I329" t="n">
        <v>0</v>
      </c>
      <c r="J329" t="n">
        <v>0</v>
      </c>
      <c r="K329" t="n">
        <v>0</v>
      </c>
      <c r="L329" t="n">
        <v>0</v>
      </c>
      <c r="M329" t="n">
        <v>0</v>
      </c>
      <c r="N329" t="n">
        <v>0</v>
      </c>
      <c r="O329" t="n">
        <v>0</v>
      </c>
      <c r="P329" t="n">
        <v>0</v>
      </c>
      <c r="Q329" t="n">
        <v>0</v>
      </c>
      <c r="R329" s="2" t="inlineStr"/>
    </row>
    <row r="330" ht="15" customHeight="1">
      <c r="A330" t="inlineStr">
        <is>
          <t>A 39217-2022</t>
        </is>
      </c>
      <c r="B330" s="1" t="n">
        <v>44817.57174768519</v>
      </c>
      <c r="C330" s="1" t="n">
        <v>45969</v>
      </c>
      <c r="D330" t="inlineStr">
        <is>
          <t>VÄRMLANDS LÄN</t>
        </is>
      </c>
      <c r="E330" t="inlineStr">
        <is>
          <t>TORSBY</t>
        </is>
      </c>
      <c r="G330" t="n">
        <v>4.6</v>
      </c>
      <c r="H330" t="n">
        <v>0</v>
      </c>
      <c r="I330" t="n">
        <v>0</v>
      </c>
      <c r="J330" t="n">
        <v>0</v>
      </c>
      <c r="K330" t="n">
        <v>0</v>
      </c>
      <c r="L330" t="n">
        <v>0</v>
      </c>
      <c r="M330" t="n">
        <v>0</v>
      </c>
      <c r="N330" t="n">
        <v>0</v>
      </c>
      <c r="O330" t="n">
        <v>0</v>
      </c>
      <c r="P330" t="n">
        <v>0</v>
      </c>
      <c r="Q330" t="n">
        <v>0</v>
      </c>
      <c r="R330" s="2" t="inlineStr"/>
    </row>
    <row r="331" ht="15" customHeight="1">
      <c r="A331" t="inlineStr">
        <is>
          <t>A 39221-2022</t>
        </is>
      </c>
      <c r="B331" s="1" t="n">
        <v>44817.57484953704</v>
      </c>
      <c r="C331" s="1" t="n">
        <v>45969</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64434-2020</t>
        </is>
      </c>
      <c r="B332" s="1" t="n">
        <v>44168</v>
      </c>
      <c r="C332" s="1" t="n">
        <v>45969</v>
      </c>
      <c r="D332" t="inlineStr">
        <is>
          <t>VÄRMLANDS LÄN</t>
        </is>
      </c>
      <c r="E332" t="inlineStr">
        <is>
          <t>TORSBY</t>
        </is>
      </c>
      <c r="G332" t="n">
        <v>7.7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45969</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63251-2021</t>
        </is>
      </c>
      <c r="B334" s="1" t="n">
        <v>44508.37935185185</v>
      </c>
      <c r="C334" s="1" t="n">
        <v>45969</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51490-2022</t>
        </is>
      </c>
      <c r="B335" s="1" t="n">
        <v>44869.59972222222</v>
      </c>
      <c r="C335" s="1" t="n">
        <v>45969</v>
      </c>
      <c r="D335" t="inlineStr">
        <is>
          <t>VÄRMLANDS LÄN</t>
        </is>
      </c>
      <c r="E335" t="inlineStr">
        <is>
          <t>TORSBY</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45969</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65369-2020</t>
        </is>
      </c>
      <c r="B337" s="1" t="n">
        <v>44169</v>
      </c>
      <c r="C337" s="1" t="n">
        <v>45969</v>
      </c>
      <c r="D337" t="inlineStr">
        <is>
          <t>VÄRMLANDS LÄN</t>
        </is>
      </c>
      <c r="E337" t="inlineStr">
        <is>
          <t>TORSBY</t>
        </is>
      </c>
      <c r="G337" t="n">
        <v>32.5</v>
      </c>
      <c r="H337" t="n">
        <v>0</v>
      </c>
      <c r="I337" t="n">
        <v>0</v>
      </c>
      <c r="J337" t="n">
        <v>0</v>
      </c>
      <c r="K337" t="n">
        <v>0</v>
      </c>
      <c r="L337" t="n">
        <v>0</v>
      </c>
      <c r="M337" t="n">
        <v>0</v>
      </c>
      <c r="N337" t="n">
        <v>0</v>
      </c>
      <c r="O337" t="n">
        <v>0</v>
      </c>
      <c r="P337" t="n">
        <v>0</v>
      </c>
      <c r="Q337" t="n">
        <v>0</v>
      </c>
      <c r="R337" s="2" t="inlineStr"/>
    </row>
    <row r="338" ht="15" customHeight="1">
      <c r="A338" t="inlineStr">
        <is>
          <t>A 52900-2021</t>
        </is>
      </c>
      <c r="B338" s="1" t="n">
        <v>44467</v>
      </c>
      <c r="C338" s="1" t="n">
        <v>45969</v>
      </c>
      <c r="D338" t="inlineStr">
        <is>
          <t>VÄRMLANDS LÄN</t>
        </is>
      </c>
      <c r="E338" t="inlineStr">
        <is>
          <t>TORSBY</t>
        </is>
      </c>
      <c r="G338" t="n">
        <v>3.8</v>
      </c>
      <c r="H338" t="n">
        <v>0</v>
      </c>
      <c r="I338" t="n">
        <v>0</v>
      </c>
      <c r="J338" t="n">
        <v>0</v>
      </c>
      <c r="K338" t="n">
        <v>0</v>
      </c>
      <c r="L338" t="n">
        <v>0</v>
      </c>
      <c r="M338" t="n">
        <v>0</v>
      </c>
      <c r="N338" t="n">
        <v>0</v>
      </c>
      <c r="O338" t="n">
        <v>0</v>
      </c>
      <c r="P338" t="n">
        <v>0</v>
      </c>
      <c r="Q338" t="n">
        <v>0</v>
      </c>
      <c r="R338" s="2" t="inlineStr"/>
    </row>
    <row r="339" ht="15" customHeight="1">
      <c r="A339" t="inlineStr">
        <is>
          <t>A 8910-2021</t>
        </is>
      </c>
      <c r="B339" s="1" t="n">
        <v>44246</v>
      </c>
      <c r="C339" s="1" t="n">
        <v>45969</v>
      </c>
      <c r="D339" t="inlineStr">
        <is>
          <t>VÄRMLANDS LÄN</t>
        </is>
      </c>
      <c r="E339" t="inlineStr">
        <is>
          <t>TORSBY</t>
        </is>
      </c>
      <c r="G339" t="n">
        <v>3.7</v>
      </c>
      <c r="H339" t="n">
        <v>0</v>
      </c>
      <c r="I339" t="n">
        <v>0</v>
      </c>
      <c r="J339" t="n">
        <v>0</v>
      </c>
      <c r="K339" t="n">
        <v>0</v>
      </c>
      <c r="L339" t="n">
        <v>0</v>
      </c>
      <c r="M339" t="n">
        <v>0</v>
      </c>
      <c r="N339" t="n">
        <v>0</v>
      </c>
      <c r="O339" t="n">
        <v>0</v>
      </c>
      <c r="P339" t="n">
        <v>0</v>
      </c>
      <c r="Q339" t="n">
        <v>0</v>
      </c>
      <c r="R339" s="2" t="inlineStr"/>
    </row>
    <row r="340" ht="15" customHeight="1">
      <c r="A340" t="inlineStr">
        <is>
          <t>A 44517-2022</t>
        </is>
      </c>
      <c r="B340" s="1" t="n">
        <v>44840.43184027778</v>
      </c>
      <c r="C340" s="1" t="n">
        <v>45969</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45969</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29509-2022</t>
        </is>
      </c>
      <c r="B342" s="1" t="n">
        <v>44753</v>
      </c>
      <c r="C342" s="1" t="n">
        <v>45969</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20907-2022</t>
        </is>
      </c>
      <c r="B343" s="1" t="n">
        <v>44701.60076388889</v>
      </c>
      <c r="C343" s="1" t="n">
        <v>45969</v>
      </c>
      <c r="D343" t="inlineStr">
        <is>
          <t>VÄRMLANDS LÄN</t>
        </is>
      </c>
      <c r="E343" t="inlineStr">
        <is>
          <t>TORSBY</t>
        </is>
      </c>
      <c r="G343" t="n">
        <v>2.3</v>
      </c>
      <c r="H343" t="n">
        <v>0</v>
      </c>
      <c r="I343" t="n">
        <v>0</v>
      </c>
      <c r="J343" t="n">
        <v>0</v>
      </c>
      <c r="K343" t="n">
        <v>0</v>
      </c>
      <c r="L343" t="n">
        <v>0</v>
      </c>
      <c r="M343" t="n">
        <v>0</v>
      </c>
      <c r="N343" t="n">
        <v>0</v>
      </c>
      <c r="O343" t="n">
        <v>0</v>
      </c>
      <c r="P343" t="n">
        <v>0</v>
      </c>
      <c r="Q343" t="n">
        <v>0</v>
      </c>
      <c r="R343" s="2" t="inlineStr"/>
    </row>
    <row r="344" ht="15" customHeight="1">
      <c r="A344" t="inlineStr">
        <is>
          <t>A 73165-2021</t>
        </is>
      </c>
      <c r="B344" s="1" t="n">
        <v>44550</v>
      </c>
      <c r="C344" s="1" t="n">
        <v>45969</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5050-2021</t>
        </is>
      </c>
      <c r="B345" s="1" t="n">
        <v>44228.5018287037</v>
      </c>
      <c r="C345" s="1" t="n">
        <v>45969</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45969</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45969</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8428-2025</t>
        </is>
      </c>
      <c r="B348" s="1" t="n">
        <v>45709.41995370371</v>
      </c>
      <c r="C348" s="1" t="n">
        <v>45969</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997-2022</t>
        </is>
      </c>
      <c r="B349" s="1" t="n">
        <v>44571</v>
      </c>
      <c r="C349" s="1" t="n">
        <v>45969</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60167-2020</t>
        </is>
      </c>
      <c r="B350" s="1" t="n">
        <v>44152</v>
      </c>
      <c r="C350" s="1" t="n">
        <v>45969</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58078-2020</t>
        </is>
      </c>
      <c r="B351" s="1" t="n">
        <v>44144</v>
      </c>
      <c r="C351" s="1" t="n">
        <v>45969</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27292-2024</t>
        </is>
      </c>
      <c r="B352" s="1" t="n">
        <v>45471.93378472222</v>
      </c>
      <c r="C352" s="1" t="n">
        <v>45969</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61998-2020</t>
        </is>
      </c>
      <c r="B353" s="1" t="n">
        <v>44158</v>
      </c>
      <c r="C353" s="1" t="n">
        <v>45969</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26558-2021</t>
        </is>
      </c>
      <c r="B354" s="1" t="n">
        <v>44348</v>
      </c>
      <c r="C354" s="1" t="n">
        <v>45969</v>
      </c>
      <c r="D354" t="inlineStr">
        <is>
          <t>VÄRMLANDS LÄN</t>
        </is>
      </c>
      <c r="E354" t="inlineStr">
        <is>
          <t>TORSBY</t>
        </is>
      </c>
      <c r="G354" t="n">
        <v>19.7</v>
      </c>
      <c r="H354" t="n">
        <v>0</v>
      </c>
      <c r="I354" t="n">
        <v>0</v>
      </c>
      <c r="J354" t="n">
        <v>0</v>
      </c>
      <c r="K354" t="n">
        <v>0</v>
      </c>
      <c r="L354" t="n">
        <v>0</v>
      </c>
      <c r="M354" t="n">
        <v>0</v>
      </c>
      <c r="N354" t="n">
        <v>0</v>
      </c>
      <c r="O354" t="n">
        <v>0</v>
      </c>
      <c r="P354" t="n">
        <v>0</v>
      </c>
      <c r="Q354" t="n">
        <v>0</v>
      </c>
      <c r="R354" s="2" t="inlineStr"/>
    </row>
    <row r="355" ht="15" customHeight="1">
      <c r="A355" t="inlineStr">
        <is>
          <t>A 24960-2022</t>
        </is>
      </c>
      <c r="B355" s="1" t="n">
        <v>44728</v>
      </c>
      <c r="C355" s="1" t="n">
        <v>45969</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7221-2024</t>
        </is>
      </c>
      <c r="B356" s="1" t="n">
        <v>45344.63927083334</v>
      </c>
      <c r="C356" s="1" t="n">
        <v>45969</v>
      </c>
      <c r="D356" t="inlineStr">
        <is>
          <t>VÄRMLANDS LÄN</t>
        </is>
      </c>
      <c r="E356" t="inlineStr">
        <is>
          <t>TORSBY</t>
        </is>
      </c>
      <c r="G356" t="n">
        <v>8.1</v>
      </c>
      <c r="H356" t="n">
        <v>0</v>
      </c>
      <c r="I356" t="n">
        <v>0</v>
      </c>
      <c r="J356" t="n">
        <v>0</v>
      </c>
      <c r="K356" t="n">
        <v>0</v>
      </c>
      <c r="L356" t="n">
        <v>0</v>
      </c>
      <c r="M356" t="n">
        <v>0</v>
      </c>
      <c r="N356" t="n">
        <v>0</v>
      </c>
      <c r="O356" t="n">
        <v>0</v>
      </c>
      <c r="P356" t="n">
        <v>0</v>
      </c>
      <c r="Q356" t="n">
        <v>0</v>
      </c>
      <c r="R356" s="2" t="inlineStr"/>
    </row>
    <row r="357" ht="15" customHeight="1">
      <c r="A357" t="inlineStr">
        <is>
          <t>A 35221-2021</t>
        </is>
      </c>
      <c r="B357" s="1" t="n">
        <v>44384</v>
      </c>
      <c r="C357" s="1" t="n">
        <v>45969</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3269-2025</t>
        </is>
      </c>
      <c r="B358" s="1" t="n">
        <v>45679.58148148148</v>
      </c>
      <c r="C358" s="1" t="n">
        <v>45969</v>
      </c>
      <c r="D358" t="inlineStr">
        <is>
          <t>VÄRMLANDS LÄN</t>
        </is>
      </c>
      <c r="E358" t="inlineStr">
        <is>
          <t>TORSBY</t>
        </is>
      </c>
      <c r="G358" t="n">
        <v>6.9</v>
      </c>
      <c r="H358" t="n">
        <v>0</v>
      </c>
      <c r="I358" t="n">
        <v>0</v>
      </c>
      <c r="J358" t="n">
        <v>0</v>
      </c>
      <c r="K358" t="n">
        <v>0</v>
      </c>
      <c r="L358" t="n">
        <v>0</v>
      </c>
      <c r="M358" t="n">
        <v>0</v>
      </c>
      <c r="N358" t="n">
        <v>0</v>
      </c>
      <c r="O358" t="n">
        <v>0</v>
      </c>
      <c r="P358" t="n">
        <v>0</v>
      </c>
      <c r="Q358" t="n">
        <v>0</v>
      </c>
      <c r="R358" s="2" t="inlineStr"/>
    </row>
    <row r="359" ht="15" customHeight="1">
      <c r="A359" t="inlineStr">
        <is>
          <t>A 44710-2023</t>
        </is>
      </c>
      <c r="B359" s="1" t="n">
        <v>45190</v>
      </c>
      <c r="C359" s="1" t="n">
        <v>45969</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45969</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69281-2021</t>
        </is>
      </c>
      <c r="B361" s="1" t="n">
        <v>44526</v>
      </c>
      <c r="C361" s="1" t="n">
        <v>45969</v>
      </c>
      <c r="D361" t="inlineStr">
        <is>
          <t>VÄRMLANDS LÄN</t>
        </is>
      </c>
      <c r="E361" t="inlineStr">
        <is>
          <t>TORSBY</t>
        </is>
      </c>
      <c r="G361" t="n">
        <v>7.5</v>
      </c>
      <c r="H361" t="n">
        <v>0</v>
      </c>
      <c r="I361" t="n">
        <v>0</v>
      </c>
      <c r="J361" t="n">
        <v>0</v>
      </c>
      <c r="K361" t="n">
        <v>0</v>
      </c>
      <c r="L361" t="n">
        <v>0</v>
      </c>
      <c r="M361" t="n">
        <v>0</v>
      </c>
      <c r="N361" t="n">
        <v>0</v>
      </c>
      <c r="O361" t="n">
        <v>0</v>
      </c>
      <c r="P361" t="n">
        <v>0</v>
      </c>
      <c r="Q361" t="n">
        <v>0</v>
      </c>
      <c r="R361" s="2" t="inlineStr"/>
    </row>
    <row r="362" ht="15" customHeight="1">
      <c r="A362" t="inlineStr">
        <is>
          <t>A 39781-2022</t>
        </is>
      </c>
      <c r="B362" s="1" t="n">
        <v>44819</v>
      </c>
      <c r="C362" s="1" t="n">
        <v>45969</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9942-2025</t>
        </is>
      </c>
      <c r="B363" s="1" t="n">
        <v>45719</v>
      </c>
      <c r="C363" s="1" t="n">
        <v>45969</v>
      </c>
      <c r="D363" t="inlineStr">
        <is>
          <t>VÄRMLANDS LÄN</t>
        </is>
      </c>
      <c r="E363" t="inlineStr">
        <is>
          <t>TORSBY</t>
        </is>
      </c>
      <c r="G363" t="n">
        <v>2.6</v>
      </c>
      <c r="H363" t="n">
        <v>0</v>
      </c>
      <c r="I363" t="n">
        <v>0</v>
      </c>
      <c r="J363" t="n">
        <v>0</v>
      </c>
      <c r="K363" t="n">
        <v>0</v>
      </c>
      <c r="L363" t="n">
        <v>0</v>
      </c>
      <c r="M363" t="n">
        <v>0</v>
      </c>
      <c r="N363" t="n">
        <v>0</v>
      </c>
      <c r="O363" t="n">
        <v>0</v>
      </c>
      <c r="P363" t="n">
        <v>0</v>
      </c>
      <c r="Q363" t="n">
        <v>0</v>
      </c>
      <c r="R363" s="2" t="inlineStr"/>
    </row>
    <row r="364" ht="15" customHeight="1">
      <c r="A364" t="inlineStr">
        <is>
          <t>A 37608-2021</t>
        </is>
      </c>
      <c r="B364" s="1" t="n">
        <v>44399</v>
      </c>
      <c r="C364" s="1" t="n">
        <v>45969</v>
      </c>
      <c r="D364" t="inlineStr">
        <is>
          <t>VÄRMLANDS LÄN</t>
        </is>
      </c>
      <c r="E364" t="inlineStr">
        <is>
          <t>TORSBY</t>
        </is>
      </c>
      <c r="G364" t="n">
        <v>1.7</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45969</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42646-2021</t>
        </is>
      </c>
      <c r="B366" s="1" t="n">
        <v>44428.45663194444</v>
      </c>
      <c r="C366" s="1" t="n">
        <v>45969</v>
      </c>
      <c r="D366" t="inlineStr">
        <is>
          <t>VÄRMLANDS LÄN</t>
        </is>
      </c>
      <c r="E366" t="inlineStr">
        <is>
          <t>TORSBY</t>
        </is>
      </c>
      <c r="F366" t="inlineStr">
        <is>
          <t>Bergvik skog väst AB</t>
        </is>
      </c>
      <c r="G366" t="n">
        <v>21.4</v>
      </c>
      <c r="H366" t="n">
        <v>0</v>
      </c>
      <c r="I366" t="n">
        <v>0</v>
      </c>
      <c r="J366" t="n">
        <v>0</v>
      </c>
      <c r="K366" t="n">
        <v>0</v>
      </c>
      <c r="L366" t="n">
        <v>0</v>
      </c>
      <c r="M366" t="n">
        <v>0</v>
      </c>
      <c r="N366" t="n">
        <v>0</v>
      </c>
      <c r="O366" t="n">
        <v>0</v>
      </c>
      <c r="P366" t="n">
        <v>0</v>
      </c>
      <c r="Q366" t="n">
        <v>0</v>
      </c>
      <c r="R366" s="2" t="inlineStr"/>
    </row>
    <row r="367" ht="15" customHeight="1">
      <c r="A367" t="inlineStr">
        <is>
          <t>A 29720-2022</t>
        </is>
      </c>
      <c r="B367" s="1" t="n">
        <v>44755</v>
      </c>
      <c r="C367" s="1" t="n">
        <v>45969</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27686-2022</t>
        </is>
      </c>
      <c r="B368" s="1" t="n">
        <v>44743.43273148148</v>
      </c>
      <c r="C368" s="1" t="n">
        <v>45969</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67734-2020</t>
        </is>
      </c>
      <c r="B369" s="1" t="n">
        <v>44182</v>
      </c>
      <c r="C369" s="1" t="n">
        <v>45969</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7898-2021</t>
        </is>
      </c>
      <c r="B370" s="1" t="n">
        <v>44243</v>
      </c>
      <c r="C370" s="1" t="n">
        <v>45969</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70775-2021</t>
        </is>
      </c>
      <c r="B371" s="1" t="n">
        <v>44537</v>
      </c>
      <c r="C371" s="1" t="n">
        <v>45969</v>
      </c>
      <c r="D371" t="inlineStr">
        <is>
          <t>VÄRMLANDS LÄN</t>
        </is>
      </c>
      <c r="E371" t="inlineStr">
        <is>
          <t>TORSBY</t>
        </is>
      </c>
      <c r="G371" t="n">
        <v>0.3</v>
      </c>
      <c r="H371" t="n">
        <v>0</v>
      </c>
      <c r="I371" t="n">
        <v>0</v>
      </c>
      <c r="J371" t="n">
        <v>0</v>
      </c>
      <c r="K371" t="n">
        <v>0</v>
      </c>
      <c r="L371" t="n">
        <v>0</v>
      </c>
      <c r="M371" t="n">
        <v>0</v>
      </c>
      <c r="N371" t="n">
        <v>0</v>
      </c>
      <c r="O371" t="n">
        <v>0</v>
      </c>
      <c r="P371" t="n">
        <v>0</v>
      </c>
      <c r="Q371" t="n">
        <v>0</v>
      </c>
      <c r="R371" s="2" t="inlineStr"/>
    </row>
    <row r="372" ht="15" customHeight="1">
      <c r="A372" t="inlineStr">
        <is>
          <t>A 35909-2021</t>
        </is>
      </c>
      <c r="B372" s="1" t="n">
        <v>44387</v>
      </c>
      <c r="C372" s="1" t="n">
        <v>45969</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44327-2022</t>
        </is>
      </c>
      <c r="B373" s="1" t="n">
        <v>44839</v>
      </c>
      <c r="C373" s="1" t="n">
        <v>45969</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48712-2022</t>
        </is>
      </c>
      <c r="B374" s="1" t="n">
        <v>44859.49574074074</v>
      </c>
      <c r="C374" s="1" t="n">
        <v>45969</v>
      </c>
      <c r="D374" t="inlineStr">
        <is>
          <t>VÄRMLANDS LÄN</t>
        </is>
      </c>
      <c r="E374" t="inlineStr">
        <is>
          <t>TORSBY</t>
        </is>
      </c>
      <c r="F374" t="inlineStr">
        <is>
          <t>Bergvik skog väst AB</t>
        </is>
      </c>
      <c r="G374" t="n">
        <v>22.7</v>
      </c>
      <c r="H374" t="n">
        <v>0</v>
      </c>
      <c r="I374" t="n">
        <v>0</v>
      </c>
      <c r="J374" t="n">
        <v>0</v>
      </c>
      <c r="K374" t="n">
        <v>0</v>
      </c>
      <c r="L374" t="n">
        <v>0</v>
      </c>
      <c r="M374" t="n">
        <v>0</v>
      </c>
      <c r="N374" t="n">
        <v>0</v>
      </c>
      <c r="O374" t="n">
        <v>0</v>
      </c>
      <c r="P374" t="n">
        <v>0</v>
      </c>
      <c r="Q374" t="n">
        <v>0</v>
      </c>
      <c r="R374" s="2" t="inlineStr"/>
    </row>
    <row r="375" ht="15" customHeight="1">
      <c r="A375" t="inlineStr">
        <is>
          <t>A 34434-2022</t>
        </is>
      </c>
      <c r="B375" s="1" t="n">
        <v>44792</v>
      </c>
      <c r="C375" s="1" t="n">
        <v>45969</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35606-2022</t>
        </is>
      </c>
      <c r="B376" s="1" t="n">
        <v>44799</v>
      </c>
      <c r="C376" s="1" t="n">
        <v>45969</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40221-2022</t>
        </is>
      </c>
      <c r="B377" s="1" t="n">
        <v>44820.6512037037</v>
      </c>
      <c r="C377" s="1" t="n">
        <v>45969</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43536-2023</t>
        </is>
      </c>
      <c r="B378" s="1" t="n">
        <v>45181</v>
      </c>
      <c r="C378" s="1" t="n">
        <v>45969</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63158-2023</t>
        </is>
      </c>
      <c r="B379" s="1" t="n">
        <v>45273.51715277778</v>
      </c>
      <c r="C379" s="1" t="n">
        <v>45969</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62507-2023</t>
        </is>
      </c>
      <c r="B380" s="1" t="n">
        <v>45267</v>
      </c>
      <c r="C380" s="1" t="n">
        <v>45969</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67147-2021</t>
        </is>
      </c>
      <c r="B381" s="1" t="n">
        <v>44523</v>
      </c>
      <c r="C381" s="1" t="n">
        <v>45969</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34694-2021</t>
        </is>
      </c>
      <c r="B382" s="1" t="n">
        <v>44382.61398148148</v>
      </c>
      <c r="C382" s="1" t="n">
        <v>45969</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47083-2021</t>
        </is>
      </c>
      <c r="B383" s="1" t="n">
        <v>44446.66114583334</v>
      </c>
      <c r="C383" s="1" t="n">
        <v>45969</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47098-2021</t>
        </is>
      </c>
      <c r="B384" s="1" t="n">
        <v>44446.67429398148</v>
      </c>
      <c r="C384" s="1" t="n">
        <v>45969</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33182-2021</t>
        </is>
      </c>
      <c r="B385" s="1" t="n">
        <v>44376</v>
      </c>
      <c r="C385" s="1" t="n">
        <v>45969</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41065-2022</t>
        </is>
      </c>
      <c r="B386" s="1" t="n">
        <v>44825.59258101852</v>
      </c>
      <c r="C386" s="1" t="n">
        <v>45969</v>
      </c>
      <c r="D386" t="inlineStr">
        <is>
          <t>VÄRMLANDS LÄN</t>
        </is>
      </c>
      <c r="E386" t="inlineStr">
        <is>
          <t>TORSBY</t>
        </is>
      </c>
      <c r="F386" t="inlineStr">
        <is>
          <t>Kommuner</t>
        </is>
      </c>
      <c r="G386" t="n">
        <v>1.8</v>
      </c>
      <c r="H386" t="n">
        <v>0</v>
      </c>
      <c r="I386" t="n">
        <v>0</v>
      </c>
      <c r="J386" t="n">
        <v>0</v>
      </c>
      <c r="K386" t="n">
        <v>0</v>
      </c>
      <c r="L386" t="n">
        <v>0</v>
      </c>
      <c r="M386" t="n">
        <v>0</v>
      </c>
      <c r="N386" t="n">
        <v>0</v>
      </c>
      <c r="O386" t="n">
        <v>0</v>
      </c>
      <c r="P386" t="n">
        <v>0</v>
      </c>
      <c r="Q386" t="n">
        <v>0</v>
      </c>
      <c r="R386" s="2" t="inlineStr"/>
    </row>
    <row r="387" ht="15" customHeight="1">
      <c r="A387" t="inlineStr">
        <is>
          <t>A 7543-2022</t>
        </is>
      </c>
      <c r="B387" s="1" t="n">
        <v>44607</v>
      </c>
      <c r="C387" s="1" t="n">
        <v>45969</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29495-2021</t>
        </is>
      </c>
      <c r="B388" s="1" t="n">
        <v>44361</v>
      </c>
      <c r="C388" s="1" t="n">
        <v>45969</v>
      </c>
      <c r="D388" t="inlineStr">
        <is>
          <t>VÄRMLANDS LÄN</t>
        </is>
      </c>
      <c r="E388" t="inlineStr">
        <is>
          <t>TORSBY</t>
        </is>
      </c>
      <c r="F388" t="inlineStr">
        <is>
          <t>Övriga Aktiebolag</t>
        </is>
      </c>
      <c r="G388" t="n">
        <v>38.2</v>
      </c>
      <c r="H388" t="n">
        <v>0</v>
      </c>
      <c r="I388" t="n">
        <v>0</v>
      </c>
      <c r="J388" t="n">
        <v>0</v>
      </c>
      <c r="K388" t="n">
        <v>0</v>
      </c>
      <c r="L388" t="n">
        <v>0</v>
      </c>
      <c r="M388" t="n">
        <v>0</v>
      </c>
      <c r="N388" t="n">
        <v>0</v>
      </c>
      <c r="O388" t="n">
        <v>0</v>
      </c>
      <c r="P388" t="n">
        <v>0</v>
      </c>
      <c r="Q388" t="n">
        <v>0</v>
      </c>
      <c r="R388" s="2" t="inlineStr"/>
    </row>
    <row r="389" ht="15" customHeight="1">
      <c r="A389" t="inlineStr">
        <is>
          <t>A 62039-2021</t>
        </is>
      </c>
      <c r="B389" s="1" t="n">
        <v>44502</v>
      </c>
      <c r="C389" s="1" t="n">
        <v>45969</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29142-2022</t>
        </is>
      </c>
      <c r="B390" s="1" t="n">
        <v>44750</v>
      </c>
      <c r="C390" s="1" t="n">
        <v>45969</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43169-2021</t>
        </is>
      </c>
      <c r="B391" s="1" t="n">
        <v>44431</v>
      </c>
      <c r="C391" s="1" t="n">
        <v>45969</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4960-2022</t>
        </is>
      </c>
      <c r="B392" s="1" t="n">
        <v>44593</v>
      </c>
      <c r="C392" s="1" t="n">
        <v>45969</v>
      </c>
      <c r="D392" t="inlineStr">
        <is>
          <t>VÄRMLANDS LÄN</t>
        </is>
      </c>
      <c r="E392" t="inlineStr">
        <is>
          <t>TORSBY</t>
        </is>
      </c>
      <c r="G392" t="n">
        <v>4.8</v>
      </c>
      <c r="H392" t="n">
        <v>0</v>
      </c>
      <c r="I392" t="n">
        <v>0</v>
      </c>
      <c r="J392" t="n">
        <v>0</v>
      </c>
      <c r="K392" t="n">
        <v>0</v>
      </c>
      <c r="L392" t="n">
        <v>0</v>
      </c>
      <c r="M392" t="n">
        <v>0</v>
      </c>
      <c r="N392" t="n">
        <v>0</v>
      </c>
      <c r="O392" t="n">
        <v>0</v>
      </c>
      <c r="P392" t="n">
        <v>0</v>
      </c>
      <c r="Q392" t="n">
        <v>0</v>
      </c>
      <c r="R392" s="2" t="inlineStr"/>
    </row>
    <row r="393" ht="15" customHeight="1">
      <c r="A393" t="inlineStr">
        <is>
          <t>A 13586-2023</t>
        </is>
      </c>
      <c r="B393" s="1" t="n">
        <v>45006</v>
      </c>
      <c r="C393" s="1" t="n">
        <v>45969</v>
      </c>
      <c r="D393" t="inlineStr">
        <is>
          <t>VÄRMLANDS LÄN</t>
        </is>
      </c>
      <c r="E393" t="inlineStr">
        <is>
          <t>TORSBY</t>
        </is>
      </c>
      <c r="F393" t="inlineStr">
        <is>
          <t>Kommuner</t>
        </is>
      </c>
      <c r="G393" t="n">
        <v>0.7</v>
      </c>
      <c r="H393" t="n">
        <v>0</v>
      </c>
      <c r="I393" t="n">
        <v>0</v>
      </c>
      <c r="J393" t="n">
        <v>0</v>
      </c>
      <c r="K393" t="n">
        <v>0</v>
      </c>
      <c r="L393" t="n">
        <v>0</v>
      </c>
      <c r="M393" t="n">
        <v>0</v>
      </c>
      <c r="N393" t="n">
        <v>0</v>
      </c>
      <c r="O393" t="n">
        <v>0</v>
      </c>
      <c r="P393" t="n">
        <v>0</v>
      </c>
      <c r="Q393" t="n">
        <v>0</v>
      </c>
      <c r="R393" s="2" t="inlineStr"/>
    </row>
    <row r="394" ht="15" customHeight="1">
      <c r="A394" t="inlineStr">
        <is>
          <t>A 13698-2022</t>
        </is>
      </c>
      <c r="B394" s="1" t="n">
        <v>44648</v>
      </c>
      <c r="C394" s="1" t="n">
        <v>45969</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71084-2021</t>
        </is>
      </c>
      <c r="B395" s="1" t="n">
        <v>44538.96543981481</v>
      </c>
      <c r="C395" s="1" t="n">
        <v>45969</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60428-2021</t>
        </is>
      </c>
      <c r="B396" s="1" t="n">
        <v>44496.42145833333</v>
      </c>
      <c r="C396" s="1" t="n">
        <v>45969</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62250-2023</t>
        </is>
      </c>
      <c r="B397" s="1" t="n">
        <v>45266</v>
      </c>
      <c r="C397" s="1" t="n">
        <v>45969</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14145-2022</t>
        </is>
      </c>
      <c r="B398" s="1" t="n">
        <v>44651</v>
      </c>
      <c r="C398" s="1" t="n">
        <v>45969</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32340-2024</t>
        </is>
      </c>
      <c r="B399" s="1" t="n">
        <v>45512.50826388889</v>
      </c>
      <c r="C399" s="1" t="n">
        <v>45969</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45969</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73442-2021</t>
        </is>
      </c>
      <c r="B401" s="1" t="n">
        <v>44551.55063657407</v>
      </c>
      <c r="C401" s="1" t="n">
        <v>45969</v>
      </c>
      <c r="D401" t="inlineStr">
        <is>
          <t>VÄRMLANDS LÄN</t>
        </is>
      </c>
      <c r="E401" t="inlineStr">
        <is>
          <t>TORSBY</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23011-2022</t>
        </is>
      </c>
      <c r="B402" s="1" t="n">
        <v>44719.35471064815</v>
      </c>
      <c r="C402" s="1" t="n">
        <v>45969</v>
      </c>
      <c r="D402" t="inlineStr">
        <is>
          <t>VÄRMLANDS LÄN</t>
        </is>
      </c>
      <c r="E402" t="inlineStr">
        <is>
          <t>TORSBY</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33620-2024</t>
        </is>
      </c>
      <c r="B403" s="1" t="n">
        <v>45520.41530092592</v>
      </c>
      <c r="C403" s="1" t="n">
        <v>45969</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23823-2022</t>
        </is>
      </c>
      <c r="B404" s="1" t="n">
        <v>44722</v>
      </c>
      <c r="C404" s="1" t="n">
        <v>45969</v>
      </c>
      <c r="D404" t="inlineStr">
        <is>
          <t>VÄRMLANDS LÄN</t>
        </is>
      </c>
      <c r="E404" t="inlineStr">
        <is>
          <t>TORSBY</t>
        </is>
      </c>
      <c r="G404" t="n">
        <v>2.4</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45969</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36527-2022</t>
        </is>
      </c>
      <c r="B406" s="1" t="n">
        <v>44804</v>
      </c>
      <c r="C406" s="1" t="n">
        <v>45969</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36572-2022</t>
        </is>
      </c>
      <c r="B407" s="1" t="n">
        <v>44804.60271990741</v>
      </c>
      <c r="C407" s="1" t="n">
        <v>45969</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22030-2023</t>
        </is>
      </c>
      <c r="B408" s="1" t="n">
        <v>45069</v>
      </c>
      <c r="C408" s="1" t="n">
        <v>45969</v>
      </c>
      <c r="D408" t="inlineStr">
        <is>
          <t>VÄRMLANDS LÄN</t>
        </is>
      </c>
      <c r="E408" t="inlineStr">
        <is>
          <t>TORSBY</t>
        </is>
      </c>
      <c r="F408" t="inlineStr">
        <is>
          <t>Bergvik skog väst AB</t>
        </is>
      </c>
      <c r="G408" t="n">
        <v>3.5</v>
      </c>
      <c r="H408" t="n">
        <v>0</v>
      </c>
      <c r="I408" t="n">
        <v>0</v>
      </c>
      <c r="J408" t="n">
        <v>0</v>
      </c>
      <c r="K408" t="n">
        <v>0</v>
      </c>
      <c r="L408" t="n">
        <v>0</v>
      </c>
      <c r="M408" t="n">
        <v>0</v>
      </c>
      <c r="N408" t="n">
        <v>0</v>
      </c>
      <c r="O408" t="n">
        <v>0</v>
      </c>
      <c r="P408" t="n">
        <v>0</v>
      </c>
      <c r="Q408" t="n">
        <v>0</v>
      </c>
      <c r="R408" s="2" t="inlineStr"/>
    </row>
    <row r="409" ht="15" customHeight="1">
      <c r="A409" t="inlineStr">
        <is>
          <t>A 51199-2023</t>
        </is>
      </c>
      <c r="B409" s="1" t="n">
        <v>45219.42247685185</v>
      </c>
      <c r="C409" s="1" t="n">
        <v>45969</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45969</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40278-2021</t>
        </is>
      </c>
      <c r="B411" s="1" t="n">
        <v>44419</v>
      </c>
      <c r="C411" s="1" t="n">
        <v>45969</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54204-2023</t>
        </is>
      </c>
      <c r="B412" s="1" t="n">
        <v>45232.56141203704</v>
      </c>
      <c r="C412" s="1" t="n">
        <v>45969</v>
      </c>
      <c r="D412" t="inlineStr">
        <is>
          <t>VÄRMLANDS LÄN</t>
        </is>
      </c>
      <c r="E412" t="inlineStr">
        <is>
          <t>TORSBY</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55811-2021</t>
        </is>
      </c>
      <c r="B413" s="1" t="n">
        <v>44476</v>
      </c>
      <c r="C413" s="1" t="n">
        <v>45969</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25579-2023</t>
        </is>
      </c>
      <c r="B414" s="1" t="n">
        <v>45089.62266203704</v>
      </c>
      <c r="C414" s="1" t="n">
        <v>45969</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39770-2024</t>
        </is>
      </c>
      <c r="B415" s="1" t="n">
        <v>45552</v>
      </c>
      <c r="C415" s="1" t="n">
        <v>45969</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17548-2023</t>
        </is>
      </c>
      <c r="B416" s="1" t="n">
        <v>45036</v>
      </c>
      <c r="C416" s="1" t="n">
        <v>45969</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52532-2023</t>
        </is>
      </c>
      <c r="B417" s="1" t="n">
        <v>45225.54318287037</v>
      </c>
      <c r="C417" s="1" t="n">
        <v>45969</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46195-2023</t>
        </is>
      </c>
      <c r="B418" s="1" t="n">
        <v>45196</v>
      </c>
      <c r="C418" s="1" t="n">
        <v>45969</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69241-2020</t>
        </is>
      </c>
      <c r="B419" s="1" t="n">
        <v>44192.85814814815</v>
      </c>
      <c r="C419" s="1" t="n">
        <v>45969</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8447-2023</t>
        </is>
      </c>
      <c r="B420" s="1" t="n">
        <v>44977</v>
      </c>
      <c r="C420" s="1" t="n">
        <v>45969</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4236-2023</t>
        </is>
      </c>
      <c r="B421" s="1" t="n">
        <v>44953.48950231481</v>
      </c>
      <c r="C421" s="1" t="n">
        <v>45969</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4250-2023</t>
        </is>
      </c>
      <c r="B422" s="1" t="n">
        <v>44953.51747685186</v>
      </c>
      <c r="C422" s="1" t="n">
        <v>45969</v>
      </c>
      <c r="D422" t="inlineStr">
        <is>
          <t>VÄRMLANDS LÄN</t>
        </is>
      </c>
      <c r="E422" t="inlineStr">
        <is>
          <t>TORSBY</t>
        </is>
      </c>
      <c r="G422" t="n">
        <v>5.4</v>
      </c>
      <c r="H422" t="n">
        <v>0</v>
      </c>
      <c r="I422" t="n">
        <v>0</v>
      </c>
      <c r="J422" t="n">
        <v>0</v>
      </c>
      <c r="K422" t="n">
        <v>0</v>
      </c>
      <c r="L422" t="n">
        <v>0</v>
      </c>
      <c r="M422" t="n">
        <v>0</v>
      </c>
      <c r="N422" t="n">
        <v>0</v>
      </c>
      <c r="O422" t="n">
        <v>0</v>
      </c>
      <c r="P422" t="n">
        <v>0</v>
      </c>
      <c r="Q422" t="n">
        <v>0</v>
      </c>
      <c r="R422" s="2" t="inlineStr"/>
    </row>
    <row r="423" ht="15" customHeight="1">
      <c r="A423" t="inlineStr">
        <is>
          <t>A 7921-2022</t>
        </is>
      </c>
      <c r="B423" s="1" t="n">
        <v>44608</v>
      </c>
      <c r="C423" s="1" t="n">
        <v>45969</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46917-2024</t>
        </is>
      </c>
      <c r="B424" s="1" t="n">
        <v>45583</v>
      </c>
      <c r="C424" s="1" t="n">
        <v>45969</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7133-2023</t>
        </is>
      </c>
      <c r="B425" s="1" t="n">
        <v>44970.43622685185</v>
      </c>
      <c r="C425" s="1" t="n">
        <v>45969</v>
      </c>
      <c r="D425" t="inlineStr">
        <is>
          <t>VÄRMLANDS LÄN</t>
        </is>
      </c>
      <c r="E425" t="inlineStr">
        <is>
          <t>TORSBY</t>
        </is>
      </c>
      <c r="G425" t="n">
        <v>2.3</v>
      </c>
      <c r="H425" t="n">
        <v>0</v>
      </c>
      <c r="I425" t="n">
        <v>0</v>
      </c>
      <c r="J425" t="n">
        <v>0</v>
      </c>
      <c r="K425" t="n">
        <v>0</v>
      </c>
      <c r="L425" t="n">
        <v>0</v>
      </c>
      <c r="M425" t="n">
        <v>0</v>
      </c>
      <c r="N425" t="n">
        <v>0</v>
      </c>
      <c r="O425" t="n">
        <v>0</v>
      </c>
      <c r="P425" t="n">
        <v>0</v>
      </c>
      <c r="Q425" t="n">
        <v>0</v>
      </c>
      <c r="R425" s="2" t="inlineStr"/>
    </row>
    <row r="426" ht="15" customHeight="1">
      <c r="A426" t="inlineStr">
        <is>
          <t>A 41995-2022</t>
        </is>
      </c>
      <c r="B426" s="1" t="n">
        <v>44830</v>
      </c>
      <c r="C426" s="1" t="n">
        <v>45969</v>
      </c>
      <c r="D426" t="inlineStr">
        <is>
          <t>VÄRMLANDS LÄN</t>
        </is>
      </c>
      <c r="E426" t="inlineStr">
        <is>
          <t>TORSBY</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45303-2022</t>
        </is>
      </c>
      <c r="B427" s="1" t="n">
        <v>44844</v>
      </c>
      <c r="C427" s="1" t="n">
        <v>45969</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34581-2022</t>
        </is>
      </c>
      <c r="B428" s="1" t="n">
        <v>44792</v>
      </c>
      <c r="C428" s="1" t="n">
        <v>45969</v>
      </c>
      <c r="D428" t="inlineStr">
        <is>
          <t>VÄRMLANDS LÄN</t>
        </is>
      </c>
      <c r="E428" t="inlineStr">
        <is>
          <t>TORSBY</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37754-2022</t>
        </is>
      </c>
      <c r="B429" s="1" t="n">
        <v>44810</v>
      </c>
      <c r="C429" s="1" t="n">
        <v>45969</v>
      </c>
      <c r="D429" t="inlineStr">
        <is>
          <t>VÄRMLANDS LÄN</t>
        </is>
      </c>
      <c r="E429" t="inlineStr">
        <is>
          <t>TORSBY</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11364-2023</t>
        </is>
      </c>
      <c r="B430" s="1" t="n">
        <v>44993.43150462963</v>
      </c>
      <c r="C430" s="1" t="n">
        <v>45969</v>
      </c>
      <c r="D430" t="inlineStr">
        <is>
          <t>VÄRMLANDS LÄN</t>
        </is>
      </c>
      <c r="E430" t="inlineStr">
        <is>
          <t>TORSBY</t>
        </is>
      </c>
      <c r="G430" t="n">
        <v>31.9</v>
      </c>
      <c r="H430" t="n">
        <v>0</v>
      </c>
      <c r="I430" t="n">
        <v>0</v>
      </c>
      <c r="J430" t="n">
        <v>0</v>
      </c>
      <c r="K430" t="n">
        <v>0</v>
      </c>
      <c r="L430" t="n">
        <v>0</v>
      </c>
      <c r="M430" t="n">
        <v>0</v>
      </c>
      <c r="N430" t="n">
        <v>0</v>
      </c>
      <c r="O430" t="n">
        <v>0</v>
      </c>
      <c r="P430" t="n">
        <v>0</v>
      </c>
      <c r="Q430" t="n">
        <v>0</v>
      </c>
      <c r="R430" s="2" t="inlineStr"/>
    </row>
    <row r="431" ht="15" customHeight="1">
      <c r="A431" t="inlineStr">
        <is>
          <t>A 11187-2024</t>
        </is>
      </c>
      <c r="B431" s="1" t="n">
        <v>45371</v>
      </c>
      <c r="C431" s="1" t="n">
        <v>45969</v>
      </c>
      <c r="D431" t="inlineStr">
        <is>
          <t>VÄRMLANDS LÄN</t>
        </is>
      </c>
      <c r="E431" t="inlineStr">
        <is>
          <t>TORSBY</t>
        </is>
      </c>
      <c r="G431" t="n">
        <v>8</v>
      </c>
      <c r="H431" t="n">
        <v>0</v>
      </c>
      <c r="I431" t="n">
        <v>0</v>
      </c>
      <c r="J431" t="n">
        <v>0</v>
      </c>
      <c r="K431" t="n">
        <v>0</v>
      </c>
      <c r="L431" t="n">
        <v>0</v>
      </c>
      <c r="M431" t="n">
        <v>0</v>
      </c>
      <c r="N431" t="n">
        <v>0</v>
      </c>
      <c r="O431" t="n">
        <v>0</v>
      </c>
      <c r="P431" t="n">
        <v>0</v>
      </c>
      <c r="Q431" t="n">
        <v>0</v>
      </c>
      <c r="R431" s="2" t="inlineStr"/>
    </row>
    <row r="432" ht="15" customHeight="1">
      <c r="A432" t="inlineStr">
        <is>
          <t>A 61073-2024</t>
        </is>
      </c>
      <c r="B432" s="1" t="n">
        <v>45645.50665509259</v>
      </c>
      <c r="C432" s="1" t="n">
        <v>45969</v>
      </c>
      <c r="D432" t="inlineStr">
        <is>
          <t>VÄRMLANDS LÄN</t>
        </is>
      </c>
      <c r="E432" t="inlineStr">
        <is>
          <t>TORSBY</t>
        </is>
      </c>
      <c r="G432" t="n">
        <v>3.4</v>
      </c>
      <c r="H432" t="n">
        <v>0</v>
      </c>
      <c r="I432" t="n">
        <v>0</v>
      </c>
      <c r="J432" t="n">
        <v>0</v>
      </c>
      <c r="K432" t="n">
        <v>0</v>
      </c>
      <c r="L432" t="n">
        <v>0</v>
      </c>
      <c r="M432" t="n">
        <v>0</v>
      </c>
      <c r="N432" t="n">
        <v>0</v>
      </c>
      <c r="O432" t="n">
        <v>0</v>
      </c>
      <c r="P432" t="n">
        <v>0</v>
      </c>
      <c r="Q432" t="n">
        <v>0</v>
      </c>
      <c r="R432" s="2" t="inlineStr"/>
    </row>
    <row r="433" ht="15" customHeight="1">
      <c r="A433" t="inlineStr">
        <is>
          <t>A 48106-2023</t>
        </is>
      </c>
      <c r="B433" s="1" t="n">
        <v>45205.3434837963</v>
      </c>
      <c r="C433" s="1" t="n">
        <v>45969</v>
      </c>
      <c r="D433" t="inlineStr">
        <is>
          <t>VÄRMLANDS LÄN</t>
        </is>
      </c>
      <c r="E433" t="inlineStr">
        <is>
          <t>TORSBY</t>
        </is>
      </c>
      <c r="G433" t="n">
        <v>3.9</v>
      </c>
      <c r="H433" t="n">
        <v>0</v>
      </c>
      <c r="I433" t="n">
        <v>0</v>
      </c>
      <c r="J433" t="n">
        <v>0</v>
      </c>
      <c r="K433" t="n">
        <v>0</v>
      </c>
      <c r="L433" t="n">
        <v>0</v>
      </c>
      <c r="M433" t="n">
        <v>0</v>
      </c>
      <c r="N433" t="n">
        <v>0</v>
      </c>
      <c r="O433" t="n">
        <v>0</v>
      </c>
      <c r="P433" t="n">
        <v>0</v>
      </c>
      <c r="Q433" t="n">
        <v>0</v>
      </c>
      <c r="R433" s="2" t="inlineStr"/>
    </row>
    <row r="434" ht="15" customHeight="1">
      <c r="A434" t="inlineStr">
        <is>
          <t>A 52801-2024</t>
        </is>
      </c>
      <c r="B434" s="1" t="n">
        <v>45610.56784722222</v>
      </c>
      <c r="C434" s="1" t="n">
        <v>45969</v>
      </c>
      <c r="D434" t="inlineStr">
        <is>
          <t>VÄRMLANDS LÄN</t>
        </is>
      </c>
      <c r="E434" t="inlineStr">
        <is>
          <t>TORSBY</t>
        </is>
      </c>
      <c r="G434" t="n">
        <v>7.4</v>
      </c>
      <c r="H434" t="n">
        <v>0</v>
      </c>
      <c r="I434" t="n">
        <v>0</v>
      </c>
      <c r="J434" t="n">
        <v>0</v>
      </c>
      <c r="K434" t="n">
        <v>0</v>
      </c>
      <c r="L434" t="n">
        <v>0</v>
      </c>
      <c r="M434" t="n">
        <v>0</v>
      </c>
      <c r="N434" t="n">
        <v>0</v>
      </c>
      <c r="O434" t="n">
        <v>0</v>
      </c>
      <c r="P434" t="n">
        <v>0</v>
      </c>
      <c r="Q434" t="n">
        <v>0</v>
      </c>
      <c r="R434" s="2" t="inlineStr"/>
    </row>
    <row r="435" ht="15" customHeight="1">
      <c r="A435" t="inlineStr">
        <is>
          <t>A 54162-2023</t>
        </is>
      </c>
      <c r="B435" s="1" t="n">
        <v>45232.47539351852</v>
      </c>
      <c r="C435" s="1" t="n">
        <v>45969</v>
      </c>
      <c r="D435" t="inlineStr">
        <is>
          <t>VÄRMLANDS LÄN</t>
        </is>
      </c>
      <c r="E435" t="inlineStr">
        <is>
          <t>TORSBY</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54191-2023</t>
        </is>
      </c>
      <c r="B436" s="1" t="n">
        <v>45232</v>
      </c>
      <c r="C436" s="1" t="n">
        <v>45969</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16789-2024</t>
        </is>
      </c>
      <c r="B437" s="1" t="n">
        <v>45411</v>
      </c>
      <c r="C437" s="1" t="n">
        <v>45969</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39390-2023</t>
        </is>
      </c>
      <c r="B438" s="1" t="n">
        <v>45166.65104166666</v>
      </c>
      <c r="C438" s="1" t="n">
        <v>45969</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7283-2023</t>
        </is>
      </c>
      <c r="B439" s="1" t="n">
        <v>44970</v>
      </c>
      <c r="C439" s="1" t="n">
        <v>45969</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25537-2022</t>
        </is>
      </c>
      <c r="B440" s="1" t="n">
        <v>44732</v>
      </c>
      <c r="C440" s="1" t="n">
        <v>45969</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20725-2024</t>
        </is>
      </c>
      <c r="B441" s="1" t="n">
        <v>45436.65284722222</v>
      </c>
      <c r="C441" s="1" t="n">
        <v>45969</v>
      </c>
      <c r="D441" t="inlineStr">
        <is>
          <t>VÄRMLANDS LÄN</t>
        </is>
      </c>
      <c r="E441" t="inlineStr">
        <is>
          <t>TORSBY</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11259-2024</t>
        </is>
      </c>
      <c r="B442" s="1" t="n">
        <v>45371</v>
      </c>
      <c r="C442" s="1" t="n">
        <v>45969</v>
      </c>
      <c r="D442" t="inlineStr">
        <is>
          <t>VÄRMLANDS LÄN</t>
        </is>
      </c>
      <c r="E442" t="inlineStr">
        <is>
          <t>TORSBY</t>
        </is>
      </c>
      <c r="G442" t="n">
        <v>3.4</v>
      </c>
      <c r="H442" t="n">
        <v>0</v>
      </c>
      <c r="I442" t="n">
        <v>0</v>
      </c>
      <c r="J442" t="n">
        <v>0</v>
      </c>
      <c r="K442" t="n">
        <v>0</v>
      </c>
      <c r="L442" t="n">
        <v>0</v>
      </c>
      <c r="M442" t="n">
        <v>0</v>
      </c>
      <c r="N442" t="n">
        <v>0</v>
      </c>
      <c r="O442" t="n">
        <v>0</v>
      </c>
      <c r="P442" t="n">
        <v>0</v>
      </c>
      <c r="Q442" t="n">
        <v>0</v>
      </c>
      <c r="R442" s="2" t="inlineStr"/>
    </row>
    <row r="443" ht="15" customHeight="1">
      <c r="A443" t="inlineStr">
        <is>
          <t>A 1161-2025</t>
        </is>
      </c>
      <c r="B443" s="1" t="n">
        <v>45666</v>
      </c>
      <c r="C443" s="1" t="n">
        <v>45969</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45969</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38252-2023</t>
        </is>
      </c>
      <c r="B445" s="1" t="n">
        <v>45161</v>
      </c>
      <c r="C445" s="1" t="n">
        <v>45969</v>
      </c>
      <c r="D445" t="inlineStr">
        <is>
          <t>VÄRMLANDS LÄN</t>
        </is>
      </c>
      <c r="E445" t="inlineStr">
        <is>
          <t>TORSBY</t>
        </is>
      </c>
      <c r="G445" t="n">
        <v>9.6</v>
      </c>
      <c r="H445" t="n">
        <v>0</v>
      </c>
      <c r="I445" t="n">
        <v>0</v>
      </c>
      <c r="J445" t="n">
        <v>0</v>
      </c>
      <c r="K445" t="n">
        <v>0</v>
      </c>
      <c r="L445" t="n">
        <v>0</v>
      </c>
      <c r="M445" t="n">
        <v>0</v>
      </c>
      <c r="N445" t="n">
        <v>0</v>
      </c>
      <c r="O445" t="n">
        <v>0</v>
      </c>
      <c r="P445" t="n">
        <v>0</v>
      </c>
      <c r="Q445" t="n">
        <v>0</v>
      </c>
      <c r="R445" s="2" t="inlineStr"/>
    </row>
    <row r="446" ht="15" customHeight="1">
      <c r="A446" t="inlineStr">
        <is>
          <t>A 46915-2024</t>
        </is>
      </c>
      <c r="B446" s="1" t="n">
        <v>45583</v>
      </c>
      <c r="C446" s="1" t="n">
        <v>45969</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65301-2021</t>
        </is>
      </c>
      <c r="B447" s="1" t="n">
        <v>44515</v>
      </c>
      <c r="C447" s="1" t="n">
        <v>45969</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45969</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17931-2024</t>
        </is>
      </c>
      <c r="B449" s="1" t="n">
        <v>45419</v>
      </c>
      <c r="C449" s="1" t="n">
        <v>45969</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11153-2024</t>
        </is>
      </c>
      <c r="B450" s="1" t="n">
        <v>45371.4759837963</v>
      </c>
      <c r="C450" s="1" t="n">
        <v>45969</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61753-2020</t>
        </is>
      </c>
      <c r="B451" s="1" t="n">
        <v>44158</v>
      </c>
      <c r="C451" s="1" t="n">
        <v>45969</v>
      </c>
      <c r="D451" t="inlineStr">
        <is>
          <t>VÄRMLANDS LÄN</t>
        </is>
      </c>
      <c r="E451" t="inlineStr">
        <is>
          <t>TORSBY</t>
        </is>
      </c>
      <c r="G451" t="n">
        <v>2.2</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45969</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45969</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45969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6438-2022</t>
        </is>
      </c>
      <c r="B455" s="1" t="n">
        <v>44601.32209490741</v>
      </c>
      <c r="C455" s="1" t="n">
        <v>45969</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8022-2025</t>
        </is>
      </c>
      <c r="B456" s="1" t="n">
        <v>45707.57733796296</v>
      </c>
      <c r="C456" s="1" t="n">
        <v>45969</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39767-2024</t>
        </is>
      </c>
      <c r="B457" s="1" t="n">
        <v>45552</v>
      </c>
      <c r="C457" s="1" t="n">
        <v>45969</v>
      </c>
      <c r="D457" t="inlineStr">
        <is>
          <t>VÄRMLANDS LÄN</t>
        </is>
      </c>
      <c r="E457" t="inlineStr">
        <is>
          <t>TORSBY</t>
        </is>
      </c>
      <c r="G457" t="n">
        <v>7</v>
      </c>
      <c r="H457" t="n">
        <v>0</v>
      </c>
      <c r="I457" t="n">
        <v>0</v>
      </c>
      <c r="J457" t="n">
        <v>0</v>
      </c>
      <c r="K457" t="n">
        <v>0</v>
      </c>
      <c r="L457" t="n">
        <v>0</v>
      </c>
      <c r="M457" t="n">
        <v>0</v>
      </c>
      <c r="N457" t="n">
        <v>0</v>
      </c>
      <c r="O457" t="n">
        <v>0</v>
      </c>
      <c r="P457" t="n">
        <v>0</v>
      </c>
      <c r="Q457" t="n">
        <v>0</v>
      </c>
      <c r="R457" s="2" t="inlineStr"/>
    </row>
    <row r="458" ht="15" customHeight="1">
      <c r="A458" t="inlineStr">
        <is>
          <t>A 53492-2022</t>
        </is>
      </c>
      <c r="B458" s="1" t="n">
        <v>44879.56734953704</v>
      </c>
      <c r="C458" s="1" t="n">
        <v>45969</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23804-2022</t>
        </is>
      </c>
      <c r="B459" s="1" t="n">
        <v>44722</v>
      </c>
      <c r="C459" s="1" t="n">
        <v>45969</v>
      </c>
      <c r="D459" t="inlineStr">
        <is>
          <t>VÄRMLANDS LÄN</t>
        </is>
      </c>
      <c r="E459" t="inlineStr">
        <is>
          <t>TORSBY</t>
        </is>
      </c>
      <c r="G459" t="n">
        <v>6.1</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45969</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35724-2022</t>
        </is>
      </c>
      <c r="B461" s="1" t="n">
        <v>44799</v>
      </c>
      <c r="C461" s="1" t="n">
        <v>45969</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46795-2021</t>
        </is>
      </c>
      <c r="B462" s="1" t="n">
        <v>44446</v>
      </c>
      <c r="C462" s="1" t="n">
        <v>45969</v>
      </c>
      <c r="D462" t="inlineStr">
        <is>
          <t>VÄRMLANDS LÄN</t>
        </is>
      </c>
      <c r="E462" t="inlineStr">
        <is>
          <t>TORSBY</t>
        </is>
      </c>
      <c r="G462" t="n">
        <v>6</v>
      </c>
      <c r="H462" t="n">
        <v>0</v>
      </c>
      <c r="I462" t="n">
        <v>0</v>
      </c>
      <c r="J462" t="n">
        <v>0</v>
      </c>
      <c r="K462" t="n">
        <v>0</v>
      </c>
      <c r="L462" t="n">
        <v>0</v>
      </c>
      <c r="M462" t="n">
        <v>0</v>
      </c>
      <c r="N462" t="n">
        <v>0</v>
      </c>
      <c r="O462" t="n">
        <v>0</v>
      </c>
      <c r="P462" t="n">
        <v>0</v>
      </c>
      <c r="Q462" t="n">
        <v>0</v>
      </c>
      <c r="R462" s="2" t="inlineStr"/>
    </row>
    <row r="463" ht="15" customHeight="1">
      <c r="A463" t="inlineStr">
        <is>
          <t>A 18330-2024</t>
        </is>
      </c>
      <c r="B463" s="1" t="n">
        <v>45422</v>
      </c>
      <c r="C463" s="1" t="n">
        <v>45969</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54006-2024</t>
        </is>
      </c>
      <c r="B464" s="1" t="n">
        <v>45616.3717824074</v>
      </c>
      <c r="C464" s="1" t="n">
        <v>45969</v>
      </c>
      <c r="D464" t="inlineStr">
        <is>
          <t>VÄRMLANDS LÄN</t>
        </is>
      </c>
      <c r="E464" t="inlineStr">
        <is>
          <t>TORSBY</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18339-2024</t>
        </is>
      </c>
      <c r="B465" s="1" t="n">
        <v>45422.58119212963</v>
      </c>
      <c r="C465" s="1" t="n">
        <v>45969</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21078-2023</t>
        </is>
      </c>
      <c r="B466" s="1" t="n">
        <v>45061</v>
      </c>
      <c r="C466" s="1" t="n">
        <v>45969</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27446-2021</t>
        </is>
      </c>
      <c r="B467" s="1" t="n">
        <v>44351</v>
      </c>
      <c r="C467" s="1" t="n">
        <v>45969</v>
      </c>
      <c r="D467" t="inlineStr">
        <is>
          <t>VÄRMLANDS LÄN</t>
        </is>
      </c>
      <c r="E467" t="inlineStr">
        <is>
          <t>TORSBY</t>
        </is>
      </c>
      <c r="G467" t="n">
        <v>7.6</v>
      </c>
      <c r="H467" t="n">
        <v>0</v>
      </c>
      <c r="I467" t="n">
        <v>0</v>
      </c>
      <c r="J467" t="n">
        <v>0</v>
      </c>
      <c r="K467" t="n">
        <v>0</v>
      </c>
      <c r="L467" t="n">
        <v>0</v>
      </c>
      <c r="M467" t="n">
        <v>0</v>
      </c>
      <c r="N467" t="n">
        <v>0</v>
      </c>
      <c r="O467" t="n">
        <v>0</v>
      </c>
      <c r="P467" t="n">
        <v>0</v>
      </c>
      <c r="Q467" t="n">
        <v>0</v>
      </c>
      <c r="R467" s="2" t="inlineStr"/>
    </row>
    <row r="468" ht="15" customHeight="1">
      <c r="A468" t="inlineStr">
        <is>
          <t>A 10027-2023</t>
        </is>
      </c>
      <c r="B468" s="1" t="n">
        <v>44979</v>
      </c>
      <c r="C468" s="1" t="n">
        <v>45969</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16592-2024</t>
        </is>
      </c>
      <c r="B469" s="1" t="n">
        <v>45408.49623842593</v>
      </c>
      <c r="C469" s="1" t="n">
        <v>45969</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11695-2021</t>
        </is>
      </c>
      <c r="B470" s="1" t="n">
        <v>44264.87736111111</v>
      </c>
      <c r="C470" s="1" t="n">
        <v>45969</v>
      </c>
      <c r="D470" t="inlineStr">
        <is>
          <t>VÄRMLANDS LÄN</t>
        </is>
      </c>
      <c r="E470" t="inlineStr">
        <is>
          <t>TORSBY</t>
        </is>
      </c>
      <c r="G470" t="n">
        <v>3</v>
      </c>
      <c r="H470" t="n">
        <v>0</v>
      </c>
      <c r="I470" t="n">
        <v>0</v>
      </c>
      <c r="J470" t="n">
        <v>0</v>
      </c>
      <c r="K470" t="n">
        <v>0</v>
      </c>
      <c r="L470" t="n">
        <v>0</v>
      </c>
      <c r="M470" t="n">
        <v>0</v>
      </c>
      <c r="N470" t="n">
        <v>0</v>
      </c>
      <c r="O470" t="n">
        <v>0</v>
      </c>
      <c r="P470" t="n">
        <v>0</v>
      </c>
      <c r="Q470" t="n">
        <v>0</v>
      </c>
      <c r="R470" s="2" t="inlineStr"/>
    </row>
    <row r="471" ht="15" customHeight="1">
      <c r="A471" t="inlineStr">
        <is>
          <t>A 23735-2022</t>
        </is>
      </c>
      <c r="B471" s="1" t="n">
        <v>44722.35103009259</v>
      </c>
      <c r="C471" s="1" t="n">
        <v>45969</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48721-2024</t>
        </is>
      </c>
      <c r="B472" s="1" t="n">
        <v>45593.54752314815</v>
      </c>
      <c r="C472" s="1" t="n">
        <v>45969</v>
      </c>
      <c r="D472" t="inlineStr">
        <is>
          <t>VÄRMLANDS LÄN</t>
        </is>
      </c>
      <c r="E472" t="inlineStr">
        <is>
          <t>TORSBY</t>
        </is>
      </c>
      <c r="F472" t="inlineStr">
        <is>
          <t>Bergvik skog väst AB</t>
        </is>
      </c>
      <c r="G472" t="n">
        <v>4.6</v>
      </c>
      <c r="H472" t="n">
        <v>0</v>
      </c>
      <c r="I472" t="n">
        <v>0</v>
      </c>
      <c r="J472" t="n">
        <v>0</v>
      </c>
      <c r="K472" t="n">
        <v>0</v>
      </c>
      <c r="L472" t="n">
        <v>0</v>
      </c>
      <c r="M472" t="n">
        <v>0</v>
      </c>
      <c r="N472" t="n">
        <v>0</v>
      </c>
      <c r="O472" t="n">
        <v>0</v>
      </c>
      <c r="P472" t="n">
        <v>0</v>
      </c>
      <c r="Q472" t="n">
        <v>0</v>
      </c>
      <c r="R472" s="2" t="inlineStr"/>
    </row>
    <row r="473" ht="15" customHeight="1">
      <c r="A473" t="inlineStr">
        <is>
          <t>A 15101-2024</t>
        </is>
      </c>
      <c r="B473" s="1" t="n">
        <v>45399.66148148148</v>
      </c>
      <c r="C473" s="1" t="n">
        <v>45969</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39746-2024</t>
        </is>
      </c>
      <c r="B474" s="1" t="n">
        <v>45552</v>
      </c>
      <c r="C474" s="1" t="n">
        <v>45969</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16192-2025</t>
        </is>
      </c>
      <c r="B475" s="1" t="n">
        <v>45750.59760416667</v>
      </c>
      <c r="C475" s="1" t="n">
        <v>45969</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8188-2025</t>
        </is>
      </c>
      <c r="B476" s="1" t="n">
        <v>45708.40246527778</v>
      </c>
      <c r="C476" s="1" t="n">
        <v>45969</v>
      </c>
      <c r="D476" t="inlineStr">
        <is>
          <t>VÄRMLANDS LÄN</t>
        </is>
      </c>
      <c r="E476" t="inlineStr">
        <is>
          <t>TORSBY</t>
        </is>
      </c>
      <c r="G476" t="n">
        <v>9.6</v>
      </c>
      <c r="H476" t="n">
        <v>0</v>
      </c>
      <c r="I476" t="n">
        <v>0</v>
      </c>
      <c r="J476" t="n">
        <v>0</v>
      </c>
      <c r="K476" t="n">
        <v>0</v>
      </c>
      <c r="L476" t="n">
        <v>0</v>
      </c>
      <c r="M476" t="n">
        <v>0</v>
      </c>
      <c r="N476" t="n">
        <v>0</v>
      </c>
      <c r="O476" t="n">
        <v>0</v>
      </c>
      <c r="P476" t="n">
        <v>0</v>
      </c>
      <c r="Q476" t="n">
        <v>0</v>
      </c>
      <c r="R476" s="2" t="inlineStr"/>
    </row>
    <row r="477" ht="15" customHeight="1">
      <c r="A477" t="inlineStr">
        <is>
          <t>A 19307-2022</t>
        </is>
      </c>
      <c r="B477" s="1" t="n">
        <v>44692.55497685185</v>
      </c>
      <c r="C477" s="1" t="n">
        <v>45969</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24170-2023</t>
        </is>
      </c>
      <c r="B478" s="1" t="n">
        <v>45079</v>
      </c>
      <c r="C478" s="1" t="n">
        <v>45969</v>
      </c>
      <c r="D478" t="inlineStr">
        <is>
          <t>VÄRMLANDS LÄN</t>
        </is>
      </c>
      <c r="E478" t="inlineStr">
        <is>
          <t>TORSBY</t>
        </is>
      </c>
      <c r="F478" t="inlineStr">
        <is>
          <t>Bergvik skog väst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50608-2023</t>
        </is>
      </c>
      <c r="B479" s="1" t="n">
        <v>45217</v>
      </c>
      <c r="C479" s="1" t="n">
        <v>45969</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52314-2024</t>
        </is>
      </c>
      <c r="B480" s="1" t="n">
        <v>45608.87075231481</v>
      </c>
      <c r="C480" s="1" t="n">
        <v>45969</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38991-2023</t>
        </is>
      </c>
      <c r="B481" s="1" t="n">
        <v>45163.65929398148</v>
      </c>
      <c r="C481" s="1" t="n">
        <v>45969</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16003-2025</t>
        </is>
      </c>
      <c r="B482" s="1" t="n">
        <v>45749</v>
      </c>
      <c r="C482" s="1" t="n">
        <v>45969</v>
      </c>
      <c r="D482" t="inlineStr">
        <is>
          <t>VÄRMLANDS LÄN</t>
        </is>
      </c>
      <c r="E482" t="inlineStr">
        <is>
          <t>TORSBY</t>
        </is>
      </c>
      <c r="G482" t="n">
        <v>0.6</v>
      </c>
      <c r="H482" t="n">
        <v>0</v>
      </c>
      <c r="I482" t="n">
        <v>0</v>
      </c>
      <c r="J482" t="n">
        <v>0</v>
      </c>
      <c r="K482" t="n">
        <v>0</v>
      </c>
      <c r="L482" t="n">
        <v>0</v>
      </c>
      <c r="M482" t="n">
        <v>0</v>
      </c>
      <c r="N482" t="n">
        <v>0</v>
      </c>
      <c r="O482" t="n">
        <v>0</v>
      </c>
      <c r="P482" t="n">
        <v>0</v>
      </c>
      <c r="Q482" t="n">
        <v>0</v>
      </c>
      <c r="R482" s="2" t="inlineStr"/>
    </row>
    <row r="483" ht="15" customHeight="1">
      <c r="A483" t="inlineStr">
        <is>
          <t>A 906-2025</t>
        </is>
      </c>
      <c r="B483" s="1" t="n">
        <v>45664</v>
      </c>
      <c r="C483" s="1" t="n">
        <v>45969</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45969</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12701-2024</t>
        </is>
      </c>
      <c r="B485" s="1" t="n">
        <v>45384</v>
      </c>
      <c r="C485" s="1" t="n">
        <v>45969</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56902-2023</t>
        </is>
      </c>
      <c r="B486" s="1" t="n">
        <v>45244</v>
      </c>
      <c r="C486" s="1" t="n">
        <v>45969</v>
      </c>
      <c r="D486" t="inlineStr">
        <is>
          <t>VÄRMLANDS LÄN</t>
        </is>
      </c>
      <c r="E486" t="inlineStr">
        <is>
          <t>TORSBY</t>
        </is>
      </c>
      <c r="G486" t="n">
        <v>17.4</v>
      </c>
      <c r="H486" t="n">
        <v>0</v>
      </c>
      <c r="I486" t="n">
        <v>0</v>
      </c>
      <c r="J486" t="n">
        <v>0</v>
      </c>
      <c r="K486" t="n">
        <v>0</v>
      </c>
      <c r="L486" t="n">
        <v>0</v>
      </c>
      <c r="M486" t="n">
        <v>0</v>
      </c>
      <c r="N486" t="n">
        <v>0</v>
      </c>
      <c r="O486" t="n">
        <v>0</v>
      </c>
      <c r="P486" t="n">
        <v>0</v>
      </c>
      <c r="Q486" t="n">
        <v>0</v>
      </c>
      <c r="R486" s="2" t="inlineStr"/>
    </row>
    <row r="487" ht="15" customHeight="1">
      <c r="A487" t="inlineStr">
        <is>
          <t>A 30531-2023</t>
        </is>
      </c>
      <c r="B487" s="1" t="n">
        <v>45111.68223379629</v>
      </c>
      <c r="C487" s="1" t="n">
        <v>45969</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26686-2022</t>
        </is>
      </c>
      <c r="B488" s="1" t="n">
        <v>44739.67833333334</v>
      </c>
      <c r="C488" s="1" t="n">
        <v>45969</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26223-2021</t>
        </is>
      </c>
      <c r="B489" s="1" t="n">
        <v>44347</v>
      </c>
      <c r="C489" s="1" t="n">
        <v>45969</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38076-2024</t>
        </is>
      </c>
      <c r="B490" s="1" t="n">
        <v>45544</v>
      </c>
      <c r="C490" s="1" t="n">
        <v>45969</v>
      </c>
      <c r="D490" t="inlineStr">
        <is>
          <t>VÄRMLANDS LÄN</t>
        </is>
      </c>
      <c r="E490" t="inlineStr">
        <is>
          <t>TORSBY</t>
        </is>
      </c>
      <c r="G490" t="n">
        <v>6.3</v>
      </c>
      <c r="H490" t="n">
        <v>0</v>
      </c>
      <c r="I490" t="n">
        <v>0</v>
      </c>
      <c r="J490" t="n">
        <v>0</v>
      </c>
      <c r="K490" t="n">
        <v>0</v>
      </c>
      <c r="L490" t="n">
        <v>0</v>
      </c>
      <c r="M490" t="n">
        <v>0</v>
      </c>
      <c r="N490" t="n">
        <v>0</v>
      </c>
      <c r="O490" t="n">
        <v>0</v>
      </c>
      <c r="P490" t="n">
        <v>0</v>
      </c>
      <c r="Q490" t="n">
        <v>0</v>
      </c>
      <c r="R490" s="2" t="inlineStr"/>
    </row>
    <row r="491" ht="15" customHeight="1">
      <c r="A491" t="inlineStr">
        <is>
          <t>A 17941-2021</t>
        </is>
      </c>
      <c r="B491" s="1" t="n">
        <v>44301</v>
      </c>
      <c r="C491" s="1" t="n">
        <v>45969</v>
      </c>
      <c r="D491" t="inlineStr">
        <is>
          <t>VÄRMLANDS LÄN</t>
        </is>
      </c>
      <c r="E491" t="inlineStr">
        <is>
          <t>TORSBY</t>
        </is>
      </c>
      <c r="F491" t="inlineStr">
        <is>
          <t>Kommuner</t>
        </is>
      </c>
      <c r="G491" t="n">
        <v>8</v>
      </c>
      <c r="H491" t="n">
        <v>0</v>
      </c>
      <c r="I491" t="n">
        <v>0</v>
      </c>
      <c r="J491" t="n">
        <v>0</v>
      </c>
      <c r="K491" t="n">
        <v>0</v>
      </c>
      <c r="L491" t="n">
        <v>0</v>
      </c>
      <c r="M491" t="n">
        <v>0</v>
      </c>
      <c r="N491" t="n">
        <v>0</v>
      </c>
      <c r="O491" t="n">
        <v>0</v>
      </c>
      <c r="P491" t="n">
        <v>0</v>
      </c>
      <c r="Q491" t="n">
        <v>0</v>
      </c>
      <c r="R491" s="2" t="inlineStr"/>
    </row>
    <row r="492" ht="15" customHeight="1">
      <c r="A492" t="inlineStr">
        <is>
          <t>A 1432-2025</t>
        </is>
      </c>
      <c r="B492" s="1" t="n">
        <v>45669</v>
      </c>
      <c r="C492" s="1" t="n">
        <v>45969</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1435-2025</t>
        </is>
      </c>
      <c r="B493" s="1" t="n">
        <v>45669</v>
      </c>
      <c r="C493" s="1" t="n">
        <v>45969</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3667-2023</t>
        </is>
      </c>
      <c r="B494" s="1" t="n">
        <v>44950</v>
      </c>
      <c r="C494" s="1" t="n">
        <v>45969</v>
      </c>
      <c r="D494" t="inlineStr">
        <is>
          <t>VÄRMLANDS LÄN</t>
        </is>
      </c>
      <c r="E494" t="inlineStr">
        <is>
          <t>TORSBY</t>
        </is>
      </c>
      <c r="G494" t="n">
        <v>21.2</v>
      </c>
      <c r="H494" t="n">
        <v>0</v>
      </c>
      <c r="I494" t="n">
        <v>0</v>
      </c>
      <c r="J494" t="n">
        <v>0</v>
      </c>
      <c r="K494" t="n">
        <v>0</v>
      </c>
      <c r="L494" t="n">
        <v>0</v>
      </c>
      <c r="M494" t="n">
        <v>0</v>
      </c>
      <c r="N494" t="n">
        <v>0</v>
      </c>
      <c r="O494" t="n">
        <v>0</v>
      </c>
      <c r="P494" t="n">
        <v>0</v>
      </c>
      <c r="Q494" t="n">
        <v>0</v>
      </c>
      <c r="R494" s="2" t="inlineStr"/>
    </row>
    <row r="495" ht="15" customHeight="1">
      <c r="A495" t="inlineStr">
        <is>
          <t>A 28559-2021</t>
        </is>
      </c>
      <c r="B495" s="1" t="n">
        <v>44356</v>
      </c>
      <c r="C495" s="1" t="n">
        <v>45969</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38905-2025</t>
        </is>
      </c>
      <c r="B496" s="1" t="n">
        <v>45884</v>
      </c>
      <c r="C496" s="1" t="n">
        <v>45969</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51987-2024</t>
        </is>
      </c>
      <c r="B497" s="1" t="n">
        <v>45607</v>
      </c>
      <c r="C497" s="1" t="n">
        <v>45969</v>
      </c>
      <c r="D497" t="inlineStr">
        <is>
          <t>VÄRMLANDS LÄN</t>
        </is>
      </c>
      <c r="E497" t="inlineStr">
        <is>
          <t>TORSBY</t>
        </is>
      </c>
      <c r="G497" t="n">
        <v>17.7</v>
      </c>
      <c r="H497" t="n">
        <v>0</v>
      </c>
      <c r="I497" t="n">
        <v>0</v>
      </c>
      <c r="J497" t="n">
        <v>0</v>
      </c>
      <c r="K497" t="n">
        <v>0</v>
      </c>
      <c r="L497" t="n">
        <v>0</v>
      </c>
      <c r="M497" t="n">
        <v>0</v>
      </c>
      <c r="N497" t="n">
        <v>0</v>
      </c>
      <c r="O497" t="n">
        <v>0</v>
      </c>
      <c r="P497" t="n">
        <v>0</v>
      </c>
      <c r="Q497" t="n">
        <v>0</v>
      </c>
      <c r="R497" s="2" t="inlineStr"/>
    </row>
    <row r="498" ht="15" customHeight="1">
      <c r="A498" t="inlineStr">
        <is>
          <t>A 46503-2024</t>
        </is>
      </c>
      <c r="B498" s="1" t="n">
        <v>45582</v>
      </c>
      <c r="C498" s="1" t="n">
        <v>45969</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21790-2023</t>
        </is>
      </c>
      <c r="B499" s="1" t="n">
        <v>45067</v>
      </c>
      <c r="C499" s="1" t="n">
        <v>45969</v>
      </c>
      <c r="D499" t="inlineStr">
        <is>
          <t>VÄRMLANDS LÄN</t>
        </is>
      </c>
      <c r="E499" t="inlineStr">
        <is>
          <t>TORSBY</t>
        </is>
      </c>
      <c r="F499" t="inlineStr">
        <is>
          <t>Övriga statliga verk och myndigheter</t>
        </is>
      </c>
      <c r="G499" t="n">
        <v>1.1</v>
      </c>
      <c r="H499" t="n">
        <v>0</v>
      </c>
      <c r="I499" t="n">
        <v>0</v>
      </c>
      <c r="J499" t="n">
        <v>0</v>
      </c>
      <c r="K499" t="n">
        <v>0</v>
      </c>
      <c r="L499" t="n">
        <v>0</v>
      </c>
      <c r="M499" t="n">
        <v>0</v>
      </c>
      <c r="N499" t="n">
        <v>0</v>
      </c>
      <c r="O499" t="n">
        <v>0</v>
      </c>
      <c r="P499" t="n">
        <v>0</v>
      </c>
      <c r="Q499" t="n">
        <v>0</v>
      </c>
      <c r="R499" s="2" t="inlineStr"/>
    </row>
    <row r="500" ht="15" customHeight="1">
      <c r="A500" t="inlineStr">
        <is>
          <t>A 43157-2021</t>
        </is>
      </c>
      <c r="B500" s="1" t="n">
        <v>44431</v>
      </c>
      <c r="C500" s="1" t="n">
        <v>45969</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29042-2023</t>
        </is>
      </c>
      <c r="B501" s="1" t="n">
        <v>45104</v>
      </c>
      <c r="C501" s="1" t="n">
        <v>45969</v>
      </c>
      <c r="D501" t="inlineStr">
        <is>
          <t>VÄRMLANDS LÄN</t>
        </is>
      </c>
      <c r="E501" t="inlineStr">
        <is>
          <t>TORSBY</t>
        </is>
      </c>
      <c r="G501" t="n">
        <v>2.8</v>
      </c>
      <c r="H501" t="n">
        <v>0</v>
      </c>
      <c r="I501" t="n">
        <v>0</v>
      </c>
      <c r="J501" t="n">
        <v>0</v>
      </c>
      <c r="K501" t="n">
        <v>0</v>
      </c>
      <c r="L501" t="n">
        <v>0</v>
      </c>
      <c r="M501" t="n">
        <v>0</v>
      </c>
      <c r="N501" t="n">
        <v>0</v>
      </c>
      <c r="O501" t="n">
        <v>0</v>
      </c>
      <c r="P501" t="n">
        <v>0</v>
      </c>
      <c r="Q501" t="n">
        <v>0</v>
      </c>
      <c r="R501" s="2" t="inlineStr"/>
    </row>
    <row r="502" ht="15" customHeight="1">
      <c r="A502" t="inlineStr">
        <is>
          <t>A 43529-2023</t>
        </is>
      </c>
      <c r="B502" s="1" t="n">
        <v>45181</v>
      </c>
      <c r="C502" s="1" t="n">
        <v>45969</v>
      </c>
      <c r="D502" t="inlineStr">
        <is>
          <t>VÄRMLANDS LÄN</t>
        </is>
      </c>
      <c r="E502" t="inlineStr">
        <is>
          <t>TORSBY</t>
        </is>
      </c>
      <c r="G502" t="n">
        <v>2.7</v>
      </c>
      <c r="H502" t="n">
        <v>0</v>
      </c>
      <c r="I502" t="n">
        <v>0</v>
      </c>
      <c r="J502" t="n">
        <v>0</v>
      </c>
      <c r="K502" t="n">
        <v>0</v>
      </c>
      <c r="L502" t="n">
        <v>0</v>
      </c>
      <c r="M502" t="n">
        <v>0</v>
      </c>
      <c r="N502" t="n">
        <v>0</v>
      </c>
      <c r="O502" t="n">
        <v>0</v>
      </c>
      <c r="P502" t="n">
        <v>0</v>
      </c>
      <c r="Q502" t="n">
        <v>0</v>
      </c>
      <c r="R502" s="2" t="inlineStr"/>
    </row>
    <row r="503" ht="15" customHeight="1">
      <c r="A503" t="inlineStr">
        <is>
          <t>A 6121-2021</t>
        </is>
      </c>
      <c r="B503" s="1" t="n">
        <v>44232</v>
      </c>
      <c r="C503" s="1" t="n">
        <v>45969</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37752-2022</t>
        </is>
      </c>
      <c r="B504" s="1" t="n">
        <v>44810</v>
      </c>
      <c r="C504" s="1" t="n">
        <v>45969</v>
      </c>
      <c r="D504" t="inlineStr">
        <is>
          <t>VÄRMLANDS LÄN</t>
        </is>
      </c>
      <c r="E504" t="inlineStr">
        <is>
          <t>TORSBY</t>
        </is>
      </c>
      <c r="F504" t="inlineStr">
        <is>
          <t>Kyrkan</t>
        </is>
      </c>
      <c r="G504" t="n">
        <v>4.5</v>
      </c>
      <c r="H504" t="n">
        <v>0</v>
      </c>
      <c r="I504" t="n">
        <v>0</v>
      </c>
      <c r="J504" t="n">
        <v>0</v>
      </c>
      <c r="K504" t="n">
        <v>0</v>
      </c>
      <c r="L504" t="n">
        <v>0</v>
      </c>
      <c r="M504" t="n">
        <v>0</v>
      </c>
      <c r="N504" t="n">
        <v>0</v>
      </c>
      <c r="O504" t="n">
        <v>0</v>
      </c>
      <c r="P504" t="n">
        <v>0</v>
      </c>
      <c r="Q504" t="n">
        <v>0</v>
      </c>
      <c r="R504" s="2" t="inlineStr"/>
    </row>
    <row r="505" ht="15" customHeight="1">
      <c r="A505" t="inlineStr">
        <is>
          <t>A 52669-2024</t>
        </is>
      </c>
      <c r="B505" s="1" t="n">
        <v>45610</v>
      </c>
      <c r="C505" s="1" t="n">
        <v>45969</v>
      </c>
      <c r="D505" t="inlineStr">
        <is>
          <t>VÄRMLANDS LÄN</t>
        </is>
      </c>
      <c r="E505" t="inlineStr">
        <is>
          <t>TORSBY</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48874-2024</t>
        </is>
      </c>
      <c r="B506" s="1" t="n">
        <v>45594</v>
      </c>
      <c r="C506" s="1" t="n">
        <v>45969</v>
      </c>
      <c r="D506" t="inlineStr">
        <is>
          <t>VÄRMLANDS LÄN</t>
        </is>
      </c>
      <c r="E506" t="inlineStr">
        <is>
          <t>TORSBY</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68153-2021</t>
        </is>
      </c>
      <c r="B507" s="1" t="n">
        <v>44526.43881944445</v>
      </c>
      <c r="C507" s="1" t="n">
        <v>45969</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6063-2021</t>
        </is>
      </c>
      <c r="B508" s="1" t="n">
        <v>44232</v>
      </c>
      <c r="C508" s="1" t="n">
        <v>45969</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56880-2023</t>
        </is>
      </c>
      <c r="B509" s="1" t="n">
        <v>45244</v>
      </c>
      <c r="C509" s="1" t="n">
        <v>45969</v>
      </c>
      <c r="D509" t="inlineStr">
        <is>
          <t>VÄRMLANDS LÄN</t>
        </is>
      </c>
      <c r="E509" t="inlineStr">
        <is>
          <t>TORSBY</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56170-2023</t>
        </is>
      </c>
      <c r="B510" s="1" t="n">
        <v>45240.62975694444</v>
      </c>
      <c r="C510" s="1" t="n">
        <v>45969</v>
      </c>
      <c r="D510" t="inlineStr">
        <is>
          <t>VÄRMLANDS LÄN</t>
        </is>
      </c>
      <c r="E510" t="inlineStr">
        <is>
          <t>TORSBY</t>
        </is>
      </c>
      <c r="G510" t="n">
        <v>3.8</v>
      </c>
      <c r="H510" t="n">
        <v>0</v>
      </c>
      <c r="I510" t="n">
        <v>0</v>
      </c>
      <c r="J510" t="n">
        <v>0</v>
      </c>
      <c r="K510" t="n">
        <v>0</v>
      </c>
      <c r="L510" t="n">
        <v>0</v>
      </c>
      <c r="M510" t="n">
        <v>0</v>
      </c>
      <c r="N510" t="n">
        <v>0</v>
      </c>
      <c r="O510" t="n">
        <v>0</v>
      </c>
      <c r="P510" t="n">
        <v>0</v>
      </c>
      <c r="Q510" t="n">
        <v>0</v>
      </c>
      <c r="R510" s="2" t="inlineStr"/>
    </row>
    <row r="511" ht="15" customHeight="1">
      <c r="A511" t="inlineStr">
        <is>
          <t>A 6646-2024</t>
        </is>
      </c>
      <c r="B511" s="1" t="n">
        <v>45341.66643518519</v>
      </c>
      <c r="C511" s="1" t="n">
        <v>45969</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6648-2024</t>
        </is>
      </c>
      <c r="B512" s="1" t="n">
        <v>45341</v>
      </c>
      <c r="C512" s="1" t="n">
        <v>45969</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18337-2024</t>
        </is>
      </c>
      <c r="B513" s="1" t="n">
        <v>45422</v>
      </c>
      <c r="C513" s="1" t="n">
        <v>45969</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34968-2024</t>
        </is>
      </c>
      <c r="B514" s="1" t="n">
        <v>45527.49986111111</v>
      </c>
      <c r="C514" s="1" t="n">
        <v>45969</v>
      </c>
      <c r="D514" t="inlineStr">
        <is>
          <t>VÄRMLANDS LÄN</t>
        </is>
      </c>
      <c r="E514" t="inlineStr">
        <is>
          <t>TORSBY</t>
        </is>
      </c>
      <c r="F514" t="inlineStr">
        <is>
          <t>Bergvik skog väst AB</t>
        </is>
      </c>
      <c r="G514" t="n">
        <v>10.2</v>
      </c>
      <c r="H514" t="n">
        <v>0</v>
      </c>
      <c r="I514" t="n">
        <v>0</v>
      </c>
      <c r="J514" t="n">
        <v>0</v>
      </c>
      <c r="K514" t="n">
        <v>0</v>
      </c>
      <c r="L514" t="n">
        <v>0</v>
      </c>
      <c r="M514" t="n">
        <v>0</v>
      </c>
      <c r="N514" t="n">
        <v>0</v>
      </c>
      <c r="O514" t="n">
        <v>0</v>
      </c>
      <c r="P514" t="n">
        <v>0</v>
      </c>
      <c r="Q514" t="n">
        <v>0</v>
      </c>
      <c r="R514" s="2" t="inlineStr"/>
    </row>
    <row r="515" ht="15" customHeight="1">
      <c r="A515" t="inlineStr">
        <is>
          <t>A 27115-2024</t>
        </is>
      </c>
      <c r="B515" s="1" t="n">
        <v>45471</v>
      </c>
      <c r="C515" s="1" t="n">
        <v>45969</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27144-2024</t>
        </is>
      </c>
      <c r="B516" s="1" t="n">
        <v>45471.55459490741</v>
      </c>
      <c r="C516" s="1" t="n">
        <v>45969</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25090-2023</t>
        </is>
      </c>
      <c r="B517" s="1" t="n">
        <v>45086</v>
      </c>
      <c r="C517" s="1" t="n">
        <v>45969</v>
      </c>
      <c r="D517" t="inlineStr">
        <is>
          <t>VÄRMLANDS LÄN</t>
        </is>
      </c>
      <c r="E517" t="inlineStr">
        <is>
          <t>TORSBY</t>
        </is>
      </c>
      <c r="F517" t="inlineStr">
        <is>
          <t>Bergvik skog väst AB</t>
        </is>
      </c>
      <c r="G517" t="n">
        <v>8.1</v>
      </c>
      <c r="H517" t="n">
        <v>0</v>
      </c>
      <c r="I517" t="n">
        <v>0</v>
      </c>
      <c r="J517" t="n">
        <v>0</v>
      </c>
      <c r="K517" t="n">
        <v>0</v>
      </c>
      <c r="L517" t="n">
        <v>0</v>
      </c>
      <c r="M517" t="n">
        <v>0</v>
      </c>
      <c r="N517" t="n">
        <v>0</v>
      </c>
      <c r="O517" t="n">
        <v>0</v>
      </c>
      <c r="P517" t="n">
        <v>0</v>
      </c>
      <c r="Q517" t="n">
        <v>0</v>
      </c>
      <c r="R517" s="2" t="inlineStr"/>
    </row>
    <row r="518" ht="15" customHeight="1">
      <c r="A518" t="inlineStr">
        <is>
          <t>A 41253-2021</t>
        </is>
      </c>
      <c r="B518" s="1" t="n">
        <v>44424</v>
      </c>
      <c r="C518" s="1" t="n">
        <v>45969</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11569-2025</t>
        </is>
      </c>
      <c r="B519" s="1" t="n">
        <v>45727.37971064815</v>
      </c>
      <c r="C519" s="1" t="n">
        <v>45969</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53583-2024</t>
        </is>
      </c>
      <c r="B520" s="1" t="n">
        <v>45614.66449074074</v>
      </c>
      <c r="C520" s="1" t="n">
        <v>45969</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64664-2023</t>
        </is>
      </c>
      <c r="B521" s="1" t="n">
        <v>45281.60710648148</v>
      </c>
      <c r="C521" s="1" t="n">
        <v>45969</v>
      </c>
      <c r="D521" t="inlineStr">
        <is>
          <t>VÄRMLANDS LÄN</t>
        </is>
      </c>
      <c r="E521" t="inlineStr">
        <is>
          <t>TORSBY</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45969</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45969</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38611-2025</t>
        </is>
      </c>
      <c r="B524" s="1" t="n">
        <v>45884.53958333333</v>
      </c>
      <c r="C524" s="1" t="n">
        <v>45969</v>
      </c>
      <c r="D524" t="inlineStr">
        <is>
          <t>VÄRMLANDS LÄN</t>
        </is>
      </c>
      <c r="E524" t="inlineStr">
        <is>
          <t>TORSBY</t>
        </is>
      </c>
      <c r="G524" t="n">
        <v>3.3</v>
      </c>
      <c r="H524" t="n">
        <v>0</v>
      </c>
      <c r="I524" t="n">
        <v>0</v>
      </c>
      <c r="J524" t="n">
        <v>0</v>
      </c>
      <c r="K524" t="n">
        <v>0</v>
      </c>
      <c r="L524" t="n">
        <v>0</v>
      </c>
      <c r="M524" t="n">
        <v>0</v>
      </c>
      <c r="N524" t="n">
        <v>0</v>
      </c>
      <c r="O524" t="n">
        <v>0</v>
      </c>
      <c r="P524" t="n">
        <v>0</v>
      </c>
      <c r="Q524" t="n">
        <v>0</v>
      </c>
      <c r="R524" s="2" t="inlineStr"/>
    </row>
    <row r="525" ht="15" customHeight="1">
      <c r="A525" t="inlineStr">
        <is>
          <t>A 37913-2022</t>
        </is>
      </c>
      <c r="B525" s="1" t="n">
        <v>44811</v>
      </c>
      <c r="C525" s="1" t="n">
        <v>45969</v>
      </c>
      <c r="D525" t="inlineStr">
        <is>
          <t>VÄRMLANDS LÄN</t>
        </is>
      </c>
      <c r="E525" t="inlineStr">
        <is>
          <t>TORSBY</t>
        </is>
      </c>
      <c r="G525" t="n">
        <v>3.7</v>
      </c>
      <c r="H525" t="n">
        <v>0</v>
      </c>
      <c r="I525" t="n">
        <v>0</v>
      </c>
      <c r="J525" t="n">
        <v>0</v>
      </c>
      <c r="K525" t="n">
        <v>0</v>
      </c>
      <c r="L525" t="n">
        <v>0</v>
      </c>
      <c r="M525" t="n">
        <v>0</v>
      </c>
      <c r="N525" t="n">
        <v>0</v>
      </c>
      <c r="O525" t="n">
        <v>0</v>
      </c>
      <c r="P525" t="n">
        <v>0</v>
      </c>
      <c r="Q525" t="n">
        <v>0</v>
      </c>
      <c r="R525" s="2" t="inlineStr"/>
    </row>
    <row r="526" ht="15" customHeight="1">
      <c r="A526" t="inlineStr">
        <is>
          <t>A 52750-2024</t>
        </is>
      </c>
      <c r="B526" s="1" t="n">
        <v>45610</v>
      </c>
      <c r="C526" s="1" t="n">
        <v>45969</v>
      </c>
      <c r="D526" t="inlineStr">
        <is>
          <t>VÄRMLANDS LÄN</t>
        </is>
      </c>
      <c r="E526" t="inlineStr">
        <is>
          <t>TORSBY</t>
        </is>
      </c>
      <c r="F526" t="inlineStr">
        <is>
          <t>Kyrkan</t>
        </is>
      </c>
      <c r="G526" t="n">
        <v>7.7</v>
      </c>
      <c r="H526" t="n">
        <v>0</v>
      </c>
      <c r="I526" t="n">
        <v>0</v>
      </c>
      <c r="J526" t="n">
        <v>0</v>
      </c>
      <c r="K526" t="n">
        <v>0</v>
      </c>
      <c r="L526" t="n">
        <v>0</v>
      </c>
      <c r="M526" t="n">
        <v>0</v>
      </c>
      <c r="N526" t="n">
        <v>0</v>
      </c>
      <c r="O526" t="n">
        <v>0</v>
      </c>
      <c r="P526" t="n">
        <v>0</v>
      </c>
      <c r="Q526" t="n">
        <v>0</v>
      </c>
      <c r="R526" s="2" t="inlineStr"/>
    </row>
    <row r="527" ht="15" customHeight="1">
      <c r="A527" t="inlineStr">
        <is>
          <t>A 364-2025</t>
        </is>
      </c>
      <c r="B527" s="1" t="n">
        <v>45661</v>
      </c>
      <c r="C527" s="1" t="n">
        <v>45969</v>
      </c>
      <c r="D527" t="inlineStr">
        <is>
          <t>VÄRMLANDS LÄN</t>
        </is>
      </c>
      <c r="E527" t="inlineStr">
        <is>
          <t>TORSBY</t>
        </is>
      </c>
      <c r="G527" t="n">
        <v>5.9</v>
      </c>
      <c r="H527" t="n">
        <v>0</v>
      </c>
      <c r="I527" t="n">
        <v>0</v>
      </c>
      <c r="J527" t="n">
        <v>0</v>
      </c>
      <c r="K527" t="n">
        <v>0</v>
      </c>
      <c r="L527" t="n">
        <v>0</v>
      </c>
      <c r="M527" t="n">
        <v>0</v>
      </c>
      <c r="N527" t="n">
        <v>0</v>
      </c>
      <c r="O527" t="n">
        <v>0</v>
      </c>
      <c r="P527" t="n">
        <v>0</v>
      </c>
      <c r="Q527" t="n">
        <v>0</v>
      </c>
      <c r="R527" s="2" t="inlineStr"/>
    </row>
    <row r="528" ht="15" customHeight="1">
      <c r="A528" t="inlineStr">
        <is>
          <t>A 55428-2022</t>
        </is>
      </c>
      <c r="B528" s="1" t="n">
        <v>44887.60894675926</v>
      </c>
      <c r="C528" s="1" t="n">
        <v>45969</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51662-2024</t>
        </is>
      </c>
      <c r="B529" s="1" t="n">
        <v>45606.75559027777</v>
      </c>
      <c r="C529" s="1" t="n">
        <v>45969</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23264-2022</t>
        </is>
      </c>
      <c r="B530" s="1" t="n">
        <v>44720.40818287037</v>
      </c>
      <c r="C530" s="1" t="n">
        <v>45969</v>
      </c>
      <c r="D530" t="inlineStr">
        <is>
          <t>VÄRMLANDS LÄN</t>
        </is>
      </c>
      <c r="E530" t="inlineStr">
        <is>
          <t>TORSBY</t>
        </is>
      </c>
      <c r="G530" t="n">
        <v>3</v>
      </c>
      <c r="H530" t="n">
        <v>0</v>
      </c>
      <c r="I530" t="n">
        <v>0</v>
      </c>
      <c r="J530" t="n">
        <v>0</v>
      </c>
      <c r="K530" t="n">
        <v>0</v>
      </c>
      <c r="L530" t="n">
        <v>0</v>
      </c>
      <c r="M530" t="n">
        <v>0</v>
      </c>
      <c r="N530" t="n">
        <v>0</v>
      </c>
      <c r="O530" t="n">
        <v>0</v>
      </c>
      <c r="P530" t="n">
        <v>0</v>
      </c>
      <c r="Q530" t="n">
        <v>0</v>
      </c>
      <c r="R530" s="2" t="inlineStr"/>
    </row>
    <row r="531" ht="15" customHeight="1">
      <c r="A531" t="inlineStr">
        <is>
          <t>A 47141-2022</t>
        </is>
      </c>
      <c r="B531" s="1" t="n">
        <v>44852.56548611111</v>
      </c>
      <c r="C531" s="1" t="n">
        <v>45969</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57809-2024</t>
        </is>
      </c>
      <c r="B532" s="1" t="n">
        <v>45631</v>
      </c>
      <c r="C532" s="1" t="n">
        <v>45969</v>
      </c>
      <c r="D532" t="inlineStr">
        <is>
          <t>VÄRMLANDS LÄN</t>
        </is>
      </c>
      <c r="E532" t="inlineStr">
        <is>
          <t>TORSBY</t>
        </is>
      </c>
      <c r="F532" t="inlineStr">
        <is>
          <t>Bergvik skog väst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38315-2025</t>
        </is>
      </c>
      <c r="B533" s="1" t="n">
        <v>45883.47824074074</v>
      </c>
      <c r="C533" s="1" t="n">
        <v>45969</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31936-2023</t>
        </is>
      </c>
      <c r="B534" s="1" t="n">
        <v>45107</v>
      </c>
      <c r="C534" s="1" t="n">
        <v>45969</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22702-2023</t>
        </is>
      </c>
      <c r="B535" s="1" t="n">
        <v>45071</v>
      </c>
      <c r="C535" s="1" t="n">
        <v>45969</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27363-2024</t>
        </is>
      </c>
      <c r="B536" s="1" t="n">
        <v>45473</v>
      </c>
      <c r="C536" s="1" t="n">
        <v>45969</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17941-2021</t>
        </is>
      </c>
      <c r="B537" s="1" t="n">
        <v>44301</v>
      </c>
      <c r="C537" s="1" t="n">
        <v>45969</v>
      </c>
      <c r="D537" t="inlineStr">
        <is>
          <t>VÄRMLANDS LÄN</t>
        </is>
      </c>
      <c r="E537" t="inlineStr">
        <is>
          <t>TORSBY</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52901-2022</t>
        </is>
      </c>
      <c r="B538" s="1" t="n">
        <v>44872</v>
      </c>
      <c r="C538" s="1" t="n">
        <v>45969</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9793-2024</t>
        </is>
      </c>
      <c r="B539" s="1" t="n">
        <v>45362.71013888889</v>
      </c>
      <c r="C539" s="1" t="n">
        <v>45969</v>
      </c>
      <c r="D539" t="inlineStr">
        <is>
          <t>VÄRMLANDS LÄN</t>
        </is>
      </c>
      <c r="E539" t="inlineStr">
        <is>
          <t>TORSBY</t>
        </is>
      </c>
      <c r="G539" t="n">
        <v>6</v>
      </c>
      <c r="H539" t="n">
        <v>0</v>
      </c>
      <c r="I539" t="n">
        <v>0</v>
      </c>
      <c r="J539" t="n">
        <v>0</v>
      </c>
      <c r="K539" t="n">
        <v>0</v>
      </c>
      <c r="L539" t="n">
        <v>0</v>
      </c>
      <c r="M539" t="n">
        <v>0</v>
      </c>
      <c r="N539" t="n">
        <v>0</v>
      </c>
      <c r="O539" t="n">
        <v>0</v>
      </c>
      <c r="P539" t="n">
        <v>0</v>
      </c>
      <c r="Q539" t="n">
        <v>0</v>
      </c>
      <c r="R539" s="2" t="inlineStr"/>
    </row>
    <row r="540" ht="15" customHeight="1">
      <c r="A540" t="inlineStr">
        <is>
          <t>A 57452-2022</t>
        </is>
      </c>
      <c r="B540" s="1" t="n">
        <v>44896.55787037037</v>
      </c>
      <c r="C540" s="1" t="n">
        <v>45969</v>
      </c>
      <c r="D540" t="inlineStr">
        <is>
          <t>VÄRMLANDS LÄN</t>
        </is>
      </c>
      <c r="E540" t="inlineStr">
        <is>
          <t>TORSBY</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38232-2025</t>
        </is>
      </c>
      <c r="B541" s="1" t="n">
        <v>45883</v>
      </c>
      <c r="C541" s="1" t="n">
        <v>45969</v>
      </c>
      <c r="D541" t="inlineStr">
        <is>
          <t>VÄRMLANDS LÄN</t>
        </is>
      </c>
      <c r="E541" t="inlineStr">
        <is>
          <t>TORSBY</t>
        </is>
      </c>
      <c r="F541" t="inlineStr">
        <is>
          <t>Bergvik skog väst AB</t>
        </is>
      </c>
      <c r="G541" t="n">
        <v>4.3</v>
      </c>
      <c r="H541" t="n">
        <v>0</v>
      </c>
      <c r="I541" t="n">
        <v>0</v>
      </c>
      <c r="J541" t="n">
        <v>0</v>
      </c>
      <c r="K541" t="n">
        <v>0</v>
      </c>
      <c r="L541" t="n">
        <v>0</v>
      </c>
      <c r="M541" t="n">
        <v>0</v>
      </c>
      <c r="N541" t="n">
        <v>0</v>
      </c>
      <c r="O541" t="n">
        <v>0</v>
      </c>
      <c r="P541" t="n">
        <v>0</v>
      </c>
      <c r="Q541" t="n">
        <v>0</v>
      </c>
      <c r="R541" s="2" t="inlineStr"/>
    </row>
    <row r="542" ht="15" customHeight="1">
      <c r="A542" t="inlineStr">
        <is>
          <t>A 32343-2024</t>
        </is>
      </c>
      <c r="B542" s="1" t="n">
        <v>45512.520625</v>
      </c>
      <c r="C542" s="1" t="n">
        <v>45969</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38397-2025</t>
        </is>
      </c>
      <c r="B543" s="1" t="n">
        <v>45883</v>
      </c>
      <c r="C543" s="1" t="n">
        <v>45969</v>
      </c>
      <c r="D543" t="inlineStr">
        <is>
          <t>VÄRMLANDS LÄN</t>
        </is>
      </c>
      <c r="E543" t="inlineStr">
        <is>
          <t>TORSBY</t>
        </is>
      </c>
      <c r="G543" t="n">
        <v>3.7</v>
      </c>
      <c r="H543" t="n">
        <v>0</v>
      </c>
      <c r="I543" t="n">
        <v>0</v>
      </c>
      <c r="J543" t="n">
        <v>0</v>
      </c>
      <c r="K543" t="n">
        <v>0</v>
      </c>
      <c r="L543" t="n">
        <v>0</v>
      </c>
      <c r="M543" t="n">
        <v>0</v>
      </c>
      <c r="N543" t="n">
        <v>0</v>
      </c>
      <c r="O543" t="n">
        <v>0</v>
      </c>
      <c r="P543" t="n">
        <v>0</v>
      </c>
      <c r="Q543" t="n">
        <v>0</v>
      </c>
      <c r="R543" s="2" t="inlineStr"/>
    </row>
    <row r="544" ht="15" customHeight="1">
      <c r="A544" t="inlineStr">
        <is>
          <t>A 57071-2022</t>
        </is>
      </c>
      <c r="B544" s="1" t="n">
        <v>44895.42334490741</v>
      </c>
      <c r="C544" s="1" t="n">
        <v>45969</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61206-2024</t>
        </is>
      </c>
      <c r="B545" s="1" t="n">
        <v>45645.64626157407</v>
      </c>
      <c r="C545" s="1" t="n">
        <v>45969</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38249-2025</t>
        </is>
      </c>
      <c r="B546" s="1" t="n">
        <v>45883</v>
      </c>
      <c r="C546" s="1" t="n">
        <v>45969</v>
      </c>
      <c r="D546" t="inlineStr">
        <is>
          <t>VÄRMLANDS LÄN</t>
        </is>
      </c>
      <c r="E546" t="inlineStr">
        <is>
          <t>TORSBY</t>
        </is>
      </c>
      <c r="F546" t="inlineStr">
        <is>
          <t>Bergvik skog väst AB</t>
        </is>
      </c>
      <c r="G546" t="n">
        <v>4.3</v>
      </c>
      <c r="H546" t="n">
        <v>0</v>
      </c>
      <c r="I546" t="n">
        <v>0</v>
      </c>
      <c r="J546" t="n">
        <v>0</v>
      </c>
      <c r="K546" t="n">
        <v>0</v>
      </c>
      <c r="L546" t="n">
        <v>0</v>
      </c>
      <c r="M546" t="n">
        <v>0</v>
      </c>
      <c r="N546" t="n">
        <v>0</v>
      </c>
      <c r="O546" t="n">
        <v>0</v>
      </c>
      <c r="P546" t="n">
        <v>0</v>
      </c>
      <c r="Q546" t="n">
        <v>0</v>
      </c>
      <c r="R546" s="2" t="inlineStr"/>
    </row>
    <row r="547" ht="15" customHeight="1">
      <c r="A547" t="inlineStr">
        <is>
          <t>A 32747-2021</t>
        </is>
      </c>
      <c r="B547" s="1" t="n">
        <v>44375</v>
      </c>
      <c r="C547" s="1" t="n">
        <v>45969</v>
      </c>
      <c r="D547" t="inlineStr">
        <is>
          <t>VÄRMLANDS LÄN</t>
        </is>
      </c>
      <c r="E547" t="inlineStr">
        <is>
          <t>TORSBY</t>
        </is>
      </c>
      <c r="G547" t="n">
        <v>6.3</v>
      </c>
      <c r="H547" t="n">
        <v>0</v>
      </c>
      <c r="I547" t="n">
        <v>0</v>
      </c>
      <c r="J547" t="n">
        <v>0</v>
      </c>
      <c r="K547" t="n">
        <v>0</v>
      </c>
      <c r="L547" t="n">
        <v>0</v>
      </c>
      <c r="M547" t="n">
        <v>0</v>
      </c>
      <c r="N547" t="n">
        <v>0</v>
      </c>
      <c r="O547" t="n">
        <v>0</v>
      </c>
      <c r="P547" t="n">
        <v>0</v>
      </c>
      <c r="Q547" t="n">
        <v>0</v>
      </c>
      <c r="R547" s="2" t="inlineStr"/>
    </row>
    <row r="548" ht="15" customHeight="1">
      <c r="A548" t="inlineStr">
        <is>
          <t>A 39069-2022</t>
        </is>
      </c>
      <c r="B548" s="1" t="n">
        <v>44816</v>
      </c>
      <c r="C548" s="1" t="n">
        <v>45969</v>
      </c>
      <c r="D548" t="inlineStr">
        <is>
          <t>VÄRMLANDS LÄN</t>
        </is>
      </c>
      <c r="E548" t="inlineStr">
        <is>
          <t>TORSBY</t>
        </is>
      </c>
      <c r="G548" t="n">
        <v>0.3</v>
      </c>
      <c r="H548" t="n">
        <v>0</v>
      </c>
      <c r="I548" t="n">
        <v>0</v>
      </c>
      <c r="J548" t="n">
        <v>0</v>
      </c>
      <c r="K548" t="n">
        <v>0</v>
      </c>
      <c r="L548" t="n">
        <v>0</v>
      </c>
      <c r="M548" t="n">
        <v>0</v>
      </c>
      <c r="N548" t="n">
        <v>0</v>
      </c>
      <c r="O548" t="n">
        <v>0</v>
      </c>
      <c r="P548" t="n">
        <v>0</v>
      </c>
      <c r="Q548" t="n">
        <v>0</v>
      </c>
      <c r="R548" s="2" t="inlineStr"/>
    </row>
    <row r="549" ht="15" customHeight="1">
      <c r="A549" t="inlineStr">
        <is>
          <t>A 10584-2023</t>
        </is>
      </c>
      <c r="B549" s="1" t="n">
        <v>44988.36736111111</v>
      </c>
      <c r="C549" s="1" t="n">
        <v>45969</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40036-2022</t>
        </is>
      </c>
      <c r="B550" s="1" t="n">
        <v>44820.43179398148</v>
      </c>
      <c r="C550" s="1" t="n">
        <v>45969</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17153-2025</t>
        </is>
      </c>
      <c r="B551" s="1" t="n">
        <v>45756</v>
      </c>
      <c r="C551" s="1" t="n">
        <v>45969</v>
      </c>
      <c r="D551" t="inlineStr">
        <is>
          <t>VÄRMLANDS LÄN</t>
        </is>
      </c>
      <c r="E551" t="inlineStr">
        <is>
          <t>TORSBY</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20182-2021</t>
        </is>
      </c>
      <c r="B552" s="1" t="n">
        <v>44312</v>
      </c>
      <c r="C552" s="1" t="n">
        <v>45969</v>
      </c>
      <c r="D552" t="inlineStr">
        <is>
          <t>VÄRMLANDS LÄN</t>
        </is>
      </c>
      <c r="E552" t="inlineStr">
        <is>
          <t>TORSBY</t>
        </is>
      </c>
      <c r="G552" t="n">
        <v>14.4</v>
      </c>
      <c r="H552" t="n">
        <v>0</v>
      </c>
      <c r="I552" t="n">
        <v>0</v>
      </c>
      <c r="J552" t="n">
        <v>0</v>
      </c>
      <c r="K552" t="n">
        <v>0</v>
      </c>
      <c r="L552" t="n">
        <v>0</v>
      </c>
      <c r="M552" t="n">
        <v>0</v>
      </c>
      <c r="N552" t="n">
        <v>0</v>
      </c>
      <c r="O552" t="n">
        <v>0</v>
      </c>
      <c r="P552" t="n">
        <v>0</v>
      </c>
      <c r="Q552" t="n">
        <v>0</v>
      </c>
      <c r="R552" s="2" t="inlineStr"/>
    </row>
    <row r="553" ht="15" customHeight="1">
      <c r="A553" t="inlineStr">
        <is>
          <t>A 39003-2021</t>
        </is>
      </c>
      <c r="B553" s="1" t="n">
        <v>44412</v>
      </c>
      <c r="C553" s="1" t="n">
        <v>45969</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39260-2021</t>
        </is>
      </c>
      <c r="B554" s="1" t="n">
        <v>44413</v>
      </c>
      <c r="C554" s="1" t="n">
        <v>45969</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375-2025</t>
        </is>
      </c>
      <c r="B555" s="1" t="n">
        <v>45661</v>
      </c>
      <c r="C555" s="1" t="n">
        <v>45969</v>
      </c>
      <c r="D555" t="inlineStr">
        <is>
          <t>VÄRMLANDS LÄN</t>
        </is>
      </c>
      <c r="E555" t="inlineStr">
        <is>
          <t>TORSBY</t>
        </is>
      </c>
      <c r="G555" t="n">
        <v>5.5</v>
      </c>
      <c r="H555" t="n">
        <v>0</v>
      </c>
      <c r="I555" t="n">
        <v>0</v>
      </c>
      <c r="J555" t="n">
        <v>0</v>
      </c>
      <c r="K555" t="n">
        <v>0</v>
      </c>
      <c r="L555" t="n">
        <v>0</v>
      </c>
      <c r="M555" t="n">
        <v>0</v>
      </c>
      <c r="N555" t="n">
        <v>0</v>
      </c>
      <c r="O555" t="n">
        <v>0</v>
      </c>
      <c r="P555" t="n">
        <v>0</v>
      </c>
      <c r="Q555" t="n">
        <v>0</v>
      </c>
      <c r="R555" s="2" t="inlineStr"/>
    </row>
    <row r="556" ht="15" customHeight="1">
      <c r="A556" t="inlineStr">
        <is>
          <t>A 47077-2023</t>
        </is>
      </c>
      <c r="B556" s="1" t="n">
        <v>45201</v>
      </c>
      <c r="C556" s="1" t="n">
        <v>45969</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38662-2025</t>
        </is>
      </c>
      <c r="B557" s="1" t="n">
        <v>45884.61193287037</v>
      </c>
      <c r="C557" s="1" t="n">
        <v>45969</v>
      </c>
      <c r="D557" t="inlineStr">
        <is>
          <t>VÄRMLANDS LÄN</t>
        </is>
      </c>
      <c r="E557" t="inlineStr">
        <is>
          <t>TORSBY</t>
        </is>
      </c>
      <c r="F557" t="inlineStr">
        <is>
          <t>Bergvik skog väst AB</t>
        </is>
      </c>
      <c r="G557" t="n">
        <v>5.1</v>
      </c>
      <c r="H557" t="n">
        <v>0</v>
      </c>
      <c r="I557" t="n">
        <v>0</v>
      </c>
      <c r="J557" t="n">
        <v>0</v>
      </c>
      <c r="K557" t="n">
        <v>0</v>
      </c>
      <c r="L557" t="n">
        <v>0</v>
      </c>
      <c r="M557" t="n">
        <v>0</v>
      </c>
      <c r="N557" t="n">
        <v>0</v>
      </c>
      <c r="O557" t="n">
        <v>0</v>
      </c>
      <c r="P557" t="n">
        <v>0</v>
      </c>
      <c r="Q557" t="n">
        <v>0</v>
      </c>
      <c r="R557" s="2" t="inlineStr"/>
    </row>
    <row r="558" ht="15" customHeight="1">
      <c r="A558" t="inlineStr">
        <is>
          <t>A 37818-2025</t>
        </is>
      </c>
      <c r="B558" s="1" t="n">
        <v>45881</v>
      </c>
      <c r="C558" s="1" t="n">
        <v>45969</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36318-2022</t>
        </is>
      </c>
      <c r="B559" s="1" t="n">
        <v>44803</v>
      </c>
      <c r="C559" s="1" t="n">
        <v>45969</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1979-2023</t>
        </is>
      </c>
      <c r="B560" s="1" t="n">
        <v>44939</v>
      </c>
      <c r="C560" s="1" t="n">
        <v>45969</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1092-2025</t>
        </is>
      </c>
      <c r="B561" s="1" t="n">
        <v>45666.6333912037</v>
      </c>
      <c r="C561" s="1" t="n">
        <v>45969</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42347-2021</t>
        </is>
      </c>
      <c r="B562" s="1" t="n">
        <v>44427</v>
      </c>
      <c r="C562" s="1" t="n">
        <v>45969</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29908-2022</t>
        </is>
      </c>
      <c r="B563" s="1" t="n">
        <v>44756</v>
      </c>
      <c r="C563" s="1" t="n">
        <v>45969</v>
      </c>
      <c r="D563" t="inlineStr">
        <is>
          <t>VÄRMLANDS LÄN</t>
        </is>
      </c>
      <c r="E563" t="inlineStr">
        <is>
          <t>TORSBY</t>
        </is>
      </c>
      <c r="F563" t="inlineStr">
        <is>
          <t>Kommuner</t>
        </is>
      </c>
      <c r="G563" t="n">
        <v>1.9</v>
      </c>
      <c r="H563" t="n">
        <v>0</v>
      </c>
      <c r="I563" t="n">
        <v>0</v>
      </c>
      <c r="J563" t="n">
        <v>0</v>
      </c>
      <c r="K563" t="n">
        <v>0</v>
      </c>
      <c r="L563" t="n">
        <v>0</v>
      </c>
      <c r="M563" t="n">
        <v>0</v>
      </c>
      <c r="N563" t="n">
        <v>0</v>
      </c>
      <c r="O563" t="n">
        <v>0</v>
      </c>
      <c r="P563" t="n">
        <v>0</v>
      </c>
      <c r="Q563" t="n">
        <v>0</v>
      </c>
      <c r="R563" s="2" t="inlineStr"/>
    </row>
    <row r="564" ht="15" customHeight="1">
      <c r="A564" t="inlineStr">
        <is>
          <t>A 15175-2024</t>
        </is>
      </c>
      <c r="B564" s="1" t="n">
        <v>45400</v>
      </c>
      <c r="C564" s="1" t="n">
        <v>45969</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21308-2024</t>
        </is>
      </c>
      <c r="B565" s="1" t="n">
        <v>45440</v>
      </c>
      <c r="C565" s="1" t="n">
        <v>45969</v>
      </c>
      <c r="D565" t="inlineStr">
        <is>
          <t>VÄRMLANDS LÄN</t>
        </is>
      </c>
      <c r="E565" t="inlineStr">
        <is>
          <t>TORSBY</t>
        </is>
      </c>
      <c r="G565" t="n">
        <v>18.9</v>
      </c>
      <c r="H565" t="n">
        <v>0</v>
      </c>
      <c r="I565" t="n">
        <v>0</v>
      </c>
      <c r="J565" t="n">
        <v>0</v>
      </c>
      <c r="K565" t="n">
        <v>0</v>
      </c>
      <c r="L565" t="n">
        <v>0</v>
      </c>
      <c r="M565" t="n">
        <v>0</v>
      </c>
      <c r="N565" t="n">
        <v>0</v>
      </c>
      <c r="O565" t="n">
        <v>0</v>
      </c>
      <c r="P565" t="n">
        <v>0</v>
      </c>
      <c r="Q565" t="n">
        <v>0</v>
      </c>
      <c r="R565" s="2" t="inlineStr"/>
    </row>
    <row r="566" ht="15" customHeight="1">
      <c r="A566" t="inlineStr">
        <is>
          <t>A 22565-2024</t>
        </is>
      </c>
      <c r="B566" s="1" t="n">
        <v>45447</v>
      </c>
      <c r="C566" s="1" t="n">
        <v>45969</v>
      </c>
      <c r="D566" t="inlineStr">
        <is>
          <t>VÄRMLANDS LÄN</t>
        </is>
      </c>
      <c r="E566" t="inlineStr">
        <is>
          <t>TORSBY</t>
        </is>
      </c>
      <c r="G566" t="n">
        <v>3</v>
      </c>
      <c r="H566" t="n">
        <v>0</v>
      </c>
      <c r="I566" t="n">
        <v>0</v>
      </c>
      <c r="J566" t="n">
        <v>0</v>
      </c>
      <c r="K566" t="n">
        <v>0</v>
      </c>
      <c r="L566" t="n">
        <v>0</v>
      </c>
      <c r="M566" t="n">
        <v>0</v>
      </c>
      <c r="N566" t="n">
        <v>0</v>
      </c>
      <c r="O566" t="n">
        <v>0</v>
      </c>
      <c r="P566" t="n">
        <v>0</v>
      </c>
      <c r="Q566" t="n">
        <v>0</v>
      </c>
      <c r="R566" s="2" t="inlineStr"/>
    </row>
    <row r="567" ht="15" customHeight="1">
      <c r="A567" t="inlineStr">
        <is>
          <t>A 16591-2024</t>
        </is>
      </c>
      <c r="B567" s="1" t="n">
        <v>45408.49420138889</v>
      </c>
      <c r="C567" s="1" t="n">
        <v>45969</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38497-2025</t>
        </is>
      </c>
      <c r="B568" s="1" t="n">
        <v>45884</v>
      </c>
      <c r="C568" s="1" t="n">
        <v>45969</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17184-2023</t>
        </is>
      </c>
      <c r="B569" s="1" t="n">
        <v>45034.69127314815</v>
      </c>
      <c r="C569" s="1" t="n">
        <v>45969</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42428-2024</t>
        </is>
      </c>
      <c r="B570" s="1" t="n">
        <v>45565</v>
      </c>
      <c r="C570" s="1" t="n">
        <v>45969</v>
      </c>
      <c r="D570" t="inlineStr">
        <is>
          <t>VÄRMLANDS LÄN</t>
        </is>
      </c>
      <c r="E570" t="inlineStr">
        <is>
          <t>TORSBY</t>
        </is>
      </c>
      <c r="F570" t="inlineStr">
        <is>
          <t>Bergvik skog väst AB</t>
        </is>
      </c>
      <c r="G570" t="n">
        <v>20.7</v>
      </c>
      <c r="H570" t="n">
        <v>0</v>
      </c>
      <c r="I570" t="n">
        <v>0</v>
      </c>
      <c r="J570" t="n">
        <v>0</v>
      </c>
      <c r="K570" t="n">
        <v>0</v>
      </c>
      <c r="L570" t="n">
        <v>0</v>
      </c>
      <c r="M570" t="n">
        <v>0</v>
      </c>
      <c r="N570" t="n">
        <v>0</v>
      </c>
      <c r="O570" t="n">
        <v>0</v>
      </c>
      <c r="P570" t="n">
        <v>0</v>
      </c>
      <c r="Q570" t="n">
        <v>0</v>
      </c>
      <c r="R570" s="2" t="inlineStr"/>
    </row>
    <row r="571" ht="15" customHeight="1">
      <c r="A571" t="inlineStr">
        <is>
          <t>A 38536-2025</t>
        </is>
      </c>
      <c r="B571" s="1" t="n">
        <v>45884.42</v>
      </c>
      <c r="C571" s="1" t="n">
        <v>45969</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25163-2023</t>
        </is>
      </c>
      <c r="B572" s="1" t="n">
        <v>45086</v>
      </c>
      <c r="C572" s="1" t="n">
        <v>45969</v>
      </c>
      <c r="D572" t="inlineStr">
        <is>
          <t>VÄRMLANDS LÄN</t>
        </is>
      </c>
      <c r="E572" t="inlineStr">
        <is>
          <t>TORSBY</t>
        </is>
      </c>
      <c r="G572" t="n">
        <v>5.2</v>
      </c>
      <c r="H572" t="n">
        <v>0</v>
      </c>
      <c r="I572" t="n">
        <v>0</v>
      </c>
      <c r="J572" t="n">
        <v>0</v>
      </c>
      <c r="K572" t="n">
        <v>0</v>
      </c>
      <c r="L572" t="n">
        <v>0</v>
      </c>
      <c r="M572" t="n">
        <v>0</v>
      </c>
      <c r="N572" t="n">
        <v>0</v>
      </c>
      <c r="O572" t="n">
        <v>0</v>
      </c>
      <c r="P572" t="n">
        <v>0</v>
      </c>
      <c r="Q572" t="n">
        <v>0</v>
      </c>
      <c r="R572" s="2" t="inlineStr"/>
    </row>
    <row r="573" ht="15" customHeight="1">
      <c r="A573" t="inlineStr">
        <is>
          <t>A 41264-2022</t>
        </is>
      </c>
      <c r="B573" s="1" t="n">
        <v>44823</v>
      </c>
      <c r="C573" s="1" t="n">
        <v>45969</v>
      </c>
      <c r="D573" t="inlineStr">
        <is>
          <t>VÄRMLANDS LÄN</t>
        </is>
      </c>
      <c r="E573" t="inlineStr">
        <is>
          <t>TORSBY</t>
        </is>
      </c>
      <c r="G573" t="n">
        <v>6.5</v>
      </c>
      <c r="H573" t="n">
        <v>0</v>
      </c>
      <c r="I573" t="n">
        <v>0</v>
      </c>
      <c r="J573" t="n">
        <v>0</v>
      </c>
      <c r="K573" t="n">
        <v>0</v>
      </c>
      <c r="L573" t="n">
        <v>0</v>
      </c>
      <c r="M573" t="n">
        <v>0</v>
      </c>
      <c r="N573" t="n">
        <v>0</v>
      </c>
      <c r="O573" t="n">
        <v>0</v>
      </c>
      <c r="P573" t="n">
        <v>0</v>
      </c>
      <c r="Q573" t="n">
        <v>0</v>
      </c>
      <c r="R573" s="2" t="inlineStr"/>
    </row>
    <row r="574" ht="15" customHeight="1">
      <c r="A574" t="inlineStr">
        <is>
          <t>A 40987-2024</t>
        </is>
      </c>
      <c r="B574" s="1" t="n">
        <v>45558</v>
      </c>
      <c r="C574" s="1" t="n">
        <v>45969</v>
      </c>
      <c r="D574" t="inlineStr">
        <is>
          <t>VÄRMLANDS LÄN</t>
        </is>
      </c>
      <c r="E574" t="inlineStr">
        <is>
          <t>TORSBY</t>
        </is>
      </c>
      <c r="G574" t="n">
        <v>11.6</v>
      </c>
      <c r="H574" t="n">
        <v>0</v>
      </c>
      <c r="I574" t="n">
        <v>0</v>
      </c>
      <c r="J574" t="n">
        <v>0</v>
      </c>
      <c r="K574" t="n">
        <v>0</v>
      </c>
      <c r="L574" t="n">
        <v>0</v>
      </c>
      <c r="M574" t="n">
        <v>0</v>
      </c>
      <c r="N574" t="n">
        <v>0</v>
      </c>
      <c r="O574" t="n">
        <v>0</v>
      </c>
      <c r="P574" t="n">
        <v>0</v>
      </c>
      <c r="Q574" t="n">
        <v>0</v>
      </c>
      <c r="R574" s="2" t="inlineStr"/>
    </row>
    <row r="575" ht="15" customHeight="1">
      <c r="A575" t="inlineStr">
        <is>
          <t>A 40590-2021</t>
        </is>
      </c>
      <c r="B575" s="1" t="n">
        <v>44420</v>
      </c>
      <c r="C575" s="1" t="n">
        <v>45969</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31830-2024</t>
        </is>
      </c>
      <c r="B576" s="1" t="n">
        <v>45509</v>
      </c>
      <c r="C576" s="1" t="n">
        <v>45969</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52581-2024</t>
        </is>
      </c>
      <c r="B577" s="1" t="n">
        <v>45609</v>
      </c>
      <c r="C577" s="1" t="n">
        <v>45969</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36184-2024</t>
        </is>
      </c>
      <c r="B578" s="1" t="n">
        <v>45534.4178125</v>
      </c>
      <c r="C578" s="1" t="n">
        <v>45969</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60148-2024</t>
        </is>
      </c>
      <c r="B579" s="1" t="n">
        <v>45642</v>
      </c>
      <c r="C579" s="1" t="n">
        <v>45969</v>
      </c>
      <c r="D579" t="inlineStr">
        <is>
          <t>VÄRMLANDS LÄN</t>
        </is>
      </c>
      <c r="E579" t="inlineStr">
        <is>
          <t>TORSBY</t>
        </is>
      </c>
      <c r="G579" t="n">
        <v>12.4</v>
      </c>
      <c r="H579" t="n">
        <v>0</v>
      </c>
      <c r="I579" t="n">
        <v>0</v>
      </c>
      <c r="J579" t="n">
        <v>0</v>
      </c>
      <c r="K579" t="n">
        <v>0</v>
      </c>
      <c r="L579" t="n">
        <v>0</v>
      </c>
      <c r="M579" t="n">
        <v>0</v>
      </c>
      <c r="N579" t="n">
        <v>0</v>
      </c>
      <c r="O579" t="n">
        <v>0</v>
      </c>
      <c r="P579" t="n">
        <v>0</v>
      </c>
      <c r="Q579" t="n">
        <v>0</v>
      </c>
      <c r="R579" s="2" t="inlineStr"/>
    </row>
    <row r="580" ht="15" customHeight="1">
      <c r="A580" t="inlineStr">
        <is>
          <t>A 17065-2025</t>
        </is>
      </c>
      <c r="B580" s="1" t="n">
        <v>45754</v>
      </c>
      <c r="C580" s="1" t="n">
        <v>45969</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44532-2022</t>
        </is>
      </c>
      <c r="B581" s="1" t="n">
        <v>44840</v>
      </c>
      <c r="C581" s="1" t="n">
        <v>45969</v>
      </c>
      <c r="D581" t="inlineStr">
        <is>
          <t>VÄRMLANDS LÄN</t>
        </is>
      </c>
      <c r="E581" t="inlineStr">
        <is>
          <t>TORSBY</t>
        </is>
      </c>
      <c r="G581" t="n">
        <v>12.3</v>
      </c>
      <c r="H581" t="n">
        <v>0</v>
      </c>
      <c r="I581" t="n">
        <v>0</v>
      </c>
      <c r="J581" t="n">
        <v>0</v>
      </c>
      <c r="K581" t="n">
        <v>0</v>
      </c>
      <c r="L581" t="n">
        <v>0</v>
      </c>
      <c r="M581" t="n">
        <v>0</v>
      </c>
      <c r="N581" t="n">
        <v>0</v>
      </c>
      <c r="O581" t="n">
        <v>0</v>
      </c>
      <c r="P581" t="n">
        <v>0</v>
      </c>
      <c r="Q581" t="n">
        <v>0</v>
      </c>
      <c r="R581" s="2" t="inlineStr"/>
    </row>
    <row r="582" ht="15" customHeight="1">
      <c r="A582" t="inlineStr">
        <is>
          <t>A 27101-2024</t>
        </is>
      </c>
      <c r="B582" s="1" t="n">
        <v>45471</v>
      </c>
      <c r="C582" s="1" t="n">
        <v>45969</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27116-2024</t>
        </is>
      </c>
      <c r="B583" s="1" t="n">
        <v>45471.5056712963</v>
      </c>
      <c r="C583" s="1" t="n">
        <v>45969</v>
      </c>
      <c r="D583" t="inlineStr">
        <is>
          <t>VÄRMLANDS LÄN</t>
        </is>
      </c>
      <c r="E583" t="inlineStr">
        <is>
          <t>TORSBY</t>
        </is>
      </c>
      <c r="G583" t="n">
        <v>0.3</v>
      </c>
      <c r="H583" t="n">
        <v>0</v>
      </c>
      <c r="I583" t="n">
        <v>0</v>
      </c>
      <c r="J583" t="n">
        <v>0</v>
      </c>
      <c r="K583" t="n">
        <v>0</v>
      </c>
      <c r="L583" t="n">
        <v>0</v>
      </c>
      <c r="M583" t="n">
        <v>0</v>
      </c>
      <c r="N583" t="n">
        <v>0</v>
      </c>
      <c r="O583" t="n">
        <v>0</v>
      </c>
      <c r="P583" t="n">
        <v>0</v>
      </c>
      <c r="Q583" t="n">
        <v>0</v>
      </c>
      <c r="R583" s="2" t="inlineStr"/>
    </row>
    <row r="584" ht="15" customHeight="1">
      <c r="A584" t="inlineStr">
        <is>
          <t>A 14801-2025</t>
        </is>
      </c>
      <c r="B584" s="1" t="n">
        <v>45743</v>
      </c>
      <c r="C584" s="1" t="n">
        <v>45969</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47495-2025</t>
        </is>
      </c>
      <c r="B585" s="1" t="n">
        <v>45930.79185185185</v>
      </c>
      <c r="C585" s="1" t="n">
        <v>45969</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24717-2024</t>
        </is>
      </c>
      <c r="B586" s="1" t="n">
        <v>45460</v>
      </c>
      <c r="C586" s="1" t="n">
        <v>45969</v>
      </c>
      <c r="D586" t="inlineStr">
        <is>
          <t>VÄRMLANDS LÄN</t>
        </is>
      </c>
      <c r="E586" t="inlineStr">
        <is>
          <t>TORSBY</t>
        </is>
      </c>
      <c r="F586" t="inlineStr">
        <is>
          <t>Övriga statliga verk och myndigheter</t>
        </is>
      </c>
      <c r="G586" t="n">
        <v>2.1</v>
      </c>
      <c r="H586" t="n">
        <v>0</v>
      </c>
      <c r="I586" t="n">
        <v>0</v>
      </c>
      <c r="J586" t="n">
        <v>0</v>
      </c>
      <c r="K586" t="n">
        <v>0</v>
      </c>
      <c r="L586" t="n">
        <v>0</v>
      </c>
      <c r="M586" t="n">
        <v>0</v>
      </c>
      <c r="N586" t="n">
        <v>0</v>
      </c>
      <c r="O586" t="n">
        <v>0</v>
      </c>
      <c r="P586" t="n">
        <v>0</v>
      </c>
      <c r="Q586" t="n">
        <v>0</v>
      </c>
      <c r="R586" s="2" t="inlineStr"/>
    </row>
    <row r="587" ht="15" customHeight="1">
      <c r="A587" t="inlineStr">
        <is>
          <t>A 6968-2025</t>
        </is>
      </c>
      <c r="B587" s="1" t="n">
        <v>45701.53253472222</v>
      </c>
      <c r="C587" s="1" t="n">
        <v>45969</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53921-2023</t>
        </is>
      </c>
      <c r="B588" s="1" t="n">
        <v>45231</v>
      </c>
      <c r="C588" s="1" t="n">
        <v>45969</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47494-2025</t>
        </is>
      </c>
      <c r="B589" s="1" t="n">
        <v>45930.78428240741</v>
      </c>
      <c r="C589" s="1" t="n">
        <v>45969</v>
      </c>
      <c r="D589" t="inlineStr">
        <is>
          <t>VÄRMLANDS LÄN</t>
        </is>
      </c>
      <c r="E589" t="inlineStr">
        <is>
          <t>TORSBY</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16309-2023</t>
        </is>
      </c>
      <c r="B590" s="1" t="n">
        <v>45028.58873842593</v>
      </c>
      <c r="C590" s="1" t="n">
        <v>45969</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30011-2024</t>
        </is>
      </c>
      <c r="B591" s="1" t="n">
        <v>45488</v>
      </c>
      <c r="C591" s="1" t="n">
        <v>45969</v>
      </c>
      <c r="D591" t="inlineStr">
        <is>
          <t>VÄRMLANDS LÄN</t>
        </is>
      </c>
      <c r="E591" t="inlineStr">
        <is>
          <t>TORSBY</t>
        </is>
      </c>
      <c r="F591" t="inlineStr">
        <is>
          <t>Kommuner</t>
        </is>
      </c>
      <c r="G591" t="n">
        <v>4.7</v>
      </c>
      <c r="H591" t="n">
        <v>0</v>
      </c>
      <c r="I591" t="n">
        <v>0</v>
      </c>
      <c r="J591" t="n">
        <v>0</v>
      </c>
      <c r="K591" t="n">
        <v>0</v>
      </c>
      <c r="L591" t="n">
        <v>0</v>
      </c>
      <c r="M591" t="n">
        <v>0</v>
      </c>
      <c r="N591" t="n">
        <v>0</v>
      </c>
      <c r="O591" t="n">
        <v>0</v>
      </c>
      <c r="P591" t="n">
        <v>0</v>
      </c>
      <c r="Q591" t="n">
        <v>0</v>
      </c>
      <c r="R591" s="2" t="inlineStr"/>
    </row>
    <row r="592" ht="15" customHeight="1">
      <c r="A592" t="inlineStr">
        <is>
          <t>A 39208-2025</t>
        </is>
      </c>
      <c r="B592" s="1" t="n">
        <v>45888</v>
      </c>
      <c r="C592" s="1" t="n">
        <v>45969</v>
      </c>
      <c r="D592" t="inlineStr">
        <is>
          <t>VÄRMLANDS LÄN</t>
        </is>
      </c>
      <c r="E592" t="inlineStr">
        <is>
          <t>TORSBY</t>
        </is>
      </c>
      <c r="F592" t="inlineStr">
        <is>
          <t>Bergvik skog väst AB</t>
        </is>
      </c>
      <c r="G592" t="n">
        <v>39.1</v>
      </c>
      <c r="H592" t="n">
        <v>0</v>
      </c>
      <c r="I592" t="n">
        <v>0</v>
      </c>
      <c r="J592" t="n">
        <v>0</v>
      </c>
      <c r="K592" t="n">
        <v>0</v>
      </c>
      <c r="L592" t="n">
        <v>0</v>
      </c>
      <c r="M592" t="n">
        <v>0</v>
      </c>
      <c r="N592" t="n">
        <v>0</v>
      </c>
      <c r="O592" t="n">
        <v>0</v>
      </c>
      <c r="P592" t="n">
        <v>0</v>
      </c>
      <c r="Q592" t="n">
        <v>0</v>
      </c>
      <c r="R592" s="2" t="inlineStr"/>
    </row>
    <row r="593" ht="15" customHeight="1">
      <c r="A593" t="inlineStr">
        <is>
          <t>A 41160-2023</t>
        </is>
      </c>
      <c r="B593" s="1" t="n">
        <v>45174</v>
      </c>
      <c r="C593" s="1" t="n">
        <v>45969</v>
      </c>
      <c r="D593" t="inlineStr">
        <is>
          <t>VÄRMLANDS LÄN</t>
        </is>
      </c>
      <c r="E593" t="inlineStr">
        <is>
          <t>TORSBY</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45969</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38143-2025</t>
        </is>
      </c>
      <c r="B595" s="1" t="n">
        <v>45882</v>
      </c>
      <c r="C595" s="1" t="n">
        <v>45969</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38738-2025</t>
        </is>
      </c>
      <c r="B596" s="1" t="n">
        <v>45887.3715162037</v>
      </c>
      <c r="C596" s="1" t="n">
        <v>45969</v>
      </c>
      <c r="D596" t="inlineStr">
        <is>
          <t>VÄRMLANDS LÄN</t>
        </is>
      </c>
      <c r="E596" t="inlineStr">
        <is>
          <t>TORSBY</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59097-2022</t>
        </is>
      </c>
      <c r="B597" s="1" t="n">
        <v>44904</v>
      </c>
      <c r="C597" s="1" t="n">
        <v>45969</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9381-2024</t>
        </is>
      </c>
      <c r="B598" s="1" t="n">
        <v>45359</v>
      </c>
      <c r="C598" s="1" t="n">
        <v>45969</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10329-2025</t>
        </is>
      </c>
      <c r="B599" s="1" t="n">
        <v>45720</v>
      </c>
      <c r="C599" s="1" t="n">
        <v>45969</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10343-2025</t>
        </is>
      </c>
      <c r="B600" s="1" t="n">
        <v>45720</v>
      </c>
      <c r="C600" s="1" t="n">
        <v>45969</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9904-2024</t>
        </is>
      </c>
      <c r="B601" s="1" t="n">
        <v>45363</v>
      </c>
      <c r="C601" s="1" t="n">
        <v>45969</v>
      </c>
      <c r="D601" t="inlineStr">
        <is>
          <t>VÄRMLANDS LÄN</t>
        </is>
      </c>
      <c r="E601" t="inlineStr">
        <is>
          <t>TORSBY</t>
        </is>
      </c>
      <c r="G601" t="n">
        <v>3.2</v>
      </c>
      <c r="H601" t="n">
        <v>0</v>
      </c>
      <c r="I601" t="n">
        <v>0</v>
      </c>
      <c r="J601" t="n">
        <v>0</v>
      </c>
      <c r="K601" t="n">
        <v>0</v>
      </c>
      <c r="L601" t="n">
        <v>0</v>
      </c>
      <c r="M601" t="n">
        <v>0</v>
      </c>
      <c r="N601" t="n">
        <v>0</v>
      </c>
      <c r="O601" t="n">
        <v>0</v>
      </c>
      <c r="P601" t="n">
        <v>0</v>
      </c>
      <c r="Q601" t="n">
        <v>0</v>
      </c>
      <c r="R601" s="2" t="inlineStr"/>
    </row>
    <row r="602" ht="15" customHeight="1">
      <c r="A602" t="inlineStr">
        <is>
          <t>A 61138-2022</t>
        </is>
      </c>
      <c r="B602" s="1" t="n">
        <v>44915</v>
      </c>
      <c r="C602" s="1" t="n">
        <v>45969</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64902-2021</t>
        </is>
      </c>
      <c r="B603" s="1" t="n">
        <v>44512.64336805556</v>
      </c>
      <c r="C603" s="1" t="n">
        <v>45969</v>
      </c>
      <c r="D603" t="inlineStr">
        <is>
          <t>VÄRMLANDS LÄN</t>
        </is>
      </c>
      <c r="E603" t="inlineStr">
        <is>
          <t>TORSBY</t>
        </is>
      </c>
      <c r="G603" t="n">
        <v>6.1</v>
      </c>
      <c r="H603" t="n">
        <v>0</v>
      </c>
      <c r="I603" t="n">
        <v>0</v>
      </c>
      <c r="J603" t="n">
        <v>0</v>
      </c>
      <c r="K603" t="n">
        <v>0</v>
      </c>
      <c r="L603" t="n">
        <v>0</v>
      </c>
      <c r="M603" t="n">
        <v>0</v>
      </c>
      <c r="N603" t="n">
        <v>0</v>
      </c>
      <c r="O603" t="n">
        <v>0</v>
      </c>
      <c r="P603" t="n">
        <v>0</v>
      </c>
      <c r="Q603" t="n">
        <v>0</v>
      </c>
      <c r="R603" s="2" t="inlineStr"/>
    </row>
    <row r="604" ht="15" customHeight="1">
      <c r="A604" t="inlineStr">
        <is>
          <t>A 46921-2025</t>
        </is>
      </c>
      <c r="B604" s="1" t="n">
        <v>45929.43655092592</v>
      </c>
      <c r="C604" s="1" t="n">
        <v>45969</v>
      </c>
      <c r="D604" t="inlineStr">
        <is>
          <t>VÄRMLANDS LÄN</t>
        </is>
      </c>
      <c r="E604" t="inlineStr">
        <is>
          <t>TORSBY</t>
        </is>
      </c>
      <c r="G604" t="n">
        <v>7</v>
      </c>
      <c r="H604" t="n">
        <v>0</v>
      </c>
      <c r="I604" t="n">
        <v>0</v>
      </c>
      <c r="J604" t="n">
        <v>0</v>
      </c>
      <c r="K604" t="n">
        <v>0</v>
      </c>
      <c r="L604" t="n">
        <v>0</v>
      </c>
      <c r="M604" t="n">
        <v>0</v>
      </c>
      <c r="N604" t="n">
        <v>0</v>
      </c>
      <c r="O604" t="n">
        <v>0</v>
      </c>
      <c r="P604" t="n">
        <v>0</v>
      </c>
      <c r="Q604" t="n">
        <v>0</v>
      </c>
      <c r="R604" s="2" t="inlineStr"/>
    </row>
    <row r="605" ht="15" customHeight="1">
      <c r="A605" t="inlineStr">
        <is>
          <t>A 22662-2022</t>
        </is>
      </c>
      <c r="B605" s="1" t="n">
        <v>44714</v>
      </c>
      <c r="C605" s="1" t="n">
        <v>45969</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51661-2024</t>
        </is>
      </c>
      <c r="B606" s="1" t="n">
        <v>45606.74392361111</v>
      </c>
      <c r="C606" s="1" t="n">
        <v>45969</v>
      </c>
      <c r="D606" t="inlineStr">
        <is>
          <t>VÄRMLANDS LÄN</t>
        </is>
      </c>
      <c r="E606" t="inlineStr">
        <is>
          <t>TORSBY</t>
        </is>
      </c>
      <c r="G606" t="n">
        <v>6.9</v>
      </c>
      <c r="H606" t="n">
        <v>0</v>
      </c>
      <c r="I606" t="n">
        <v>0</v>
      </c>
      <c r="J606" t="n">
        <v>0</v>
      </c>
      <c r="K606" t="n">
        <v>0</v>
      </c>
      <c r="L606" t="n">
        <v>0</v>
      </c>
      <c r="M606" t="n">
        <v>0</v>
      </c>
      <c r="N606" t="n">
        <v>0</v>
      </c>
      <c r="O606" t="n">
        <v>0</v>
      </c>
      <c r="P606" t="n">
        <v>0</v>
      </c>
      <c r="Q606" t="n">
        <v>0</v>
      </c>
      <c r="R606" s="2" t="inlineStr"/>
    </row>
    <row r="607" ht="15" customHeight="1">
      <c r="A607" t="inlineStr">
        <is>
          <t>A 51663-2024</t>
        </is>
      </c>
      <c r="B607" s="1" t="n">
        <v>45606.76396990741</v>
      </c>
      <c r="C607" s="1" t="n">
        <v>45969</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44325-2024</t>
        </is>
      </c>
      <c r="B608" s="1" t="n">
        <v>45573</v>
      </c>
      <c r="C608" s="1" t="n">
        <v>45969</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45969</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14292-2023</t>
        </is>
      </c>
      <c r="B610" s="1" t="n">
        <v>45011</v>
      </c>
      <c r="C610" s="1" t="n">
        <v>45969</v>
      </c>
      <c r="D610" t="inlineStr">
        <is>
          <t>VÄRMLANDS LÄN</t>
        </is>
      </c>
      <c r="E610" t="inlineStr">
        <is>
          <t>TORSBY</t>
        </is>
      </c>
      <c r="G610" t="n">
        <v>1.6</v>
      </c>
      <c r="H610" t="n">
        <v>0</v>
      </c>
      <c r="I610" t="n">
        <v>0</v>
      </c>
      <c r="J610" t="n">
        <v>0</v>
      </c>
      <c r="K610" t="n">
        <v>0</v>
      </c>
      <c r="L610" t="n">
        <v>0</v>
      </c>
      <c r="M610" t="n">
        <v>0</v>
      </c>
      <c r="N610" t="n">
        <v>0</v>
      </c>
      <c r="O610" t="n">
        <v>0</v>
      </c>
      <c r="P610" t="n">
        <v>0</v>
      </c>
      <c r="Q610" t="n">
        <v>0</v>
      </c>
      <c r="R610" s="2" t="inlineStr"/>
    </row>
    <row r="611" ht="15" customHeight="1">
      <c r="A611" t="inlineStr">
        <is>
          <t>A 14293-2023</t>
        </is>
      </c>
      <c r="B611" s="1" t="n">
        <v>45011</v>
      </c>
      <c r="C611" s="1" t="n">
        <v>45969</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14023-2025</t>
        </is>
      </c>
      <c r="B612" s="1" t="n">
        <v>45740</v>
      </c>
      <c r="C612" s="1" t="n">
        <v>45969</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38771-2025</t>
        </is>
      </c>
      <c r="B613" s="1" t="n">
        <v>45887</v>
      </c>
      <c r="C613" s="1" t="n">
        <v>45969</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38808-2025</t>
        </is>
      </c>
      <c r="B614" s="1" t="n">
        <v>45887.47344907407</v>
      </c>
      <c r="C614" s="1" t="n">
        <v>45969</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37279-2022</t>
        </is>
      </c>
      <c r="B615" s="1" t="n">
        <v>44807</v>
      </c>
      <c r="C615" s="1" t="n">
        <v>45969</v>
      </c>
      <c r="D615" t="inlineStr">
        <is>
          <t>VÄRMLANDS LÄN</t>
        </is>
      </c>
      <c r="E615" t="inlineStr">
        <is>
          <t>TORSBY</t>
        </is>
      </c>
      <c r="G615" t="n">
        <v>18.2</v>
      </c>
      <c r="H615" t="n">
        <v>0</v>
      </c>
      <c r="I615" t="n">
        <v>0</v>
      </c>
      <c r="J615" t="n">
        <v>0</v>
      </c>
      <c r="K615" t="n">
        <v>0</v>
      </c>
      <c r="L615" t="n">
        <v>0</v>
      </c>
      <c r="M615" t="n">
        <v>0</v>
      </c>
      <c r="N615" t="n">
        <v>0</v>
      </c>
      <c r="O615" t="n">
        <v>0</v>
      </c>
      <c r="P615" t="n">
        <v>0</v>
      </c>
      <c r="Q615" t="n">
        <v>0</v>
      </c>
      <c r="R615" s="2" t="inlineStr"/>
    </row>
    <row r="616" ht="15" customHeight="1">
      <c r="A616" t="inlineStr">
        <is>
          <t>A 56571-2024</t>
        </is>
      </c>
      <c r="B616" s="1" t="n">
        <v>45625</v>
      </c>
      <c r="C616" s="1" t="n">
        <v>45969</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39059-2025</t>
        </is>
      </c>
      <c r="B617" s="1" t="n">
        <v>45888</v>
      </c>
      <c r="C617" s="1" t="n">
        <v>45969</v>
      </c>
      <c r="D617" t="inlineStr">
        <is>
          <t>VÄRMLANDS LÄN</t>
        </is>
      </c>
      <c r="E617" t="inlineStr">
        <is>
          <t>TORSBY</t>
        </is>
      </c>
      <c r="G617" t="n">
        <v>8.6</v>
      </c>
      <c r="H617" t="n">
        <v>0</v>
      </c>
      <c r="I617" t="n">
        <v>0</v>
      </c>
      <c r="J617" t="n">
        <v>0</v>
      </c>
      <c r="K617" t="n">
        <v>0</v>
      </c>
      <c r="L617" t="n">
        <v>0</v>
      </c>
      <c r="M617" t="n">
        <v>0</v>
      </c>
      <c r="N617" t="n">
        <v>0</v>
      </c>
      <c r="O617" t="n">
        <v>0</v>
      </c>
      <c r="P617" t="n">
        <v>0</v>
      </c>
      <c r="Q617" t="n">
        <v>0</v>
      </c>
      <c r="R617" s="2" t="inlineStr"/>
    </row>
    <row r="618" ht="15" customHeight="1">
      <c r="A618" t="inlineStr">
        <is>
          <t>A 26887-2024</t>
        </is>
      </c>
      <c r="B618" s="1" t="n">
        <v>45470.64864583333</v>
      </c>
      <c r="C618" s="1" t="n">
        <v>45969</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21280-2024</t>
        </is>
      </c>
      <c r="B619" s="1" t="n">
        <v>45440</v>
      </c>
      <c r="C619" s="1" t="n">
        <v>45969</v>
      </c>
      <c r="D619" t="inlineStr">
        <is>
          <t>VÄRMLANDS LÄN</t>
        </is>
      </c>
      <c r="E619" t="inlineStr">
        <is>
          <t>TORSBY</t>
        </is>
      </c>
      <c r="G619" t="n">
        <v>10.1</v>
      </c>
      <c r="H619" t="n">
        <v>0</v>
      </c>
      <c r="I619" t="n">
        <v>0</v>
      </c>
      <c r="J619" t="n">
        <v>0</v>
      </c>
      <c r="K619" t="n">
        <v>0</v>
      </c>
      <c r="L619" t="n">
        <v>0</v>
      </c>
      <c r="M619" t="n">
        <v>0</v>
      </c>
      <c r="N619" t="n">
        <v>0</v>
      </c>
      <c r="O619" t="n">
        <v>0</v>
      </c>
      <c r="P619" t="n">
        <v>0</v>
      </c>
      <c r="Q619" t="n">
        <v>0</v>
      </c>
      <c r="R619" s="2" t="inlineStr"/>
    </row>
    <row r="620" ht="15" customHeight="1">
      <c r="A620" t="inlineStr">
        <is>
          <t>A 47271-2021</t>
        </is>
      </c>
      <c r="B620" s="1" t="n">
        <v>44447</v>
      </c>
      <c r="C620" s="1" t="n">
        <v>45969</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53988-2022</t>
        </is>
      </c>
      <c r="B621" s="1" t="n">
        <v>44876</v>
      </c>
      <c r="C621" s="1" t="n">
        <v>45969</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41377-2021</t>
        </is>
      </c>
      <c r="B622" s="1" t="n">
        <v>44424.65148148148</v>
      </c>
      <c r="C622" s="1" t="n">
        <v>45969</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18544-2023</t>
        </is>
      </c>
      <c r="B623" s="1" t="n">
        <v>45041</v>
      </c>
      <c r="C623" s="1" t="n">
        <v>45969</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47049-2025</t>
        </is>
      </c>
      <c r="B624" s="1" t="n">
        <v>45929.6130324074</v>
      </c>
      <c r="C624" s="1" t="n">
        <v>45969</v>
      </c>
      <c r="D624" t="inlineStr">
        <is>
          <t>VÄRMLANDS LÄN</t>
        </is>
      </c>
      <c r="E624" t="inlineStr">
        <is>
          <t>TORSBY</t>
        </is>
      </c>
      <c r="G624" t="n">
        <v>3.1</v>
      </c>
      <c r="H624" t="n">
        <v>0</v>
      </c>
      <c r="I624" t="n">
        <v>0</v>
      </c>
      <c r="J624" t="n">
        <v>0</v>
      </c>
      <c r="K624" t="n">
        <v>0</v>
      </c>
      <c r="L624" t="n">
        <v>0</v>
      </c>
      <c r="M624" t="n">
        <v>0</v>
      </c>
      <c r="N624" t="n">
        <v>0</v>
      </c>
      <c r="O624" t="n">
        <v>0</v>
      </c>
      <c r="P624" t="n">
        <v>0</v>
      </c>
      <c r="Q624" t="n">
        <v>0</v>
      </c>
      <c r="R624" s="2" t="inlineStr"/>
    </row>
    <row r="625" ht="15" customHeight="1">
      <c r="A625" t="inlineStr">
        <is>
          <t>A 47465-2024</t>
        </is>
      </c>
      <c r="B625" s="1" t="n">
        <v>45587</v>
      </c>
      <c r="C625" s="1" t="n">
        <v>45969</v>
      </c>
      <c r="D625" t="inlineStr">
        <is>
          <t>VÄRMLANDS LÄN</t>
        </is>
      </c>
      <c r="E625" t="inlineStr">
        <is>
          <t>TORSBY</t>
        </is>
      </c>
      <c r="F625" t="inlineStr">
        <is>
          <t>Övriga Aktiebolag</t>
        </is>
      </c>
      <c r="G625" t="n">
        <v>4.6</v>
      </c>
      <c r="H625" t="n">
        <v>0</v>
      </c>
      <c r="I625" t="n">
        <v>0</v>
      </c>
      <c r="J625" t="n">
        <v>0</v>
      </c>
      <c r="K625" t="n">
        <v>0</v>
      </c>
      <c r="L625" t="n">
        <v>0</v>
      </c>
      <c r="M625" t="n">
        <v>0</v>
      </c>
      <c r="N625" t="n">
        <v>0</v>
      </c>
      <c r="O625" t="n">
        <v>0</v>
      </c>
      <c r="P625" t="n">
        <v>0</v>
      </c>
      <c r="Q625" t="n">
        <v>0</v>
      </c>
      <c r="R625" s="2" t="inlineStr"/>
    </row>
    <row r="626" ht="15" customHeight="1">
      <c r="A626" t="inlineStr">
        <is>
          <t>A 39033-2025</t>
        </is>
      </c>
      <c r="B626" s="1" t="n">
        <v>45888</v>
      </c>
      <c r="C626" s="1" t="n">
        <v>45969</v>
      </c>
      <c r="D626" t="inlineStr">
        <is>
          <t>VÄRMLANDS LÄN</t>
        </is>
      </c>
      <c r="E626" t="inlineStr">
        <is>
          <t>TORSBY</t>
        </is>
      </c>
      <c r="G626" t="n">
        <v>6.4</v>
      </c>
      <c r="H626" t="n">
        <v>0</v>
      </c>
      <c r="I626" t="n">
        <v>0</v>
      </c>
      <c r="J626" t="n">
        <v>0</v>
      </c>
      <c r="K626" t="n">
        <v>0</v>
      </c>
      <c r="L626" t="n">
        <v>0</v>
      </c>
      <c r="M626" t="n">
        <v>0</v>
      </c>
      <c r="N626" t="n">
        <v>0</v>
      </c>
      <c r="O626" t="n">
        <v>0</v>
      </c>
      <c r="P626" t="n">
        <v>0</v>
      </c>
      <c r="Q626" t="n">
        <v>0</v>
      </c>
      <c r="R626" s="2" t="inlineStr"/>
    </row>
    <row r="627" ht="15" customHeight="1">
      <c r="A627" t="inlineStr">
        <is>
          <t>A 4707-2023</t>
        </is>
      </c>
      <c r="B627" s="1" t="n">
        <v>44957</v>
      </c>
      <c r="C627" s="1" t="n">
        <v>45969</v>
      </c>
      <c r="D627" t="inlineStr">
        <is>
          <t>VÄRMLANDS LÄN</t>
        </is>
      </c>
      <c r="E627" t="inlineStr">
        <is>
          <t>TORSBY</t>
        </is>
      </c>
      <c r="G627" t="n">
        <v>7</v>
      </c>
      <c r="H627" t="n">
        <v>0</v>
      </c>
      <c r="I627" t="n">
        <v>0</v>
      </c>
      <c r="J627" t="n">
        <v>0</v>
      </c>
      <c r="K627" t="n">
        <v>0</v>
      </c>
      <c r="L627" t="n">
        <v>0</v>
      </c>
      <c r="M627" t="n">
        <v>0</v>
      </c>
      <c r="N627" t="n">
        <v>0</v>
      </c>
      <c r="O627" t="n">
        <v>0</v>
      </c>
      <c r="P627" t="n">
        <v>0</v>
      </c>
      <c r="Q627" t="n">
        <v>0</v>
      </c>
      <c r="R627" s="2" t="inlineStr"/>
    </row>
    <row r="628" ht="15" customHeight="1">
      <c r="A628" t="inlineStr">
        <is>
          <t>A 67457-2021</t>
        </is>
      </c>
      <c r="B628" s="1" t="n">
        <v>44524</v>
      </c>
      <c r="C628" s="1" t="n">
        <v>45969</v>
      </c>
      <c r="D628" t="inlineStr">
        <is>
          <t>VÄRMLANDS LÄN</t>
        </is>
      </c>
      <c r="E628" t="inlineStr">
        <is>
          <t>TORSBY</t>
        </is>
      </c>
      <c r="G628" t="n">
        <v>7.6</v>
      </c>
      <c r="H628" t="n">
        <v>0</v>
      </c>
      <c r="I628" t="n">
        <v>0</v>
      </c>
      <c r="J628" t="n">
        <v>0</v>
      </c>
      <c r="K628" t="n">
        <v>0</v>
      </c>
      <c r="L628" t="n">
        <v>0</v>
      </c>
      <c r="M628" t="n">
        <v>0</v>
      </c>
      <c r="N628" t="n">
        <v>0</v>
      </c>
      <c r="O628" t="n">
        <v>0</v>
      </c>
      <c r="P628" t="n">
        <v>0</v>
      </c>
      <c r="Q628" t="n">
        <v>0</v>
      </c>
      <c r="R628" s="2" t="inlineStr"/>
    </row>
    <row r="629" ht="15" customHeight="1">
      <c r="A629" t="inlineStr">
        <is>
          <t>A 33268-2023</t>
        </is>
      </c>
      <c r="B629" s="1" t="n">
        <v>45127.58094907407</v>
      </c>
      <c r="C629" s="1" t="n">
        <v>45969</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33853-2021</t>
        </is>
      </c>
      <c r="B630" s="1" t="n">
        <v>44378.61460648148</v>
      </c>
      <c r="C630" s="1" t="n">
        <v>45969</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45969</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45969</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29256-2023</t>
        </is>
      </c>
      <c r="B633" s="1" t="n">
        <v>45105.65310185185</v>
      </c>
      <c r="C633" s="1" t="n">
        <v>45969</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13723-2023</t>
        </is>
      </c>
      <c r="B634" s="1" t="n">
        <v>45007</v>
      </c>
      <c r="C634" s="1" t="n">
        <v>45969</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45969</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24261-2024</t>
        </is>
      </c>
      <c r="B636" s="1" t="n">
        <v>45457</v>
      </c>
      <c r="C636" s="1" t="n">
        <v>45969</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1104-2025</t>
        </is>
      </c>
      <c r="B637" s="1" t="n">
        <v>45666</v>
      </c>
      <c r="C637" s="1" t="n">
        <v>45969</v>
      </c>
      <c r="D637" t="inlineStr">
        <is>
          <t>VÄRMLANDS LÄN</t>
        </is>
      </c>
      <c r="E637" t="inlineStr">
        <is>
          <t>TORSBY</t>
        </is>
      </c>
      <c r="G637" t="n">
        <v>6.9</v>
      </c>
      <c r="H637" t="n">
        <v>0</v>
      </c>
      <c r="I637" t="n">
        <v>0</v>
      </c>
      <c r="J637" t="n">
        <v>0</v>
      </c>
      <c r="K637" t="n">
        <v>0</v>
      </c>
      <c r="L637" t="n">
        <v>0</v>
      </c>
      <c r="M637" t="n">
        <v>0</v>
      </c>
      <c r="N637" t="n">
        <v>0</v>
      </c>
      <c r="O637" t="n">
        <v>0</v>
      </c>
      <c r="P637" t="n">
        <v>0</v>
      </c>
      <c r="Q637" t="n">
        <v>0</v>
      </c>
      <c r="R637" s="2" t="inlineStr"/>
    </row>
    <row r="638" ht="15" customHeight="1">
      <c r="A638" t="inlineStr">
        <is>
          <t>A 16433-2023</t>
        </is>
      </c>
      <c r="B638" s="1" t="n">
        <v>45022</v>
      </c>
      <c r="C638" s="1" t="n">
        <v>45969</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60058-2023</t>
        </is>
      </c>
      <c r="B639" s="1" t="n">
        <v>45258.37978009259</v>
      </c>
      <c r="C639" s="1" t="n">
        <v>45969</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21411-2023</t>
        </is>
      </c>
      <c r="B640" s="1" t="n">
        <v>45063.38505787037</v>
      </c>
      <c r="C640" s="1" t="n">
        <v>45969</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3666-2023</t>
        </is>
      </c>
      <c r="B641" s="1" t="n">
        <v>44950</v>
      </c>
      <c r="C641" s="1" t="n">
        <v>45969</v>
      </c>
      <c r="D641" t="inlineStr">
        <is>
          <t>VÄRMLANDS LÄN</t>
        </is>
      </c>
      <c r="E641" t="inlineStr">
        <is>
          <t>TORSBY</t>
        </is>
      </c>
      <c r="G641" t="n">
        <v>6.8</v>
      </c>
      <c r="H641" t="n">
        <v>0</v>
      </c>
      <c r="I641" t="n">
        <v>0</v>
      </c>
      <c r="J641" t="n">
        <v>0</v>
      </c>
      <c r="K641" t="n">
        <v>0</v>
      </c>
      <c r="L641" t="n">
        <v>0</v>
      </c>
      <c r="M641" t="n">
        <v>0</v>
      </c>
      <c r="N641" t="n">
        <v>0</v>
      </c>
      <c r="O641" t="n">
        <v>0</v>
      </c>
      <c r="P641" t="n">
        <v>0</v>
      </c>
      <c r="Q641" t="n">
        <v>0</v>
      </c>
      <c r="R641" s="2" t="inlineStr"/>
    </row>
    <row r="642" ht="15" customHeight="1">
      <c r="A642" t="inlineStr">
        <is>
          <t>A 3670-2023</t>
        </is>
      </c>
      <c r="B642" s="1" t="n">
        <v>44950</v>
      </c>
      <c r="C642" s="1" t="n">
        <v>45969</v>
      </c>
      <c r="D642" t="inlineStr">
        <is>
          <t>VÄRMLANDS LÄN</t>
        </is>
      </c>
      <c r="E642" t="inlineStr">
        <is>
          <t>TORSBY</t>
        </is>
      </c>
      <c r="G642" t="n">
        <v>15.4</v>
      </c>
      <c r="H642" t="n">
        <v>0</v>
      </c>
      <c r="I642" t="n">
        <v>0</v>
      </c>
      <c r="J642" t="n">
        <v>0</v>
      </c>
      <c r="K642" t="n">
        <v>0</v>
      </c>
      <c r="L642" t="n">
        <v>0</v>
      </c>
      <c r="M642" t="n">
        <v>0</v>
      </c>
      <c r="N642" t="n">
        <v>0</v>
      </c>
      <c r="O642" t="n">
        <v>0</v>
      </c>
      <c r="P642" t="n">
        <v>0</v>
      </c>
      <c r="Q642" t="n">
        <v>0</v>
      </c>
      <c r="R642" s="2" t="inlineStr"/>
    </row>
    <row r="643" ht="15" customHeight="1">
      <c r="A643" t="inlineStr">
        <is>
          <t>A 38184-2024</t>
        </is>
      </c>
      <c r="B643" s="1" t="n">
        <v>45545</v>
      </c>
      <c r="C643" s="1" t="n">
        <v>45969</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61546-2024</t>
        </is>
      </c>
      <c r="B644" s="1" t="n">
        <v>45645</v>
      </c>
      <c r="C644" s="1" t="n">
        <v>45969</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39642-2021</t>
        </is>
      </c>
      <c r="B645" s="1" t="n">
        <v>44417</v>
      </c>
      <c r="C645" s="1" t="n">
        <v>45969</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3590-2024</t>
        </is>
      </c>
      <c r="B646" s="1" t="n">
        <v>45320</v>
      </c>
      <c r="C646" s="1" t="n">
        <v>45969</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33782-2023</t>
        </is>
      </c>
      <c r="B647" s="1" t="n">
        <v>45120</v>
      </c>
      <c r="C647" s="1" t="n">
        <v>45969</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22421-2024</t>
        </is>
      </c>
      <c r="B648" s="1" t="n">
        <v>45446.70890046296</v>
      </c>
      <c r="C648" s="1" t="n">
        <v>45969</v>
      </c>
      <c r="D648" t="inlineStr">
        <is>
          <t>VÄRMLANDS LÄN</t>
        </is>
      </c>
      <c r="E648" t="inlineStr">
        <is>
          <t>TORSBY</t>
        </is>
      </c>
      <c r="G648" t="n">
        <v>8.9</v>
      </c>
      <c r="H648" t="n">
        <v>0</v>
      </c>
      <c r="I648" t="n">
        <v>0</v>
      </c>
      <c r="J648" t="n">
        <v>0</v>
      </c>
      <c r="K648" t="n">
        <v>0</v>
      </c>
      <c r="L648" t="n">
        <v>0</v>
      </c>
      <c r="M648" t="n">
        <v>0</v>
      </c>
      <c r="N648" t="n">
        <v>0</v>
      </c>
      <c r="O648" t="n">
        <v>0</v>
      </c>
      <c r="P648" t="n">
        <v>0</v>
      </c>
      <c r="Q648" t="n">
        <v>0</v>
      </c>
      <c r="R648" s="2" t="inlineStr"/>
    </row>
    <row r="649" ht="15" customHeight="1">
      <c r="A649" t="inlineStr">
        <is>
          <t>A 35057-2023</t>
        </is>
      </c>
      <c r="B649" s="1" t="n">
        <v>45145.3909375</v>
      </c>
      <c r="C649" s="1" t="n">
        <v>45969</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485-2025</t>
        </is>
      </c>
      <c r="B650" s="1" t="n">
        <v>45664</v>
      </c>
      <c r="C650" s="1" t="n">
        <v>45969</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3442-2025</t>
        </is>
      </c>
      <c r="B651" s="1" t="n">
        <v>45680.45114583334</v>
      </c>
      <c r="C651" s="1" t="n">
        <v>45969</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3409-2025</t>
        </is>
      </c>
      <c r="B652" s="1" t="n">
        <v>45680.39391203703</v>
      </c>
      <c r="C652" s="1" t="n">
        <v>45969</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1123-2023</t>
        </is>
      </c>
      <c r="B653" s="1" t="n">
        <v>44935</v>
      </c>
      <c r="C653" s="1" t="n">
        <v>45969</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36700-2021</t>
        </is>
      </c>
      <c r="B654" s="1" t="n">
        <v>44392</v>
      </c>
      <c r="C654" s="1" t="n">
        <v>45969</v>
      </c>
      <c r="D654" t="inlineStr">
        <is>
          <t>VÄRMLANDS LÄN</t>
        </is>
      </c>
      <c r="E654" t="inlineStr">
        <is>
          <t>TORSBY</t>
        </is>
      </c>
      <c r="F654" t="inlineStr">
        <is>
          <t>Bergvik skog väst AB</t>
        </is>
      </c>
      <c r="G654" t="n">
        <v>9.9</v>
      </c>
      <c r="H654" t="n">
        <v>0</v>
      </c>
      <c r="I654" t="n">
        <v>0</v>
      </c>
      <c r="J654" t="n">
        <v>0</v>
      </c>
      <c r="K654" t="n">
        <v>0</v>
      </c>
      <c r="L654" t="n">
        <v>0</v>
      </c>
      <c r="M654" t="n">
        <v>0</v>
      </c>
      <c r="N654" t="n">
        <v>0</v>
      </c>
      <c r="O654" t="n">
        <v>0</v>
      </c>
      <c r="P654" t="n">
        <v>0</v>
      </c>
      <c r="Q654" t="n">
        <v>0</v>
      </c>
      <c r="R654" s="2" t="inlineStr"/>
    </row>
    <row r="655" ht="15" customHeight="1">
      <c r="A655" t="inlineStr">
        <is>
          <t>A 34568-2022</t>
        </is>
      </c>
      <c r="B655" s="1" t="n">
        <v>44795.28277777778</v>
      </c>
      <c r="C655" s="1" t="n">
        <v>45969</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43248-2022</t>
        </is>
      </c>
      <c r="B656" s="1" t="n">
        <v>44834</v>
      </c>
      <c r="C656" s="1" t="n">
        <v>45969</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43289-2022</t>
        </is>
      </c>
      <c r="B657" s="1" t="n">
        <v>44834.51623842592</v>
      </c>
      <c r="C657" s="1" t="n">
        <v>45969</v>
      </c>
      <c r="D657" t="inlineStr">
        <is>
          <t>VÄRMLANDS LÄN</t>
        </is>
      </c>
      <c r="E657" t="inlineStr">
        <is>
          <t>TORSBY</t>
        </is>
      </c>
      <c r="G657" t="n">
        <v>11.2</v>
      </c>
      <c r="H657" t="n">
        <v>0</v>
      </c>
      <c r="I657" t="n">
        <v>0</v>
      </c>
      <c r="J657" t="n">
        <v>0</v>
      </c>
      <c r="K657" t="n">
        <v>0</v>
      </c>
      <c r="L657" t="n">
        <v>0</v>
      </c>
      <c r="M657" t="n">
        <v>0</v>
      </c>
      <c r="N657" t="n">
        <v>0</v>
      </c>
      <c r="O657" t="n">
        <v>0</v>
      </c>
      <c r="P657" t="n">
        <v>0</v>
      </c>
      <c r="Q657" t="n">
        <v>0</v>
      </c>
      <c r="R657" s="2" t="inlineStr"/>
    </row>
    <row r="658" ht="15" customHeight="1">
      <c r="A658" t="inlineStr">
        <is>
          <t>A 26086-2024</t>
        </is>
      </c>
      <c r="B658" s="1" t="n">
        <v>45468</v>
      </c>
      <c r="C658" s="1" t="n">
        <v>45969</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48239-2022</t>
        </is>
      </c>
      <c r="B659" s="1" t="n">
        <v>44858.45881944444</v>
      </c>
      <c r="C659" s="1" t="n">
        <v>45969</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22124-2022</t>
        </is>
      </c>
      <c r="B660" s="1" t="n">
        <v>44712</v>
      </c>
      <c r="C660" s="1" t="n">
        <v>45969</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6708-2023</t>
        </is>
      </c>
      <c r="B661" s="1" t="n">
        <v>44960</v>
      </c>
      <c r="C661" s="1" t="n">
        <v>45969</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53744-2024</t>
        </is>
      </c>
      <c r="B662" s="1" t="n">
        <v>45615</v>
      </c>
      <c r="C662" s="1" t="n">
        <v>45969</v>
      </c>
      <c r="D662" t="inlineStr">
        <is>
          <t>VÄRMLANDS LÄN</t>
        </is>
      </c>
      <c r="E662" t="inlineStr">
        <is>
          <t>TORSBY</t>
        </is>
      </c>
      <c r="G662" t="n">
        <v>16.9</v>
      </c>
      <c r="H662" t="n">
        <v>0</v>
      </c>
      <c r="I662" t="n">
        <v>0</v>
      </c>
      <c r="J662" t="n">
        <v>0</v>
      </c>
      <c r="K662" t="n">
        <v>0</v>
      </c>
      <c r="L662" t="n">
        <v>0</v>
      </c>
      <c r="M662" t="n">
        <v>0</v>
      </c>
      <c r="N662" t="n">
        <v>0</v>
      </c>
      <c r="O662" t="n">
        <v>0</v>
      </c>
      <c r="P662" t="n">
        <v>0</v>
      </c>
      <c r="Q662" t="n">
        <v>0</v>
      </c>
      <c r="R662" s="2" t="inlineStr"/>
    </row>
    <row r="663" ht="15" customHeight="1">
      <c r="A663" t="inlineStr">
        <is>
          <t>A 54528-2023</t>
        </is>
      </c>
      <c r="B663" s="1" t="n">
        <v>45233.59122685185</v>
      </c>
      <c r="C663" s="1" t="n">
        <v>45969</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18684-2025</t>
        </is>
      </c>
      <c r="B664" s="1" t="n">
        <v>45763.61064814815</v>
      </c>
      <c r="C664" s="1" t="n">
        <v>45969</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1100-2025</t>
        </is>
      </c>
      <c r="B665" s="1" t="n">
        <v>45666.64099537037</v>
      </c>
      <c r="C665" s="1" t="n">
        <v>45969</v>
      </c>
      <c r="D665" t="inlineStr">
        <is>
          <t>VÄRMLANDS LÄN</t>
        </is>
      </c>
      <c r="E665" t="inlineStr">
        <is>
          <t>TORSBY</t>
        </is>
      </c>
      <c r="G665" t="n">
        <v>8.4</v>
      </c>
      <c r="H665" t="n">
        <v>0</v>
      </c>
      <c r="I665" t="n">
        <v>0</v>
      </c>
      <c r="J665" t="n">
        <v>0</v>
      </c>
      <c r="K665" t="n">
        <v>0</v>
      </c>
      <c r="L665" t="n">
        <v>0</v>
      </c>
      <c r="M665" t="n">
        <v>0</v>
      </c>
      <c r="N665" t="n">
        <v>0</v>
      </c>
      <c r="O665" t="n">
        <v>0</v>
      </c>
      <c r="P665" t="n">
        <v>0</v>
      </c>
      <c r="Q665" t="n">
        <v>0</v>
      </c>
      <c r="R665" s="2" t="inlineStr"/>
    </row>
    <row r="666" ht="15" customHeight="1">
      <c r="A666" t="inlineStr">
        <is>
          <t>A 10895-2024</t>
        </is>
      </c>
      <c r="B666" s="1" t="n">
        <v>45370.34901620371</v>
      </c>
      <c r="C666" s="1" t="n">
        <v>45969</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25629-2024</t>
        </is>
      </c>
      <c r="B667" s="1" t="n">
        <v>45463</v>
      </c>
      <c r="C667" s="1" t="n">
        <v>45969</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58728-2021</t>
        </is>
      </c>
      <c r="B668" s="1" t="n">
        <v>44489</v>
      </c>
      <c r="C668" s="1" t="n">
        <v>45969</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62445-2023</t>
        </is>
      </c>
      <c r="B669" s="1" t="n">
        <v>45268.47487268518</v>
      </c>
      <c r="C669" s="1" t="n">
        <v>45969</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28624-2024</t>
        </is>
      </c>
      <c r="B670" s="1" t="n">
        <v>45478.44297453704</v>
      </c>
      <c r="C670" s="1" t="n">
        <v>45969</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57172-2022</t>
        </is>
      </c>
      <c r="B671" s="1" t="n">
        <v>44895</v>
      </c>
      <c r="C671" s="1" t="n">
        <v>45969</v>
      </c>
      <c r="D671" t="inlineStr">
        <is>
          <t>VÄRMLANDS LÄN</t>
        </is>
      </c>
      <c r="E671" t="inlineStr">
        <is>
          <t>TORSBY</t>
        </is>
      </c>
      <c r="G671" t="n">
        <v>3.8</v>
      </c>
      <c r="H671" t="n">
        <v>0</v>
      </c>
      <c r="I671" t="n">
        <v>0</v>
      </c>
      <c r="J671" t="n">
        <v>0</v>
      </c>
      <c r="K671" t="n">
        <v>0</v>
      </c>
      <c r="L671" t="n">
        <v>0</v>
      </c>
      <c r="M671" t="n">
        <v>0</v>
      </c>
      <c r="N671" t="n">
        <v>0</v>
      </c>
      <c r="O671" t="n">
        <v>0</v>
      </c>
      <c r="P671" t="n">
        <v>0</v>
      </c>
      <c r="Q671" t="n">
        <v>0</v>
      </c>
      <c r="R671" s="2" t="inlineStr"/>
    </row>
    <row r="672" ht="15" customHeight="1">
      <c r="A672" t="inlineStr">
        <is>
          <t>A 34655-2022</t>
        </is>
      </c>
      <c r="B672" s="1" t="n">
        <v>44795</v>
      </c>
      <c r="C672" s="1" t="n">
        <v>45969</v>
      </c>
      <c r="D672" t="inlineStr">
        <is>
          <t>VÄRMLANDS LÄN</t>
        </is>
      </c>
      <c r="E672" t="inlineStr">
        <is>
          <t>TORSBY</t>
        </is>
      </c>
      <c r="G672" t="n">
        <v>12.8</v>
      </c>
      <c r="H672" t="n">
        <v>0</v>
      </c>
      <c r="I672" t="n">
        <v>0</v>
      </c>
      <c r="J672" t="n">
        <v>0</v>
      </c>
      <c r="K672" t="n">
        <v>0</v>
      </c>
      <c r="L672" t="n">
        <v>0</v>
      </c>
      <c r="M672" t="n">
        <v>0</v>
      </c>
      <c r="N672" t="n">
        <v>0</v>
      </c>
      <c r="O672" t="n">
        <v>0</v>
      </c>
      <c r="P672" t="n">
        <v>0</v>
      </c>
      <c r="Q672" t="n">
        <v>0</v>
      </c>
      <c r="R672" s="2" t="inlineStr"/>
    </row>
    <row r="673" ht="15" customHeight="1">
      <c r="A673" t="inlineStr">
        <is>
          <t>A 41843-2023</t>
        </is>
      </c>
      <c r="B673" s="1" t="n">
        <v>45176.60533564815</v>
      </c>
      <c r="C673" s="1" t="n">
        <v>45969</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3071-2022</t>
        </is>
      </c>
      <c r="B674" s="1" t="n">
        <v>44582.42109953704</v>
      </c>
      <c r="C674" s="1" t="n">
        <v>45969</v>
      </c>
      <c r="D674" t="inlineStr">
        <is>
          <t>VÄRMLANDS LÄN</t>
        </is>
      </c>
      <c r="E674" t="inlineStr">
        <is>
          <t>TORSBY</t>
        </is>
      </c>
      <c r="G674" t="n">
        <v>7.9</v>
      </c>
      <c r="H674" t="n">
        <v>0</v>
      </c>
      <c r="I674" t="n">
        <v>0</v>
      </c>
      <c r="J674" t="n">
        <v>0</v>
      </c>
      <c r="K674" t="n">
        <v>0</v>
      </c>
      <c r="L674" t="n">
        <v>0</v>
      </c>
      <c r="M674" t="n">
        <v>0</v>
      </c>
      <c r="N674" t="n">
        <v>0</v>
      </c>
      <c r="O674" t="n">
        <v>0</v>
      </c>
      <c r="P674" t="n">
        <v>0</v>
      </c>
      <c r="Q674" t="n">
        <v>0</v>
      </c>
      <c r="R674" s="2" t="inlineStr"/>
    </row>
    <row r="675" ht="15" customHeight="1">
      <c r="A675" t="inlineStr">
        <is>
          <t>A 55794-2021</t>
        </is>
      </c>
      <c r="B675" s="1" t="n">
        <v>44476</v>
      </c>
      <c r="C675" s="1" t="n">
        <v>45969</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345-2023</t>
        </is>
      </c>
      <c r="B676" s="1" t="n">
        <v>44923</v>
      </c>
      <c r="C676" s="1" t="n">
        <v>45969</v>
      </c>
      <c r="D676" t="inlineStr">
        <is>
          <t>VÄRMLANDS LÄN</t>
        </is>
      </c>
      <c r="E676" t="inlineStr">
        <is>
          <t>TORSBY</t>
        </is>
      </c>
      <c r="G676" t="n">
        <v>9.4</v>
      </c>
      <c r="H676" t="n">
        <v>0</v>
      </c>
      <c r="I676" t="n">
        <v>0</v>
      </c>
      <c r="J676" t="n">
        <v>0</v>
      </c>
      <c r="K676" t="n">
        <v>0</v>
      </c>
      <c r="L676" t="n">
        <v>0</v>
      </c>
      <c r="M676" t="n">
        <v>0</v>
      </c>
      <c r="N676" t="n">
        <v>0</v>
      </c>
      <c r="O676" t="n">
        <v>0</v>
      </c>
      <c r="P676" t="n">
        <v>0</v>
      </c>
      <c r="Q676" t="n">
        <v>0</v>
      </c>
      <c r="R676" s="2" t="inlineStr"/>
    </row>
    <row r="677" ht="15" customHeight="1">
      <c r="A677" t="inlineStr">
        <is>
          <t>A 35553-2023</t>
        </is>
      </c>
      <c r="B677" s="1" t="n">
        <v>45147</v>
      </c>
      <c r="C677" s="1" t="n">
        <v>45969</v>
      </c>
      <c r="D677" t="inlineStr">
        <is>
          <t>VÄRMLANDS LÄN</t>
        </is>
      </c>
      <c r="E677" t="inlineStr">
        <is>
          <t>TORSBY</t>
        </is>
      </c>
      <c r="G677" t="n">
        <v>6.2</v>
      </c>
      <c r="H677" t="n">
        <v>0</v>
      </c>
      <c r="I677" t="n">
        <v>0</v>
      </c>
      <c r="J677" t="n">
        <v>0</v>
      </c>
      <c r="K677" t="n">
        <v>0</v>
      </c>
      <c r="L677" t="n">
        <v>0</v>
      </c>
      <c r="M677" t="n">
        <v>0</v>
      </c>
      <c r="N677" t="n">
        <v>0</v>
      </c>
      <c r="O677" t="n">
        <v>0</v>
      </c>
      <c r="P677" t="n">
        <v>0</v>
      </c>
      <c r="Q677" t="n">
        <v>0</v>
      </c>
      <c r="R677" s="2" t="inlineStr"/>
    </row>
    <row r="678" ht="15" customHeight="1">
      <c r="A678" t="inlineStr">
        <is>
          <t>A 20647-2024</t>
        </is>
      </c>
      <c r="B678" s="1" t="n">
        <v>45436</v>
      </c>
      <c r="C678" s="1" t="n">
        <v>45969</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19527-2023</t>
        </is>
      </c>
      <c r="B679" s="1" t="n">
        <v>45050</v>
      </c>
      <c r="C679" s="1" t="n">
        <v>45969</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522-2023</t>
        </is>
      </c>
      <c r="B680" s="1" t="n">
        <v>44930</v>
      </c>
      <c r="C680" s="1" t="n">
        <v>45969</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50380-2024</t>
        </is>
      </c>
      <c r="B681" s="1" t="n">
        <v>45601.30582175926</v>
      </c>
      <c r="C681" s="1" t="n">
        <v>45969</v>
      </c>
      <c r="D681" t="inlineStr">
        <is>
          <t>VÄRMLANDS LÄN</t>
        </is>
      </c>
      <c r="E681" t="inlineStr">
        <is>
          <t>TORSBY</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18244-2023</t>
        </is>
      </c>
      <c r="B682" s="1" t="n">
        <v>45041</v>
      </c>
      <c r="C682" s="1" t="n">
        <v>45969</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36758-2024</t>
        </is>
      </c>
      <c r="B683" s="1" t="n">
        <v>45538.35525462963</v>
      </c>
      <c r="C683" s="1" t="n">
        <v>45969</v>
      </c>
      <c r="D683" t="inlineStr">
        <is>
          <t>VÄRMLANDS LÄN</t>
        </is>
      </c>
      <c r="E683" t="inlineStr">
        <is>
          <t>TORSBY</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43943-2022</t>
        </is>
      </c>
      <c r="B684" s="1" t="n">
        <v>44838</v>
      </c>
      <c r="C684" s="1" t="n">
        <v>45969</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55092-2022</t>
        </is>
      </c>
      <c r="B685" s="1" t="n">
        <v>44886.61493055556</v>
      </c>
      <c r="C685" s="1" t="n">
        <v>45969</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21089-2022</t>
        </is>
      </c>
      <c r="B686" s="1" t="n">
        <v>44704</v>
      </c>
      <c r="C686" s="1" t="n">
        <v>45969</v>
      </c>
      <c r="D686" t="inlineStr">
        <is>
          <t>VÄRMLANDS LÄN</t>
        </is>
      </c>
      <c r="E686" t="inlineStr">
        <is>
          <t>TORSBY</t>
        </is>
      </c>
      <c r="G686" t="n">
        <v>13.4</v>
      </c>
      <c r="H686" t="n">
        <v>0</v>
      </c>
      <c r="I686" t="n">
        <v>0</v>
      </c>
      <c r="J686" t="n">
        <v>0</v>
      </c>
      <c r="K686" t="n">
        <v>0</v>
      </c>
      <c r="L686" t="n">
        <v>0</v>
      </c>
      <c r="M686" t="n">
        <v>0</v>
      </c>
      <c r="N686" t="n">
        <v>0</v>
      </c>
      <c r="O686" t="n">
        <v>0</v>
      </c>
      <c r="P686" t="n">
        <v>0</v>
      </c>
      <c r="Q686" t="n">
        <v>0</v>
      </c>
      <c r="R686" s="2" t="inlineStr"/>
    </row>
    <row r="687" ht="15" customHeight="1">
      <c r="A687" t="inlineStr">
        <is>
          <t>A 43111-2022</t>
        </is>
      </c>
      <c r="B687" s="1" t="n">
        <v>44833</v>
      </c>
      <c r="C687" s="1" t="n">
        <v>45969</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2807-2025</t>
        </is>
      </c>
      <c r="B688" s="1" t="n">
        <v>45677</v>
      </c>
      <c r="C688" s="1" t="n">
        <v>45969</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45056-2022</t>
        </is>
      </c>
      <c r="B689" s="1" t="n">
        <v>44841.72731481482</v>
      </c>
      <c r="C689" s="1" t="n">
        <v>45969</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48320-2022</t>
        </is>
      </c>
      <c r="B690" s="1" t="n">
        <v>44853</v>
      </c>
      <c r="C690" s="1" t="n">
        <v>45969</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58185-2023</t>
        </is>
      </c>
      <c r="B691" s="1" t="n">
        <v>45250.41873842593</v>
      </c>
      <c r="C691" s="1" t="n">
        <v>45969</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34667-2022</t>
        </is>
      </c>
      <c r="B692" s="1" t="n">
        <v>44795</v>
      </c>
      <c r="C692" s="1" t="n">
        <v>45969</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26124-2024</t>
        </is>
      </c>
      <c r="B693" s="1" t="n">
        <v>45468</v>
      </c>
      <c r="C693" s="1" t="n">
        <v>45969</v>
      </c>
      <c r="D693" t="inlineStr">
        <is>
          <t>VÄRMLANDS LÄN</t>
        </is>
      </c>
      <c r="E693" t="inlineStr">
        <is>
          <t>TORSBY</t>
        </is>
      </c>
      <c r="G693" t="n">
        <v>5.7</v>
      </c>
      <c r="H693" t="n">
        <v>0</v>
      </c>
      <c r="I693" t="n">
        <v>0</v>
      </c>
      <c r="J693" t="n">
        <v>0</v>
      </c>
      <c r="K693" t="n">
        <v>0</v>
      </c>
      <c r="L693" t="n">
        <v>0</v>
      </c>
      <c r="M693" t="n">
        <v>0</v>
      </c>
      <c r="N693" t="n">
        <v>0</v>
      </c>
      <c r="O693" t="n">
        <v>0</v>
      </c>
      <c r="P693" t="n">
        <v>0</v>
      </c>
      <c r="Q693" t="n">
        <v>0</v>
      </c>
      <c r="R693" s="2" t="inlineStr"/>
    </row>
    <row r="694" ht="15" customHeight="1">
      <c r="A694" t="inlineStr">
        <is>
          <t>A 2308-2024</t>
        </is>
      </c>
      <c r="B694" s="1" t="n">
        <v>45310</v>
      </c>
      <c r="C694" s="1" t="n">
        <v>45969</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13006-2025</t>
        </is>
      </c>
      <c r="B695" s="1" t="n">
        <v>45734.51652777778</v>
      </c>
      <c r="C695" s="1" t="n">
        <v>45969</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37340-2022</t>
        </is>
      </c>
      <c r="B696" s="1" t="n">
        <v>44809</v>
      </c>
      <c r="C696" s="1" t="n">
        <v>45969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45969</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61428-2022</t>
        </is>
      </c>
      <c r="B698" s="1" t="n">
        <v>44910</v>
      </c>
      <c r="C698" s="1" t="n">
        <v>45969</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61432-2022</t>
        </is>
      </c>
      <c r="B699" s="1" t="n">
        <v>44910</v>
      </c>
      <c r="C699" s="1" t="n">
        <v>45969</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69250-2020</t>
        </is>
      </c>
      <c r="B700" s="1" t="n">
        <v>44192</v>
      </c>
      <c r="C700" s="1" t="n">
        <v>45969</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20060-2025</t>
        </is>
      </c>
      <c r="B701" s="1" t="n">
        <v>45772.41831018519</v>
      </c>
      <c r="C701" s="1" t="n">
        <v>45969</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2803-2025</t>
        </is>
      </c>
      <c r="B702" s="1" t="n">
        <v>45677</v>
      </c>
      <c r="C702" s="1" t="n">
        <v>45969</v>
      </c>
      <c r="D702" t="inlineStr">
        <is>
          <t>VÄRMLANDS LÄN</t>
        </is>
      </c>
      <c r="E702" t="inlineStr">
        <is>
          <t>TORSBY</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14581-2023</t>
        </is>
      </c>
      <c r="B703" s="1" t="n">
        <v>45013.52122685185</v>
      </c>
      <c r="C703" s="1" t="n">
        <v>45969</v>
      </c>
      <c r="D703" t="inlineStr">
        <is>
          <t>VÄRMLANDS LÄN</t>
        </is>
      </c>
      <c r="E703" t="inlineStr">
        <is>
          <t>TORSBY</t>
        </is>
      </c>
      <c r="G703" t="n">
        <v>3</v>
      </c>
      <c r="H703" t="n">
        <v>0</v>
      </c>
      <c r="I703" t="n">
        <v>0</v>
      </c>
      <c r="J703" t="n">
        <v>0</v>
      </c>
      <c r="K703" t="n">
        <v>0</v>
      </c>
      <c r="L703" t="n">
        <v>0</v>
      </c>
      <c r="M703" t="n">
        <v>0</v>
      </c>
      <c r="N703" t="n">
        <v>0</v>
      </c>
      <c r="O703" t="n">
        <v>0</v>
      </c>
      <c r="P703" t="n">
        <v>0</v>
      </c>
      <c r="Q703" t="n">
        <v>0</v>
      </c>
      <c r="R703" s="2" t="inlineStr"/>
    </row>
    <row r="704" ht="15" customHeight="1">
      <c r="A704" t="inlineStr">
        <is>
          <t>A 57072-2022</t>
        </is>
      </c>
      <c r="B704" s="1" t="n">
        <v>44895.4252662037</v>
      </c>
      <c r="C704" s="1" t="n">
        <v>45969</v>
      </c>
      <c r="D704" t="inlineStr">
        <is>
          <t>VÄRMLANDS LÄN</t>
        </is>
      </c>
      <c r="E704" t="inlineStr">
        <is>
          <t>TORSBY</t>
        </is>
      </c>
      <c r="F704" t="inlineStr">
        <is>
          <t>Övriga statliga verk och myndigheter</t>
        </is>
      </c>
      <c r="G704" t="n">
        <v>7.8</v>
      </c>
      <c r="H704" t="n">
        <v>0</v>
      </c>
      <c r="I704" t="n">
        <v>0</v>
      </c>
      <c r="J704" t="n">
        <v>0</v>
      </c>
      <c r="K704" t="n">
        <v>0</v>
      </c>
      <c r="L704" t="n">
        <v>0</v>
      </c>
      <c r="M704" t="n">
        <v>0</v>
      </c>
      <c r="N704" t="n">
        <v>0</v>
      </c>
      <c r="O704" t="n">
        <v>0</v>
      </c>
      <c r="P704" t="n">
        <v>0</v>
      </c>
      <c r="Q704" t="n">
        <v>0</v>
      </c>
      <c r="R704" s="2" t="inlineStr"/>
    </row>
    <row r="705" ht="15" customHeight="1">
      <c r="A705" t="inlineStr">
        <is>
          <t>A 35107-2024</t>
        </is>
      </c>
      <c r="B705" s="1" t="n">
        <v>45529.5588425926</v>
      </c>
      <c r="C705" s="1" t="n">
        <v>45969</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46221-2023</t>
        </is>
      </c>
      <c r="B706" s="1" t="n">
        <v>45196.66636574074</v>
      </c>
      <c r="C706" s="1" t="n">
        <v>45969</v>
      </c>
      <c r="D706" t="inlineStr">
        <is>
          <t>VÄRMLANDS LÄN</t>
        </is>
      </c>
      <c r="E706" t="inlineStr">
        <is>
          <t>TORSBY</t>
        </is>
      </c>
      <c r="G706" t="n">
        <v>6.5</v>
      </c>
      <c r="H706" t="n">
        <v>0</v>
      </c>
      <c r="I706" t="n">
        <v>0</v>
      </c>
      <c r="J706" t="n">
        <v>0</v>
      </c>
      <c r="K706" t="n">
        <v>0</v>
      </c>
      <c r="L706" t="n">
        <v>0</v>
      </c>
      <c r="M706" t="n">
        <v>0</v>
      </c>
      <c r="N706" t="n">
        <v>0</v>
      </c>
      <c r="O706" t="n">
        <v>0</v>
      </c>
      <c r="P706" t="n">
        <v>0</v>
      </c>
      <c r="Q706" t="n">
        <v>0</v>
      </c>
      <c r="R706" s="2" t="inlineStr"/>
    </row>
    <row r="707" ht="15" customHeight="1">
      <c r="A707" t="inlineStr">
        <is>
          <t>A 3387-2025</t>
        </is>
      </c>
      <c r="B707" s="1" t="n">
        <v>45680</v>
      </c>
      <c r="C707" s="1" t="n">
        <v>45969</v>
      </c>
      <c r="D707" t="inlineStr">
        <is>
          <t>VÄRMLANDS LÄN</t>
        </is>
      </c>
      <c r="E707" t="inlineStr">
        <is>
          <t>TORSBY</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12440-2025</t>
        </is>
      </c>
      <c r="B708" s="1" t="n">
        <v>45730</v>
      </c>
      <c r="C708" s="1" t="n">
        <v>45969</v>
      </c>
      <c r="D708" t="inlineStr">
        <is>
          <t>VÄRMLANDS LÄN</t>
        </is>
      </c>
      <c r="E708" t="inlineStr">
        <is>
          <t>TORSBY</t>
        </is>
      </c>
      <c r="G708" t="n">
        <v>4.7</v>
      </c>
      <c r="H708" t="n">
        <v>0</v>
      </c>
      <c r="I708" t="n">
        <v>0</v>
      </c>
      <c r="J708" t="n">
        <v>0</v>
      </c>
      <c r="K708" t="n">
        <v>0</v>
      </c>
      <c r="L708" t="n">
        <v>0</v>
      </c>
      <c r="M708" t="n">
        <v>0</v>
      </c>
      <c r="N708" t="n">
        <v>0</v>
      </c>
      <c r="O708" t="n">
        <v>0</v>
      </c>
      <c r="P708" t="n">
        <v>0</v>
      </c>
      <c r="Q708" t="n">
        <v>0</v>
      </c>
      <c r="R708" s="2" t="inlineStr"/>
    </row>
    <row r="709" ht="15" customHeight="1">
      <c r="A709" t="inlineStr">
        <is>
          <t>A 56021-2023</t>
        </is>
      </c>
      <c r="B709" s="1" t="n">
        <v>45240</v>
      </c>
      <c r="C709" s="1" t="n">
        <v>45969</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54865-2022</t>
        </is>
      </c>
      <c r="B710" s="1" t="n">
        <v>44884</v>
      </c>
      <c r="C710" s="1" t="n">
        <v>45969</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27270-2024</t>
        </is>
      </c>
      <c r="B711" s="1" t="n">
        <v>45471.81967592592</v>
      </c>
      <c r="C711" s="1" t="n">
        <v>45969</v>
      </c>
      <c r="D711" t="inlineStr">
        <is>
          <t>VÄRMLANDS LÄN</t>
        </is>
      </c>
      <c r="E711" t="inlineStr">
        <is>
          <t>TORSBY</t>
        </is>
      </c>
      <c r="G711" t="n">
        <v>6.9</v>
      </c>
      <c r="H711" t="n">
        <v>0</v>
      </c>
      <c r="I711" t="n">
        <v>0</v>
      </c>
      <c r="J711" t="n">
        <v>0</v>
      </c>
      <c r="K711" t="n">
        <v>0</v>
      </c>
      <c r="L711" t="n">
        <v>0</v>
      </c>
      <c r="M711" t="n">
        <v>0</v>
      </c>
      <c r="N711" t="n">
        <v>0</v>
      </c>
      <c r="O711" t="n">
        <v>0</v>
      </c>
      <c r="P711" t="n">
        <v>0</v>
      </c>
      <c r="Q711" t="n">
        <v>0</v>
      </c>
      <c r="R711" s="2" t="inlineStr"/>
    </row>
    <row r="712" ht="15" customHeight="1">
      <c r="A712" t="inlineStr">
        <is>
          <t>A 37081-2023</t>
        </is>
      </c>
      <c r="B712" s="1" t="n">
        <v>45155</v>
      </c>
      <c r="C712" s="1" t="n">
        <v>45969</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27358-2024</t>
        </is>
      </c>
      <c r="B713" s="1" t="n">
        <v>45473.71635416667</v>
      </c>
      <c r="C713" s="1" t="n">
        <v>45969</v>
      </c>
      <c r="D713" t="inlineStr">
        <is>
          <t>VÄRMLANDS LÄN</t>
        </is>
      </c>
      <c r="E713" t="inlineStr">
        <is>
          <t>TORSBY</t>
        </is>
      </c>
      <c r="G713" t="n">
        <v>4.2</v>
      </c>
      <c r="H713" t="n">
        <v>0</v>
      </c>
      <c r="I713" t="n">
        <v>0</v>
      </c>
      <c r="J713" t="n">
        <v>0</v>
      </c>
      <c r="K713" t="n">
        <v>0</v>
      </c>
      <c r="L713" t="n">
        <v>0</v>
      </c>
      <c r="M713" t="n">
        <v>0</v>
      </c>
      <c r="N713" t="n">
        <v>0</v>
      </c>
      <c r="O713" t="n">
        <v>0</v>
      </c>
      <c r="P713" t="n">
        <v>0</v>
      </c>
      <c r="Q713" t="n">
        <v>0</v>
      </c>
      <c r="R713" s="2" t="inlineStr"/>
    </row>
    <row r="714" ht="15" customHeight="1">
      <c r="A714" t="inlineStr">
        <is>
          <t>A 27360-2024</t>
        </is>
      </c>
      <c r="B714" s="1" t="n">
        <v>45473</v>
      </c>
      <c r="C714" s="1" t="n">
        <v>45969</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35762-2024</t>
        </is>
      </c>
      <c r="B715" s="1" t="n">
        <v>45532.57373842593</v>
      </c>
      <c r="C715" s="1" t="n">
        <v>45969</v>
      </c>
      <c r="D715" t="inlineStr">
        <is>
          <t>VÄRMLANDS LÄN</t>
        </is>
      </c>
      <c r="E715" t="inlineStr">
        <is>
          <t>TORSBY</t>
        </is>
      </c>
      <c r="G715" t="n">
        <v>11.8</v>
      </c>
      <c r="H715" t="n">
        <v>0</v>
      </c>
      <c r="I715" t="n">
        <v>0</v>
      </c>
      <c r="J715" t="n">
        <v>0</v>
      </c>
      <c r="K715" t="n">
        <v>0</v>
      </c>
      <c r="L715" t="n">
        <v>0</v>
      </c>
      <c r="M715" t="n">
        <v>0</v>
      </c>
      <c r="N715" t="n">
        <v>0</v>
      </c>
      <c r="O715" t="n">
        <v>0</v>
      </c>
      <c r="P715" t="n">
        <v>0</v>
      </c>
      <c r="Q715" t="n">
        <v>0</v>
      </c>
      <c r="R715" s="2" t="inlineStr"/>
    </row>
    <row r="716" ht="15" customHeight="1">
      <c r="A716" t="inlineStr">
        <is>
          <t>A 35609-2024</t>
        </is>
      </c>
      <c r="B716" s="1" t="n">
        <v>45531.68758101852</v>
      </c>
      <c r="C716" s="1" t="n">
        <v>45969</v>
      </c>
      <c r="D716" t="inlineStr">
        <is>
          <t>VÄRMLANDS LÄN</t>
        </is>
      </c>
      <c r="E716" t="inlineStr">
        <is>
          <t>TORSBY</t>
        </is>
      </c>
      <c r="G716" t="n">
        <v>38.3</v>
      </c>
      <c r="H716" t="n">
        <v>0</v>
      </c>
      <c r="I716" t="n">
        <v>0</v>
      </c>
      <c r="J716" t="n">
        <v>0</v>
      </c>
      <c r="K716" t="n">
        <v>0</v>
      </c>
      <c r="L716" t="n">
        <v>0</v>
      </c>
      <c r="M716" t="n">
        <v>0</v>
      </c>
      <c r="N716" t="n">
        <v>0</v>
      </c>
      <c r="O716" t="n">
        <v>0</v>
      </c>
      <c r="P716" t="n">
        <v>0</v>
      </c>
      <c r="Q716" t="n">
        <v>0</v>
      </c>
      <c r="R716" s="2" t="inlineStr"/>
    </row>
    <row r="717" ht="15" customHeight="1">
      <c r="A717" t="inlineStr">
        <is>
          <t>A 57980-2023</t>
        </is>
      </c>
      <c r="B717" s="1" t="n">
        <v>45247.59328703704</v>
      </c>
      <c r="C717" s="1" t="n">
        <v>45969</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14613-2025</t>
        </is>
      </c>
      <c r="B718" s="1" t="n">
        <v>45742.39615740741</v>
      </c>
      <c r="C718" s="1" t="n">
        <v>45969</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19662-2025</t>
        </is>
      </c>
      <c r="B719" s="1" t="n">
        <v>45770</v>
      </c>
      <c r="C719" s="1" t="n">
        <v>45969</v>
      </c>
      <c r="D719" t="inlineStr">
        <is>
          <t>VÄRMLANDS LÄN</t>
        </is>
      </c>
      <c r="E719" t="inlineStr">
        <is>
          <t>TORSBY</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19763-2025</t>
        </is>
      </c>
      <c r="B720" s="1" t="n">
        <v>45771.40707175926</v>
      </c>
      <c r="C720" s="1" t="n">
        <v>45969</v>
      </c>
      <c r="D720" t="inlineStr">
        <is>
          <t>VÄRMLANDS LÄN</t>
        </is>
      </c>
      <c r="E720" t="inlineStr">
        <is>
          <t>TORSBY</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19159-2025</t>
        </is>
      </c>
      <c r="B721" s="1" t="n">
        <v>45769</v>
      </c>
      <c r="C721" s="1" t="n">
        <v>45969</v>
      </c>
      <c r="D721" t="inlineStr">
        <is>
          <t>VÄRMLANDS LÄN</t>
        </is>
      </c>
      <c r="E721" t="inlineStr">
        <is>
          <t>TORSBY</t>
        </is>
      </c>
      <c r="F721" t="inlineStr">
        <is>
          <t>Bergvik skog väst AB</t>
        </is>
      </c>
      <c r="G721" t="n">
        <v>10.2</v>
      </c>
      <c r="H721" t="n">
        <v>0</v>
      </c>
      <c r="I721" t="n">
        <v>0</v>
      </c>
      <c r="J721" t="n">
        <v>0</v>
      </c>
      <c r="K721" t="n">
        <v>0</v>
      </c>
      <c r="L721" t="n">
        <v>0</v>
      </c>
      <c r="M721" t="n">
        <v>0</v>
      </c>
      <c r="N721" t="n">
        <v>0</v>
      </c>
      <c r="O721" t="n">
        <v>0</v>
      </c>
      <c r="P721" t="n">
        <v>0</v>
      </c>
      <c r="Q721" t="n">
        <v>0</v>
      </c>
      <c r="R721" s="2" t="inlineStr"/>
    </row>
    <row r="722" ht="15" customHeight="1">
      <c r="A722" t="inlineStr">
        <is>
          <t>A 40180-2024</t>
        </is>
      </c>
      <c r="B722" s="1" t="n">
        <v>45554.55413194445</v>
      </c>
      <c r="C722" s="1" t="n">
        <v>45969</v>
      </c>
      <c r="D722" t="inlineStr">
        <is>
          <t>VÄRMLANDS LÄN</t>
        </is>
      </c>
      <c r="E722" t="inlineStr">
        <is>
          <t>TORSBY</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38979-2025</t>
        </is>
      </c>
      <c r="B723" s="1" t="n">
        <v>45887.99758101852</v>
      </c>
      <c r="C723" s="1" t="n">
        <v>45969</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54714-2023</t>
        </is>
      </c>
      <c r="B724" s="1" t="n">
        <v>45236.3515162037</v>
      </c>
      <c r="C724" s="1" t="n">
        <v>45969</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18959-2024</t>
        </is>
      </c>
      <c r="B725" s="1" t="n">
        <v>45427.53032407408</v>
      </c>
      <c r="C725" s="1" t="n">
        <v>45969</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2390-2025</t>
        </is>
      </c>
      <c r="B726" s="1" t="n">
        <v>45674.32071759259</v>
      </c>
      <c r="C726" s="1" t="n">
        <v>45969</v>
      </c>
      <c r="D726" t="inlineStr">
        <is>
          <t>VÄRMLANDS LÄN</t>
        </is>
      </c>
      <c r="E726" t="inlineStr">
        <is>
          <t>TORSBY</t>
        </is>
      </c>
      <c r="G726" t="n">
        <v>4.6</v>
      </c>
      <c r="H726" t="n">
        <v>0</v>
      </c>
      <c r="I726" t="n">
        <v>0</v>
      </c>
      <c r="J726" t="n">
        <v>0</v>
      </c>
      <c r="K726" t="n">
        <v>0</v>
      </c>
      <c r="L726" t="n">
        <v>0</v>
      </c>
      <c r="M726" t="n">
        <v>0</v>
      </c>
      <c r="N726" t="n">
        <v>0</v>
      </c>
      <c r="O726" t="n">
        <v>0</v>
      </c>
      <c r="P726" t="n">
        <v>0</v>
      </c>
      <c r="Q726" t="n">
        <v>0</v>
      </c>
      <c r="R726" s="2" t="inlineStr"/>
    </row>
    <row r="727" ht="15" customHeight="1">
      <c r="A727" t="inlineStr">
        <is>
          <t>A 20461-2025</t>
        </is>
      </c>
      <c r="B727" s="1" t="n">
        <v>45775.53158564815</v>
      </c>
      <c r="C727" s="1" t="n">
        <v>45969</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68136-2021</t>
        </is>
      </c>
      <c r="B728" s="1" t="n">
        <v>44526.40984953703</v>
      </c>
      <c r="C728" s="1" t="n">
        <v>45969</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34093-2024</t>
        </is>
      </c>
      <c r="B729" s="1" t="n">
        <v>45523</v>
      </c>
      <c r="C729" s="1" t="n">
        <v>45969</v>
      </c>
      <c r="D729" t="inlineStr">
        <is>
          <t>VÄRMLANDS LÄN</t>
        </is>
      </c>
      <c r="E729" t="inlineStr">
        <is>
          <t>TORSBY</t>
        </is>
      </c>
      <c r="F729" t="inlineStr">
        <is>
          <t>Bergvik skog väst AB</t>
        </is>
      </c>
      <c r="G729" t="n">
        <v>5.9</v>
      </c>
      <c r="H729" t="n">
        <v>0</v>
      </c>
      <c r="I729" t="n">
        <v>0</v>
      </c>
      <c r="J729" t="n">
        <v>0</v>
      </c>
      <c r="K729" t="n">
        <v>0</v>
      </c>
      <c r="L729" t="n">
        <v>0</v>
      </c>
      <c r="M729" t="n">
        <v>0</v>
      </c>
      <c r="N729" t="n">
        <v>0</v>
      </c>
      <c r="O729" t="n">
        <v>0</v>
      </c>
      <c r="P729" t="n">
        <v>0</v>
      </c>
      <c r="Q729" t="n">
        <v>0</v>
      </c>
      <c r="R729" s="2" t="inlineStr"/>
    </row>
    <row r="730" ht="15" customHeight="1">
      <c r="A730" t="inlineStr">
        <is>
          <t>A 11214-2024</t>
        </is>
      </c>
      <c r="B730" s="1" t="n">
        <v>45371</v>
      </c>
      <c r="C730" s="1" t="n">
        <v>45969</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3951-2025</t>
        </is>
      </c>
      <c r="B731" s="1" t="n">
        <v>45684.49333333333</v>
      </c>
      <c r="C731" s="1" t="n">
        <v>45969</v>
      </c>
      <c r="D731" t="inlineStr">
        <is>
          <t>VÄRMLANDS LÄN</t>
        </is>
      </c>
      <c r="E731" t="inlineStr">
        <is>
          <t>TORSBY</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41022-2023</t>
        </is>
      </c>
      <c r="B732" s="1" t="n">
        <v>45173</v>
      </c>
      <c r="C732" s="1" t="n">
        <v>45969</v>
      </c>
      <c r="D732" t="inlineStr">
        <is>
          <t>VÄRMLANDS LÄN</t>
        </is>
      </c>
      <c r="E732" t="inlineStr">
        <is>
          <t>TORSBY</t>
        </is>
      </c>
      <c r="G732" t="n">
        <v>3.8</v>
      </c>
      <c r="H732" t="n">
        <v>0</v>
      </c>
      <c r="I732" t="n">
        <v>0</v>
      </c>
      <c r="J732" t="n">
        <v>0</v>
      </c>
      <c r="K732" t="n">
        <v>0</v>
      </c>
      <c r="L732" t="n">
        <v>0</v>
      </c>
      <c r="M732" t="n">
        <v>0</v>
      </c>
      <c r="N732" t="n">
        <v>0</v>
      </c>
      <c r="O732" t="n">
        <v>0</v>
      </c>
      <c r="P732" t="n">
        <v>0</v>
      </c>
      <c r="Q732" t="n">
        <v>0</v>
      </c>
      <c r="R732" s="2" t="inlineStr"/>
    </row>
    <row r="733" ht="15" customHeight="1">
      <c r="A733" t="inlineStr">
        <is>
          <t>A 30700-2024</t>
        </is>
      </c>
      <c r="B733" s="1" t="n">
        <v>45496.35869212963</v>
      </c>
      <c r="C733" s="1" t="n">
        <v>45969</v>
      </c>
      <c r="D733" t="inlineStr">
        <is>
          <t>VÄRMLANDS LÄN</t>
        </is>
      </c>
      <c r="E733" t="inlineStr">
        <is>
          <t>TORSBY</t>
        </is>
      </c>
      <c r="G733" t="n">
        <v>7.2</v>
      </c>
      <c r="H733" t="n">
        <v>0</v>
      </c>
      <c r="I733" t="n">
        <v>0</v>
      </c>
      <c r="J733" t="n">
        <v>0</v>
      </c>
      <c r="K733" t="n">
        <v>0</v>
      </c>
      <c r="L733" t="n">
        <v>0</v>
      </c>
      <c r="M733" t="n">
        <v>0</v>
      </c>
      <c r="N733" t="n">
        <v>0</v>
      </c>
      <c r="O733" t="n">
        <v>0</v>
      </c>
      <c r="P733" t="n">
        <v>0</v>
      </c>
      <c r="Q733" t="n">
        <v>0</v>
      </c>
      <c r="R733" s="2" t="inlineStr"/>
    </row>
    <row r="734" ht="15" customHeight="1">
      <c r="A734" t="inlineStr">
        <is>
          <t>A 30705-2024</t>
        </is>
      </c>
      <c r="B734" s="1" t="n">
        <v>45496.38092592593</v>
      </c>
      <c r="C734" s="1" t="n">
        <v>45969</v>
      </c>
      <c r="D734" t="inlineStr">
        <is>
          <t>VÄRMLANDS LÄN</t>
        </is>
      </c>
      <c r="E734" t="inlineStr">
        <is>
          <t>TORSBY</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6317-2025</t>
        </is>
      </c>
      <c r="B735" s="1" t="n">
        <v>45698.74826388889</v>
      </c>
      <c r="C735" s="1" t="n">
        <v>45969</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39215-2022</t>
        </is>
      </c>
      <c r="B736" s="1" t="n">
        <v>44817</v>
      </c>
      <c r="C736" s="1" t="n">
        <v>45969</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34430-2023</t>
        </is>
      </c>
      <c r="B737" s="1" t="n">
        <v>45139.62216435185</v>
      </c>
      <c r="C737" s="1" t="n">
        <v>45969</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21518-2024</t>
        </is>
      </c>
      <c r="B738" s="1" t="n">
        <v>45441</v>
      </c>
      <c r="C738" s="1" t="n">
        <v>45969</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12051-2024</t>
        </is>
      </c>
      <c r="B739" s="1" t="n">
        <v>45377</v>
      </c>
      <c r="C739" s="1" t="n">
        <v>45969</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51823-2024</t>
        </is>
      </c>
      <c r="B740" s="1" t="n">
        <v>45607</v>
      </c>
      <c r="C740" s="1" t="n">
        <v>45969</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39216-2022</t>
        </is>
      </c>
      <c r="B741" s="1" t="n">
        <v>44817</v>
      </c>
      <c r="C741" s="1" t="n">
        <v>45969</v>
      </c>
      <c r="D741" t="inlineStr">
        <is>
          <t>VÄRMLANDS LÄN</t>
        </is>
      </c>
      <c r="E741" t="inlineStr">
        <is>
          <t>TORSBY</t>
        </is>
      </c>
      <c r="G741" t="n">
        <v>6.6</v>
      </c>
      <c r="H741" t="n">
        <v>0</v>
      </c>
      <c r="I741" t="n">
        <v>0</v>
      </c>
      <c r="J741" t="n">
        <v>0</v>
      </c>
      <c r="K741" t="n">
        <v>0</v>
      </c>
      <c r="L741" t="n">
        <v>0</v>
      </c>
      <c r="M741" t="n">
        <v>0</v>
      </c>
      <c r="N741" t="n">
        <v>0</v>
      </c>
      <c r="O741" t="n">
        <v>0</v>
      </c>
      <c r="P741" t="n">
        <v>0</v>
      </c>
      <c r="Q741" t="n">
        <v>0</v>
      </c>
      <c r="R741" s="2" t="inlineStr"/>
    </row>
    <row r="742" ht="15" customHeight="1">
      <c r="A742" t="inlineStr">
        <is>
          <t>A 36327-2021</t>
        </is>
      </c>
      <c r="B742" s="1" t="n">
        <v>44390</v>
      </c>
      <c r="C742" s="1" t="n">
        <v>45969</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52483-2022</t>
        </is>
      </c>
      <c r="B743" s="1" t="n">
        <v>44874.48637731482</v>
      </c>
      <c r="C743" s="1" t="n">
        <v>45969</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38795-2025</t>
        </is>
      </c>
      <c r="B744" s="1" t="n">
        <v>45887</v>
      </c>
      <c r="C744" s="1" t="n">
        <v>45969</v>
      </c>
      <c r="D744" t="inlineStr">
        <is>
          <t>VÄRMLANDS LÄN</t>
        </is>
      </c>
      <c r="E744" t="inlineStr">
        <is>
          <t>TORSBY</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49073-2022</t>
        </is>
      </c>
      <c r="B745" s="1" t="n">
        <v>44860</v>
      </c>
      <c r="C745" s="1" t="n">
        <v>45969</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9067-2023</t>
        </is>
      </c>
      <c r="B746" s="1" t="n">
        <v>44979</v>
      </c>
      <c r="C746" s="1" t="n">
        <v>45969</v>
      </c>
      <c r="D746" t="inlineStr">
        <is>
          <t>VÄRMLANDS LÄN</t>
        </is>
      </c>
      <c r="E746" t="inlineStr">
        <is>
          <t>TORSBY</t>
        </is>
      </c>
      <c r="G746" t="n">
        <v>0.5</v>
      </c>
      <c r="H746" t="n">
        <v>0</v>
      </c>
      <c r="I746" t="n">
        <v>0</v>
      </c>
      <c r="J746" t="n">
        <v>0</v>
      </c>
      <c r="K746" t="n">
        <v>0</v>
      </c>
      <c r="L746" t="n">
        <v>0</v>
      </c>
      <c r="M746" t="n">
        <v>0</v>
      </c>
      <c r="N746" t="n">
        <v>0</v>
      </c>
      <c r="O746" t="n">
        <v>0</v>
      </c>
      <c r="P746" t="n">
        <v>0</v>
      </c>
      <c r="Q746" t="n">
        <v>0</v>
      </c>
      <c r="R746" s="2" t="inlineStr"/>
    </row>
    <row r="747" ht="15" customHeight="1">
      <c r="A747" t="inlineStr">
        <is>
          <t>A 54452-2022</t>
        </is>
      </c>
      <c r="B747" s="1" t="n">
        <v>44880</v>
      </c>
      <c r="C747" s="1" t="n">
        <v>45969</v>
      </c>
      <c r="D747" t="inlineStr">
        <is>
          <t>VÄRMLANDS LÄN</t>
        </is>
      </c>
      <c r="E747" t="inlineStr">
        <is>
          <t>TORSBY</t>
        </is>
      </c>
      <c r="F747" t="inlineStr">
        <is>
          <t>Kyrkan</t>
        </is>
      </c>
      <c r="G747" t="n">
        <v>10.6</v>
      </c>
      <c r="H747" t="n">
        <v>0</v>
      </c>
      <c r="I747" t="n">
        <v>0</v>
      </c>
      <c r="J747" t="n">
        <v>0</v>
      </c>
      <c r="K747" t="n">
        <v>0</v>
      </c>
      <c r="L747" t="n">
        <v>0</v>
      </c>
      <c r="M747" t="n">
        <v>0</v>
      </c>
      <c r="N747" t="n">
        <v>0</v>
      </c>
      <c r="O747" t="n">
        <v>0</v>
      </c>
      <c r="P747" t="n">
        <v>0</v>
      </c>
      <c r="Q747" t="n">
        <v>0</v>
      </c>
      <c r="R747" s="2" t="inlineStr"/>
    </row>
    <row r="748" ht="15" customHeight="1">
      <c r="A748" t="inlineStr">
        <is>
          <t>A 54556-2023</t>
        </is>
      </c>
      <c r="B748" s="1" t="n">
        <v>45233.63445601852</v>
      </c>
      <c r="C748" s="1" t="n">
        <v>45969</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34405-2023</t>
        </is>
      </c>
      <c r="B749" s="1" t="n">
        <v>45139.55131944444</v>
      </c>
      <c r="C749" s="1" t="n">
        <v>45969</v>
      </c>
      <c r="D749" t="inlineStr">
        <is>
          <t>VÄRMLANDS LÄN</t>
        </is>
      </c>
      <c r="E749" t="inlineStr">
        <is>
          <t>TORSBY</t>
        </is>
      </c>
      <c r="G749" t="n">
        <v>4.6</v>
      </c>
      <c r="H749" t="n">
        <v>0</v>
      </c>
      <c r="I749" t="n">
        <v>0</v>
      </c>
      <c r="J749" t="n">
        <v>0</v>
      </c>
      <c r="K749" t="n">
        <v>0</v>
      </c>
      <c r="L749" t="n">
        <v>0</v>
      </c>
      <c r="M749" t="n">
        <v>0</v>
      </c>
      <c r="N749" t="n">
        <v>0</v>
      </c>
      <c r="O749" t="n">
        <v>0</v>
      </c>
      <c r="P749" t="n">
        <v>0</v>
      </c>
      <c r="Q749" t="n">
        <v>0</v>
      </c>
      <c r="R749" s="2" t="inlineStr"/>
    </row>
    <row r="750" ht="15" customHeight="1">
      <c r="A750" t="inlineStr">
        <is>
          <t>A 44340-2022</t>
        </is>
      </c>
      <c r="B750" s="1" t="n">
        <v>44838</v>
      </c>
      <c r="C750" s="1" t="n">
        <v>45969</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38298-2021</t>
        </is>
      </c>
      <c r="B751" s="1" t="n">
        <v>44406</v>
      </c>
      <c r="C751" s="1" t="n">
        <v>45969</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13285-2025</t>
        </is>
      </c>
      <c r="B752" s="1" t="n">
        <v>45735</v>
      </c>
      <c r="C752" s="1" t="n">
        <v>45969</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36718-2024</t>
        </is>
      </c>
      <c r="B753" s="1" t="n">
        <v>45537</v>
      </c>
      <c r="C753" s="1" t="n">
        <v>45969</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45969</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30104-2023</t>
        </is>
      </c>
      <c r="B755" s="1" t="n">
        <v>45110</v>
      </c>
      <c r="C755" s="1" t="n">
        <v>45969</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9574-2023</t>
        </is>
      </c>
      <c r="B756" s="1" t="n">
        <v>44982.55168981481</v>
      </c>
      <c r="C756" s="1" t="n">
        <v>45969</v>
      </c>
      <c r="D756" t="inlineStr">
        <is>
          <t>VÄRMLANDS LÄN</t>
        </is>
      </c>
      <c r="E756" t="inlineStr">
        <is>
          <t>TORSBY</t>
        </is>
      </c>
      <c r="F756" t="inlineStr">
        <is>
          <t>Övriga statliga verk och myndigheter</t>
        </is>
      </c>
      <c r="G756" t="n">
        <v>6.2</v>
      </c>
      <c r="H756" t="n">
        <v>0</v>
      </c>
      <c r="I756" t="n">
        <v>0</v>
      </c>
      <c r="J756" t="n">
        <v>0</v>
      </c>
      <c r="K756" t="n">
        <v>0</v>
      </c>
      <c r="L756" t="n">
        <v>0</v>
      </c>
      <c r="M756" t="n">
        <v>0</v>
      </c>
      <c r="N756" t="n">
        <v>0</v>
      </c>
      <c r="O756" t="n">
        <v>0</v>
      </c>
      <c r="P756" t="n">
        <v>0</v>
      </c>
      <c r="Q756" t="n">
        <v>0</v>
      </c>
      <c r="R756" s="2" t="inlineStr"/>
    </row>
    <row r="757" ht="15" customHeight="1">
      <c r="A757" t="inlineStr">
        <is>
          <t>A 54885-2022</t>
        </is>
      </c>
      <c r="B757" s="1" t="n">
        <v>44886</v>
      </c>
      <c r="C757" s="1" t="n">
        <v>45969</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45969</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56473-2022</t>
        </is>
      </c>
      <c r="B759" s="1" t="n">
        <v>44893</v>
      </c>
      <c r="C759" s="1" t="n">
        <v>45969</v>
      </c>
      <c r="D759" t="inlineStr">
        <is>
          <t>VÄRMLANDS LÄN</t>
        </is>
      </c>
      <c r="E759" t="inlineStr">
        <is>
          <t>TORSBY</t>
        </is>
      </c>
      <c r="G759" t="n">
        <v>5.4</v>
      </c>
      <c r="H759" t="n">
        <v>0</v>
      </c>
      <c r="I759" t="n">
        <v>0</v>
      </c>
      <c r="J759" t="n">
        <v>0</v>
      </c>
      <c r="K759" t="n">
        <v>0</v>
      </c>
      <c r="L759" t="n">
        <v>0</v>
      </c>
      <c r="M759" t="n">
        <v>0</v>
      </c>
      <c r="N759" t="n">
        <v>0</v>
      </c>
      <c r="O759" t="n">
        <v>0</v>
      </c>
      <c r="P759" t="n">
        <v>0</v>
      </c>
      <c r="Q759" t="n">
        <v>0</v>
      </c>
      <c r="R759" s="2" t="inlineStr"/>
    </row>
    <row r="760" ht="15" customHeight="1">
      <c r="A760" t="inlineStr">
        <is>
          <t>A 23073-2023</t>
        </is>
      </c>
      <c r="B760" s="1" t="n">
        <v>45070</v>
      </c>
      <c r="C760" s="1" t="n">
        <v>45969</v>
      </c>
      <c r="D760" t="inlineStr">
        <is>
          <t>VÄRMLANDS LÄN</t>
        </is>
      </c>
      <c r="E760" t="inlineStr">
        <is>
          <t>TORSBY</t>
        </is>
      </c>
      <c r="G760" t="n">
        <v>15.1</v>
      </c>
      <c r="H760" t="n">
        <v>0</v>
      </c>
      <c r="I760" t="n">
        <v>0</v>
      </c>
      <c r="J760" t="n">
        <v>0</v>
      </c>
      <c r="K760" t="n">
        <v>0</v>
      </c>
      <c r="L760" t="n">
        <v>0</v>
      </c>
      <c r="M760" t="n">
        <v>0</v>
      </c>
      <c r="N760" t="n">
        <v>0</v>
      </c>
      <c r="O760" t="n">
        <v>0</v>
      </c>
      <c r="P760" t="n">
        <v>0</v>
      </c>
      <c r="Q760" t="n">
        <v>0</v>
      </c>
      <c r="R760" s="2" t="inlineStr"/>
    </row>
    <row r="761" ht="15" customHeight="1">
      <c r="A761" t="inlineStr">
        <is>
          <t>A 32847-2024</t>
        </is>
      </c>
      <c r="B761" s="1" t="n">
        <v>45516.63021990741</v>
      </c>
      <c r="C761" s="1" t="n">
        <v>45969</v>
      </c>
      <c r="D761" t="inlineStr">
        <is>
          <t>VÄRMLANDS LÄN</t>
        </is>
      </c>
      <c r="E761" t="inlineStr">
        <is>
          <t>TORSBY</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45328-2022</t>
        </is>
      </c>
      <c r="B762" s="1" t="n">
        <v>44844</v>
      </c>
      <c r="C762" s="1" t="n">
        <v>45969</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4516-2025</t>
        </is>
      </c>
      <c r="B763" s="1" t="n">
        <v>45686.88212962963</v>
      </c>
      <c r="C763" s="1" t="n">
        <v>45969</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4517-2025</t>
        </is>
      </c>
      <c r="B764" s="1" t="n">
        <v>45686</v>
      </c>
      <c r="C764" s="1" t="n">
        <v>45969</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32138-2024</t>
        </is>
      </c>
      <c r="B765" s="1" t="n">
        <v>45511</v>
      </c>
      <c r="C765" s="1" t="n">
        <v>45969</v>
      </c>
      <c r="D765" t="inlineStr">
        <is>
          <t>VÄRMLANDS LÄN</t>
        </is>
      </c>
      <c r="E765" t="inlineStr">
        <is>
          <t>TORSBY</t>
        </is>
      </c>
      <c r="F765" t="inlineStr">
        <is>
          <t>Bergvik skog väst AB</t>
        </is>
      </c>
      <c r="G765" t="n">
        <v>26.3</v>
      </c>
      <c r="H765" t="n">
        <v>0</v>
      </c>
      <c r="I765" t="n">
        <v>0</v>
      </c>
      <c r="J765" t="n">
        <v>0</v>
      </c>
      <c r="K765" t="n">
        <v>0</v>
      </c>
      <c r="L765" t="n">
        <v>0</v>
      </c>
      <c r="M765" t="n">
        <v>0</v>
      </c>
      <c r="N765" t="n">
        <v>0</v>
      </c>
      <c r="O765" t="n">
        <v>0</v>
      </c>
      <c r="P765" t="n">
        <v>0</v>
      </c>
      <c r="Q765" t="n">
        <v>0</v>
      </c>
      <c r="R765" s="2" t="inlineStr"/>
    </row>
    <row r="766" ht="15" customHeight="1">
      <c r="A766" t="inlineStr">
        <is>
          <t>A 11872-2025</t>
        </is>
      </c>
      <c r="B766" s="1" t="n">
        <v>45728.43021990741</v>
      </c>
      <c r="C766" s="1" t="n">
        <v>45969</v>
      </c>
      <c r="D766" t="inlineStr">
        <is>
          <t>VÄRMLANDS LÄN</t>
        </is>
      </c>
      <c r="E766" t="inlineStr">
        <is>
          <t>TORSBY</t>
        </is>
      </c>
      <c r="G766" t="n">
        <v>7.4</v>
      </c>
      <c r="H766" t="n">
        <v>0</v>
      </c>
      <c r="I766" t="n">
        <v>0</v>
      </c>
      <c r="J766" t="n">
        <v>0</v>
      </c>
      <c r="K766" t="n">
        <v>0</v>
      </c>
      <c r="L766" t="n">
        <v>0</v>
      </c>
      <c r="M766" t="n">
        <v>0</v>
      </c>
      <c r="N766" t="n">
        <v>0</v>
      </c>
      <c r="O766" t="n">
        <v>0</v>
      </c>
      <c r="P766" t="n">
        <v>0</v>
      </c>
      <c r="Q766" t="n">
        <v>0</v>
      </c>
      <c r="R766" s="2" t="inlineStr"/>
    </row>
    <row r="767" ht="15" customHeight="1">
      <c r="A767" t="inlineStr">
        <is>
          <t>A 20872-2024</t>
        </is>
      </c>
      <c r="B767" s="1" t="n">
        <v>45439.44173611111</v>
      </c>
      <c r="C767" s="1" t="n">
        <v>45969</v>
      </c>
      <c r="D767" t="inlineStr">
        <is>
          <t>VÄRMLANDS LÄN</t>
        </is>
      </c>
      <c r="E767" t="inlineStr">
        <is>
          <t>TORSBY</t>
        </is>
      </c>
      <c r="G767" t="n">
        <v>7.4</v>
      </c>
      <c r="H767" t="n">
        <v>0</v>
      </c>
      <c r="I767" t="n">
        <v>0</v>
      </c>
      <c r="J767" t="n">
        <v>0</v>
      </c>
      <c r="K767" t="n">
        <v>0</v>
      </c>
      <c r="L767" t="n">
        <v>0</v>
      </c>
      <c r="M767" t="n">
        <v>0</v>
      </c>
      <c r="N767" t="n">
        <v>0</v>
      </c>
      <c r="O767" t="n">
        <v>0</v>
      </c>
      <c r="P767" t="n">
        <v>0</v>
      </c>
      <c r="Q767" t="n">
        <v>0</v>
      </c>
      <c r="R767" s="2" t="inlineStr"/>
    </row>
    <row r="768" ht="15" customHeight="1">
      <c r="A768" t="inlineStr">
        <is>
          <t>A 24244-2023</t>
        </is>
      </c>
      <c r="B768" s="1" t="n">
        <v>45079.61969907407</v>
      </c>
      <c r="C768" s="1" t="n">
        <v>45969</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25949-2024</t>
        </is>
      </c>
      <c r="B769" s="1" t="n">
        <v>45467.6442824074</v>
      </c>
      <c r="C769" s="1" t="n">
        <v>45969</v>
      </c>
      <c r="D769" t="inlineStr">
        <is>
          <t>VÄRMLANDS LÄN</t>
        </is>
      </c>
      <c r="E769" t="inlineStr">
        <is>
          <t>TORSBY</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1839-2022</t>
        </is>
      </c>
      <c r="B770" s="1" t="n">
        <v>44574</v>
      </c>
      <c r="C770" s="1" t="n">
        <v>45969</v>
      </c>
      <c r="D770" t="inlineStr">
        <is>
          <t>VÄRMLANDS LÄN</t>
        </is>
      </c>
      <c r="E770" t="inlineStr">
        <is>
          <t>TORSBY</t>
        </is>
      </c>
      <c r="G770" t="n">
        <v>5.3</v>
      </c>
      <c r="H770" t="n">
        <v>0</v>
      </c>
      <c r="I770" t="n">
        <v>0</v>
      </c>
      <c r="J770" t="n">
        <v>0</v>
      </c>
      <c r="K770" t="n">
        <v>0</v>
      </c>
      <c r="L770" t="n">
        <v>0</v>
      </c>
      <c r="M770" t="n">
        <v>0</v>
      </c>
      <c r="N770" t="n">
        <v>0</v>
      </c>
      <c r="O770" t="n">
        <v>0</v>
      </c>
      <c r="P770" t="n">
        <v>0</v>
      </c>
      <c r="Q770" t="n">
        <v>0</v>
      </c>
      <c r="R770" s="2" t="inlineStr"/>
    </row>
    <row r="771" ht="15" customHeight="1">
      <c r="A771" t="inlineStr">
        <is>
          <t>A 47602-2021</t>
        </is>
      </c>
      <c r="B771" s="1" t="n">
        <v>44448</v>
      </c>
      <c r="C771" s="1" t="n">
        <v>45969</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25355-2024</t>
        </is>
      </c>
      <c r="B772" s="1" t="n">
        <v>45462.92868055555</v>
      </c>
      <c r="C772" s="1" t="n">
        <v>45969</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61956-2020</t>
        </is>
      </c>
      <c r="B773" s="1" t="n">
        <v>44159</v>
      </c>
      <c r="C773" s="1" t="n">
        <v>45969</v>
      </c>
      <c r="D773" t="inlineStr">
        <is>
          <t>VÄRMLANDS LÄN</t>
        </is>
      </c>
      <c r="E773" t="inlineStr">
        <is>
          <t>TORSBY</t>
        </is>
      </c>
      <c r="F773" t="inlineStr">
        <is>
          <t>Kommuner</t>
        </is>
      </c>
      <c r="G773" t="n">
        <v>7.5</v>
      </c>
      <c r="H773" t="n">
        <v>0</v>
      </c>
      <c r="I773" t="n">
        <v>0</v>
      </c>
      <c r="J773" t="n">
        <v>0</v>
      </c>
      <c r="K773" t="n">
        <v>0</v>
      </c>
      <c r="L773" t="n">
        <v>0</v>
      </c>
      <c r="M773" t="n">
        <v>0</v>
      </c>
      <c r="N773" t="n">
        <v>0</v>
      </c>
      <c r="O773" t="n">
        <v>0</v>
      </c>
      <c r="P773" t="n">
        <v>0</v>
      </c>
      <c r="Q773" t="n">
        <v>0</v>
      </c>
      <c r="R773" s="2" t="inlineStr"/>
    </row>
    <row r="774" ht="15" customHeight="1">
      <c r="A774" t="inlineStr">
        <is>
          <t>A 21365-2023</t>
        </is>
      </c>
      <c r="B774" s="1" t="n">
        <v>45063.26761574074</v>
      </c>
      <c r="C774" s="1" t="n">
        <v>45969</v>
      </c>
      <c r="D774" t="inlineStr">
        <is>
          <t>VÄRMLANDS LÄN</t>
        </is>
      </c>
      <c r="E774" t="inlineStr">
        <is>
          <t>TORSBY</t>
        </is>
      </c>
      <c r="F774" t="inlineStr">
        <is>
          <t>Kyrkan</t>
        </is>
      </c>
      <c r="G774" t="n">
        <v>4</v>
      </c>
      <c r="H774" t="n">
        <v>0</v>
      </c>
      <c r="I774" t="n">
        <v>0</v>
      </c>
      <c r="J774" t="n">
        <v>0</v>
      </c>
      <c r="K774" t="n">
        <v>0</v>
      </c>
      <c r="L774" t="n">
        <v>0</v>
      </c>
      <c r="M774" t="n">
        <v>0</v>
      </c>
      <c r="N774" t="n">
        <v>0</v>
      </c>
      <c r="O774" t="n">
        <v>0</v>
      </c>
      <c r="P774" t="n">
        <v>0</v>
      </c>
      <c r="Q774" t="n">
        <v>0</v>
      </c>
      <c r="R774" s="2" t="inlineStr"/>
    </row>
    <row r="775" ht="15" customHeight="1">
      <c r="A775" t="inlineStr">
        <is>
          <t>A 6711-2023</t>
        </is>
      </c>
      <c r="B775" s="1" t="n">
        <v>44960</v>
      </c>
      <c r="C775" s="1" t="n">
        <v>45969</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6715-2023</t>
        </is>
      </c>
      <c r="B776" s="1" t="n">
        <v>44960</v>
      </c>
      <c r="C776" s="1" t="n">
        <v>45969</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60781-2024</t>
        </is>
      </c>
      <c r="B777" s="1" t="n">
        <v>45642</v>
      </c>
      <c r="C777" s="1" t="n">
        <v>45969</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24696-2023</t>
        </is>
      </c>
      <c r="B778" s="1" t="n">
        <v>45084</v>
      </c>
      <c r="C778" s="1" t="n">
        <v>45969</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66978-2021</t>
        </is>
      </c>
      <c r="B779" s="1" t="n">
        <v>44522</v>
      </c>
      <c r="C779" s="1" t="n">
        <v>45969</v>
      </c>
      <c r="D779" t="inlineStr">
        <is>
          <t>VÄRMLANDS LÄN</t>
        </is>
      </c>
      <c r="E779" t="inlineStr">
        <is>
          <t>TORSBY</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30074-2024</t>
        </is>
      </c>
      <c r="B780" s="1" t="n">
        <v>45489</v>
      </c>
      <c r="C780" s="1" t="n">
        <v>45969</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53460-2024</t>
        </is>
      </c>
      <c r="B781" s="1" t="n">
        <v>45611</v>
      </c>
      <c r="C781" s="1" t="n">
        <v>45969</v>
      </c>
      <c r="D781" t="inlineStr">
        <is>
          <t>VÄRMLANDS LÄN</t>
        </is>
      </c>
      <c r="E781" t="inlineStr">
        <is>
          <t>TORSBY</t>
        </is>
      </c>
      <c r="G781" t="n">
        <v>12.7</v>
      </c>
      <c r="H781" t="n">
        <v>0</v>
      </c>
      <c r="I781" t="n">
        <v>0</v>
      </c>
      <c r="J781" t="n">
        <v>0</v>
      </c>
      <c r="K781" t="n">
        <v>0</v>
      </c>
      <c r="L781" t="n">
        <v>0</v>
      </c>
      <c r="M781" t="n">
        <v>0</v>
      </c>
      <c r="N781" t="n">
        <v>0</v>
      </c>
      <c r="O781" t="n">
        <v>0</v>
      </c>
      <c r="P781" t="n">
        <v>0</v>
      </c>
      <c r="Q781" t="n">
        <v>0</v>
      </c>
      <c r="R781" s="2" t="inlineStr"/>
    </row>
    <row r="782" ht="15" customHeight="1">
      <c r="A782" t="inlineStr">
        <is>
          <t>A 29375-2024</t>
        </is>
      </c>
      <c r="B782" s="1" t="n">
        <v>45483.58712962963</v>
      </c>
      <c r="C782" s="1" t="n">
        <v>45969</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21258-2023</t>
        </is>
      </c>
      <c r="B783" s="1" t="n">
        <v>45058</v>
      </c>
      <c r="C783" s="1" t="n">
        <v>45969</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11121-2024</t>
        </is>
      </c>
      <c r="B784" s="1" t="n">
        <v>45371.40634259259</v>
      </c>
      <c r="C784" s="1" t="n">
        <v>45969</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70658-2021</t>
        </is>
      </c>
      <c r="B785" s="1" t="n">
        <v>44537.52368055555</v>
      </c>
      <c r="C785" s="1" t="n">
        <v>45969</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19743-2025</t>
        </is>
      </c>
      <c r="B786" s="1" t="n">
        <v>45771.37554398148</v>
      </c>
      <c r="C786" s="1" t="n">
        <v>45969</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37401-2022</t>
        </is>
      </c>
      <c r="B787" s="1" t="n">
        <v>44809</v>
      </c>
      <c r="C787" s="1" t="n">
        <v>45969</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38086-2023</t>
        </is>
      </c>
      <c r="B788" s="1" t="n">
        <v>45160</v>
      </c>
      <c r="C788" s="1" t="n">
        <v>45969</v>
      </c>
      <c r="D788" t="inlineStr">
        <is>
          <t>VÄRMLANDS LÄN</t>
        </is>
      </c>
      <c r="E788" t="inlineStr">
        <is>
          <t>TORSBY</t>
        </is>
      </c>
      <c r="G788" t="n">
        <v>6.2</v>
      </c>
      <c r="H788" t="n">
        <v>0</v>
      </c>
      <c r="I788" t="n">
        <v>0</v>
      </c>
      <c r="J788" t="n">
        <v>0</v>
      </c>
      <c r="K788" t="n">
        <v>0</v>
      </c>
      <c r="L788" t="n">
        <v>0</v>
      </c>
      <c r="M788" t="n">
        <v>0</v>
      </c>
      <c r="N788" t="n">
        <v>0</v>
      </c>
      <c r="O788" t="n">
        <v>0</v>
      </c>
      <c r="P788" t="n">
        <v>0</v>
      </c>
      <c r="Q788" t="n">
        <v>0</v>
      </c>
      <c r="R788" s="2" t="inlineStr"/>
    </row>
    <row r="789" ht="15" customHeight="1">
      <c r="A789" t="inlineStr">
        <is>
          <t>A 27273-2024</t>
        </is>
      </c>
      <c r="B789" s="1" t="n">
        <v>45471.84013888889</v>
      </c>
      <c r="C789" s="1" t="n">
        <v>45969</v>
      </c>
      <c r="D789" t="inlineStr">
        <is>
          <t>VÄRMLANDS LÄN</t>
        </is>
      </c>
      <c r="E789" t="inlineStr">
        <is>
          <t>TORSBY</t>
        </is>
      </c>
      <c r="G789" t="n">
        <v>4.1</v>
      </c>
      <c r="H789" t="n">
        <v>0</v>
      </c>
      <c r="I789" t="n">
        <v>0</v>
      </c>
      <c r="J789" t="n">
        <v>0</v>
      </c>
      <c r="K789" t="n">
        <v>0</v>
      </c>
      <c r="L789" t="n">
        <v>0</v>
      </c>
      <c r="M789" t="n">
        <v>0</v>
      </c>
      <c r="N789" t="n">
        <v>0</v>
      </c>
      <c r="O789" t="n">
        <v>0</v>
      </c>
      <c r="P789" t="n">
        <v>0</v>
      </c>
      <c r="Q789" t="n">
        <v>0</v>
      </c>
      <c r="R789" s="2" t="inlineStr"/>
    </row>
    <row r="790" ht="15" customHeight="1">
      <c r="A790" t="inlineStr">
        <is>
          <t>A 33227-2024</t>
        </is>
      </c>
      <c r="B790" s="1" t="n">
        <v>45518.5708912037</v>
      </c>
      <c r="C790" s="1" t="n">
        <v>45969</v>
      </c>
      <c r="D790" t="inlineStr">
        <is>
          <t>VÄRMLANDS LÄN</t>
        </is>
      </c>
      <c r="E790" t="inlineStr">
        <is>
          <t>TORSBY</t>
        </is>
      </c>
      <c r="F790" t="inlineStr">
        <is>
          <t>Bergvik skog väst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27275-2024</t>
        </is>
      </c>
      <c r="B791" s="1" t="n">
        <v>45471.85645833334</v>
      </c>
      <c r="C791" s="1" t="n">
        <v>45969</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48629-2024</t>
        </is>
      </c>
      <c r="B792" s="1" t="n">
        <v>45593.46605324074</v>
      </c>
      <c r="C792" s="1" t="n">
        <v>45969</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20721-2023</t>
        </is>
      </c>
      <c r="B793" s="1" t="n">
        <v>45058</v>
      </c>
      <c r="C793" s="1" t="n">
        <v>45969</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7178-2025</t>
        </is>
      </c>
      <c r="B794" s="1" t="n">
        <v>45702.42493055556</v>
      </c>
      <c r="C794" s="1" t="n">
        <v>45969</v>
      </c>
      <c r="D794" t="inlineStr">
        <is>
          <t>VÄRMLANDS LÄN</t>
        </is>
      </c>
      <c r="E794" t="inlineStr">
        <is>
          <t>TORSBY</t>
        </is>
      </c>
      <c r="G794" t="n">
        <v>2.4</v>
      </c>
      <c r="H794" t="n">
        <v>0</v>
      </c>
      <c r="I794" t="n">
        <v>0</v>
      </c>
      <c r="J794" t="n">
        <v>0</v>
      </c>
      <c r="K794" t="n">
        <v>0</v>
      </c>
      <c r="L794" t="n">
        <v>0</v>
      </c>
      <c r="M794" t="n">
        <v>0</v>
      </c>
      <c r="N794" t="n">
        <v>0</v>
      </c>
      <c r="O794" t="n">
        <v>0</v>
      </c>
      <c r="P794" t="n">
        <v>0</v>
      </c>
      <c r="Q794" t="n">
        <v>0</v>
      </c>
      <c r="R794" s="2" t="inlineStr"/>
    </row>
    <row r="795" ht="15" customHeight="1">
      <c r="A795" t="inlineStr">
        <is>
          <t>A 54796-2024</t>
        </is>
      </c>
      <c r="B795" s="1" t="n">
        <v>45618</v>
      </c>
      <c r="C795" s="1" t="n">
        <v>45969</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55100-2023</t>
        </is>
      </c>
      <c r="B796" s="1" t="n">
        <v>45237.45715277778</v>
      </c>
      <c r="C796" s="1" t="n">
        <v>45969</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61128-2022</t>
        </is>
      </c>
      <c r="B797" s="1" t="n">
        <v>44915.4455787037</v>
      </c>
      <c r="C797" s="1" t="n">
        <v>45969</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41671-2021</t>
        </is>
      </c>
      <c r="B798" s="1" t="n">
        <v>44425</v>
      </c>
      <c r="C798" s="1" t="n">
        <v>45969</v>
      </c>
      <c r="D798" t="inlineStr">
        <is>
          <t>VÄRMLANDS LÄN</t>
        </is>
      </c>
      <c r="E798" t="inlineStr">
        <is>
          <t>TORSBY</t>
        </is>
      </c>
      <c r="F798" t="inlineStr">
        <is>
          <t>Övriga Aktiebolag</t>
        </is>
      </c>
      <c r="G798" t="n">
        <v>10.1</v>
      </c>
      <c r="H798" t="n">
        <v>0</v>
      </c>
      <c r="I798" t="n">
        <v>0</v>
      </c>
      <c r="J798" t="n">
        <v>0</v>
      </c>
      <c r="K798" t="n">
        <v>0</v>
      </c>
      <c r="L798" t="n">
        <v>0</v>
      </c>
      <c r="M798" t="n">
        <v>0</v>
      </c>
      <c r="N798" t="n">
        <v>0</v>
      </c>
      <c r="O798" t="n">
        <v>0</v>
      </c>
      <c r="P798" t="n">
        <v>0</v>
      </c>
      <c r="Q798" t="n">
        <v>0</v>
      </c>
      <c r="R798" s="2" t="inlineStr"/>
    </row>
    <row r="799" ht="15" customHeight="1">
      <c r="A799" t="inlineStr">
        <is>
          <t>A 39039-2025</t>
        </is>
      </c>
      <c r="B799" s="1" t="n">
        <v>45888.42684027777</v>
      </c>
      <c r="C799" s="1" t="n">
        <v>45969</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27086-2024</t>
        </is>
      </c>
      <c r="B800" s="1" t="n">
        <v>45471</v>
      </c>
      <c r="C800" s="1" t="n">
        <v>45969</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18314-2025</t>
        </is>
      </c>
      <c r="B801" s="1" t="n">
        <v>45762.44986111111</v>
      </c>
      <c r="C801" s="1" t="n">
        <v>45969</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235-2024</t>
        </is>
      </c>
      <c r="B802" s="1" t="n">
        <v>45294.85100694445</v>
      </c>
      <c r="C802" s="1" t="n">
        <v>45969</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14025-2025</t>
        </is>
      </c>
      <c r="B803" s="1" t="n">
        <v>45740</v>
      </c>
      <c r="C803" s="1" t="n">
        <v>45969</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39565-2025</t>
        </is>
      </c>
      <c r="B804" s="1" t="n">
        <v>45890</v>
      </c>
      <c r="C804" s="1" t="n">
        <v>45969</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18308-2024</t>
        </is>
      </c>
      <c r="B805" s="1" t="n">
        <v>45422</v>
      </c>
      <c r="C805" s="1" t="n">
        <v>45969</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9729-2025</t>
        </is>
      </c>
      <c r="B806" s="1" t="n">
        <v>45715</v>
      </c>
      <c r="C806" s="1" t="n">
        <v>45969</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39454-2025</t>
        </is>
      </c>
      <c r="B807" s="1" t="n">
        <v>45889.7462962963</v>
      </c>
      <c r="C807" s="1" t="n">
        <v>45969</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20528-2023</t>
        </is>
      </c>
      <c r="B808" s="1" t="n">
        <v>45057</v>
      </c>
      <c r="C808" s="1" t="n">
        <v>45969</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43060-2021</t>
        </is>
      </c>
      <c r="B809" s="1" t="n">
        <v>44431</v>
      </c>
      <c r="C809" s="1" t="n">
        <v>45969</v>
      </c>
      <c r="D809" t="inlineStr">
        <is>
          <t>VÄRMLANDS LÄN</t>
        </is>
      </c>
      <c r="E809" t="inlineStr">
        <is>
          <t>TORSBY</t>
        </is>
      </c>
      <c r="G809" t="n">
        <v>3.2</v>
      </c>
      <c r="H809" t="n">
        <v>0</v>
      </c>
      <c r="I809" t="n">
        <v>0</v>
      </c>
      <c r="J809" t="n">
        <v>0</v>
      </c>
      <c r="K809" t="n">
        <v>0</v>
      </c>
      <c r="L809" t="n">
        <v>0</v>
      </c>
      <c r="M809" t="n">
        <v>0</v>
      </c>
      <c r="N809" t="n">
        <v>0</v>
      </c>
      <c r="O809" t="n">
        <v>0</v>
      </c>
      <c r="P809" t="n">
        <v>0</v>
      </c>
      <c r="Q809" t="n">
        <v>0</v>
      </c>
      <c r="R809" s="2" t="inlineStr"/>
    </row>
    <row r="810" ht="15" customHeight="1">
      <c r="A810" t="inlineStr">
        <is>
          <t>A 22687-2023</t>
        </is>
      </c>
      <c r="B810" s="1" t="n">
        <v>45071</v>
      </c>
      <c r="C810" s="1" t="n">
        <v>45969</v>
      </c>
      <c r="D810" t="inlineStr">
        <is>
          <t>VÄRMLANDS LÄN</t>
        </is>
      </c>
      <c r="E810" t="inlineStr">
        <is>
          <t>TORSBY</t>
        </is>
      </c>
      <c r="F810" t="inlineStr">
        <is>
          <t>Bergvik skog väst AB</t>
        </is>
      </c>
      <c r="G810" t="n">
        <v>5.8</v>
      </c>
      <c r="H810" t="n">
        <v>0</v>
      </c>
      <c r="I810" t="n">
        <v>0</v>
      </c>
      <c r="J810" t="n">
        <v>0</v>
      </c>
      <c r="K810" t="n">
        <v>0</v>
      </c>
      <c r="L810" t="n">
        <v>0</v>
      </c>
      <c r="M810" t="n">
        <v>0</v>
      </c>
      <c r="N810" t="n">
        <v>0</v>
      </c>
      <c r="O810" t="n">
        <v>0</v>
      </c>
      <c r="P810" t="n">
        <v>0</v>
      </c>
      <c r="Q810" t="n">
        <v>0</v>
      </c>
      <c r="R810" s="2" t="inlineStr"/>
    </row>
    <row r="811" ht="15" customHeight="1">
      <c r="A811" t="inlineStr">
        <is>
          <t>A 23572-2023</t>
        </is>
      </c>
      <c r="B811" s="1" t="n">
        <v>45077</v>
      </c>
      <c r="C811" s="1" t="n">
        <v>45969</v>
      </c>
      <c r="D811" t="inlineStr">
        <is>
          <t>VÄRMLANDS LÄN</t>
        </is>
      </c>
      <c r="E811" t="inlineStr">
        <is>
          <t>TORSBY</t>
        </is>
      </c>
      <c r="G811" t="n">
        <v>4.4</v>
      </c>
      <c r="H811" t="n">
        <v>0</v>
      </c>
      <c r="I811" t="n">
        <v>0</v>
      </c>
      <c r="J811" t="n">
        <v>0</v>
      </c>
      <c r="K811" t="n">
        <v>0</v>
      </c>
      <c r="L811" t="n">
        <v>0</v>
      </c>
      <c r="M811" t="n">
        <v>0</v>
      </c>
      <c r="N811" t="n">
        <v>0</v>
      </c>
      <c r="O811" t="n">
        <v>0</v>
      </c>
      <c r="P811" t="n">
        <v>0</v>
      </c>
      <c r="Q811" t="n">
        <v>0</v>
      </c>
      <c r="R811" s="2" t="inlineStr"/>
    </row>
    <row r="812" ht="15" customHeight="1">
      <c r="A812" t="inlineStr">
        <is>
          <t>A 38541-2023</t>
        </is>
      </c>
      <c r="B812" s="1" t="n">
        <v>45162</v>
      </c>
      <c r="C812" s="1" t="n">
        <v>45969</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34105-2023</t>
        </is>
      </c>
      <c r="B813" s="1" t="n">
        <v>45126</v>
      </c>
      <c r="C813" s="1" t="n">
        <v>45969</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47927-2025</t>
        </is>
      </c>
      <c r="B814" s="1" t="n">
        <v>45932.54604166667</v>
      </c>
      <c r="C814" s="1" t="n">
        <v>45969</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22635-2022</t>
        </is>
      </c>
      <c r="B815" s="1" t="n">
        <v>44714</v>
      </c>
      <c r="C815" s="1" t="n">
        <v>45969</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39451-2025</t>
        </is>
      </c>
      <c r="B816" s="1" t="n">
        <v>45889.72677083333</v>
      </c>
      <c r="C816" s="1" t="n">
        <v>45969</v>
      </c>
      <c r="D816" t="inlineStr">
        <is>
          <t>VÄRMLANDS LÄN</t>
        </is>
      </c>
      <c r="E816" t="inlineStr">
        <is>
          <t>TORSBY</t>
        </is>
      </c>
      <c r="F816" t="inlineStr">
        <is>
          <t>Bergvik skog väst AB</t>
        </is>
      </c>
      <c r="G816" t="n">
        <v>7.5</v>
      </c>
      <c r="H816" t="n">
        <v>0</v>
      </c>
      <c r="I816" t="n">
        <v>0</v>
      </c>
      <c r="J816" t="n">
        <v>0</v>
      </c>
      <c r="K816" t="n">
        <v>0</v>
      </c>
      <c r="L816" t="n">
        <v>0</v>
      </c>
      <c r="M816" t="n">
        <v>0</v>
      </c>
      <c r="N816" t="n">
        <v>0</v>
      </c>
      <c r="O816" t="n">
        <v>0</v>
      </c>
      <c r="P816" t="n">
        <v>0</v>
      </c>
      <c r="Q816" t="n">
        <v>0</v>
      </c>
      <c r="R816" s="2" t="inlineStr"/>
    </row>
    <row r="817" ht="15" customHeight="1">
      <c r="A817" t="inlineStr">
        <is>
          <t>A 58707-2024</t>
        </is>
      </c>
      <c r="B817" s="1" t="n">
        <v>45635</v>
      </c>
      <c r="C817" s="1" t="n">
        <v>45969</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45587-2023</t>
        </is>
      </c>
      <c r="B818" s="1" t="n">
        <v>45194.62877314815</v>
      </c>
      <c r="C818" s="1" t="n">
        <v>45969</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56240-2024</t>
        </is>
      </c>
      <c r="B819" s="1" t="n">
        <v>45624.63012731481</v>
      </c>
      <c r="C819" s="1" t="n">
        <v>45969</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2387-2025</t>
        </is>
      </c>
      <c r="B820" s="1" t="n">
        <v>45674</v>
      </c>
      <c r="C820" s="1" t="n">
        <v>45969</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56634-2024</t>
        </is>
      </c>
      <c r="B821" s="1" t="n">
        <v>45625.68491898148</v>
      </c>
      <c r="C821" s="1" t="n">
        <v>45969</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42834-2024</t>
        </is>
      </c>
      <c r="B822" s="1" t="n">
        <v>45566</v>
      </c>
      <c r="C822" s="1" t="n">
        <v>45969</v>
      </c>
      <c r="D822" t="inlineStr">
        <is>
          <t>VÄRMLANDS LÄN</t>
        </is>
      </c>
      <c r="E822" t="inlineStr">
        <is>
          <t>TORSBY</t>
        </is>
      </c>
      <c r="G822" t="n">
        <v>5.8</v>
      </c>
      <c r="H822" t="n">
        <v>0</v>
      </c>
      <c r="I822" t="n">
        <v>0</v>
      </c>
      <c r="J822" t="n">
        <v>0</v>
      </c>
      <c r="K822" t="n">
        <v>0</v>
      </c>
      <c r="L822" t="n">
        <v>0</v>
      </c>
      <c r="M822" t="n">
        <v>0</v>
      </c>
      <c r="N822" t="n">
        <v>0</v>
      </c>
      <c r="O822" t="n">
        <v>0</v>
      </c>
      <c r="P822" t="n">
        <v>0</v>
      </c>
      <c r="Q822" t="n">
        <v>0</v>
      </c>
      <c r="R822" s="2" t="inlineStr"/>
    </row>
    <row r="823" ht="15" customHeight="1">
      <c r="A823" t="inlineStr">
        <is>
          <t>A 41130-2022</t>
        </is>
      </c>
      <c r="B823" s="1" t="n">
        <v>44825</v>
      </c>
      <c r="C823" s="1" t="n">
        <v>45969</v>
      </c>
      <c r="D823" t="inlineStr">
        <is>
          <t>VÄRMLANDS LÄN</t>
        </is>
      </c>
      <c r="E823" t="inlineStr">
        <is>
          <t>TORSBY</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43256-2024</t>
        </is>
      </c>
      <c r="B824" s="1" t="n">
        <v>45568</v>
      </c>
      <c r="C824" s="1" t="n">
        <v>45969</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49717-2023</t>
        </is>
      </c>
      <c r="B825" s="1" t="n">
        <v>45208</v>
      </c>
      <c r="C825" s="1" t="n">
        <v>45969</v>
      </c>
      <c r="D825" t="inlineStr">
        <is>
          <t>VÄRMLANDS LÄN</t>
        </is>
      </c>
      <c r="E825" t="inlineStr">
        <is>
          <t>TORSBY</t>
        </is>
      </c>
      <c r="G825" t="n">
        <v>5.9</v>
      </c>
      <c r="H825" t="n">
        <v>0</v>
      </c>
      <c r="I825" t="n">
        <v>0</v>
      </c>
      <c r="J825" t="n">
        <v>0</v>
      </c>
      <c r="K825" t="n">
        <v>0</v>
      </c>
      <c r="L825" t="n">
        <v>0</v>
      </c>
      <c r="M825" t="n">
        <v>0</v>
      </c>
      <c r="N825" t="n">
        <v>0</v>
      </c>
      <c r="O825" t="n">
        <v>0</v>
      </c>
      <c r="P825" t="n">
        <v>0</v>
      </c>
      <c r="Q825" t="n">
        <v>0</v>
      </c>
      <c r="R825" s="2" t="inlineStr"/>
    </row>
    <row r="826" ht="15" customHeight="1">
      <c r="A826" t="inlineStr">
        <is>
          <t>A 54011-2024</t>
        </is>
      </c>
      <c r="B826" s="1" t="n">
        <v>45616.37576388889</v>
      </c>
      <c r="C826" s="1" t="n">
        <v>45969</v>
      </c>
      <c r="D826" t="inlineStr">
        <is>
          <t>VÄRMLANDS LÄN</t>
        </is>
      </c>
      <c r="E826" t="inlineStr">
        <is>
          <t>TORSBY</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54026-2024</t>
        </is>
      </c>
      <c r="B827" s="1" t="n">
        <v>45616</v>
      </c>
      <c r="C827" s="1" t="n">
        <v>45969</v>
      </c>
      <c r="D827" t="inlineStr">
        <is>
          <t>VÄRMLANDS LÄN</t>
        </is>
      </c>
      <c r="E827" t="inlineStr">
        <is>
          <t>TORSBY</t>
        </is>
      </c>
      <c r="G827" t="n">
        <v>8.4</v>
      </c>
      <c r="H827" t="n">
        <v>0</v>
      </c>
      <c r="I827" t="n">
        <v>0</v>
      </c>
      <c r="J827" t="n">
        <v>0</v>
      </c>
      <c r="K827" t="n">
        <v>0</v>
      </c>
      <c r="L827" t="n">
        <v>0</v>
      </c>
      <c r="M827" t="n">
        <v>0</v>
      </c>
      <c r="N827" t="n">
        <v>0</v>
      </c>
      <c r="O827" t="n">
        <v>0</v>
      </c>
      <c r="P827" t="n">
        <v>0</v>
      </c>
      <c r="Q827" t="n">
        <v>0</v>
      </c>
      <c r="R827" s="2" t="inlineStr"/>
    </row>
    <row r="828" ht="15" customHeight="1">
      <c r="A828" t="inlineStr">
        <is>
          <t>A 61251-2024</t>
        </is>
      </c>
      <c r="B828" s="1" t="n">
        <v>45645</v>
      </c>
      <c r="C828" s="1" t="n">
        <v>45969</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61259-2024</t>
        </is>
      </c>
      <c r="B829" s="1" t="n">
        <v>45645.71188657408</v>
      </c>
      <c r="C829" s="1" t="n">
        <v>45969</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24004-2024</t>
        </is>
      </c>
      <c r="B830" s="1" t="n">
        <v>45456</v>
      </c>
      <c r="C830" s="1" t="n">
        <v>45969</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56430-2024</t>
        </is>
      </c>
      <c r="B831" s="1" t="n">
        <v>45625</v>
      </c>
      <c r="C831" s="1" t="n">
        <v>45969</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22826-2022</t>
        </is>
      </c>
      <c r="B832" s="1" t="n">
        <v>44714</v>
      </c>
      <c r="C832" s="1" t="n">
        <v>45969</v>
      </c>
      <c r="D832" t="inlineStr">
        <is>
          <t>VÄRMLANDS LÄN</t>
        </is>
      </c>
      <c r="E832" t="inlineStr">
        <is>
          <t>TORSBY</t>
        </is>
      </c>
      <c r="G832" t="n">
        <v>6.2</v>
      </c>
      <c r="H832" t="n">
        <v>0</v>
      </c>
      <c r="I832" t="n">
        <v>0</v>
      </c>
      <c r="J832" t="n">
        <v>0</v>
      </c>
      <c r="K832" t="n">
        <v>0</v>
      </c>
      <c r="L832" t="n">
        <v>0</v>
      </c>
      <c r="M832" t="n">
        <v>0</v>
      </c>
      <c r="N832" t="n">
        <v>0</v>
      </c>
      <c r="O832" t="n">
        <v>0</v>
      </c>
      <c r="P832" t="n">
        <v>0</v>
      </c>
      <c r="Q832" t="n">
        <v>0</v>
      </c>
      <c r="R832" s="2" t="inlineStr"/>
    </row>
    <row r="833" ht="15" customHeight="1">
      <c r="A833" t="inlineStr">
        <is>
          <t>A 20745-2023</t>
        </is>
      </c>
      <c r="B833" s="1" t="n">
        <v>45058</v>
      </c>
      <c r="C833" s="1" t="n">
        <v>45969</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2616-2025</t>
        </is>
      </c>
      <c r="B834" s="1" t="n">
        <v>45675</v>
      </c>
      <c r="C834" s="1" t="n">
        <v>45969</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10888-2023</t>
        </is>
      </c>
      <c r="B835" s="1" t="n">
        <v>44985</v>
      </c>
      <c r="C835" s="1" t="n">
        <v>45969</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21988-2023</t>
        </is>
      </c>
      <c r="B836" s="1" t="n">
        <v>45068</v>
      </c>
      <c r="C836" s="1" t="n">
        <v>45969</v>
      </c>
      <c r="D836" t="inlineStr">
        <is>
          <t>VÄRMLANDS LÄN</t>
        </is>
      </c>
      <c r="E836" t="inlineStr">
        <is>
          <t>TORSBY</t>
        </is>
      </c>
      <c r="F836" t="inlineStr">
        <is>
          <t>Bergvik skog väst AB</t>
        </is>
      </c>
      <c r="G836" t="n">
        <v>2</v>
      </c>
      <c r="H836" t="n">
        <v>0</v>
      </c>
      <c r="I836" t="n">
        <v>0</v>
      </c>
      <c r="J836" t="n">
        <v>0</v>
      </c>
      <c r="K836" t="n">
        <v>0</v>
      </c>
      <c r="L836" t="n">
        <v>0</v>
      </c>
      <c r="M836" t="n">
        <v>0</v>
      </c>
      <c r="N836" t="n">
        <v>0</v>
      </c>
      <c r="O836" t="n">
        <v>0</v>
      </c>
      <c r="P836" t="n">
        <v>0</v>
      </c>
      <c r="Q836" t="n">
        <v>0</v>
      </c>
      <c r="R836" s="2" t="inlineStr"/>
    </row>
    <row r="837" ht="15" customHeight="1">
      <c r="A837" t="inlineStr">
        <is>
          <t>A 17018-2025</t>
        </is>
      </c>
      <c r="B837" s="1" t="n">
        <v>45755</v>
      </c>
      <c r="C837" s="1" t="n">
        <v>45969</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36850-2024</t>
        </is>
      </c>
      <c r="B838" s="1" t="n">
        <v>45538</v>
      </c>
      <c r="C838" s="1" t="n">
        <v>45969</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54777-2023</t>
        </is>
      </c>
      <c r="B839" s="1" t="n">
        <v>45236</v>
      </c>
      <c r="C839" s="1" t="n">
        <v>45969</v>
      </c>
      <c r="D839" t="inlineStr">
        <is>
          <t>VÄRMLANDS LÄN</t>
        </is>
      </c>
      <c r="E839" t="inlineStr">
        <is>
          <t>TORSBY</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15450-2023</t>
        </is>
      </c>
      <c r="B840" s="1" t="n">
        <v>45020</v>
      </c>
      <c r="C840" s="1" t="n">
        <v>45969</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44448-2024</t>
        </is>
      </c>
      <c r="B841" s="1" t="n">
        <v>45574</v>
      </c>
      <c r="C841" s="1" t="n">
        <v>45969</v>
      </c>
      <c r="D841" t="inlineStr">
        <is>
          <t>VÄRMLANDS LÄN</t>
        </is>
      </c>
      <c r="E841" t="inlineStr">
        <is>
          <t>TORSBY</t>
        </is>
      </c>
      <c r="G841" t="n">
        <v>8.9</v>
      </c>
      <c r="H841" t="n">
        <v>0</v>
      </c>
      <c r="I841" t="n">
        <v>0</v>
      </c>
      <c r="J841" t="n">
        <v>0</v>
      </c>
      <c r="K841" t="n">
        <v>0</v>
      </c>
      <c r="L841" t="n">
        <v>0</v>
      </c>
      <c r="M841" t="n">
        <v>0</v>
      </c>
      <c r="N841" t="n">
        <v>0</v>
      </c>
      <c r="O841" t="n">
        <v>0</v>
      </c>
      <c r="P841" t="n">
        <v>0</v>
      </c>
      <c r="Q841" t="n">
        <v>0</v>
      </c>
      <c r="R841" s="2" t="inlineStr"/>
    </row>
    <row r="842" ht="15" customHeight="1">
      <c r="A842" t="inlineStr">
        <is>
          <t>A 3904-2025</t>
        </is>
      </c>
      <c r="B842" s="1" t="n">
        <v>45684</v>
      </c>
      <c r="C842" s="1" t="n">
        <v>45969</v>
      </c>
      <c r="D842" t="inlineStr">
        <is>
          <t>VÄRMLANDS LÄN</t>
        </is>
      </c>
      <c r="E842" t="inlineStr">
        <is>
          <t>TORSBY</t>
        </is>
      </c>
      <c r="F842" t="inlineStr">
        <is>
          <t>Övriga statliga verk och myndigheter</t>
        </is>
      </c>
      <c r="G842" t="n">
        <v>0.7</v>
      </c>
      <c r="H842" t="n">
        <v>0</v>
      </c>
      <c r="I842" t="n">
        <v>0</v>
      </c>
      <c r="J842" t="n">
        <v>0</v>
      </c>
      <c r="K842" t="n">
        <v>0</v>
      </c>
      <c r="L842" t="n">
        <v>0</v>
      </c>
      <c r="M842" t="n">
        <v>0</v>
      </c>
      <c r="N842" t="n">
        <v>0</v>
      </c>
      <c r="O842" t="n">
        <v>0</v>
      </c>
      <c r="P842" t="n">
        <v>0</v>
      </c>
      <c r="Q842" t="n">
        <v>0</v>
      </c>
      <c r="R842" s="2" t="inlineStr"/>
    </row>
    <row r="843" ht="15" customHeight="1">
      <c r="A843" t="inlineStr">
        <is>
          <t>A 56098-2024</t>
        </is>
      </c>
      <c r="B843" s="1" t="n">
        <v>45624.42371527778</v>
      </c>
      <c r="C843" s="1" t="n">
        <v>45969</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6529-2025</t>
        </is>
      </c>
      <c r="B844" s="1" t="n">
        <v>45699</v>
      </c>
      <c r="C844" s="1" t="n">
        <v>45969</v>
      </c>
      <c r="D844" t="inlineStr">
        <is>
          <t>VÄRMLANDS LÄN</t>
        </is>
      </c>
      <c r="E844" t="inlineStr">
        <is>
          <t>TORSBY</t>
        </is>
      </c>
      <c r="F844" t="inlineStr">
        <is>
          <t>Kommuner</t>
        </is>
      </c>
      <c r="G844" t="n">
        <v>0.2</v>
      </c>
      <c r="H844" t="n">
        <v>0</v>
      </c>
      <c r="I844" t="n">
        <v>0</v>
      </c>
      <c r="J844" t="n">
        <v>0</v>
      </c>
      <c r="K844" t="n">
        <v>0</v>
      </c>
      <c r="L844" t="n">
        <v>0</v>
      </c>
      <c r="M844" t="n">
        <v>0</v>
      </c>
      <c r="N844" t="n">
        <v>0</v>
      </c>
      <c r="O844" t="n">
        <v>0</v>
      </c>
      <c r="P844" t="n">
        <v>0</v>
      </c>
      <c r="Q844" t="n">
        <v>0</v>
      </c>
      <c r="R844" s="2" t="inlineStr"/>
    </row>
    <row r="845" ht="15" customHeight="1">
      <c r="A845" t="inlineStr">
        <is>
          <t>A 6532-2025</t>
        </is>
      </c>
      <c r="B845" s="1" t="n">
        <v>45699</v>
      </c>
      <c r="C845" s="1" t="n">
        <v>45969</v>
      </c>
      <c r="D845" t="inlineStr">
        <is>
          <t>VÄRMLANDS LÄN</t>
        </is>
      </c>
      <c r="E845" t="inlineStr">
        <is>
          <t>TORSBY</t>
        </is>
      </c>
      <c r="F845" t="inlineStr">
        <is>
          <t>Kommuner</t>
        </is>
      </c>
      <c r="G845" t="n">
        <v>0.3</v>
      </c>
      <c r="H845" t="n">
        <v>0</v>
      </c>
      <c r="I845" t="n">
        <v>0</v>
      </c>
      <c r="J845" t="n">
        <v>0</v>
      </c>
      <c r="K845" t="n">
        <v>0</v>
      </c>
      <c r="L845" t="n">
        <v>0</v>
      </c>
      <c r="M845" t="n">
        <v>0</v>
      </c>
      <c r="N845" t="n">
        <v>0</v>
      </c>
      <c r="O845" t="n">
        <v>0</v>
      </c>
      <c r="P845" t="n">
        <v>0</v>
      </c>
      <c r="Q845" t="n">
        <v>0</v>
      </c>
      <c r="R845" s="2" t="inlineStr"/>
    </row>
    <row r="846" ht="15" customHeight="1">
      <c r="A846" t="inlineStr">
        <is>
          <t>A 55475-2022</t>
        </is>
      </c>
      <c r="B846" s="1" t="n">
        <v>44887.66210648148</v>
      </c>
      <c r="C846" s="1" t="n">
        <v>45969</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36917-2024</t>
        </is>
      </c>
      <c r="B847" s="1" t="n">
        <v>45538.65065972223</v>
      </c>
      <c r="C847" s="1" t="n">
        <v>45969</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36922-2024</t>
        </is>
      </c>
      <c r="B848" s="1" t="n">
        <v>45538</v>
      </c>
      <c r="C848" s="1" t="n">
        <v>45969</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6863-2023</t>
        </is>
      </c>
      <c r="B849" s="1" t="n">
        <v>44964</v>
      </c>
      <c r="C849" s="1" t="n">
        <v>45969</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14369-2025</t>
        </is>
      </c>
      <c r="B850" s="1" t="n">
        <v>45741</v>
      </c>
      <c r="C850" s="1" t="n">
        <v>45969</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3841-2022</t>
        </is>
      </c>
      <c r="B851" s="1" t="n">
        <v>44587</v>
      </c>
      <c r="C851" s="1" t="n">
        <v>45969</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14413-2025</t>
        </is>
      </c>
      <c r="B852" s="1" t="n">
        <v>45741</v>
      </c>
      <c r="C852" s="1" t="n">
        <v>45969</v>
      </c>
      <c r="D852" t="inlineStr">
        <is>
          <t>VÄRMLANDS LÄN</t>
        </is>
      </c>
      <c r="E852" t="inlineStr">
        <is>
          <t>TORSBY</t>
        </is>
      </c>
      <c r="G852" t="n">
        <v>4.1</v>
      </c>
      <c r="H852" t="n">
        <v>0</v>
      </c>
      <c r="I852" t="n">
        <v>0</v>
      </c>
      <c r="J852" t="n">
        <v>0</v>
      </c>
      <c r="K852" t="n">
        <v>0</v>
      </c>
      <c r="L852" t="n">
        <v>0</v>
      </c>
      <c r="M852" t="n">
        <v>0</v>
      </c>
      <c r="N852" t="n">
        <v>0</v>
      </c>
      <c r="O852" t="n">
        <v>0</v>
      </c>
      <c r="P852" t="n">
        <v>0</v>
      </c>
      <c r="Q852" t="n">
        <v>0</v>
      </c>
      <c r="R852" s="2" t="inlineStr"/>
    </row>
    <row r="853" ht="15" customHeight="1">
      <c r="A853" t="inlineStr">
        <is>
          <t>A 50973-2023</t>
        </is>
      </c>
      <c r="B853" s="1" t="n">
        <v>45218.50408564815</v>
      </c>
      <c r="C853" s="1" t="n">
        <v>45969</v>
      </c>
      <c r="D853" t="inlineStr">
        <is>
          <t>VÄRMLANDS LÄN</t>
        </is>
      </c>
      <c r="E853" t="inlineStr">
        <is>
          <t>TORSBY</t>
        </is>
      </c>
      <c r="G853" t="n">
        <v>10.7</v>
      </c>
      <c r="H853" t="n">
        <v>0</v>
      </c>
      <c r="I853" t="n">
        <v>0</v>
      </c>
      <c r="J853" t="n">
        <v>0</v>
      </c>
      <c r="K853" t="n">
        <v>0</v>
      </c>
      <c r="L853" t="n">
        <v>0</v>
      </c>
      <c r="M853" t="n">
        <v>0</v>
      </c>
      <c r="N853" t="n">
        <v>0</v>
      </c>
      <c r="O853" t="n">
        <v>0</v>
      </c>
      <c r="P853" t="n">
        <v>0</v>
      </c>
      <c r="Q853" t="n">
        <v>0</v>
      </c>
      <c r="R853" s="2" t="inlineStr"/>
    </row>
    <row r="854" ht="15" customHeight="1">
      <c r="A854" t="inlineStr">
        <is>
          <t>A 14301-2025</t>
        </is>
      </c>
      <c r="B854" s="1" t="n">
        <v>45740</v>
      </c>
      <c r="C854" s="1" t="n">
        <v>45969</v>
      </c>
      <c r="D854" t="inlineStr">
        <is>
          <t>VÄRMLANDS LÄN</t>
        </is>
      </c>
      <c r="E854" t="inlineStr">
        <is>
          <t>TORSBY</t>
        </is>
      </c>
      <c r="G854" t="n">
        <v>7.9</v>
      </c>
      <c r="H854" t="n">
        <v>0</v>
      </c>
      <c r="I854" t="n">
        <v>0</v>
      </c>
      <c r="J854" t="n">
        <v>0</v>
      </c>
      <c r="K854" t="n">
        <v>0</v>
      </c>
      <c r="L854" t="n">
        <v>0</v>
      </c>
      <c r="M854" t="n">
        <v>0</v>
      </c>
      <c r="N854" t="n">
        <v>0</v>
      </c>
      <c r="O854" t="n">
        <v>0</v>
      </c>
      <c r="P854" t="n">
        <v>0</v>
      </c>
      <c r="Q854" t="n">
        <v>0</v>
      </c>
      <c r="R854" s="2" t="inlineStr"/>
    </row>
    <row r="855" ht="15" customHeight="1">
      <c r="A855" t="inlineStr">
        <is>
          <t>A 47355-2023</t>
        </is>
      </c>
      <c r="B855" s="1" t="n">
        <v>45202</v>
      </c>
      <c r="C855" s="1" t="n">
        <v>45969</v>
      </c>
      <c r="D855" t="inlineStr">
        <is>
          <t>VÄRMLANDS LÄN</t>
        </is>
      </c>
      <c r="E855" t="inlineStr">
        <is>
          <t>TORSBY</t>
        </is>
      </c>
      <c r="G855" t="n">
        <v>3.5</v>
      </c>
      <c r="H855" t="n">
        <v>0</v>
      </c>
      <c r="I855" t="n">
        <v>0</v>
      </c>
      <c r="J855" t="n">
        <v>0</v>
      </c>
      <c r="K855" t="n">
        <v>0</v>
      </c>
      <c r="L855" t="n">
        <v>0</v>
      </c>
      <c r="M855" t="n">
        <v>0</v>
      </c>
      <c r="N855" t="n">
        <v>0</v>
      </c>
      <c r="O855" t="n">
        <v>0</v>
      </c>
      <c r="P855" t="n">
        <v>0</v>
      </c>
      <c r="Q855" t="n">
        <v>0</v>
      </c>
      <c r="R855" s="2" t="inlineStr"/>
    </row>
    <row r="856" ht="15" customHeight="1">
      <c r="A856" t="inlineStr">
        <is>
          <t>A 24896-2023</t>
        </is>
      </c>
      <c r="B856" s="1" t="n">
        <v>45085</v>
      </c>
      <c r="C856" s="1" t="n">
        <v>45969</v>
      </c>
      <c r="D856" t="inlineStr">
        <is>
          <t>VÄRMLANDS LÄN</t>
        </is>
      </c>
      <c r="E856" t="inlineStr">
        <is>
          <t>TORSBY</t>
        </is>
      </c>
      <c r="F856" t="inlineStr">
        <is>
          <t>Bergvik skog väst AB</t>
        </is>
      </c>
      <c r="G856" t="n">
        <v>4.7</v>
      </c>
      <c r="H856" t="n">
        <v>0</v>
      </c>
      <c r="I856" t="n">
        <v>0</v>
      </c>
      <c r="J856" t="n">
        <v>0</v>
      </c>
      <c r="K856" t="n">
        <v>0</v>
      </c>
      <c r="L856" t="n">
        <v>0</v>
      </c>
      <c r="M856" t="n">
        <v>0</v>
      </c>
      <c r="N856" t="n">
        <v>0</v>
      </c>
      <c r="O856" t="n">
        <v>0</v>
      </c>
      <c r="P856" t="n">
        <v>0</v>
      </c>
      <c r="Q856" t="n">
        <v>0</v>
      </c>
      <c r="R856" s="2" t="inlineStr"/>
    </row>
    <row r="857" ht="15" customHeight="1">
      <c r="A857" t="inlineStr">
        <is>
          <t>A 46698-2024</t>
        </is>
      </c>
      <c r="B857" s="1" t="n">
        <v>45583.43209490741</v>
      </c>
      <c r="C857" s="1" t="n">
        <v>45969</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19787-2025</t>
        </is>
      </c>
      <c r="B858" s="1" t="n">
        <v>45771.4408912037</v>
      </c>
      <c r="C858" s="1" t="n">
        <v>45969</v>
      </c>
      <c r="D858" t="inlineStr">
        <is>
          <t>VÄRMLANDS LÄN</t>
        </is>
      </c>
      <c r="E858" t="inlineStr">
        <is>
          <t>TORSBY</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60537-2024</t>
        </is>
      </c>
      <c r="B859" s="1" t="n">
        <v>45643.77138888889</v>
      </c>
      <c r="C859" s="1" t="n">
        <v>45969</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15773-2023</t>
        </is>
      </c>
      <c r="B860" s="1" t="n">
        <v>45021</v>
      </c>
      <c r="C860" s="1" t="n">
        <v>45969</v>
      </c>
      <c r="D860" t="inlineStr">
        <is>
          <t>VÄRMLANDS LÄN</t>
        </is>
      </c>
      <c r="E860" t="inlineStr">
        <is>
          <t>TORSBY</t>
        </is>
      </c>
      <c r="G860" t="n">
        <v>2.5</v>
      </c>
      <c r="H860" t="n">
        <v>0</v>
      </c>
      <c r="I860" t="n">
        <v>0</v>
      </c>
      <c r="J860" t="n">
        <v>0</v>
      </c>
      <c r="K860" t="n">
        <v>0</v>
      </c>
      <c r="L860" t="n">
        <v>0</v>
      </c>
      <c r="M860" t="n">
        <v>0</v>
      </c>
      <c r="N860" t="n">
        <v>0</v>
      </c>
      <c r="O860" t="n">
        <v>0</v>
      </c>
      <c r="P860" t="n">
        <v>0</v>
      </c>
      <c r="Q860" t="n">
        <v>0</v>
      </c>
      <c r="R860" s="2" t="inlineStr"/>
    </row>
    <row r="861" ht="15" customHeight="1">
      <c r="A861" t="inlineStr">
        <is>
          <t>A 57393-2022</t>
        </is>
      </c>
      <c r="B861" s="1" t="n">
        <v>44896.47630787037</v>
      </c>
      <c r="C861" s="1" t="n">
        <v>45969</v>
      </c>
      <c r="D861" t="inlineStr">
        <is>
          <t>VÄRMLANDS LÄN</t>
        </is>
      </c>
      <c r="E861" t="inlineStr">
        <is>
          <t>TORSBY</t>
        </is>
      </c>
      <c r="G861" t="n">
        <v>5</v>
      </c>
      <c r="H861" t="n">
        <v>0</v>
      </c>
      <c r="I861" t="n">
        <v>0</v>
      </c>
      <c r="J861" t="n">
        <v>0</v>
      </c>
      <c r="K861" t="n">
        <v>0</v>
      </c>
      <c r="L861" t="n">
        <v>0</v>
      </c>
      <c r="M861" t="n">
        <v>0</v>
      </c>
      <c r="N861" t="n">
        <v>0</v>
      </c>
      <c r="O861" t="n">
        <v>0</v>
      </c>
      <c r="P861" t="n">
        <v>0</v>
      </c>
      <c r="Q861" t="n">
        <v>0</v>
      </c>
      <c r="R861" s="2" t="inlineStr"/>
    </row>
    <row r="862" ht="15" customHeight="1">
      <c r="A862" t="inlineStr">
        <is>
          <t>A 63032-2023</t>
        </is>
      </c>
      <c r="B862" s="1" t="n">
        <v>45272.72728009259</v>
      </c>
      <c r="C862" s="1" t="n">
        <v>45969</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60533-2020</t>
        </is>
      </c>
      <c r="B863" s="1" t="n">
        <v>44153</v>
      </c>
      <c r="C863" s="1" t="n">
        <v>45969</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3326-2024</t>
        </is>
      </c>
      <c r="B864" s="1" t="n">
        <v>45317</v>
      </c>
      <c r="C864" s="1" t="n">
        <v>45969</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58951-2022</t>
        </is>
      </c>
      <c r="B865" s="1" t="n">
        <v>44903.65313657407</v>
      </c>
      <c r="C865" s="1" t="n">
        <v>45969</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33499-2024</t>
        </is>
      </c>
      <c r="B866" s="1" t="n">
        <v>45519.62280092593</v>
      </c>
      <c r="C866" s="1" t="n">
        <v>45969</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55808-2024</t>
        </is>
      </c>
      <c r="B867" s="1" t="n">
        <v>45622</v>
      </c>
      <c r="C867" s="1" t="n">
        <v>45969</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40157-2024</t>
        </is>
      </c>
      <c r="B868" s="1" t="n">
        <v>45554</v>
      </c>
      <c r="C868" s="1" t="n">
        <v>45969</v>
      </c>
      <c r="D868" t="inlineStr">
        <is>
          <t>VÄRMLANDS LÄN</t>
        </is>
      </c>
      <c r="E868" t="inlineStr">
        <is>
          <t>TORSBY</t>
        </is>
      </c>
      <c r="F868" t="inlineStr">
        <is>
          <t>Bergvik skog väst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40227-2024</t>
        </is>
      </c>
      <c r="B869" s="1" t="n">
        <v>45554</v>
      </c>
      <c r="C869" s="1" t="n">
        <v>45969</v>
      </c>
      <c r="D869" t="inlineStr">
        <is>
          <t>VÄRMLANDS LÄN</t>
        </is>
      </c>
      <c r="E869" t="inlineStr">
        <is>
          <t>TORSBY</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1120-2023</t>
        </is>
      </c>
      <c r="B870" s="1" t="n">
        <v>44935</v>
      </c>
      <c r="C870" s="1" t="n">
        <v>45969</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2981-2025</t>
        </is>
      </c>
      <c r="B871" s="1" t="n">
        <v>45678.48844907407</v>
      </c>
      <c r="C871" s="1" t="n">
        <v>45969</v>
      </c>
      <c r="D871" t="inlineStr">
        <is>
          <t>VÄRMLANDS LÄN</t>
        </is>
      </c>
      <c r="E871" t="inlineStr">
        <is>
          <t>TORSBY</t>
        </is>
      </c>
      <c r="G871" t="n">
        <v>4.7</v>
      </c>
      <c r="H871" t="n">
        <v>0</v>
      </c>
      <c r="I871" t="n">
        <v>0</v>
      </c>
      <c r="J871" t="n">
        <v>0</v>
      </c>
      <c r="K871" t="n">
        <v>0</v>
      </c>
      <c r="L871" t="n">
        <v>0</v>
      </c>
      <c r="M871" t="n">
        <v>0</v>
      </c>
      <c r="N871" t="n">
        <v>0</v>
      </c>
      <c r="O871" t="n">
        <v>0</v>
      </c>
      <c r="P871" t="n">
        <v>0</v>
      </c>
      <c r="Q871" t="n">
        <v>0</v>
      </c>
      <c r="R871" s="2" t="inlineStr"/>
    </row>
    <row r="872" ht="15" customHeight="1">
      <c r="A872" t="inlineStr">
        <is>
          <t>A 16425-2022</t>
        </is>
      </c>
      <c r="B872" s="1" t="n">
        <v>44671</v>
      </c>
      <c r="C872" s="1" t="n">
        <v>45969</v>
      </c>
      <c r="D872" t="inlineStr">
        <is>
          <t>VÄRMLANDS LÄN</t>
        </is>
      </c>
      <c r="E872" t="inlineStr">
        <is>
          <t>TORSBY</t>
        </is>
      </c>
      <c r="G872" t="n">
        <v>3</v>
      </c>
      <c r="H872" t="n">
        <v>0</v>
      </c>
      <c r="I872" t="n">
        <v>0</v>
      </c>
      <c r="J872" t="n">
        <v>0</v>
      </c>
      <c r="K872" t="n">
        <v>0</v>
      </c>
      <c r="L872" t="n">
        <v>0</v>
      </c>
      <c r="M872" t="n">
        <v>0</v>
      </c>
      <c r="N872" t="n">
        <v>0</v>
      </c>
      <c r="O872" t="n">
        <v>0</v>
      </c>
      <c r="P872" t="n">
        <v>0</v>
      </c>
      <c r="Q872" t="n">
        <v>0</v>
      </c>
      <c r="R872" s="2" t="inlineStr"/>
    </row>
    <row r="873" ht="15" customHeight="1">
      <c r="A873" t="inlineStr">
        <is>
          <t>A 21255-2023</t>
        </is>
      </c>
      <c r="B873" s="1" t="n">
        <v>45058</v>
      </c>
      <c r="C873" s="1" t="n">
        <v>45969</v>
      </c>
      <c r="D873" t="inlineStr">
        <is>
          <t>VÄRMLANDS LÄN</t>
        </is>
      </c>
      <c r="E873" t="inlineStr">
        <is>
          <t>TORSBY</t>
        </is>
      </c>
      <c r="G873" t="n">
        <v>3.6</v>
      </c>
      <c r="H873" t="n">
        <v>0</v>
      </c>
      <c r="I873" t="n">
        <v>0</v>
      </c>
      <c r="J873" t="n">
        <v>0</v>
      </c>
      <c r="K873" t="n">
        <v>0</v>
      </c>
      <c r="L873" t="n">
        <v>0</v>
      </c>
      <c r="M873" t="n">
        <v>0</v>
      </c>
      <c r="N873" t="n">
        <v>0</v>
      </c>
      <c r="O873" t="n">
        <v>0</v>
      </c>
      <c r="P873" t="n">
        <v>0</v>
      </c>
      <c r="Q873" t="n">
        <v>0</v>
      </c>
      <c r="R873" s="2" t="inlineStr"/>
    </row>
    <row r="874" ht="15" customHeight="1">
      <c r="A874" t="inlineStr">
        <is>
          <t>A 39567-2024</t>
        </is>
      </c>
      <c r="B874" s="1" t="n">
        <v>45552.3584375</v>
      </c>
      <c r="C874" s="1" t="n">
        <v>45969</v>
      </c>
      <c r="D874" t="inlineStr">
        <is>
          <t>VÄRMLANDS LÄN</t>
        </is>
      </c>
      <c r="E874" t="inlineStr">
        <is>
          <t>TORSBY</t>
        </is>
      </c>
      <c r="F874" t="inlineStr">
        <is>
          <t>Bergvik skog väst AB</t>
        </is>
      </c>
      <c r="G874" t="n">
        <v>5.1</v>
      </c>
      <c r="H874" t="n">
        <v>0</v>
      </c>
      <c r="I874" t="n">
        <v>0</v>
      </c>
      <c r="J874" t="n">
        <v>0</v>
      </c>
      <c r="K874" t="n">
        <v>0</v>
      </c>
      <c r="L874" t="n">
        <v>0</v>
      </c>
      <c r="M874" t="n">
        <v>0</v>
      </c>
      <c r="N874" t="n">
        <v>0</v>
      </c>
      <c r="O874" t="n">
        <v>0</v>
      </c>
      <c r="P874" t="n">
        <v>0</v>
      </c>
      <c r="Q874" t="n">
        <v>0</v>
      </c>
      <c r="R874" s="2" t="inlineStr"/>
    </row>
    <row r="875" ht="15" customHeight="1">
      <c r="A875" t="inlineStr">
        <is>
          <t>A 18344-2021</t>
        </is>
      </c>
      <c r="B875" s="1" t="n">
        <v>44305</v>
      </c>
      <c r="C875" s="1" t="n">
        <v>45969</v>
      </c>
      <c r="D875" t="inlineStr">
        <is>
          <t>VÄRMLANDS LÄN</t>
        </is>
      </c>
      <c r="E875" t="inlineStr">
        <is>
          <t>TORSBY</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54306-2024</t>
        </is>
      </c>
      <c r="B876" s="1" t="n">
        <v>45617</v>
      </c>
      <c r="C876" s="1" t="n">
        <v>45969</v>
      </c>
      <c r="D876" t="inlineStr">
        <is>
          <t>VÄRMLANDS LÄN</t>
        </is>
      </c>
      <c r="E876" t="inlineStr">
        <is>
          <t>TORSBY</t>
        </is>
      </c>
      <c r="F876" t="inlineStr">
        <is>
          <t>Bergvik skog väst AB</t>
        </is>
      </c>
      <c r="G876" t="n">
        <v>5.7</v>
      </c>
      <c r="H876" t="n">
        <v>0</v>
      </c>
      <c r="I876" t="n">
        <v>0</v>
      </c>
      <c r="J876" t="n">
        <v>0</v>
      </c>
      <c r="K876" t="n">
        <v>0</v>
      </c>
      <c r="L876" t="n">
        <v>0</v>
      </c>
      <c r="M876" t="n">
        <v>0</v>
      </c>
      <c r="N876" t="n">
        <v>0</v>
      </c>
      <c r="O876" t="n">
        <v>0</v>
      </c>
      <c r="P876" t="n">
        <v>0</v>
      </c>
      <c r="Q876" t="n">
        <v>0</v>
      </c>
      <c r="R876" s="2" t="inlineStr"/>
    </row>
    <row r="877" ht="15" customHeight="1">
      <c r="A877" t="inlineStr">
        <is>
          <t>A 21587-2024</t>
        </is>
      </c>
      <c r="B877" s="1" t="n">
        <v>45441</v>
      </c>
      <c r="C877" s="1" t="n">
        <v>45969</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33338-2024</t>
        </is>
      </c>
      <c r="B878" s="1" t="n">
        <v>45519</v>
      </c>
      <c r="C878" s="1" t="n">
        <v>45969</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9578-2023</t>
        </is>
      </c>
      <c r="B879" s="1" t="n">
        <v>44982.69790509259</v>
      </c>
      <c r="C879" s="1" t="n">
        <v>45969</v>
      </c>
      <c r="D879" t="inlineStr">
        <is>
          <t>VÄRMLANDS LÄN</t>
        </is>
      </c>
      <c r="E879" t="inlineStr">
        <is>
          <t>TORSBY</t>
        </is>
      </c>
      <c r="G879" t="n">
        <v>5.7</v>
      </c>
      <c r="H879" t="n">
        <v>0</v>
      </c>
      <c r="I879" t="n">
        <v>0</v>
      </c>
      <c r="J879" t="n">
        <v>0</v>
      </c>
      <c r="K879" t="n">
        <v>0</v>
      </c>
      <c r="L879" t="n">
        <v>0</v>
      </c>
      <c r="M879" t="n">
        <v>0</v>
      </c>
      <c r="N879" t="n">
        <v>0</v>
      </c>
      <c r="O879" t="n">
        <v>0</v>
      </c>
      <c r="P879" t="n">
        <v>0</v>
      </c>
      <c r="Q879" t="n">
        <v>0</v>
      </c>
      <c r="R879" s="2" t="inlineStr"/>
    </row>
    <row r="880" ht="15" customHeight="1">
      <c r="A880" t="inlineStr">
        <is>
          <t>A 15885-2025</t>
        </is>
      </c>
      <c r="B880" s="1" t="n">
        <v>45749</v>
      </c>
      <c r="C880" s="1" t="n">
        <v>45969</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18105-2022</t>
        </is>
      </c>
      <c r="B881" s="1" t="n">
        <v>44684</v>
      </c>
      <c r="C881" s="1" t="n">
        <v>45969</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16017-2025</t>
        </is>
      </c>
      <c r="B882" s="1" t="n">
        <v>45749</v>
      </c>
      <c r="C882" s="1" t="n">
        <v>45969</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20120-2023</t>
        </is>
      </c>
      <c r="B883" s="1" t="n">
        <v>45055</v>
      </c>
      <c r="C883" s="1" t="n">
        <v>45969</v>
      </c>
      <c r="D883" t="inlineStr">
        <is>
          <t>VÄRMLANDS LÄN</t>
        </is>
      </c>
      <c r="E883" t="inlineStr">
        <is>
          <t>TORSBY</t>
        </is>
      </c>
      <c r="G883" t="n">
        <v>7.7</v>
      </c>
      <c r="H883" t="n">
        <v>0</v>
      </c>
      <c r="I883" t="n">
        <v>0</v>
      </c>
      <c r="J883" t="n">
        <v>0</v>
      </c>
      <c r="K883" t="n">
        <v>0</v>
      </c>
      <c r="L883" t="n">
        <v>0</v>
      </c>
      <c r="M883" t="n">
        <v>0</v>
      </c>
      <c r="N883" t="n">
        <v>0</v>
      </c>
      <c r="O883" t="n">
        <v>0</v>
      </c>
      <c r="P883" t="n">
        <v>0</v>
      </c>
      <c r="Q883" t="n">
        <v>0</v>
      </c>
      <c r="R883" s="2" t="inlineStr"/>
    </row>
    <row r="884" ht="15" customHeight="1">
      <c r="A884" t="inlineStr">
        <is>
          <t>A 53705-2021</t>
        </is>
      </c>
      <c r="B884" s="1" t="n">
        <v>44469</v>
      </c>
      <c r="C884" s="1" t="n">
        <v>45969</v>
      </c>
      <c r="D884" t="inlineStr">
        <is>
          <t>VÄRMLANDS LÄN</t>
        </is>
      </c>
      <c r="E884" t="inlineStr">
        <is>
          <t>TORSBY</t>
        </is>
      </c>
      <c r="F884" t="inlineStr">
        <is>
          <t>Kyrkan</t>
        </is>
      </c>
      <c r="G884" t="n">
        <v>12.4</v>
      </c>
      <c r="H884" t="n">
        <v>0</v>
      </c>
      <c r="I884" t="n">
        <v>0</v>
      </c>
      <c r="J884" t="n">
        <v>0</v>
      </c>
      <c r="K884" t="n">
        <v>0</v>
      </c>
      <c r="L884" t="n">
        <v>0</v>
      </c>
      <c r="M884" t="n">
        <v>0</v>
      </c>
      <c r="N884" t="n">
        <v>0</v>
      </c>
      <c r="O884" t="n">
        <v>0</v>
      </c>
      <c r="P884" t="n">
        <v>0</v>
      </c>
      <c r="Q884" t="n">
        <v>0</v>
      </c>
      <c r="R884" s="2" t="inlineStr"/>
    </row>
    <row r="885" ht="15" customHeight="1">
      <c r="A885" t="inlineStr">
        <is>
          <t>A 16329-2025</t>
        </is>
      </c>
      <c r="B885" s="1" t="n">
        <v>45751</v>
      </c>
      <c r="C885" s="1" t="n">
        <v>45969</v>
      </c>
      <c r="D885" t="inlineStr">
        <is>
          <t>VÄRMLANDS LÄN</t>
        </is>
      </c>
      <c r="E885" t="inlineStr">
        <is>
          <t>TORSBY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60454-2024</t>
        </is>
      </c>
      <c r="B886" s="1" t="n">
        <v>45643</v>
      </c>
      <c r="C886" s="1" t="n">
        <v>45969</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54265-2024</t>
        </is>
      </c>
      <c r="B887" s="1" t="n">
        <v>45616</v>
      </c>
      <c r="C887" s="1" t="n">
        <v>45969</v>
      </c>
      <c r="D887" t="inlineStr">
        <is>
          <t>VÄRMLANDS LÄN</t>
        </is>
      </c>
      <c r="E887" t="inlineStr">
        <is>
          <t>TORSBY</t>
        </is>
      </c>
      <c r="F887" t="inlineStr">
        <is>
          <t>Kommuner</t>
        </is>
      </c>
      <c r="G887" t="n">
        <v>0.4</v>
      </c>
      <c r="H887" t="n">
        <v>0</v>
      </c>
      <c r="I887" t="n">
        <v>0</v>
      </c>
      <c r="J887" t="n">
        <v>0</v>
      </c>
      <c r="K887" t="n">
        <v>0</v>
      </c>
      <c r="L887" t="n">
        <v>0</v>
      </c>
      <c r="M887" t="n">
        <v>0</v>
      </c>
      <c r="N887" t="n">
        <v>0</v>
      </c>
      <c r="O887" t="n">
        <v>0</v>
      </c>
      <c r="P887" t="n">
        <v>0</v>
      </c>
      <c r="Q887" t="n">
        <v>0</v>
      </c>
      <c r="R887" s="2" t="inlineStr"/>
    </row>
    <row r="888" ht="15" customHeight="1">
      <c r="A888" t="inlineStr">
        <is>
          <t>A 12365-2022</t>
        </is>
      </c>
      <c r="B888" s="1" t="n">
        <v>44637.70670138889</v>
      </c>
      <c r="C888" s="1" t="n">
        <v>45969</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38286-2023</t>
        </is>
      </c>
      <c r="B889" s="1" t="n">
        <v>45161.63807870371</v>
      </c>
      <c r="C889" s="1" t="n">
        <v>45969</v>
      </c>
      <c r="D889" t="inlineStr">
        <is>
          <t>VÄRMLANDS LÄN</t>
        </is>
      </c>
      <c r="E889" t="inlineStr">
        <is>
          <t>TORSBY</t>
        </is>
      </c>
      <c r="F889" t="inlineStr">
        <is>
          <t>Kyrkan</t>
        </is>
      </c>
      <c r="G889" t="n">
        <v>6.5</v>
      </c>
      <c r="H889" t="n">
        <v>0</v>
      </c>
      <c r="I889" t="n">
        <v>0</v>
      </c>
      <c r="J889" t="n">
        <v>0</v>
      </c>
      <c r="K889" t="n">
        <v>0</v>
      </c>
      <c r="L889" t="n">
        <v>0</v>
      </c>
      <c r="M889" t="n">
        <v>0</v>
      </c>
      <c r="N889" t="n">
        <v>0</v>
      </c>
      <c r="O889" t="n">
        <v>0</v>
      </c>
      <c r="P889" t="n">
        <v>0</v>
      </c>
      <c r="Q889" t="n">
        <v>0</v>
      </c>
      <c r="R889" s="2" t="inlineStr"/>
    </row>
    <row r="890" ht="15" customHeight="1">
      <c r="A890" t="inlineStr">
        <is>
          <t>A 54023-2024</t>
        </is>
      </c>
      <c r="B890" s="1" t="n">
        <v>45616</v>
      </c>
      <c r="C890" s="1" t="n">
        <v>45969</v>
      </c>
      <c r="D890" t="inlineStr">
        <is>
          <t>VÄRMLANDS LÄN</t>
        </is>
      </c>
      <c r="E890" t="inlineStr">
        <is>
          <t>TORSBY</t>
        </is>
      </c>
      <c r="F890" t="inlineStr">
        <is>
          <t>Kommuner</t>
        </is>
      </c>
      <c r="G890" t="n">
        <v>3</v>
      </c>
      <c r="H890" t="n">
        <v>0</v>
      </c>
      <c r="I890" t="n">
        <v>0</v>
      </c>
      <c r="J890" t="n">
        <v>0</v>
      </c>
      <c r="K890" t="n">
        <v>0</v>
      </c>
      <c r="L890" t="n">
        <v>0</v>
      </c>
      <c r="M890" t="n">
        <v>0</v>
      </c>
      <c r="N890" t="n">
        <v>0</v>
      </c>
      <c r="O890" t="n">
        <v>0</v>
      </c>
      <c r="P890" t="n">
        <v>0</v>
      </c>
      <c r="Q890" t="n">
        <v>0</v>
      </c>
      <c r="R890" s="2" t="inlineStr"/>
    </row>
    <row r="891" ht="15" customHeight="1">
      <c r="A891" t="inlineStr">
        <is>
          <t>A 54027-2024</t>
        </is>
      </c>
      <c r="B891" s="1" t="n">
        <v>45616</v>
      </c>
      <c r="C891" s="1" t="n">
        <v>45969</v>
      </c>
      <c r="D891" t="inlineStr">
        <is>
          <t>VÄRMLANDS LÄN</t>
        </is>
      </c>
      <c r="E891" t="inlineStr">
        <is>
          <t>TORSBY</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6534-2025</t>
        </is>
      </c>
      <c r="B892" s="1" t="n">
        <v>45699</v>
      </c>
      <c r="C892" s="1" t="n">
        <v>45969</v>
      </c>
      <c r="D892" t="inlineStr">
        <is>
          <t>VÄRMLANDS LÄN</t>
        </is>
      </c>
      <c r="E892" t="inlineStr">
        <is>
          <t>TORSBY</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54609-2024</t>
        </is>
      </c>
      <c r="B893" s="1" t="n">
        <v>45617</v>
      </c>
      <c r="C893" s="1" t="n">
        <v>45969</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19964-2025</t>
        </is>
      </c>
      <c r="B894" s="1" t="n">
        <v>45771.67315972222</v>
      </c>
      <c r="C894" s="1" t="n">
        <v>45969</v>
      </c>
      <c r="D894" t="inlineStr">
        <is>
          <t>VÄRMLANDS LÄN</t>
        </is>
      </c>
      <c r="E894" t="inlineStr">
        <is>
          <t>TORSBY</t>
        </is>
      </c>
      <c r="F894" t="inlineStr">
        <is>
          <t>Bergvik skog väst AB</t>
        </is>
      </c>
      <c r="G894" t="n">
        <v>23.8</v>
      </c>
      <c r="H894" t="n">
        <v>0</v>
      </c>
      <c r="I894" t="n">
        <v>0</v>
      </c>
      <c r="J894" t="n">
        <v>0</v>
      </c>
      <c r="K894" t="n">
        <v>0</v>
      </c>
      <c r="L894" t="n">
        <v>0</v>
      </c>
      <c r="M894" t="n">
        <v>0</v>
      </c>
      <c r="N894" t="n">
        <v>0</v>
      </c>
      <c r="O894" t="n">
        <v>0</v>
      </c>
      <c r="P894" t="n">
        <v>0</v>
      </c>
      <c r="Q894" t="n">
        <v>0</v>
      </c>
      <c r="R894" s="2" t="inlineStr"/>
    </row>
    <row r="895" ht="15" customHeight="1">
      <c r="A895" t="inlineStr">
        <is>
          <t>A 54004-2024</t>
        </is>
      </c>
      <c r="B895" s="1" t="n">
        <v>45616.36659722222</v>
      </c>
      <c r="C895" s="1" t="n">
        <v>45969</v>
      </c>
      <c r="D895" t="inlineStr">
        <is>
          <t>VÄRMLANDS LÄN</t>
        </is>
      </c>
      <c r="E895" t="inlineStr">
        <is>
          <t>TORSBY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20321-2023</t>
        </is>
      </c>
      <c r="B896" s="1" t="n">
        <v>45056.45232638889</v>
      </c>
      <c r="C896" s="1" t="n">
        <v>45969</v>
      </c>
      <c r="D896" t="inlineStr">
        <is>
          <t>VÄRMLANDS LÄN</t>
        </is>
      </c>
      <c r="E896" t="inlineStr">
        <is>
          <t>TORSBY</t>
        </is>
      </c>
      <c r="F896" t="inlineStr">
        <is>
          <t>Kyrkan</t>
        </is>
      </c>
      <c r="G896" t="n">
        <v>2.3</v>
      </c>
      <c r="H896" t="n">
        <v>0</v>
      </c>
      <c r="I896" t="n">
        <v>0</v>
      </c>
      <c r="J896" t="n">
        <v>0</v>
      </c>
      <c r="K896" t="n">
        <v>0</v>
      </c>
      <c r="L896" t="n">
        <v>0</v>
      </c>
      <c r="M896" t="n">
        <v>0</v>
      </c>
      <c r="N896" t="n">
        <v>0</v>
      </c>
      <c r="O896" t="n">
        <v>0</v>
      </c>
      <c r="P896" t="n">
        <v>0</v>
      </c>
      <c r="Q896" t="n">
        <v>0</v>
      </c>
      <c r="R896" s="2" t="inlineStr"/>
    </row>
    <row r="897" ht="15" customHeight="1">
      <c r="A897" t="inlineStr">
        <is>
          <t>A 19878-2025</t>
        </is>
      </c>
      <c r="B897" s="1" t="n">
        <v>45771.55361111111</v>
      </c>
      <c r="C897" s="1" t="n">
        <v>45969</v>
      </c>
      <c r="D897" t="inlineStr">
        <is>
          <t>VÄRMLANDS LÄN</t>
        </is>
      </c>
      <c r="E897" t="inlineStr">
        <is>
          <t>TORSBY</t>
        </is>
      </c>
      <c r="G897" t="n">
        <v>4.2</v>
      </c>
      <c r="H897" t="n">
        <v>0</v>
      </c>
      <c r="I897" t="n">
        <v>0</v>
      </c>
      <c r="J897" t="n">
        <v>0</v>
      </c>
      <c r="K897" t="n">
        <v>0</v>
      </c>
      <c r="L897" t="n">
        <v>0</v>
      </c>
      <c r="M897" t="n">
        <v>0</v>
      </c>
      <c r="N897" t="n">
        <v>0</v>
      </c>
      <c r="O897" t="n">
        <v>0</v>
      </c>
      <c r="P897" t="n">
        <v>0</v>
      </c>
      <c r="Q897" t="n">
        <v>0</v>
      </c>
      <c r="R897" s="2" t="inlineStr"/>
    </row>
    <row r="898" ht="15" customHeight="1">
      <c r="A898" t="inlineStr">
        <is>
          <t>A 17944-2021</t>
        </is>
      </c>
      <c r="B898" s="1" t="n">
        <v>44301</v>
      </c>
      <c r="C898" s="1" t="n">
        <v>45969</v>
      </c>
      <c r="D898" t="inlineStr">
        <is>
          <t>VÄRMLANDS LÄN</t>
        </is>
      </c>
      <c r="E898" t="inlineStr">
        <is>
          <t>TORSBY</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57642-2023</t>
        </is>
      </c>
      <c r="B899" s="1" t="n">
        <v>45246.5915625</v>
      </c>
      <c r="C899" s="1" t="n">
        <v>45969</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14614-2025</t>
        </is>
      </c>
      <c r="B900" s="1" t="n">
        <v>45742</v>
      </c>
      <c r="C900" s="1" t="n">
        <v>45969</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8033-2022</t>
        </is>
      </c>
      <c r="B901" s="1" t="n">
        <v>44609.43644675926</v>
      </c>
      <c r="C901" s="1" t="n">
        <v>45969</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22973-2024</t>
        </is>
      </c>
      <c r="B902" s="1" t="n">
        <v>45449</v>
      </c>
      <c r="C902" s="1" t="n">
        <v>45969</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43179-2023</t>
        </is>
      </c>
      <c r="B903" s="1" t="n">
        <v>45183.37615740741</v>
      </c>
      <c r="C903" s="1" t="n">
        <v>45969</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26343-2023</t>
        </is>
      </c>
      <c r="B904" s="1" t="n">
        <v>45091</v>
      </c>
      <c r="C904" s="1" t="n">
        <v>45969</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34378-2022</t>
        </is>
      </c>
      <c r="B905" s="1" t="n">
        <v>44792.48787037037</v>
      </c>
      <c r="C905" s="1" t="n">
        <v>45969</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17024-2024</t>
        </is>
      </c>
      <c r="B906" s="1" t="n">
        <v>45412.38322916667</v>
      </c>
      <c r="C906" s="1" t="n">
        <v>45969</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15052-2024</t>
        </is>
      </c>
      <c r="B907" s="1" t="n">
        <v>45399.52613425926</v>
      </c>
      <c r="C907" s="1" t="n">
        <v>45969</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38467-2021</t>
        </is>
      </c>
      <c r="B908" s="1" t="n">
        <v>44405</v>
      </c>
      <c r="C908" s="1" t="n">
        <v>45969</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17687-2024</t>
        </is>
      </c>
      <c r="B909" s="1" t="n">
        <v>45418</v>
      </c>
      <c r="C909" s="1" t="n">
        <v>45969</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44170-2022</t>
        </is>
      </c>
      <c r="B910" s="1" t="n">
        <v>44838</v>
      </c>
      <c r="C910" s="1" t="n">
        <v>45969</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7127-2023</t>
        </is>
      </c>
      <c r="B911" s="1" t="n">
        <v>44970.41383101852</v>
      </c>
      <c r="C911" s="1" t="n">
        <v>45969</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11135-2024</t>
        </is>
      </c>
      <c r="B912" s="1" t="n">
        <v>45371</v>
      </c>
      <c r="C912" s="1" t="n">
        <v>45969</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23423-2024</t>
        </is>
      </c>
      <c r="B913" s="1" t="n">
        <v>45453.60787037037</v>
      </c>
      <c r="C913" s="1" t="n">
        <v>45969</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40541-2024</t>
        </is>
      </c>
      <c r="B914" s="1" t="n">
        <v>45555.62736111111</v>
      </c>
      <c r="C914" s="1" t="n">
        <v>45969</v>
      </c>
      <c r="D914" t="inlineStr">
        <is>
          <t>VÄRMLANDS LÄN</t>
        </is>
      </c>
      <c r="E914" t="inlineStr">
        <is>
          <t>TORSBY</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18365-2025</t>
        </is>
      </c>
      <c r="B915" s="1" t="n">
        <v>45762</v>
      </c>
      <c r="C915" s="1" t="n">
        <v>45969</v>
      </c>
      <c r="D915" t="inlineStr">
        <is>
          <t>VÄRMLANDS LÄN</t>
        </is>
      </c>
      <c r="E915" t="inlineStr">
        <is>
          <t>TORSBY</t>
        </is>
      </c>
      <c r="G915" t="n">
        <v>3.9</v>
      </c>
      <c r="H915" t="n">
        <v>0</v>
      </c>
      <c r="I915" t="n">
        <v>0</v>
      </c>
      <c r="J915" t="n">
        <v>0</v>
      </c>
      <c r="K915" t="n">
        <v>0</v>
      </c>
      <c r="L915" t="n">
        <v>0</v>
      </c>
      <c r="M915" t="n">
        <v>0</v>
      </c>
      <c r="N915" t="n">
        <v>0</v>
      </c>
      <c r="O915" t="n">
        <v>0</v>
      </c>
      <c r="P915" t="n">
        <v>0</v>
      </c>
      <c r="Q915" t="n">
        <v>0</v>
      </c>
      <c r="R915" s="2" t="inlineStr"/>
    </row>
    <row r="916" ht="15" customHeight="1">
      <c r="A916" t="inlineStr">
        <is>
          <t>A 40546-2024</t>
        </is>
      </c>
      <c r="B916" s="1" t="n">
        <v>45555</v>
      </c>
      <c r="C916" s="1" t="n">
        <v>45969</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55436-2022</t>
        </is>
      </c>
      <c r="B917" s="1" t="n">
        <v>44887</v>
      </c>
      <c r="C917" s="1" t="n">
        <v>45969</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40997-2022</t>
        </is>
      </c>
      <c r="B918" s="1" t="n">
        <v>44825.50576388889</v>
      </c>
      <c r="C918" s="1" t="n">
        <v>45969</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12458-2023</t>
        </is>
      </c>
      <c r="B919" s="1" t="n">
        <v>44999</v>
      </c>
      <c r="C919" s="1" t="n">
        <v>45969</v>
      </c>
      <c r="D919" t="inlineStr">
        <is>
          <t>VÄRMLANDS LÄN</t>
        </is>
      </c>
      <c r="E919" t="inlineStr">
        <is>
          <t>TORSBY</t>
        </is>
      </c>
      <c r="G919" t="n">
        <v>2.7</v>
      </c>
      <c r="H919" t="n">
        <v>0</v>
      </c>
      <c r="I919" t="n">
        <v>0</v>
      </c>
      <c r="J919" t="n">
        <v>0</v>
      </c>
      <c r="K919" t="n">
        <v>0</v>
      </c>
      <c r="L919" t="n">
        <v>0</v>
      </c>
      <c r="M919" t="n">
        <v>0</v>
      </c>
      <c r="N919" t="n">
        <v>0</v>
      </c>
      <c r="O919" t="n">
        <v>0</v>
      </c>
      <c r="P919" t="n">
        <v>0</v>
      </c>
      <c r="Q919" t="n">
        <v>0</v>
      </c>
      <c r="R919" s="2" t="inlineStr"/>
    </row>
    <row r="920" ht="15" customHeight="1">
      <c r="A920" t="inlineStr">
        <is>
          <t>A 47736-2025</t>
        </is>
      </c>
      <c r="B920" s="1" t="n">
        <v>45931.63822916667</v>
      </c>
      <c r="C920" s="1" t="n">
        <v>45969</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45969</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13848-2024</t>
        </is>
      </c>
      <c r="B922" s="1" t="n">
        <v>45390</v>
      </c>
      <c r="C922" s="1" t="n">
        <v>45969</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59425-2021</t>
        </is>
      </c>
      <c r="B923" s="1" t="n">
        <v>44491.43469907407</v>
      </c>
      <c r="C923" s="1" t="n">
        <v>45969</v>
      </c>
      <c r="D923" t="inlineStr">
        <is>
          <t>VÄRMLANDS LÄN</t>
        </is>
      </c>
      <c r="E923" t="inlineStr">
        <is>
          <t>TORSBY</t>
        </is>
      </c>
      <c r="F923" t="inlineStr">
        <is>
          <t>Bergvik skog väst AB</t>
        </is>
      </c>
      <c r="G923" t="n">
        <v>14.9</v>
      </c>
      <c r="H923" t="n">
        <v>0</v>
      </c>
      <c r="I923" t="n">
        <v>0</v>
      </c>
      <c r="J923" t="n">
        <v>0</v>
      </c>
      <c r="K923" t="n">
        <v>0</v>
      </c>
      <c r="L923" t="n">
        <v>0</v>
      </c>
      <c r="M923" t="n">
        <v>0</v>
      </c>
      <c r="N923" t="n">
        <v>0</v>
      </c>
      <c r="O923" t="n">
        <v>0</v>
      </c>
      <c r="P923" t="n">
        <v>0</v>
      </c>
      <c r="Q923" t="n">
        <v>0</v>
      </c>
      <c r="R923" s="2" t="inlineStr"/>
    </row>
    <row r="924" ht="15" customHeight="1">
      <c r="A924" t="inlineStr">
        <is>
          <t>A 21825-2024</t>
        </is>
      </c>
      <c r="B924" s="1" t="n">
        <v>45442</v>
      </c>
      <c r="C924" s="1" t="n">
        <v>45969</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15170-2025</t>
        </is>
      </c>
      <c r="B925" s="1" t="n">
        <v>45743</v>
      </c>
      <c r="C925" s="1" t="n">
        <v>45969</v>
      </c>
      <c r="D925" t="inlineStr">
        <is>
          <t>VÄRMLANDS LÄN</t>
        </is>
      </c>
      <c r="E925" t="inlineStr">
        <is>
          <t>TORSBY</t>
        </is>
      </c>
      <c r="G925" t="n">
        <v>12.5</v>
      </c>
      <c r="H925" t="n">
        <v>0</v>
      </c>
      <c r="I925" t="n">
        <v>0</v>
      </c>
      <c r="J925" t="n">
        <v>0</v>
      </c>
      <c r="K925" t="n">
        <v>0</v>
      </c>
      <c r="L925" t="n">
        <v>0</v>
      </c>
      <c r="M925" t="n">
        <v>0</v>
      </c>
      <c r="N925" t="n">
        <v>0</v>
      </c>
      <c r="O925" t="n">
        <v>0</v>
      </c>
      <c r="P925" t="n">
        <v>0</v>
      </c>
      <c r="Q925" t="n">
        <v>0</v>
      </c>
      <c r="R925" s="2" t="inlineStr"/>
    </row>
    <row r="926" ht="15" customHeight="1">
      <c r="A926" t="inlineStr">
        <is>
          <t>A 15019-2025</t>
        </is>
      </c>
      <c r="B926" s="1" t="n">
        <v>45743.63811342593</v>
      </c>
      <c r="C926" s="1" t="n">
        <v>45969</v>
      </c>
      <c r="D926" t="inlineStr">
        <is>
          <t>VÄRMLANDS LÄN</t>
        </is>
      </c>
      <c r="E926" t="inlineStr">
        <is>
          <t>TORSBY</t>
        </is>
      </c>
      <c r="F926" t="inlineStr">
        <is>
          <t>Övriga statliga verk och myndigheter</t>
        </is>
      </c>
      <c r="G926" t="n">
        <v>2.6</v>
      </c>
      <c r="H926" t="n">
        <v>0</v>
      </c>
      <c r="I926" t="n">
        <v>0</v>
      </c>
      <c r="J926" t="n">
        <v>0</v>
      </c>
      <c r="K926" t="n">
        <v>0</v>
      </c>
      <c r="L926" t="n">
        <v>0</v>
      </c>
      <c r="M926" t="n">
        <v>0</v>
      </c>
      <c r="N926" t="n">
        <v>0</v>
      </c>
      <c r="O926" t="n">
        <v>0</v>
      </c>
      <c r="P926" t="n">
        <v>0</v>
      </c>
      <c r="Q926" t="n">
        <v>0</v>
      </c>
      <c r="R926" s="2" t="inlineStr"/>
    </row>
    <row r="927" ht="15" customHeight="1">
      <c r="A927" t="inlineStr">
        <is>
          <t>A 16073-2024</t>
        </is>
      </c>
      <c r="B927" s="1" t="n">
        <v>45406</v>
      </c>
      <c r="C927" s="1" t="n">
        <v>45969</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57536-2024</t>
        </is>
      </c>
      <c r="B928" s="1" t="n">
        <v>45630.43023148148</v>
      </c>
      <c r="C928" s="1" t="n">
        <v>45969</v>
      </c>
      <c r="D928" t="inlineStr">
        <is>
          <t>VÄRMLANDS LÄN</t>
        </is>
      </c>
      <c r="E928" t="inlineStr">
        <is>
          <t>TORSBY</t>
        </is>
      </c>
      <c r="G928" t="n">
        <v>2.6</v>
      </c>
      <c r="H928" t="n">
        <v>0</v>
      </c>
      <c r="I928" t="n">
        <v>0</v>
      </c>
      <c r="J928" t="n">
        <v>0</v>
      </c>
      <c r="K928" t="n">
        <v>0</v>
      </c>
      <c r="L928" t="n">
        <v>0</v>
      </c>
      <c r="M928" t="n">
        <v>0</v>
      </c>
      <c r="N928" t="n">
        <v>0</v>
      </c>
      <c r="O928" t="n">
        <v>0</v>
      </c>
      <c r="P928" t="n">
        <v>0</v>
      </c>
      <c r="Q928" t="n">
        <v>0</v>
      </c>
      <c r="R928" s="2" t="inlineStr"/>
    </row>
    <row r="929" ht="15" customHeight="1">
      <c r="A929" t="inlineStr">
        <is>
          <t>A 58956-2022</t>
        </is>
      </c>
      <c r="B929" s="1" t="n">
        <v>44903.65895833333</v>
      </c>
      <c r="C929" s="1" t="n">
        <v>45969</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17039-2025</t>
        </is>
      </c>
      <c r="B930" s="1" t="n">
        <v>45754</v>
      </c>
      <c r="C930" s="1" t="n">
        <v>45969</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40858-2023</t>
        </is>
      </c>
      <c r="B931" s="1" t="n">
        <v>45173.34709490741</v>
      </c>
      <c r="C931" s="1" t="n">
        <v>45969</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53945-2023</t>
        </is>
      </c>
      <c r="B932" s="1" t="n">
        <v>45231.6009837963</v>
      </c>
      <c r="C932" s="1" t="n">
        <v>45969</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36050-2023</t>
        </is>
      </c>
      <c r="B933" s="1" t="n">
        <v>45149</v>
      </c>
      <c r="C933" s="1" t="n">
        <v>45969</v>
      </c>
      <c r="D933" t="inlineStr">
        <is>
          <t>VÄRMLANDS LÄN</t>
        </is>
      </c>
      <c r="E933" t="inlineStr">
        <is>
          <t>TORSBY</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21076-2023</t>
        </is>
      </c>
      <c r="B934" s="1" t="n">
        <v>45061</v>
      </c>
      <c r="C934" s="1" t="n">
        <v>45969</v>
      </c>
      <c r="D934" t="inlineStr">
        <is>
          <t>VÄRMLANDS LÄN</t>
        </is>
      </c>
      <c r="E934" t="inlineStr">
        <is>
          <t>TORSBY</t>
        </is>
      </c>
      <c r="G934" t="n">
        <v>0.4</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45969</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47545-2025</t>
        </is>
      </c>
      <c r="B936" s="1" t="n">
        <v>45931</v>
      </c>
      <c r="C936" s="1" t="n">
        <v>45969</v>
      </c>
      <c r="D936" t="inlineStr">
        <is>
          <t>VÄRMLANDS LÄN</t>
        </is>
      </c>
      <c r="E936" t="inlineStr">
        <is>
          <t>TORSBY</t>
        </is>
      </c>
      <c r="F936" t="inlineStr">
        <is>
          <t>Bergvik skog väst AB</t>
        </is>
      </c>
      <c r="G936" t="n">
        <v>6.8</v>
      </c>
      <c r="H936" t="n">
        <v>0</v>
      </c>
      <c r="I936" t="n">
        <v>0</v>
      </c>
      <c r="J936" t="n">
        <v>0</v>
      </c>
      <c r="K936" t="n">
        <v>0</v>
      </c>
      <c r="L936" t="n">
        <v>0</v>
      </c>
      <c r="M936" t="n">
        <v>0</v>
      </c>
      <c r="N936" t="n">
        <v>0</v>
      </c>
      <c r="O936" t="n">
        <v>0</v>
      </c>
      <c r="P936" t="n">
        <v>0</v>
      </c>
      <c r="Q936" t="n">
        <v>0</v>
      </c>
      <c r="R936" s="2" t="inlineStr"/>
    </row>
    <row r="937" ht="15" customHeight="1">
      <c r="A937" t="inlineStr">
        <is>
          <t>A 47621-2025</t>
        </is>
      </c>
      <c r="B937" s="1" t="n">
        <v>45931.48322916667</v>
      </c>
      <c r="C937" s="1" t="n">
        <v>45969</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34966-2024</t>
        </is>
      </c>
      <c r="B938" s="1" t="n">
        <v>45527.49600694444</v>
      </c>
      <c r="C938" s="1" t="n">
        <v>45969</v>
      </c>
      <c r="D938" t="inlineStr">
        <is>
          <t>VÄRMLANDS LÄN</t>
        </is>
      </c>
      <c r="E938" t="inlineStr">
        <is>
          <t>TORSBY</t>
        </is>
      </c>
      <c r="F938" t="inlineStr">
        <is>
          <t>Bergvik skog väst AB</t>
        </is>
      </c>
      <c r="G938" t="n">
        <v>5.2</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45969</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69628-2020</t>
        </is>
      </c>
      <c r="B940" s="1" t="n">
        <v>44195</v>
      </c>
      <c r="C940" s="1" t="n">
        <v>45969</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14162-2025</t>
        </is>
      </c>
      <c r="B941" s="1" t="n">
        <v>45740</v>
      </c>
      <c r="C941" s="1" t="n">
        <v>45969</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11235-2024</t>
        </is>
      </c>
      <c r="B942" s="1" t="n">
        <v>45371</v>
      </c>
      <c r="C942" s="1" t="n">
        <v>45969</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11253-2024</t>
        </is>
      </c>
      <c r="B943" s="1" t="n">
        <v>45371</v>
      </c>
      <c r="C943" s="1" t="n">
        <v>45969</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47241-2023</t>
        </is>
      </c>
      <c r="B944" s="1" t="n">
        <v>45202.39821759259</v>
      </c>
      <c r="C944" s="1" t="n">
        <v>45969</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47624-2025</t>
        </is>
      </c>
      <c r="B945" s="1" t="n">
        <v>45931.48381944445</v>
      </c>
      <c r="C945" s="1" t="n">
        <v>45969</v>
      </c>
      <c r="D945" t="inlineStr">
        <is>
          <t>VÄRMLANDS LÄN</t>
        </is>
      </c>
      <c r="E945" t="inlineStr">
        <is>
          <t>TORSBY</t>
        </is>
      </c>
      <c r="G945" t="n">
        <v>4.7</v>
      </c>
      <c r="H945" t="n">
        <v>0</v>
      </c>
      <c r="I945" t="n">
        <v>0</v>
      </c>
      <c r="J945" t="n">
        <v>0</v>
      </c>
      <c r="K945" t="n">
        <v>0</v>
      </c>
      <c r="L945" t="n">
        <v>0</v>
      </c>
      <c r="M945" t="n">
        <v>0</v>
      </c>
      <c r="N945" t="n">
        <v>0</v>
      </c>
      <c r="O945" t="n">
        <v>0</v>
      </c>
      <c r="P945" t="n">
        <v>0</v>
      </c>
      <c r="Q945" t="n">
        <v>0</v>
      </c>
      <c r="R945" s="2" t="inlineStr"/>
    </row>
    <row r="946" ht="15" customHeight="1">
      <c r="A946" t="inlineStr">
        <is>
          <t>A 11211-2024</t>
        </is>
      </c>
      <c r="B946" s="1" t="n">
        <v>45371</v>
      </c>
      <c r="C946" s="1" t="n">
        <v>45969</v>
      </c>
      <c r="D946" t="inlineStr">
        <is>
          <t>VÄRMLANDS LÄN</t>
        </is>
      </c>
      <c r="E946" t="inlineStr">
        <is>
          <t>TORSBY</t>
        </is>
      </c>
      <c r="G946" t="n">
        <v>0.2</v>
      </c>
      <c r="H946" t="n">
        <v>0</v>
      </c>
      <c r="I946" t="n">
        <v>0</v>
      </c>
      <c r="J946" t="n">
        <v>0</v>
      </c>
      <c r="K946" t="n">
        <v>0</v>
      </c>
      <c r="L946" t="n">
        <v>0</v>
      </c>
      <c r="M946" t="n">
        <v>0</v>
      </c>
      <c r="N946" t="n">
        <v>0</v>
      </c>
      <c r="O946" t="n">
        <v>0</v>
      </c>
      <c r="P946" t="n">
        <v>0</v>
      </c>
      <c r="Q946" t="n">
        <v>0</v>
      </c>
      <c r="R946" s="2" t="inlineStr"/>
    </row>
    <row r="947" ht="15" customHeight="1">
      <c r="A947" t="inlineStr">
        <is>
          <t>A 5830-2023</t>
        </is>
      </c>
      <c r="B947" s="1" t="n">
        <v>44963</v>
      </c>
      <c r="C947" s="1" t="n">
        <v>45969</v>
      </c>
      <c r="D947" t="inlineStr">
        <is>
          <t>VÄRMLANDS LÄN</t>
        </is>
      </c>
      <c r="E947" t="inlineStr">
        <is>
          <t>TORSBY</t>
        </is>
      </c>
      <c r="G947" t="n">
        <v>2.2</v>
      </c>
      <c r="H947" t="n">
        <v>0</v>
      </c>
      <c r="I947" t="n">
        <v>0</v>
      </c>
      <c r="J947" t="n">
        <v>0</v>
      </c>
      <c r="K947" t="n">
        <v>0</v>
      </c>
      <c r="L947" t="n">
        <v>0</v>
      </c>
      <c r="M947" t="n">
        <v>0</v>
      </c>
      <c r="N947" t="n">
        <v>0</v>
      </c>
      <c r="O947" t="n">
        <v>0</v>
      </c>
      <c r="P947" t="n">
        <v>0</v>
      </c>
      <c r="Q947" t="n">
        <v>0</v>
      </c>
      <c r="R947" s="2" t="inlineStr"/>
    </row>
    <row r="948" ht="15" customHeight="1">
      <c r="A948" t="inlineStr">
        <is>
          <t>A 57721-2022</t>
        </is>
      </c>
      <c r="B948" s="1" t="n">
        <v>44897.55278935185</v>
      </c>
      <c r="C948" s="1" t="n">
        <v>45969</v>
      </c>
      <c r="D948" t="inlineStr">
        <is>
          <t>VÄRMLANDS LÄN</t>
        </is>
      </c>
      <c r="E948" t="inlineStr">
        <is>
          <t>TORSBY</t>
        </is>
      </c>
      <c r="G948" t="n">
        <v>3.3</v>
      </c>
      <c r="H948" t="n">
        <v>0</v>
      </c>
      <c r="I948" t="n">
        <v>0</v>
      </c>
      <c r="J948" t="n">
        <v>0</v>
      </c>
      <c r="K948" t="n">
        <v>0</v>
      </c>
      <c r="L948" t="n">
        <v>0</v>
      </c>
      <c r="M948" t="n">
        <v>0</v>
      </c>
      <c r="N948" t="n">
        <v>0</v>
      </c>
      <c r="O948" t="n">
        <v>0</v>
      </c>
      <c r="P948" t="n">
        <v>0</v>
      </c>
      <c r="Q948" t="n">
        <v>0</v>
      </c>
      <c r="R948" s="2" t="inlineStr"/>
    </row>
    <row r="949" ht="15" customHeight="1">
      <c r="A949" t="inlineStr">
        <is>
          <t>A 19887-2024</t>
        </is>
      </c>
      <c r="B949" s="1" t="n">
        <v>45433</v>
      </c>
      <c r="C949" s="1" t="n">
        <v>45969</v>
      </c>
      <c r="D949" t="inlineStr">
        <is>
          <t>VÄRMLANDS LÄN</t>
        </is>
      </c>
      <c r="E949" t="inlineStr">
        <is>
          <t>TORSBY</t>
        </is>
      </c>
      <c r="G949" t="n">
        <v>10.1</v>
      </c>
      <c r="H949" t="n">
        <v>0</v>
      </c>
      <c r="I949" t="n">
        <v>0</v>
      </c>
      <c r="J949" t="n">
        <v>0</v>
      </c>
      <c r="K949" t="n">
        <v>0</v>
      </c>
      <c r="L949" t="n">
        <v>0</v>
      </c>
      <c r="M949" t="n">
        <v>0</v>
      </c>
      <c r="N949" t="n">
        <v>0</v>
      </c>
      <c r="O949" t="n">
        <v>0</v>
      </c>
      <c r="P949" t="n">
        <v>0</v>
      </c>
      <c r="Q949" t="n">
        <v>0</v>
      </c>
      <c r="R949" s="2" t="inlineStr"/>
    </row>
    <row r="950" ht="15" customHeight="1">
      <c r="A950" t="inlineStr">
        <is>
          <t>A 39258-2025</t>
        </is>
      </c>
      <c r="B950" s="1" t="n">
        <v>45889</v>
      </c>
      <c r="C950" s="1" t="n">
        <v>45969</v>
      </c>
      <c r="D950" t="inlineStr">
        <is>
          <t>VÄRMLANDS LÄN</t>
        </is>
      </c>
      <c r="E950" t="inlineStr">
        <is>
          <t>TORSBY</t>
        </is>
      </c>
      <c r="F950" t="inlineStr">
        <is>
          <t>Bergvik skog väst AB</t>
        </is>
      </c>
      <c r="G950" t="n">
        <v>12.1</v>
      </c>
      <c r="H950" t="n">
        <v>0</v>
      </c>
      <c r="I950" t="n">
        <v>0</v>
      </c>
      <c r="J950" t="n">
        <v>0</v>
      </c>
      <c r="K950" t="n">
        <v>0</v>
      </c>
      <c r="L950" t="n">
        <v>0</v>
      </c>
      <c r="M950" t="n">
        <v>0</v>
      </c>
      <c r="N950" t="n">
        <v>0</v>
      </c>
      <c r="O950" t="n">
        <v>0</v>
      </c>
      <c r="P950" t="n">
        <v>0</v>
      </c>
      <c r="Q950" t="n">
        <v>0</v>
      </c>
      <c r="R950" s="2" t="inlineStr"/>
    </row>
    <row r="951" ht="15" customHeight="1">
      <c r="A951" t="inlineStr">
        <is>
          <t>A 39321-2025</t>
        </is>
      </c>
      <c r="B951" s="1" t="n">
        <v>45889</v>
      </c>
      <c r="C951" s="1" t="n">
        <v>45969</v>
      </c>
      <c r="D951" t="inlineStr">
        <is>
          <t>VÄRMLANDS LÄN</t>
        </is>
      </c>
      <c r="E951" t="inlineStr">
        <is>
          <t>TORSBY</t>
        </is>
      </c>
      <c r="F951" t="inlineStr">
        <is>
          <t>Bergvik skog väst AB</t>
        </is>
      </c>
      <c r="G951" t="n">
        <v>47.1</v>
      </c>
      <c r="H951" t="n">
        <v>0</v>
      </c>
      <c r="I951" t="n">
        <v>0</v>
      </c>
      <c r="J951" t="n">
        <v>0</v>
      </c>
      <c r="K951" t="n">
        <v>0</v>
      </c>
      <c r="L951" t="n">
        <v>0</v>
      </c>
      <c r="M951" t="n">
        <v>0</v>
      </c>
      <c r="N951" t="n">
        <v>0</v>
      </c>
      <c r="O951" t="n">
        <v>0</v>
      </c>
      <c r="P951" t="n">
        <v>0</v>
      </c>
      <c r="Q951" t="n">
        <v>0</v>
      </c>
      <c r="R951" s="2" t="inlineStr"/>
    </row>
    <row r="952" ht="15" customHeight="1">
      <c r="A952" t="inlineStr">
        <is>
          <t>A 39473-2025</t>
        </is>
      </c>
      <c r="B952" s="1" t="n">
        <v>45890</v>
      </c>
      <c r="C952" s="1" t="n">
        <v>45969</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39652-2025</t>
        </is>
      </c>
      <c r="B953" s="1" t="n">
        <v>45890.61689814815</v>
      </c>
      <c r="C953" s="1" t="n">
        <v>45969</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49206-2022</t>
        </is>
      </c>
      <c r="B954" s="1" t="n">
        <v>44860.95984953704</v>
      </c>
      <c r="C954" s="1" t="n">
        <v>45969</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39815-2025</t>
        </is>
      </c>
      <c r="B955" s="1" t="n">
        <v>45891.52760416667</v>
      </c>
      <c r="C955" s="1" t="n">
        <v>45969</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9908-2024</t>
        </is>
      </c>
      <c r="B956" s="1" t="n">
        <v>45363</v>
      </c>
      <c r="C956" s="1" t="n">
        <v>45969</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42457-2024</t>
        </is>
      </c>
      <c r="B957" s="1" t="n">
        <v>45565.46346064815</v>
      </c>
      <c r="C957" s="1" t="n">
        <v>45969</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4640-2022</t>
        </is>
      </c>
      <c r="B958" s="1" t="n">
        <v>44592</v>
      </c>
      <c r="C958" s="1" t="n">
        <v>45969</v>
      </c>
      <c r="D958" t="inlineStr">
        <is>
          <t>VÄRMLANDS LÄN</t>
        </is>
      </c>
      <c r="E958" t="inlineStr">
        <is>
          <t>TORSBY</t>
        </is>
      </c>
      <c r="G958" t="n">
        <v>9</v>
      </c>
      <c r="H958" t="n">
        <v>0</v>
      </c>
      <c r="I958" t="n">
        <v>0</v>
      </c>
      <c r="J958" t="n">
        <v>0</v>
      </c>
      <c r="K958" t="n">
        <v>0</v>
      </c>
      <c r="L958" t="n">
        <v>0</v>
      </c>
      <c r="M958" t="n">
        <v>0</v>
      </c>
      <c r="N958" t="n">
        <v>0</v>
      </c>
      <c r="O958" t="n">
        <v>0</v>
      </c>
      <c r="P958" t="n">
        <v>0</v>
      </c>
      <c r="Q958" t="n">
        <v>0</v>
      </c>
      <c r="R958" s="2" t="inlineStr"/>
    </row>
    <row r="959" ht="15" customHeight="1">
      <c r="A959" t="inlineStr">
        <is>
          <t>A 40195-2025</t>
        </is>
      </c>
      <c r="B959" s="1" t="n">
        <v>45894.65922453703</v>
      </c>
      <c r="C959" s="1" t="n">
        <v>45969</v>
      </c>
      <c r="D959" t="inlineStr">
        <is>
          <t>VÄRMLANDS LÄN</t>
        </is>
      </c>
      <c r="E959" t="inlineStr">
        <is>
          <t>TORSBY</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18876-2023</t>
        </is>
      </c>
      <c r="B960" s="1" t="n">
        <v>45044.50101851852</v>
      </c>
      <c r="C960" s="1" t="n">
        <v>45969</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40051-2025</t>
        </is>
      </c>
      <c r="B961" s="1" t="n">
        <v>45894.40730324074</v>
      </c>
      <c r="C961" s="1" t="n">
        <v>45969</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27347-2024</t>
        </is>
      </c>
      <c r="B962" s="1" t="n">
        <v>45473.59798611111</v>
      </c>
      <c r="C962" s="1" t="n">
        <v>45969</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20393-2023</t>
        </is>
      </c>
      <c r="B963" s="1" t="n">
        <v>45056</v>
      </c>
      <c r="C963" s="1" t="n">
        <v>45969</v>
      </c>
      <c r="D963" t="inlineStr">
        <is>
          <t>VÄRMLANDS LÄN</t>
        </is>
      </c>
      <c r="E963" t="inlineStr">
        <is>
          <t>TORSBY</t>
        </is>
      </c>
      <c r="G963" t="n">
        <v>4.2</v>
      </c>
      <c r="H963" t="n">
        <v>0</v>
      </c>
      <c r="I963" t="n">
        <v>0</v>
      </c>
      <c r="J963" t="n">
        <v>0</v>
      </c>
      <c r="K963" t="n">
        <v>0</v>
      </c>
      <c r="L963" t="n">
        <v>0</v>
      </c>
      <c r="M963" t="n">
        <v>0</v>
      </c>
      <c r="N963" t="n">
        <v>0</v>
      </c>
      <c r="O963" t="n">
        <v>0</v>
      </c>
      <c r="P963" t="n">
        <v>0</v>
      </c>
      <c r="Q963" t="n">
        <v>0</v>
      </c>
      <c r="R963" s="2" t="inlineStr"/>
    </row>
    <row r="964" ht="15" customHeight="1">
      <c r="A964" t="inlineStr">
        <is>
          <t>A 16488-2024</t>
        </is>
      </c>
      <c r="B964" s="1" t="n">
        <v>45408.34597222223</v>
      </c>
      <c r="C964" s="1" t="n">
        <v>45969</v>
      </c>
      <c r="D964" t="inlineStr">
        <is>
          <t>VÄRMLANDS LÄN</t>
        </is>
      </c>
      <c r="E964" t="inlineStr">
        <is>
          <t>TORSBY</t>
        </is>
      </c>
      <c r="F964" t="inlineStr">
        <is>
          <t>Bergvik skog väst AB</t>
        </is>
      </c>
      <c r="G964" t="n">
        <v>5.6</v>
      </c>
      <c r="H964" t="n">
        <v>0</v>
      </c>
      <c r="I964" t="n">
        <v>0</v>
      </c>
      <c r="J964" t="n">
        <v>0</v>
      </c>
      <c r="K964" t="n">
        <v>0</v>
      </c>
      <c r="L964" t="n">
        <v>0</v>
      </c>
      <c r="M964" t="n">
        <v>0</v>
      </c>
      <c r="N964" t="n">
        <v>0</v>
      </c>
      <c r="O964" t="n">
        <v>0</v>
      </c>
      <c r="P964" t="n">
        <v>0</v>
      </c>
      <c r="Q964" t="n">
        <v>0</v>
      </c>
      <c r="R964" s="2" t="inlineStr"/>
    </row>
    <row r="965" ht="15" customHeight="1">
      <c r="A965" t="inlineStr">
        <is>
          <t>A 41529-2024</t>
        </is>
      </c>
      <c r="B965" s="1" t="n">
        <v>45560.48552083333</v>
      </c>
      <c r="C965" s="1" t="n">
        <v>45969</v>
      </c>
      <c r="D965" t="inlineStr">
        <is>
          <t>VÄRMLANDS LÄN</t>
        </is>
      </c>
      <c r="E965" t="inlineStr">
        <is>
          <t>TORSBY</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42414-2024</t>
        </is>
      </c>
      <c r="B966" s="1" t="n">
        <v>45565</v>
      </c>
      <c r="C966" s="1" t="n">
        <v>45969</v>
      </c>
      <c r="D966" t="inlineStr">
        <is>
          <t>VÄRMLANDS LÄN</t>
        </is>
      </c>
      <c r="E966" t="inlineStr">
        <is>
          <t>TORSBY</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16210-2025</t>
        </is>
      </c>
      <c r="B967" s="1" t="n">
        <v>45750</v>
      </c>
      <c r="C967" s="1" t="n">
        <v>45969</v>
      </c>
      <c r="D967" t="inlineStr">
        <is>
          <t>VÄRMLANDS LÄN</t>
        </is>
      </c>
      <c r="E967" t="inlineStr">
        <is>
          <t>TORSBY</t>
        </is>
      </c>
      <c r="F967" t="inlineStr">
        <is>
          <t>Bergvik skog väst AB</t>
        </is>
      </c>
      <c r="G967" t="n">
        <v>10.7</v>
      </c>
      <c r="H967" t="n">
        <v>0</v>
      </c>
      <c r="I967" t="n">
        <v>0</v>
      </c>
      <c r="J967" t="n">
        <v>0</v>
      </c>
      <c r="K967" t="n">
        <v>0</v>
      </c>
      <c r="L967" t="n">
        <v>0</v>
      </c>
      <c r="M967" t="n">
        <v>0</v>
      </c>
      <c r="N967" t="n">
        <v>0</v>
      </c>
      <c r="O967" t="n">
        <v>0</v>
      </c>
      <c r="P967" t="n">
        <v>0</v>
      </c>
      <c r="Q967" t="n">
        <v>0</v>
      </c>
      <c r="R967" s="2" t="inlineStr"/>
    </row>
    <row r="968" ht="15" customHeight="1">
      <c r="A968" t="inlineStr">
        <is>
          <t>A 39771-2024</t>
        </is>
      </c>
      <c r="B968" s="1" t="n">
        <v>45552</v>
      </c>
      <c r="C968" s="1" t="n">
        <v>45969</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36175-2024</t>
        </is>
      </c>
      <c r="B969" s="1" t="n">
        <v>45534.40834490741</v>
      </c>
      <c r="C969" s="1" t="n">
        <v>45969</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9056-2023</t>
        </is>
      </c>
      <c r="B970" s="1" t="n">
        <v>44979</v>
      </c>
      <c r="C970" s="1" t="n">
        <v>45969</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58869-2022</t>
        </is>
      </c>
      <c r="B971" s="1" t="n">
        <v>44903</v>
      </c>
      <c r="C971" s="1" t="n">
        <v>45969</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61510-2022</t>
        </is>
      </c>
      <c r="B972" s="1" t="n">
        <v>44916.49820601852</v>
      </c>
      <c r="C972" s="1" t="n">
        <v>45969</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45969</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1275-2024</t>
        </is>
      </c>
      <c r="B974" s="1" t="n">
        <v>45302</v>
      </c>
      <c r="C974" s="1" t="n">
        <v>45969</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60737-2022</t>
        </is>
      </c>
      <c r="B975" s="1" t="n">
        <v>44913.88537037037</v>
      </c>
      <c r="C975" s="1" t="n">
        <v>45969</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41501-2024</t>
        </is>
      </c>
      <c r="B976" s="1" t="n">
        <v>45560</v>
      </c>
      <c r="C976" s="1" t="n">
        <v>45969</v>
      </c>
      <c r="D976" t="inlineStr">
        <is>
          <t>VÄRMLANDS LÄN</t>
        </is>
      </c>
      <c r="E976" t="inlineStr">
        <is>
          <t>TORSBY</t>
        </is>
      </c>
      <c r="G976" t="n">
        <v>7.5</v>
      </c>
      <c r="H976" t="n">
        <v>0</v>
      </c>
      <c r="I976" t="n">
        <v>0</v>
      </c>
      <c r="J976" t="n">
        <v>0</v>
      </c>
      <c r="K976" t="n">
        <v>0</v>
      </c>
      <c r="L976" t="n">
        <v>0</v>
      </c>
      <c r="M976" t="n">
        <v>0</v>
      </c>
      <c r="N976" t="n">
        <v>0</v>
      </c>
      <c r="O976" t="n">
        <v>0</v>
      </c>
      <c r="P976" t="n">
        <v>0</v>
      </c>
      <c r="Q976" t="n">
        <v>0</v>
      </c>
      <c r="R976" s="2" t="inlineStr"/>
    </row>
    <row r="977" ht="15" customHeight="1">
      <c r="A977" t="inlineStr">
        <is>
          <t>A 44838-2024</t>
        </is>
      </c>
      <c r="B977" s="1" t="n">
        <v>45574.7069675926</v>
      </c>
      <c r="C977" s="1" t="n">
        <v>45969</v>
      </c>
      <c r="D977" t="inlineStr">
        <is>
          <t>VÄRMLANDS LÄN</t>
        </is>
      </c>
      <c r="E977" t="inlineStr">
        <is>
          <t>TORSBY</t>
        </is>
      </c>
      <c r="G977" t="n">
        <v>0.6</v>
      </c>
      <c r="H977" t="n">
        <v>0</v>
      </c>
      <c r="I977" t="n">
        <v>0</v>
      </c>
      <c r="J977" t="n">
        <v>0</v>
      </c>
      <c r="K977" t="n">
        <v>0</v>
      </c>
      <c r="L977" t="n">
        <v>0</v>
      </c>
      <c r="M977" t="n">
        <v>0</v>
      </c>
      <c r="N977" t="n">
        <v>0</v>
      </c>
      <c r="O977" t="n">
        <v>0</v>
      </c>
      <c r="P977" t="n">
        <v>0</v>
      </c>
      <c r="Q977" t="n">
        <v>0</v>
      </c>
      <c r="R977" s="2" t="inlineStr"/>
    </row>
    <row r="978" ht="15" customHeight="1">
      <c r="A978" t="inlineStr">
        <is>
          <t>A 55485-2023</t>
        </is>
      </c>
      <c r="B978" s="1" t="n">
        <v>45238.52023148148</v>
      </c>
      <c r="C978" s="1" t="n">
        <v>45969</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276-2024</t>
        </is>
      </c>
      <c r="B979" s="1" t="n">
        <v>45295</v>
      </c>
      <c r="C979" s="1" t="n">
        <v>45969</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41156-2023</t>
        </is>
      </c>
      <c r="B980" s="1" t="n">
        <v>45174</v>
      </c>
      <c r="C980" s="1" t="n">
        <v>45969</v>
      </c>
      <c r="D980" t="inlineStr">
        <is>
          <t>VÄRMLANDS LÄN</t>
        </is>
      </c>
      <c r="E980" t="inlineStr">
        <is>
          <t>TORSBY</t>
        </is>
      </c>
      <c r="F980" t="inlineStr">
        <is>
          <t>Kyrkan</t>
        </is>
      </c>
      <c r="G980" t="n">
        <v>3.1</v>
      </c>
      <c r="H980" t="n">
        <v>0</v>
      </c>
      <c r="I980" t="n">
        <v>0</v>
      </c>
      <c r="J980" t="n">
        <v>0</v>
      </c>
      <c r="K980" t="n">
        <v>0</v>
      </c>
      <c r="L980" t="n">
        <v>0</v>
      </c>
      <c r="M980" t="n">
        <v>0</v>
      </c>
      <c r="N980" t="n">
        <v>0</v>
      </c>
      <c r="O980" t="n">
        <v>0</v>
      </c>
      <c r="P980" t="n">
        <v>0</v>
      </c>
      <c r="Q980" t="n">
        <v>0</v>
      </c>
      <c r="R980" s="2" t="inlineStr"/>
    </row>
    <row r="981" ht="15" customHeight="1">
      <c r="A981" t="inlineStr">
        <is>
          <t>A 6656-2021</t>
        </is>
      </c>
      <c r="B981" s="1" t="n">
        <v>44236</v>
      </c>
      <c r="C981" s="1" t="n">
        <v>45969</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392-2025</t>
        </is>
      </c>
      <c r="B982" s="1" t="n">
        <v>45663.35111111111</v>
      </c>
      <c r="C982" s="1" t="n">
        <v>45969</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28598-2023</t>
        </is>
      </c>
      <c r="B983" s="1" t="n">
        <v>45103.57421296297</v>
      </c>
      <c r="C983" s="1" t="n">
        <v>45969</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50147-2023</t>
        </is>
      </c>
      <c r="B984" s="1" t="n">
        <v>45215</v>
      </c>
      <c r="C984" s="1" t="n">
        <v>45969</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60796-2024</t>
        </is>
      </c>
      <c r="B985" s="1" t="n">
        <v>45642</v>
      </c>
      <c r="C985" s="1" t="n">
        <v>45969</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48202-2025</t>
        </is>
      </c>
      <c r="B986" s="1" t="n">
        <v>45933.48121527778</v>
      </c>
      <c r="C986" s="1" t="n">
        <v>45969</v>
      </c>
      <c r="D986" t="inlineStr">
        <is>
          <t>VÄRMLANDS LÄN</t>
        </is>
      </c>
      <c r="E986" t="inlineStr">
        <is>
          <t>TORSBY</t>
        </is>
      </c>
      <c r="G986" t="n">
        <v>9.4</v>
      </c>
      <c r="H986" t="n">
        <v>0</v>
      </c>
      <c r="I986" t="n">
        <v>0</v>
      </c>
      <c r="J986" t="n">
        <v>0</v>
      </c>
      <c r="K986" t="n">
        <v>0</v>
      </c>
      <c r="L986" t="n">
        <v>0</v>
      </c>
      <c r="M986" t="n">
        <v>0</v>
      </c>
      <c r="N986" t="n">
        <v>0</v>
      </c>
      <c r="O986" t="n">
        <v>0</v>
      </c>
      <c r="P986" t="n">
        <v>0</v>
      </c>
      <c r="Q986" t="n">
        <v>0</v>
      </c>
      <c r="R986" s="2" t="inlineStr"/>
    </row>
    <row r="987" ht="15" customHeight="1">
      <c r="A987" t="inlineStr">
        <is>
          <t>A 10579-2021</t>
        </is>
      </c>
      <c r="B987" s="1" t="n">
        <v>44257</v>
      </c>
      <c r="C987" s="1" t="n">
        <v>45969</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48020-2025</t>
        </is>
      </c>
      <c r="B988" s="1" t="n">
        <v>45932</v>
      </c>
      <c r="C988" s="1" t="n">
        <v>45969</v>
      </c>
      <c r="D988" t="inlineStr">
        <is>
          <t>VÄRMLANDS LÄN</t>
        </is>
      </c>
      <c r="E988" t="inlineStr">
        <is>
          <t>TORSBY</t>
        </is>
      </c>
      <c r="F988" t="inlineStr">
        <is>
          <t>Bergvik skog väst AB</t>
        </is>
      </c>
      <c r="G988" t="n">
        <v>4.5</v>
      </c>
      <c r="H988" t="n">
        <v>0</v>
      </c>
      <c r="I988" t="n">
        <v>0</v>
      </c>
      <c r="J988" t="n">
        <v>0</v>
      </c>
      <c r="K988" t="n">
        <v>0</v>
      </c>
      <c r="L988" t="n">
        <v>0</v>
      </c>
      <c r="M988" t="n">
        <v>0</v>
      </c>
      <c r="N988" t="n">
        <v>0</v>
      </c>
      <c r="O988" t="n">
        <v>0</v>
      </c>
      <c r="P988" t="n">
        <v>0</v>
      </c>
      <c r="Q988" t="n">
        <v>0</v>
      </c>
      <c r="R988" s="2" t="inlineStr"/>
    </row>
    <row r="989" ht="15" customHeight="1">
      <c r="A989" t="inlineStr">
        <is>
          <t>A 14304-2023</t>
        </is>
      </c>
      <c r="B989" s="1" t="n">
        <v>45011.76541666667</v>
      </c>
      <c r="C989" s="1" t="n">
        <v>45969</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11575-2024</t>
        </is>
      </c>
      <c r="B990" s="1" t="n">
        <v>45373</v>
      </c>
      <c r="C990" s="1" t="n">
        <v>45969</v>
      </c>
      <c r="D990" t="inlineStr">
        <is>
          <t>VÄRMLANDS LÄN</t>
        </is>
      </c>
      <c r="E990" t="inlineStr">
        <is>
          <t>TORSBY</t>
        </is>
      </c>
      <c r="G990" t="n">
        <v>14.2</v>
      </c>
      <c r="H990" t="n">
        <v>0</v>
      </c>
      <c r="I990" t="n">
        <v>0</v>
      </c>
      <c r="J990" t="n">
        <v>0</v>
      </c>
      <c r="K990" t="n">
        <v>0</v>
      </c>
      <c r="L990" t="n">
        <v>0</v>
      </c>
      <c r="M990" t="n">
        <v>0</v>
      </c>
      <c r="N990" t="n">
        <v>0</v>
      </c>
      <c r="O990" t="n">
        <v>0</v>
      </c>
      <c r="P990" t="n">
        <v>0</v>
      </c>
      <c r="Q990" t="n">
        <v>0</v>
      </c>
      <c r="R990" s="2" t="inlineStr"/>
    </row>
    <row r="991" ht="15" customHeight="1">
      <c r="A991" t="inlineStr">
        <is>
          <t>A 33078-2024</t>
        </is>
      </c>
      <c r="B991" s="1" t="n">
        <v>45517</v>
      </c>
      <c r="C991" s="1" t="n">
        <v>45969</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57726-2022</t>
        </is>
      </c>
      <c r="B992" s="1" t="n">
        <v>44897.56420138889</v>
      </c>
      <c r="C992" s="1" t="n">
        <v>45969</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46471-2024</t>
        </is>
      </c>
      <c r="B993" s="1" t="n">
        <v>45582.5517824074</v>
      </c>
      <c r="C993" s="1" t="n">
        <v>45969</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31351-2024</t>
        </is>
      </c>
      <c r="B994" s="1" t="n">
        <v>45505</v>
      </c>
      <c r="C994" s="1" t="n">
        <v>45969</v>
      </c>
      <c r="D994" t="inlineStr">
        <is>
          <t>VÄRMLANDS LÄN</t>
        </is>
      </c>
      <c r="E994" t="inlineStr">
        <is>
          <t>TORSBY</t>
        </is>
      </c>
      <c r="F994" t="inlineStr">
        <is>
          <t>Kyrkan</t>
        </is>
      </c>
      <c r="G994" t="n">
        <v>6.5</v>
      </c>
      <c r="H994" t="n">
        <v>0</v>
      </c>
      <c r="I994" t="n">
        <v>0</v>
      </c>
      <c r="J994" t="n">
        <v>0</v>
      </c>
      <c r="K994" t="n">
        <v>0</v>
      </c>
      <c r="L994" t="n">
        <v>0</v>
      </c>
      <c r="M994" t="n">
        <v>0</v>
      </c>
      <c r="N994" t="n">
        <v>0</v>
      </c>
      <c r="O994" t="n">
        <v>0</v>
      </c>
      <c r="P994" t="n">
        <v>0</v>
      </c>
      <c r="Q994" t="n">
        <v>0</v>
      </c>
      <c r="R994" s="2" t="inlineStr"/>
    </row>
    <row r="995" ht="15" customHeight="1">
      <c r="A995" t="inlineStr">
        <is>
          <t>A 32332-2023</t>
        </is>
      </c>
      <c r="B995" s="1" t="n">
        <v>45110</v>
      </c>
      <c r="C995" s="1" t="n">
        <v>45969</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36879-2024</t>
        </is>
      </c>
      <c r="B996" s="1" t="n">
        <v>45538</v>
      </c>
      <c r="C996" s="1" t="n">
        <v>45969</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15085-2023</t>
        </is>
      </c>
      <c r="B997" s="1" t="n">
        <v>45016</v>
      </c>
      <c r="C997" s="1" t="n">
        <v>45969</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71679-2021</t>
        </is>
      </c>
      <c r="B998" s="1" t="n">
        <v>44543</v>
      </c>
      <c r="C998" s="1" t="n">
        <v>45969</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13207-2022</t>
        </is>
      </c>
      <c r="B999" s="1" t="n">
        <v>44644.56116898148</v>
      </c>
      <c r="C999" s="1" t="n">
        <v>45969</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44424-2024</t>
        </is>
      </c>
      <c r="B1000" s="1" t="n">
        <v>45573</v>
      </c>
      <c r="C1000" s="1" t="n">
        <v>45969</v>
      </c>
      <c r="D1000" t="inlineStr">
        <is>
          <t>VÄRMLANDS LÄN</t>
        </is>
      </c>
      <c r="E1000" t="inlineStr">
        <is>
          <t>TORSBY</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40470-2023</t>
        </is>
      </c>
      <c r="B1001" s="1" t="n">
        <v>45170</v>
      </c>
      <c r="C1001" s="1" t="n">
        <v>45969</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47452-2024</t>
        </is>
      </c>
      <c r="B1002" s="1" t="n">
        <v>45587</v>
      </c>
      <c r="C1002" s="1" t="n">
        <v>45969</v>
      </c>
      <c r="D1002" t="inlineStr">
        <is>
          <t>VÄRMLANDS LÄN</t>
        </is>
      </c>
      <c r="E1002" t="inlineStr">
        <is>
          <t>TORSBY</t>
        </is>
      </c>
      <c r="F1002" t="inlineStr">
        <is>
          <t>Övriga Aktiebolag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51386-2023</t>
        </is>
      </c>
      <c r="B1003" s="1" t="n">
        <v>45219.65394675926</v>
      </c>
      <c r="C1003" s="1" t="n">
        <v>45969</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70785-2021</t>
        </is>
      </c>
      <c r="B1004" s="1" t="n">
        <v>44537</v>
      </c>
      <c r="C1004" s="1" t="n">
        <v>45969</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38914-2022</t>
        </is>
      </c>
      <c r="B1005" s="1" t="n">
        <v>44816.61194444444</v>
      </c>
      <c r="C1005" s="1" t="n">
        <v>45969</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62574-2022</t>
        </is>
      </c>
      <c r="B1006" s="1" t="n">
        <v>44924.85943287037</v>
      </c>
      <c r="C1006" s="1" t="n">
        <v>45969</v>
      </c>
      <c r="D1006" t="inlineStr">
        <is>
          <t>VÄRMLANDS LÄN</t>
        </is>
      </c>
      <c r="E1006" t="inlineStr">
        <is>
          <t>TORSBY</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3542-2023</t>
        </is>
      </c>
      <c r="B1007" s="1" t="n">
        <v>44950</v>
      </c>
      <c r="C1007" s="1" t="n">
        <v>45969</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1997-2025</t>
        </is>
      </c>
      <c r="B1008" s="1" t="n">
        <v>45672.44431712963</v>
      </c>
      <c r="C1008" s="1" t="n">
        <v>45969</v>
      </c>
      <c r="D1008" t="inlineStr">
        <is>
          <t>VÄRMLANDS LÄN</t>
        </is>
      </c>
      <c r="E1008" t="inlineStr">
        <is>
          <t>TORSBY</t>
        </is>
      </c>
      <c r="G1008" t="n">
        <v>20.1</v>
      </c>
      <c r="H1008" t="n">
        <v>0</v>
      </c>
      <c r="I1008" t="n">
        <v>0</v>
      </c>
      <c r="J1008" t="n">
        <v>0</v>
      </c>
      <c r="K1008" t="n">
        <v>0</v>
      </c>
      <c r="L1008" t="n">
        <v>0</v>
      </c>
      <c r="M1008" t="n">
        <v>0</v>
      </c>
      <c r="N1008" t="n">
        <v>0</v>
      </c>
      <c r="O1008" t="n">
        <v>0</v>
      </c>
      <c r="P1008" t="n">
        <v>0</v>
      </c>
      <c r="Q1008" t="n">
        <v>0</v>
      </c>
      <c r="R1008" s="2" t="inlineStr"/>
    </row>
    <row r="1009" ht="15" customHeight="1">
      <c r="A1009" t="inlineStr">
        <is>
          <t>A 3678-2024</t>
        </is>
      </c>
      <c r="B1009" s="1" t="n">
        <v>45321.37844907407</v>
      </c>
      <c r="C1009" s="1" t="n">
        <v>45969</v>
      </c>
      <c r="D1009" t="inlineStr">
        <is>
          <t>VÄRMLANDS LÄN</t>
        </is>
      </c>
      <c r="E1009" t="inlineStr">
        <is>
          <t>TORSBY</t>
        </is>
      </c>
      <c r="G1009" t="n">
        <v>24.6</v>
      </c>
      <c r="H1009" t="n">
        <v>0</v>
      </c>
      <c r="I1009" t="n">
        <v>0</v>
      </c>
      <c r="J1009" t="n">
        <v>0</v>
      </c>
      <c r="K1009" t="n">
        <v>0</v>
      </c>
      <c r="L1009" t="n">
        <v>0</v>
      </c>
      <c r="M1009" t="n">
        <v>0</v>
      </c>
      <c r="N1009" t="n">
        <v>0</v>
      </c>
      <c r="O1009" t="n">
        <v>0</v>
      </c>
      <c r="P1009" t="n">
        <v>0</v>
      </c>
      <c r="Q1009" t="n">
        <v>0</v>
      </c>
      <c r="R1009" s="2" t="inlineStr"/>
    </row>
    <row r="1010" ht="15" customHeight="1">
      <c r="A1010" t="inlineStr">
        <is>
          <t>A 59781-2023</t>
        </is>
      </c>
      <c r="B1010" s="1" t="n">
        <v>45257.44043981482</v>
      </c>
      <c r="C1010" s="1" t="n">
        <v>45969</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8284-2023</t>
        </is>
      </c>
      <c r="B1011" s="1" t="n">
        <v>44974.64714120371</v>
      </c>
      <c r="C1011" s="1" t="n">
        <v>45969</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45812-2024</t>
        </is>
      </c>
      <c r="B1012" s="1" t="n">
        <v>45579</v>
      </c>
      <c r="C1012" s="1" t="n">
        <v>45969</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45849-2024</t>
        </is>
      </c>
      <c r="B1013" s="1" t="n">
        <v>45580</v>
      </c>
      <c r="C1013" s="1" t="n">
        <v>45969</v>
      </c>
      <c r="D1013" t="inlineStr">
        <is>
          <t>VÄRMLANDS LÄN</t>
        </is>
      </c>
      <c r="E1013" t="inlineStr">
        <is>
          <t>TORSBY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53297-2024</t>
        </is>
      </c>
      <c r="B1014" s="1" t="n">
        <v>45614.38802083334</v>
      </c>
      <c r="C1014" s="1" t="n">
        <v>45969</v>
      </c>
      <c r="D1014" t="inlineStr">
        <is>
          <t>VÄRMLANDS LÄN</t>
        </is>
      </c>
      <c r="E1014" t="inlineStr">
        <is>
          <t>TORSBY</t>
        </is>
      </c>
      <c r="F1014" t="inlineStr">
        <is>
          <t>Bergvik skog väst AB</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8016-2023</t>
        </is>
      </c>
      <c r="B1015" s="1" t="n">
        <v>44973</v>
      </c>
      <c r="C1015" s="1" t="n">
        <v>45969</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53368-2024</t>
        </is>
      </c>
      <c r="B1016" s="1" t="n">
        <v>45614</v>
      </c>
      <c r="C1016" s="1" t="n">
        <v>45969</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1947-2023</t>
        </is>
      </c>
      <c r="B1017" s="1" t="n">
        <v>44939</v>
      </c>
      <c r="C1017" s="1" t="n">
        <v>45969</v>
      </c>
      <c r="D1017" t="inlineStr">
        <is>
          <t>VÄRMLANDS LÄN</t>
        </is>
      </c>
      <c r="E1017" t="inlineStr">
        <is>
          <t>TORSBY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34961-2024</t>
        </is>
      </c>
      <c r="B1018" s="1" t="n">
        <v>45527.48923611111</v>
      </c>
      <c r="C1018" s="1" t="n">
        <v>45969</v>
      </c>
      <c r="D1018" t="inlineStr">
        <is>
          <t>VÄRMLANDS LÄN</t>
        </is>
      </c>
      <c r="E1018" t="inlineStr">
        <is>
          <t>TORSBY</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14026-2025</t>
        </is>
      </c>
      <c r="B1019" s="1" t="n">
        <v>45740.35003472222</v>
      </c>
      <c r="C1019" s="1" t="n">
        <v>45969</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42615-2021</t>
        </is>
      </c>
      <c r="B1020" s="1" t="n">
        <v>44428</v>
      </c>
      <c r="C1020" s="1" t="n">
        <v>45969</v>
      </c>
      <c r="D1020" t="inlineStr">
        <is>
          <t>VÄRMLANDS LÄN</t>
        </is>
      </c>
      <c r="E1020" t="inlineStr">
        <is>
          <t>TORSBY</t>
        </is>
      </c>
      <c r="F1020" t="inlineStr">
        <is>
          <t>Bergvik skog väst AB</t>
        </is>
      </c>
      <c r="G1020" t="n">
        <v>37.2</v>
      </c>
      <c r="H1020" t="n">
        <v>0</v>
      </c>
      <c r="I1020" t="n">
        <v>0</v>
      </c>
      <c r="J1020" t="n">
        <v>0</v>
      </c>
      <c r="K1020" t="n">
        <v>0</v>
      </c>
      <c r="L1020" t="n">
        <v>0</v>
      </c>
      <c r="M1020" t="n">
        <v>0</v>
      </c>
      <c r="N1020" t="n">
        <v>0</v>
      </c>
      <c r="O1020" t="n">
        <v>0</v>
      </c>
      <c r="P1020" t="n">
        <v>0</v>
      </c>
      <c r="Q1020" t="n">
        <v>0</v>
      </c>
      <c r="R1020" s="2" t="inlineStr"/>
    </row>
    <row r="1021" ht="15" customHeight="1">
      <c r="A1021" t="inlineStr">
        <is>
          <t>A 39919-2025</t>
        </is>
      </c>
      <c r="B1021" s="1" t="n">
        <v>45891.66664351852</v>
      </c>
      <c r="C1021" s="1" t="n">
        <v>45969</v>
      </c>
      <c r="D1021" t="inlineStr">
        <is>
          <t>VÄRMLANDS LÄN</t>
        </is>
      </c>
      <c r="E1021" t="inlineStr">
        <is>
          <t>TORSBY</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6828-2024</t>
        </is>
      </c>
      <c r="B1022" s="1" t="n">
        <v>45342</v>
      </c>
      <c r="C1022" s="1" t="n">
        <v>45969</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54489-2024</t>
        </is>
      </c>
      <c r="B1023" s="1" t="n">
        <v>45617.56674768519</v>
      </c>
      <c r="C1023" s="1" t="n">
        <v>45969</v>
      </c>
      <c r="D1023" t="inlineStr">
        <is>
          <t>VÄRMLANDS LÄN</t>
        </is>
      </c>
      <c r="E1023" t="inlineStr">
        <is>
          <t>TORSBY</t>
        </is>
      </c>
      <c r="F1023" t="inlineStr">
        <is>
          <t>Bergvik skog väst AB</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20968-2024</t>
        </is>
      </c>
      <c r="B1024" s="1" t="n">
        <v>45439</v>
      </c>
      <c r="C1024" s="1" t="n">
        <v>45969</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12933-2023</t>
        </is>
      </c>
      <c r="B1025" s="1" t="n">
        <v>45001</v>
      </c>
      <c r="C1025" s="1" t="n">
        <v>45969</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41631-2024</t>
        </is>
      </c>
      <c r="B1026" s="1" t="n">
        <v>45560</v>
      </c>
      <c r="C1026" s="1" t="n">
        <v>45969</v>
      </c>
      <c r="D1026" t="inlineStr">
        <is>
          <t>VÄRMLANDS LÄN</t>
        </is>
      </c>
      <c r="E1026" t="inlineStr">
        <is>
          <t>TORSBY</t>
        </is>
      </c>
      <c r="F1026" t="inlineStr">
        <is>
          <t>Bergvik skog väst AB</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66459-2020</t>
        </is>
      </c>
      <c r="B1027" s="1" t="n">
        <v>44176</v>
      </c>
      <c r="C1027" s="1" t="n">
        <v>45969</v>
      </c>
      <c r="D1027" t="inlineStr">
        <is>
          <t>VÄRMLANDS LÄN</t>
        </is>
      </c>
      <c r="E1027" t="inlineStr">
        <is>
          <t>TORSBY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63083-2023</t>
        </is>
      </c>
      <c r="B1028" s="1" t="n">
        <v>45273.348125</v>
      </c>
      <c r="C1028" s="1" t="n">
        <v>45969</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21542-2024</t>
        </is>
      </c>
      <c r="B1029" s="1" t="n">
        <v>45441</v>
      </c>
      <c r="C1029" s="1" t="n">
        <v>45969</v>
      </c>
      <c r="D1029" t="inlineStr">
        <is>
          <t>VÄRMLANDS LÄN</t>
        </is>
      </c>
      <c r="E1029" t="inlineStr">
        <is>
          <t>TORSBY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44670-2023</t>
        </is>
      </c>
      <c r="B1030" s="1" t="n">
        <v>45189</v>
      </c>
      <c r="C1030" s="1" t="n">
        <v>45969</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40034-2025</t>
        </is>
      </c>
      <c r="B1031" s="1" t="n">
        <v>45894.38159722222</v>
      </c>
      <c r="C1031" s="1" t="n">
        <v>45969</v>
      </c>
      <c r="D1031" t="inlineStr">
        <is>
          <t>VÄRMLANDS LÄN</t>
        </is>
      </c>
      <c r="E1031" t="inlineStr">
        <is>
          <t>TORSBY</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53652-2023</t>
        </is>
      </c>
      <c r="B1032" s="1" t="n">
        <v>45224</v>
      </c>
      <c r="C1032" s="1" t="n">
        <v>45969</v>
      </c>
      <c r="D1032" t="inlineStr">
        <is>
          <t>VÄRMLANDS LÄN</t>
        </is>
      </c>
      <c r="E1032" t="inlineStr">
        <is>
          <t>TORSBY</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39845-2025</t>
        </is>
      </c>
      <c r="B1033" s="1" t="n">
        <v>45891</v>
      </c>
      <c r="C1033" s="1" t="n">
        <v>45969</v>
      </c>
      <c r="D1033" t="inlineStr">
        <is>
          <t>VÄRMLANDS LÄN</t>
        </is>
      </c>
      <c r="E1033" t="inlineStr">
        <is>
          <t>TORSBY</t>
        </is>
      </c>
      <c r="F1033" t="inlineStr">
        <is>
          <t>Bergvik skog väst AB</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59080-2024</t>
        </is>
      </c>
      <c r="B1034" s="1" t="n">
        <v>45637</v>
      </c>
      <c r="C1034" s="1" t="n">
        <v>45969</v>
      </c>
      <c r="D1034" t="inlineStr">
        <is>
          <t>VÄRMLANDS LÄN</t>
        </is>
      </c>
      <c r="E1034" t="inlineStr">
        <is>
          <t>TORSBY</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58430-2023</t>
        </is>
      </c>
      <c r="B1035" s="1" t="n">
        <v>45250.80646990741</v>
      </c>
      <c r="C1035" s="1" t="n">
        <v>45969</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29043-2023</t>
        </is>
      </c>
      <c r="B1036" s="1" t="n">
        <v>45104</v>
      </c>
      <c r="C1036" s="1" t="n">
        <v>45969</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5763-2023</t>
        </is>
      </c>
      <c r="B1037" s="1" t="n">
        <v>44963.36383101852</v>
      </c>
      <c r="C1037" s="1" t="n">
        <v>45969</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48375-2025</t>
        </is>
      </c>
      <c r="B1038" s="1" t="n">
        <v>45933.71201388889</v>
      </c>
      <c r="C1038" s="1" t="n">
        <v>45969</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33072-2023</t>
        </is>
      </c>
      <c r="B1039" s="1" t="n">
        <v>45126</v>
      </c>
      <c r="C1039" s="1" t="n">
        <v>45969</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39743-2025</t>
        </is>
      </c>
      <c r="B1040" s="1" t="n">
        <v>45891</v>
      </c>
      <c r="C1040" s="1" t="n">
        <v>45969</v>
      </c>
      <c r="D1040" t="inlineStr">
        <is>
          <t>VÄRMLANDS LÄN</t>
        </is>
      </c>
      <c r="E1040" t="inlineStr">
        <is>
          <t>TORSBY</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65134-2023</t>
        </is>
      </c>
      <c r="B1041" s="1" t="n">
        <v>45288.52010416667</v>
      </c>
      <c r="C1041" s="1" t="n">
        <v>45969</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68603-2020</t>
        </is>
      </c>
      <c r="B1042" s="1" t="n">
        <v>44186</v>
      </c>
      <c r="C1042" s="1" t="n">
        <v>45969</v>
      </c>
      <c r="D1042" t="inlineStr">
        <is>
          <t>VÄRMLANDS LÄN</t>
        </is>
      </c>
      <c r="E1042" t="inlineStr">
        <is>
          <t>TORSBY</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48180-2025</t>
        </is>
      </c>
      <c r="B1043" s="1" t="n">
        <v>45933.45245370371</v>
      </c>
      <c r="C1043" s="1" t="n">
        <v>45969</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54822-2023</t>
        </is>
      </c>
      <c r="B1044" s="1" t="n">
        <v>45229</v>
      </c>
      <c r="C1044" s="1" t="n">
        <v>45969</v>
      </c>
      <c r="D1044" t="inlineStr">
        <is>
          <t>VÄRMLANDS LÄN</t>
        </is>
      </c>
      <c r="E1044" t="inlineStr">
        <is>
          <t>TORSBY</t>
        </is>
      </c>
      <c r="F1044" t="inlineStr">
        <is>
          <t>Övriga Aktiebolag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61367-2022</t>
        </is>
      </c>
      <c r="B1045" s="1" t="n">
        <v>44915.82997685186</v>
      </c>
      <c r="C1045" s="1" t="n">
        <v>45969</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15660-2025</t>
        </is>
      </c>
      <c r="B1046" s="1" t="n">
        <v>45748</v>
      </c>
      <c r="C1046" s="1" t="n">
        <v>45969</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6068-2021</t>
        </is>
      </c>
      <c r="B1047" s="1" t="n">
        <v>44232</v>
      </c>
      <c r="C1047" s="1" t="n">
        <v>45969</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40971-2023</t>
        </is>
      </c>
      <c r="B1048" s="1" t="n">
        <v>45173</v>
      </c>
      <c r="C1048" s="1" t="n">
        <v>45969</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53396-2024</t>
        </is>
      </c>
      <c r="B1049" s="1" t="n">
        <v>45614</v>
      </c>
      <c r="C1049" s="1" t="n">
        <v>45969</v>
      </c>
      <c r="D1049" t="inlineStr">
        <is>
          <t>VÄRMLANDS LÄN</t>
        </is>
      </c>
      <c r="E1049" t="inlineStr">
        <is>
          <t>TORSBY</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3223-2025</t>
        </is>
      </c>
      <c r="B1050" s="1" t="n">
        <v>45679</v>
      </c>
      <c r="C1050" s="1" t="n">
        <v>45969</v>
      </c>
      <c r="D1050" t="inlineStr">
        <is>
          <t>VÄRMLANDS LÄN</t>
        </is>
      </c>
      <c r="E1050" t="inlineStr">
        <is>
          <t>TORSBY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3226-2025</t>
        </is>
      </c>
      <c r="B1051" s="1" t="n">
        <v>45679.48003472222</v>
      </c>
      <c r="C1051" s="1" t="n">
        <v>45969</v>
      </c>
      <c r="D1051" t="inlineStr">
        <is>
          <t>VÄRMLANDS LÄN</t>
        </is>
      </c>
      <c r="E1051" t="inlineStr">
        <is>
          <t>TORSBY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8728-2024</t>
        </is>
      </c>
      <c r="B1052" s="1" t="n">
        <v>45356.42799768518</v>
      </c>
      <c r="C1052" s="1" t="n">
        <v>45969</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14917-2023</t>
        </is>
      </c>
      <c r="B1053" s="1" t="n">
        <v>45015.39938657408</v>
      </c>
      <c r="C1053" s="1" t="n">
        <v>45969</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49936-2024</t>
        </is>
      </c>
      <c r="B1054" s="1" t="n">
        <v>45597</v>
      </c>
      <c r="C1054" s="1" t="n">
        <v>45969</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9704-2025</t>
        </is>
      </c>
      <c r="B1055" s="1" t="n">
        <v>45716.38378472222</v>
      </c>
      <c r="C1055" s="1" t="n">
        <v>45969</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47619-2024</t>
        </is>
      </c>
      <c r="B1056" s="1" t="n">
        <v>45588.32371527778</v>
      </c>
      <c r="C1056" s="1" t="n">
        <v>45969</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60477-2024</t>
        </is>
      </c>
      <c r="B1057" s="1" t="n">
        <v>45643</v>
      </c>
      <c r="C1057" s="1" t="n">
        <v>45969</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11242-2024</t>
        </is>
      </c>
      <c r="B1058" s="1" t="n">
        <v>45371</v>
      </c>
      <c r="C1058" s="1" t="n">
        <v>45969</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73521-2021</t>
        </is>
      </c>
      <c r="B1059" s="1" t="n">
        <v>44551</v>
      </c>
      <c r="C1059" s="1" t="n">
        <v>45969</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11776-2024</t>
        </is>
      </c>
      <c r="B1060" s="1" t="n">
        <v>45374</v>
      </c>
      <c r="C1060" s="1" t="n">
        <v>45969</v>
      </c>
      <c r="D1060" t="inlineStr">
        <is>
          <t>VÄRMLANDS LÄN</t>
        </is>
      </c>
      <c r="E1060" t="inlineStr">
        <is>
          <t>TORSBY</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58727-2021</t>
        </is>
      </c>
      <c r="B1061" s="1" t="n">
        <v>44489.49052083334</v>
      </c>
      <c r="C1061" s="1" t="n">
        <v>45969</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9286-2025</t>
        </is>
      </c>
      <c r="B1062" s="1" t="n">
        <v>45714</v>
      </c>
      <c r="C1062" s="1" t="n">
        <v>45969</v>
      </c>
      <c r="D1062" t="inlineStr">
        <is>
          <t>VÄRMLANDS LÄN</t>
        </is>
      </c>
      <c r="E1062" t="inlineStr">
        <is>
          <t>TORSBY</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31052-2023</t>
        </is>
      </c>
      <c r="B1063" s="1" t="n">
        <v>45113</v>
      </c>
      <c r="C1063" s="1" t="n">
        <v>45969</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13785-2023</t>
        </is>
      </c>
      <c r="B1064" s="1" t="n">
        <v>45007</v>
      </c>
      <c r="C1064" s="1" t="n">
        <v>45969</v>
      </c>
      <c r="D1064" t="inlineStr">
        <is>
          <t>VÄRMLANDS LÄN</t>
        </is>
      </c>
      <c r="E1064" t="inlineStr">
        <is>
          <t>TORSBY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10218-2023</t>
        </is>
      </c>
      <c r="B1065" s="1" t="n">
        <v>44986.59697916666</v>
      </c>
      <c r="C1065" s="1" t="n">
        <v>45969</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44423-2024</t>
        </is>
      </c>
      <c r="B1066" s="1" t="n">
        <v>45573</v>
      </c>
      <c r="C1066" s="1" t="n">
        <v>45969</v>
      </c>
      <c r="D1066" t="inlineStr">
        <is>
          <t>VÄRMLANDS LÄN</t>
        </is>
      </c>
      <c r="E1066" t="inlineStr">
        <is>
          <t>TORSBY</t>
        </is>
      </c>
      <c r="G1066" t="n">
        <v>34.1</v>
      </c>
      <c r="H1066" t="n">
        <v>0</v>
      </c>
      <c r="I1066" t="n">
        <v>0</v>
      </c>
      <c r="J1066" t="n">
        <v>0</v>
      </c>
      <c r="K1066" t="n">
        <v>0</v>
      </c>
      <c r="L1066" t="n">
        <v>0</v>
      </c>
      <c r="M1066" t="n">
        <v>0</v>
      </c>
      <c r="N1066" t="n">
        <v>0</v>
      </c>
      <c r="O1066" t="n">
        <v>0</v>
      </c>
      <c r="P1066" t="n">
        <v>0</v>
      </c>
      <c r="Q1066" t="n">
        <v>0</v>
      </c>
      <c r="R1066" s="2" t="inlineStr"/>
    </row>
    <row r="1067" ht="15" customHeight="1">
      <c r="A1067" t="inlineStr">
        <is>
          <t>A 2576-2021</t>
        </is>
      </c>
      <c r="B1067" s="1" t="n">
        <v>44214</v>
      </c>
      <c r="C1067" s="1" t="n">
        <v>45969</v>
      </c>
      <c r="D1067" t="inlineStr">
        <is>
          <t>VÄRMLANDS LÄN</t>
        </is>
      </c>
      <c r="E1067" t="inlineStr">
        <is>
          <t>TORSBY</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60133-2023</t>
        </is>
      </c>
      <c r="B1068" s="1" t="n">
        <v>45258</v>
      </c>
      <c r="C1068" s="1" t="n">
        <v>45969</v>
      </c>
      <c r="D1068" t="inlineStr">
        <is>
          <t>VÄRMLANDS LÄN</t>
        </is>
      </c>
      <c r="E1068" t="inlineStr">
        <is>
          <t>TORSBY</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15154-2025</t>
        </is>
      </c>
      <c r="B1069" s="1" t="n">
        <v>45744.46157407408</v>
      </c>
      <c r="C1069" s="1" t="n">
        <v>45969</v>
      </c>
      <c r="D1069" t="inlineStr">
        <is>
          <t>VÄRMLANDS LÄN</t>
        </is>
      </c>
      <c r="E1069" t="inlineStr">
        <is>
          <t>TORSBY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45969</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10589-2024</t>
        </is>
      </c>
      <c r="B1071" s="1" t="n">
        <v>45366</v>
      </c>
      <c r="C1071" s="1" t="n">
        <v>45969</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35777-2024</t>
        </is>
      </c>
      <c r="B1072" s="1" t="n">
        <v>45532</v>
      </c>
      <c r="C1072" s="1" t="n">
        <v>45969</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9057-2022</t>
        </is>
      </c>
      <c r="B1073" s="1" t="n">
        <v>44615</v>
      </c>
      <c r="C1073" s="1" t="n">
        <v>45969</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2130-2024</t>
        </is>
      </c>
      <c r="B1074" s="1" t="n">
        <v>45309.51518518518</v>
      </c>
      <c r="C1074" s="1" t="n">
        <v>45969</v>
      </c>
      <c r="D1074" t="inlineStr">
        <is>
          <t>VÄRMLANDS LÄN</t>
        </is>
      </c>
      <c r="E1074" t="inlineStr">
        <is>
          <t>TORSBY</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8979-2025</t>
        </is>
      </c>
      <c r="B1075" s="1" t="n">
        <v>45713</v>
      </c>
      <c r="C1075" s="1" t="n">
        <v>45969</v>
      </c>
      <c r="D1075" t="inlineStr">
        <is>
          <t>VÄRMLANDS LÄN</t>
        </is>
      </c>
      <c r="E1075" t="inlineStr">
        <is>
          <t>TORSBY</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234-2024</t>
        </is>
      </c>
      <c r="B1076" s="1" t="n">
        <v>45294.8253587963</v>
      </c>
      <c r="C1076" s="1" t="n">
        <v>45969</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236-2024</t>
        </is>
      </c>
      <c r="B1077" s="1" t="n">
        <v>45294.85927083333</v>
      </c>
      <c r="C1077" s="1" t="n">
        <v>45969</v>
      </c>
      <c r="D1077" t="inlineStr">
        <is>
          <t>VÄRMLANDS LÄN</t>
        </is>
      </c>
      <c r="E1077" t="inlineStr">
        <is>
          <t>TORSBY</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62210-2023</t>
        </is>
      </c>
      <c r="B1078" s="1" t="n">
        <v>45267.49430555556</v>
      </c>
      <c r="C1078" s="1" t="n">
        <v>45969</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56811-2023</t>
        </is>
      </c>
      <c r="B1079" s="1" t="n">
        <v>45244</v>
      </c>
      <c r="C1079" s="1" t="n">
        <v>45969</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40128-2025</t>
        </is>
      </c>
      <c r="B1080" s="1" t="n">
        <v>45894</v>
      </c>
      <c r="C1080" s="1" t="n">
        <v>45969</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16949-2025</t>
        </is>
      </c>
      <c r="B1081" s="1" t="n">
        <v>45755</v>
      </c>
      <c r="C1081" s="1" t="n">
        <v>45969</v>
      </c>
      <c r="D1081" t="inlineStr">
        <is>
          <t>VÄRMLANDS LÄN</t>
        </is>
      </c>
      <c r="E1081" t="inlineStr">
        <is>
          <t>TORSBY</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27346-2024</t>
        </is>
      </c>
      <c r="B1082" s="1" t="n">
        <v>45473.58984953703</v>
      </c>
      <c r="C1082" s="1" t="n">
        <v>45969</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27349-2024</t>
        </is>
      </c>
      <c r="B1083" s="1" t="n">
        <v>45473.65679398148</v>
      </c>
      <c r="C1083" s="1" t="n">
        <v>45969</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64672-2023</t>
        </is>
      </c>
      <c r="B1084" s="1" t="n">
        <v>45281.61913194445</v>
      </c>
      <c r="C1084" s="1" t="n">
        <v>45969</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45548-2024</t>
        </is>
      </c>
      <c r="B1085" s="1" t="n">
        <v>45579</v>
      </c>
      <c r="C1085" s="1" t="n">
        <v>45969</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3922-2024</t>
        </is>
      </c>
      <c r="B1086" s="1" t="n">
        <v>45322.57271990741</v>
      </c>
      <c r="C1086" s="1" t="n">
        <v>45969</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17554-2023</t>
        </is>
      </c>
      <c r="B1087" s="1" t="n">
        <v>45034</v>
      </c>
      <c r="C1087" s="1" t="n">
        <v>45969</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48185-2024</t>
        </is>
      </c>
      <c r="B1088" s="1" t="n">
        <v>45589.90284722222</v>
      </c>
      <c r="C1088" s="1" t="n">
        <v>45969</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22943-2023</t>
        </is>
      </c>
      <c r="B1089" s="1" t="n">
        <v>45072</v>
      </c>
      <c r="C1089" s="1" t="n">
        <v>45969</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22301-2023</t>
        </is>
      </c>
      <c r="B1090" s="1" t="n">
        <v>45070</v>
      </c>
      <c r="C1090" s="1" t="n">
        <v>45969</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11050-2022</t>
        </is>
      </c>
      <c r="B1091" s="1" t="n">
        <v>44628.60393518519</v>
      </c>
      <c r="C1091" s="1" t="n">
        <v>45969</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33862-2024</t>
        </is>
      </c>
      <c r="B1092" s="1" t="n">
        <v>45520.69163194444</v>
      </c>
      <c r="C1092" s="1" t="n">
        <v>45969</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13262-2024</t>
        </is>
      </c>
      <c r="B1093" s="1" t="n">
        <v>45386.59236111111</v>
      </c>
      <c r="C1093" s="1" t="n">
        <v>45969</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24965-2023</t>
        </is>
      </c>
      <c r="B1094" s="1" t="n">
        <v>45085</v>
      </c>
      <c r="C1094" s="1" t="n">
        <v>45969</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24969-2023</t>
        </is>
      </c>
      <c r="B1095" s="1" t="n">
        <v>45085.61429398148</v>
      </c>
      <c r="C1095" s="1" t="n">
        <v>45969</v>
      </c>
      <c r="D1095" t="inlineStr">
        <is>
          <t>VÄRMLANDS LÄN</t>
        </is>
      </c>
      <c r="E1095" t="inlineStr">
        <is>
          <t>TORSBY</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15126-2024</t>
        </is>
      </c>
      <c r="B1096" s="1" t="n">
        <v>45399</v>
      </c>
      <c r="C1096" s="1" t="n">
        <v>45969</v>
      </c>
      <c r="D1096" t="inlineStr">
        <is>
          <t>VÄRMLANDS LÄN</t>
        </is>
      </c>
      <c r="E1096" t="inlineStr">
        <is>
          <t>TORSBY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15127-2024</t>
        </is>
      </c>
      <c r="B1097" s="1" t="n">
        <v>45399.76815972223</v>
      </c>
      <c r="C1097" s="1" t="n">
        <v>45969</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34500-2024</t>
        </is>
      </c>
      <c r="B1098" s="1" t="n">
        <v>45525</v>
      </c>
      <c r="C1098" s="1" t="n">
        <v>45969</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45969</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9793-2024</t>
        </is>
      </c>
      <c r="B1100" s="1" t="n">
        <v>45362.71013888889</v>
      </c>
      <c r="C1100" s="1" t="n">
        <v>45969</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47651-2024</t>
        </is>
      </c>
      <c r="B1101" s="1" t="n">
        <v>45588</v>
      </c>
      <c r="C1101" s="1" t="n">
        <v>45969</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18682-2024</t>
        </is>
      </c>
      <c r="B1102" s="1" t="n">
        <v>45426.37251157407</v>
      </c>
      <c r="C1102" s="1" t="n">
        <v>45969</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1166-2023</t>
        </is>
      </c>
      <c r="B1103" s="1" t="n">
        <v>44935</v>
      </c>
      <c r="C1103" s="1" t="n">
        <v>45969</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200-2025</t>
        </is>
      </c>
      <c r="B1104" s="1" t="n">
        <v>45659.93418981481</v>
      </c>
      <c r="C1104" s="1" t="n">
        <v>45969</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39768-2024</t>
        </is>
      </c>
      <c r="B1105" s="1" t="n">
        <v>45552</v>
      </c>
      <c r="C1105" s="1" t="n">
        <v>45969</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51836-2024</t>
        </is>
      </c>
      <c r="B1106" s="1" t="n">
        <v>45607</v>
      </c>
      <c r="C1106" s="1" t="n">
        <v>45969</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5814-2024</t>
        </is>
      </c>
      <c r="B1107" s="1" t="n">
        <v>45335</v>
      </c>
      <c r="C1107" s="1" t="n">
        <v>45969</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43538-2024</t>
        </is>
      </c>
      <c r="B1108" s="1" t="n">
        <v>45569.36136574074</v>
      </c>
      <c r="C1108" s="1" t="n">
        <v>45969</v>
      </c>
      <c r="D1108" t="inlineStr">
        <is>
          <t>VÄRMLANDS LÄN</t>
        </is>
      </c>
      <c r="E1108" t="inlineStr">
        <is>
          <t>TORSBY</t>
        </is>
      </c>
      <c r="F1108" t="inlineStr">
        <is>
          <t>Bergvik skog väst AB</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3672-2024</t>
        </is>
      </c>
      <c r="B1109" s="1" t="n">
        <v>45321.36465277777</v>
      </c>
      <c r="C1109" s="1" t="n">
        <v>45969</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48253-2024</t>
        </is>
      </c>
      <c r="B1110" s="1" t="n">
        <v>45590</v>
      </c>
      <c r="C1110" s="1" t="n">
        <v>45969</v>
      </c>
      <c r="D1110" t="inlineStr">
        <is>
          <t>VÄRMLANDS LÄN</t>
        </is>
      </c>
      <c r="E1110" t="inlineStr">
        <is>
          <t>TORSBY</t>
        </is>
      </c>
      <c r="F1110" t="inlineStr">
        <is>
          <t>Bergvik skog väst AB</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33469-2024</t>
        </is>
      </c>
      <c r="B1111" s="1" t="n">
        <v>45519.5996875</v>
      </c>
      <c r="C1111" s="1" t="n">
        <v>45969</v>
      </c>
      <c r="D1111" t="inlineStr">
        <is>
          <t>VÄRMLANDS LÄN</t>
        </is>
      </c>
      <c r="E1111" t="inlineStr">
        <is>
          <t>TORSBY</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48499-2025</t>
        </is>
      </c>
      <c r="B1112" s="1" t="n">
        <v>45936.37533564815</v>
      </c>
      <c r="C1112" s="1" t="n">
        <v>45969</v>
      </c>
      <c r="D1112" t="inlineStr">
        <is>
          <t>VÄRMLANDS LÄN</t>
        </is>
      </c>
      <c r="E1112" t="inlineStr">
        <is>
          <t>TORSBY</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2009-2025</t>
        </is>
      </c>
      <c r="B1113" s="1" t="n">
        <v>45672</v>
      </c>
      <c r="C1113" s="1" t="n">
        <v>45969</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13191-2025</t>
        </is>
      </c>
      <c r="B1114" s="1" t="n">
        <v>45735.40501157408</v>
      </c>
      <c r="C1114" s="1" t="n">
        <v>45969</v>
      </c>
      <c r="D1114" t="inlineStr">
        <is>
          <t>VÄRMLANDS LÄN</t>
        </is>
      </c>
      <c r="E1114" t="inlineStr">
        <is>
          <t>TORSBY</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38100-2024</t>
        </is>
      </c>
      <c r="B1115" s="1" t="n">
        <v>45545</v>
      </c>
      <c r="C1115" s="1" t="n">
        <v>45969</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19575-2025</t>
        </is>
      </c>
      <c r="B1116" s="1" t="n">
        <v>45770.55957175926</v>
      </c>
      <c r="C1116" s="1" t="n">
        <v>45969</v>
      </c>
      <c r="D1116" t="inlineStr">
        <is>
          <t>VÄRMLANDS LÄN</t>
        </is>
      </c>
      <c r="E1116" t="inlineStr">
        <is>
          <t>TORSBY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26979-2023</t>
        </is>
      </c>
      <c r="B1117" s="1" t="n">
        <v>45091</v>
      </c>
      <c r="C1117" s="1" t="n">
        <v>45969</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4231-2024</t>
        </is>
      </c>
      <c r="B1118" s="1" t="n">
        <v>45324.42771990741</v>
      </c>
      <c r="C1118" s="1" t="n">
        <v>45969</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13924-2025</t>
        </is>
      </c>
      <c r="B1119" s="1" t="n">
        <v>45737</v>
      </c>
      <c r="C1119" s="1" t="n">
        <v>45969</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7907-2025</t>
        </is>
      </c>
      <c r="B1120" s="1" t="n">
        <v>45707</v>
      </c>
      <c r="C1120" s="1" t="n">
        <v>45969</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18883-2024</t>
        </is>
      </c>
      <c r="B1121" s="1" t="n">
        <v>45426</v>
      </c>
      <c r="C1121" s="1" t="n">
        <v>45969</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7643-2025</t>
        </is>
      </c>
      <c r="B1122" s="1" t="n">
        <v>45705.78703703704</v>
      </c>
      <c r="C1122" s="1" t="n">
        <v>45969</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74375-2021</t>
        </is>
      </c>
      <c r="B1123" s="1" t="n">
        <v>44559.71840277778</v>
      </c>
      <c r="C1123" s="1" t="n">
        <v>45969</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53331-2024</t>
        </is>
      </c>
      <c r="B1124" s="1" t="n">
        <v>45614</v>
      </c>
      <c r="C1124" s="1" t="n">
        <v>45969</v>
      </c>
      <c r="D1124" t="inlineStr">
        <is>
          <t>VÄRMLANDS LÄN</t>
        </is>
      </c>
      <c r="E1124" t="inlineStr">
        <is>
          <t>TORSBY</t>
        </is>
      </c>
      <c r="F1124" t="inlineStr">
        <is>
          <t>Bergvik skog väst AB</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32588-2024</t>
        </is>
      </c>
      <c r="B1125" s="1" t="n">
        <v>45513.59612268519</v>
      </c>
      <c r="C1125" s="1" t="n">
        <v>45969</v>
      </c>
      <c r="D1125" t="inlineStr">
        <is>
          <t>VÄRMLANDS LÄN</t>
        </is>
      </c>
      <c r="E1125" t="inlineStr">
        <is>
          <t>TORSBY</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18480-2025</t>
        </is>
      </c>
      <c r="B1126" s="1" t="n">
        <v>45762.9171412037</v>
      </c>
      <c r="C1126" s="1" t="n">
        <v>45969</v>
      </c>
      <c r="D1126" t="inlineStr">
        <is>
          <t>VÄRMLANDS LÄN</t>
        </is>
      </c>
      <c r="E1126" t="inlineStr">
        <is>
          <t>TORSBY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66133-2021</t>
        </is>
      </c>
      <c r="B1127" s="1" t="n">
        <v>44517</v>
      </c>
      <c r="C1127" s="1" t="n">
        <v>45969</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16427-2023</t>
        </is>
      </c>
      <c r="B1128" s="1" t="n">
        <v>45022</v>
      </c>
      <c r="C1128" s="1" t="n">
        <v>45969</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18897-2024</t>
        </is>
      </c>
      <c r="B1129" s="1" t="n">
        <v>45427.34046296297</v>
      </c>
      <c r="C1129" s="1" t="n">
        <v>45969</v>
      </c>
      <c r="D1129" t="inlineStr">
        <is>
          <t>VÄRMLANDS LÄN</t>
        </is>
      </c>
      <c r="E1129" t="inlineStr">
        <is>
          <t>TORSBY</t>
        </is>
      </c>
      <c r="F1129" t="inlineStr">
        <is>
          <t>Övriga statliga verk och myndigheter</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33848-2023</t>
        </is>
      </c>
      <c r="B1130" s="1" t="n">
        <v>45133.68835648148</v>
      </c>
      <c r="C1130" s="1" t="n">
        <v>45969</v>
      </c>
      <c r="D1130" t="inlineStr">
        <is>
          <t>VÄRMLANDS LÄN</t>
        </is>
      </c>
      <c r="E1130" t="inlineStr">
        <is>
          <t>TORSBY</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492-2025</t>
        </is>
      </c>
      <c r="B1131" s="1" t="n">
        <v>45664.46337962963</v>
      </c>
      <c r="C1131" s="1" t="n">
        <v>45969</v>
      </c>
      <c r="D1131" t="inlineStr">
        <is>
          <t>VÄRMLANDS LÄN</t>
        </is>
      </c>
      <c r="E1131" t="inlineStr">
        <is>
          <t>TORSBY</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4585-2023</t>
        </is>
      </c>
      <c r="B1132" s="1" t="n">
        <v>44956.79790509259</v>
      </c>
      <c r="C1132" s="1" t="n">
        <v>45969</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15413-2023</t>
        </is>
      </c>
      <c r="B1133" s="1" t="n">
        <v>45019</v>
      </c>
      <c r="C1133" s="1" t="n">
        <v>45969</v>
      </c>
      <c r="D1133" t="inlineStr">
        <is>
          <t>VÄRMLANDS LÄN</t>
        </is>
      </c>
      <c r="E1133" t="inlineStr">
        <is>
          <t>TORSBY</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20175-2022</t>
        </is>
      </c>
      <c r="B1134" s="1" t="n">
        <v>44698</v>
      </c>
      <c r="C1134" s="1" t="n">
        <v>45969</v>
      </c>
      <c r="D1134" t="inlineStr">
        <is>
          <t>VÄRMLANDS LÄN</t>
        </is>
      </c>
      <c r="E1134" t="inlineStr">
        <is>
          <t>TORSBY</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39731-2025</t>
        </is>
      </c>
      <c r="B1135" s="1" t="n">
        <v>45891</v>
      </c>
      <c r="C1135" s="1" t="n">
        <v>45969</v>
      </c>
      <c r="D1135" t="inlineStr">
        <is>
          <t>VÄRMLANDS LÄN</t>
        </is>
      </c>
      <c r="E1135" t="inlineStr">
        <is>
          <t>TORSBY</t>
        </is>
      </c>
      <c r="F1135" t="inlineStr">
        <is>
          <t>Bergvik skog väst AB</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48214-2025</t>
        </is>
      </c>
      <c r="B1136" s="1" t="n">
        <v>45933.49465277778</v>
      </c>
      <c r="C1136" s="1" t="n">
        <v>45969</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15488-2023</t>
        </is>
      </c>
      <c r="B1137" s="1" t="n">
        <v>45020</v>
      </c>
      <c r="C1137" s="1" t="n">
        <v>45969</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11878-2024</t>
        </is>
      </c>
      <c r="B1138" s="1" t="n">
        <v>45376.47877314815</v>
      </c>
      <c r="C1138" s="1" t="n">
        <v>45969</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23843-2024</t>
        </is>
      </c>
      <c r="B1139" s="1" t="n">
        <v>45455</v>
      </c>
      <c r="C1139" s="1" t="n">
        <v>45969</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36775-2024</t>
        </is>
      </c>
      <c r="B1140" s="1" t="n">
        <v>45538</v>
      </c>
      <c r="C1140" s="1" t="n">
        <v>45969</v>
      </c>
      <c r="D1140" t="inlineStr">
        <is>
          <t>VÄRMLANDS LÄN</t>
        </is>
      </c>
      <c r="E1140" t="inlineStr">
        <is>
          <t>TORSBY</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24580-2025</t>
        </is>
      </c>
      <c r="B1141" s="1" t="n">
        <v>45798</v>
      </c>
      <c r="C1141" s="1" t="n">
        <v>45969</v>
      </c>
      <c r="D1141" t="inlineStr">
        <is>
          <t>VÄRMLANDS LÄN</t>
        </is>
      </c>
      <c r="E1141" t="inlineStr">
        <is>
          <t>TORSBY</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39499-2025</t>
        </is>
      </c>
      <c r="B1142" s="1" t="n">
        <v>45890</v>
      </c>
      <c r="C1142" s="1" t="n">
        <v>45969</v>
      </c>
      <c r="D1142" t="inlineStr">
        <is>
          <t>VÄRMLANDS LÄN</t>
        </is>
      </c>
      <c r="E1142" t="inlineStr">
        <is>
          <t>TORSBY</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18115-2025</t>
        </is>
      </c>
      <c r="B1143" s="1" t="n">
        <v>45761</v>
      </c>
      <c r="C1143" s="1" t="n">
        <v>45969</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39648-2023</t>
        </is>
      </c>
      <c r="B1144" s="1" t="n">
        <v>45167.5528587963</v>
      </c>
      <c r="C1144" s="1" t="n">
        <v>45969</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49344-2025</t>
        </is>
      </c>
      <c r="B1145" s="1" t="n">
        <v>45938.60028935185</v>
      </c>
      <c r="C1145" s="1" t="n">
        <v>45969</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28035-2024</t>
        </is>
      </c>
      <c r="B1146" s="1" t="n">
        <v>45476</v>
      </c>
      <c r="C1146" s="1" t="n">
        <v>45969</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49107-2025</t>
        </is>
      </c>
      <c r="B1147" s="1" t="n">
        <v>45937.74091435185</v>
      </c>
      <c r="C1147" s="1" t="n">
        <v>45969</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49250-2025</t>
        </is>
      </c>
      <c r="B1148" s="1" t="n">
        <v>45938</v>
      </c>
      <c r="C1148" s="1" t="n">
        <v>45969</v>
      </c>
      <c r="D1148" t="inlineStr">
        <is>
          <t>VÄRMLANDS LÄN</t>
        </is>
      </c>
      <c r="E1148" t="inlineStr">
        <is>
          <t>TORSBY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49181-2025</t>
        </is>
      </c>
      <c r="B1149" s="1" t="n">
        <v>45938.38640046296</v>
      </c>
      <c r="C1149" s="1" t="n">
        <v>45969</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49313-2025</t>
        </is>
      </c>
      <c r="B1150" s="1" t="n">
        <v>45938.56460648148</v>
      </c>
      <c r="C1150" s="1" t="n">
        <v>45969</v>
      </c>
      <c r="D1150" t="inlineStr">
        <is>
          <t>VÄRMLANDS LÄN</t>
        </is>
      </c>
      <c r="E1150" t="inlineStr">
        <is>
          <t>TORSBY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64432-2023</t>
        </is>
      </c>
      <c r="B1151" s="1" t="n">
        <v>45280.67184027778</v>
      </c>
      <c r="C1151" s="1" t="n">
        <v>45969</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49311-2025</t>
        </is>
      </c>
      <c r="B1152" s="1" t="n">
        <v>45938.56336805555</v>
      </c>
      <c r="C1152" s="1" t="n">
        <v>45969</v>
      </c>
      <c r="D1152" t="inlineStr">
        <is>
          <t>VÄRMLANDS LÄN</t>
        </is>
      </c>
      <c r="E1152" t="inlineStr">
        <is>
          <t>TORSBY</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40573-2024</t>
        </is>
      </c>
      <c r="B1153" s="1" t="n">
        <v>45555.69518518518</v>
      </c>
      <c r="C1153" s="1" t="n">
        <v>45969</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67172-2021</t>
        </is>
      </c>
      <c r="B1154" s="1" t="n">
        <v>44523.4271875</v>
      </c>
      <c r="C1154" s="1" t="n">
        <v>45969</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49108-2025</t>
        </is>
      </c>
      <c r="B1155" s="1" t="n">
        <v>45937.74528935185</v>
      </c>
      <c r="C1155" s="1" t="n">
        <v>45969</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9900-2024</t>
        </is>
      </c>
      <c r="B1156" s="1" t="n">
        <v>45363</v>
      </c>
      <c r="C1156" s="1" t="n">
        <v>45969</v>
      </c>
      <c r="D1156" t="inlineStr">
        <is>
          <t>VÄRMLANDS LÄN</t>
        </is>
      </c>
      <c r="E1156" t="inlineStr">
        <is>
          <t>TORSBY</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53499-2023</t>
        </is>
      </c>
      <c r="B1157" s="1" t="n">
        <v>45223</v>
      </c>
      <c r="C1157" s="1" t="n">
        <v>45969</v>
      </c>
      <c r="D1157" t="inlineStr">
        <is>
          <t>VÄRMLANDS LÄN</t>
        </is>
      </c>
      <c r="E1157" t="inlineStr">
        <is>
          <t>TORSBY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38257-2023</t>
        </is>
      </c>
      <c r="B1158" s="1" t="n">
        <v>45161.58917824074</v>
      </c>
      <c r="C1158" s="1" t="n">
        <v>45969</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60525-2023</t>
        </is>
      </c>
      <c r="B1159" s="1" t="n">
        <v>45259</v>
      </c>
      <c r="C1159" s="1" t="n">
        <v>45969</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45969</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37238-2024</t>
        </is>
      </c>
      <c r="B1161" s="1" t="n">
        <v>45540</v>
      </c>
      <c r="C1161" s="1" t="n">
        <v>45969</v>
      </c>
      <c r="D1161" t="inlineStr">
        <is>
          <t>VÄRMLANDS LÄN</t>
        </is>
      </c>
      <c r="E1161" t="inlineStr">
        <is>
          <t>TORSBY</t>
        </is>
      </c>
      <c r="F1161" t="inlineStr">
        <is>
          <t>Bergvik skog väst AB</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48947-2025</t>
        </is>
      </c>
      <c r="B1162" s="1" t="n">
        <v>45937.54157407407</v>
      </c>
      <c r="C1162" s="1" t="n">
        <v>45969</v>
      </c>
      <c r="D1162" t="inlineStr">
        <is>
          <t>VÄRMLANDS LÄN</t>
        </is>
      </c>
      <c r="E1162" t="inlineStr">
        <is>
          <t>TORSBY</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40519-2025</t>
        </is>
      </c>
      <c r="B1163" s="1" t="n">
        <v>45896.3640162037</v>
      </c>
      <c r="C1163" s="1" t="n">
        <v>45969</v>
      </c>
      <c r="D1163" t="inlineStr">
        <is>
          <t>VÄRMLANDS LÄN</t>
        </is>
      </c>
      <c r="E1163" t="inlineStr">
        <is>
          <t>TORSBY</t>
        </is>
      </c>
      <c r="F1163" t="inlineStr">
        <is>
          <t>Bergvik skog väst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4342-2025</t>
        </is>
      </c>
      <c r="B1164" s="1" t="n">
        <v>45685</v>
      </c>
      <c r="C1164" s="1" t="n">
        <v>45969</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8025-2025</t>
        </is>
      </c>
      <c r="B1165" s="1" t="n">
        <v>45707</v>
      </c>
      <c r="C1165" s="1" t="n">
        <v>45969</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1911-2022</t>
        </is>
      </c>
      <c r="B1166" s="1" t="n">
        <v>44575</v>
      </c>
      <c r="C1166" s="1" t="n">
        <v>45969</v>
      </c>
      <c r="D1166" t="inlineStr">
        <is>
          <t>VÄRMLANDS LÄN</t>
        </is>
      </c>
      <c r="E1166" t="inlineStr">
        <is>
          <t>TORSBY</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10473-2023</t>
        </is>
      </c>
      <c r="B1167" s="1" t="n">
        <v>44981</v>
      </c>
      <c r="C1167" s="1" t="n">
        <v>45969</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49109-2025</t>
        </is>
      </c>
      <c r="B1168" s="1" t="n">
        <v>45937.74931712963</v>
      </c>
      <c r="C1168" s="1" t="n">
        <v>45969</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63177-2023</t>
        </is>
      </c>
      <c r="B1169" s="1" t="n">
        <v>45272</v>
      </c>
      <c r="C1169" s="1" t="n">
        <v>45969</v>
      </c>
      <c r="D1169" t="inlineStr">
        <is>
          <t>VÄRMLANDS LÄN</t>
        </is>
      </c>
      <c r="E1169" t="inlineStr">
        <is>
          <t>TORSBY</t>
        </is>
      </c>
      <c r="G1169" t="n">
        <v>14.9</v>
      </c>
      <c r="H1169" t="n">
        <v>0</v>
      </c>
      <c r="I1169" t="n">
        <v>0</v>
      </c>
      <c r="J1169" t="n">
        <v>0</v>
      </c>
      <c r="K1169" t="n">
        <v>0</v>
      </c>
      <c r="L1169" t="n">
        <v>0</v>
      </c>
      <c r="M1169" t="n">
        <v>0</v>
      </c>
      <c r="N1169" t="n">
        <v>0</v>
      </c>
      <c r="O1169" t="n">
        <v>0</v>
      </c>
      <c r="P1169" t="n">
        <v>0</v>
      </c>
      <c r="Q1169" t="n">
        <v>0</v>
      </c>
      <c r="R1169" s="2" t="inlineStr"/>
    </row>
    <row r="1170" ht="15" customHeight="1">
      <c r="A1170" t="inlineStr">
        <is>
          <t>A 20740-2025</t>
        </is>
      </c>
      <c r="B1170" s="1" t="n">
        <v>45776.54284722222</v>
      </c>
      <c r="C1170" s="1" t="n">
        <v>45969</v>
      </c>
      <c r="D1170" t="inlineStr">
        <is>
          <t>VÄRMLANDS LÄN</t>
        </is>
      </c>
      <c r="E1170" t="inlineStr">
        <is>
          <t>TORSBY</t>
        </is>
      </c>
      <c r="F1170" t="inlineStr">
        <is>
          <t>Bergvik skog väst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63266-2023</t>
        </is>
      </c>
      <c r="B1171" s="1" t="n">
        <v>45273.741875</v>
      </c>
      <c r="C1171" s="1" t="n">
        <v>45969</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38062-2024</t>
        </is>
      </c>
      <c r="B1172" s="1" t="n">
        <v>45544</v>
      </c>
      <c r="C1172" s="1" t="n">
        <v>45969</v>
      </c>
      <c r="D1172" t="inlineStr">
        <is>
          <t>VÄRMLANDS LÄN</t>
        </is>
      </c>
      <c r="E1172" t="inlineStr">
        <is>
          <t>TORSBY</t>
        </is>
      </c>
      <c r="F1172" t="inlineStr">
        <is>
          <t>Bergvik skog väst AB</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48991-2025</t>
        </is>
      </c>
      <c r="B1173" s="1" t="n">
        <v>45937.58141203703</v>
      </c>
      <c r="C1173" s="1" t="n">
        <v>45969</v>
      </c>
      <c r="D1173" t="inlineStr">
        <is>
          <t>VÄRMLANDS LÄN</t>
        </is>
      </c>
      <c r="E1173" t="inlineStr">
        <is>
          <t>TORSBY</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20816-2025</t>
        </is>
      </c>
      <c r="B1174" s="1" t="n">
        <v>45776</v>
      </c>
      <c r="C1174" s="1" t="n">
        <v>45969</v>
      </c>
      <c r="D1174" t="inlineStr">
        <is>
          <t>VÄRMLANDS LÄN</t>
        </is>
      </c>
      <c r="E1174" t="inlineStr">
        <is>
          <t>TORSBY</t>
        </is>
      </c>
      <c r="F1174" t="inlineStr">
        <is>
          <t>Bergvik skog väst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20773-2025</t>
        </is>
      </c>
      <c r="B1175" s="1" t="n">
        <v>45776.59321759259</v>
      </c>
      <c r="C1175" s="1" t="n">
        <v>45969</v>
      </c>
      <c r="D1175" t="inlineStr">
        <is>
          <t>VÄRMLANDS LÄN</t>
        </is>
      </c>
      <c r="E1175" t="inlineStr">
        <is>
          <t>TORSBY</t>
        </is>
      </c>
      <c r="F1175" t="inlineStr">
        <is>
          <t>Bergvik skog väst AB</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49272-2025</t>
        </is>
      </c>
      <c r="B1176" s="1" t="n">
        <v>45938.50574074074</v>
      </c>
      <c r="C1176" s="1" t="n">
        <v>45969</v>
      </c>
      <c r="D1176" t="inlineStr">
        <is>
          <t>VÄRMLANDS LÄN</t>
        </is>
      </c>
      <c r="E1176" t="inlineStr">
        <is>
          <t>TORSBY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13791-2023</t>
        </is>
      </c>
      <c r="B1177" s="1" t="n">
        <v>45005</v>
      </c>
      <c r="C1177" s="1" t="n">
        <v>45969</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2662-2024</t>
        </is>
      </c>
      <c r="B1178" s="1" t="n">
        <v>45314.38747685185</v>
      </c>
      <c r="C1178" s="1" t="n">
        <v>45969</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20843-2025</t>
        </is>
      </c>
      <c r="B1179" s="1" t="n">
        <v>45776.9233912037</v>
      </c>
      <c r="C1179" s="1" t="n">
        <v>45969</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1040-2024</t>
        </is>
      </c>
      <c r="B1180" s="1" t="n">
        <v>45301</v>
      </c>
      <c r="C1180" s="1" t="n">
        <v>45969</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20914-2025</t>
        </is>
      </c>
      <c r="B1181" s="1" t="n">
        <v>45777</v>
      </c>
      <c r="C1181" s="1" t="n">
        <v>45969</v>
      </c>
      <c r="D1181" t="inlineStr">
        <is>
          <t>VÄRMLANDS LÄN</t>
        </is>
      </c>
      <c r="E1181" t="inlineStr">
        <is>
          <t>TORSBY</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56716-2023</t>
        </is>
      </c>
      <c r="B1182" s="1" t="n">
        <v>45238</v>
      </c>
      <c r="C1182" s="1" t="n">
        <v>45969</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31547-2023</t>
        </is>
      </c>
      <c r="B1183" s="1" t="n">
        <v>45117</v>
      </c>
      <c r="C1183" s="1" t="n">
        <v>45969</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33656-2023</t>
        </is>
      </c>
      <c r="B1184" s="1" t="n">
        <v>45132.57922453704</v>
      </c>
      <c r="C1184" s="1" t="n">
        <v>45969</v>
      </c>
      <c r="D1184" t="inlineStr">
        <is>
          <t>VÄRMLANDS LÄN</t>
        </is>
      </c>
      <c r="E1184" t="inlineStr">
        <is>
          <t>TORSBY</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27195-2023</t>
        </is>
      </c>
      <c r="B1185" s="1" t="n">
        <v>45096</v>
      </c>
      <c r="C1185" s="1" t="n">
        <v>45969</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21757-2024</t>
        </is>
      </c>
      <c r="B1186" s="1" t="n">
        <v>45442</v>
      </c>
      <c r="C1186" s="1" t="n">
        <v>45969</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14945-2023</t>
        </is>
      </c>
      <c r="B1187" s="1" t="n">
        <v>45014</v>
      </c>
      <c r="C1187" s="1" t="n">
        <v>45969</v>
      </c>
      <c r="D1187" t="inlineStr">
        <is>
          <t>VÄRMLANDS LÄN</t>
        </is>
      </c>
      <c r="E1187" t="inlineStr">
        <is>
          <t>TORSBY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30110-2023</t>
        </is>
      </c>
      <c r="B1188" s="1" t="n">
        <v>45110</v>
      </c>
      <c r="C1188" s="1" t="n">
        <v>45969</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24827-2025</t>
        </is>
      </c>
      <c r="B1189" s="1" t="n">
        <v>45799</v>
      </c>
      <c r="C1189" s="1" t="n">
        <v>45969</v>
      </c>
      <c r="D1189" t="inlineStr">
        <is>
          <t>VÄRMLANDS LÄN</t>
        </is>
      </c>
      <c r="E1189" t="inlineStr">
        <is>
          <t>TORSBY</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26166-2024</t>
        </is>
      </c>
      <c r="B1190" s="1" t="n">
        <v>45468.55357638889</v>
      </c>
      <c r="C1190" s="1" t="n">
        <v>45969</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27588-2024</t>
        </is>
      </c>
      <c r="B1191" s="1" t="n">
        <v>45474</v>
      </c>
      <c r="C1191" s="1" t="n">
        <v>45969</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43037-2024</t>
        </is>
      </c>
      <c r="B1192" s="1" t="n">
        <v>45567</v>
      </c>
      <c r="C1192" s="1" t="n">
        <v>45969</v>
      </c>
      <c r="D1192" t="inlineStr">
        <is>
          <t>VÄRMLANDS LÄN</t>
        </is>
      </c>
      <c r="E1192" t="inlineStr">
        <is>
          <t>TORSBY</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21462-2025</t>
        </is>
      </c>
      <c r="B1193" s="1" t="n">
        <v>45782.56770833334</v>
      </c>
      <c r="C1193" s="1" t="n">
        <v>45969</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21274-2025</t>
        </is>
      </c>
      <c r="B1194" s="1" t="n">
        <v>45779.62877314815</v>
      </c>
      <c r="C1194" s="1" t="n">
        <v>45969</v>
      </c>
      <c r="D1194" t="inlineStr">
        <is>
          <t>VÄRMLANDS LÄN</t>
        </is>
      </c>
      <c r="E1194" t="inlineStr">
        <is>
          <t>TORSBY</t>
        </is>
      </c>
      <c r="F1194" t="inlineStr">
        <is>
          <t>Bergvik skog väst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24639-2023</t>
        </is>
      </c>
      <c r="B1195" s="1" t="n">
        <v>45084</v>
      </c>
      <c r="C1195" s="1" t="n">
        <v>45969</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18096-2025</t>
        </is>
      </c>
      <c r="B1196" s="1" t="n">
        <v>45761</v>
      </c>
      <c r="C1196" s="1" t="n">
        <v>45969</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41293-2025</t>
        </is>
      </c>
      <c r="B1197" s="1" t="n">
        <v>45898</v>
      </c>
      <c r="C1197" s="1" t="n">
        <v>45969</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40729-2025</t>
        </is>
      </c>
      <c r="B1198" s="1" t="n">
        <v>45897.35421296296</v>
      </c>
      <c r="C1198" s="1" t="n">
        <v>45969</v>
      </c>
      <c r="D1198" t="inlineStr">
        <is>
          <t>VÄRMLANDS LÄN</t>
        </is>
      </c>
      <c r="E1198" t="inlineStr">
        <is>
          <t>TORSBY</t>
        </is>
      </c>
      <c r="F1198" t="inlineStr">
        <is>
          <t>Bergvik skog väst AB</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24995-2024</t>
        </is>
      </c>
      <c r="B1199" s="1" t="n">
        <v>45461</v>
      </c>
      <c r="C1199" s="1" t="n">
        <v>45969</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423-2024</t>
        </is>
      </c>
      <c r="B1200" s="1" t="n">
        <v>45296.53034722222</v>
      </c>
      <c r="C1200" s="1" t="n">
        <v>45969</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11395-2025</t>
        </is>
      </c>
      <c r="B1201" s="1" t="n">
        <v>45726.5728125</v>
      </c>
      <c r="C1201" s="1" t="n">
        <v>45969</v>
      </c>
      <c r="D1201" t="inlineStr">
        <is>
          <t>VÄRMLANDS LÄN</t>
        </is>
      </c>
      <c r="E1201" t="inlineStr">
        <is>
          <t>TORSBY</t>
        </is>
      </c>
      <c r="G1201" t="n">
        <v>25.3</v>
      </c>
      <c r="H1201" t="n">
        <v>0</v>
      </c>
      <c r="I1201" t="n">
        <v>0</v>
      </c>
      <c r="J1201" t="n">
        <v>0</v>
      </c>
      <c r="K1201" t="n">
        <v>0</v>
      </c>
      <c r="L1201" t="n">
        <v>0</v>
      </c>
      <c r="M1201" t="n">
        <v>0</v>
      </c>
      <c r="N1201" t="n">
        <v>0</v>
      </c>
      <c r="O1201" t="n">
        <v>0</v>
      </c>
      <c r="P1201" t="n">
        <v>0</v>
      </c>
      <c r="Q1201" t="n">
        <v>0</v>
      </c>
      <c r="R1201" s="2" t="inlineStr"/>
    </row>
    <row r="1202" ht="15" customHeight="1">
      <c r="A1202" t="inlineStr">
        <is>
          <t>A 10583-2023</t>
        </is>
      </c>
      <c r="B1202" s="1" t="n">
        <v>44988.36435185185</v>
      </c>
      <c r="C1202" s="1" t="n">
        <v>45969</v>
      </c>
      <c r="D1202" t="inlineStr">
        <is>
          <t>VÄRMLANDS LÄN</t>
        </is>
      </c>
      <c r="E1202" t="inlineStr">
        <is>
          <t>TORSBY</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41633-2021</t>
        </is>
      </c>
      <c r="B1203" s="1" t="n">
        <v>44425</v>
      </c>
      <c r="C1203" s="1" t="n">
        <v>45969</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21324-2025</t>
        </is>
      </c>
      <c r="B1204" s="1" t="n">
        <v>45782.34947916667</v>
      </c>
      <c r="C1204" s="1" t="n">
        <v>45969</v>
      </c>
      <c r="D1204" t="inlineStr">
        <is>
          <t>VÄRMLANDS LÄN</t>
        </is>
      </c>
      <c r="E1204" t="inlineStr">
        <is>
          <t>TORSBY</t>
        </is>
      </c>
      <c r="F1204" t="inlineStr">
        <is>
          <t>Bergvik skog väst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49298-2024</t>
        </is>
      </c>
      <c r="B1205" s="1" t="n">
        <v>45595.54357638889</v>
      </c>
      <c r="C1205" s="1" t="n">
        <v>45969</v>
      </c>
      <c r="D1205" t="inlineStr">
        <is>
          <t>VÄRMLANDS LÄN</t>
        </is>
      </c>
      <c r="E1205" t="inlineStr">
        <is>
          <t>TORSBY</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25313-2024</t>
        </is>
      </c>
      <c r="B1206" s="1" t="n">
        <v>45462</v>
      </c>
      <c r="C1206" s="1" t="n">
        <v>45969</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44659-2024</t>
        </is>
      </c>
      <c r="B1207" s="1" t="n">
        <v>45574</v>
      </c>
      <c r="C1207" s="1" t="n">
        <v>45969</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56107-2024</t>
        </is>
      </c>
      <c r="B1208" s="1" t="n">
        <v>45624.44055555556</v>
      </c>
      <c r="C1208" s="1" t="n">
        <v>45969</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55836-2024</t>
        </is>
      </c>
      <c r="B1209" s="1" t="n">
        <v>45623.49150462963</v>
      </c>
      <c r="C1209" s="1" t="n">
        <v>45969</v>
      </c>
      <c r="D1209" t="inlineStr">
        <is>
          <t>VÄRMLANDS LÄN</t>
        </is>
      </c>
      <c r="E1209" t="inlineStr">
        <is>
          <t>TORSBY</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57785-2024</t>
        </is>
      </c>
      <c r="B1210" s="1" t="n">
        <v>45631</v>
      </c>
      <c r="C1210" s="1" t="n">
        <v>45969</v>
      </c>
      <c r="D1210" t="inlineStr">
        <is>
          <t>VÄRMLANDS LÄN</t>
        </is>
      </c>
      <c r="E1210" t="inlineStr">
        <is>
          <t>TORSBY</t>
        </is>
      </c>
      <c r="F1210" t="inlineStr">
        <is>
          <t>Bergvik skog väst AB</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60385-2024</t>
        </is>
      </c>
      <c r="B1211" s="1" t="n">
        <v>45643</v>
      </c>
      <c r="C1211" s="1" t="n">
        <v>45969</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49504-2025</t>
        </is>
      </c>
      <c r="B1212" s="1" t="n">
        <v>45939</v>
      </c>
      <c r="C1212" s="1" t="n">
        <v>45969</v>
      </c>
      <c r="D1212" t="inlineStr">
        <is>
          <t>VÄRMLANDS LÄN</t>
        </is>
      </c>
      <c r="E1212" t="inlineStr">
        <is>
          <t>TORSBY</t>
        </is>
      </c>
      <c r="F1212" t="inlineStr">
        <is>
          <t>Bergvik skog väst AB</t>
        </is>
      </c>
      <c r="G1212" t="n">
        <v>35.8</v>
      </c>
      <c r="H1212" t="n">
        <v>0</v>
      </c>
      <c r="I1212" t="n">
        <v>0</v>
      </c>
      <c r="J1212" t="n">
        <v>0</v>
      </c>
      <c r="K1212" t="n">
        <v>0</v>
      </c>
      <c r="L1212" t="n">
        <v>0</v>
      </c>
      <c r="M1212" t="n">
        <v>0</v>
      </c>
      <c r="N1212" t="n">
        <v>0</v>
      </c>
      <c r="O1212" t="n">
        <v>0</v>
      </c>
      <c r="P1212" t="n">
        <v>0</v>
      </c>
      <c r="Q1212" t="n">
        <v>0</v>
      </c>
      <c r="R1212" s="2" t="inlineStr"/>
    </row>
    <row r="1213" ht="15" customHeight="1">
      <c r="A1213" t="inlineStr">
        <is>
          <t>A 21858-2025</t>
        </is>
      </c>
      <c r="B1213" s="1" t="n">
        <v>45784.36265046296</v>
      </c>
      <c r="C1213" s="1" t="n">
        <v>45969</v>
      </c>
      <c r="D1213" t="inlineStr">
        <is>
          <t>VÄRMLANDS LÄN</t>
        </is>
      </c>
      <c r="E1213" t="inlineStr">
        <is>
          <t>TORSBY</t>
        </is>
      </c>
      <c r="F1213" t="inlineStr">
        <is>
          <t>Bergvik skog väst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21974-2025</t>
        </is>
      </c>
      <c r="B1214" s="1" t="n">
        <v>45784.63689814815</v>
      </c>
      <c r="C1214" s="1" t="n">
        <v>45969</v>
      </c>
      <c r="D1214" t="inlineStr">
        <is>
          <t>VÄRMLANDS LÄN</t>
        </is>
      </c>
      <c r="E1214" t="inlineStr">
        <is>
          <t>TORSBY</t>
        </is>
      </c>
      <c r="F1214" t="inlineStr">
        <is>
          <t>Bergvik skog väst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21963-2025</t>
        </is>
      </c>
      <c r="B1215" s="1" t="n">
        <v>45784</v>
      </c>
      <c r="C1215" s="1" t="n">
        <v>45969</v>
      </c>
      <c r="D1215" t="inlineStr">
        <is>
          <t>VÄRMLANDS LÄN</t>
        </is>
      </c>
      <c r="E1215" t="inlineStr">
        <is>
          <t>TORSBY</t>
        </is>
      </c>
      <c r="F1215" t="inlineStr">
        <is>
          <t>Bergvik skog väst AB</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39075-2024</t>
        </is>
      </c>
      <c r="B1216" s="1" t="n">
        <v>45548</v>
      </c>
      <c r="C1216" s="1" t="n">
        <v>45969</v>
      </c>
      <c r="D1216" t="inlineStr">
        <is>
          <t>VÄRMLANDS LÄN</t>
        </is>
      </c>
      <c r="E1216" t="inlineStr">
        <is>
          <t>TORSBY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52057-2024</t>
        </is>
      </c>
      <c r="B1217" s="1" t="n">
        <v>45608</v>
      </c>
      <c r="C1217" s="1" t="n">
        <v>45969</v>
      </c>
      <c r="D1217" t="inlineStr">
        <is>
          <t>VÄRMLANDS LÄN</t>
        </is>
      </c>
      <c r="E1217" t="inlineStr">
        <is>
          <t>TORSBY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25866-2025</t>
        </is>
      </c>
      <c r="B1218" s="1" t="n">
        <v>45804.48143518518</v>
      </c>
      <c r="C1218" s="1" t="n">
        <v>45969</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21808-2025</t>
        </is>
      </c>
      <c r="B1219" s="1" t="n">
        <v>45783.70846064815</v>
      </c>
      <c r="C1219" s="1" t="n">
        <v>45969</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41209-2025</t>
        </is>
      </c>
      <c r="B1220" s="1" t="n">
        <v>45898</v>
      </c>
      <c r="C1220" s="1" t="n">
        <v>45969</v>
      </c>
      <c r="D1220" t="inlineStr">
        <is>
          <t>VÄRMLANDS LÄN</t>
        </is>
      </c>
      <c r="E1220" t="inlineStr">
        <is>
          <t>TORSBY</t>
        </is>
      </c>
      <c r="F1220" t="inlineStr">
        <is>
          <t>Övriga Aktiebolag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15992-2023</t>
        </is>
      </c>
      <c r="B1221" s="1" t="n">
        <v>45023.5066087963</v>
      </c>
      <c r="C1221" s="1" t="n">
        <v>45969</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16044-2023</t>
        </is>
      </c>
      <c r="B1222" s="1" t="n">
        <v>45027</v>
      </c>
      <c r="C1222" s="1" t="n">
        <v>45969</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15083-2024</t>
        </is>
      </c>
      <c r="B1223" s="1" t="n">
        <v>45399.63163194444</v>
      </c>
      <c r="C1223" s="1" t="n">
        <v>45969</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56101-2024</t>
        </is>
      </c>
      <c r="B1224" s="1" t="n">
        <v>45624</v>
      </c>
      <c r="C1224" s="1" t="n">
        <v>45969</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48540-2024</t>
        </is>
      </c>
      <c r="B1225" s="1" t="n">
        <v>45593</v>
      </c>
      <c r="C1225" s="1" t="n">
        <v>45969</v>
      </c>
      <c r="D1225" t="inlineStr">
        <is>
          <t>VÄRMLANDS LÄN</t>
        </is>
      </c>
      <c r="E1225" t="inlineStr">
        <is>
          <t>TORSBY</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21576-2025</t>
        </is>
      </c>
      <c r="B1226" s="1" t="n">
        <v>45782.86440972222</v>
      </c>
      <c r="C1226" s="1" t="n">
        <v>45969</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21759-2025</t>
        </is>
      </c>
      <c r="B1227" s="1" t="n">
        <v>45783</v>
      </c>
      <c r="C1227" s="1" t="n">
        <v>45969</v>
      </c>
      <c r="D1227" t="inlineStr">
        <is>
          <t>VÄRMLANDS LÄN</t>
        </is>
      </c>
      <c r="E1227" t="inlineStr">
        <is>
          <t>TORSBY</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54618-2024</t>
        </is>
      </c>
      <c r="B1228" s="1" t="n">
        <v>45617</v>
      </c>
      <c r="C1228" s="1" t="n">
        <v>45969</v>
      </c>
      <c r="D1228" t="inlineStr">
        <is>
          <t>VÄRMLANDS LÄN</t>
        </is>
      </c>
      <c r="E1228" t="inlineStr">
        <is>
          <t>TORSBY</t>
        </is>
      </c>
      <c r="F1228" t="inlineStr">
        <is>
          <t>Kommuner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33088-2024</t>
        </is>
      </c>
      <c r="B1229" s="1" t="n">
        <v>45517</v>
      </c>
      <c r="C1229" s="1" t="n">
        <v>45969</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22269-2025</t>
        </is>
      </c>
      <c r="B1230" s="1" t="n">
        <v>45785</v>
      </c>
      <c r="C1230" s="1" t="n">
        <v>45969</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22331-2025</t>
        </is>
      </c>
      <c r="B1231" s="1" t="n">
        <v>45786</v>
      </c>
      <c r="C1231" s="1" t="n">
        <v>45969</v>
      </c>
      <c r="D1231" t="inlineStr">
        <is>
          <t>VÄRMLANDS LÄN</t>
        </is>
      </c>
      <c r="E1231" t="inlineStr">
        <is>
          <t>TORSBY</t>
        </is>
      </c>
      <c r="F1231" t="inlineStr">
        <is>
          <t>Bergvik skog väst AB</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21744-2024</t>
        </is>
      </c>
      <c r="B1232" s="1" t="n">
        <v>45442</v>
      </c>
      <c r="C1232" s="1" t="n">
        <v>45969</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37357-2023</t>
        </is>
      </c>
      <c r="B1233" s="1" t="n">
        <v>45156.48006944444</v>
      </c>
      <c r="C1233" s="1" t="n">
        <v>45969</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73874-2021</t>
        </is>
      </c>
      <c r="B1234" s="1" t="n">
        <v>44553.39755787037</v>
      </c>
      <c r="C1234" s="1" t="n">
        <v>45969</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19031-2021</t>
        </is>
      </c>
      <c r="B1235" s="1" t="n">
        <v>44308.51076388889</v>
      </c>
      <c r="C1235" s="1" t="n">
        <v>45969</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58386-2023</t>
        </is>
      </c>
      <c r="B1236" s="1" t="n">
        <v>45250</v>
      </c>
      <c r="C1236" s="1" t="n">
        <v>45969</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41168-2025</t>
        </is>
      </c>
      <c r="B1237" s="1" t="n">
        <v>45898</v>
      </c>
      <c r="C1237" s="1" t="n">
        <v>45969</v>
      </c>
      <c r="D1237" t="inlineStr">
        <is>
          <t>VÄRMLANDS LÄN</t>
        </is>
      </c>
      <c r="E1237" t="inlineStr">
        <is>
          <t>TORSBY</t>
        </is>
      </c>
      <c r="F1237" t="inlineStr">
        <is>
          <t>Övriga Aktiebolag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34353-2025</t>
        </is>
      </c>
      <c r="B1238" s="1" t="n">
        <v>45846.4775</v>
      </c>
      <c r="C1238" s="1" t="n">
        <v>45969</v>
      </c>
      <c r="D1238" t="inlineStr">
        <is>
          <t>VÄRMLANDS LÄN</t>
        </is>
      </c>
      <c r="E1238" t="inlineStr">
        <is>
          <t>TORSBY</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17898-2023</t>
        </is>
      </c>
      <c r="B1239" s="1" t="n">
        <v>45039.72086805556</v>
      </c>
      <c r="C1239" s="1" t="n">
        <v>45969</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41137-2025</t>
        </is>
      </c>
      <c r="B1240" s="1" t="n">
        <v>45898</v>
      </c>
      <c r="C1240" s="1" t="n">
        <v>45969</v>
      </c>
      <c r="D1240" t="inlineStr">
        <is>
          <t>VÄRMLANDS LÄN</t>
        </is>
      </c>
      <c r="E1240" t="inlineStr">
        <is>
          <t>TORSBY</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22278-2025</t>
        </is>
      </c>
      <c r="B1241" s="1" t="n">
        <v>45786.33332175926</v>
      </c>
      <c r="C1241" s="1" t="n">
        <v>45969</v>
      </c>
      <c r="D1241" t="inlineStr">
        <is>
          <t>VÄRMLANDS LÄN</t>
        </is>
      </c>
      <c r="E1241" t="inlineStr">
        <is>
          <t>TORSBY</t>
        </is>
      </c>
      <c r="F1241" t="inlineStr">
        <is>
          <t>Bergvik skog väst AB</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22320-2025</t>
        </is>
      </c>
      <c r="B1242" s="1" t="n">
        <v>45786.40542824074</v>
      </c>
      <c r="C1242" s="1" t="n">
        <v>45969</v>
      </c>
      <c r="D1242" t="inlineStr">
        <is>
          <t>VÄRMLANDS LÄN</t>
        </is>
      </c>
      <c r="E1242" t="inlineStr">
        <is>
          <t>TORSBY</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22339-2025</t>
        </is>
      </c>
      <c r="B1243" s="1" t="n">
        <v>45786</v>
      </c>
      <c r="C1243" s="1" t="n">
        <v>45969</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20170-2021</t>
        </is>
      </c>
      <c r="B1244" s="1" t="n">
        <v>44312</v>
      </c>
      <c r="C1244" s="1" t="n">
        <v>45969</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55036-2024</t>
        </is>
      </c>
      <c r="B1245" s="1" t="n">
        <v>45621.38342592592</v>
      </c>
      <c r="C1245" s="1" t="n">
        <v>45969</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50494-2024</t>
        </is>
      </c>
      <c r="B1246" s="1" t="n">
        <v>45601.50818287037</v>
      </c>
      <c r="C1246" s="1" t="n">
        <v>45969</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23044-2024</t>
        </is>
      </c>
      <c r="B1247" s="1" t="n">
        <v>45450</v>
      </c>
      <c r="C1247" s="1" t="n">
        <v>45969</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24182-2024</t>
        </is>
      </c>
      <c r="B1248" s="1" t="n">
        <v>45456</v>
      </c>
      <c r="C1248" s="1" t="n">
        <v>45969</v>
      </c>
      <c r="D1248" t="inlineStr">
        <is>
          <t>VÄRMLANDS LÄN</t>
        </is>
      </c>
      <c r="E1248" t="inlineStr">
        <is>
          <t>TORSBY</t>
        </is>
      </c>
      <c r="F1248" t="inlineStr">
        <is>
          <t>Bergvik skog väst AB</t>
        </is>
      </c>
      <c r="G1248" t="n">
        <v>28.9</v>
      </c>
      <c r="H1248" t="n">
        <v>0</v>
      </c>
      <c r="I1248" t="n">
        <v>0</v>
      </c>
      <c r="J1248" t="n">
        <v>0</v>
      </c>
      <c r="K1248" t="n">
        <v>0</v>
      </c>
      <c r="L1248" t="n">
        <v>0</v>
      </c>
      <c r="M1248" t="n">
        <v>0</v>
      </c>
      <c r="N1248" t="n">
        <v>0</v>
      </c>
      <c r="O1248" t="n">
        <v>0</v>
      </c>
      <c r="P1248" t="n">
        <v>0</v>
      </c>
      <c r="Q1248" t="n">
        <v>0</v>
      </c>
      <c r="R1248" s="2" t="inlineStr"/>
    </row>
    <row r="1249" ht="15" customHeight="1">
      <c r="A1249" t="inlineStr">
        <is>
          <t>A 24708-2024</t>
        </is>
      </c>
      <c r="B1249" s="1" t="n">
        <v>45460</v>
      </c>
      <c r="C1249" s="1" t="n">
        <v>45969</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6448-2025</t>
        </is>
      </c>
      <c r="B1250" s="1" t="n">
        <v>45699</v>
      </c>
      <c r="C1250" s="1" t="n">
        <v>45969</v>
      </c>
      <c r="D1250" t="inlineStr">
        <is>
          <t>VÄRMLANDS LÄN</t>
        </is>
      </c>
      <c r="E1250" t="inlineStr">
        <is>
          <t>TORSBY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26799-2024</t>
        </is>
      </c>
      <c r="B1251" s="1" t="n">
        <v>45470.5071875</v>
      </c>
      <c r="C1251" s="1" t="n">
        <v>45969</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15014-2025</t>
        </is>
      </c>
      <c r="B1252" s="1" t="n">
        <v>45743</v>
      </c>
      <c r="C1252" s="1" t="n">
        <v>45969</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22076-2025</t>
        </is>
      </c>
      <c r="B1253" s="1" t="n">
        <v>45785.41473379629</v>
      </c>
      <c r="C1253" s="1" t="n">
        <v>45969</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16369-2024</t>
        </is>
      </c>
      <c r="B1254" s="1" t="n">
        <v>45407</v>
      </c>
      <c r="C1254" s="1" t="n">
        <v>45969</v>
      </c>
      <c r="D1254" t="inlineStr">
        <is>
          <t>VÄRMLANDS LÄN</t>
        </is>
      </c>
      <c r="E1254" t="inlineStr">
        <is>
          <t>TORSBY</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22178-2025</t>
        </is>
      </c>
      <c r="B1255" s="1" t="n">
        <v>45785</v>
      </c>
      <c r="C1255" s="1" t="n">
        <v>45969</v>
      </c>
      <c r="D1255" t="inlineStr">
        <is>
          <t>VÄRMLANDS LÄN</t>
        </is>
      </c>
      <c r="E1255" t="inlineStr">
        <is>
          <t>TORSBY</t>
        </is>
      </c>
      <c r="G1255" t="n">
        <v>25.5</v>
      </c>
      <c r="H1255" t="n">
        <v>0</v>
      </c>
      <c r="I1255" t="n">
        <v>0</v>
      </c>
      <c r="J1255" t="n">
        <v>0</v>
      </c>
      <c r="K1255" t="n">
        <v>0</v>
      </c>
      <c r="L1255" t="n">
        <v>0</v>
      </c>
      <c r="M1255" t="n">
        <v>0</v>
      </c>
      <c r="N1255" t="n">
        <v>0</v>
      </c>
      <c r="O1255" t="n">
        <v>0</v>
      </c>
      <c r="P1255" t="n">
        <v>0</v>
      </c>
      <c r="Q1255" t="n">
        <v>0</v>
      </c>
      <c r="R1255" s="2" t="inlineStr"/>
    </row>
    <row r="1256" ht="15" customHeight="1">
      <c r="A1256" t="inlineStr">
        <is>
          <t>A 63409-2023</t>
        </is>
      </c>
      <c r="B1256" s="1" t="n">
        <v>45274.51719907407</v>
      </c>
      <c r="C1256" s="1" t="n">
        <v>45969</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33085-2024</t>
        </is>
      </c>
      <c r="B1257" s="1" t="n">
        <v>45517.67784722222</v>
      </c>
      <c r="C1257" s="1" t="n">
        <v>45969</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33495-2024</t>
        </is>
      </c>
      <c r="B1258" s="1" t="n">
        <v>45519</v>
      </c>
      <c r="C1258" s="1" t="n">
        <v>45969</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29897-2024</t>
        </is>
      </c>
      <c r="B1259" s="1" t="n">
        <v>45487.51834490741</v>
      </c>
      <c r="C1259" s="1" t="n">
        <v>45969</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24113-2024</t>
        </is>
      </c>
      <c r="B1260" s="1" t="n">
        <v>45456.61590277778</v>
      </c>
      <c r="C1260" s="1" t="n">
        <v>45969</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60626-2024</t>
        </is>
      </c>
      <c r="B1261" s="1" t="n">
        <v>45642</v>
      </c>
      <c r="C1261" s="1" t="n">
        <v>45969</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60207-2024</t>
        </is>
      </c>
      <c r="B1262" s="1" t="n">
        <v>45642.67428240741</v>
      </c>
      <c r="C1262" s="1" t="n">
        <v>45969</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14303-2023</t>
        </is>
      </c>
      <c r="B1263" s="1" t="n">
        <v>45011.75886574074</v>
      </c>
      <c r="C1263" s="1" t="n">
        <v>45969</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22090-2025</t>
        </is>
      </c>
      <c r="B1264" s="1" t="n">
        <v>45785.45212962963</v>
      </c>
      <c r="C1264" s="1" t="n">
        <v>45969</v>
      </c>
      <c r="D1264" t="inlineStr">
        <is>
          <t>VÄRMLANDS LÄN</t>
        </is>
      </c>
      <c r="E1264" t="inlineStr">
        <is>
          <t>TORSBY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34427-2023</t>
        </is>
      </c>
      <c r="B1265" s="1" t="n">
        <v>45139.61741898148</v>
      </c>
      <c r="C1265" s="1" t="n">
        <v>45969</v>
      </c>
      <c r="D1265" t="inlineStr">
        <is>
          <t>VÄRMLANDS LÄN</t>
        </is>
      </c>
      <c r="E1265" t="inlineStr">
        <is>
          <t>TORSBY</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15087-2023</t>
        </is>
      </c>
      <c r="B1266" s="1" t="n">
        <v>45016</v>
      </c>
      <c r="C1266" s="1" t="n">
        <v>45969</v>
      </c>
      <c r="D1266" t="inlineStr">
        <is>
          <t>VÄRMLANDS LÄN</t>
        </is>
      </c>
      <c r="E1266" t="inlineStr">
        <is>
          <t>TORSBY</t>
        </is>
      </c>
      <c r="F1266" t="inlineStr">
        <is>
          <t>Bergvik skog väst AB</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22715-2025</t>
        </is>
      </c>
      <c r="B1267" s="1" t="n">
        <v>45789.56496527778</v>
      </c>
      <c r="C1267" s="1" t="n">
        <v>45969</v>
      </c>
      <c r="D1267" t="inlineStr">
        <is>
          <t>VÄRMLANDS LÄN</t>
        </is>
      </c>
      <c r="E1267" t="inlineStr">
        <is>
          <t>TORSBY</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41148-2025</t>
        </is>
      </c>
      <c r="B1268" s="1" t="n">
        <v>45898</v>
      </c>
      <c r="C1268" s="1" t="n">
        <v>45969</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17001-2024</t>
        </is>
      </c>
      <c r="B1269" s="1" t="n">
        <v>45412.35605324074</v>
      </c>
      <c r="C1269" s="1" t="n">
        <v>45969</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43545-2024</t>
        </is>
      </c>
      <c r="B1270" s="1" t="n">
        <v>45569.36980324074</v>
      </c>
      <c r="C1270" s="1" t="n">
        <v>45969</v>
      </c>
      <c r="D1270" t="inlineStr">
        <is>
          <t>VÄRMLANDS LÄN</t>
        </is>
      </c>
      <c r="E1270" t="inlineStr">
        <is>
          <t>TORSBY</t>
        </is>
      </c>
      <c r="F1270" t="inlineStr">
        <is>
          <t>Bergvik skog väst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49681-2025</t>
        </is>
      </c>
      <c r="B1271" s="1" t="n">
        <v>45939</v>
      </c>
      <c r="C1271" s="1" t="n">
        <v>45969</v>
      </c>
      <c r="D1271" t="inlineStr">
        <is>
          <t>VÄRMLANDS LÄN</t>
        </is>
      </c>
      <c r="E1271" t="inlineStr">
        <is>
          <t>TORSBY</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22593-2025</t>
        </is>
      </c>
      <c r="B1272" s="1" t="n">
        <v>45789.41113425926</v>
      </c>
      <c r="C1272" s="1" t="n">
        <v>45969</v>
      </c>
      <c r="D1272" t="inlineStr">
        <is>
          <t>VÄRMLANDS LÄN</t>
        </is>
      </c>
      <c r="E1272" t="inlineStr">
        <is>
          <t>TORSBY</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49622-2025</t>
        </is>
      </c>
      <c r="B1273" s="1" t="n">
        <v>45939</v>
      </c>
      <c r="C1273" s="1" t="n">
        <v>45969</v>
      </c>
      <c r="D1273" t="inlineStr">
        <is>
          <t>VÄRMLANDS LÄN</t>
        </is>
      </c>
      <c r="E1273" t="inlineStr">
        <is>
          <t>TORSBY</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49638-2025</t>
        </is>
      </c>
      <c r="B1274" s="1" t="n">
        <v>45939.61236111111</v>
      </c>
      <c r="C1274" s="1" t="n">
        <v>45969</v>
      </c>
      <c r="D1274" t="inlineStr">
        <is>
          <t>VÄRMLANDS LÄN</t>
        </is>
      </c>
      <c r="E1274" t="inlineStr">
        <is>
          <t>TORSBY</t>
        </is>
      </c>
      <c r="F1274" t="inlineStr">
        <is>
          <t>Bergvik skog väst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7101-2025</t>
        </is>
      </c>
      <c r="B1275" s="1" t="n">
        <v>45701</v>
      </c>
      <c r="C1275" s="1" t="n">
        <v>45969</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22845-2025</t>
        </is>
      </c>
      <c r="B1276" s="1" t="n">
        <v>45790</v>
      </c>
      <c r="C1276" s="1" t="n">
        <v>45969</v>
      </c>
      <c r="D1276" t="inlineStr">
        <is>
          <t>VÄRMLANDS LÄN</t>
        </is>
      </c>
      <c r="E1276" t="inlineStr">
        <is>
          <t>TORSBY</t>
        </is>
      </c>
      <c r="F1276" t="inlineStr">
        <is>
          <t>Bergvik skog väst AB</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22708-2025</t>
        </is>
      </c>
      <c r="B1277" s="1" t="n">
        <v>45789.55561342592</v>
      </c>
      <c r="C1277" s="1" t="n">
        <v>45969</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28329-2024</t>
        </is>
      </c>
      <c r="B1278" s="1" t="n">
        <v>45477</v>
      </c>
      <c r="C1278" s="1" t="n">
        <v>45969</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22757-2025</t>
        </is>
      </c>
      <c r="B1279" s="1" t="n">
        <v>45789.61908564815</v>
      </c>
      <c r="C1279" s="1" t="n">
        <v>45969</v>
      </c>
      <c r="D1279" t="inlineStr">
        <is>
          <t>VÄRMLANDS LÄN</t>
        </is>
      </c>
      <c r="E1279" t="inlineStr">
        <is>
          <t>TORSBY</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4070-2024</t>
        </is>
      </c>
      <c r="B1280" s="1" t="n">
        <v>45323</v>
      </c>
      <c r="C1280" s="1" t="n">
        <v>45969</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22316-2025</t>
        </is>
      </c>
      <c r="B1281" s="1" t="n">
        <v>45786.39013888889</v>
      </c>
      <c r="C1281" s="1" t="n">
        <v>45969</v>
      </c>
      <c r="D1281" t="inlineStr">
        <is>
          <t>VÄRMLANDS LÄN</t>
        </is>
      </c>
      <c r="E1281" t="inlineStr">
        <is>
          <t>TORSBY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22596-2025</t>
        </is>
      </c>
      <c r="B1282" s="1" t="n">
        <v>45789.41362268518</v>
      </c>
      <c r="C1282" s="1" t="n">
        <v>45969</v>
      </c>
      <c r="D1282" t="inlineStr">
        <is>
          <t>VÄRMLANDS LÄN</t>
        </is>
      </c>
      <c r="E1282" t="inlineStr">
        <is>
          <t>TORSBY</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30267-2023</t>
        </is>
      </c>
      <c r="B1283" s="1" t="n">
        <v>45110.75915509259</v>
      </c>
      <c r="C1283" s="1" t="n">
        <v>45969</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30269-2023</t>
        </is>
      </c>
      <c r="B1284" s="1" t="n">
        <v>45110.76082175926</v>
      </c>
      <c r="C1284" s="1" t="n">
        <v>45969</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70926-2021</t>
        </is>
      </c>
      <c r="B1285" s="1" t="n">
        <v>44538</v>
      </c>
      <c r="C1285" s="1" t="n">
        <v>45969</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21580-2024</t>
        </is>
      </c>
      <c r="B1286" s="1" t="n">
        <v>45441</v>
      </c>
      <c r="C1286" s="1" t="n">
        <v>45969</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36558-2024</t>
        </is>
      </c>
      <c r="B1287" s="1" t="n">
        <v>45537</v>
      </c>
      <c r="C1287" s="1" t="n">
        <v>45969</v>
      </c>
      <c r="D1287" t="inlineStr">
        <is>
          <t>VÄRMLANDS LÄN</t>
        </is>
      </c>
      <c r="E1287" t="inlineStr">
        <is>
          <t>TORSBY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19253-2025</t>
        </is>
      </c>
      <c r="B1288" s="1" t="n">
        <v>45769</v>
      </c>
      <c r="C1288" s="1" t="n">
        <v>45969</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22954-2025</t>
        </is>
      </c>
      <c r="B1289" s="1" t="n">
        <v>45790.5184375</v>
      </c>
      <c r="C1289" s="1" t="n">
        <v>45969</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10979-2025</t>
        </is>
      </c>
      <c r="B1290" s="1" t="n">
        <v>45723.39988425926</v>
      </c>
      <c r="C1290" s="1" t="n">
        <v>45969</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22760-2025</t>
        </is>
      </c>
      <c r="B1291" s="1" t="n">
        <v>45789</v>
      </c>
      <c r="C1291" s="1" t="n">
        <v>45969</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46343-2024</t>
        </is>
      </c>
      <c r="B1292" s="1" t="n">
        <v>45582</v>
      </c>
      <c r="C1292" s="1" t="n">
        <v>45969</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14709-2023</t>
        </is>
      </c>
      <c r="B1293" s="1" t="n">
        <v>45014.41900462963</v>
      </c>
      <c r="C1293" s="1" t="n">
        <v>45969</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44943.48373842592</v>
      </c>
      <c r="C1294" s="1" t="n">
        <v>45969</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30370-2023</t>
        </is>
      </c>
      <c r="B1295" s="1" t="n">
        <v>45111</v>
      </c>
      <c r="C1295" s="1" t="n">
        <v>45969</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7636-2024</t>
        </is>
      </c>
      <c r="B1296" s="1" t="n">
        <v>45348</v>
      </c>
      <c r="C1296" s="1" t="n">
        <v>45969</v>
      </c>
      <c r="D1296" t="inlineStr">
        <is>
          <t>VÄRMLANDS LÄN</t>
        </is>
      </c>
      <c r="E1296" t="inlineStr">
        <is>
          <t>TORSBY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5351-2024</t>
        </is>
      </c>
      <c r="B1297" s="1" t="n">
        <v>45331.45199074074</v>
      </c>
      <c r="C1297" s="1" t="n">
        <v>45969</v>
      </c>
      <c r="D1297" t="inlineStr">
        <is>
          <t>VÄRMLANDS LÄN</t>
        </is>
      </c>
      <c r="E1297" t="inlineStr">
        <is>
          <t>TORSBY</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23367-2025</t>
        </is>
      </c>
      <c r="B1298" s="1" t="n">
        <v>45791.69582175926</v>
      </c>
      <c r="C1298" s="1" t="n">
        <v>45969</v>
      </c>
      <c r="D1298" t="inlineStr">
        <is>
          <t>VÄRMLANDS LÄN</t>
        </is>
      </c>
      <c r="E1298" t="inlineStr">
        <is>
          <t>TORSBY</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34906-2024</t>
        </is>
      </c>
      <c r="B1299" s="1" t="n">
        <v>45527</v>
      </c>
      <c r="C1299" s="1" t="n">
        <v>45969</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41232-2025</t>
        </is>
      </c>
      <c r="B1300" s="1" t="n">
        <v>45898</v>
      </c>
      <c r="C1300" s="1" t="n">
        <v>45969</v>
      </c>
      <c r="D1300" t="inlineStr">
        <is>
          <t>VÄRMLANDS LÄN</t>
        </is>
      </c>
      <c r="E1300" t="inlineStr">
        <is>
          <t>TORSBY</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54790-2024</t>
        </is>
      </c>
      <c r="B1301" s="1" t="n">
        <v>45618</v>
      </c>
      <c r="C1301" s="1" t="n">
        <v>45969</v>
      </c>
      <c r="D1301" t="inlineStr">
        <is>
          <t>VÄRMLANDS LÄN</t>
        </is>
      </c>
      <c r="E1301" t="inlineStr">
        <is>
          <t>TORSBY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18676-2025</t>
        </is>
      </c>
      <c r="B1302" s="1" t="n">
        <v>45763</v>
      </c>
      <c r="C1302" s="1" t="n">
        <v>45969</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62957-2023</t>
        </is>
      </c>
      <c r="B1303" s="1" t="n">
        <v>45271</v>
      </c>
      <c r="C1303" s="1" t="n">
        <v>45969</v>
      </c>
      <c r="D1303" t="inlineStr">
        <is>
          <t>VÄRMLANDS LÄN</t>
        </is>
      </c>
      <c r="E1303" t="inlineStr">
        <is>
          <t>TORSBY</t>
        </is>
      </c>
      <c r="F1303" t="inlineStr">
        <is>
          <t>Övriga statliga verk och myndigheter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24576-2025</t>
        </is>
      </c>
      <c r="B1304" s="1" t="n">
        <v>45798</v>
      </c>
      <c r="C1304" s="1" t="n">
        <v>45969</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11447-2022</t>
        </is>
      </c>
      <c r="B1305" s="1" t="n">
        <v>44630</v>
      </c>
      <c r="C1305" s="1" t="n">
        <v>45969</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58948-2024</t>
        </is>
      </c>
      <c r="B1306" s="1" t="n">
        <v>45636</v>
      </c>
      <c r="C1306" s="1" t="n">
        <v>45969</v>
      </c>
      <c r="D1306" t="inlineStr">
        <is>
          <t>VÄRMLANDS LÄN</t>
        </is>
      </c>
      <c r="E1306" t="inlineStr">
        <is>
          <t>TORSBY</t>
        </is>
      </c>
      <c r="F1306" t="inlineStr">
        <is>
          <t>Bergvik skog väst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14575-2025</t>
        </is>
      </c>
      <c r="B1307" s="1" t="n">
        <v>45742.29048611111</v>
      </c>
      <c r="C1307" s="1" t="n">
        <v>45969</v>
      </c>
      <c r="D1307" t="inlineStr">
        <is>
          <t>VÄRMLANDS LÄN</t>
        </is>
      </c>
      <c r="E1307" t="inlineStr">
        <is>
          <t>TORSBY</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23455-2025</t>
        </is>
      </c>
      <c r="B1308" s="1" t="n">
        <v>45792.42520833333</v>
      </c>
      <c r="C1308" s="1" t="n">
        <v>45969</v>
      </c>
      <c r="D1308" t="inlineStr">
        <is>
          <t>VÄRMLANDS LÄN</t>
        </is>
      </c>
      <c r="E1308" t="inlineStr">
        <is>
          <t>TORSBY</t>
        </is>
      </c>
      <c r="F1308" t="inlineStr">
        <is>
          <t>Kyrkan</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41189-2025</t>
        </is>
      </c>
      <c r="B1309" s="1" t="n">
        <v>45898</v>
      </c>
      <c r="C1309" s="1" t="n">
        <v>45969</v>
      </c>
      <c r="D1309" t="inlineStr">
        <is>
          <t>VÄRMLANDS LÄN</t>
        </is>
      </c>
      <c r="E1309" t="inlineStr">
        <is>
          <t>TORSBY</t>
        </is>
      </c>
      <c r="F1309" t="inlineStr">
        <is>
          <t>Övriga Aktiebolag</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41194-2025</t>
        </is>
      </c>
      <c r="B1310" s="1" t="n">
        <v>45898.57028935185</v>
      </c>
      <c r="C1310" s="1" t="n">
        <v>45969</v>
      </c>
      <c r="D1310" t="inlineStr">
        <is>
          <t>VÄRMLANDS LÄN</t>
        </is>
      </c>
      <c r="E1310" t="inlineStr">
        <is>
          <t>TORSBY</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31945-2024</t>
        </is>
      </c>
      <c r="B1311" s="1" t="n">
        <v>45510</v>
      </c>
      <c r="C1311" s="1" t="n">
        <v>45969</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41124-2025</t>
        </is>
      </c>
      <c r="B1312" s="1" t="n">
        <v>45898.47166666666</v>
      </c>
      <c r="C1312" s="1" t="n">
        <v>45969</v>
      </c>
      <c r="D1312" t="inlineStr">
        <is>
          <t>VÄRMLANDS LÄN</t>
        </is>
      </c>
      <c r="E1312" t="inlineStr">
        <is>
          <t>TORSBY</t>
        </is>
      </c>
      <c r="F1312" t="inlineStr">
        <is>
          <t>Bergvik skog väst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42403-2023</t>
        </is>
      </c>
      <c r="B1313" s="1" t="n">
        <v>45180.59174768518</v>
      </c>
      <c r="C1313" s="1" t="n">
        <v>45969</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11672-2025</t>
        </is>
      </c>
      <c r="B1314" s="1" t="n">
        <v>45727</v>
      </c>
      <c r="C1314" s="1" t="n">
        <v>45969</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4908-2024</t>
        </is>
      </c>
      <c r="B1315" s="1" t="n">
        <v>45329</v>
      </c>
      <c r="C1315" s="1" t="n">
        <v>45969</v>
      </c>
      <c r="D1315" t="inlineStr">
        <is>
          <t>VÄRMLANDS LÄN</t>
        </is>
      </c>
      <c r="E1315" t="inlineStr">
        <is>
          <t>TORSBY</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23280-2025</t>
        </is>
      </c>
      <c r="B1316" s="1" t="n">
        <v>45791.57217592592</v>
      </c>
      <c r="C1316" s="1" t="n">
        <v>45969</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58259-2024</t>
        </is>
      </c>
      <c r="B1317" s="1" t="n">
        <v>45632.56155092592</v>
      </c>
      <c r="C1317" s="1" t="n">
        <v>45969</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34568-2024</t>
        </is>
      </c>
      <c r="B1318" s="1" t="n">
        <v>45526</v>
      </c>
      <c r="C1318" s="1" t="n">
        <v>45969</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23557-2025</t>
        </is>
      </c>
      <c r="B1319" s="1" t="n">
        <v>45792.58086805556</v>
      </c>
      <c r="C1319" s="1" t="n">
        <v>45969</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22464-2021</t>
        </is>
      </c>
      <c r="B1320" s="1" t="n">
        <v>44326.67932870371</v>
      </c>
      <c r="C1320" s="1" t="n">
        <v>45969</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24111-2025</t>
        </is>
      </c>
      <c r="B1321" s="1" t="n">
        <v>45796.60822916667</v>
      </c>
      <c r="C1321" s="1" t="n">
        <v>45969</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33149-2025</t>
        </is>
      </c>
      <c r="B1322" s="1" t="n">
        <v>45840.54246527778</v>
      </c>
      <c r="C1322" s="1" t="n">
        <v>45969</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46166-2024</t>
        </is>
      </c>
      <c r="B1323" s="1" t="n">
        <v>45581</v>
      </c>
      <c r="C1323" s="1" t="n">
        <v>45969</v>
      </c>
      <c r="D1323" t="inlineStr">
        <is>
          <t>VÄRMLANDS LÄN</t>
        </is>
      </c>
      <c r="E1323" t="inlineStr">
        <is>
          <t>TORSBY</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23287-2025</t>
        </is>
      </c>
      <c r="B1324" s="1" t="n">
        <v>45791.5816087963</v>
      </c>
      <c r="C1324" s="1" t="n">
        <v>45969</v>
      </c>
      <c r="D1324" t="inlineStr">
        <is>
          <t>VÄRMLANDS LÄN</t>
        </is>
      </c>
      <c r="E1324" t="inlineStr">
        <is>
          <t>TORSBY</t>
        </is>
      </c>
      <c r="F1324" t="inlineStr">
        <is>
          <t>Bergvik skog väst AB</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41471-2025</t>
        </is>
      </c>
      <c r="B1325" s="1" t="n">
        <v>45901.46770833333</v>
      </c>
      <c r="C1325" s="1" t="n">
        <v>45969</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50373-2025</t>
        </is>
      </c>
      <c r="B1326" s="1" t="n">
        <v>45944.59106481481</v>
      </c>
      <c r="C1326" s="1" t="n">
        <v>45969</v>
      </c>
      <c r="D1326" t="inlineStr">
        <is>
          <t>VÄRMLANDS LÄN</t>
        </is>
      </c>
      <c r="E1326" t="inlineStr">
        <is>
          <t>TORSBY</t>
        </is>
      </c>
      <c r="F1326" t="inlineStr">
        <is>
          <t>Bergvik skog väst AB</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46456-2024</t>
        </is>
      </c>
      <c r="B1327" s="1" t="n">
        <v>45582</v>
      </c>
      <c r="C1327" s="1" t="n">
        <v>45969</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22536-2024</t>
        </is>
      </c>
      <c r="B1328" s="1" t="n">
        <v>45447</v>
      </c>
      <c r="C1328" s="1" t="n">
        <v>45969</v>
      </c>
      <c r="D1328" t="inlineStr">
        <is>
          <t>VÄRMLANDS LÄN</t>
        </is>
      </c>
      <c r="E1328" t="inlineStr">
        <is>
          <t>TORSBY</t>
        </is>
      </c>
      <c r="G1328" t="n">
        <v>25.2</v>
      </c>
      <c r="H1328" t="n">
        <v>0</v>
      </c>
      <c r="I1328" t="n">
        <v>0</v>
      </c>
      <c r="J1328" t="n">
        <v>0</v>
      </c>
      <c r="K1328" t="n">
        <v>0</v>
      </c>
      <c r="L1328" t="n">
        <v>0</v>
      </c>
      <c r="M1328" t="n">
        <v>0</v>
      </c>
      <c r="N1328" t="n">
        <v>0</v>
      </c>
      <c r="O1328" t="n">
        <v>0</v>
      </c>
      <c r="P1328" t="n">
        <v>0</v>
      </c>
      <c r="Q1328" t="n">
        <v>0</v>
      </c>
      <c r="R1328" s="2" t="inlineStr"/>
    </row>
    <row r="1329" ht="15" customHeight="1">
      <c r="A1329" t="inlineStr">
        <is>
          <t>A 4078-2024</t>
        </is>
      </c>
      <c r="B1329" s="1" t="n">
        <v>45323</v>
      </c>
      <c r="C1329" s="1" t="n">
        <v>45969</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42656-2023</t>
        </is>
      </c>
      <c r="B1330" s="1" t="n">
        <v>45181.53928240741</v>
      </c>
      <c r="C1330" s="1" t="n">
        <v>45969</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41478-2025</t>
        </is>
      </c>
      <c r="B1331" s="1" t="n">
        <v>45901</v>
      </c>
      <c r="C1331" s="1" t="n">
        <v>45969</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50680-2023</t>
        </is>
      </c>
      <c r="B1332" s="1" t="n">
        <v>45217.5165625</v>
      </c>
      <c r="C1332" s="1" t="n">
        <v>45969</v>
      </c>
      <c r="D1332" t="inlineStr">
        <is>
          <t>VÄRMLANDS LÄN</t>
        </is>
      </c>
      <c r="E1332" t="inlineStr">
        <is>
          <t>TORSBY</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41416-2025</t>
        </is>
      </c>
      <c r="B1333" s="1" t="n">
        <v>45901</v>
      </c>
      <c r="C1333" s="1" t="n">
        <v>45969</v>
      </c>
      <c r="D1333" t="inlineStr">
        <is>
          <t>VÄRMLANDS LÄN</t>
        </is>
      </c>
      <c r="E1333" t="inlineStr">
        <is>
          <t>TORSBY</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41711-2025</t>
        </is>
      </c>
      <c r="B1334" s="1" t="n">
        <v>45902.43106481482</v>
      </c>
      <c r="C1334" s="1" t="n">
        <v>45969</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24069-2025</t>
        </is>
      </c>
      <c r="B1335" s="1" t="n">
        <v>45796.53997685185</v>
      </c>
      <c r="C1335" s="1" t="n">
        <v>45969</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24112-2025</t>
        </is>
      </c>
      <c r="B1336" s="1" t="n">
        <v>45796</v>
      </c>
      <c r="C1336" s="1" t="n">
        <v>45969</v>
      </c>
      <c r="D1336" t="inlineStr">
        <is>
          <t>VÄRMLANDS LÄN</t>
        </is>
      </c>
      <c r="E1336" t="inlineStr">
        <is>
          <t>TORSBY</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41376-2025</t>
        </is>
      </c>
      <c r="B1337" s="1" t="n">
        <v>45900.84105324074</v>
      </c>
      <c r="C1337" s="1" t="n">
        <v>45969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41634-2025</t>
        </is>
      </c>
      <c r="B1338" s="1" t="n">
        <v>45902</v>
      </c>
      <c r="C1338" s="1" t="n">
        <v>45969</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52592-2024</t>
        </is>
      </c>
      <c r="B1339" s="1" t="n">
        <v>45609</v>
      </c>
      <c r="C1339" s="1" t="n">
        <v>45969</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45231-2023</t>
        </is>
      </c>
      <c r="B1340" s="1" t="n">
        <v>45191</v>
      </c>
      <c r="C1340" s="1" t="n">
        <v>45969</v>
      </c>
      <c r="D1340" t="inlineStr">
        <is>
          <t>VÄRMLANDS LÄN</t>
        </is>
      </c>
      <c r="E1340" t="inlineStr">
        <is>
          <t>TORSBY</t>
        </is>
      </c>
      <c r="F1340" t="inlineStr">
        <is>
          <t>Bergvik skog väst AB</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43988-2024</t>
        </is>
      </c>
      <c r="B1341" s="1" t="n">
        <v>45572</v>
      </c>
      <c r="C1341" s="1" t="n">
        <v>45969</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41740-2025</t>
        </is>
      </c>
      <c r="B1342" s="1" t="n">
        <v>45902</v>
      </c>
      <c r="C1342" s="1" t="n">
        <v>45969</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41746-2025</t>
        </is>
      </c>
      <c r="B1343" s="1" t="n">
        <v>45902.48660879629</v>
      </c>
      <c r="C1343" s="1" t="n">
        <v>45969</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43599-2023</t>
        </is>
      </c>
      <c r="B1344" s="1" t="n">
        <v>45184</v>
      </c>
      <c r="C1344" s="1" t="n">
        <v>45969</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73324-2021</t>
        </is>
      </c>
      <c r="B1345" s="1" t="n">
        <v>44550</v>
      </c>
      <c r="C1345" s="1" t="n">
        <v>45969</v>
      </c>
      <c r="D1345" t="inlineStr">
        <is>
          <t>VÄRMLANDS LÄN</t>
        </is>
      </c>
      <c r="E1345" t="inlineStr">
        <is>
          <t>TORSBY</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37985-2022</t>
        </is>
      </c>
      <c r="B1346" s="1" t="n">
        <v>44811</v>
      </c>
      <c r="C1346" s="1" t="n">
        <v>45969</v>
      </c>
      <c r="D1346" t="inlineStr">
        <is>
          <t>VÄRMLANDS LÄN</t>
        </is>
      </c>
      <c r="E1346" t="inlineStr">
        <is>
          <t>TORSBY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60710-2024</t>
        </is>
      </c>
      <c r="B1347" s="1" t="n">
        <v>45643</v>
      </c>
      <c r="C1347" s="1" t="n">
        <v>45969</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11427-2025</t>
        </is>
      </c>
      <c r="B1348" s="1" t="n">
        <v>45726</v>
      </c>
      <c r="C1348" s="1" t="n">
        <v>45969</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14624-2023</t>
        </is>
      </c>
      <c r="B1349" s="1" t="n">
        <v>45013</v>
      </c>
      <c r="C1349" s="1" t="n">
        <v>45969</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11868-2025</t>
        </is>
      </c>
      <c r="B1350" s="1" t="n">
        <v>45728.4225</v>
      </c>
      <c r="C1350" s="1" t="n">
        <v>45969</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23741-2025</t>
        </is>
      </c>
      <c r="B1351" s="1" t="n">
        <v>45793</v>
      </c>
      <c r="C1351" s="1" t="n">
        <v>45969</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24026-2025</t>
        </is>
      </c>
      <c r="B1352" s="1" t="n">
        <v>45796.46841435185</v>
      </c>
      <c r="C1352" s="1" t="n">
        <v>45969</v>
      </c>
      <c r="D1352" t="inlineStr">
        <is>
          <t>VÄRMLANDS LÄN</t>
        </is>
      </c>
      <c r="E1352" t="inlineStr">
        <is>
          <t>TORSBY</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33069-2022</t>
        </is>
      </c>
      <c r="B1353" s="1" t="n">
        <v>44785</v>
      </c>
      <c r="C1353" s="1" t="n">
        <v>45969</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22705-2023</t>
        </is>
      </c>
      <c r="B1354" s="1" t="n">
        <v>45071</v>
      </c>
      <c r="C1354" s="1" t="n">
        <v>45969</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23677-2025</t>
        </is>
      </c>
      <c r="B1355" s="1" t="n">
        <v>45793.31969907408</v>
      </c>
      <c r="C1355" s="1" t="n">
        <v>45969</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53358-2024</t>
        </is>
      </c>
      <c r="B1356" s="1" t="n">
        <v>45614</v>
      </c>
      <c r="C1356" s="1" t="n">
        <v>45969</v>
      </c>
      <c r="D1356" t="inlineStr">
        <is>
          <t>VÄRMLANDS LÄN</t>
        </is>
      </c>
      <c r="E1356" t="inlineStr">
        <is>
          <t>TORSBY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8054-2022</t>
        </is>
      </c>
      <c r="B1357" s="1" t="n">
        <v>44609</v>
      </c>
      <c r="C1357" s="1" t="n">
        <v>45969</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2195-2025</t>
        </is>
      </c>
      <c r="B1358" s="1" t="n">
        <v>45673.38138888889</v>
      </c>
      <c r="C1358" s="1" t="n">
        <v>45969</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46914-2024</t>
        </is>
      </c>
      <c r="B1359" s="1" t="n">
        <v>45583.7577662037</v>
      </c>
      <c r="C1359" s="1" t="n">
        <v>45969</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32319-2024</t>
        </is>
      </c>
      <c r="B1360" s="1" t="n">
        <v>45512.4621875</v>
      </c>
      <c r="C1360" s="1" t="n">
        <v>45969</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40207-2023</t>
        </is>
      </c>
      <c r="B1361" s="1" t="n">
        <v>45169.44604166667</v>
      </c>
      <c r="C1361" s="1" t="n">
        <v>45969</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24607-2025</t>
        </is>
      </c>
      <c r="B1362" s="1" t="n">
        <v>45798.57608796296</v>
      </c>
      <c r="C1362" s="1" t="n">
        <v>45969</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24425-2025</t>
        </is>
      </c>
      <c r="B1363" s="1" t="n">
        <v>45797</v>
      </c>
      <c r="C1363" s="1" t="n">
        <v>45969</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60272-2024</t>
        </is>
      </c>
      <c r="B1364" s="1" t="n">
        <v>45642</v>
      </c>
      <c r="C1364" s="1" t="n">
        <v>45969</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39772-2024</t>
        </is>
      </c>
      <c r="B1365" s="1" t="n">
        <v>45552</v>
      </c>
      <c r="C1365" s="1" t="n">
        <v>45969</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45134-2024</t>
        </is>
      </c>
      <c r="B1366" s="1" t="n">
        <v>45575</v>
      </c>
      <c r="C1366" s="1" t="n">
        <v>45969</v>
      </c>
      <c r="D1366" t="inlineStr">
        <is>
          <t>VÄRMLANDS LÄN</t>
        </is>
      </c>
      <c r="E1366" t="inlineStr">
        <is>
          <t>TORSBY</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42473-2023</t>
        </is>
      </c>
      <c r="B1367" s="1" t="n">
        <v>45180</v>
      </c>
      <c r="C1367" s="1" t="n">
        <v>45969</v>
      </c>
      <c r="D1367" t="inlineStr">
        <is>
          <t>VÄRMLANDS LÄN</t>
        </is>
      </c>
      <c r="E1367" t="inlineStr">
        <is>
          <t>TORSBY</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73553-2021</t>
        </is>
      </c>
      <c r="B1368" s="1" t="n">
        <v>44551</v>
      </c>
      <c r="C1368" s="1" t="n">
        <v>45969</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44342-2024</t>
        </is>
      </c>
      <c r="B1369" s="1" t="n">
        <v>45573.61793981482</v>
      </c>
      <c r="C1369" s="1" t="n">
        <v>45969</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41744-2025</t>
        </is>
      </c>
      <c r="B1370" s="1" t="n">
        <v>45902</v>
      </c>
      <c r="C1370" s="1" t="n">
        <v>45969</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56509-2024</t>
        </is>
      </c>
      <c r="B1371" s="1" t="n">
        <v>45625</v>
      </c>
      <c r="C1371" s="1" t="n">
        <v>45969</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24411-2025</t>
        </is>
      </c>
      <c r="B1372" s="1" t="n">
        <v>45797</v>
      </c>
      <c r="C1372" s="1" t="n">
        <v>45969</v>
      </c>
      <c r="D1372" t="inlineStr">
        <is>
          <t>VÄRMLANDS LÄN</t>
        </is>
      </c>
      <c r="E1372" t="inlineStr">
        <is>
          <t>TORSBY</t>
        </is>
      </c>
      <c r="F1372" t="inlineStr">
        <is>
          <t>Övriga statliga verk och myndigheter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24528-2025</t>
        </is>
      </c>
      <c r="B1373" s="1" t="n">
        <v>45798.42680555556</v>
      </c>
      <c r="C1373" s="1" t="n">
        <v>45969</v>
      </c>
      <c r="D1373" t="inlineStr">
        <is>
          <t>VÄRMLANDS LÄN</t>
        </is>
      </c>
      <c r="E1373" t="inlineStr">
        <is>
          <t>TORSBY</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24318-2025</t>
        </is>
      </c>
      <c r="B1374" s="1" t="n">
        <v>45797.54879629629</v>
      </c>
      <c r="C1374" s="1" t="n">
        <v>45969</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41627-2025</t>
        </is>
      </c>
      <c r="B1375" s="1" t="n">
        <v>45901.79328703704</v>
      </c>
      <c r="C1375" s="1" t="n">
        <v>45969</v>
      </c>
      <c r="D1375" t="inlineStr">
        <is>
          <t>VÄRMLANDS LÄN</t>
        </is>
      </c>
      <c r="E1375" t="inlineStr">
        <is>
          <t>TORSBY</t>
        </is>
      </c>
      <c r="F1375" t="inlineStr">
        <is>
          <t>Bergvik skog väst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22634-2023</t>
        </is>
      </c>
      <c r="B1376" s="1" t="n">
        <v>45071</v>
      </c>
      <c r="C1376" s="1" t="n">
        <v>45969</v>
      </c>
      <c r="D1376" t="inlineStr">
        <is>
          <t>VÄRMLANDS LÄN</t>
        </is>
      </c>
      <c r="E1376" t="inlineStr">
        <is>
          <t>TORSBY</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24251-2025</t>
        </is>
      </c>
      <c r="B1377" s="1" t="n">
        <v>45797</v>
      </c>
      <c r="C1377" s="1" t="n">
        <v>45969</v>
      </c>
      <c r="D1377" t="inlineStr">
        <is>
          <t>VÄRMLANDS LÄN</t>
        </is>
      </c>
      <c r="E1377" t="inlineStr">
        <is>
          <t>TORSBY</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57469-2024</t>
        </is>
      </c>
      <c r="B1378" s="1" t="n">
        <v>45630</v>
      </c>
      <c r="C1378" s="1" t="n">
        <v>45969</v>
      </c>
      <c r="D1378" t="inlineStr">
        <is>
          <t>VÄRMLANDS LÄN</t>
        </is>
      </c>
      <c r="E1378" t="inlineStr">
        <is>
          <t>TORSBY</t>
        </is>
      </c>
      <c r="F1378" t="inlineStr">
        <is>
          <t>Bergvik skog väst AB</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24597-2025</t>
        </is>
      </c>
      <c r="B1379" s="1" t="n">
        <v>45798</v>
      </c>
      <c r="C1379" s="1" t="n">
        <v>45969</v>
      </c>
      <c r="D1379" t="inlineStr">
        <is>
          <t>VÄRMLANDS LÄN</t>
        </is>
      </c>
      <c r="E1379" t="inlineStr">
        <is>
          <t>TORSBY</t>
        </is>
      </c>
      <c r="F1379" t="inlineStr">
        <is>
          <t>Övriga statliga verk och myndigheter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24599-2025</t>
        </is>
      </c>
      <c r="B1380" s="1" t="n">
        <v>45798.56230324074</v>
      </c>
      <c r="C1380" s="1" t="n">
        <v>45969</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24204-2025</t>
        </is>
      </c>
      <c r="B1381" s="1" t="n">
        <v>45797.31824074074</v>
      </c>
      <c r="C1381" s="1" t="n">
        <v>45969</v>
      </c>
      <c r="D1381" t="inlineStr">
        <is>
          <t>VÄRMLANDS LÄN</t>
        </is>
      </c>
      <c r="E1381" t="inlineStr">
        <is>
          <t>TORSBY</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2699-2022</t>
        </is>
      </c>
      <c r="B1382" s="1" t="n">
        <v>44580.62828703703</v>
      </c>
      <c r="C1382" s="1" t="n">
        <v>45969</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24260-2025</t>
        </is>
      </c>
      <c r="B1383" s="1" t="n">
        <v>45797</v>
      </c>
      <c r="C1383" s="1" t="n">
        <v>45969</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9226-2025</t>
        </is>
      </c>
      <c r="B1384" s="1" t="n">
        <v>45714</v>
      </c>
      <c r="C1384" s="1" t="n">
        <v>45969</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5289-2022</t>
        </is>
      </c>
      <c r="B1385" s="1" t="n">
        <v>44594.61883101852</v>
      </c>
      <c r="C1385" s="1" t="n">
        <v>45969</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38979-2023</t>
        </is>
      </c>
      <c r="B1386" s="1" t="n">
        <v>45163.64584490741</v>
      </c>
      <c r="C1386" s="1" t="n">
        <v>45969</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33232-2024</t>
        </is>
      </c>
      <c r="B1387" s="1" t="n">
        <v>45518</v>
      </c>
      <c r="C1387" s="1" t="n">
        <v>45969</v>
      </c>
      <c r="D1387" t="inlineStr">
        <is>
          <t>VÄRMLANDS LÄN</t>
        </is>
      </c>
      <c r="E1387" t="inlineStr">
        <is>
          <t>TORSBY</t>
        </is>
      </c>
      <c r="F1387" t="inlineStr">
        <is>
          <t>Bergvik skog väst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25428-2025</t>
        </is>
      </c>
      <c r="B1388" s="1" t="n">
        <v>45800.71540509259</v>
      </c>
      <c r="C1388" s="1" t="n">
        <v>45969</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25353-2025</t>
        </is>
      </c>
      <c r="B1389" s="1" t="n">
        <v>45800.61553240741</v>
      </c>
      <c r="C1389" s="1" t="n">
        <v>45969</v>
      </c>
      <c r="D1389" t="inlineStr">
        <is>
          <t>VÄRMLANDS LÄN</t>
        </is>
      </c>
      <c r="E1389" t="inlineStr">
        <is>
          <t>TORSBY</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25186-2025</t>
        </is>
      </c>
      <c r="B1390" s="1" t="n">
        <v>45800.45247685185</v>
      </c>
      <c r="C1390" s="1" t="n">
        <v>45969</v>
      </c>
      <c r="D1390" t="inlineStr">
        <is>
          <t>VÄRMLANDS LÄN</t>
        </is>
      </c>
      <c r="E1390" t="inlineStr">
        <is>
          <t>TORSBY</t>
        </is>
      </c>
      <c r="F1390" t="inlineStr">
        <is>
          <t>Kyrkan</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24726-2025</t>
        </is>
      </c>
      <c r="B1391" s="1" t="n">
        <v>45799.32805555555</v>
      </c>
      <c r="C1391" s="1" t="n">
        <v>45969</v>
      </c>
      <c r="D1391" t="inlineStr">
        <is>
          <t>VÄRMLANDS LÄN</t>
        </is>
      </c>
      <c r="E1391" t="inlineStr">
        <is>
          <t>TORSBY</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11581-2025</t>
        </is>
      </c>
      <c r="B1392" s="1" t="n">
        <v>45727</v>
      </c>
      <c r="C1392" s="1" t="n">
        <v>45969</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64602-2023</t>
        </is>
      </c>
      <c r="B1393" s="1" t="n">
        <v>45281.50085648148</v>
      </c>
      <c r="C1393" s="1" t="n">
        <v>45969</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53044-2024</t>
        </is>
      </c>
      <c r="B1394" s="1" t="n">
        <v>45611.44701388889</v>
      </c>
      <c r="C1394" s="1" t="n">
        <v>45969</v>
      </c>
      <c r="D1394" t="inlineStr">
        <is>
          <t>VÄRMLANDS LÄN</t>
        </is>
      </c>
      <c r="E1394" t="inlineStr">
        <is>
          <t>TORSBY</t>
        </is>
      </c>
      <c r="F1394" t="inlineStr">
        <is>
          <t>Kyrkan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25218-2025</t>
        </is>
      </c>
      <c r="B1395" s="1" t="n">
        <v>45800.4766087963</v>
      </c>
      <c r="C1395" s="1" t="n">
        <v>45969</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64641-2023</t>
        </is>
      </c>
      <c r="B1396" s="1" t="n">
        <v>45281.55908564815</v>
      </c>
      <c r="C1396" s="1" t="n">
        <v>45969</v>
      </c>
      <c r="D1396" t="inlineStr">
        <is>
          <t>VÄRMLANDS LÄN</t>
        </is>
      </c>
      <c r="E1396" t="inlineStr">
        <is>
          <t>TORSBY</t>
        </is>
      </c>
      <c r="F1396" t="inlineStr">
        <is>
          <t>Bergvik skog väst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7069-2022</t>
        </is>
      </c>
      <c r="B1397" s="1" t="n">
        <v>44603</v>
      </c>
      <c r="C1397" s="1" t="n">
        <v>45969</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15398-2025</t>
        </is>
      </c>
      <c r="B1398" s="1" t="n">
        <v>45747.44309027777</v>
      </c>
      <c r="C1398" s="1" t="n">
        <v>45969</v>
      </c>
      <c r="D1398" t="inlineStr">
        <is>
          <t>VÄRMLANDS LÄN</t>
        </is>
      </c>
      <c r="E1398" t="inlineStr">
        <is>
          <t>TORSBY</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24967-2025</t>
        </is>
      </c>
      <c r="B1399" s="1" t="n">
        <v>45799.58332175926</v>
      </c>
      <c r="C1399" s="1" t="n">
        <v>45969</v>
      </c>
      <c r="D1399" t="inlineStr">
        <is>
          <t>VÄRMLANDS LÄN</t>
        </is>
      </c>
      <c r="E1399" t="inlineStr">
        <is>
          <t>TORSBY</t>
        </is>
      </c>
      <c r="F1399" t="inlineStr">
        <is>
          <t>Bergvik skog väst AB</t>
        </is>
      </c>
      <c r="G1399" t="n">
        <v>17.6</v>
      </c>
      <c r="H1399" t="n">
        <v>0</v>
      </c>
      <c r="I1399" t="n">
        <v>0</v>
      </c>
      <c r="J1399" t="n">
        <v>0</v>
      </c>
      <c r="K1399" t="n">
        <v>0</v>
      </c>
      <c r="L1399" t="n">
        <v>0</v>
      </c>
      <c r="M1399" t="n">
        <v>0</v>
      </c>
      <c r="N1399" t="n">
        <v>0</v>
      </c>
      <c r="O1399" t="n">
        <v>0</v>
      </c>
      <c r="P1399" t="n">
        <v>0</v>
      </c>
      <c r="Q1399" t="n">
        <v>0</v>
      </c>
      <c r="R1399" s="2" t="inlineStr"/>
    </row>
    <row r="1400" ht="15" customHeight="1">
      <c r="A1400" t="inlineStr">
        <is>
          <t>A 42308-2025</t>
        </is>
      </c>
      <c r="B1400" s="1" t="n">
        <v>45904</v>
      </c>
      <c r="C1400" s="1" t="n">
        <v>45969</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42352-2025</t>
        </is>
      </c>
      <c r="B1401" s="1" t="n">
        <v>45904</v>
      </c>
      <c r="C1401" s="1" t="n">
        <v>45969</v>
      </c>
      <c r="D1401" t="inlineStr">
        <is>
          <t>VÄRMLANDS LÄN</t>
        </is>
      </c>
      <c r="E1401" t="inlineStr">
        <is>
          <t>TORSBY</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49203-2025</t>
        </is>
      </c>
      <c r="B1402" s="1" t="n">
        <v>45938</v>
      </c>
      <c r="C1402" s="1" t="n">
        <v>45969</v>
      </c>
      <c r="D1402" t="inlineStr">
        <is>
          <t>VÄRMLANDS LÄN</t>
        </is>
      </c>
      <c r="E1402" t="inlineStr">
        <is>
          <t>TORSBY</t>
        </is>
      </c>
      <c r="F1402" t="inlineStr">
        <is>
          <t>Bergvik skog väst AB</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44497-2023</t>
        </is>
      </c>
      <c r="B1403" s="1" t="n">
        <v>45189.45701388889</v>
      </c>
      <c r="C1403" s="1" t="n">
        <v>45969</v>
      </c>
      <c r="D1403" t="inlineStr">
        <is>
          <t>VÄRMLANDS LÄN</t>
        </is>
      </c>
      <c r="E1403" t="inlineStr">
        <is>
          <t>TORSBY</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1528-2025</t>
        </is>
      </c>
      <c r="B1404" s="1" t="n">
        <v>45670</v>
      </c>
      <c r="C1404" s="1" t="n">
        <v>45969</v>
      </c>
      <c r="D1404" t="inlineStr">
        <is>
          <t>VÄRMLANDS LÄN</t>
        </is>
      </c>
      <c r="E1404" t="inlineStr">
        <is>
          <t>TORSBY</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24757-2025</t>
        </is>
      </c>
      <c r="B1405" s="1" t="n">
        <v>45799</v>
      </c>
      <c r="C1405" s="1" t="n">
        <v>45969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43732-2022</t>
        </is>
      </c>
      <c r="B1406" s="1" t="n">
        <v>44837.69357638889</v>
      </c>
      <c r="C1406" s="1" t="n">
        <v>45969</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25369-2025</t>
        </is>
      </c>
      <c r="B1407" s="1" t="n">
        <v>45800.63046296296</v>
      </c>
      <c r="C1407" s="1" t="n">
        <v>45969</v>
      </c>
      <c r="D1407" t="inlineStr">
        <is>
          <t>VÄRMLANDS LÄN</t>
        </is>
      </c>
      <c r="E1407" t="inlineStr">
        <is>
          <t>TORSBY</t>
        </is>
      </c>
      <c r="F1407" t="inlineStr">
        <is>
          <t>Bergvik skog väst AB</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25328-2025</t>
        </is>
      </c>
      <c r="B1408" s="1" t="n">
        <v>45800</v>
      </c>
      <c r="C1408" s="1" t="n">
        <v>45969</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41895-2025</t>
        </is>
      </c>
      <c r="B1409" s="1" t="n">
        <v>45903.38645833333</v>
      </c>
      <c r="C1409" s="1" t="n">
        <v>45969</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25050-2025</t>
        </is>
      </c>
      <c r="B1410" s="1" t="n">
        <v>45799</v>
      </c>
      <c r="C1410" s="1" t="n">
        <v>45969</v>
      </c>
      <c r="D1410" t="inlineStr">
        <is>
          <t>VÄRMLANDS LÄN</t>
        </is>
      </c>
      <c r="E1410" t="inlineStr">
        <is>
          <t>TORSBY</t>
        </is>
      </c>
      <c r="F1410" t="inlineStr">
        <is>
          <t>Bergvik skog väst AB</t>
        </is>
      </c>
      <c r="G1410" t="n">
        <v>39.7</v>
      </c>
      <c r="H1410" t="n">
        <v>0</v>
      </c>
      <c r="I1410" t="n">
        <v>0</v>
      </c>
      <c r="J1410" t="n">
        <v>0</v>
      </c>
      <c r="K1410" t="n">
        <v>0</v>
      </c>
      <c r="L1410" t="n">
        <v>0</v>
      </c>
      <c r="M1410" t="n">
        <v>0</v>
      </c>
      <c r="N1410" t="n">
        <v>0</v>
      </c>
      <c r="O1410" t="n">
        <v>0</v>
      </c>
      <c r="P1410" t="n">
        <v>0</v>
      </c>
      <c r="Q1410" t="n">
        <v>0</v>
      </c>
      <c r="R1410" s="2" t="inlineStr"/>
    </row>
    <row r="1411" ht="15" customHeight="1">
      <c r="A1411" t="inlineStr">
        <is>
          <t>A 2506-2025</t>
        </is>
      </c>
      <c r="B1411" s="1" t="n">
        <v>45674</v>
      </c>
      <c r="C1411" s="1" t="n">
        <v>45969</v>
      </c>
      <c r="D1411" t="inlineStr">
        <is>
          <t>VÄRMLANDS LÄN</t>
        </is>
      </c>
      <c r="E1411" t="inlineStr">
        <is>
          <t>TORSBY</t>
        </is>
      </c>
      <c r="F1411" t="inlineStr">
        <is>
          <t>Bergvik skog väst AB</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62090-2024</t>
        </is>
      </c>
      <c r="B1412" s="1" t="n">
        <v>45656</v>
      </c>
      <c r="C1412" s="1" t="n">
        <v>45969</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62092-2024</t>
        </is>
      </c>
      <c r="B1413" s="1" t="n">
        <v>45656</v>
      </c>
      <c r="C1413" s="1" t="n">
        <v>45969</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25959-2025</t>
        </is>
      </c>
      <c r="B1414" s="1" t="n">
        <v>45804.60914351852</v>
      </c>
      <c r="C1414" s="1" t="n">
        <v>45969</v>
      </c>
      <c r="D1414" t="inlineStr">
        <is>
          <t>VÄRMLANDS LÄN</t>
        </is>
      </c>
      <c r="E1414" t="inlineStr">
        <is>
          <t>TORSBY</t>
        </is>
      </c>
      <c r="F1414" t="inlineStr">
        <is>
          <t>Bergvik skog väst AB</t>
        </is>
      </c>
      <c r="G1414" t="n">
        <v>17.6</v>
      </c>
      <c r="H1414" t="n">
        <v>0</v>
      </c>
      <c r="I1414" t="n">
        <v>0</v>
      </c>
      <c r="J1414" t="n">
        <v>0</v>
      </c>
      <c r="K1414" t="n">
        <v>0</v>
      </c>
      <c r="L1414" t="n">
        <v>0</v>
      </c>
      <c r="M1414" t="n">
        <v>0</v>
      </c>
      <c r="N1414" t="n">
        <v>0</v>
      </c>
      <c r="O1414" t="n">
        <v>0</v>
      </c>
      <c r="P1414" t="n">
        <v>0</v>
      </c>
      <c r="Q1414" t="n">
        <v>0</v>
      </c>
      <c r="R1414" s="2" t="inlineStr"/>
    </row>
    <row r="1415" ht="15" customHeight="1">
      <c r="A1415" t="inlineStr">
        <is>
          <t>A 52940-2024</t>
        </is>
      </c>
      <c r="B1415" s="1" t="n">
        <v>45610</v>
      </c>
      <c r="C1415" s="1" t="n">
        <v>45969</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42349-2025</t>
        </is>
      </c>
      <c r="B1416" s="1" t="n">
        <v>45904</v>
      </c>
      <c r="C1416" s="1" t="n">
        <v>45969</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25807-2025</t>
        </is>
      </c>
      <c r="B1417" s="1" t="n">
        <v>45804.41055555556</v>
      </c>
      <c r="C1417" s="1" t="n">
        <v>45969</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46233-2023</t>
        </is>
      </c>
      <c r="B1418" s="1" t="n">
        <v>45196.69575231482</v>
      </c>
      <c r="C1418" s="1" t="n">
        <v>45969</v>
      </c>
      <c r="D1418" t="inlineStr">
        <is>
          <t>VÄRMLANDS LÄN</t>
        </is>
      </c>
      <c r="E1418" t="inlineStr">
        <is>
          <t>TORSBY</t>
        </is>
      </c>
      <c r="F1418" t="inlineStr">
        <is>
          <t>Kyrkan</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42354-2025</t>
        </is>
      </c>
      <c r="B1419" s="1" t="n">
        <v>45904</v>
      </c>
      <c r="C1419" s="1" t="n">
        <v>45969</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25653-2025</t>
        </is>
      </c>
      <c r="B1420" s="1" t="n">
        <v>45803.61072916666</v>
      </c>
      <c r="C1420" s="1" t="n">
        <v>45969</v>
      </c>
      <c r="D1420" t="inlineStr">
        <is>
          <t>VÄRMLANDS LÄN</t>
        </is>
      </c>
      <c r="E1420" t="inlineStr">
        <is>
          <t>TORSBY</t>
        </is>
      </c>
      <c r="F1420" t="inlineStr">
        <is>
          <t>Bergvik skog väst AB</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42273-2025</t>
        </is>
      </c>
      <c r="B1421" s="1" t="n">
        <v>45904.60708333334</v>
      </c>
      <c r="C1421" s="1" t="n">
        <v>45969</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50750-2025</t>
        </is>
      </c>
      <c r="B1422" s="1" t="n">
        <v>45946.39091435185</v>
      </c>
      <c r="C1422" s="1" t="n">
        <v>45969</v>
      </c>
      <c r="D1422" t="inlineStr">
        <is>
          <t>VÄRMLANDS LÄN</t>
        </is>
      </c>
      <c r="E1422" t="inlineStr">
        <is>
          <t>TORSBY</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25881-2025</t>
        </is>
      </c>
      <c r="B1423" s="1" t="n">
        <v>45804.49729166667</v>
      </c>
      <c r="C1423" s="1" t="n">
        <v>45969</v>
      </c>
      <c r="D1423" t="inlineStr">
        <is>
          <t>VÄRMLANDS LÄN</t>
        </is>
      </c>
      <c r="E1423" t="inlineStr">
        <is>
          <t>TORSBY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25917-2025</t>
        </is>
      </c>
      <c r="B1424" s="1" t="n">
        <v>45804.56704861111</v>
      </c>
      <c r="C1424" s="1" t="n">
        <v>45969</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50906-2025</t>
        </is>
      </c>
      <c r="B1425" s="1" t="n">
        <v>45946.65119212963</v>
      </c>
      <c r="C1425" s="1" t="n">
        <v>45969</v>
      </c>
      <c r="D1425" t="inlineStr">
        <is>
          <t>VÄRMLANDS LÄN</t>
        </is>
      </c>
      <c r="E1425" t="inlineStr">
        <is>
          <t>TORSBY</t>
        </is>
      </c>
      <c r="F1425" t="inlineStr">
        <is>
          <t>Kommuner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25464-2025</t>
        </is>
      </c>
      <c r="B1426" s="1" t="n">
        <v>45802.46032407408</v>
      </c>
      <c r="C1426" s="1" t="n">
        <v>45969</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25465-2025</t>
        </is>
      </c>
      <c r="B1427" s="1" t="n">
        <v>45802.48196759259</v>
      </c>
      <c r="C1427" s="1" t="n">
        <v>45969</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42350-2025</t>
        </is>
      </c>
      <c r="B1428" s="1" t="n">
        <v>45904</v>
      </c>
      <c r="C1428" s="1" t="n">
        <v>45969</v>
      </c>
      <c r="D1428" t="inlineStr">
        <is>
          <t>VÄRMLANDS LÄN</t>
        </is>
      </c>
      <c r="E1428" t="inlineStr">
        <is>
          <t>TORSBY</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41958-2025</t>
        </is>
      </c>
      <c r="B1429" s="1" t="n">
        <v>45903.46856481482</v>
      </c>
      <c r="C1429" s="1" t="n">
        <v>45969</v>
      </c>
      <c r="D1429" t="inlineStr">
        <is>
          <t>VÄRMLANDS LÄN</t>
        </is>
      </c>
      <c r="E1429" t="inlineStr">
        <is>
          <t>TORSBY</t>
        </is>
      </c>
      <c r="F1429" t="inlineStr">
        <is>
          <t>Bergvik skog väst AB</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25443-2025</t>
        </is>
      </c>
      <c r="B1430" s="1" t="n">
        <v>45801.49258101852</v>
      </c>
      <c r="C1430" s="1" t="n">
        <v>45969</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25808-2025</t>
        </is>
      </c>
      <c r="B1431" s="1" t="n">
        <v>45804.41528935185</v>
      </c>
      <c r="C1431" s="1" t="n">
        <v>45969</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25803-2025</t>
        </is>
      </c>
      <c r="B1432" s="1" t="n">
        <v>45804.40886574074</v>
      </c>
      <c r="C1432" s="1" t="n">
        <v>45969</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42152-2025</t>
        </is>
      </c>
      <c r="B1433" s="1" t="n">
        <v>45904.3884375</v>
      </c>
      <c r="C1433" s="1" t="n">
        <v>45969</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25915-2025</t>
        </is>
      </c>
      <c r="B1434" s="1" t="n">
        <v>45804.56549768519</v>
      </c>
      <c r="C1434" s="1" t="n">
        <v>45969</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25859-2025</t>
        </is>
      </c>
      <c r="B1435" s="1" t="n">
        <v>45804.47244212963</v>
      </c>
      <c r="C1435" s="1" t="n">
        <v>45969</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43137-2024</t>
        </is>
      </c>
      <c r="B1436" s="1" t="n">
        <v>45567</v>
      </c>
      <c r="C1436" s="1" t="n">
        <v>45969</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42632-2023</t>
        </is>
      </c>
      <c r="B1437" s="1" t="n">
        <v>45181</v>
      </c>
      <c r="C1437" s="1" t="n">
        <v>45969</v>
      </c>
      <c r="D1437" t="inlineStr">
        <is>
          <t>VÄRMLANDS LÄN</t>
        </is>
      </c>
      <c r="E1437" t="inlineStr">
        <is>
          <t>TORSBY</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42635-2023</t>
        </is>
      </c>
      <c r="B1438" s="1" t="n">
        <v>45181.49310185185</v>
      </c>
      <c r="C1438" s="1" t="n">
        <v>45969</v>
      </c>
      <c r="D1438" t="inlineStr">
        <is>
          <t>VÄRMLANDS LÄN</t>
        </is>
      </c>
      <c r="E1438" t="inlineStr">
        <is>
          <t>TORSBY</t>
        </is>
      </c>
      <c r="G1438" t="n">
        <v>16.1</v>
      </c>
      <c r="H1438" t="n">
        <v>0</v>
      </c>
      <c r="I1438" t="n">
        <v>0</v>
      </c>
      <c r="J1438" t="n">
        <v>0</v>
      </c>
      <c r="K1438" t="n">
        <v>0</v>
      </c>
      <c r="L1438" t="n">
        <v>0</v>
      </c>
      <c r="M1438" t="n">
        <v>0</v>
      </c>
      <c r="N1438" t="n">
        <v>0</v>
      </c>
      <c r="O1438" t="n">
        <v>0</v>
      </c>
      <c r="P1438" t="n">
        <v>0</v>
      </c>
      <c r="Q1438" t="n">
        <v>0</v>
      </c>
      <c r="R1438" s="2" t="inlineStr"/>
    </row>
    <row r="1439" ht="15" customHeight="1">
      <c r="A1439" t="inlineStr">
        <is>
          <t>A 25545-2025</t>
        </is>
      </c>
      <c r="B1439" s="1" t="n">
        <v>45803.43763888889</v>
      </c>
      <c r="C1439" s="1" t="n">
        <v>45969</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25508-2025</t>
        </is>
      </c>
      <c r="B1440" s="1" t="n">
        <v>45803.35520833333</v>
      </c>
      <c r="C1440" s="1" t="n">
        <v>45969</v>
      </c>
      <c r="D1440" t="inlineStr">
        <is>
          <t>VÄRMLANDS LÄN</t>
        </is>
      </c>
      <c r="E1440" t="inlineStr">
        <is>
          <t>TORSBY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49159-2025</t>
        </is>
      </c>
      <c r="B1441" s="1" t="n">
        <v>45938.35060185185</v>
      </c>
      <c r="C1441" s="1" t="n">
        <v>45969</v>
      </c>
      <c r="D1441" t="inlineStr">
        <is>
          <t>VÄRMLANDS LÄN</t>
        </is>
      </c>
      <c r="E1441" t="inlineStr">
        <is>
          <t>TORSBY</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26158-2025</t>
        </is>
      </c>
      <c r="B1442" s="1" t="n">
        <v>45805</v>
      </c>
      <c r="C1442" s="1" t="n">
        <v>45969</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26061-2025</t>
        </is>
      </c>
      <c r="B1443" s="1" t="n">
        <v>45805.24886574074</v>
      </c>
      <c r="C1443" s="1" t="n">
        <v>45969</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42108-2025</t>
        </is>
      </c>
      <c r="B1444" s="1" t="n">
        <v>45903</v>
      </c>
      <c r="C1444" s="1" t="n">
        <v>45969</v>
      </c>
      <c r="D1444" t="inlineStr">
        <is>
          <t>VÄRMLANDS LÄN</t>
        </is>
      </c>
      <c r="E1444" t="inlineStr">
        <is>
          <t>TORSBY</t>
        </is>
      </c>
      <c r="F1444" t="inlineStr">
        <is>
          <t>Bergvik skog väst AB</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26231-2025</t>
        </is>
      </c>
      <c r="B1445" s="1" t="n">
        <v>45805</v>
      </c>
      <c r="C1445" s="1" t="n">
        <v>45969</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41936-2024</t>
        </is>
      </c>
      <c r="B1446" s="1" t="n">
        <v>45561</v>
      </c>
      <c r="C1446" s="1" t="n">
        <v>45969</v>
      </c>
      <c r="D1446" t="inlineStr">
        <is>
          <t>VÄRMLANDS LÄN</t>
        </is>
      </c>
      <c r="E1446" t="inlineStr">
        <is>
          <t>TORSBY</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26108-2025</t>
        </is>
      </c>
      <c r="B1447" s="1" t="n">
        <v>45805</v>
      </c>
      <c r="C1447" s="1" t="n">
        <v>45969</v>
      </c>
      <c r="D1447" t="inlineStr">
        <is>
          <t>VÄRMLANDS LÄN</t>
        </is>
      </c>
      <c r="E1447" t="inlineStr">
        <is>
          <t>TORSBY</t>
        </is>
      </c>
      <c r="F1447" t="inlineStr">
        <is>
          <t>Bergvik skog väst AB</t>
        </is>
      </c>
      <c r="G1447" t="n">
        <v>22.8</v>
      </c>
      <c r="H1447" t="n">
        <v>0</v>
      </c>
      <c r="I1447" t="n">
        <v>0</v>
      </c>
      <c r="J1447" t="n">
        <v>0</v>
      </c>
      <c r="K1447" t="n">
        <v>0</v>
      </c>
      <c r="L1447" t="n">
        <v>0</v>
      </c>
      <c r="M1447" t="n">
        <v>0</v>
      </c>
      <c r="N1447" t="n">
        <v>0</v>
      </c>
      <c r="O1447" t="n">
        <v>0</v>
      </c>
      <c r="P1447" t="n">
        <v>0</v>
      </c>
      <c r="Q1447" t="n">
        <v>0</v>
      </c>
      <c r="R1447" s="2" t="inlineStr"/>
    </row>
    <row r="1448" ht="15" customHeight="1">
      <c r="A1448" t="inlineStr">
        <is>
          <t>A 50892-2025</t>
        </is>
      </c>
      <c r="B1448" s="1" t="n">
        <v>45946.63763888889</v>
      </c>
      <c r="C1448" s="1" t="n">
        <v>45969</v>
      </c>
      <c r="D1448" t="inlineStr">
        <is>
          <t>VÄRMLANDS LÄN</t>
        </is>
      </c>
      <c r="E1448" t="inlineStr">
        <is>
          <t>TORSBY</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50927-2025</t>
        </is>
      </c>
      <c r="B1449" s="1" t="n">
        <v>45946.67895833333</v>
      </c>
      <c r="C1449" s="1" t="n">
        <v>45969</v>
      </c>
      <c r="D1449" t="inlineStr">
        <is>
          <t>VÄRMLANDS LÄN</t>
        </is>
      </c>
      <c r="E1449" t="inlineStr">
        <is>
          <t>TORSBY</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21828-2024</t>
        </is>
      </c>
      <c r="B1450" s="1" t="n">
        <v>45442</v>
      </c>
      <c r="C1450" s="1" t="n">
        <v>45969</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26342-2025</t>
        </is>
      </c>
      <c r="B1451" s="1" t="n">
        <v>45805.70604166666</v>
      </c>
      <c r="C1451" s="1" t="n">
        <v>45969</v>
      </c>
      <c r="D1451" t="inlineStr">
        <is>
          <t>VÄRMLANDS LÄN</t>
        </is>
      </c>
      <c r="E1451" t="inlineStr">
        <is>
          <t>TORSBY</t>
        </is>
      </c>
      <c r="F1451" t="inlineStr">
        <is>
          <t>Bergvik skog väst AB</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45399-2023</t>
        </is>
      </c>
      <c r="B1452" s="1" t="n">
        <v>45194</v>
      </c>
      <c r="C1452" s="1" t="n">
        <v>45969</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26487-2025</t>
        </is>
      </c>
      <c r="B1453" s="1" t="n">
        <v>45807.47644675926</v>
      </c>
      <c r="C1453" s="1" t="n">
        <v>45969</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45969</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42305-2025</t>
        </is>
      </c>
      <c r="B1455" s="1" t="n">
        <v>45904.64886574074</v>
      </c>
      <c r="C1455" s="1" t="n">
        <v>45969</v>
      </c>
      <c r="D1455" t="inlineStr">
        <is>
          <t>VÄRMLANDS LÄN</t>
        </is>
      </c>
      <c r="E1455" t="inlineStr">
        <is>
          <t>TORSBY</t>
        </is>
      </c>
      <c r="F1455" t="inlineStr">
        <is>
          <t>Bergvik skog väst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59423-2024</t>
        </is>
      </c>
      <c r="B1456" s="1" t="n">
        <v>45638</v>
      </c>
      <c r="C1456" s="1" t="n">
        <v>45969</v>
      </c>
      <c r="D1456" t="inlineStr">
        <is>
          <t>VÄRMLANDS LÄN</t>
        </is>
      </c>
      <c r="E1456" t="inlineStr">
        <is>
          <t>TORSBY</t>
        </is>
      </c>
      <c r="G1456" t="n">
        <v>23.7</v>
      </c>
      <c r="H1456" t="n">
        <v>0</v>
      </c>
      <c r="I1456" t="n">
        <v>0</v>
      </c>
      <c r="J1456" t="n">
        <v>0</v>
      </c>
      <c r="K1456" t="n">
        <v>0</v>
      </c>
      <c r="L1456" t="n">
        <v>0</v>
      </c>
      <c r="M1456" t="n">
        <v>0</v>
      </c>
      <c r="N1456" t="n">
        <v>0</v>
      </c>
      <c r="O1456" t="n">
        <v>0</v>
      </c>
      <c r="P1456" t="n">
        <v>0</v>
      </c>
      <c r="Q1456" t="n">
        <v>0</v>
      </c>
      <c r="R1456" s="2" t="inlineStr"/>
    </row>
    <row r="1457" ht="15" customHeight="1">
      <c r="A1457" t="inlineStr">
        <is>
          <t>A 41975-2025</t>
        </is>
      </c>
      <c r="B1457" s="1" t="n">
        <v>45903.49732638889</v>
      </c>
      <c r="C1457" s="1" t="n">
        <v>45969</v>
      </c>
      <c r="D1457" t="inlineStr">
        <is>
          <t>VÄRMLANDS LÄN</t>
        </is>
      </c>
      <c r="E1457" t="inlineStr">
        <is>
          <t>TORSBY</t>
        </is>
      </c>
      <c r="F1457" t="inlineStr">
        <is>
          <t>Bergvik skog väst AB</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30002-2024</t>
        </is>
      </c>
      <c r="B1458" s="1" t="n">
        <v>45488</v>
      </c>
      <c r="C1458" s="1" t="n">
        <v>45969</v>
      </c>
      <c r="D1458" t="inlineStr">
        <is>
          <t>VÄRMLANDS LÄN</t>
        </is>
      </c>
      <c r="E1458" t="inlineStr">
        <is>
          <t>TORSBY</t>
        </is>
      </c>
      <c r="F1458" t="inlineStr">
        <is>
          <t>Kommuner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42304-2025</t>
        </is>
      </c>
      <c r="B1459" s="1" t="n">
        <v>45904</v>
      </c>
      <c r="C1459" s="1" t="n">
        <v>45969</v>
      </c>
      <c r="D1459" t="inlineStr">
        <is>
          <t>VÄRMLANDS LÄN</t>
        </is>
      </c>
      <c r="E1459" t="inlineStr">
        <is>
          <t>TORSBY</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50918-2025</t>
        </is>
      </c>
      <c r="B1460" s="1" t="n">
        <v>45946.66516203704</v>
      </c>
      <c r="C1460" s="1" t="n">
        <v>45969</v>
      </c>
      <c r="D1460" t="inlineStr">
        <is>
          <t>VÄRMLANDS LÄN</t>
        </is>
      </c>
      <c r="E1460" t="inlineStr">
        <is>
          <t>TORSBY</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50921-2025</t>
        </is>
      </c>
      <c r="B1461" s="1" t="n">
        <v>45946.67092592592</v>
      </c>
      <c r="C1461" s="1" t="n">
        <v>45969</v>
      </c>
      <c r="D1461" t="inlineStr">
        <is>
          <t>VÄRMLANDS LÄN</t>
        </is>
      </c>
      <c r="E1461" t="inlineStr">
        <is>
          <t>TORSBY</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42149-2025</t>
        </is>
      </c>
      <c r="B1462" s="1" t="n">
        <v>45904.38109953704</v>
      </c>
      <c r="C1462" s="1" t="n">
        <v>45969</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51215-2025</t>
        </is>
      </c>
      <c r="B1463" s="1" t="n">
        <v>45947.64357638889</v>
      </c>
      <c r="C1463" s="1" t="n">
        <v>45969</v>
      </c>
      <c r="D1463" t="inlineStr">
        <is>
          <t>VÄRMLANDS LÄN</t>
        </is>
      </c>
      <c r="E1463" t="inlineStr">
        <is>
          <t>TORSBY</t>
        </is>
      </c>
      <c r="F1463" t="inlineStr">
        <is>
          <t>Bergvik skog väst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51219-2025</t>
        </is>
      </c>
      <c r="B1464" s="1" t="n">
        <v>45947.64710648148</v>
      </c>
      <c r="C1464" s="1" t="n">
        <v>45969</v>
      </c>
      <c r="D1464" t="inlineStr">
        <is>
          <t>VÄRMLANDS LÄN</t>
        </is>
      </c>
      <c r="E1464" t="inlineStr">
        <is>
          <t>TORSBY</t>
        </is>
      </c>
      <c r="F1464" t="inlineStr">
        <is>
          <t>Bergvik skog väst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28545-2024</t>
        </is>
      </c>
      <c r="B1465" s="1" t="n">
        <v>45478.3559375</v>
      </c>
      <c r="C1465" s="1" t="n">
        <v>45969</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11222-2024</t>
        </is>
      </c>
      <c r="B1466" s="1" t="n">
        <v>45371</v>
      </c>
      <c r="C1466" s="1" t="n">
        <v>45969</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13189-2025</t>
        </is>
      </c>
      <c r="B1467" s="1" t="n">
        <v>45735.39708333334</v>
      </c>
      <c r="C1467" s="1" t="n">
        <v>45969</v>
      </c>
      <c r="D1467" t="inlineStr">
        <is>
          <t>VÄRMLANDS LÄN</t>
        </is>
      </c>
      <c r="E1467" t="inlineStr">
        <is>
          <t>TORSBY</t>
        </is>
      </c>
      <c r="G1467" t="n">
        <v>15.4</v>
      </c>
      <c r="H1467" t="n">
        <v>0</v>
      </c>
      <c r="I1467" t="n">
        <v>0</v>
      </c>
      <c r="J1467" t="n">
        <v>0</v>
      </c>
      <c r="K1467" t="n">
        <v>0</v>
      </c>
      <c r="L1467" t="n">
        <v>0</v>
      </c>
      <c r="M1467" t="n">
        <v>0</v>
      </c>
      <c r="N1467" t="n">
        <v>0</v>
      </c>
      <c r="O1467" t="n">
        <v>0</v>
      </c>
      <c r="P1467" t="n">
        <v>0</v>
      </c>
      <c r="Q1467" t="n">
        <v>0</v>
      </c>
      <c r="R1467" s="2" t="inlineStr"/>
    </row>
    <row r="1468" ht="15" customHeight="1">
      <c r="A1468" t="inlineStr">
        <is>
          <t>A 26876-2024</t>
        </is>
      </c>
      <c r="B1468" s="1" t="n">
        <v>45470.62181712963</v>
      </c>
      <c r="C1468" s="1" t="n">
        <v>45969</v>
      </c>
      <c r="D1468" t="inlineStr">
        <is>
          <t>VÄRMLANDS LÄN</t>
        </is>
      </c>
      <c r="E1468" t="inlineStr">
        <is>
          <t>TORSBY</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56724-2023</t>
        </is>
      </c>
      <c r="B1469" s="1" t="n">
        <v>45244.3393287037</v>
      </c>
      <c r="C1469" s="1" t="n">
        <v>45969</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19148-2025</t>
        </is>
      </c>
      <c r="B1470" s="1" t="n">
        <v>45769</v>
      </c>
      <c r="C1470" s="1" t="n">
        <v>45969</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26607-2025</t>
        </is>
      </c>
      <c r="B1471" s="1" t="n">
        <v>45809.92239583333</v>
      </c>
      <c r="C1471" s="1" t="n">
        <v>45969</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26822-2025</t>
        </is>
      </c>
      <c r="B1472" s="1" t="n">
        <v>45810</v>
      </c>
      <c r="C1472" s="1" t="n">
        <v>45969</v>
      </c>
      <c r="D1472" t="inlineStr">
        <is>
          <t>VÄRMLANDS LÄN</t>
        </is>
      </c>
      <c r="E1472" t="inlineStr">
        <is>
          <t>TORSBY</t>
        </is>
      </c>
      <c r="G1472" t="n">
        <v>13.7</v>
      </c>
      <c r="H1472" t="n">
        <v>0</v>
      </c>
      <c r="I1472" t="n">
        <v>0</v>
      </c>
      <c r="J1472" t="n">
        <v>0</v>
      </c>
      <c r="K1472" t="n">
        <v>0</v>
      </c>
      <c r="L1472" t="n">
        <v>0</v>
      </c>
      <c r="M1472" t="n">
        <v>0</v>
      </c>
      <c r="N1472" t="n">
        <v>0</v>
      </c>
      <c r="O1472" t="n">
        <v>0</v>
      </c>
      <c r="P1472" t="n">
        <v>0</v>
      </c>
      <c r="Q1472" t="n">
        <v>0</v>
      </c>
      <c r="R1472" s="2" t="inlineStr"/>
    </row>
    <row r="1473" ht="15" customHeight="1">
      <c r="A1473" t="inlineStr">
        <is>
          <t>A 52689-2024</t>
        </is>
      </c>
      <c r="B1473" s="1" t="n">
        <v>45610.39621527777</v>
      </c>
      <c r="C1473" s="1" t="n">
        <v>45969</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34534-2024</t>
        </is>
      </c>
      <c r="B1474" s="1" t="n">
        <v>45525</v>
      </c>
      <c r="C1474" s="1" t="n">
        <v>45969</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26418-2025</t>
        </is>
      </c>
      <c r="B1475" s="1" t="n">
        <v>45807.36436342593</v>
      </c>
      <c r="C1475" s="1" t="n">
        <v>45969</v>
      </c>
      <c r="D1475" t="inlineStr">
        <is>
          <t>VÄRMLANDS LÄN</t>
        </is>
      </c>
      <c r="E1475" t="inlineStr">
        <is>
          <t>TORSBY</t>
        </is>
      </c>
      <c r="F1475" t="inlineStr">
        <is>
          <t>Bergvik skog väst AB</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26564-2025</t>
        </is>
      </c>
      <c r="B1476" s="1" t="n">
        <v>45807.66306712963</v>
      </c>
      <c r="C1476" s="1" t="n">
        <v>45969</v>
      </c>
      <c r="D1476" t="inlineStr">
        <is>
          <t>VÄRMLANDS LÄN</t>
        </is>
      </c>
      <c r="E1476" t="inlineStr">
        <is>
          <t>TORSBY</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26479-2025</t>
        </is>
      </c>
      <c r="B1477" s="1" t="n">
        <v>45807.47021990741</v>
      </c>
      <c r="C1477" s="1" t="n">
        <v>45969</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26491-2025</t>
        </is>
      </c>
      <c r="B1478" s="1" t="n">
        <v>45807.48939814815</v>
      </c>
      <c r="C1478" s="1" t="n">
        <v>45969</v>
      </c>
      <c r="D1478" t="inlineStr">
        <is>
          <t>VÄRMLANDS LÄN</t>
        </is>
      </c>
      <c r="E1478" t="inlineStr">
        <is>
          <t>TORSBY</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26507-2025</t>
        </is>
      </c>
      <c r="B1479" s="1" t="n">
        <v>45807.52539351852</v>
      </c>
      <c r="C1479" s="1" t="n">
        <v>45969</v>
      </c>
      <c r="D1479" t="inlineStr">
        <is>
          <t>VÄRMLANDS LÄN</t>
        </is>
      </c>
      <c r="E1479" t="inlineStr">
        <is>
          <t>TORSBY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49237-2025</t>
        </is>
      </c>
      <c r="B1480" s="1" t="n">
        <v>45938</v>
      </c>
      <c r="C1480" s="1" t="n">
        <v>45969</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26533-2025</t>
        </is>
      </c>
      <c r="B1481" s="1" t="n">
        <v>45807.57259259259</v>
      </c>
      <c r="C1481" s="1" t="n">
        <v>45969</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43144-2024</t>
        </is>
      </c>
      <c r="B1482" s="1" t="n">
        <v>45567</v>
      </c>
      <c r="C1482" s="1" t="n">
        <v>45969</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47366-2025</t>
        </is>
      </c>
      <c r="B1483" s="1" t="n">
        <v>45930</v>
      </c>
      <c r="C1483" s="1" t="n">
        <v>45969</v>
      </c>
      <c r="D1483" t="inlineStr">
        <is>
          <t>VÄRMLANDS LÄN</t>
        </is>
      </c>
      <c r="E1483" t="inlineStr">
        <is>
          <t>TORSBY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24087-2024</t>
        </is>
      </c>
      <c r="B1484" s="1" t="n">
        <v>45456</v>
      </c>
      <c r="C1484" s="1" t="n">
        <v>45969</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46909-2024</t>
        </is>
      </c>
      <c r="B1485" s="1" t="n">
        <v>45583</v>
      </c>
      <c r="C1485" s="1" t="n">
        <v>45969</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16380-2025</t>
        </is>
      </c>
      <c r="B1486" s="1" t="n">
        <v>45751</v>
      </c>
      <c r="C1486" s="1" t="n">
        <v>45969</v>
      </c>
      <c r="D1486" t="inlineStr">
        <is>
          <t>VÄRMLANDS LÄN</t>
        </is>
      </c>
      <c r="E1486" t="inlineStr">
        <is>
          <t>TORSBY</t>
        </is>
      </c>
      <c r="F1486" t="inlineStr">
        <is>
          <t>Bergvik skog väst AB</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20847-2023</t>
        </is>
      </c>
      <c r="B1487" s="1" t="n">
        <v>45056</v>
      </c>
      <c r="C1487" s="1" t="n">
        <v>45969</v>
      </c>
      <c r="D1487" t="inlineStr">
        <is>
          <t>VÄRMLANDS LÄN</t>
        </is>
      </c>
      <c r="E1487" t="inlineStr">
        <is>
          <t>TORSBY</t>
        </is>
      </c>
      <c r="G1487" t="n">
        <v>13.9</v>
      </c>
      <c r="H1487" t="n">
        <v>0</v>
      </c>
      <c r="I1487" t="n">
        <v>0</v>
      </c>
      <c r="J1487" t="n">
        <v>0</v>
      </c>
      <c r="K1487" t="n">
        <v>0</v>
      </c>
      <c r="L1487" t="n">
        <v>0</v>
      </c>
      <c r="M1487" t="n">
        <v>0</v>
      </c>
      <c r="N1487" t="n">
        <v>0</v>
      </c>
      <c r="O1487" t="n">
        <v>0</v>
      </c>
      <c r="P1487" t="n">
        <v>0</v>
      </c>
      <c r="Q1487" t="n">
        <v>0</v>
      </c>
      <c r="R1487" s="2" t="inlineStr"/>
    </row>
    <row r="1488" ht="15" customHeight="1">
      <c r="A1488" t="inlineStr">
        <is>
          <t>A 25956-2025</t>
        </is>
      </c>
      <c r="B1488" s="1" t="n">
        <v>45804</v>
      </c>
      <c r="C1488" s="1" t="n">
        <v>45969</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42499-2025</t>
        </is>
      </c>
      <c r="B1489" s="1" t="n">
        <v>45905.5194675926</v>
      </c>
      <c r="C1489" s="1" t="n">
        <v>45969</v>
      </c>
      <c r="D1489" t="inlineStr">
        <is>
          <t>VÄRMLANDS LÄN</t>
        </is>
      </c>
      <c r="E1489" t="inlineStr">
        <is>
          <t>TORSBY</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42720-2025</t>
        </is>
      </c>
      <c r="B1490" s="1" t="n">
        <v>45908.39427083333</v>
      </c>
      <c r="C1490" s="1" t="n">
        <v>45969</v>
      </c>
      <c r="D1490" t="inlineStr">
        <is>
          <t>VÄRMLANDS LÄN</t>
        </is>
      </c>
      <c r="E1490" t="inlineStr">
        <is>
          <t>TORSBY</t>
        </is>
      </c>
      <c r="F1490" t="inlineStr">
        <is>
          <t>Bergvik skog väst AB</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42886-2025</t>
        </is>
      </c>
      <c r="B1491" s="1" t="n">
        <v>45908.65288194444</v>
      </c>
      <c r="C1491" s="1" t="n">
        <v>45969</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754-2025</t>
        </is>
      </c>
      <c r="B1492" s="1" t="n">
        <v>45665</v>
      </c>
      <c r="C1492" s="1" t="n">
        <v>45969</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42496-2025</t>
        </is>
      </c>
      <c r="B1493" s="1" t="n">
        <v>45905.50864583333</v>
      </c>
      <c r="C1493" s="1" t="n">
        <v>45969</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42529-2025</t>
        </is>
      </c>
      <c r="B1494" s="1" t="n">
        <v>45905.55716435185</v>
      </c>
      <c r="C1494" s="1" t="n">
        <v>45969</v>
      </c>
      <c r="D1494" t="inlineStr">
        <is>
          <t>VÄRMLANDS LÄN</t>
        </is>
      </c>
      <c r="E1494" t="inlineStr">
        <is>
          <t>TORSBY</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42563-2025</t>
        </is>
      </c>
      <c r="B1495" s="1" t="n">
        <v>45905.60097222222</v>
      </c>
      <c r="C1495" s="1" t="n">
        <v>45969</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51113-2025</t>
        </is>
      </c>
      <c r="B1496" s="1" t="n">
        <v>45947.51290509259</v>
      </c>
      <c r="C1496" s="1" t="n">
        <v>45969</v>
      </c>
      <c r="D1496" t="inlineStr">
        <is>
          <t>VÄRMLANDS LÄN</t>
        </is>
      </c>
      <c r="E1496" t="inlineStr">
        <is>
          <t>TORSBY</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53748-2024</t>
        </is>
      </c>
      <c r="B1497" s="1" t="n">
        <v>45615.48322916667</v>
      </c>
      <c r="C1497" s="1" t="n">
        <v>45969</v>
      </c>
      <c r="D1497" t="inlineStr">
        <is>
          <t>VÄRMLANDS LÄN</t>
        </is>
      </c>
      <c r="E1497" t="inlineStr">
        <is>
          <t>TORSBY</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42705-2025</t>
        </is>
      </c>
      <c r="B1498" s="1" t="n">
        <v>45908.37063657407</v>
      </c>
      <c r="C1498" s="1" t="n">
        <v>45969</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43128-2021</t>
        </is>
      </c>
      <c r="B1499" s="1" t="n">
        <v>44431.65930555556</v>
      </c>
      <c r="C1499" s="1" t="n">
        <v>45969</v>
      </c>
      <c r="D1499" t="inlineStr">
        <is>
          <t>VÄRMLANDS LÄN</t>
        </is>
      </c>
      <c r="E1499" t="inlineStr">
        <is>
          <t>TORSBY</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42742-2025</t>
        </is>
      </c>
      <c r="B1500" s="1" t="n">
        <v>45908</v>
      </c>
      <c r="C1500" s="1" t="n">
        <v>45969</v>
      </c>
      <c r="D1500" t="inlineStr">
        <is>
          <t>VÄRMLANDS LÄN</t>
        </is>
      </c>
      <c r="E1500" t="inlineStr">
        <is>
          <t>TORSBY</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26504-2025</t>
        </is>
      </c>
      <c r="B1501" s="1" t="n">
        <v>45807.519375</v>
      </c>
      <c r="C1501" s="1" t="n">
        <v>45969</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26505-2025</t>
        </is>
      </c>
      <c r="B1502" s="1" t="n">
        <v>45807.52231481481</v>
      </c>
      <c r="C1502" s="1" t="n">
        <v>45969</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26511-2025</t>
        </is>
      </c>
      <c r="B1503" s="1" t="n">
        <v>45807.54571759259</v>
      </c>
      <c r="C1503" s="1" t="n">
        <v>45969</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18855-2024</t>
        </is>
      </c>
      <c r="B1504" s="1" t="n">
        <v>45426.73634259259</v>
      </c>
      <c r="C1504" s="1" t="n">
        <v>45969</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26563-2025</t>
        </is>
      </c>
      <c r="B1505" s="1" t="n">
        <v>45807.65767361111</v>
      </c>
      <c r="C1505" s="1" t="n">
        <v>45969</v>
      </c>
      <c r="D1505" t="inlineStr">
        <is>
          <t>VÄRMLANDS LÄN</t>
        </is>
      </c>
      <c r="E1505" t="inlineStr">
        <is>
          <t>TORSBY</t>
        </is>
      </c>
      <c r="F1505" t="inlineStr">
        <is>
          <t>Bergvik skog väst AB</t>
        </is>
      </c>
      <c r="G1505" t="n">
        <v>19.5</v>
      </c>
      <c r="H1505" t="n">
        <v>0</v>
      </c>
      <c r="I1505" t="n">
        <v>0</v>
      </c>
      <c r="J1505" t="n">
        <v>0</v>
      </c>
      <c r="K1505" t="n">
        <v>0</v>
      </c>
      <c r="L1505" t="n">
        <v>0</v>
      </c>
      <c r="M1505" t="n">
        <v>0</v>
      </c>
      <c r="N1505" t="n">
        <v>0</v>
      </c>
      <c r="O1505" t="n">
        <v>0</v>
      </c>
      <c r="P1505" t="n">
        <v>0</v>
      </c>
      <c r="Q1505" t="n">
        <v>0</v>
      </c>
      <c r="R1505" s="2" t="inlineStr"/>
    </row>
    <row r="1506" ht="15" customHeight="1">
      <c r="A1506" t="inlineStr">
        <is>
          <t>A 17062-2025</t>
        </is>
      </c>
      <c r="B1506" s="1" t="n">
        <v>45754</v>
      </c>
      <c r="C1506" s="1" t="n">
        <v>45969</v>
      </c>
      <c r="D1506" t="inlineStr">
        <is>
          <t>VÄRMLANDS LÄN</t>
        </is>
      </c>
      <c r="E1506" t="inlineStr">
        <is>
          <t>TORSBY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33146-2025</t>
        </is>
      </c>
      <c r="B1507" s="1" t="n">
        <v>45840.53549768519</v>
      </c>
      <c r="C1507" s="1" t="n">
        <v>45969</v>
      </c>
      <c r="D1507" t="inlineStr">
        <is>
          <t>VÄRMLANDS LÄN</t>
        </is>
      </c>
      <c r="E1507" t="inlineStr">
        <is>
          <t>TORSBY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54223-2023</t>
        </is>
      </c>
      <c r="B1508" s="1" t="n">
        <v>45232</v>
      </c>
      <c r="C1508" s="1" t="n">
        <v>45969</v>
      </c>
      <c r="D1508" t="inlineStr">
        <is>
          <t>VÄRMLANDS LÄN</t>
        </is>
      </c>
      <c r="E1508" t="inlineStr">
        <is>
          <t>TORSBY</t>
        </is>
      </c>
      <c r="F1508" t="inlineStr">
        <is>
          <t>Bergvik skog väst AB</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26539-2025</t>
        </is>
      </c>
      <c r="B1509" s="1" t="n">
        <v>45807.58127314815</v>
      </c>
      <c r="C1509" s="1" t="n">
        <v>45969</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51754-2025</t>
        </is>
      </c>
      <c r="B1510" s="1" t="n">
        <v>45951.62231481481</v>
      </c>
      <c r="C1510" s="1" t="n">
        <v>45969</v>
      </c>
      <c r="D1510" t="inlineStr">
        <is>
          <t>VÄRMLANDS LÄN</t>
        </is>
      </c>
      <c r="E1510" t="inlineStr">
        <is>
          <t>TORSBY</t>
        </is>
      </c>
      <c r="F1510" t="inlineStr">
        <is>
          <t>Bergvik skog väst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51873-2025</t>
        </is>
      </c>
      <c r="B1511" s="1" t="n">
        <v>45952.39040509259</v>
      </c>
      <c r="C1511" s="1" t="n">
        <v>45969</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26890-2025</t>
        </is>
      </c>
      <c r="B1512" s="1" t="n">
        <v>45811</v>
      </c>
      <c r="C1512" s="1" t="n">
        <v>45969</v>
      </c>
      <c r="D1512" t="inlineStr">
        <is>
          <t>VÄRMLANDS LÄN</t>
        </is>
      </c>
      <c r="E1512" t="inlineStr">
        <is>
          <t>TORSBY</t>
        </is>
      </c>
      <c r="F1512" t="inlineStr">
        <is>
          <t>Bergvik skog väst AB</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51927-2025</t>
        </is>
      </c>
      <c r="B1513" s="1" t="n">
        <v>45952.49587962963</v>
      </c>
      <c r="C1513" s="1" t="n">
        <v>45969</v>
      </c>
      <c r="D1513" t="inlineStr">
        <is>
          <t>VÄRMLANDS LÄN</t>
        </is>
      </c>
      <c r="E1513" t="inlineStr">
        <is>
          <t>TORSBY</t>
        </is>
      </c>
      <c r="F1513" t="inlineStr">
        <is>
          <t>Kyrkan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52045-2025</t>
        </is>
      </c>
      <c r="B1514" s="1" t="n">
        <v>45952.61650462963</v>
      </c>
      <c r="C1514" s="1" t="n">
        <v>45969</v>
      </c>
      <c r="D1514" t="inlineStr">
        <is>
          <t>VÄRMLANDS LÄN</t>
        </is>
      </c>
      <c r="E1514" t="inlineStr">
        <is>
          <t>TORSBY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43304-2025</t>
        </is>
      </c>
      <c r="B1515" s="1" t="n">
        <v>45910.63630787037</v>
      </c>
      <c r="C1515" s="1" t="n">
        <v>45969</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51793-2025</t>
        </is>
      </c>
      <c r="B1516" s="1" t="n">
        <v>45951.71525462963</v>
      </c>
      <c r="C1516" s="1" t="n">
        <v>45969</v>
      </c>
      <c r="D1516" t="inlineStr">
        <is>
          <t>VÄRMLANDS LÄN</t>
        </is>
      </c>
      <c r="E1516" t="inlineStr">
        <is>
          <t>TORSBY</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51587-2025</t>
        </is>
      </c>
      <c r="B1517" s="1" t="n">
        <v>45951.35355324074</v>
      </c>
      <c r="C1517" s="1" t="n">
        <v>45969</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51633-2025</t>
        </is>
      </c>
      <c r="B1518" s="1" t="n">
        <v>45951.42775462963</v>
      </c>
      <c r="C1518" s="1" t="n">
        <v>45969</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43313-2025</t>
        </is>
      </c>
      <c r="B1519" s="1" t="n">
        <v>45910</v>
      </c>
      <c r="C1519" s="1" t="n">
        <v>45969</v>
      </c>
      <c r="D1519" t="inlineStr">
        <is>
          <t>VÄRMLANDS LÄN</t>
        </is>
      </c>
      <c r="E1519" t="inlineStr">
        <is>
          <t>TORSBY</t>
        </is>
      </c>
      <c r="F1519" t="inlineStr">
        <is>
          <t>Övriga Aktiebolag</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51914-2025</t>
        </is>
      </c>
      <c r="B1520" s="1" t="n">
        <v>45952.47380787037</v>
      </c>
      <c r="C1520" s="1" t="n">
        <v>45969</v>
      </c>
      <c r="D1520" t="inlineStr">
        <is>
          <t>VÄRMLANDS LÄN</t>
        </is>
      </c>
      <c r="E1520" t="inlineStr">
        <is>
          <t>TORSBY</t>
        </is>
      </c>
      <c r="F1520" t="inlineStr">
        <is>
          <t>Kyrkan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51944-2025</t>
        </is>
      </c>
      <c r="B1521" s="1" t="n">
        <v>45952.52608796296</v>
      </c>
      <c r="C1521" s="1" t="n">
        <v>45969</v>
      </c>
      <c r="D1521" t="inlineStr">
        <is>
          <t>VÄRMLANDS LÄN</t>
        </is>
      </c>
      <c r="E1521" t="inlineStr">
        <is>
          <t>TORSBY</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52089-2025</t>
        </is>
      </c>
      <c r="B1522" s="1" t="n">
        <v>45952.67644675926</v>
      </c>
      <c r="C1522" s="1" t="n">
        <v>45969</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18447-2025</t>
        </is>
      </c>
      <c r="B1523" s="1" t="n">
        <v>45762</v>
      </c>
      <c r="C1523" s="1" t="n">
        <v>45969</v>
      </c>
      <c r="D1523" t="inlineStr">
        <is>
          <t>VÄRMLANDS LÄN</t>
        </is>
      </c>
      <c r="E1523" t="inlineStr">
        <is>
          <t>TORSBY</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51659-2025</t>
        </is>
      </c>
      <c r="B1524" s="1" t="n">
        <v>45951.47482638889</v>
      </c>
      <c r="C1524" s="1" t="n">
        <v>45969</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52067-2025</t>
        </is>
      </c>
      <c r="B1525" s="1" t="n">
        <v>45952.64248842592</v>
      </c>
      <c r="C1525" s="1" t="n">
        <v>45969</v>
      </c>
      <c r="D1525" t="inlineStr">
        <is>
          <t>VÄRMLANDS LÄN</t>
        </is>
      </c>
      <c r="E1525" t="inlineStr">
        <is>
          <t>TORSBY</t>
        </is>
      </c>
      <c r="F1525" t="inlineStr">
        <is>
          <t>Bergvik skog väst AB</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2203-2025</t>
        </is>
      </c>
      <c r="B1526" s="1" t="n">
        <v>45672</v>
      </c>
      <c r="C1526" s="1" t="n">
        <v>45969</v>
      </c>
      <c r="D1526" t="inlineStr">
        <is>
          <t>VÄRMLANDS LÄN</t>
        </is>
      </c>
      <c r="E1526" t="inlineStr">
        <is>
          <t>TORSBY</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42966-2025</t>
        </is>
      </c>
      <c r="B1527" s="1" t="n">
        <v>45909.38825231481</v>
      </c>
      <c r="C1527" s="1" t="n">
        <v>45969</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26892-2025</t>
        </is>
      </c>
      <c r="B1528" s="1" t="n">
        <v>45811.3334837963</v>
      </c>
      <c r="C1528" s="1" t="n">
        <v>45969</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51694-2025</t>
        </is>
      </c>
      <c r="B1529" s="1" t="n">
        <v>45951.54628472222</v>
      </c>
      <c r="C1529" s="1" t="n">
        <v>45969</v>
      </c>
      <c r="D1529" t="inlineStr">
        <is>
          <t>VÄRMLANDS LÄN</t>
        </is>
      </c>
      <c r="E1529" t="inlineStr">
        <is>
          <t>TORSBY</t>
        </is>
      </c>
      <c r="F1529" t="inlineStr">
        <is>
          <t>Bergvik skog väst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10608-2022</t>
        </is>
      </c>
      <c r="B1530" s="1" t="n">
        <v>44624</v>
      </c>
      <c r="C1530" s="1" t="n">
        <v>45969</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41504-2024</t>
        </is>
      </c>
      <c r="B1531" s="1" t="n">
        <v>45560</v>
      </c>
      <c r="C1531" s="1" t="n">
        <v>45969</v>
      </c>
      <c r="D1531" t="inlineStr">
        <is>
          <t>VÄRMLANDS LÄN</t>
        </is>
      </c>
      <c r="E1531" t="inlineStr">
        <is>
          <t>TORSBY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44083-2023</t>
        </is>
      </c>
      <c r="B1532" s="1" t="n">
        <v>45182</v>
      </c>
      <c r="C1532" s="1" t="n">
        <v>45969</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26898-2025</t>
        </is>
      </c>
      <c r="B1533" s="1" t="n">
        <v>45811</v>
      </c>
      <c r="C1533" s="1" t="n">
        <v>45969</v>
      </c>
      <c r="D1533" t="inlineStr">
        <is>
          <t>VÄRMLANDS LÄN</t>
        </is>
      </c>
      <c r="E1533" t="inlineStr">
        <is>
          <t>TORSBY</t>
        </is>
      </c>
      <c r="F1533" t="inlineStr">
        <is>
          <t>Övriga Aktiebolag</t>
        </is>
      </c>
      <c r="G1533" t="n">
        <v>37.8</v>
      </c>
      <c r="H1533" t="n">
        <v>0</v>
      </c>
      <c r="I1533" t="n">
        <v>0</v>
      </c>
      <c r="J1533" t="n">
        <v>0</v>
      </c>
      <c r="K1533" t="n">
        <v>0</v>
      </c>
      <c r="L1533" t="n">
        <v>0</v>
      </c>
      <c r="M1533" t="n">
        <v>0</v>
      </c>
      <c r="N1533" t="n">
        <v>0</v>
      </c>
      <c r="O1533" t="n">
        <v>0</v>
      </c>
      <c r="P1533" t="n">
        <v>0</v>
      </c>
      <c r="Q1533" t="n">
        <v>0</v>
      </c>
      <c r="R1533" s="2" t="inlineStr"/>
    </row>
    <row r="1534" ht="15" customHeight="1">
      <c r="A1534" t="inlineStr">
        <is>
          <t>A 42932-2025</t>
        </is>
      </c>
      <c r="B1534" s="1" t="n">
        <v>45909</v>
      </c>
      <c r="C1534" s="1" t="n">
        <v>45969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26960-2025</t>
        </is>
      </c>
      <c r="B1535" s="1" t="n">
        <v>45811.46167824074</v>
      </c>
      <c r="C1535" s="1" t="n">
        <v>45969</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18331-2025</t>
        </is>
      </c>
      <c r="B1536" s="1" t="n">
        <v>45762</v>
      </c>
      <c r="C1536" s="1" t="n">
        <v>45969</v>
      </c>
      <c r="D1536" t="inlineStr">
        <is>
          <t>VÄRMLANDS LÄN</t>
        </is>
      </c>
      <c r="E1536" t="inlineStr">
        <is>
          <t>TORSBY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42931-2025</t>
        </is>
      </c>
      <c r="B1537" s="1" t="n">
        <v>45909</v>
      </c>
      <c r="C1537" s="1" t="n">
        <v>45969</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42961-2025</t>
        </is>
      </c>
      <c r="B1538" s="1" t="n">
        <v>45909.36737268518</v>
      </c>
      <c r="C1538" s="1" t="n">
        <v>45969</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27093-2025</t>
        </is>
      </c>
      <c r="B1539" s="1" t="n">
        <v>45811.67347222222</v>
      </c>
      <c r="C1539" s="1" t="n">
        <v>45969</v>
      </c>
      <c r="D1539" t="inlineStr">
        <is>
          <t>VÄRMLANDS LÄN</t>
        </is>
      </c>
      <c r="E1539" t="inlineStr">
        <is>
          <t>TORSBY</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43055-2025</t>
        </is>
      </c>
      <c r="B1540" s="1" t="n">
        <v>45909</v>
      </c>
      <c r="C1540" s="1" t="n">
        <v>45969</v>
      </c>
      <c r="D1540" t="inlineStr">
        <is>
          <t>VÄRMLANDS LÄN</t>
        </is>
      </c>
      <c r="E1540" t="inlineStr">
        <is>
          <t>TORSBY</t>
        </is>
      </c>
      <c r="F1540" t="inlineStr">
        <is>
          <t>Bergvik skog väst AB</t>
        </is>
      </c>
      <c r="G1540" t="n">
        <v>20.1</v>
      </c>
      <c r="H1540" t="n">
        <v>0</v>
      </c>
      <c r="I1540" t="n">
        <v>0</v>
      </c>
      <c r="J1540" t="n">
        <v>0</v>
      </c>
      <c r="K1540" t="n">
        <v>0</v>
      </c>
      <c r="L1540" t="n">
        <v>0</v>
      </c>
      <c r="M1540" t="n">
        <v>0</v>
      </c>
      <c r="N1540" t="n">
        <v>0</v>
      </c>
      <c r="O1540" t="n">
        <v>0</v>
      </c>
      <c r="P1540" t="n">
        <v>0</v>
      </c>
      <c r="Q1540" t="n">
        <v>0</v>
      </c>
      <c r="R1540" s="2" t="inlineStr"/>
    </row>
    <row r="1541" ht="15" customHeight="1">
      <c r="A1541" t="inlineStr">
        <is>
          <t>A 27174-2025</t>
        </is>
      </c>
      <c r="B1541" s="1" t="n">
        <v>45812.34997685185</v>
      </c>
      <c r="C1541" s="1" t="n">
        <v>45969</v>
      </c>
      <c r="D1541" t="inlineStr">
        <is>
          <t>VÄRMLANDS LÄN</t>
        </is>
      </c>
      <c r="E1541" t="inlineStr">
        <is>
          <t>TORSBY</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52026-2025</t>
        </is>
      </c>
      <c r="B1542" s="1" t="n">
        <v>45952</v>
      </c>
      <c r="C1542" s="1" t="n">
        <v>45969</v>
      </c>
      <c r="D1542" t="inlineStr">
        <is>
          <t>VÄRMLANDS LÄN</t>
        </is>
      </c>
      <c r="E1542" t="inlineStr">
        <is>
          <t>TORSBY</t>
        </is>
      </c>
      <c r="F1542" t="inlineStr">
        <is>
          <t>Bergvik skog väst AB</t>
        </is>
      </c>
      <c r="G1542" t="n">
        <v>15.7</v>
      </c>
      <c r="H1542" t="n">
        <v>0</v>
      </c>
      <c r="I1542" t="n">
        <v>0</v>
      </c>
      <c r="J1542" t="n">
        <v>0</v>
      </c>
      <c r="K1542" t="n">
        <v>0</v>
      </c>
      <c r="L1542" t="n">
        <v>0</v>
      </c>
      <c r="M1542" t="n">
        <v>0</v>
      </c>
      <c r="N1542" t="n">
        <v>0</v>
      </c>
      <c r="O1542" t="n">
        <v>0</v>
      </c>
      <c r="P1542" t="n">
        <v>0</v>
      </c>
      <c r="Q1542" t="n">
        <v>0</v>
      </c>
      <c r="R1542" s="2" t="inlineStr"/>
    </row>
    <row r="1543" ht="15" customHeight="1">
      <c r="A1543" t="inlineStr">
        <is>
          <t>A 27043-2025</t>
        </is>
      </c>
      <c r="B1543" s="1" t="n">
        <v>45811.61342592593</v>
      </c>
      <c r="C1543" s="1" t="n">
        <v>45969</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27291-2025</t>
        </is>
      </c>
      <c r="B1544" s="1" t="n">
        <v>45812.55769675926</v>
      </c>
      <c r="C1544" s="1" t="n">
        <v>45969</v>
      </c>
      <c r="D1544" t="inlineStr">
        <is>
          <t>VÄRMLANDS LÄN</t>
        </is>
      </c>
      <c r="E1544" t="inlineStr">
        <is>
          <t>TORSBY</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27056-2025</t>
        </is>
      </c>
      <c r="B1545" s="1" t="n">
        <v>45811.63118055555</v>
      </c>
      <c r="C1545" s="1" t="n">
        <v>45969</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51819-2025</t>
        </is>
      </c>
      <c r="B1546" s="1" t="n">
        <v>45951.88194444445</v>
      </c>
      <c r="C1546" s="1" t="n">
        <v>45969</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9871-2024</t>
        </is>
      </c>
      <c r="B1547" s="1" t="n">
        <v>45363</v>
      </c>
      <c r="C1547" s="1" t="n">
        <v>45969</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27094-2025</t>
        </is>
      </c>
      <c r="B1548" s="1" t="n">
        <v>45811.6766087963</v>
      </c>
      <c r="C1548" s="1" t="n">
        <v>45969</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27149-2025</t>
        </is>
      </c>
      <c r="B1549" s="1" t="n">
        <v>45812.31924768518</v>
      </c>
      <c r="C1549" s="1" t="n">
        <v>45969</v>
      </c>
      <c r="D1549" t="inlineStr">
        <is>
          <t>VÄRMLANDS LÄN</t>
        </is>
      </c>
      <c r="E1549" t="inlineStr">
        <is>
          <t>TORSBY</t>
        </is>
      </c>
      <c r="F1549" t="inlineStr">
        <is>
          <t>Bergvik skog väst AB</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26897-2025</t>
        </is>
      </c>
      <c r="B1550" s="1" t="n">
        <v>45811.34108796297</v>
      </c>
      <c r="C1550" s="1" t="n">
        <v>45969</v>
      </c>
      <c r="D1550" t="inlineStr">
        <is>
          <t>VÄRMLANDS LÄN</t>
        </is>
      </c>
      <c r="E1550" t="inlineStr">
        <is>
          <t>TORSBY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48903-2024</t>
        </is>
      </c>
      <c r="B1551" s="1" t="n">
        <v>45594</v>
      </c>
      <c r="C1551" s="1" t="n">
        <v>45969</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51637-2025</t>
        </is>
      </c>
      <c r="B1552" s="1" t="n">
        <v>45951.43625</v>
      </c>
      <c r="C1552" s="1" t="n">
        <v>45969</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51644-2025</t>
        </is>
      </c>
      <c r="B1553" s="1" t="n">
        <v>45951.44677083333</v>
      </c>
      <c r="C1553" s="1" t="n">
        <v>45969</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27116-2025</t>
        </is>
      </c>
      <c r="B1554" s="1" t="n">
        <v>45811.74233796296</v>
      </c>
      <c r="C1554" s="1" t="n">
        <v>45969</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3864-2025</t>
        </is>
      </c>
      <c r="B1555" s="1" t="n">
        <v>45684</v>
      </c>
      <c r="C1555" s="1" t="n">
        <v>45969</v>
      </c>
      <c r="D1555" t="inlineStr">
        <is>
          <t>VÄRMLANDS LÄN</t>
        </is>
      </c>
      <c r="E1555" t="inlineStr">
        <is>
          <t>TORSBY</t>
        </is>
      </c>
      <c r="F1555" t="inlineStr">
        <is>
          <t>Bergvik skog väst AB</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27728-2025</t>
        </is>
      </c>
      <c r="B1556" s="1" t="n">
        <v>45814</v>
      </c>
      <c r="C1556" s="1" t="n">
        <v>45969</v>
      </c>
      <c r="D1556" t="inlineStr">
        <is>
          <t>VÄRMLANDS LÄN</t>
        </is>
      </c>
      <c r="E1556" t="inlineStr">
        <is>
          <t>TORSBY</t>
        </is>
      </c>
      <c r="F1556" t="inlineStr">
        <is>
          <t>Bergvik skog väst AB</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42965-2025</t>
        </is>
      </c>
      <c r="B1557" s="1" t="n">
        <v>45909.37575231482</v>
      </c>
      <c r="C1557" s="1" t="n">
        <v>45969</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22463-2021</t>
        </is>
      </c>
      <c r="B1558" s="1" t="n">
        <v>44326.67366898148</v>
      </c>
      <c r="C1558" s="1" t="n">
        <v>45969</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27450-2025</t>
        </is>
      </c>
      <c r="B1559" s="1" t="n">
        <v>45813.33738425926</v>
      </c>
      <c r="C1559" s="1" t="n">
        <v>45969</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27674-2025</t>
        </is>
      </c>
      <c r="B1560" s="1" t="n">
        <v>45813.62936342593</v>
      </c>
      <c r="C1560" s="1" t="n">
        <v>45969</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27730-2025</t>
        </is>
      </c>
      <c r="B1561" s="1" t="n">
        <v>45814</v>
      </c>
      <c r="C1561" s="1" t="n">
        <v>45969</v>
      </c>
      <c r="D1561" t="inlineStr">
        <is>
          <t>VÄRMLANDS LÄN</t>
        </is>
      </c>
      <c r="E1561" t="inlineStr">
        <is>
          <t>TORSBY</t>
        </is>
      </c>
      <c r="F1561" t="inlineStr">
        <is>
          <t>Bergvik skog väst AB</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52509-2025</t>
        </is>
      </c>
      <c r="B1562" s="1" t="n">
        <v>45954.50586805555</v>
      </c>
      <c r="C1562" s="1" t="n">
        <v>45969</v>
      </c>
      <c r="D1562" t="inlineStr">
        <is>
          <t>VÄRMLANDS LÄN</t>
        </is>
      </c>
      <c r="E1562" t="inlineStr">
        <is>
          <t>TORSBY</t>
        </is>
      </c>
      <c r="F1562" t="inlineStr">
        <is>
          <t>Bergvik skog väst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52512-2025</t>
        </is>
      </c>
      <c r="B1563" s="1" t="n">
        <v>45954.50771990741</v>
      </c>
      <c r="C1563" s="1" t="n">
        <v>45969</v>
      </c>
      <c r="D1563" t="inlineStr">
        <is>
          <t>VÄRMLANDS LÄN</t>
        </is>
      </c>
      <c r="E1563" t="inlineStr">
        <is>
          <t>TORSBY</t>
        </is>
      </c>
      <c r="F1563" t="inlineStr">
        <is>
          <t>Bergvik skog väst AB</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27467-2025</t>
        </is>
      </c>
      <c r="B1564" s="1" t="n">
        <v>45813.35497685185</v>
      </c>
      <c r="C1564" s="1" t="n">
        <v>45969</v>
      </c>
      <c r="D1564" t="inlineStr">
        <is>
          <t>VÄRMLANDS LÄN</t>
        </is>
      </c>
      <c r="E1564" t="inlineStr">
        <is>
          <t>TORSBY</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27667-2025</t>
        </is>
      </c>
      <c r="B1565" s="1" t="n">
        <v>45813.62092592593</v>
      </c>
      <c r="C1565" s="1" t="n">
        <v>45969</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52357-2025</t>
        </is>
      </c>
      <c r="B1566" s="1" t="n">
        <v>45952</v>
      </c>
      <c r="C1566" s="1" t="n">
        <v>45969</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52587-2025</t>
        </is>
      </c>
      <c r="B1567" s="1" t="n">
        <v>45954.63325231482</v>
      </c>
      <c r="C1567" s="1" t="n">
        <v>45969</v>
      </c>
      <c r="D1567" t="inlineStr">
        <is>
          <t>VÄRMLANDS LÄN</t>
        </is>
      </c>
      <c r="E1567" t="inlineStr">
        <is>
          <t>TORSBY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21581-2024</t>
        </is>
      </c>
      <c r="B1568" s="1" t="n">
        <v>45441</v>
      </c>
      <c r="C1568" s="1" t="n">
        <v>45969</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52493-2025</t>
        </is>
      </c>
      <c r="B1569" s="1" t="n">
        <v>45954.48518518519</v>
      </c>
      <c r="C1569" s="1" t="n">
        <v>45969</v>
      </c>
      <c r="D1569" t="inlineStr">
        <is>
          <t>VÄRMLANDS LÄN</t>
        </is>
      </c>
      <c r="E1569" t="inlineStr">
        <is>
          <t>TORSBY</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27470-2025</t>
        </is>
      </c>
      <c r="B1570" s="1" t="n">
        <v>45813.36284722222</v>
      </c>
      <c r="C1570" s="1" t="n">
        <v>45969</v>
      </c>
      <c r="D1570" t="inlineStr">
        <is>
          <t>VÄRMLANDS LÄN</t>
        </is>
      </c>
      <c r="E1570" t="inlineStr">
        <is>
          <t>TORSBY</t>
        </is>
      </c>
      <c r="G1570" t="n">
        <v>17.9</v>
      </c>
      <c r="H1570" t="n">
        <v>0</v>
      </c>
      <c r="I1570" t="n">
        <v>0</v>
      </c>
      <c r="J1570" t="n">
        <v>0</v>
      </c>
      <c r="K1570" t="n">
        <v>0</v>
      </c>
      <c r="L1570" t="n">
        <v>0</v>
      </c>
      <c r="M1570" t="n">
        <v>0</v>
      </c>
      <c r="N1570" t="n">
        <v>0</v>
      </c>
      <c r="O1570" t="n">
        <v>0</v>
      </c>
      <c r="P1570" t="n">
        <v>0</v>
      </c>
      <c r="Q1570" t="n">
        <v>0</v>
      </c>
      <c r="R1570" s="2" t="inlineStr"/>
    </row>
    <row r="1571" ht="15" customHeight="1">
      <c r="A1571" t="inlineStr">
        <is>
          <t>A 52359-2025</t>
        </is>
      </c>
      <c r="B1571" s="1" t="n">
        <v>45952</v>
      </c>
      <c r="C1571" s="1" t="n">
        <v>45969</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49982-2023</t>
        </is>
      </c>
      <c r="B1572" s="1" t="n">
        <v>45215.4216087963</v>
      </c>
      <c r="C1572" s="1" t="n">
        <v>45969</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27968-2025</t>
        </is>
      </c>
      <c r="B1573" s="1" t="n">
        <v>45817.55846064815</v>
      </c>
      <c r="C1573" s="1" t="n">
        <v>45969</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27856-2025</t>
        </is>
      </c>
      <c r="B1574" s="1" t="n">
        <v>45817.41006944444</v>
      </c>
      <c r="C1574" s="1" t="n">
        <v>45969</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35629-2023</t>
        </is>
      </c>
      <c r="B1575" s="1" t="n">
        <v>45147.55939814815</v>
      </c>
      <c r="C1575" s="1" t="n">
        <v>45969</v>
      </c>
      <c r="D1575" t="inlineStr">
        <is>
          <t>VÄRMLANDS LÄN</t>
        </is>
      </c>
      <c r="E1575" t="inlineStr">
        <is>
          <t>TORSBY</t>
        </is>
      </c>
      <c r="G1575" t="n">
        <v>10.3</v>
      </c>
      <c r="H1575" t="n">
        <v>0</v>
      </c>
      <c r="I1575" t="n">
        <v>0</v>
      </c>
      <c r="J1575" t="n">
        <v>0</v>
      </c>
      <c r="K1575" t="n">
        <v>0</v>
      </c>
      <c r="L1575" t="n">
        <v>0</v>
      </c>
      <c r="M1575" t="n">
        <v>0</v>
      </c>
      <c r="N1575" t="n">
        <v>0</v>
      </c>
      <c r="O1575" t="n">
        <v>0</v>
      </c>
      <c r="P1575" t="n">
        <v>0</v>
      </c>
      <c r="Q1575" t="n">
        <v>0</v>
      </c>
      <c r="R1575" s="2" t="inlineStr"/>
    </row>
    <row r="1576" ht="15" customHeight="1">
      <c r="A1576" t="inlineStr">
        <is>
          <t>A 18099-2022</t>
        </is>
      </c>
      <c r="B1576" s="1" t="n">
        <v>44684</v>
      </c>
      <c r="C1576" s="1" t="n">
        <v>45969</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20309-2025</t>
        </is>
      </c>
      <c r="B1577" s="1" t="n">
        <v>45775.28427083333</v>
      </c>
      <c r="C1577" s="1" t="n">
        <v>45969</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43669-2025</t>
        </is>
      </c>
      <c r="B1578" s="1" t="n">
        <v>45912.36299768519</v>
      </c>
      <c r="C1578" s="1" t="n">
        <v>45969</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28116-2025</t>
        </is>
      </c>
      <c r="B1579" s="1" t="n">
        <v>45818.28697916667</v>
      </c>
      <c r="C1579" s="1" t="n">
        <v>45969</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28117-2025</t>
        </is>
      </c>
      <c r="B1580" s="1" t="n">
        <v>45818</v>
      </c>
      <c r="C1580" s="1" t="n">
        <v>45969</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28118-2025</t>
        </is>
      </c>
      <c r="B1581" s="1" t="n">
        <v>45818</v>
      </c>
      <c r="C1581" s="1" t="n">
        <v>45969</v>
      </c>
      <c r="D1581" t="inlineStr">
        <is>
          <t>VÄRMLANDS LÄN</t>
        </is>
      </c>
      <c r="E1581" t="inlineStr">
        <is>
          <t>TORSBY</t>
        </is>
      </c>
      <c r="F1581" t="inlineStr">
        <is>
          <t>Bergvik skog väst AB</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20255-2025</t>
        </is>
      </c>
      <c r="B1582" s="1" t="n">
        <v>45772.9009375</v>
      </c>
      <c r="C1582" s="1" t="n">
        <v>45969</v>
      </c>
      <c r="D1582" t="inlineStr">
        <is>
          <t>VÄRMLANDS LÄN</t>
        </is>
      </c>
      <c r="E1582" t="inlineStr">
        <is>
          <t>TORSBY</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28214-2025</t>
        </is>
      </c>
      <c r="B1583" s="1" t="n">
        <v>45818</v>
      </c>
      <c r="C1583" s="1" t="n">
        <v>45969</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27906-2025</t>
        </is>
      </c>
      <c r="B1584" s="1" t="n">
        <v>45817.47108796296</v>
      </c>
      <c r="C1584" s="1" t="n">
        <v>45969</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52277-2025</t>
        </is>
      </c>
      <c r="B1585" s="1" t="n">
        <v>45953.55915509259</v>
      </c>
      <c r="C1585" s="1" t="n">
        <v>45969</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19489-2022</t>
        </is>
      </c>
      <c r="B1586" s="1" t="n">
        <v>44693</v>
      </c>
      <c r="C1586" s="1" t="n">
        <v>45969</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43614-2025</t>
        </is>
      </c>
      <c r="B1587" s="1" t="n">
        <v>45911.67766203704</v>
      </c>
      <c r="C1587" s="1" t="n">
        <v>45969</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27759-2025</t>
        </is>
      </c>
      <c r="B1588" s="1" t="n">
        <v>45816.48986111111</v>
      </c>
      <c r="C1588" s="1" t="n">
        <v>45969</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20168-2022</t>
        </is>
      </c>
      <c r="B1589" s="1" t="n">
        <v>44698.50056712963</v>
      </c>
      <c r="C1589" s="1" t="n">
        <v>45969</v>
      </c>
      <c r="D1589" t="inlineStr">
        <is>
          <t>VÄRMLANDS LÄN</t>
        </is>
      </c>
      <c r="E1589" t="inlineStr">
        <is>
          <t>TORSBY</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43787-2025</t>
        </is>
      </c>
      <c r="B1590" s="1" t="n">
        <v>45912</v>
      </c>
      <c r="C1590" s="1" t="n">
        <v>45969</v>
      </c>
      <c r="D1590" t="inlineStr">
        <is>
          <t>VÄRMLANDS LÄN</t>
        </is>
      </c>
      <c r="E1590" t="inlineStr">
        <is>
          <t>TORSBY</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1095-2025</t>
        </is>
      </c>
      <c r="B1591" s="1" t="n">
        <v>45666.63681712963</v>
      </c>
      <c r="C1591" s="1" t="n">
        <v>45969</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27962-2025</t>
        </is>
      </c>
      <c r="B1592" s="1" t="n">
        <v>45817.54878472222</v>
      </c>
      <c r="C1592" s="1" t="n">
        <v>45969</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19791-2025</t>
        </is>
      </c>
      <c r="B1593" s="1" t="n">
        <v>45771.4452662037</v>
      </c>
      <c r="C1593" s="1" t="n">
        <v>45969</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52261-2025</t>
        </is>
      </c>
      <c r="B1594" s="1" t="n">
        <v>45952</v>
      </c>
      <c r="C1594" s="1" t="n">
        <v>45969</v>
      </c>
      <c r="D1594" t="inlineStr">
        <is>
          <t>VÄRMLANDS LÄN</t>
        </is>
      </c>
      <c r="E1594" t="inlineStr">
        <is>
          <t>TORSBY</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56815-2023</t>
        </is>
      </c>
      <c r="B1595" s="1" t="n">
        <v>45244</v>
      </c>
      <c r="C1595" s="1" t="n">
        <v>45969</v>
      </c>
      <c r="D1595" t="inlineStr">
        <is>
          <t>VÄRMLANDS LÄN</t>
        </is>
      </c>
      <c r="E1595" t="inlineStr">
        <is>
          <t>TORSBY</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27758-2025</t>
        </is>
      </c>
      <c r="B1596" s="1" t="n">
        <v>45816</v>
      </c>
      <c r="C1596" s="1" t="n">
        <v>45969</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1708-2025</t>
        </is>
      </c>
      <c r="B1597" s="1" t="n">
        <v>45670</v>
      </c>
      <c r="C1597" s="1" t="n">
        <v>45969</v>
      </c>
      <c r="D1597" t="inlineStr">
        <is>
          <t>VÄRMLANDS LÄN</t>
        </is>
      </c>
      <c r="E1597" t="inlineStr">
        <is>
          <t>TORSBY</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27863-2025</t>
        </is>
      </c>
      <c r="B1598" s="1" t="n">
        <v>45817.42118055555</v>
      </c>
      <c r="C1598" s="1" t="n">
        <v>45969</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55839-2024</t>
        </is>
      </c>
      <c r="B1599" s="1" t="n">
        <v>45623.49502314815</v>
      </c>
      <c r="C1599" s="1" t="n">
        <v>45969</v>
      </c>
      <c r="D1599" t="inlineStr">
        <is>
          <t>VÄRMLANDS LÄN</t>
        </is>
      </c>
      <c r="E1599" t="inlineStr">
        <is>
          <t>TORSBY</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24493-2024</t>
        </is>
      </c>
      <c r="B1600" s="1" t="n">
        <v>45459.72136574074</v>
      </c>
      <c r="C1600" s="1" t="n">
        <v>45969</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50445-2023</t>
        </is>
      </c>
      <c r="B1601" s="1" t="n">
        <v>45216</v>
      </c>
      <c r="C1601" s="1" t="n">
        <v>45969</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62915-2020</t>
        </is>
      </c>
      <c r="B1602" s="1" t="n">
        <v>44162</v>
      </c>
      <c r="C1602" s="1" t="n">
        <v>45969</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52436-2025</t>
        </is>
      </c>
      <c r="B1603" s="1" t="n">
        <v>45954.39688657408</v>
      </c>
      <c r="C1603" s="1" t="n">
        <v>45969</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28612-2025</t>
        </is>
      </c>
      <c r="B1604" s="1" t="n">
        <v>45819</v>
      </c>
      <c r="C1604" s="1" t="n">
        <v>45969</v>
      </c>
      <c r="D1604" t="inlineStr">
        <is>
          <t>VÄRMLANDS LÄN</t>
        </is>
      </c>
      <c r="E1604" t="inlineStr">
        <is>
          <t>TORSBY</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28774-2025</t>
        </is>
      </c>
      <c r="B1605" s="1" t="n">
        <v>45820.4434375</v>
      </c>
      <c r="C1605" s="1" t="n">
        <v>45969</v>
      </c>
      <c r="D1605" t="inlineStr">
        <is>
          <t>VÄRMLANDS LÄN</t>
        </is>
      </c>
      <c r="E1605" t="inlineStr">
        <is>
          <t>TORSBY</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28939-2025</t>
        </is>
      </c>
      <c r="B1606" s="1" t="n">
        <v>45820.71350694444</v>
      </c>
      <c r="C1606" s="1" t="n">
        <v>45969</v>
      </c>
      <c r="D1606" t="inlineStr">
        <is>
          <t>VÄRMLANDS LÄN</t>
        </is>
      </c>
      <c r="E1606" t="inlineStr">
        <is>
          <t>TORSBY</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54014-2024</t>
        </is>
      </c>
      <c r="B1607" s="1" t="n">
        <v>45616.38003472222</v>
      </c>
      <c r="C1607" s="1" t="n">
        <v>45969</v>
      </c>
      <c r="D1607" t="inlineStr">
        <is>
          <t>VÄRMLANDS LÄN</t>
        </is>
      </c>
      <c r="E1607" t="inlineStr">
        <is>
          <t>TORSBY</t>
        </is>
      </c>
      <c r="F1607" t="inlineStr">
        <is>
          <t>Kommuner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28380-2025</t>
        </is>
      </c>
      <c r="B1608" s="1" t="n">
        <v>45819.30581018519</v>
      </c>
      <c r="C1608" s="1" t="n">
        <v>45969</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52609-2025</t>
        </is>
      </c>
      <c r="B1609" s="1" t="n">
        <v>45954.66649305556</v>
      </c>
      <c r="C1609" s="1" t="n">
        <v>45969</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28761-2025</t>
        </is>
      </c>
      <c r="B1610" s="1" t="n">
        <v>45820.41648148148</v>
      </c>
      <c r="C1610" s="1" t="n">
        <v>45969</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19614-2022</t>
        </is>
      </c>
      <c r="B1611" s="1" t="n">
        <v>44694</v>
      </c>
      <c r="C1611" s="1" t="n">
        <v>45969</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28765-2025</t>
        </is>
      </c>
      <c r="B1612" s="1" t="n">
        <v>45820.41982638889</v>
      </c>
      <c r="C1612" s="1" t="n">
        <v>45969</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28898-2025</t>
        </is>
      </c>
      <c r="B1613" s="1" t="n">
        <v>45820.63644675926</v>
      </c>
      <c r="C1613" s="1" t="n">
        <v>45969</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28784-2025</t>
        </is>
      </c>
      <c r="B1614" s="1" t="n">
        <v>45820</v>
      </c>
      <c r="C1614" s="1" t="n">
        <v>45969</v>
      </c>
      <c r="D1614" t="inlineStr">
        <is>
          <t>VÄRMLANDS LÄN</t>
        </is>
      </c>
      <c r="E1614" t="inlineStr">
        <is>
          <t>TORSBY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28511-2025</t>
        </is>
      </c>
      <c r="B1615" s="1" t="n">
        <v>45819</v>
      </c>
      <c r="C1615" s="1" t="n">
        <v>45969</v>
      </c>
      <c r="D1615" t="inlineStr">
        <is>
          <t>VÄRMLANDS LÄN</t>
        </is>
      </c>
      <c r="E1615" t="inlineStr">
        <is>
          <t>TORSBY</t>
        </is>
      </c>
      <c r="F1615" t="inlineStr">
        <is>
          <t>Bergvik skog väst AB</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43608-2025</t>
        </is>
      </c>
      <c r="B1616" s="1" t="n">
        <v>45911.67491898148</v>
      </c>
      <c r="C1616" s="1" t="n">
        <v>45969</v>
      </c>
      <c r="D1616" t="inlineStr">
        <is>
          <t>VÄRMLANDS LÄN</t>
        </is>
      </c>
      <c r="E1616" t="inlineStr">
        <is>
          <t>TORSBY</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28791-2025</t>
        </is>
      </c>
      <c r="B1617" s="1" t="n">
        <v>45820</v>
      </c>
      <c r="C1617" s="1" t="n">
        <v>45969</v>
      </c>
      <c r="D1617" t="inlineStr">
        <is>
          <t>VÄRMLANDS LÄN</t>
        </is>
      </c>
      <c r="E1617" t="inlineStr">
        <is>
          <t>TORSBY</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48762-2023</t>
        </is>
      </c>
      <c r="B1618" s="1" t="n">
        <v>45208</v>
      </c>
      <c r="C1618" s="1" t="n">
        <v>45969</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53570-2024</t>
        </is>
      </c>
      <c r="B1619" s="1" t="n">
        <v>45614.65956018519</v>
      </c>
      <c r="C1619" s="1" t="n">
        <v>45969</v>
      </c>
      <c r="D1619" t="inlineStr">
        <is>
          <t>VÄRMLANDS LÄN</t>
        </is>
      </c>
      <c r="E1619" t="inlineStr">
        <is>
          <t>TORSBY</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4302-2025</t>
        </is>
      </c>
      <c r="B1620" s="1" t="n">
        <v>45685.67939814815</v>
      </c>
      <c r="C1620" s="1" t="n">
        <v>45969</v>
      </c>
      <c r="D1620" t="inlineStr">
        <is>
          <t>VÄRMLANDS LÄN</t>
        </is>
      </c>
      <c r="E1620" t="inlineStr">
        <is>
          <t>TORSBY</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28757-2025</t>
        </is>
      </c>
      <c r="B1621" s="1" t="n">
        <v>45820</v>
      </c>
      <c r="C1621" s="1" t="n">
        <v>45969</v>
      </c>
      <c r="D1621" t="inlineStr">
        <is>
          <t>VÄRMLANDS LÄN</t>
        </is>
      </c>
      <c r="E1621" t="inlineStr">
        <is>
          <t>TORSBY</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10288-2025</t>
        </is>
      </c>
      <c r="B1622" s="1" t="n">
        <v>45720.41396990741</v>
      </c>
      <c r="C1622" s="1" t="n">
        <v>45969</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29312-2025</t>
        </is>
      </c>
      <c r="B1623" s="1" t="n">
        <v>45824</v>
      </c>
      <c r="C1623" s="1" t="n">
        <v>45969</v>
      </c>
      <c r="D1623" t="inlineStr">
        <is>
          <t>VÄRMLANDS LÄN</t>
        </is>
      </c>
      <c r="E1623" t="inlineStr">
        <is>
          <t>TORSBY</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27920-2023</t>
        </is>
      </c>
      <c r="B1624" s="1" t="n">
        <v>45098.64269675926</v>
      </c>
      <c r="C1624" s="1" t="n">
        <v>45969</v>
      </c>
      <c r="D1624" t="inlineStr">
        <is>
          <t>VÄRMLANDS LÄN</t>
        </is>
      </c>
      <c r="E1624" t="inlineStr">
        <is>
          <t>TORSBY</t>
        </is>
      </c>
      <c r="F1624" t="inlineStr">
        <is>
          <t>Kyrkan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29071-2025</t>
        </is>
      </c>
      <c r="B1625" s="1" t="n">
        <v>45821</v>
      </c>
      <c r="C1625" s="1" t="n">
        <v>45969</v>
      </c>
      <c r="D1625" t="inlineStr">
        <is>
          <t>VÄRMLANDS LÄN</t>
        </is>
      </c>
      <c r="E1625" t="inlineStr">
        <is>
          <t>TORSBY</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24876-2023</t>
        </is>
      </c>
      <c r="B1626" s="1" t="n">
        <v>45085.42391203704</v>
      </c>
      <c r="C1626" s="1" t="n">
        <v>45969</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43831-2025</t>
        </is>
      </c>
      <c r="B1627" s="1" t="n">
        <v>45912.62987268518</v>
      </c>
      <c r="C1627" s="1" t="n">
        <v>45969</v>
      </c>
      <c r="D1627" t="inlineStr">
        <is>
          <t>VÄRMLANDS LÄN</t>
        </is>
      </c>
      <c r="E1627" t="inlineStr">
        <is>
          <t>TORSBY</t>
        </is>
      </c>
      <c r="F1627" t="inlineStr">
        <is>
          <t>Bergvik skog väst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52489-2025</t>
        </is>
      </c>
      <c r="B1628" s="1" t="n">
        <v>45954.48056712963</v>
      </c>
      <c r="C1628" s="1" t="n">
        <v>45969</v>
      </c>
      <c r="D1628" t="inlineStr">
        <is>
          <t>VÄRMLANDS LÄN</t>
        </is>
      </c>
      <c r="E1628" t="inlineStr">
        <is>
          <t>TORSBY</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29403-2025</t>
        </is>
      </c>
      <c r="B1629" s="1" t="n">
        <v>45824.61469907407</v>
      </c>
      <c r="C1629" s="1" t="n">
        <v>45969</v>
      </c>
      <c r="D1629" t="inlineStr">
        <is>
          <t>VÄRMLANDS LÄN</t>
        </is>
      </c>
      <c r="E1629" t="inlineStr">
        <is>
          <t>TORSBY</t>
        </is>
      </c>
      <c r="F1629" t="inlineStr">
        <is>
          <t>Bergvik skog väst AB</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29251-2025</t>
        </is>
      </c>
      <c r="B1630" s="1" t="n">
        <v>45824</v>
      </c>
      <c r="C1630" s="1" t="n">
        <v>45969</v>
      </c>
      <c r="D1630" t="inlineStr">
        <is>
          <t>VÄRMLANDS LÄN</t>
        </is>
      </c>
      <c r="E1630" t="inlineStr">
        <is>
          <t>TORSBY</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29063-2025</t>
        </is>
      </c>
      <c r="B1631" s="1" t="n">
        <v>45821</v>
      </c>
      <c r="C1631" s="1" t="n">
        <v>45969</v>
      </c>
      <c r="D1631" t="inlineStr">
        <is>
          <t>VÄRMLANDS LÄN</t>
        </is>
      </c>
      <c r="E1631" t="inlineStr">
        <is>
          <t>TORSBY</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29307-2025</t>
        </is>
      </c>
      <c r="B1632" s="1" t="n">
        <v>45824</v>
      </c>
      <c r="C1632" s="1" t="n">
        <v>45969</v>
      </c>
      <c r="D1632" t="inlineStr">
        <is>
          <t>VÄRMLANDS LÄN</t>
        </is>
      </c>
      <c r="E1632" t="inlineStr">
        <is>
          <t>TORSBY</t>
        </is>
      </c>
      <c r="F1632" t="inlineStr">
        <is>
          <t>Övriga Aktiebolag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17841-2025</t>
        </is>
      </c>
      <c r="B1633" s="1" t="n">
        <v>45758</v>
      </c>
      <c r="C1633" s="1" t="n">
        <v>45969</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24657-2024</t>
        </is>
      </c>
      <c r="B1634" s="1" t="n">
        <v>45460</v>
      </c>
      <c r="C1634" s="1" t="n">
        <v>45969</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9203-2024</t>
        </is>
      </c>
      <c r="B1635" s="1" t="n">
        <v>45358</v>
      </c>
      <c r="C1635" s="1" t="n">
        <v>45969</v>
      </c>
      <c r="D1635" t="inlineStr">
        <is>
          <t>VÄRMLANDS LÄN</t>
        </is>
      </c>
      <c r="E1635" t="inlineStr">
        <is>
          <t>TORSBY</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23996-2024</t>
        </is>
      </c>
      <c r="B1636" s="1" t="n">
        <v>45456</v>
      </c>
      <c r="C1636" s="1" t="n">
        <v>45969</v>
      </c>
      <c r="D1636" t="inlineStr">
        <is>
          <t>VÄRMLANDS LÄN</t>
        </is>
      </c>
      <c r="E1636" t="inlineStr">
        <is>
          <t>TORSBY</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22426-2024</t>
        </is>
      </c>
      <c r="B1637" s="1" t="n">
        <v>45446</v>
      </c>
      <c r="C1637" s="1" t="n">
        <v>45969</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24148-2024</t>
        </is>
      </c>
      <c r="B1638" s="1" t="n">
        <v>45456</v>
      </c>
      <c r="C1638" s="1" t="n">
        <v>45969</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42613-2023</t>
        </is>
      </c>
      <c r="B1639" s="1" t="n">
        <v>45181</v>
      </c>
      <c r="C1639" s="1" t="n">
        <v>45969</v>
      </c>
      <c r="D1639" t="inlineStr">
        <is>
          <t>VÄRMLANDS LÄN</t>
        </is>
      </c>
      <c r="E1639" t="inlineStr">
        <is>
          <t>TORSBY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52931-2025</t>
        </is>
      </c>
      <c r="B1640" s="1" t="n">
        <v>45957.62225694444</v>
      </c>
      <c r="C1640" s="1" t="n">
        <v>45969</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59236-2023</t>
        </is>
      </c>
      <c r="B1641" s="1" t="n">
        <v>45253</v>
      </c>
      <c r="C1641" s="1" t="n">
        <v>45969</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14120-2025</t>
        </is>
      </c>
      <c r="B1642" s="1" t="n">
        <v>45740</v>
      </c>
      <c r="C1642" s="1" t="n">
        <v>45969</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52891-2025</t>
        </is>
      </c>
      <c r="B1643" s="1" t="n">
        <v>45957.57776620371</v>
      </c>
      <c r="C1643" s="1" t="n">
        <v>45969</v>
      </c>
      <c r="D1643" t="inlineStr">
        <is>
          <t>VÄRMLANDS LÄN</t>
        </is>
      </c>
      <c r="E1643" t="inlineStr">
        <is>
          <t>TORSBY</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29587-2025</t>
        </is>
      </c>
      <c r="B1644" s="1" t="n">
        <v>45825.39394675926</v>
      </c>
      <c r="C1644" s="1" t="n">
        <v>45969</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15768-2025</t>
        </is>
      </c>
      <c r="B1645" s="1" t="n">
        <v>45748.58782407407</v>
      </c>
      <c r="C1645" s="1" t="n">
        <v>45969</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29702-2025</t>
        </is>
      </c>
      <c r="B1646" s="1" t="n">
        <v>45825.55667824074</v>
      </c>
      <c r="C1646" s="1" t="n">
        <v>45969</v>
      </c>
      <c r="D1646" t="inlineStr">
        <is>
          <t>VÄRMLANDS LÄN</t>
        </is>
      </c>
      <c r="E1646" t="inlineStr">
        <is>
          <t>TORSBY</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29641-2025</t>
        </is>
      </c>
      <c r="B1647" s="1" t="n">
        <v>45825.46285879629</v>
      </c>
      <c r="C1647" s="1" t="n">
        <v>45969</v>
      </c>
      <c r="D1647" t="inlineStr">
        <is>
          <t>VÄRMLANDS LÄN</t>
        </is>
      </c>
      <c r="E1647" t="inlineStr">
        <is>
          <t>TORSBY</t>
        </is>
      </c>
      <c r="G1647" t="n">
        <v>23.4</v>
      </c>
      <c r="H1647" t="n">
        <v>0</v>
      </c>
      <c r="I1647" t="n">
        <v>0</v>
      </c>
      <c r="J1647" t="n">
        <v>0</v>
      </c>
      <c r="K1647" t="n">
        <v>0</v>
      </c>
      <c r="L1647" t="n">
        <v>0</v>
      </c>
      <c r="M1647" t="n">
        <v>0</v>
      </c>
      <c r="N1647" t="n">
        <v>0</v>
      </c>
      <c r="O1647" t="n">
        <v>0</v>
      </c>
      <c r="P1647" t="n">
        <v>0</v>
      </c>
      <c r="Q1647" t="n">
        <v>0</v>
      </c>
      <c r="R1647" s="2" t="inlineStr"/>
    </row>
    <row r="1648" ht="15" customHeight="1">
      <c r="A1648" t="inlineStr">
        <is>
          <t>A 30078-2025</t>
        </is>
      </c>
      <c r="B1648" s="1" t="n">
        <v>45826.64291666666</v>
      </c>
      <c r="C1648" s="1" t="n">
        <v>45969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44233-2025</t>
        </is>
      </c>
      <c r="B1649" s="1" t="n">
        <v>45915.65515046296</v>
      </c>
      <c r="C1649" s="1" t="n">
        <v>45969</v>
      </c>
      <c r="D1649" t="inlineStr">
        <is>
          <t>VÄRMLANDS LÄN</t>
        </is>
      </c>
      <c r="E1649" t="inlineStr">
        <is>
          <t>TORSBY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30026-2025</t>
        </is>
      </c>
      <c r="B1650" s="1" t="n">
        <v>45826.5637037037</v>
      </c>
      <c r="C1650" s="1" t="n">
        <v>45969</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54766-2023</t>
        </is>
      </c>
      <c r="B1651" s="1" t="n">
        <v>45236</v>
      </c>
      <c r="C1651" s="1" t="n">
        <v>45969</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29512-2025</t>
        </is>
      </c>
      <c r="B1652" s="1" t="n">
        <v>45825.31002314815</v>
      </c>
      <c r="C1652" s="1" t="n">
        <v>45969</v>
      </c>
      <c r="D1652" t="inlineStr">
        <is>
          <t>VÄRMLANDS LÄN</t>
        </is>
      </c>
      <c r="E1652" t="inlineStr">
        <is>
          <t>TORSBY</t>
        </is>
      </c>
      <c r="F1652" t="inlineStr">
        <is>
          <t>Bergvik skog väst AB</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29650-2025</t>
        </is>
      </c>
      <c r="B1653" s="1" t="n">
        <v>45825.47546296296</v>
      </c>
      <c r="C1653" s="1" t="n">
        <v>45969</v>
      </c>
      <c r="D1653" t="inlineStr">
        <is>
          <t>VÄRMLANDS LÄN</t>
        </is>
      </c>
      <c r="E1653" t="inlineStr">
        <is>
          <t>TORSBY</t>
        </is>
      </c>
      <c r="G1653" t="n">
        <v>16.8</v>
      </c>
      <c r="H1653" t="n">
        <v>0</v>
      </c>
      <c r="I1653" t="n">
        <v>0</v>
      </c>
      <c r="J1653" t="n">
        <v>0</v>
      </c>
      <c r="K1653" t="n">
        <v>0</v>
      </c>
      <c r="L1653" t="n">
        <v>0</v>
      </c>
      <c r="M1653" t="n">
        <v>0</v>
      </c>
      <c r="N1653" t="n">
        <v>0</v>
      </c>
      <c r="O1653" t="n">
        <v>0</v>
      </c>
      <c r="P1653" t="n">
        <v>0</v>
      </c>
      <c r="Q1653" t="n">
        <v>0</v>
      </c>
      <c r="R1653" s="2" t="inlineStr"/>
    </row>
    <row r="1654" ht="15" customHeight="1">
      <c r="A1654" t="inlineStr">
        <is>
          <t>A 30074-2025</t>
        </is>
      </c>
      <c r="B1654" s="1" t="n">
        <v>45826.63672453703</v>
      </c>
      <c r="C1654" s="1" t="n">
        <v>45969</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52358-2025</t>
        </is>
      </c>
      <c r="B1655" s="1" t="n">
        <v>45952</v>
      </c>
      <c r="C1655" s="1" t="n">
        <v>45969</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52947-2025</t>
        </is>
      </c>
      <c r="B1656" s="1" t="n">
        <v>45954</v>
      </c>
      <c r="C1656" s="1" t="n">
        <v>45969</v>
      </c>
      <c r="D1656" t="inlineStr">
        <is>
          <t>VÄRMLANDS LÄN</t>
        </is>
      </c>
      <c r="E1656" t="inlineStr">
        <is>
          <t>TORSBY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53014-2025</t>
        </is>
      </c>
      <c r="B1657" s="1" t="n">
        <v>45957.81865740741</v>
      </c>
      <c r="C1657" s="1" t="n">
        <v>45969</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15460-2022</t>
        </is>
      </c>
      <c r="B1658" s="1" t="n">
        <v>44661</v>
      </c>
      <c r="C1658" s="1" t="n">
        <v>45969</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44150-2023</t>
        </is>
      </c>
      <c r="B1659" s="1" t="n">
        <v>45188.47791666666</v>
      </c>
      <c r="C1659" s="1" t="n">
        <v>45969</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52772-2025</t>
        </is>
      </c>
      <c r="B1660" s="1" t="n">
        <v>45957.41255787037</v>
      </c>
      <c r="C1660" s="1" t="n">
        <v>45969</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52774-2025</t>
        </is>
      </c>
      <c r="B1661" s="1" t="n">
        <v>45957.41480324074</v>
      </c>
      <c r="C1661" s="1" t="n">
        <v>45969</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52847-2025</t>
        </is>
      </c>
      <c r="B1662" s="1" t="n">
        <v>45957.48972222222</v>
      </c>
      <c r="C1662" s="1" t="n">
        <v>45969</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52852-2025</t>
        </is>
      </c>
      <c r="B1663" s="1" t="n">
        <v>45957.49319444445</v>
      </c>
      <c r="C1663" s="1" t="n">
        <v>45969</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44141-2025</t>
        </is>
      </c>
      <c r="B1664" s="1" t="n">
        <v>45915</v>
      </c>
      <c r="C1664" s="1" t="n">
        <v>45969</v>
      </c>
      <c r="D1664" t="inlineStr">
        <is>
          <t>VÄRMLANDS LÄN</t>
        </is>
      </c>
      <c r="E1664" t="inlineStr">
        <is>
          <t>TORSBY</t>
        </is>
      </c>
      <c r="F1664" t="inlineStr">
        <is>
          <t>Kyrkan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30214-2025</t>
        </is>
      </c>
      <c r="B1665" s="1" t="n">
        <v>45827</v>
      </c>
      <c r="C1665" s="1" t="n">
        <v>45969</v>
      </c>
      <c r="D1665" t="inlineStr">
        <is>
          <t>VÄRMLANDS LÄN</t>
        </is>
      </c>
      <c r="E1665" t="inlineStr">
        <is>
          <t>TORSBY</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53266-2025</t>
        </is>
      </c>
      <c r="B1666" s="1" t="n">
        <v>45958.6834837963</v>
      </c>
      <c r="C1666" s="1" t="n">
        <v>45969</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52995-2025</t>
        </is>
      </c>
      <c r="B1667" s="1" t="n">
        <v>45957.72936342593</v>
      </c>
      <c r="C1667" s="1" t="n">
        <v>45969</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30433-2025</t>
        </is>
      </c>
      <c r="B1668" s="1" t="n">
        <v>45827</v>
      </c>
      <c r="C1668" s="1" t="n">
        <v>45969</v>
      </c>
      <c r="D1668" t="inlineStr">
        <is>
          <t>VÄRMLANDS LÄN</t>
        </is>
      </c>
      <c r="E1668" t="inlineStr">
        <is>
          <t>TORSBY</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30199-2025</t>
        </is>
      </c>
      <c r="B1669" s="1" t="n">
        <v>45827</v>
      </c>
      <c r="C1669" s="1" t="n">
        <v>45969</v>
      </c>
      <c r="D1669" t="inlineStr">
        <is>
          <t>VÄRMLANDS LÄN</t>
        </is>
      </c>
      <c r="E1669" t="inlineStr">
        <is>
          <t>TORSBY</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18101-2022</t>
        </is>
      </c>
      <c r="B1670" s="1" t="n">
        <v>44684</v>
      </c>
      <c r="C1670" s="1" t="n">
        <v>45969</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44507-2025</t>
        </is>
      </c>
      <c r="B1671" s="1" t="n">
        <v>45916</v>
      </c>
      <c r="C1671" s="1" t="n">
        <v>45969</v>
      </c>
      <c r="D1671" t="inlineStr">
        <is>
          <t>VÄRMLANDS LÄN</t>
        </is>
      </c>
      <c r="E1671" t="inlineStr">
        <is>
          <t>TORSBY</t>
        </is>
      </c>
      <c r="F1671" t="inlineStr">
        <is>
          <t>Bergvik skog väst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30380-2025</t>
        </is>
      </c>
      <c r="B1672" s="1" t="n">
        <v>45827</v>
      </c>
      <c r="C1672" s="1" t="n">
        <v>45969</v>
      </c>
      <c r="D1672" t="inlineStr">
        <is>
          <t>VÄRMLANDS LÄN</t>
        </is>
      </c>
      <c r="E1672" t="inlineStr">
        <is>
          <t>TORSBY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11195-2025</t>
        </is>
      </c>
      <c r="B1673" s="1" t="n">
        <v>45725.85177083333</v>
      </c>
      <c r="C1673" s="1" t="n">
        <v>45969</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30151-2025</t>
        </is>
      </c>
      <c r="B1674" s="1" t="n">
        <v>45827</v>
      </c>
      <c r="C1674" s="1" t="n">
        <v>45969</v>
      </c>
      <c r="D1674" t="inlineStr">
        <is>
          <t>VÄRMLANDS LÄN</t>
        </is>
      </c>
      <c r="E1674" t="inlineStr">
        <is>
          <t>TORSBY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52364-2025</t>
        </is>
      </c>
      <c r="B1675" s="1" t="n">
        <v>45952</v>
      </c>
      <c r="C1675" s="1" t="n">
        <v>45969</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52747-2025</t>
        </is>
      </c>
      <c r="B1676" s="1" t="n">
        <v>45957.38515046296</v>
      </c>
      <c r="C1676" s="1" t="n">
        <v>45969</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30153-2025</t>
        </is>
      </c>
      <c r="B1677" s="1" t="n">
        <v>45827.31736111111</v>
      </c>
      <c r="C1677" s="1" t="n">
        <v>45969</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30333-2025</t>
        </is>
      </c>
      <c r="B1678" s="1" t="n">
        <v>45827</v>
      </c>
      <c r="C1678" s="1" t="n">
        <v>45969</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30377-2025</t>
        </is>
      </c>
      <c r="B1679" s="1" t="n">
        <v>45827</v>
      </c>
      <c r="C1679" s="1" t="n">
        <v>45969</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30388-2025</t>
        </is>
      </c>
      <c r="B1680" s="1" t="n">
        <v>45827.5734837963</v>
      </c>
      <c r="C1680" s="1" t="n">
        <v>45969</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30974-2025</t>
        </is>
      </c>
      <c r="B1681" s="1" t="n">
        <v>45832.46305555556</v>
      </c>
      <c r="C1681" s="1" t="n">
        <v>45969</v>
      </c>
      <c r="D1681" t="inlineStr">
        <is>
          <t>VÄRMLANDS LÄN</t>
        </is>
      </c>
      <c r="E1681" t="inlineStr">
        <is>
          <t>TORSBY</t>
        </is>
      </c>
      <c r="G1681" t="n">
        <v>29.2</v>
      </c>
      <c r="H1681" t="n">
        <v>0</v>
      </c>
      <c r="I1681" t="n">
        <v>0</v>
      </c>
      <c r="J1681" t="n">
        <v>0</v>
      </c>
      <c r="K1681" t="n">
        <v>0</v>
      </c>
      <c r="L1681" t="n">
        <v>0</v>
      </c>
      <c r="M1681" t="n">
        <v>0</v>
      </c>
      <c r="N1681" t="n">
        <v>0</v>
      </c>
      <c r="O1681" t="n">
        <v>0</v>
      </c>
      <c r="P1681" t="n">
        <v>0</v>
      </c>
      <c r="Q1681" t="n">
        <v>0</v>
      </c>
      <c r="R1681" s="2" t="inlineStr"/>
    </row>
    <row r="1682" ht="15" customHeight="1">
      <c r="A1682" t="inlineStr">
        <is>
          <t>A 16498-2022</t>
        </is>
      </c>
      <c r="B1682" s="1" t="n">
        <v>44671</v>
      </c>
      <c r="C1682" s="1" t="n">
        <v>45969</v>
      </c>
      <c r="D1682" t="inlineStr">
        <is>
          <t>VÄRMLANDS LÄN</t>
        </is>
      </c>
      <c r="E1682" t="inlineStr">
        <is>
          <t>TORSBY</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30738-2025</t>
        </is>
      </c>
      <c r="B1683" s="1" t="n">
        <v>45831.57583333334</v>
      </c>
      <c r="C1683" s="1" t="n">
        <v>45969</v>
      </c>
      <c r="D1683" t="inlineStr">
        <is>
          <t>VÄRMLANDS LÄN</t>
        </is>
      </c>
      <c r="E1683" t="inlineStr">
        <is>
          <t>TORSBY</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61157-2023</t>
        </is>
      </c>
      <c r="B1684" s="1" t="n">
        <v>45261.98796296296</v>
      </c>
      <c r="C1684" s="1" t="n">
        <v>45969</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31101-2025</t>
        </is>
      </c>
      <c r="B1685" s="1" t="n">
        <v>45832</v>
      </c>
      <c r="C1685" s="1" t="n">
        <v>45969</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52918-2025</t>
        </is>
      </c>
      <c r="B1686" s="1" t="n">
        <v>45957.6122337963</v>
      </c>
      <c r="C1686" s="1" t="n">
        <v>45969</v>
      </c>
      <c r="D1686" t="inlineStr">
        <is>
          <t>VÄRMLANDS LÄN</t>
        </is>
      </c>
      <c r="E1686" t="inlineStr">
        <is>
          <t>TORSBY</t>
        </is>
      </c>
      <c r="F1686" t="inlineStr">
        <is>
          <t>Bergvik skog väst AB</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55031-2023</t>
        </is>
      </c>
      <c r="B1687" s="1" t="n">
        <v>45237.34733796296</v>
      </c>
      <c r="C1687" s="1" t="n">
        <v>45969</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29921-2022</t>
        </is>
      </c>
      <c r="B1688" s="1" t="n">
        <v>44756</v>
      </c>
      <c r="C1688" s="1" t="n">
        <v>45969</v>
      </c>
      <c r="D1688" t="inlineStr">
        <is>
          <t>VÄRMLANDS LÄN</t>
        </is>
      </c>
      <c r="E1688" t="inlineStr">
        <is>
          <t>TORSBY</t>
        </is>
      </c>
      <c r="F1688" t="inlineStr">
        <is>
          <t>Kommuner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53272-2025</t>
        </is>
      </c>
      <c r="B1689" s="1" t="n">
        <v>45958.71019675926</v>
      </c>
      <c r="C1689" s="1" t="n">
        <v>45969</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30560-2025</t>
        </is>
      </c>
      <c r="B1690" s="1" t="n">
        <v>45831.39497685185</v>
      </c>
      <c r="C1690" s="1" t="n">
        <v>45969</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52796-2025</t>
        </is>
      </c>
      <c r="B1691" s="1" t="n">
        <v>45957.43682870371</v>
      </c>
      <c r="C1691" s="1" t="n">
        <v>45969</v>
      </c>
      <c r="D1691" t="inlineStr">
        <is>
          <t>VÄRMLANDS LÄN</t>
        </is>
      </c>
      <c r="E1691" t="inlineStr">
        <is>
          <t>TORSBY</t>
        </is>
      </c>
      <c r="G1691" t="n">
        <v>17.7</v>
      </c>
      <c r="H1691" t="n">
        <v>0</v>
      </c>
      <c r="I1691" t="n">
        <v>0</v>
      </c>
      <c r="J1691" t="n">
        <v>0</v>
      </c>
      <c r="K1691" t="n">
        <v>0</v>
      </c>
      <c r="L1691" t="n">
        <v>0</v>
      </c>
      <c r="M1691" t="n">
        <v>0</v>
      </c>
      <c r="N1691" t="n">
        <v>0</v>
      </c>
      <c r="O1691" t="n">
        <v>0</v>
      </c>
      <c r="P1691" t="n">
        <v>0</v>
      </c>
      <c r="Q1691" t="n">
        <v>0</v>
      </c>
      <c r="R1691" s="2" t="inlineStr"/>
    </row>
    <row r="1692" ht="15" customHeight="1">
      <c r="A1692" t="inlineStr">
        <is>
          <t>A 52822-2025</t>
        </is>
      </c>
      <c r="B1692" s="1" t="n">
        <v>45957.45693287037</v>
      </c>
      <c r="C1692" s="1" t="n">
        <v>45969</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46152-2024</t>
        </is>
      </c>
      <c r="B1693" s="1" t="n">
        <v>45581</v>
      </c>
      <c r="C1693" s="1" t="n">
        <v>45969</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52762-2025</t>
        </is>
      </c>
      <c r="B1694" s="1" t="n">
        <v>45957.39813657408</v>
      </c>
      <c r="C1694" s="1" t="n">
        <v>45969</v>
      </c>
      <c r="D1694" t="inlineStr">
        <is>
          <t>VÄRMLANDS LÄN</t>
        </is>
      </c>
      <c r="E1694" t="inlineStr">
        <is>
          <t>TORSBY</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52994-2025</t>
        </is>
      </c>
      <c r="B1695" s="1" t="n">
        <v>45957.72753472222</v>
      </c>
      <c r="C1695" s="1" t="n">
        <v>45969</v>
      </c>
      <c r="D1695" t="inlineStr">
        <is>
          <t>VÄRMLANDS LÄN</t>
        </is>
      </c>
      <c r="E1695" t="inlineStr">
        <is>
          <t>TORSBY</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56970-2023</t>
        </is>
      </c>
      <c r="B1696" s="1" t="n">
        <v>45244.63689814815</v>
      </c>
      <c r="C1696" s="1" t="n">
        <v>45969</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30607-2025</t>
        </is>
      </c>
      <c r="B1697" s="1" t="n">
        <v>45831.4584375</v>
      </c>
      <c r="C1697" s="1" t="n">
        <v>45969</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44273-2025</t>
        </is>
      </c>
      <c r="B1698" s="1" t="n">
        <v>45916</v>
      </c>
      <c r="C1698" s="1" t="n">
        <v>45969</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30717-2025</t>
        </is>
      </c>
      <c r="B1699" s="1" t="n">
        <v>45831.56103009259</v>
      </c>
      <c r="C1699" s="1" t="n">
        <v>45969</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4479-2021</t>
        </is>
      </c>
      <c r="B1700" s="1" t="n">
        <v>44224</v>
      </c>
      <c r="C1700" s="1" t="n">
        <v>45969</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4522-2021</t>
        </is>
      </c>
      <c r="B1701" s="1" t="n">
        <v>44224</v>
      </c>
      <c r="C1701" s="1" t="n">
        <v>45969</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53107-2025</t>
        </is>
      </c>
      <c r="B1702" s="1" t="n">
        <v>45958.43576388889</v>
      </c>
      <c r="C1702" s="1" t="n">
        <v>45969</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44288-2025</t>
        </is>
      </c>
      <c r="B1703" s="1" t="n">
        <v>45916.3500462963</v>
      </c>
      <c r="C1703" s="1" t="n">
        <v>45969</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53165-2025</t>
        </is>
      </c>
      <c r="B1704" s="1" t="n">
        <v>45958.50232638889</v>
      </c>
      <c r="C1704" s="1" t="n">
        <v>45969</v>
      </c>
      <c r="D1704" t="inlineStr">
        <is>
          <t>VÄRMLANDS LÄN</t>
        </is>
      </c>
      <c r="E1704" t="inlineStr">
        <is>
          <t>TORSBY</t>
        </is>
      </c>
      <c r="F1704" t="inlineStr">
        <is>
          <t>Bergvik skog väst AB</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31547-2025</t>
        </is>
      </c>
      <c r="B1705" s="1" t="n">
        <v>45833.63733796297</v>
      </c>
      <c r="C1705" s="1" t="n">
        <v>45969</v>
      </c>
      <c r="D1705" t="inlineStr">
        <is>
          <t>VÄRMLANDS LÄN</t>
        </is>
      </c>
      <c r="E1705" t="inlineStr">
        <is>
          <t>TORSBY</t>
        </is>
      </c>
      <c r="F1705" t="inlineStr">
        <is>
          <t>Bergvik skog väst AB</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52787-2025</t>
        </is>
      </c>
      <c r="B1706" s="1" t="n">
        <v>45957.42736111111</v>
      </c>
      <c r="C1706" s="1" t="n">
        <v>45969</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52754-2025</t>
        </is>
      </c>
      <c r="B1707" s="1" t="n">
        <v>45957.39010416667</v>
      </c>
      <c r="C1707" s="1" t="n">
        <v>45969</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1042-2024</t>
        </is>
      </c>
      <c r="B1708" s="1" t="n">
        <v>45301</v>
      </c>
      <c r="C1708" s="1" t="n">
        <v>45969</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36239-2023</t>
        </is>
      </c>
      <c r="B1709" s="1" t="n">
        <v>45150</v>
      </c>
      <c r="C1709" s="1" t="n">
        <v>45969</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41781-2022</t>
        </is>
      </c>
      <c r="B1710" s="1" t="n">
        <v>44827.70537037037</v>
      </c>
      <c r="C1710" s="1" t="n">
        <v>45969</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31850-2025</t>
        </is>
      </c>
      <c r="B1711" s="1" t="n">
        <v>45834</v>
      </c>
      <c r="C1711" s="1" t="n">
        <v>45969</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52577-2025</t>
        </is>
      </c>
      <c r="B1712" s="1" t="n">
        <v>45954.61509259259</v>
      </c>
      <c r="C1712" s="1" t="n">
        <v>45969</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31630-2025</t>
        </is>
      </c>
      <c r="B1713" s="1" t="n">
        <v>45834.32670138889</v>
      </c>
      <c r="C1713" s="1" t="n">
        <v>45969</v>
      </c>
      <c r="D1713" t="inlineStr">
        <is>
          <t>VÄRMLANDS LÄN</t>
        </is>
      </c>
      <c r="E1713" t="inlineStr">
        <is>
          <t>TORSBY</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44522-2025</t>
        </is>
      </c>
      <c r="B1714" s="1" t="n">
        <v>45916</v>
      </c>
      <c r="C1714" s="1" t="n">
        <v>45969</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44055-2025</t>
        </is>
      </c>
      <c r="B1715" s="1" t="n">
        <v>45915.52358796296</v>
      </c>
      <c r="C1715" s="1" t="n">
        <v>45969</v>
      </c>
      <c r="D1715" t="inlineStr">
        <is>
          <t>VÄRMLANDS LÄN</t>
        </is>
      </c>
      <c r="E1715" t="inlineStr">
        <is>
          <t>TORSBY</t>
        </is>
      </c>
      <c r="F1715" t="inlineStr">
        <is>
          <t>Kyrkan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52737-2025</t>
        </is>
      </c>
      <c r="B1716" s="1" t="n">
        <v>45957.37336805555</v>
      </c>
      <c r="C1716" s="1" t="n">
        <v>45969</v>
      </c>
      <c r="D1716" t="inlineStr">
        <is>
          <t>VÄRMLANDS LÄN</t>
        </is>
      </c>
      <c r="E1716" t="inlineStr">
        <is>
          <t>TORSBY</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31902-2025</t>
        </is>
      </c>
      <c r="B1717" s="1" t="n">
        <v>45834.68592592593</v>
      </c>
      <c r="C1717" s="1" t="n">
        <v>45969</v>
      </c>
      <c r="D1717" t="inlineStr">
        <is>
          <t>VÄRMLANDS LÄN</t>
        </is>
      </c>
      <c r="E1717" t="inlineStr">
        <is>
          <t>TORSBY</t>
        </is>
      </c>
      <c r="G1717" t="n">
        <v>27.1</v>
      </c>
      <c r="H1717" t="n">
        <v>0</v>
      </c>
      <c r="I1717" t="n">
        <v>0</v>
      </c>
      <c r="J1717" t="n">
        <v>0</v>
      </c>
      <c r="K1717" t="n">
        <v>0</v>
      </c>
      <c r="L1717" t="n">
        <v>0</v>
      </c>
      <c r="M1717" t="n">
        <v>0</v>
      </c>
      <c r="N1717" t="n">
        <v>0</v>
      </c>
      <c r="O1717" t="n">
        <v>0</v>
      </c>
      <c r="P1717" t="n">
        <v>0</v>
      </c>
      <c r="Q1717" t="n">
        <v>0</v>
      </c>
      <c r="R1717" s="2" t="inlineStr"/>
    </row>
    <row r="1718" ht="15" customHeight="1">
      <c r="A1718" t="inlineStr">
        <is>
          <t>A 31906-2025</t>
        </is>
      </c>
      <c r="B1718" s="1" t="n">
        <v>45834.69046296296</v>
      </c>
      <c r="C1718" s="1" t="n">
        <v>45969</v>
      </c>
      <c r="D1718" t="inlineStr">
        <is>
          <t>VÄRMLANDS LÄN</t>
        </is>
      </c>
      <c r="E1718" t="inlineStr">
        <is>
          <t>TORSBY</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44156-2025</t>
        </is>
      </c>
      <c r="B1719" s="1" t="n">
        <v>45915.59539351852</v>
      </c>
      <c r="C1719" s="1" t="n">
        <v>45969</v>
      </c>
      <c r="D1719" t="inlineStr">
        <is>
          <t>VÄRMLANDS LÄN</t>
        </is>
      </c>
      <c r="E1719" t="inlineStr">
        <is>
          <t>TORSBY</t>
        </is>
      </c>
      <c r="F1719" t="inlineStr">
        <is>
          <t>Kyrkan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31335-2025</t>
        </is>
      </c>
      <c r="B1720" s="1" t="n">
        <v>45833.42608796297</v>
      </c>
      <c r="C1720" s="1" t="n">
        <v>45969</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53049-2025</t>
        </is>
      </c>
      <c r="B1721" s="1" t="n">
        <v>45958.36173611111</v>
      </c>
      <c r="C1721" s="1" t="n">
        <v>45969</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44374-2025</t>
        </is>
      </c>
      <c r="B1722" s="1" t="n">
        <v>45916.47035879629</v>
      </c>
      <c r="C1722" s="1" t="n">
        <v>45969</v>
      </c>
      <c r="D1722" t="inlineStr">
        <is>
          <t>VÄRMLANDS LÄN</t>
        </is>
      </c>
      <c r="E1722" t="inlineStr">
        <is>
          <t>TORSBY</t>
        </is>
      </c>
      <c r="F1722" t="inlineStr">
        <is>
          <t>Bergvik skog väst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52741-2025</t>
        </is>
      </c>
      <c r="B1723" s="1" t="n">
        <v>45957.3778587963</v>
      </c>
      <c r="C1723" s="1" t="n">
        <v>45969</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52362-2025</t>
        </is>
      </c>
      <c r="B1724" s="1" t="n">
        <v>45952</v>
      </c>
      <c r="C1724" s="1" t="n">
        <v>45969</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52981-2025</t>
        </is>
      </c>
      <c r="B1725" s="1" t="n">
        <v>45957.68748842592</v>
      </c>
      <c r="C1725" s="1" t="n">
        <v>45969</v>
      </c>
      <c r="D1725" t="inlineStr">
        <is>
          <t>VÄRMLANDS LÄN</t>
        </is>
      </c>
      <c r="E1725" t="inlineStr">
        <is>
          <t>TORSBY</t>
        </is>
      </c>
      <c r="G1725" t="n">
        <v>20.5</v>
      </c>
      <c r="H1725" t="n">
        <v>0</v>
      </c>
      <c r="I1725" t="n">
        <v>0</v>
      </c>
      <c r="J1725" t="n">
        <v>0</v>
      </c>
      <c r="K1725" t="n">
        <v>0</v>
      </c>
      <c r="L1725" t="n">
        <v>0</v>
      </c>
      <c r="M1725" t="n">
        <v>0</v>
      </c>
      <c r="N1725" t="n">
        <v>0</v>
      </c>
      <c r="O1725" t="n">
        <v>0</v>
      </c>
      <c r="P1725" t="n">
        <v>0</v>
      </c>
      <c r="Q1725" t="n">
        <v>0</v>
      </c>
      <c r="R1725" s="2" t="inlineStr"/>
    </row>
    <row r="1726" ht="15" customHeight="1">
      <c r="A1726" t="inlineStr">
        <is>
          <t>A 52982-2025</t>
        </is>
      </c>
      <c r="B1726" s="1" t="n">
        <v>45957.69270833334</v>
      </c>
      <c r="C1726" s="1" t="n">
        <v>45969</v>
      </c>
      <c r="D1726" t="inlineStr">
        <is>
          <t>VÄRMLANDS LÄN</t>
        </is>
      </c>
      <c r="E1726" t="inlineStr">
        <is>
          <t>TORSBY</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52731-2025</t>
        </is>
      </c>
      <c r="B1727" s="1" t="n">
        <v>45957.36682870371</v>
      </c>
      <c r="C1727" s="1" t="n">
        <v>45969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53113-2025</t>
        </is>
      </c>
      <c r="B1728" s="1" t="n">
        <v>45958.44431712963</v>
      </c>
      <c r="C1728" s="1" t="n">
        <v>45969</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53123-2025</t>
        </is>
      </c>
      <c r="B1729" s="1" t="n">
        <v>45958.45204861111</v>
      </c>
      <c r="C1729" s="1" t="n">
        <v>45969</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44133-2025</t>
        </is>
      </c>
      <c r="B1730" s="1" t="n">
        <v>45915</v>
      </c>
      <c r="C1730" s="1" t="n">
        <v>45969</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44286-2025</t>
        </is>
      </c>
      <c r="B1731" s="1" t="n">
        <v>45916</v>
      </c>
      <c r="C1731" s="1" t="n">
        <v>45969</v>
      </c>
      <c r="D1731" t="inlineStr">
        <is>
          <t>VÄRMLANDS LÄN</t>
        </is>
      </c>
      <c r="E1731" t="inlineStr">
        <is>
          <t>TORSBY</t>
        </is>
      </c>
      <c r="F1731" t="inlineStr">
        <is>
          <t>Bergvik skog väst AB</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44290-2025</t>
        </is>
      </c>
      <c r="B1732" s="1" t="n">
        <v>45916.35228009259</v>
      </c>
      <c r="C1732" s="1" t="n">
        <v>45969</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44220-2025</t>
        </is>
      </c>
      <c r="B1733" s="1" t="n">
        <v>45915</v>
      </c>
      <c r="C1733" s="1" t="n">
        <v>45969</v>
      </c>
      <c r="D1733" t="inlineStr">
        <is>
          <t>VÄRMLANDS LÄN</t>
        </is>
      </c>
      <c r="E1733" t="inlineStr">
        <is>
          <t>TORSBY</t>
        </is>
      </c>
      <c r="F1733" t="inlineStr">
        <is>
          <t>Kommuner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15465-2024</t>
        </is>
      </c>
      <c r="B1734" s="1" t="n">
        <v>45401.47399305556</v>
      </c>
      <c r="C1734" s="1" t="n">
        <v>45969</v>
      </c>
      <c r="D1734" t="inlineStr">
        <is>
          <t>VÄRMLANDS LÄN</t>
        </is>
      </c>
      <c r="E1734" t="inlineStr">
        <is>
          <t>TORSBY</t>
        </is>
      </c>
      <c r="F1734" t="inlineStr">
        <is>
          <t>Bergvik skog väst AB</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31672-2025</t>
        </is>
      </c>
      <c r="B1735" s="1" t="n">
        <v>45834.36979166666</v>
      </c>
      <c r="C1735" s="1" t="n">
        <v>45969</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44901-2025</t>
        </is>
      </c>
      <c r="B1736" s="1" t="n">
        <v>45918</v>
      </c>
      <c r="C1736" s="1" t="n">
        <v>45969</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53605-2025</t>
        </is>
      </c>
      <c r="B1737" s="1" t="n">
        <v>45960.46434027778</v>
      </c>
      <c r="C1737" s="1" t="n">
        <v>45969</v>
      </c>
      <c r="D1737" t="inlineStr">
        <is>
          <t>VÄRMLANDS LÄN</t>
        </is>
      </c>
      <c r="E1737" t="inlineStr">
        <is>
          <t>TORSBY</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31416-2025</t>
        </is>
      </c>
      <c r="B1738" s="1" t="n">
        <v>45833.48278935185</v>
      </c>
      <c r="C1738" s="1" t="n">
        <v>45969</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60383-2024</t>
        </is>
      </c>
      <c r="B1739" s="1" t="n">
        <v>45643.47674768518</v>
      </c>
      <c r="C1739" s="1" t="n">
        <v>45969</v>
      </c>
      <c r="D1739" t="inlineStr">
        <is>
          <t>VÄRMLANDS LÄN</t>
        </is>
      </c>
      <c r="E1739" t="inlineStr">
        <is>
          <t>TORSBY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60386-2024</t>
        </is>
      </c>
      <c r="B1740" s="1" t="n">
        <v>45643</v>
      </c>
      <c r="C1740" s="1" t="n">
        <v>45969</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32134-2025</t>
        </is>
      </c>
      <c r="B1741" s="1" t="n">
        <v>45835.5102662037</v>
      </c>
      <c r="C1741" s="1" t="n">
        <v>45969</v>
      </c>
      <c r="D1741" t="inlineStr">
        <is>
          <t>VÄRMLANDS LÄN</t>
        </is>
      </c>
      <c r="E1741" t="inlineStr">
        <is>
          <t>TORSBY</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58013-2023</t>
        </is>
      </c>
      <c r="B1742" s="1" t="n">
        <v>45247.62346064814</v>
      </c>
      <c r="C1742" s="1" t="n">
        <v>45969</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44808-2025</t>
        </is>
      </c>
      <c r="B1743" s="1" t="n">
        <v>45918</v>
      </c>
      <c r="C1743" s="1" t="n">
        <v>45969</v>
      </c>
      <c r="D1743" t="inlineStr">
        <is>
          <t>VÄRMLANDS LÄN</t>
        </is>
      </c>
      <c r="E1743" t="inlineStr">
        <is>
          <t>TORSBY</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32622-2025</t>
        </is>
      </c>
      <c r="B1744" s="1" t="n">
        <v>45838</v>
      </c>
      <c r="C1744" s="1" t="n">
        <v>45969</v>
      </c>
      <c r="D1744" t="inlineStr">
        <is>
          <t>VÄRMLANDS LÄN</t>
        </is>
      </c>
      <c r="E1744" t="inlineStr">
        <is>
          <t>TORSBY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32618-2025</t>
        </is>
      </c>
      <c r="B1745" s="1" t="n">
        <v>45838.6435300926</v>
      </c>
      <c r="C1745" s="1" t="n">
        <v>45969</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53677-2025</t>
        </is>
      </c>
      <c r="B1746" s="1" t="n">
        <v>45960.56180555555</v>
      </c>
      <c r="C1746" s="1" t="n">
        <v>45969</v>
      </c>
      <c r="D1746" t="inlineStr">
        <is>
          <t>VÄRMLANDS LÄN</t>
        </is>
      </c>
      <c r="E1746" t="inlineStr">
        <is>
          <t>TORSBY</t>
        </is>
      </c>
      <c r="F1746" t="inlineStr">
        <is>
          <t>Bergvik skog väst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32298-2025</t>
        </is>
      </c>
      <c r="B1747" s="1" t="n">
        <v>45835.7144675926</v>
      </c>
      <c r="C1747" s="1" t="n">
        <v>45969</v>
      </c>
      <c r="D1747" t="inlineStr">
        <is>
          <t>VÄRMLANDS LÄN</t>
        </is>
      </c>
      <c r="E1747" t="inlineStr">
        <is>
          <t>TORSBY</t>
        </is>
      </c>
      <c r="G1747" t="n">
        <v>19.2</v>
      </c>
      <c r="H1747" t="n">
        <v>0</v>
      </c>
      <c r="I1747" t="n">
        <v>0</v>
      </c>
      <c r="J1747" t="n">
        <v>0</v>
      </c>
      <c r="K1747" t="n">
        <v>0</v>
      </c>
      <c r="L1747" t="n">
        <v>0</v>
      </c>
      <c r="M1747" t="n">
        <v>0</v>
      </c>
      <c r="N1747" t="n">
        <v>0</v>
      </c>
      <c r="O1747" t="n">
        <v>0</v>
      </c>
      <c r="P1747" t="n">
        <v>0</v>
      </c>
      <c r="Q1747" t="n">
        <v>0</v>
      </c>
      <c r="R1747" s="2" t="inlineStr"/>
    </row>
    <row r="1748" ht="15" customHeight="1">
      <c r="A1748" t="inlineStr">
        <is>
          <t>A 32343-2025</t>
        </is>
      </c>
      <c r="B1748" s="1" t="n">
        <v>45837.37171296297</v>
      </c>
      <c r="C1748" s="1" t="n">
        <v>45969</v>
      </c>
      <c r="D1748" t="inlineStr">
        <is>
          <t>VÄRMLANDS LÄN</t>
        </is>
      </c>
      <c r="E1748" t="inlineStr">
        <is>
          <t>TORSBY</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32084-2025</t>
        </is>
      </c>
      <c r="B1749" s="1" t="n">
        <v>45835.45379629629</v>
      </c>
      <c r="C1749" s="1" t="n">
        <v>45969</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45969</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32342-2025</t>
        </is>
      </c>
      <c r="B1751" s="1" t="n">
        <v>45837.34560185186</v>
      </c>
      <c r="C1751" s="1" t="n">
        <v>45969</v>
      </c>
      <c r="D1751" t="inlineStr">
        <is>
          <t>VÄRMLANDS LÄN</t>
        </is>
      </c>
      <c r="E1751" t="inlineStr">
        <is>
          <t>TORSBY</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53596-2025</t>
        </is>
      </c>
      <c r="B1752" s="1" t="n">
        <v>45960.44909722222</v>
      </c>
      <c r="C1752" s="1" t="n">
        <v>45969</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37623-2023</t>
        </is>
      </c>
      <c r="B1753" s="1" t="n">
        <v>45159.45560185185</v>
      </c>
      <c r="C1753" s="1" t="n">
        <v>45969</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2321-2021</t>
        </is>
      </c>
      <c r="B1754" s="1" t="n">
        <v>44214</v>
      </c>
      <c r="C1754" s="1" t="n">
        <v>45969</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32331-2025</t>
        </is>
      </c>
      <c r="B1755" s="1" t="n">
        <v>45836.50674768518</v>
      </c>
      <c r="C1755" s="1" t="n">
        <v>45969</v>
      </c>
      <c r="D1755" t="inlineStr">
        <is>
          <t>VÄRMLANDS LÄN</t>
        </is>
      </c>
      <c r="E1755" t="inlineStr">
        <is>
          <t>TORSBY</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44590-2025</t>
        </is>
      </c>
      <c r="B1756" s="1" t="n">
        <v>45917.42607638889</v>
      </c>
      <c r="C1756" s="1" t="n">
        <v>45969</v>
      </c>
      <c r="D1756" t="inlineStr">
        <is>
          <t>VÄRMLANDS LÄN</t>
        </is>
      </c>
      <c r="E1756" t="inlineStr">
        <is>
          <t>TORSBY</t>
        </is>
      </c>
      <c r="F1756" t="inlineStr">
        <is>
          <t>Bergvik skog väst AB</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44699-2025</t>
        </is>
      </c>
      <c r="B1757" s="1" t="n">
        <v>45917.60077546296</v>
      </c>
      <c r="C1757" s="1" t="n">
        <v>45969</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44710-2025</t>
        </is>
      </c>
      <c r="B1758" s="1" t="n">
        <v>45917.61743055555</v>
      </c>
      <c r="C1758" s="1" t="n">
        <v>45969</v>
      </c>
      <c r="D1758" t="inlineStr">
        <is>
          <t>VÄRMLANDS LÄN</t>
        </is>
      </c>
      <c r="E1758" t="inlineStr">
        <is>
          <t>TORSBY</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32191-2025</t>
        </is>
      </c>
      <c r="B1759" s="1" t="n">
        <v>45835.57099537037</v>
      </c>
      <c r="C1759" s="1" t="n">
        <v>45969</v>
      </c>
      <c r="D1759" t="inlineStr">
        <is>
          <t>VÄRMLANDS LÄN</t>
        </is>
      </c>
      <c r="E1759" t="inlineStr">
        <is>
          <t>TORSBY</t>
        </is>
      </c>
      <c r="F1759" t="inlineStr">
        <is>
          <t>Bergvik skog väst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38882-2022</t>
        </is>
      </c>
      <c r="B1760" s="1" t="n">
        <v>44816.565625</v>
      </c>
      <c r="C1760" s="1" t="n">
        <v>45969</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59872-2023</t>
        </is>
      </c>
      <c r="B1761" s="1" t="n">
        <v>45257.58666666667</v>
      </c>
      <c r="C1761" s="1" t="n">
        <v>45969</v>
      </c>
      <c r="D1761" t="inlineStr">
        <is>
          <t>VÄRMLANDS LÄN</t>
        </is>
      </c>
      <c r="E1761" t="inlineStr">
        <is>
          <t>TORSBY</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32339-2025</t>
        </is>
      </c>
      <c r="B1762" s="1" t="n">
        <v>45836.68836805555</v>
      </c>
      <c r="C1762" s="1" t="n">
        <v>45969</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44794-2025</t>
        </is>
      </c>
      <c r="B1763" s="1" t="n">
        <v>45918.34465277778</v>
      </c>
      <c r="C1763" s="1" t="n">
        <v>45969</v>
      </c>
      <c r="D1763" t="inlineStr">
        <is>
          <t>VÄRMLANDS LÄN</t>
        </is>
      </c>
      <c r="E1763" t="inlineStr">
        <is>
          <t>TORSBY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52078-2023</t>
        </is>
      </c>
      <c r="B1764" s="1" t="n">
        <v>45223</v>
      </c>
      <c r="C1764" s="1" t="n">
        <v>45969</v>
      </c>
      <c r="D1764" t="inlineStr">
        <is>
          <t>VÄRMLANDS LÄN</t>
        </is>
      </c>
      <c r="E1764" t="inlineStr">
        <is>
          <t>TORSBY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7215-2025</t>
        </is>
      </c>
      <c r="B1765" s="1" t="n">
        <v>45702</v>
      </c>
      <c r="C1765" s="1" t="n">
        <v>45969</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44817-2025</t>
        </is>
      </c>
      <c r="B1766" s="1" t="n">
        <v>45918</v>
      </c>
      <c r="C1766" s="1" t="n">
        <v>45969</v>
      </c>
      <c r="D1766" t="inlineStr">
        <is>
          <t>VÄRMLANDS LÄN</t>
        </is>
      </c>
      <c r="E1766" t="inlineStr">
        <is>
          <t>TORSBY</t>
        </is>
      </c>
      <c r="F1766" t="inlineStr">
        <is>
          <t>Bergvik skog väst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32345-2025</t>
        </is>
      </c>
      <c r="B1767" s="1" t="n">
        <v>45837.44293981481</v>
      </c>
      <c r="C1767" s="1" t="n">
        <v>45969</v>
      </c>
      <c r="D1767" t="inlineStr">
        <is>
          <t>VÄRMLANDS LÄN</t>
        </is>
      </c>
      <c r="E1767" t="inlineStr">
        <is>
          <t>TORSBY</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24630-2024</t>
        </is>
      </c>
      <c r="B1768" s="1" t="n">
        <v>45460.51149305556</v>
      </c>
      <c r="C1768" s="1" t="n">
        <v>45969</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32555-2025</t>
        </is>
      </c>
      <c r="B1769" s="1" t="n">
        <v>45838.56084490741</v>
      </c>
      <c r="C1769" s="1" t="n">
        <v>45969</v>
      </c>
      <c r="D1769" t="inlineStr">
        <is>
          <t>VÄRMLANDS LÄN</t>
        </is>
      </c>
      <c r="E1769" t="inlineStr">
        <is>
          <t>TORSBY</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32348-2025</t>
        </is>
      </c>
      <c r="B1770" s="1" t="n">
        <v>45837.47078703704</v>
      </c>
      <c r="C1770" s="1" t="n">
        <v>45969</v>
      </c>
      <c r="D1770" t="inlineStr">
        <is>
          <t>VÄRMLANDS LÄN</t>
        </is>
      </c>
      <c r="E1770" t="inlineStr">
        <is>
          <t>TORSBY</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32054-2025</t>
        </is>
      </c>
      <c r="B1771" s="1" t="n">
        <v>45835</v>
      </c>
      <c r="C1771" s="1" t="n">
        <v>45969</v>
      </c>
      <c r="D1771" t="inlineStr">
        <is>
          <t>VÄRMLANDS LÄN</t>
        </is>
      </c>
      <c r="E1771" t="inlineStr">
        <is>
          <t>TORSBY</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10587-2024</t>
        </is>
      </c>
      <c r="B1772" s="1" t="n">
        <v>45366</v>
      </c>
      <c r="C1772" s="1" t="n">
        <v>45969</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33221-2025</t>
        </is>
      </c>
      <c r="B1773" s="1" t="n">
        <v>45840.63471064815</v>
      </c>
      <c r="C1773" s="1" t="n">
        <v>45969</v>
      </c>
      <c r="D1773" t="inlineStr">
        <is>
          <t>VÄRMLANDS LÄN</t>
        </is>
      </c>
      <c r="E1773" t="inlineStr">
        <is>
          <t>TORSBY</t>
        </is>
      </c>
      <c r="F1773" t="inlineStr">
        <is>
          <t>Bergvik skog väst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47694-2022</t>
        </is>
      </c>
      <c r="B1774" s="1" t="n">
        <v>44854</v>
      </c>
      <c r="C1774" s="1" t="n">
        <v>45969</v>
      </c>
      <c r="D1774" t="inlineStr">
        <is>
          <t>VÄRMLANDS LÄN</t>
        </is>
      </c>
      <c r="E1774" t="inlineStr">
        <is>
          <t>TORSBY</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32983-2025</t>
        </is>
      </c>
      <c r="B1775" s="1" t="n">
        <v>45839.92967592592</v>
      </c>
      <c r="C1775" s="1" t="n">
        <v>45969</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15169-2025</t>
        </is>
      </c>
      <c r="B1776" s="1" t="n">
        <v>45744</v>
      </c>
      <c r="C1776" s="1" t="n">
        <v>45969</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53383-2025</t>
        </is>
      </c>
      <c r="B1777" s="1" t="n">
        <v>45959.54097222222</v>
      </c>
      <c r="C1777" s="1" t="n">
        <v>45969</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33196-2025</t>
        </is>
      </c>
      <c r="B1778" s="1" t="n">
        <v>45840.60381944444</v>
      </c>
      <c r="C1778" s="1" t="n">
        <v>45969</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44976-2025</t>
        </is>
      </c>
      <c r="B1779" s="1" t="n">
        <v>45918</v>
      </c>
      <c r="C1779" s="1" t="n">
        <v>45969</v>
      </c>
      <c r="D1779" t="inlineStr">
        <is>
          <t>VÄRMLANDS LÄN</t>
        </is>
      </c>
      <c r="E1779" t="inlineStr">
        <is>
          <t>TORSBY</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44995-2025</t>
        </is>
      </c>
      <c r="B1780" s="1" t="n">
        <v>45918</v>
      </c>
      <c r="C1780" s="1" t="n">
        <v>45969</v>
      </c>
      <c r="D1780" t="inlineStr">
        <is>
          <t>VÄRMLANDS LÄN</t>
        </is>
      </c>
      <c r="E1780" t="inlineStr">
        <is>
          <t>TORSBY</t>
        </is>
      </c>
      <c r="F1780" t="inlineStr">
        <is>
          <t>Bergvik skog väst AB</t>
        </is>
      </c>
      <c r="G1780" t="n">
        <v>18.7</v>
      </c>
      <c r="H1780" t="n">
        <v>0</v>
      </c>
      <c r="I1780" t="n">
        <v>0</v>
      </c>
      <c r="J1780" t="n">
        <v>0</v>
      </c>
      <c r="K1780" t="n">
        <v>0</v>
      </c>
      <c r="L1780" t="n">
        <v>0</v>
      </c>
      <c r="M1780" t="n">
        <v>0</v>
      </c>
      <c r="N1780" t="n">
        <v>0</v>
      </c>
      <c r="O1780" t="n">
        <v>0</v>
      </c>
      <c r="P1780" t="n">
        <v>0</v>
      </c>
      <c r="Q1780" t="n">
        <v>0</v>
      </c>
      <c r="R1780" s="2" t="inlineStr"/>
      <c r="U1780">
        <f>HYPERLINK("https://klasma.github.io/Logging_1737/knärot/A 44995-2025 karta knärot.png", "A 44995-2025")</f>
        <v/>
      </c>
      <c r="V1780">
        <f>HYPERLINK("https://klasma.github.io/Logging_1737/klagomål/A 44995-2025 FSC-klagomål.docx", "A 44995-2025")</f>
        <v/>
      </c>
      <c r="W1780">
        <f>HYPERLINK("https://klasma.github.io/Logging_1737/klagomålsmail/A 44995-2025 FSC-klagomål mail.docx", "A 44995-2025")</f>
        <v/>
      </c>
      <c r="X1780">
        <f>HYPERLINK("https://klasma.github.io/Logging_1737/tillsyn/A 44995-2025 tillsynsbegäran.docx", "A 44995-2025")</f>
        <v/>
      </c>
      <c r="Y1780">
        <f>HYPERLINK("https://klasma.github.io/Logging_1737/tillsynsmail/A 44995-2025 tillsynsbegäran mail.docx", "A 44995-2025")</f>
        <v/>
      </c>
    </row>
    <row r="1781" ht="15" customHeight="1">
      <c r="A1781" t="inlineStr">
        <is>
          <t>A 33189-2025</t>
        </is>
      </c>
      <c r="B1781" s="1" t="n">
        <v>45840.59884259259</v>
      </c>
      <c r="C1781" s="1" t="n">
        <v>45969</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33192-2025</t>
        </is>
      </c>
      <c r="B1782" s="1" t="n">
        <v>45840.60081018518</v>
      </c>
      <c r="C1782" s="1" t="n">
        <v>45969</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57990-2023</t>
        </is>
      </c>
      <c r="B1783" s="1" t="n">
        <v>45247.60293981482</v>
      </c>
      <c r="C1783" s="1" t="n">
        <v>45969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33161-2025</t>
        </is>
      </c>
      <c r="B1784" s="1" t="n">
        <v>45840.56846064814</v>
      </c>
      <c r="C1784" s="1" t="n">
        <v>45969</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44821-2025</t>
        </is>
      </c>
      <c r="B1785" s="1" t="n">
        <v>45918</v>
      </c>
      <c r="C1785" s="1" t="n">
        <v>45969</v>
      </c>
      <c r="D1785" t="inlineStr">
        <is>
          <t>VÄRMLANDS LÄN</t>
        </is>
      </c>
      <c r="E1785" t="inlineStr">
        <is>
          <t>TORSBY</t>
        </is>
      </c>
      <c r="F1785" t="inlineStr">
        <is>
          <t>Bergvik skog väst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32995-2025</t>
        </is>
      </c>
      <c r="B1786" s="1" t="n">
        <v>45839</v>
      </c>
      <c r="C1786" s="1" t="n">
        <v>45969</v>
      </c>
      <c r="D1786" t="inlineStr">
        <is>
          <t>VÄRMLANDS LÄN</t>
        </is>
      </c>
      <c r="E1786" t="inlineStr">
        <is>
          <t>TORSBY</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51144-2023</t>
        </is>
      </c>
      <c r="B1787" s="1" t="n">
        <v>45212</v>
      </c>
      <c r="C1787" s="1" t="n">
        <v>45969</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11842-2025</t>
        </is>
      </c>
      <c r="B1788" s="1" t="n">
        <v>45728.36950231482</v>
      </c>
      <c r="C1788" s="1" t="n">
        <v>45969</v>
      </c>
      <c r="D1788" t="inlineStr">
        <is>
          <t>VÄRMLANDS LÄN</t>
        </is>
      </c>
      <c r="E1788" t="inlineStr">
        <is>
          <t>TORSBY</t>
        </is>
      </c>
      <c r="F1788" t="inlineStr">
        <is>
          <t>Bergvik skog väst AB</t>
        </is>
      </c>
      <c r="G1788" t="n">
        <v>32.1</v>
      </c>
      <c r="H1788" t="n">
        <v>0</v>
      </c>
      <c r="I1788" t="n">
        <v>0</v>
      </c>
      <c r="J1788" t="n">
        <v>0</v>
      </c>
      <c r="K1788" t="n">
        <v>0</v>
      </c>
      <c r="L1788" t="n">
        <v>0</v>
      </c>
      <c r="M1788" t="n">
        <v>0</v>
      </c>
      <c r="N1788" t="n">
        <v>0</v>
      </c>
      <c r="O1788" t="n">
        <v>0</v>
      </c>
      <c r="P1788" t="n">
        <v>0</v>
      </c>
      <c r="Q1788" t="n">
        <v>0</v>
      </c>
      <c r="R1788" s="2" t="inlineStr"/>
    </row>
    <row r="1789" ht="15" customHeight="1">
      <c r="A1789" t="inlineStr">
        <is>
          <t>A 32710-2025</t>
        </is>
      </c>
      <c r="B1789" s="1" t="n">
        <v>45839.36722222222</v>
      </c>
      <c r="C1789" s="1" t="n">
        <v>45969</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14367-2025</t>
        </is>
      </c>
      <c r="B1790" s="1" t="n">
        <v>45741.38988425926</v>
      </c>
      <c r="C1790" s="1" t="n">
        <v>45969</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14419-2025</t>
        </is>
      </c>
      <c r="B1791" s="1" t="n">
        <v>45741</v>
      </c>
      <c r="C1791" s="1" t="n">
        <v>45969</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12574-2025</t>
        </is>
      </c>
      <c r="B1792" s="1" t="n">
        <v>45732</v>
      </c>
      <c r="C1792" s="1" t="n">
        <v>45969</v>
      </c>
      <c r="D1792" t="inlineStr">
        <is>
          <t>VÄRMLANDS LÄN</t>
        </is>
      </c>
      <c r="E1792" t="inlineStr">
        <is>
          <t>TORSBY</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27223-2022</t>
        </is>
      </c>
      <c r="B1793" s="1" t="n">
        <v>44741</v>
      </c>
      <c r="C1793" s="1" t="n">
        <v>45969</v>
      </c>
      <c r="D1793" t="inlineStr">
        <is>
          <t>VÄRMLANDS LÄN</t>
        </is>
      </c>
      <c r="E1793" t="inlineStr">
        <is>
          <t>TORSBY</t>
        </is>
      </c>
      <c r="F1793" t="inlineStr">
        <is>
          <t>Bergvik skog väst AB</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20633-2024</t>
        </is>
      </c>
      <c r="B1794" s="1" t="n">
        <v>45436</v>
      </c>
      <c r="C1794" s="1" t="n">
        <v>45969</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35132-2022</t>
        </is>
      </c>
      <c r="B1795" s="1" t="n">
        <v>44797</v>
      </c>
      <c r="C1795" s="1" t="n">
        <v>45969</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4510-2023</t>
        </is>
      </c>
      <c r="B1796" s="1" t="n">
        <v>44956.57528935185</v>
      </c>
      <c r="C1796" s="1" t="n">
        <v>45969</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9723-2025</t>
        </is>
      </c>
      <c r="B1797" s="1" t="n">
        <v>45715</v>
      </c>
      <c r="C1797" s="1" t="n">
        <v>45969</v>
      </c>
      <c r="D1797" t="inlineStr">
        <is>
          <t>VÄRMLANDS LÄN</t>
        </is>
      </c>
      <c r="E1797" t="inlineStr">
        <is>
          <t>TORSBY</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36290-2022</t>
        </is>
      </c>
      <c r="B1798" s="1" t="n">
        <v>44803</v>
      </c>
      <c r="C1798" s="1" t="n">
        <v>45969</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7745-2023</t>
        </is>
      </c>
      <c r="B1799" s="1" t="n">
        <v>44973.35336805556</v>
      </c>
      <c r="C1799" s="1" t="n">
        <v>45969</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49167-2025</t>
        </is>
      </c>
      <c r="B1800" s="1" t="n">
        <v>45938</v>
      </c>
      <c r="C1800" s="1" t="n">
        <v>45969</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53601-2025</t>
        </is>
      </c>
      <c r="B1801" s="1" t="n">
        <v>45960.45984953704</v>
      </c>
      <c r="C1801" s="1" t="n">
        <v>45969</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33712-2025</t>
        </is>
      </c>
      <c r="B1802" s="1" t="n">
        <v>45841</v>
      </c>
      <c r="C1802" s="1" t="n">
        <v>45969</v>
      </c>
      <c r="D1802" t="inlineStr">
        <is>
          <t>VÄRMLANDS LÄN</t>
        </is>
      </c>
      <c r="E1802" t="inlineStr">
        <is>
          <t>TORSBY</t>
        </is>
      </c>
      <c r="F1802" t="inlineStr">
        <is>
          <t>Bergvik skog väst AB</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44715-2025</t>
        </is>
      </c>
      <c r="B1803" s="1" t="n">
        <v>45917.62854166667</v>
      </c>
      <c r="C1803" s="1" t="n">
        <v>45969</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33897-2025</t>
        </is>
      </c>
      <c r="B1804" s="1" t="n">
        <v>45842</v>
      </c>
      <c r="C1804" s="1" t="n">
        <v>45969</v>
      </c>
      <c r="D1804" t="inlineStr">
        <is>
          <t>VÄRMLANDS LÄN</t>
        </is>
      </c>
      <c r="E1804" t="inlineStr">
        <is>
          <t>TORSBY</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53520-2025</t>
        </is>
      </c>
      <c r="B1805" s="1" t="n">
        <v>45960.35893518518</v>
      </c>
      <c r="C1805" s="1" t="n">
        <v>45969</v>
      </c>
      <c r="D1805" t="inlineStr">
        <is>
          <t>VÄRMLANDS LÄN</t>
        </is>
      </c>
      <c r="E1805" t="inlineStr">
        <is>
          <t>TORSBY</t>
        </is>
      </c>
      <c r="F1805" t="inlineStr">
        <is>
          <t>Bergvik skog väst AB</t>
        </is>
      </c>
      <c r="G1805" t="n">
        <v>16.5</v>
      </c>
      <c r="H1805" t="n">
        <v>0</v>
      </c>
      <c r="I1805" t="n">
        <v>0</v>
      </c>
      <c r="J1805" t="n">
        <v>0</v>
      </c>
      <c r="K1805" t="n">
        <v>0</v>
      </c>
      <c r="L1805" t="n">
        <v>0</v>
      </c>
      <c r="M1805" t="n">
        <v>0</v>
      </c>
      <c r="N1805" t="n">
        <v>0</v>
      </c>
      <c r="O1805" t="n">
        <v>0</v>
      </c>
      <c r="P1805" t="n">
        <v>0</v>
      </c>
      <c r="Q1805" t="n">
        <v>0</v>
      </c>
      <c r="R1805" s="2" t="inlineStr"/>
    </row>
    <row r="1806" ht="15" customHeight="1">
      <c r="A1806" t="inlineStr">
        <is>
          <t>A 33567-2025</t>
        </is>
      </c>
      <c r="B1806" s="1" t="n">
        <v>45841.58232638889</v>
      </c>
      <c r="C1806" s="1" t="n">
        <v>45969</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44262-2023</t>
        </is>
      </c>
      <c r="B1807" s="1" t="n">
        <v>45188.59809027778</v>
      </c>
      <c r="C1807" s="1" t="n">
        <v>45969</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18258-2025</t>
        </is>
      </c>
      <c r="B1808" s="1" t="n">
        <v>45762.35762731481</v>
      </c>
      <c r="C1808" s="1" t="n">
        <v>45969</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8018-2025</t>
        </is>
      </c>
      <c r="B1809" s="1" t="n">
        <v>45707</v>
      </c>
      <c r="C1809" s="1" t="n">
        <v>45969</v>
      </c>
      <c r="D1809" t="inlineStr">
        <is>
          <t>VÄRMLANDS LÄN</t>
        </is>
      </c>
      <c r="E1809" t="inlineStr">
        <is>
          <t>TORSBY</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502-2024</t>
        </is>
      </c>
      <c r="B1810" s="1" t="n">
        <v>45299</v>
      </c>
      <c r="C1810" s="1" t="n">
        <v>45969</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34355-2025</t>
        </is>
      </c>
      <c r="B1811" s="1" t="n">
        <v>45846.48114583334</v>
      </c>
      <c r="C1811" s="1" t="n">
        <v>45969</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34358-2025</t>
        </is>
      </c>
      <c r="B1812" s="1" t="n">
        <v>45846.48637731482</v>
      </c>
      <c r="C1812" s="1" t="n">
        <v>45969</v>
      </c>
      <c r="D1812" t="inlineStr">
        <is>
          <t>VÄRMLANDS LÄN</t>
        </is>
      </c>
      <c r="E1812" t="inlineStr">
        <is>
          <t>TORSBY</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34398-2025</t>
        </is>
      </c>
      <c r="B1813" s="1" t="n">
        <v>45846.60688657407</v>
      </c>
      <c r="C1813" s="1" t="n">
        <v>45969</v>
      </c>
      <c r="D1813" t="inlineStr">
        <is>
          <t>VÄRMLANDS LÄN</t>
        </is>
      </c>
      <c r="E1813" t="inlineStr">
        <is>
          <t>TORSBY</t>
        </is>
      </c>
      <c r="F1813" t="inlineStr">
        <is>
          <t>Bergvik skog väst AB</t>
        </is>
      </c>
      <c r="G1813" t="n">
        <v>22.3</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45969</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53763-2025</t>
        </is>
      </c>
      <c r="B1815" s="1" t="n">
        <v>45960.67592592593</v>
      </c>
      <c r="C1815" s="1" t="n">
        <v>45969</v>
      </c>
      <c r="D1815" t="inlineStr">
        <is>
          <t>VÄRMLANDS LÄN</t>
        </is>
      </c>
      <c r="E1815" t="inlineStr">
        <is>
          <t>TORSBY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1700-2024</t>
        </is>
      </c>
      <c r="B1816" s="1" t="n">
        <v>45307.37347222222</v>
      </c>
      <c r="C1816" s="1" t="n">
        <v>45969</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62258-2023</t>
        </is>
      </c>
      <c r="B1817" s="1" t="n">
        <v>45266</v>
      </c>
      <c r="C1817" s="1" t="n">
        <v>45969</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34365-2025</t>
        </is>
      </c>
      <c r="B1818" s="1" t="n">
        <v>45846.49326388889</v>
      </c>
      <c r="C1818" s="1" t="n">
        <v>45969</v>
      </c>
      <c r="D1818" t="inlineStr">
        <is>
          <t>VÄRMLANDS LÄN</t>
        </is>
      </c>
      <c r="E1818" t="inlineStr">
        <is>
          <t>TORSBY</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28284-2024</t>
        </is>
      </c>
      <c r="B1819" s="1" t="n">
        <v>45477</v>
      </c>
      <c r="C1819" s="1" t="n">
        <v>45969</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34388-2025</t>
        </is>
      </c>
      <c r="B1820" s="1" t="n">
        <v>45846.57305555556</v>
      </c>
      <c r="C1820" s="1" t="n">
        <v>45969</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34140-2025</t>
        </is>
      </c>
      <c r="B1821" s="1" t="n">
        <v>45845.54896990741</v>
      </c>
      <c r="C1821" s="1" t="n">
        <v>45969</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19630-2025</t>
        </is>
      </c>
      <c r="B1822" s="1" t="n">
        <v>45770.64239583333</v>
      </c>
      <c r="C1822" s="1" t="n">
        <v>45969</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34137-2025</t>
        </is>
      </c>
      <c r="B1823" s="1" t="n">
        <v>45845.54340277778</v>
      </c>
      <c r="C1823" s="1" t="n">
        <v>45969</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34138-2025</t>
        </is>
      </c>
      <c r="B1824" s="1" t="n">
        <v>45845.54486111111</v>
      </c>
      <c r="C1824" s="1" t="n">
        <v>45969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34146-2025</t>
        </is>
      </c>
      <c r="B1825" s="1" t="n">
        <v>45845.56008101852</v>
      </c>
      <c r="C1825" s="1" t="n">
        <v>45969</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18877-2022</t>
        </is>
      </c>
      <c r="B1826" s="1" t="n">
        <v>44690.52556712963</v>
      </c>
      <c r="C1826" s="1" t="n">
        <v>45969</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34363-2025</t>
        </is>
      </c>
      <c r="B1827" s="1" t="n">
        <v>45846.49144675926</v>
      </c>
      <c r="C1827" s="1" t="n">
        <v>45969</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34370-2025</t>
        </is>
      </c>
      <c r="B1828" s="1" t="n">
        <v>45846.51056712963</v>
      </c>
      <c r="C1828" s="1" t="n">
        <v>45969</v>
      </c>
      <c r="D1828" t="inlineStr">
        <is>
          <t>VÄRMLANDS LÄN</t>
        </is>
      </c>
      <c r="E1828" t="inlineStr">
        <is>
          <t>TORSBY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17048-2025</t>
        </is>
      </c>
      <c r="B1829" s="1" t="n">
        <v>45754</v>
      </c>
      <c r="C1829" s="1" t="n">
        <v>45969</v>
      </c>
      <c r="D1829" t="inlineStr">
        <is>
          <t>VÄRMLANDS LÄN</t>
        </is>
      </c>
      <c r="E1829" t="inlineStr">
        <is>
          <t>TORSBY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6713-2023</t>
        </is>
      </c>
      <c r="B1830" s="1" t="n">
        <v>44960</v>
      </c>
      <c r="C1830" s="1" t="n">
        <v>45969</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34046-2025</t>
        </is>
      </c>
      <c r="B1831" s="1" t="n">
        <v>45845.38671296297</v>
      </c>
      <c r="C1831" s="1" t="n">
        <v>45969</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34268-2025</t>
        </is>
      </c>
      <c r="B1832" s="1" t="n">
        <v>45845</v>
      </c>
      <c r="C1832" s="1" t="n">
        <v>45969</v>
      </c>
      <c r="D1832" t="inlineStr">
        <is>
          <t>VÄRMLANDS LÄN</t>
        </is>
      </c>
      <c r="E1832" t="inlineStr">
        <is>
          <t>TORSBY</t>
        </is>
      </c>
      <c r="F1832" t="inlineStr">
        <is>
          <t>Bergvik skog väst AB</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8281-2023</t>
        </is>
      </c>
      <c r="B1833" s="1" t="n">
        <v>44974</v>
      </c>
      <c r="C1833" s="1" t="n">
        <v>45969</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45380-2025</t>
        </is>
      </c>
      <c r="B1834" s="1" t="n">
        <v>45922</v>
      </c>
      <c r="C1834" s="1" t="n">
        <v>45969</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34136-2025</t>
        </is>
      </c>
      <c r="B1835" s="1" t="n">
        <v>45845.54184027778</v>
      </c>
      <c r="C1835" s="1" t="n">
        <v>45969</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34145-2025</t>
        </is>
      </c>
      <c r="B1836" s="1" t="n">
        <v>45845.55372685185</v>
      </c>
      <c r="C1836" s="1" t="n">
        <v>45969</v>
      </c>
      <c r="D1836" t="inlineStr">
        <is>
          <t>VÄRMLANDS LÄN</t>
        </is>
      </c>
      <c r="E1836" t="inlineStr">
        <is>
          <t>TORSBY</t>
        </is>
      </c>
      <c r="G1836" t="n">
        <v>19.2</v>
      </c>
      <c r="H1836" t="n">
        <v>0</v>
      </c>
      <c r="I1836" t="n">
        <v>0</v>
      </c>
      <c r="J1836" t="n">
        <v>0</v>
      </c>
      <c r="K1836" t="n">
        <v>0</v>
      </c>
      <c r="L1836" t="n">
        <v>0</v>
      </c>
      <c r="M1836" t="n">
        <v>0</v>
      </c>
      <c r="N1836" t="n">
        <v>0</v>
      </c>
      <c r="O1836" t="n">
        <v>0</v>
      </c>
      <c r="P1836" t="n">
        <v>0</v>
      </c>
      <c r="Q1836" t="n">
        <v>0</v>
      </c>
      <c r="R1836" s="2" t="inlineStr"/>
    </row>
    <row r="1837" ht="15" customHeight="1">
      <c r="A1837" t="inlineStr">
        <is>
          <t>A 10684-2024</t>
        </is>
      </c>
      <c r="B1837" s="1" t="n">
        <v>45369.37938657407</v>
      </c>
      <c r="C1837" s="1" t="n">
        <v>45969</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34179-2025</t>
        </is>
      </c>
      <c r="B1838" s="1" t="n">
        <v>45845</v>
      </c>
      <c r="C1838" s="1" t="n">
        <v>45969</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15939-2021</t>
        </is>
      </c>
      <c r="B1839" s="1" t="n">
        <v>44287</v>
      </c>
      <c r="C1839" s="1" t="n">
        <v>45969</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34399-2025</t>
        </is>
      </c>
      <c r="B1840" s="1" t="n">
        <v>45846.610625</v>
      </c>
      <c r="C1840" s="1" t="n">
        <v>45969</v>
      </c>
      <c r="D1840" t="inlineStr">
        <is>
          <t>VÄRMLANDS LÄN</t>
        </is>
      </c>
      <c r="E1840" t="inlineStr">
        <is>
          <t>TORSBY</t>
        </is>
      </c>
      <c r="F1840" t="inlineStr">
        <is>
          <t>Bergvik skog väst AB</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12670-2023</t>
        </is>
      </c>
      <c r="B1841" s="1" t="n">
        <v>45000.58043981482</v>
      </c>
      <c r="C1841" s="1" t="n">
        <v>45969</v>
      </c>
      <c r="D1841" t="inlineStr">
        <is>
          <t>VÄRMLANDS LÄN</t>
        </is>
      </c>
      <c r="E1841" t="inlineStr">
        <is>
          <t>TORSBY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45108-2025</t>
        </is>
      </c>
      <c r="B1842" s="1" t="n">
        <v>45919.41467592592</v>
      </c>
      <c r="C1842" s="1" t="n">
        <v>45969</v>
      </c>
      <c r="D1842" t="inlineStr">
        <is>
          <t>VÄRMLANDS LÄN</t>
        </is>
      </c>
      <c r="E1842" t="inlineStr">
        <is>
          <t>TORSBY</t>
        </is>
      </c>
      <c r="F1842" t="inlineStr">
        <is>
          <t>Bergvik skog väst AB</t>
        </is>
      </c>
      <c r="G1842" t="n">
        <v>24.4</v>
      </c>
      <c r="H1842" t="n">
        <v>0</v>
      </c>
      <c r="I1842" t="n">
        <v>0</v>
      </c>
      <c r="J1842" t="n">
        <v>0</v>
      </c>
      <c r="K1842" t="n">
        <v>0</v>
      </c>
      <c r="L1842" t="n">
        <v>0</v>
      </c>
      <c r="M1842" t="n">
        <v>0</v>
      </c>
      <c r="N1842" t="n">
        <v>0</v>
      </c>
      <c r="O1842" t="n">
        <v>0</v>
      </c>
      <c r="P1842" t="n">
        <v>0</v>
      </c>
      <c r="Q1842" t="n">
        <v>0</v>
      </c>
      <c r="R1842" s="2" t="inlineStr"/>
    </row>
    <row r="1843" ht="15" customHeight="1">
      <c r="A1843" t="inlineStr">
        <is>
          <t>A 21465-2022</t>
        </is>
      </c>
      <c r="B1843" s="1" t="n">
        <v>44706.38893518518</v>
      </c>
      <c r="C1843" s="1" t="n">
        <v>45969</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1527-2024</t>
        </is>
      </c>
      <c r="B1844" s="1" t="n">
        <v>45306.45614583333</v>
      </c>
      <c r="C1844" s="1" t="n">
        <v>45969</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34517-2025</t>
        </is>
      </c>
      <c r="B1845" s="1" t="n">
        <v>45847.46900462963</v>
      </c>
      <c r="C1845" s="1" t="n">
        <v>45969</v>
      </c>
      <c r="D1845" t="inlineStr">
        <is>
          <t>VÄRMLANDS LÄN</t>
        </is>
      </c>
      <c r="E1845" t="inlineStr">
        <is>
          <t>TORSBY</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40807-2024</t>
        </is>
      </c>
      <c r="B1846" s="1" t="n">
        <v>45558</v>
      </c>
      <c r="C1846" s="1" t="n">
        <v>45969</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34533-2025</t>
        </is>
      </c>
      <c r="B1847" s="1" t="n">
        <v>45847.50868055555</v>
      </c>
      <c r="C1847" s="1" t="n">
        <v>45969</v>
      </c>
      <c r="D1847" t="inlineStr">
        <is>
          <t>VÄRMLANDS LÄN</t>
        </is>
      </c>
      <c r="E1847" t="inlineStr">
        <is>
          <t>TORSBY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23818-2022</t>
        </is>
      </c>
      <c r="B1848" s="1" t="n">
        <v>44722</v>
      </c>
      <c r="C1848" s="1" t="n">
        <v>45969</v>
      </c>
      <c r="D1848" t="inlineStr">
        <is>
          <t>VÄRMLANDS LÄN</t>
        </is>
      </c>
      <c r="E1848" t="inlineStr">
        <is>
          <t>TORSBY</t>
        </is>
      </c>
      <c r="G1848" t="n">
        <v>23.5</v>
      </c>
      <c r="H1848" t="n">
        <v>0</v>
      </c>
      <c r="I1848" t="n">
        <v>0</v>
      </c>
      <c r="J1848" t="n">
        <v>0</v>
      </c>
      <c r="K1848" t="n">
        <v>0</v>
      </c>
      <c r="L1848" t="n">
        <v>0</v>
      </c>
      <c r="M1848" t="n">
        <v>0</v>
      </c>
      <c r="N1848" t="n">
        <v>0</v>
      </c>
      <c r="O1848" t="n">
        <v>0</v>
      </c>
      <c r="P1848" t="n">
        <v>0</v>
      </c>
      <c r="Q1848" t="n">
        <v>0</v>
      </c>
      <c r="R1848" s="2" t="inlineStr"/>
    </row>
    <row r="1849" ht="15" customHeight="1">
      <c r="A1849" t="inlineStr">
        <is>
          <t>A 53848-2025</t>
        </is>
      </c>
      <c r="B1849" s="1" t="n">
        <v>45961.36832175926</v>
      </c>
      <c r="C1849" s="1" t="n">
        <v>45969</v>
      </c>
      <c r="D1849" t="inlineStr">
        <is>
          <t>VÄRMLANDS LÄN</t>
        </is>
      </c>
      <c r="E1849" t="inlineStr">
        <is>
          <t>TORSBY</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34480-2025</t>
        </is>
      </c>
      <c r="B1850" s="1" t="n">
        <v>45847.37582175926</v>
      </c>
      <c r="C1850" s="1" t="n">
        <v>45969</v>
      </c>
      <c r="D1850" t="inlineStr">
        <is>
          <t>VÄRMLANDS LÄN</t>
        </is>
      </c>
      <c r="E1850" t="inlineStr">
        <is>
          <t>TORSBY</t>
        </is>
      </c>
      <c r="F1850" t="inlineStr">
        <is>
          <t>Övriga Aktiebolag</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34495-2025</t>
        </is>
      </c>
      <c r="B1851" s="1" t="n">
        <v>45847.42686342593</v>
      </c>
      <c r="C1851" s="1" t="n">
        <v>45969</v>
      </c>
      <c r="D1851" t="inlineStr">
        <is>
          <t>VÄRMLANDS LÄN</t>
        </is>
      </c>
      <c r="E1851" t="inlineStr">
        <is>
          <t>TORSBY</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17754-2025</t>
        </is>
      </c>
      <c r="B1852" s="1" t="n">
        <v>45758</v>
      </c>
      <c r="C1852" s="1" t="n">
        <v>45969</v>
      </c>
      <c r="D1852" t="inlineStr">
        <is>
          <t>VÄRMLANDS LÄN</t>
        </is>
      </c>
      <c r="E1852" t="inlineStr">
        <is>
          <t>TORSBY</t>
        </is>
      </c>
      <c r="F1852" t="inlineStr">
        <is>
          <t>Bergvik skog väst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35134-2022</t>
        </is>
      </c>
      <c r="B1853" s="1" t="n">
        <v>44797</v>
      </c>
      <c r="C1853" s="1" t="n">
        <v>45969</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15873-2025</t>
        </is>
      </c>
      <c r="B1854" s="1" t="n">
        <v>45749.3759375</v>
      </c>
      <c r="C1854" s="1" t="n">
        <v>45969</v>
      </c>
      <c r="D1854" t="inlineStr">
        <is>
          <t>VÄRMLANDS LÄN</t>
        </is>
      </c>
      <c r="E1854" t="inlineStr">
        <is>
          <t>TORSBY</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34451-2025</t>
        </is>
      </c>
      <c r="B1855" s="1" t="n">
        <v>45846.85114583333</v>
      </c>
      <c r="C1855" s="1" t="n">
        <v>45969</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29990-2022</t>
        </is>
      </c>
      <c r="B1856" s="1" t="n">
        <v>44756.73530092592</v>
      </c>
      <c r="C1856" s="1" t="n">
        <v>45969</v>
      </c>
      <c r="D1856" t="inlineStr">
        <is>
          <t>VÄRMLANDS LÄN</t>
        </is>
      </c>
      <c r="E1856" t="inlineStr">
        <is>
          <t>TORSBY</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31316-2025</t>
        </is>
      </c>
      <c r="B1857" s="1" t="n">
        <v>45833.40241898148</v>
      </c>
      <c r="C1857" s="1" t="n">
        <v>45969</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45245-2025</t>
        </is>
      </c>
      <c r="B1858" s="1" t="n">
        <v>45919.60621527778</v>
      </c>
      <c r="C1858" s="1" t="n">
        <v>45969</v>
      </c>
      <c r="D1858" t="inlineStr">
        <is>
          <t>VÄRMLANDS LÄN</t>
        </is>
      </c>
      <c r="E1858" t="inlineStr">
        <is>
          <t>TORSBY</t>
        </is>
      </c>
      <c r="F1858" t="inlineStr">
        <is>
          <t>Kyrkan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45268-2025</t>
        </is>
      </c>
      <c r="B1859" s="1" t="n">
        <v>45919.66782407407</v>
      </c>
      <c r="C1859" s="1" t="n">
        <v>45969</v>
      </c>
      <c r="D1859" t="inlineStr">
        <is>
          <t>VÄRMLANDS LÄN</t>
        </is>
      </c>
      <c r="E1859" t="inlineStr">
        <is>
          <t>TORSBY</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45269-2025</t>
        </is>
      </c>
      <c r="B1860" s="1" t="n">
        <v>45919.67443287037</v>
      </c>
      <c r="C1860" s="1" t="n">
        <v>45969</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34997-2025</t>
        </is>
      </c>
      <c r="B1861" s="1" t="n">
        <v>45849.87340277778</v>
      </c>
      <c r="C1861" s="1" t="n">
        <v>45969</v>
      </c>
      <c r="D1861" t="inlineStr">
        <is>
          <t>VÄRMLANDS LÄN</t>
        </is>
      </c>
      <c r="E1861" t="inlineStr">
        <is>
          <t>TORSBY</t>
        </is>
      </c>
      <c r="G1861" t="n">
        <v>24.4</v>
      </c>
      <c r="H1861" t="n">
        <v>0</v>
      </c>
      <c r="I1861" t="n">
        <v>0</v>
      </c>
      <c r="J1861" t="n">
        <v>0</v>
      </c>
      <c r="K1861" t="n">
        <v>0</v>
      </c>
      <c r="L1861" t="n">
        <v>0</v>
      </c>
      <c r="M1861" t="n">
        <v>0</v>
      </c>
      <c r="N1861" t="n">
        <v>0</v>
      </c>
      <c r="O1861" t="n">
        <v>0</v>
      </c>
      <c r="P1861" t="n">
        <v>0</v>
      </c>
      <c r="Q1861" t="n">
        <v>0</v>
      </c>
      <c r="R1861" s="2" t="inlineStr"/>
    </row>
    <row r="1862" ht="15" customHeight="1">
      <c r="A1862" t="inlineStr">
        <is>
          <t>A 45043-2025</t>
        </is>
      </c>
      <c r="B1862" s="1" t="n">
        <v>45918.92902777778</v>
      </c>
      <c r="C1862" s="1" t="n">
        <v>45969</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54101-2025</t>
        </is>
      </c>
      <c r="B1863" s="1" t="n">
        <v>45964.42424768519</v>
      </c>
      <c r="C1863" s="1" t="n">
        <v>45969</v>
      </c>
      <c r="D1863" t="inlineStr">
        <is>
          <t>VÄRMLANDS LÄN</t>
        </is>
      </c>
      <c r="E1863" t="inlineStr">
        <is>
          <t>TORSBY</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54144-2025</t>
        </is>
      </c>
      <c r="B1864" s="1" t="n">
        <v>45964.48305555555</v>
      </c>
      <c r="C1864" s="1" t="n">
        <v>45969</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20985-2024</t>
        </is>
      </c>
      <c r="B1865" s="1" t="n">
        <v>45439</v>
      </c>
      <c r="C1865" s="1" t="n">
        <v>45969</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34846-2025</t>
        </is>
      </c>
      <c r="B1866" s="1" t="n">
        <v>45849.41454861111</v>
      </c>
      <c r="C1866" s="1" t="n">
        <v>45969</v>
      </c>
      <c r="D1866" t="inlineStr">
        <is>
          <t>VÄRMLANDS LÄN</t>
        </is>
      </c>
      <c r="E1866" t="inlineStr">
        <is>
          <t>TORSBY</t>
        </is>
      </c>
      <c r="F1866" t="inlineStr">
        <is>
          <t>Bergvik skog väst AB</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44708-2022</t>
        </is>
      </c>
      <c r="B1867" s="1" t="n">
        <v>44840.73633101852</v>
      </c>
      <c r="C1867" s="1" t="n">
        <v>45969</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46865-2025</t>
        </is>
      </c>
      <c r="B1868" s="1" t="n">
        <v>45929</v>
      </c>
      <c r="C1868" s="1" t="n">
        <v>45969</v>
      </c>
      <c r="D1868" t="inlineStr">
        <is>
          <t>VÄRMLANDS LÄN</t>
        </is>
      </c>
      <c r="E1868" t="inlineStr">
        <is>
          <t>TORSBY</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51843-2022</t>
        </is>
      </c>
      <c r="B1869" s="1" t="n">
        <v>44872</v>
      </c>
      <c r="C1869" s="1" t="n">
        <v>45969</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42481-2025</t>
        </is>
      </c>
      <c r="B1870" s="1" t="n">
        <v>45904</v>
      </c>
      <c r="C1870" s="1" t="n">
        <v>45969</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35191-2025</t>
        </is>
      </c>
      <c r="B1871" s="1" t="n">
        <v>45853.3469675926</v>
      </c>
      <c r="C1871" s="1" t="n">
        <v>45969</v>
      </c>
      <c r="D1871" t="inlineStr">
        <is>
          <t>VÄRMLANDS LÄN</t>
        </is>
      </c>
      <c r="E1871" t="inlineStr">
        <is>
          <t>TORSBY</t>
        </is>
      </c>
      <c r="F1871" t="inlineStr">
        <is>
          <t>Bergvik skog väst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38084-2023</t>
        </is>
      </c>
      <c r="B1872" s="1" t="n">
        <v>45160</v>
      </c>
      <c r="C1872" s="1" t="n">
        <v>45969</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35185-2025</t>
        </is>
      </c>
      <c r="B1873" s="1" t="n">
        <v>45853.30383101852</v>
      </c>
      <c r="C1873" s="1" t="n">
        <v>45969</v>
      </c>
      <c r="D1873" t="inlineStr">
        <is>
          <t>VÄRMLANDS LÄN</t>
        </is>
      </c>
      <c r="E1873" t="inlineStr">
        <is>
          <t>TORSBY</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18576-2025</t>
        </is>
      </c>
      <c r="B1874" s="1" t="n">
        <v>45763</v>
      </c>
      <c r="C1874" s="1" t="n">
        <v>45969</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18584-2025</t>
        </is>
      </c>
      <c r="B1875" s="1" t="n">
        <v>45763.46973379629</v>
      </c>
      <c r="C1875" s="1" t="n">
        <v>45969</v>
      </c>
      <c r="D1875" t="inlineStr">
        <is>
          <t>VÄRMLANDS LÄN</t>
        </is>
      </c>
      <c r="E1875" t="inlineStr">
        <is>
          <t>TORSBY</t>
        </is>
      </c>
      <c r="F1875" t="inlineStr">
        <is>
          <t>Kyrkan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35367-2025</t>
        </is>
      </c>
      <c r="B1876" s="1" t="n">
        <v>45854</v>
      </c>
      <c r="C1876" s="1" t="n">
        <v>45969</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4219-2024</t>
        </is>
      </c>
      <c r="B1877" s="1" t="n">
        <v>45324</v>
      </c>
      <c r="C1877" s="1" t="n">
        <v>45969</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35194-2025</t>
        </is>
      </c>
      <c r="B1878" s="1" t="n">
        <v>45853.35740740741</v>
      </c>
      <c r="C1878" s="1" t="n">
        <v>45969</v>
      </c>
      <c r="D1878" t="inlineStr">
        <is>
          <t>VÄRMLANDS LÄN</t>
        </is>
      </c>
      <c r="E1878" t="inlineStr">
        <is>
          <t>TORSBY</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53493-2025</t>
        </is>
      </c>
      <c r="B1879" s="1" t="n">
        <v>45960.32559027777</v>
      </c>
      <c r="C1879" s="1" t="n">
        <v>45969</v>
      </c>
      <c r="D1879" t="inlineStr">
        <is>
          <t>VÄRMLANDS LÄN</t>
        </is>
      </c>
      <c r="E1879" t="inlineStr">
        <is>
          <t>TORSBY</t>
        </is>
      </c>
      <c r="F1879" t="inlineStr">
        <is>
          <t>Bergvik skog väst AB</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731-2024</t>
        </is>
      </c>
      <c r="B1880" s="1" t="n">
        <v>45300</v>
      </c>
      <c r="C1880" s="1" t="n">
        <v>45969</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35334-2025</t>
        </is>
      </c>
      <c r="B1881" s="1" t="n">
        <v>45854.57973379629</v>
      </c>
      <c r="C1881" s="1" t="n">
        <v>45969</v>
      </c>
      <c r="D1881" t="inlineStr">
        <is>
          <t>VÄRMLANDS LÄN</t>
        </is>
      </c>
      <c r="E1881" t="inlineStr">
        <is>
          <t>TORSBY</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17562-2024</t>
        </is>
      </c>
      <c r="B1882" s="1" t="n">
        <v>45415</v>
      </c>
      <c r="C1882" s="1" t="n">
        <v>45969</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35552-2025</t>
        </is>
      </c>
      <c r="B1883" s="1" t="n">
        <v>45856.49702546297</v>
      </c>
      <c r="C1883" s="1" t="n">
        <v>45969</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54079-2025</t>
        </is>
      </c>
      <c r="B1884" s="1" t="n">
        <v>45964.36883101852</v>
      </c>
      <c r="C1884" s="1" t="n">
        <v>45969</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54091-2025</t>
        </is>
      </c>
      <c r="B1885" s="1" t="n">
        <v>45964.39363425926</v>
      </c>
      <c r="C1885" s="1" t="n">
        <v>45969</v>
      </c>
      <c r="D1885" t="inlineStr">
        <is>
          <t>VÄRMLANDS LÄN</t>
        </is>
      </c>
      <c r="E1885" t="inlineStr">
        <is>
          <t>TORSBY</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16362-2025</t>
        </is>
      </c>
      <c r="B1886" s="1" t="n">
        <v>45751</v>
      </c>
      <c r="C1886" s="1" t="n">
        <v>45969</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32444-2022</t>
        </is>
      </c>
      <c r="B1887" s="1" t="n">
        <v>44782</v>
      </c>
      <c r="C1887" s="1" t="n">
        <v>45969</v>
      </c>
      <c r="D1887" t="inlineStr">
        <is>
          <t>VÄRMLANDS LÄN</t>
        </is>
      </c>
      <c r="E1887" t="inlineStr">
        <is>
          <t>TORSBY</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32496-2022</t>
        </is>
      </c>
      <c r="B1888" s="1" t="n">
        <v>44782</v>
      </c>
      <c r="C1888" s="1" t="n">
        <v>45969</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35408-2025</t>
        </is>
      </c>
      <c r="B1889" s="1" t="n">
        <v>45855.37256944444</v>
      </c>
      <c r="C1889" s="1" t="n">
        <v>45969</v>
      </c>
      <c r="D1889" t="inlineStr">
        <is>
          <t>VÄRMLANDS LÄN</t>
        </is>
      </c>
      <c r="E1889" t="inlineStr">
        <is>
          <t>TORSBY</t>
        </is>
      </c>
      <c r="F1889" t="inlineStr">
        <is>
          <t>Bergvik skog väst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3397-2022</t>
        </is>
      </c>
      <c r="B1890" s="1" t="n">
        <v>44585</v>
      </c>
      <c r="C1890" s="1" t="n">
        <v>45969</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5052-2025</t>
        </is>
      </c>
      <c r="B1891" s="1" t="n">
        <v>45691</v>
      </c>
      <c r="C1891" s="1" t="n">
        <v>45969</v>
      </c>
      <c r="D1891" t="inlineStr">
        <is>
          <t>VÄRMLANDS LÄN</t>
        </is>
      </c>
      <c r="E1891" t="inlineStr">
        <is>
          <t>TORSBY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15022-2025</t>
        </is>
      </c>
      <c r="B1892" s="1" t="n">
        <v>45743</v>
      </c>
      <c r="C1892" s="1" t="n">
        <v>45969</v>
      </c>
      <c r="D1892" t="inlineStr">
        <is>
          <t>VÄRMLANDS LÄN</t>
        </is>
      </c>
      <c r="E1892" t="inlineStr">
        <is>
          <t>TORSBY</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40009-2022</t>
        </is>
      </c>
      <c r="B1893" s="1" t="n">
        <v>44820</v>
      </c>
      <c r="C1893" s="1" t="n">
        <v>45969</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45093-2025</t>
        </is>
      </c>
      <c r="B1894" s="1" t="n">
        <v>45919.38398148148</v>
      </c>
      <c r="C1894" s="1" t="n">
        <v>45969</v>
      </c>
      <c r="D1894" t="inlineStr">
        <is>
          <t>VÄRMLANDS LÄN</t>
        </is>
      </c>
      <c r="E1894" t="inlineStr">
        <is>
          <t>TORSBY</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45133-2025</t>
        </is>
      </c>
      <c r="B1895" s="1" t="n">
        <v>45919.4447337963</v>
      </c>
      <c r="C1895" s="1" t="n">
        <v>45969</v>
      </c>
      <c r="D1895" t="inlineStr">
        <is>
          <t>VÄRMLANDS LÄN</t>
        </is>
      </c>
      <c r="E1895" t="inlineStr">
        <is>
          <t>TORSBY</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54071-2025</t>
        </is>
      </c>
      <c r="B1896" s="1" t="n">
        <v>45962</v>
      </c>
      <c r="C1896" s="1" t="n">
        <v>45969</v>
      </c>
      <c r="D1896" t="inlineStr">
        <is>
          <t>VÄRMLANDS LÄN</t>
        </is>
      </c>
      <c r="E1896" t="inlineStr">
        <is>
          <t>TORSBY</t>
        </is>
      </c>
      <c r="F1896" t="inlineStr">
        <is>
          <t>Övriga Aktiebolag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45489-2025</t>
        </is>
      </c>
      <c r="B1897" s="1" t="n">
        <v>45921</v>
      </c>
      <c r="C1897" s="1" t="n">
        <v>45969</v>
      </c>
      <c r="D1897" t="inlineStr">
        <is>
          <t>VÄRMLANDS LÄN</t>
        </is>
      </c>
      <c r="E1897" t="inlineStr">
        <is>
          <t>TORSBY</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54168-2025</t>
        </is>
      </c>
      <c r="B1898" s="1" t="n">
        <v>45964.52528935186</v>
      </c>
      <c r="C1898" s="1" t="n">
        <v>45969</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30735-2025</t>
        </is>
      </c>
      <c r="B1899" s="1" t="n">
        <v>45831.57479166667</v>
      </c>
      <c r="C1899" s="1" t="n">
        <v>45969</v>
      </c>
      <c r="D1899" t="inlineStr">
        <is>
          <t>VÄRMLANDS LÄN</t>
        </is>
      </c>
      <c r="E1899" t="inlineStr">
        <is>
          <t>TORSBY</t>
        </is>
      </c>
      <c r="F1899" t="inlineStr">
        <is>
          <t>Bergvik skog väst AB</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57647-2023</t>
        </is>
      </c>
      <c r="B1900" s="1" t="n">
        <v>45246.59627314815</v>
      </c>
      <c r="C1900" s="1" t="n">
        <v>45969</v>
      </c>
      <c r="D1900" t="inlineStr">
        <is>
          <t>VÄRMLANDS LÄN</t>
        </is>
      </c>
      <c r="E1900" t="inlineStr">
        <is>
          <t>TORSBY</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924-2024</t>
        </is>
      </c>
      <c r="B1901" s="1" t="n">
        <v>45301</v>
      </c>
      <c r="C1901" s="1" t="n">
        <v>45969</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14800-2025</t>
        </is>
      </c>
      <c r="B1902" s="1" t="n">
        <v>45743</v>
      </c>
      <c r="C1902" s="1" t="n">
        <v>45969</v>
      </c>
      <c r="D1902" t="inlineStr">
        <is>
          <t>VÄRMLANDS LÄN</t>
        </is>
      </c>
      <c r="E1902" t="inlineStr">
        <is>
          <t>TORSBY</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67933-2021</t>
        </is>
      </c>
      <c r="B1903" s="1" t="n">
        <v>44525</v>
      </c>
      <c r="C1903" s="1" t="n">
        <v>45969</v>
      </c>
      <c r="D1903" t="inlineStr">
        <is>
          <t>VÄRMLANDS LÄN</t>
        </is>
      </c>
      <c r="E1903" t="inlineStr">
        <is>
          <t>TORSBY</t>
        </is>
      </c>
      <c r="F1903" t="inlineStr">
        <is>
          <t>Bergvik skog väst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45425-2025</t>
        </is>
      </c>
      <c r="B1904" s="1" t="n">
        <v>45922.45195601852</v>
      </c>
      <c r="C1904" s="1" t="n">
        <v>45969</v>
      </c>
      <c r="D1904" t="inlineStr">
        <is>
          <t>VÄRMLANDS LÄN</t>
        </is>
      </c>
      <c r="E1904" t="inlineStr">
        <is>
          <t>TORSBY</t>
        </is>
      </c>
      <c r="F1904" t="inlineStr">
        <is>
          <t>Bergvik skog väst AB</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37822-2023</t>
        </is>
      </c>
      <c r="B1905" s="1" t="n">
        <v>45160.30215277777</v>
      </c>
      <c r="C1905" s="1" t="n">
        <v>45969</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30789-2024</t>
        </is>
      </c>
      <c r="B1906" s="1" t="n">
        <v>45497.178125</v>
      </c>
      <c r="C1906" s="1" t="n">
        <v>45969</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21516-2022</t>
        </is>
      </c>
      <c r="B1907" s="1" t="n">
        <v>44706</v>
      </c>
      <c r="C1907" s="1" t="n">
        <v>45969</v>
      </c>
      <c r="D1907" t="inlineStr">
        <is>
          <t>VÄRMLANDS LÄN</t>
        </is>
      </c>
      <c r="E1907" t="inlineStr">
        <is>
          <t>TORSBY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45490-2025</t>
        </is>
      </c>
      <c r="B1908" s="1" t="n">
        <v>45921</v>
      </c>
      <c r="C1908" s="1" t="n">
        <v>45969</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45508-2025</t>
        </is>
      </c>
      <c r="B1909" s="1" t="n">
        <v>45922</v>
      </c>
      <c r="C1909" s="1" t="n">
        <v>45969</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34717-2024</t>
        </is>
      </c>
      <c r="B1910" s="1" t="n">
        <v>45526.56409722222</v>
      </c>
      <c r="C1910" s="1" t="n">
        <v>45969</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35817-2025</t>
        </is>
      </c>
      <c r="B1911" s="1" t="n">
        <v>45861.44365740741</v>
      </c>
      <c r="C1911" s="1" t="n">
        <v>45969</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35855-2025</t>
        </is>
      </c>
      <c r="B1912" s="1" t="n">
        <v>45861.61864583333</v>
      </c>
      <c r="C1912" s="1" t="n">
        <v>45969</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45969</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58304-2024</t>
        </is>
      </c>
      <c r="B1914" s="1" t="n">
        <v>45632</v>
      </c>
      <c r="C1914" s="1" t="n">
        <v>45969</v>
      </c>
      <c r="D1914" t="inlineStr">
        <is>
          <t>VÄRMLANDS LÄN</t>
        </is>
      </c>
      <c r="E1914" t="inlineStr">
        <is>
          <t>TORSBY</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45615-2025</t>
        </is>
      </c>
      <c r="B1915" s="1" t="n">
        <v>45921</v>
      </c>
      <c r="C1915" s="1" t="n">
        <v>45969</v>
      </c>
      <c r="D1915" t="inlineStr">
        <is>
          <t>VÄRMLANDS LÄN</t>
        </is>
      </c>
      <c r="E1915" t="inlineStr">
        <is>
          <t>TORSBY</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45357-2025</t>
        </is>
      </c>
      <c r="B1916" s="1" t="n">
        <v>45922.36716435185</v>
      </c>
      <c r="C1916" s="1" t="n">
        <v>45969</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30958-2025</t>
        </is>
      </c>
      <c r="B1917" s="1" t="n">
        <v>45832.43880787037</v>
      </c>
      <c r="C1917" s="1" t="n">
        <v>45969</v>
      </c>
      <c r="D1917" t="inlineStr">
        <is>
          <t>VÄRMLANDS LÄN</t>
        </is>
      </c>
      <c r="E1917" t="inlineStr">
        <is>
          <t>TORSBY</t>
        </is>
      </c>
      <c r="G1917" t="n">
        <v>28.5</v>
      </c>
      <c r="H1917" t="n">
        <v>0</v>
      </c>
      <c r="I1917" t="n">
        <v>0</v>
      </c>
      <c r="J1917" t="n">
        <v>0</v>
      </c>
      <c r="K1917" t="n">
        <v>0</v>
      </c>
      <c r="L1917" t="n">
        <v>0</v>
      </c>
      <c r="M1917" t="n">
        <v>0</v>
      </c>
      <c r="N1917" t="n">
        <v>0</v>
      </c>
      <c r="O1917" t="n">
        <v>0</v>
      </c>
      <c r="P1917" t="n">
        <v>0</v>
      </c>
      <c r="Q1917" t="n">
        <v>0</v>
      </c>
      <c r="R1917" s="2" t="inlineStr"/>
    </row>
    <row r="1918" ht="15" customHeight="1">
      <c r="A1918" t="inlineStr">
        <is>
          <t>A 3160-2021</t>
        </is>
      </c>
      <c r="B1918" s="1" t="n">
        <v>44217</v>
      </c>
      <c r="C1918" s="1" t="n">
        <v>45969</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52564-2025</t>
        </is>
      </c>
      <c r="B1919" s="1" t="n">
        <v>45954</v>
      </c>
      <c r="C1919" s="1" t="n">
        <v>45969</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35965-2025</t>
        </is>
      </c>
      <c r="B1920" s="1" t="n">
        <v>45863.39790509259</v>
      </c>
      <c r="C1920" s="1" t="n">
        <v>45969</v>
      </c>
      <c r="D1920" t="inlineStr">
        <is>
          <t>VÄRMLANDS LÄN</t>
        </is>
      </c>
      <c r="E1920" t="inlineStr">
        <is>
          <t>TORSBY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7378-2025</t>
        </is>
      </c>
      <c r="B1921" s="1" t="n">
        <v>45705</v>
      </c>
      <c r="C1921" s="1" t="n">
        <v>45969</v>
      </c>
      <c r="D1921" t="inlineStr">
        <is>
          <t>VÄRMLANDS LÄN</t>
        </is>
      </c>
      <c r="E1921" t="inlineStr">
        <is>
          <t>TORSBY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15931-2025</t>
        </is>
      </c>
      <c r="B1922" s="1" t="n">
        <v>45749.46791666667</v>
      </c>
      <c r="C1922" s="1" t="n">
        <v>45969</v>
      </c>
      <c r="D1922" t="inlineStr">
        <is>
          <t>VÄRMLANDS LÄN</t>
        </is>
      </c>
      <c r="E1922" t="inlineStr">
        <is>
          <t>TORSBY</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35980-2025</t>
        </is>
      </c>
      <c r="B1923" s="1" t="n">
        <v>45863</v>
      </c>
      <c r="C1923" s="1" t="n">
        <v>45969</v>
      </c>
      <c r="D1923" t="inlineStr">
        <is>
          <t>VÄRMLANDS LÄN</t>
        </is>
      </c>
      <c r="E1923" t="inlineStr">
        <is>
          <t>TORSBY</t>
        </is>
      </c>
      <c r="F1923" t="inlineStr">
        <is>
          <t>Bergvik skog väst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52062-2024</t>
        </is>
      </c>
      <c r="B1924" s="1" t="n">
        <v>45608</v>
      </c>
      <c r="C1924" s="1" t="n">
        <v>45969</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25961-2025</t>
        </is>
      </c>
      <c r="B1925" s="1" t="n">
        <v>45804</v>
      </c>
      <c r="C1925" s="1" t="n">
        <v>45969</v>
      </c>
      <c r="D1925" t="inlineStr">
        <is>
          <t>VÄRMLANDS LÄN</t>
        </is>
      </c>
      <c r="E1925" t="inlineStr">
        <is>
          <t>TORSBY</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35987-2025</t>
        </is>
      </c>
      <c r="B1926" s="1" t="n">
        <v>45863.46144675926</v>
      </c>
      <c r="C1926" s="1" t="n">
        <v>45969</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44292-2025</t>
        </is>
      </c>
      <c r="B1927" s="1" t="n">
        <v>45915</v>
      </c>
      <c r="C1927" s="1" t="n">
        <v>45969</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45360-2025</t>
        </is>
      </c>
      <c r="B1928" s="1" t="n">
        <v>45922.37266203704</v>
      </c>
      <c r="C1928" s="1" t="n">
        <v>45969</v>
      </c>
      <c r="D1928" t="inlineStr">
        <is>
          <t>VÄRMLANDS LÄN</t>
        </is>
      </c>
      <c r="E1928" t="inlineStr">
        <is>
          <t>TORSBY</t>
        </is>
      </c>
      <c r="F1928" t="inlineStr">
        <is>
          <t>Kommuner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46424-2023</t>
        </is>
      </c>
      <c r="B1929" s="1" t="n">
        <v>45197.56141203704</v>
      </c>
      <c r="C1929" s="1" t="n">
        <v>45969</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69878-2021</t>
        </is>
      </c>
      <c r="B1930" s="1" t="n">
        <v>44532.82293981482</v>
      </c>
      <c r="C1930" s="1" t="n">
        <v>45969</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20191-2025</t>
        </is>
      </c>
      <c r="B1931" s="1" t="n">
        <v>45772</v>
      </c>
      <c r="C1931" s="1" t="n">
        <v>45969</v>
      </c>
      <c r="D1931" t="inlineStr">
        <is>
          <t>VÄRMLANDS LÄN</t>
        </is>
      </c>
      <c r="E1931" t="inlineStr">
        <is>
          <t>TORSBY</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1547-2024</t>
        </is>
      </c>
      <c r="B1932" s="1" t="n">
        <v>45306.48456018518</v>
      </c>
      <c r="C1932" s="1" t="n">
        <v>45969</v>
      </c>
      <c r="D1932" t="inlineStr">
        <is>
          <t>VÄRMLANDS LÄN</t>
        </is>
      </c>
      <c r="E1932" t="inlineStr">
        <is>
          <t>TORSBY</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36288-2025</t>
        </is>
      </c>
      <c r="B1933" s="1" t="n">
        <v>45867.6619212963</v>
      </c>
      <c r="C1933" s="1" t="n">
        <v>45969</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36289-2025</t>
        </is>
      </c>
      <c r="B1934" s="1" t="n">
        <v>45867.66329861111</v>
      </c>
      <c r="C1934" s="1" t="n">
        <v>45969</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72200-2021</t>
        </is>
      </c>
      <c r="B1935" s="1" t="n">
        <v>44544.67358796296</v>
      </c>
      <c r="C1935" s="1" t="n">
        <v>45969</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36256-2025</t>
        </is>
      </c>
      <c r="B1936" s="1" t="n">
        <v>45867.58938657407</v>
      </c>
      <c r="C1936" s="1" t="n">
        <v>45969</v>
      </c>
      <c r="D1936" t="inlineStr">
        <is>
          <t>VÄRMLANDS LÄN</t>
        </is>
      </c>
      <c r="E1936" t="inlineStr">
        <is>
          <t>TORSBY</t>
        </is>
      </c>
      <c r="F1936" t="inlineStr">
        <is>
          <t>Bergvik skog väst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54732-2025</t>
        </is>
      </c>
      <c r="B1937" s="1" t="n">
        <v>45966.56212962963</v>
      </c>
      <c r="C1937" s="1" t="n">
        <v>45969</v>
      </c>
      <c r="D1937" t="inlineStr">
        <is>
          <t>VÄRMLANDS LÄN</t>
        </is>
      </c>
      <c r="E1937" t="inlineStr">
        <is>
          <t>TORSBY</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54734-2025</t>
        </is>
      </c>
      <c r="B1938" s="1" t="n">
        <v>45966.56431712963</v>
      </c>
      <c r="C1938" s="1" t="n">
        <v>45969</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54784-2025</t>
        </is>
      </c>
      <c r="B1939" s="1" t="n">
        <v>45966.62114583333</v>
      </c>
      <c r="C1939" s="1" t="n">
        <v>45969</v>
      </c>
      <c r="D1939" t="inlineStr">
        <is>
          <t>VÄRMLANDS LÄN</t>
        </is>
      </c>
      <c r="E1939" t="inlineStr">
        <is>
          <t>TORSBY</t>
        </is>
      </c>
      <c r="F1939" t="inlineStr">
        <is>
          <t>Bergvik skog väst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11670-2025</t>
        </is>
      </c>
      <c r="B1940" s="1" t="n">
        <v>45727</v>
      </c>
      <c r="C1940" s="1" t="n">
        <v>45969</v>
      </c>
      <c r="D1940" t="inlineStr">
        <is>
          <t>VÄRMLANDS LÄN</t>
        </is>
      </c>
      <c r="E1940" t="inlineStr">
        <is>
          <t>TORSBY</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45967-2025</t>
        </is>
      </c>
      <c r="B1941" s="1" t="n">
        <v>45924</v>
      </c>
      <c r="C1941" s="1" t="n">
        <v>45969</v>
      </c>
      <c r="D1941" t="inlineStr">
        <is>
          <t>VÄRMLANDS LÄN</t>
        </is>
      </c>
      <c r="E1941" t="inlineStr">
        <is>
          <t>TORSBY</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41841-2023</t>
        </is>
      </c>
      <c r="B1942" s="1" t="n">
        <v>45176.60436342593</v>
      </c>
      <c r="C1942" s="1" t="n">
        <v>45969</v>
      </c>
      <c r="D1942" t="inlineStr">
        <is>
          <t>VÄRMLANDS LÄN</t>
        </is>
      </c>
      <c r="E1942" t="inlineStr">
        <is>
          <t>TORSBY</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40007-2023</t>
        </is>
      </c>
      <c r="B1943" s="1" t="n">
        <v>45168</v>
      </c>
      <c r="C1943" s="1" t="n">
        <v>45969</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36258-2025</t>
        </is>
      </c>
      <c r="B1944" s="1" t="n">
        <v>45867.59559027778</v>
      </c>
      <c r="C1944" s="1" t="n">
        <v>45969</v>
      </c>
      <c r="D1944" t="inlineStr">
        <is>
          <t>VÄRMLANDS LÄN</t>
        </is>
      </c>
      <c r="E1944" t="inlineStr">
        <is>
          <t>TORSBY</t>
        </is>
      </c>
      <c r="F1944" t="inlineStr">
        <is>
          <t>Bergvik skog väst AB</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32624-2025</t>
        </is>
      </c>
      <c r="B1945" s="1" t="n">
        <v>45838.64796296296</v>
      </c>
      <c r="C1945" s="1" t="n">
        <v>45969</v>
      </c>
      <c r="D1945" t="inlineStr">
        <is>
          <t>VÄRMLANDS LÄN</t>
        </is>
      </c>
      <c r="E1945" t="inlineStr">
        <is>
          <t>TORSBY</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3098-2023</t>
        </is>
      </c>
      <c r="B1946" s="1" t="n">
        <v>44946.46096064815</v>
      </c>
      <c r="C1946" s="1" t="n">
        <v>45969</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3103-2023</t>
        </is>
      </c>
      <c r="B1947" s="1" t="n">
        <v>44946</v>
      </c>
      <c r="C1947" s="1" t="n">
        <v>45969</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45825-2025</t>
        </is>
      </c>
      <c r="B1948" s="1" t="n">
        <v>45923.59983796296</v>
      </c>
      <c r="C1948" s="1" t="n">
        <v>45969</v>
      </c>
      <c r="D1948" t="inlineStr">
        <is>
          <t>VÄRMLANDS LÄN</t>
        </is>
      </c>
      <c r="E1948" t="inlineStr">
        <is>
          <t>TORSBY</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45969</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36287-2025</t>
        </is>
      </c>
      <c r="B1950" s="1" t="n">
        <v>45867.65814814815</v>
      </c>
      <c r="C1950" s="1" t="n">
        <v>45969</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55522-2023</t>
        </is>
      </c>
      <c r="B1951" s="1" t="n">
        <v>45238</v>
      </c>
      <c r="C1951" s="1" t="n">
        <v>45969</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36279-2025</t>
        </is>
      </c>
      <c r="B1952" s="1" t="n">
        <v>45867.638125</v>
      </c>
      <c r="C1952" s="1" t="n">
        <v>45969</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21585-2024</t>
        </is>
      </c>
      <c r="B1953" s="1" t="n">
        <v>45441</v>
      </c>
      <c r="C1953" s="1" t="n">
        <v>45969</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30836-2025</t>
        </is>
      </c>
      <c r="B1954" s="1" t="n">
        <v>45831.70571759259</v>
      </c>
      <c r="C1954" s="1" t="n">
        <v>45969</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4030-2024</t>
        </is>
      </c>
      <c r="B1955" s="1" t="n">
        <v>45323</v>
      </c>
      <c r="C1955" s="1" t="n">
        <v>45969</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36548-2025</t>
        </is>
      </c>
      <c r="B1956" s="1" t="n">
        <v>45869.74849537037</v>
      </c>
      <c r="C1956" s="1" t="n">
        <v>45969</v>
      </c>
      <c r="D1956" t="inlineStr">
        <is>
          <t>VÄRMLANDS LÄN</t>
        </is>
      </c>
      <c r="E1956" t="inlineStr">
        <is>
          <t>TORSBY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36530-2025</t>
        </is>
      </c>
      <c r="B1957" s="1" t="n">
        <v>45869.61282407407</v>
      </c>
      <c r="C1957" s="1" t="n">
        <v>45969</v>
      </c>
      <c r="D1957" t="inlineStr">
        <is>
          <t>VÄRMLANDS LÄN</t>
        </is>
      </c>
      <c r="E1957" t="inlineStr">
        <is>
          <t>TORSBY</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29925-2024</t>
        </is>
      </c>
      <c r="B1958" s="1" t="n">
        <v>45488</v>
      </c>
      <c r="C1958" s="1" t="n">
        <v>45969</v>
      </c>
      <c r="D1958" t="inlineStr">
        <is>
          <t>VÄRMLANDS LÄN</t>
        </is>
      </c>
      <c r="E1958" t="inlineStr">
        <is>
          <t>TORSBY</t>
        </is>
      </c>
      <c r="F1958" t="inlineStr">
        <is>
          <t>Kyrkan</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29936-2024</t>
        </is>
      </c>
      <c r="B1959" s="1" t="n">
        <v>45488</v>
      </c>
      <c r="C1959" s="1" t="n">
        <v>45969</v>
      </c>
      <c r="D1959" t="inlineStr">
        <is>
          <t>VÄRMLANDS LÄN</t>
        </is>
      </c>
      <c r="E1959" t="inlineStr">
        <is>
          <t>TORSBY</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2797-2025</t>
        </is>
      </c>
      <c r="B1960" s="1" t="n">
        <v>45677</v>
      </c>
      <c r="C1960" s="1" t="n">
        <v>45969</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45268.61853009259</v>
      </c>
      <c r="C1961" s="1" t="n">
        <v>45969</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36477-2025</t>
        </is>
      </c>
      <c r="B1962" s="1" t="n">
        <v>45869</v>
      </c>
      <c r="C1962" s="1" t="n">
        <v>45969</v>
      </c>
      <c r="D1962" t="inlineStr">
        <is>
          <t>VÄRMLANDS LÄN</t>
        </is>
      </c>
      <c r="E1962" t="inlineStr">
        <is>
          <t>TORSBY</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36498-2025</t>
        </is>
      </c>
      <c r="B1963" s="1" t="n">
        <v>45869</v>
      </c>
      <c r="C1963" s="1" t="n">
        <v>45969</v>
      </c>
      <c r="D1963" t="inlineStr">
        <is>
          <t>VÄRMLANDS LÄN</t>
        </is>
      </c>
      <c r="E1963" t="inlineStr">
        <is>
          <t>TORSBY</t>
        </is>
      </c>
      <c r="F1963" t="inlineStr">
        <is>
          <t>Bergvik skog väst AB</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36500-2025</t>
        </is>
      </c>
      <c r="B1964" s="1" t="n">
        <v>45869</v>
      </c>
      <c r="C1964" s="1" t="n">
        <v>45969</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27038-2024</t>
        </is>
      </c>
      <c r="B1965" s="1" t="n">
        <v>45471</v>
      </c>
      <c r="C1965" s="1" t="n">
        <v>45969</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27045-2024</t>
        </is>
      </c>
      <c r="B1966" s="1" t="n">
        <v>45471</v>
      </c>
      <c r="C1966" s="1" t="n">
        <v>45969</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45966-2025</t>
        </is>
      </c>
      <c r="B1967" s="1" t="n">
        <v>45924</v>
      </c>
      <c r="C1967" s="1" t="n">
        <v>45969</v>
      </c>
      <c r="D1967" t="inlineStr">
        <is>
          <t>VÄRMLANDS LÄN</t>
        </is>
      </c>
      <c r="E1967" t="inlineStr">
        <is>
          <t>TORSBY</t>
        </is>
      </c>
      <c r="F1967" t="inlineStr">
        <is>
          <t>Övriga Aktiebolag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27090-2024</t>
        </is>
      </c>
      <c r="B1968" s="1" t="n">
        <v>45471</v>
      </c>
      <c r="C1968" s="1" t="n">
        <v>45969</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36483-2025</t>
        </is>
      </c>
      <c r="B1969" s="1" t="n">
        <v>45869</v>
      </c>
      <c r="C1969" s="1" t="n">
        <v>45969</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60458-2024</t>
        </is>
      </c>
      <c r="B1970" s="1" t="n">
        <v>45643</v>
      </c>
      <c r="C1970" s="1" t="n">
        <v>45969</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41518-2024</t>
        </is>
      </c>
      <c r="B1971" s="1" t="n">
        <v>45560</v>
      </c>
      <c r="C1971" s="1" t="n">
        <v>45969</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45679-2025</t>
        </is>
      </c>
      <c r="B1972" s="1" t="n">
        <v>45923.36864583333</v>
      </c>
      <c r="C1972" s="1" t="n">
        <v>45969</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33429-2024</t>
        </is>
      </c>
      <c r="B1973" s="1" t="n">
        <v>45519.52792824074</v>
      </c>
      <c r="C1973" s="1" t="n">
        <v>45969</v>
      </c>
      <c r="D1973" t="inlineStr">
        <is>
          <t>VÄRMLANDS LÄN</t>
        </is>
      </c>
      <c r="E1973" t="inlineStr">
        <is>
          <t>TORSBY</t>
        </is>
      </c>
      <c r="F1973" t="inlineStr">
        <is>
          <t>Bergvik skog väst AB</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54817-2025</t>
        </is>
      </c>
      <c r="B1974" s="1" t="n">
        <v>45966.65671296296</v>
      </c>
      <c r="C1974" s="1" t="n">
        <v>45969</v>
      </c>
      <c r="D1974" t="inlineStr">
        <is>
          <t>VÄRMLANDS LÄN</t>
        </is>
      </c>
      <c r="E1974" t="inlineStr">
        <is>
          <t>TORSBY</t>
        </is>
      </c>
      <c r="F1974" t="inlineStr">
        <is>
          <t>Bergvik skog väst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36856-2025</t>
        </is>
      </c>
      <c r="B1975" s="1" t="n">
        <v>45874.40421296296</v>
      </c>
      <c r="C1975" s="1" t="n">
        <v>45969</v>
      </c>
      <c r="D1975" t="inlineStr">
        <is>
          <t>VÄRMLANDS LÄN</t>
        </is>
      </c>
      <c r="E1975" t="inlineStr">
        <is>
          <t>TORSBY</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42662-2024</t>
        </is>
      </c>
      <c r="B1976" s="1" t="n">
        <v>45566</v>
      </c>
      <c r="C1976" s="1" t="n">
        <v>45969</v>
      </c>
      <c r="D1976" t="inlineStr">
        <is>
          <t>VÄRMLANDS LÄN</t>
        </is>
      </c>
      <c r="E1976" t="inlineStr">
        <is>
          <t>TORSBY</t>
        </is>
      </c>
      <c r="F1976" t="inlineStr">
        <is>
          <t>Bergvik skog väst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8197-2025</t>
        </is>
      </c>
      <c r="B1977" s="1" t="n">
        <v>45708.4318287037</v>
      </c>
      <c r="C1977" s="1" t="n">
        <v>45969</v>
      </c>
      <c r="D1977" t="inlineStr">
        <is>
          <t>VÄRMLANDS LÄN</t>
        </is>
      </c>
      <c r="E1977" t="inlineStr">
        <is>
          <t>TORSBY</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25316-2024</t>
        </is>
      </c>
      <c r="B1978" s="1" t="n">
        <v>45462</v>
      </c>
      <c r="C1978" s="1" t="n">
        <v>45969</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15899-2024</t>
        </is>
      </c>
      <c r="B1979" s="1" t="n">
        <v>45405.4034837963</v>
      </c>
      <c r="C1979" s="1" t="n">
        <v>45969</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1803-2024</t>
        </is>
      </c>
      <c r="B1980" s="1" t="n">
        <v>45307</v>
      </c>
      <c r="C1980" s="1" t="n">
        <v>45969</v>
      </c>
      <c r="D1980" t="inlineStr">
        <is>
          <t>VÄRMLANDS LÄN</t>
        </is>
      </c>
      <c r="E1980" t="inlineStr">
        <is>
          <t>TORSBY</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46102-2025</t>
        </is>
      </c>
      <c r="B1981" s="1" t="n">
        <v>45924</v>
      </c>
      <c r="C1981" s="1" t="n">
        <v>45969</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46110-2025</t>
        </is>
      </c>
      <c r="B1982" s="1" t="n">
        <v>45924</v>
      </c>
      <c r="C1982" s="1" t="n">
        <v>45969</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34697-2024</t>
        </is>
      </c>
      <c r="B1983" s="1" t="n">
        <v>45526.55518518519</v>
      </c>
      <c r="C1983" s="1" t="n">
        <v>45969</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36419-2024</t>
        </is>
      </c>
      <c r="B1984" s="1" t="n">
        <v>45536.58380787037</v>
      </c>
      <c r="C1984" s="1" t="n">
        <v>45969</v>
      </c>
      <c r="D1984" t="inlineStr">
        <is>
          <t>VÄRMLANDS LÄN</t>
        </is>
      </c>
      <c r="E1984" t="inlineStr">
        <is>
          <t>TORSBY</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32845-2024</t>
        </is>
      </c>
      <c r="B1985" s="1" t="n">
        <v>45516.62422453704</v>
      </c>
      <c r="C1985" s="1" t="n">
        <v>45969</v>
      </c>
      <c r="D1985" t="inlineStr">
        <is>
          <t>VÄRMLANDS LÄN</t>
        </is>
      </c>
      <c r="E1985" t="inlineStr">
        <is>
          <t>TORSBY</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4537-2025</t>
        </is>
      </c>
      <c r="B1986" s="1" t="n">
        <v>45687.38836805556</v>
      </c>
      <c r="C1986" s="1" t="n">
        <v>45969</v>
      </c>
      <c r="D1986" t="inlineStr">
        <is>
          <t>VÄRMLANDS LÄN</t>
        </is>
      </c>
      <c r="E1986" t="inlineStr">
        <is>
          <t>TORSBY</t>
        </is>
      </c>
      <c r="F1986" t="inlineStr">
        <is>
          <t>Kommuner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33133-2024</t>
        </is>
      </c>
      <c r="B1987" s="1" t="n">
        <v>45518.31722222222</v>
      </c>
      <c r="C1987" s="1" t="n">
        <v>45969</v>
      </c>
      <c r="D1987" t="inlineStr">
        <is>
          <t>VÄRMLANDS LÄN</t>
        </is>
      </c>
      <c r="E1987" t="inlineStr">
        <is>
          <t>TORSBY</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1512-2025</t>
        </is>
      </c>
      <c r="B1988" s="1" t="n">
        <v>45670.45255787037</v>
      </c>
      <c r="C1988" s="1" t="n">
        <v>45969</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52843-2025</t>
        </is>
      </c>
      <c r="B1989" s="1" t="n">
        <v>45957</v>
      </c>
      <c r="C1989" s="1" t="n">
        <v>45969</v>
      </c>
      <c r="D1989" t="inlineStr">
        <is>
          <t>VÄRMLANDS LÄN</t>
        </is>
      </c>
      <c r="E1989" t="inlineStr">
        <is>
          <t>TORSBY</t>
        </is>
      </c>
      <c r="F1989" t="inlineStr">
        <is>
          <t>Bergvik skog väst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52809-2024</t>
        </is>
      </c>
      <c r="B1990" s="1" t="n">
        <v>45610</v>
      </c>
      <c r="C1990" s="1" t="n">
        <v>45969</v>
      </c>
      <c r="D1990" t="inlineStr">
        <is>
          <t>VÄRMLANDS LÄN</t>
        </is>
      </c>
      <c r="E1990" t="inlineStr">
        <is>
          <t>TORSBY</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36920-2025</t>
        </is>
      </c>
      <c r="B1991" s="1" t="n">
        <v>45874</v>
      </c>
      <c r="C1991" s="1" t="n">
        <v>45969</v>
      </c>
      <c r="D1991" t="inlineStr">
        <is>
          <t>VÄRMLANDS LÄN</t>
        </is>
      </c>
      <c r="E1991" t="inlineStr">
        <is>
          <t>TORSBY</t>
        </is>
      </c>
      <c r="F1991" t="inlineStr">
        <is>
          <t>Bergvik skog väst AB</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37230-2025</t>
        </is>
      </c>
      <c r="B1992" s="1" t="n">
        <v>45876</v>
      </c>
      <c r="C1992" s="1" t="n">
        <v>45969</v>
      </c>
      <c r="D1992" t="inlineStr">
        <is>
          <t>VÄRMLANDS LÄN</t>
        </is>
      </c>
      <c r="E1992" t="inlineStr">
        <is>
          <t>TORSBY</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37236-2025</t>
        </is>
      </c>
      <c r="B1993" s="1" t="n">
        <v>45876.36116898148</v>
      </c>
      <c r="C1993" s="1" t="n">
        <v>45969</v>
      </c>
      <c r="D1993" t="inlineStr">
        <is>
          <t>VÄRMLANDS LÄN</t>
        </is>
      </c>
      <c r="E1993" t="inlineStr">
        <is>
          <t>TORSBY</t>
        </is>
      </c>
      <c r="F1993" t="inlineStr">
        <is>
          <t>Bergvik skog väst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37334-2025</t>
        </is>
      </c>
      <c r="B1994" s="1" t="n">
        <v>45876.66663194444</v>
      </c>
      <c r="C1994" s="1" t="n">
        <v>45969</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37339-2025</t>
        </is>
      </c>
      <c r="B1995" s="1" t="n">
        <v>45876.68457175926</v>
      </c>
      <c r="C1995" s="1" t="n">
        <v>45969</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15315-2024</t>
        </is>
      </c>
      <c r="B1996" s="1" t="n">
        <v>45400</v>
      </c>
      <c r="C1996" s="1" t="n">
        <v>45969</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54412-2025</t>
        </is>
      </c>
      <c r="B1997" s="1" t="n">
        <v>45965.46076388889</v>
      </c>
      <c r="C1997" s="1" t="n">
        <v>45969</v>
      </c>
      <c r="D1997" t="inlineStr">
        <is>
          <t>VÄRMLANDS LÄN</t>
        </is>
      </c>
      <c r="E1997" t="inlineStr">
        <is>
          <t>TORSBY</t>
        </is>
      </c>
      <c r="F1997" t="inlineStr">
        <is>
          <t>Bergvik skog väst AB</t>
        </is>
      </c>
      <c r="G1997" t="n">
        <v>37.8</v>
      </c>
      <c r="H1997" t="n">
        <v>0</v>
      </c>
      <c r="I1997" t="n">
        <v>0</v>
      </c>
      <c r="J1997" t="n">
        <v>0</v>
      </c>
      <c r="K1997" t="n">
        <v>0</v>
      </c>
      <c r="L1997" t="n">
        <v>0</v>
      </c>
      <c r="M1997" t="n">
        <v>0</v>
      </c>
      <c r="N1997" t="n">
        <v>0</v>
      </c>
      <c r="O1997" t="n">
        <v>0</v>
      </c>
      <c r="P1997" t="n">
        <v>0</v>
      </c>
      <c r="Q1997" t="n">
        <v>0</v>
      </c>
      <c r="R1997" s="2" t="inlineStr"/>
    </row>
    <row r="1998" ht="15" customHeight="1">
      <c r="A1998" t="inlineStr">
        <is>
          <t>A 53381-2022</t>
        </is>
      </c>
      <c r="B1998" s="1" t="n">
        <v>44879</v>
      </c>
      <c r="C1998" s="1" t="n">
        <v>45969</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66194-2020</t>
        </is>
      </c>
      <c r="B1999" s="1" t="n">
        <v>44175</v>
      </c>
      <c r="C1999" s="1" t="n">
        <v>45969</v>
      </c>
      <c r="D1999" t="inlineStr">
        <is>
          <t>VÄRMLANDS LÄN</t>
        </is>
      </c>
      <c r="E1999" t="inlineStr">
        <is>
          <t>TORSBY</t>
        </is>
      </c>
      <c r="F1999" t="inlineStr">
        <is>
          <t>Bergvik skog väst AB</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37348-2025</t>
        </is>
      </c>
      <c r="B2000" s="1" t="n">
        <v>45876.71136574074</v>
      </c>
      <c r="C2000" s="1" t="n">
        <v>45969</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37260-2025</t>
        </is>
      </c>
      <c r="B2001" s="1" t="n">
        <v>45876</v>
      </c>
      <c r="C2001" s="1" t="n">
        <v>45969</v>
      </c>
      <c r="D2001" t="inlineStr">
        <is>
          <t>VÄRMLANDS LÄN</t>
        </is>
      </c>
      <c r="E2001" t="inlineStr">
        <is>
          <t>TORSBY</t>
        </is>
      </c>
      <c r="F2001" t="inlineStr">
        <is>
          <t>Bergvik skog väst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739-2022</t>
        </is>
      </c>
      <c r="B2002" s="1" t="n">
        <v>44568</v>
      </c>
      <c r="C2002" s="1" t="n">
        <v>45969</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38486-2022</t>
        </is>
      </c>
      <c r="B2003" s="1" t="n">
        <v>44813</v>
      </c>
      <c r="C2003" s="1" t="n">
        <v>45969</v>
      </c>
      <c r="D2003" t="inlineStr">
        <is>
          <t>VÄRMLANDS LÄN</t>
        </is>
      </c>
      <c r="E2003" t="inlineStr">
        <is>
          <t>TORSBY</t>
        </is>
      </c>
      <c r="F2003" t="inlineStr">
        <is>
          <t>Bergvik skog väst AB</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37300-2025</t>
        </is>
      </c>
      <c r="B2004" s="1" t="n">
        <v>45876</v>
      </c>
      <c r="C2004" s="1" t="n">
        <v>45969</v>
      </c>
      <c r="D2004" t="inlineStr">
        <is>
          <t>VÄRMLANDS LÄN</t>
        </is>
      </c>
      <c r="E2004" t="inlineStr">
        <is>
          <t>TORSBY</t>
        </is>
      </c>
      <c r="F2004" t="inlineStr">
        <is>
          <t>Bergvik skog väst AB</t>
        </is>
      </c>
      <c r="G2004" t="n">
        <v>33.6</v>
      </c>
      <c r="H2004" t="n">
        <v>0</v>
      </c>
      <c r="I2004" t="n">
        <v>0</v>
      </c>
      <c r="J2004" t="n">
        <v>0</v>
      </c>
      <c r="K2004" t="n">
        <v>0</v>
      </c>
      <c r="L2004" t="n">
        <v>0</v>
      </c>
      <c r="M2004" t="n">
        <v>0</v>
      </c>
      <c r="N2004" t="n">
        <v>0</v>
      </c>
      <c r="O2004" t="n">
        <v>0</v>
      </c>
      <c r="P2004" t="n">
        <v>0</v>
      </c>
      <c r="Q2004" t="n">
        <v>0</v>
      </c>
      <c r="R2004" s="2" t="inlineStr"/>
    </row>
    <row r="2005" ht="15" customHeight="1">
      <c r="A2005" t="inlineStr">
        <is>
          <t>A 6111-2021</t>
        </is>
      </c>
      <c r="B2005" s="1" t="n">
        <v>44232</v>
      </c>
      <c r="C2005" s="1" t="n">
        <v>45969</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37273-2025</t>
        </is>
      </c>
      <c r="B2006" s="1" t="n">
        <v>45876</v>
      </c>
      <c r="C2006" s="1" t="n">
        <v>45969</v>
      </c>
      <c r="D2006" t="inlineStr">
        <is>
          <t>VÄRMLANDS LÄN</t>
        </is>
      </c>
      <c r="E2006" t="inlineStr">
        <is>
          <t>TORSBY</t>
        </is>
      </c>
      <c r="F2006" t="inlineStr">
        <is>
          <t>Bergvik skog väst AB</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37381-2025</t>
        </is>
      </c>
      <c r="B2007" s="1" t="n">
        <v>45877</v>
      </c>
      <c r="C2007" s="1" t="n">
        <v>45969</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8012-2023</t>
        </is>
      </c>
      <c r="B2008" s="1" t="n">
        <v>44973</v>
      </c>
      <c r="C2008" s="1" t="n">
        <v>45969</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12402-2025</t>
        </is>
      </c>
      <c r="B2009" s="1" t="n">
        <v>45730.4228125</v>
      </c>
      <c r="C2009" s="1" t="n">
        <v>45969</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49845-2024</t>
        </is>
      </c>
      <c r="B2010" s="1" t="n">
        <v>45597</v>
      </c>
      <c r="C2010" s="1" t="n">
        <v>45969</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50372-2024</t>
        </is>
      </c>
      <c r="B2011" s="1" t="n">
        <v>45601.25935185186</v>
      </c>
      <c r="C2011" s="1" t="n">
        <v>45969</v>
      </c>
      <c r="D2011" t="inlineStr">
        <is>
          <t>VÄRMLANDS LÄN</t>
        </is>
      </c>
      <c r="E2011" t="inlineStr">
        <is>
          <t>TORSBY</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37566-2025</t>
        </is>
      </c>
      <c r="B2012" s="1" t="n">
        <v>45880</v>
      </c>
      <c r="C2012" s="1" t="n">
        <v>45969</v>
      </c>
      <c r="D2012" t="inlineStr">
        <is>
          <t>VÄRMLANDS LÄN</t>
        </is>
      </c>
      <c r="E2012" t="inlineStr">
        <is>
          <t>TORSBY</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50852-2023</t>
        </is>
      </c>
      <c r="B2013" s="1" t="n">
        <v>45218.29837962963</v>
      </c>
      <c r="C2013" s="1" t="n">
        <v>45969</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52982-2023</t>
        </is>
      </c>
      <c r="B2014" s="1" t="n">
        <v>45226.61299768519</v>
      </c>
      <c r="C2014" s="1" t="n">
        <v>45969</v>
      </c>
      <c r="D2014" t="inlineStr">
        <is>
          <t>VÄRMLANDS LÄN</t>
        </is>
      </c>
      <c r="E2014" t="inlineStr">
        <is>
          <t>TORSBY</t>
        </is>
      </c>
      <c r="G2014" t="n">
        <v>35.5</v>
      </c>
      <c r="H2014" t="n">
        <v>0</v>
      </c>
      <c r="I2014" t="n">
        <v>0</v>
      </c>
      <c r="J2014" t="n">
        <v>0</v>
      </c>
      <c r="K2014" t="n">
        <v>0</v>
      </c>
      <c r="L2014" t="n">
        <v>0</v>
      </c>
      <c r="M2014" t="n">
        <v>0</v>
      </c>
      <c r="N2014" t="n">
        <v>0</v>
      </c>
      <c r="O2014" t="n">
        <v>0</v>
      </c>
      <c r="P2014" t="n">
        <v>0</v>
      </c>
      <c r="Q2014" t="n">
        <v>0</v>
      </c>
      <c r="R2014" s="2" t="inlineStr"/>
    </row>
    <row r="2015" ht="15" customHeight="1">
      <c r="A2015" t="inlineStr">
        <is>
          <t>A 15274-2024</t>
        </is>
      </c>
      <c r="B2015" s="1" t="n">
        <v>45400.58201388889</v>
      </c>
      <c r="C2015" s="1" t="n">
        <v>45969</v>
      </c>
      <c r="D2015" t="inlineStr">
        <is>
          <t>VÄRMLANDS LÄN</t>
        </is>
      </c>
      <c r="E2015" t="inlineStr">
        <is>
          <t>TORSBY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61738-2020</t>
        </is>
      </c>
      <c r="B2016" s="1" t="n">
        <v>44158</v>
      </c>
      <c r="C2016" s="1" t="n">
        <v>45969</v>
      </c>
      <c r="D2016" t="inlineStr">
        <is>
          <t>VÄRMLANDS LÄN</t>
        </is>
      </c>
      <c r="E2016" t="inlineStr">
        <is>
          <t>TORSBY</t>
        </is>
      </c>
      <c r="F2016" t="inlineStr">
        <is>
          <t>Kommuner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57216-2023</t>
        </is>
      </c>
      <c r="B2017" s="1" t="n">
        <v>45245</v>
      </c>
      <c r="C2017" s="1" t="n">
        <v>45969</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41270-2023</t>
        </is>
      </c>
      <c r="B2018" s="1" t="n">
        <v>45174.54952546296</v>
      </c>
      <c r="C2018" s="1" t="n">
        <v>45969</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32932-2024</t>
        </is>
      </c>
      <c r="B2019" s="1" t="n">
        <v>45517.31537037037</v>
      </c>
      <c r="C2019" s="1" t="n">
        <v>45969</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61565-2024</t>
        </is>
      </c>
      <c r="B2020" s="1" t="n">
        <v>45646</v>
      </c>
      <c r="C2020" s="1" t="n">
        <v>45969</v>
      </c>
      <c r="D2020" t="inlineStr">
        <is>
          <t>VÄRMLANDS LÄN</t>
        </is>
      </c>
      <c r="E2020" t="inlineStr">
        <is>
          <t>TORSBY</t>
        </is>
      </c>
      <c r="F2020" t="inlineStr">
        <is>
          <t>Bergvik skog väst AB</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25264-2024</t>
        </is>
      </c>
      <c r="B2021" s="1" t="n">
        <v>45462.61859953704</v>
      </c>
      <c r="C2021" s="1" t="n">
        <v>45969</v>
      </c>
      <c r="D2021" t="inlineStr">
        <is>
          <t>VÄRMLANDS LÄN</t>
        </is>
      </c>
      <c r="E2021" t="inlineStr">
        <is>
          <t>TORSBY</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22386-2025</t>
        </is>
      </c>
      <c r="B2022" s="1" t="n">
        <v>45786.50703703704</v>
      </c>
      <c r="C2022" s="1" t="n">
        <v>45969</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20898-2023</t>
        </is>
      </c>
      <c r="B2023" s="1" t="n">
        <v>45059</v>
      </c>
      <c r="C2023" s="1" t="n">
        <v>45969</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54729-2025</t>
        </is>
      </c>
      <c r="B2024" s="1" t="n">
        <v>45966.55791666666</v>
      </c>
      <c r="C2024" s="1" t="n">
        <v>45969</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37760-2025</t>
        </is>
      </c>
      <c r="B2025" s="1" t="n">
        <v>45880</v>
      </c>
      <c r="C2025" s="1" t="n">
        <v>45969</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50138-2023</t>
        </is>
      </c>
      <c r="B2026" s="1" t="n">
        <v>45215.66738425926</v>
      </c>
      <c r="C2026" s="1" t="n">
        <v>45969</v>
      </c>
      <c r="D2026" t="inlineStr">
        <is>
          <t>VÄRMLANDS LÄN</t>
        </is>
      </c>
      <c r="E2026" t="inlineStr">
        <is>
          <t>TORSBY</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31493-2021</t>
        </is>
      </c>
      <c r="B2027" s="1" t="n">
        <v>44369</v>
      </c>
      <c r="C2027" s="1" t="n">
        <v>45969</v>
      </c>
      <c r="D2027" t="inlineStr">
        <is>
          <t>VÄRMLANDS LÄN</t>
        </is>
      </c>
      <c r="E2027" t="inlineStr">
        <is>
          <t>TORSBY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6653-2025</t>
        </is>
      </c>
      <c r="B2028" s="1" t="n">
        <v>45700.42601851852</v>
      </c>
      <c r="C2028" s="1" t="n">
        <v>45969</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41315-2022</t>
        </is>
      </c>
      <c r="B2029" s="1" t="n">
        <v>44826</v>
      </c>
      <c r="C2029" s="1" t="n">
        <v>45969</v>
      </c>
      <c r="D2029" t="inlineStr">
        <is>
          <t>VÄRMLANDS LÄN</t>
        </is>
      </c>
      <c r="E2029" t="inlineStr">
        <is>
          <t>TORSBY</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18411-2023</t>
        </is>
      </c>
      <c r="B2030" s="1" t="n">
        <v>45042</v>
      </c>
      <c r="C2030" s="1" t="n">
        <v>45969</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58062-2021</t>
        </is>
      </c>
      <c r="B2031" s="1" t="n">
        <v>44487</v>
      </c>
      <c r="C2031" s="1" t="n">
        <v>45969</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24150-2021</t>
        </is>
      </c>
      <c r="B2032" s="1" t="n">
        <v>44336</v>
      </c>
      <c r="C2032" s="1" t="n">
        <v>45969</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54029-2021</t>
        </is>
      </c>
      <c r="B2033" s="1" t="n">
        <v>44470.37834490741</v>
      </c>
      <c r="C2033" s="1" t="n">
        <v>45969</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12528-2025</t>
        </is>
      </c>
      <c r="B2034" s="1" t="n">
        <v>45730</v>
      </c>
      <c r="C2034" s="1" t="n">
        <v>45969</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12554-2025</t>
        </is>
      </c>
      <c r="B2035" s="1" t="n">
        <v>45731</v>
      </c>
      <c r="C2035" s="1" t="n">
        <v>45969</v>
      </c>
      <c r="D2035" t="inlineStr">
        <is>
          <t>VÄRMLANDS LÄN</t>
        </is>
      </c>
      <c r="E2035" t="inlineStr">
        <is>
          <t>TORSBY</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15464-2025</t>
        </is>
      </c>
      <c r="B2036" s="1" t="n">
        <v>45747</v>
      </c>
      <c r="C2036" s="1" t="n">
        <v>45969</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59941-2023</t>
        </is>
      </c>
      <c r="B2037" s="1" t="n">
        <v>45257.67721064815</v>
      </c>
      <c r="C2037" s="1" t="n">
        <v>45969</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7927-2024</t>
        </is>
      </c>
      <c r="B2038" s="1" t="n">
        <v>45350</v>
      </c>
      <c r="C2038" s="1" t="n">
        <v>45969</v>
      </c>
      <c r="D2038" t="inlineStr">
        <is>
          <t>VÄRMLANDS LÄN</t>
        </is>
      </c>
      <c r="E2038" t="inlineStr">
        <is>
          <t>TORSBY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60314-2023</t>
        </is>
      </c>
      <c r="B2039" s="1" t="n">
        <v>45258.87101851852</v>
      </c>
      <c r="C2039" s="1" t="n">
        <v>45969</v>
      </c>
      <c r="D2039" t="inlineStr">
        <is>
          <t>VÄRMLANDS LÄN</t>
        </is>
      </c>
      <c r="E2039" t="inlineStr">
        <is>
          <t>TORSBY</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52580-2023</t>
        </is>
      </c>
      <c r="B2040" s="1" t="n">
        <v>45225.59354166667</v>
      </c>
      <c r="C2040" s="1" t="n">
        <v>45969</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52591-2023</t>
        </is>
      </c>
      <c r="B2041" s="1" t="n">
        <v>45225</v>
      </c>
      <c r="C2041" s="1" t="n">
        <v>45969</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30299-2025</t>
        </is>
      </c>
      <c r="B2042" s="1" t="n">
        <v>45827</v>
      </c>
      <c r="C2042" s="1" t="n">
        <v>45969</v>
      </c>
      <c r="D2042" t="inlineStr">
        <is>
          <t>VÄRMLANDS LÄN</t>
        </is>
      </c>
      <c r="E2042" t="inlineStr">
        <is>
          <t>TORSBY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36782-2024</t>
        </is>
      </c>
      <c r="B2043" s="1" t="n">
        <v>45538</v>
      </c>
      <c r="C2043" s="1" t="n">
        <v>45969</v>
      </c>
      <c r="D2043" t="inlineStr">
        <is>
          <t>VÄRMLANDS LÄN</t>
        </is>
      </c>
      <c r="E2043" t="inlineStr">
        <is>
          <t>TORSBY</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45969</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36790-2024</t>
        </is>
      </c>
      <c r="B2045" s="1" t="n">
        <v>45538.43484953704</v>
      </c>
      <c r="C2045" s="1" t="n">
        <v>45969</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37736-2025</t>
        </is>
      </c>
      <c r="B2046" s="1" t="n">
        <v>45880</v>
      </c>
      <c r="C2046" s="1" t="n">
        <v>45969</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37547-2025</t>
        </is>
      </c>
      <c r="B2047" s="1" t="n">
        <v>45879</v>
      </c>
      <c r="C2047" s="1" t="n">
        <v>45969</v>
      </c>
      <c r="D2047" t="inlineStr">
        <is>
          <t>VÄRMLANDS LÄN</t>
        </is>
      </c>
      <c r="E2047" t="inlineStr">
        <is>
          <t>TORSBY</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54160-2022</t>
        </is>
      </c>
      <c r="B2048" s="1" t="n">
        <v>44881</v>
      </c>
      <c r="C2048" s="1" t="n">
        <v>45969</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36674-2023</t>
        </is>
      </c>
      <c r="B2049" s="1" t="n">
        <v>45153.5908912037</v>
      </c>
      <c r="C2049" s="1" t="n">
        <v>45969</v>
      </c>
      <c r="D2049" t="inlineStr">
        <is>
          <t>VÄRMLANDS LÄN</t>
        </is>
      </c>
      <c r="E2049" t="inlineStr">
        <is>
          <t>TORSBY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19675-2023</t>
        </is>
      </c>
      <c r="B2050" s="1" t="n">
        <v>45051</v>
      </c>
      <c r="C2050" s="1" t="n">
        <v>45969</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37583-2025</t>
        </is>
      </c>
      <c r="B2051" s="1" t="n">
        <v>45880</v>
      </c>
      <c r="C2051" s="1" t="n">
        <v>45969</v>
      </c>
      <c r="D2051" t="inlineStr">
        <is>
          <t>VÄRMLANDS LÄN</t>
        </is>
      </c>
      <c r="E2051" t="inlineStr">
        <is>
          <t>TORSBY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27677-2024</t>
        </is>
      </c>
      <c r="B2052" s="1" t="n">
        <v>45475</v>
      </c>
      <c r="C2052" s="1" t="n">
        <v>45969</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27678-2024</t>
        </is>
      </c>
      <c r="B2053" s="1" t="n">
        <v>45475</v>
      </c>
      <c r="C2053" s="1" t="n">
        <v>45969</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45152-2023</t>
        </is>
      </c>
      <c r="B2054" s="1" t="n">
        <v>45191</v>
      </c>
      <c r="C2054" s="1" t="n">
        <v>45969</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28005-2024</t>
        </is>
      </c>
      <c r="B2055" s="1" t="n">
        <v>45476</v>
      </c>
      <c r="C2055" s="1" t="n">
        <v>45969</v>
      </c>
      <c r="D2055" t="inlineStr">
        <is>
          <t>VÄRMLANDS LÄN</t>
        </is>
      </c>
      <c r="E2055" t="inlineStr">
        <is>
          <t>TORSBY</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49840-2024</t>
        </is>
      </c>
      <c r="B2056" s="1" t="n">
        <v>45597</v>
      </c>
      <c r="C2056" s="1" t="n">
        <v>45969</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17879-2024</t>
        </is>
      </c>
      <c r="B2057" s="1" t="n">
        <v>45419</v>
      </c>
      <c r="C2057" s="1" t="n">
        <v>45969</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5839-2021</t>
        </is>
      </c>
      <c r="B2058" s="1" t="n">
        <v>44231</v>
      </c>
      <c r="C2058" s="1" t="n">
        <v>45969</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18354-2021</t>
        </is>
      </c>
      <c r="B2059" s="1" t="n">
        <v>44305.56186342592</v>
      </c>
      <c r="C2059" s="1" t="n">
        <v>45969</v>
      </c>
      <c r="D2059" t="inlineStr">
        <is>
          <t>VÄRMLANDS LÄN</t>
        </is>
      </c>
      <c r="E2059" t="inlineStr">
        <is>
          <t>TORSBY</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41322-2022</t>
        </is>
      </c>
      <c r="B2060" s="1" t="n">
        <v>44826</v>
      </c>
      <c r="C2060" s="1" t="n">
        <v>45969</v>
      </c>
      <c r="D2060" t="inlineStr">
        <is>
          <t>VÄRMLANDS LÄN</t>
        </is>
      </c>
      <c r="E2060" t="inlineStr">
        <is>
          <t>TORSBY</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13561-2023</t>
        </is>
      </c>
      <c r="B2061" s="1" t="n">
        <v>45006.47429398148</v>
      </c>
      <c r="C2061" s="1" t="n">
        <v>45969</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54033-2021</t>
        </is>
      </c>
      <c r="B2062" s="1" t="n">
        <v>44470.38454861111</v>
      </c>
      <c r="C2062" s="1" t="n">
        <v>45969</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40718-2022</t>
        </is>
      </c>
      <c r="B2063" s="1" t="n">
        <v>44824.49635416667</v>
      </c>
      <c r="C2063" s="1" t="n">
        <v>45969</v>
      </c>
      <c r="D2063" t="inlineStr">
        <is>
          <t>VÄRMLANDS LÄN</t>
        </is>
      </c>
      <c r="E2063" t="inlineStr">
        <is>
          <t>TORSBY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42701-2022</t>
        </is>
      </c>
      <c r="B2064" s="1" t="n">
        <v>44832</v>
      </c>
      <c r="C2064" s="1" t="n">
        <v>45969</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59613-2024</t>
        </is>
      </c>
      <c r="B2065" s="1" t="n">
        <v>45638</v>
      </c>
      <c r="C2065" s="1" t="n">
        <v>45969</v>
      </c>
      <c r="D2065" t="inlineStr">
        <is>
          <t>VÄRMLANDS LÄN</t>
        </is>
      </c>
      <c r="E2065" t="inlineStr">
        <is>
          <t>TORSBY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67547-2020</t>
        </is>
      </c>
      <c r="B2066" s="1" t="n">
        <v>44181</v>
      </c>
      <c r="C2066" s="1" t="n">
        <v>45969</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37546-2025</t>
        </is>
      </c>
      <c r="B2067" s="1" t="n">
        <v>45879</v>
      </c>
      <c r="C2067" s="1" t="n">
        <v>45969</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37575-2025</t>
        </is>
      </c>
      <c r="B2068" s="1" t="n">
        <v>45880.38028935185</v>
      </c>
      <c r="C2068" s="1" t="n">
        <v>45969</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26042-2024</t>
        </is>
      </c>
      <c r="B2069" s="1" t="n">
        <v>45468.29846064815</v>
      </c>
      <c r="C2069" s="1" t="n">
        <v>45969</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58976-2024</t>
        </is>
      </c>
      <c r="B2070" s="1" t="n">
        <v>45636.6081712963</v>
      </c>
      <c r="C2070" s="1" t="n">
        <v>45969</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54505-2025</t>
        </is>
      </c>
      <c r="B2071" s="1" t="n">
        <v>45965.6169212963</v>
      </c>
      <c r="C2071" s="1" t="n">
        <v>45969</v>
      </c>
      <c r="D2071" t="inlineStr">
        <is>
          <t>VÄRMLANDS LÄN</t>
        </is>
      </c>
      <c r="E2071" t="inlineStr">
        <is>
          <t>TORSBY</t>
        </is>
      </c>
      <c r="F2071" t="inlineStr">
        <is>
          <t>Bergvik skog väst AB</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21390-2023</t>
        </is>
      </c>
      <c r="B2072" s="1" t="n">
        <v>45063</v>
      </c>
      <c r="C2072" s="1" t="n">
        <v>45969</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21409-2023</t>
        </is>
      </c>
      <c r="B2073" s="1" t="n">
        <v>45063</v>
      </c>
      <c r="C2073" s="1" t="n">
        <v>45969</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37878-2025</t>
        </is>
      </c>
      <c r="B2074" s="1" t="n">
        <v>45881</v>
      </c>
      <c r="C2074" s="1" t="n">
        <v>45969</v>
      </c>
      <c r="D2074" t="inlineStr">
        <is>
          <t>VÄRMLANDS LÄN</t>
        </is>
      </c>
      <c r="E2074" t="inlineStr">
        <is>
          <t>TORSBY</t>
        </is>
      </c>
      <c r="F2074" t="inlineStr">
        <is>
          <t>Bergvik skog väst AB</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37904-2025</t>
        </is>
      </c>
      <c r="B2075" s="1" t="n">
        <v>45881</v>
      </c>
      <c r="C2075" s="1" t="n">
        <v>45969</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37927-2025</t>
        </is>
      </c>
      <c r="B2076" s="1" t="n">
        <v>45881.58063657407</v>
      </c>
      <c r="C2076" s="1" t="n">
        <v>45969</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37937-2025</t>
        </is>
      </c>
      <c r="B2077" s="1" t="n">
        <v>45881</v>
      </c>
      <c r="C2077" s="1" t="n">
        <v>45969</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34164-2024</t>
        </is>
      </c>
      <c r="B2078" s="1" t="n">
        <v>45524.41924768518</v>
      </c>
      <c r="C2078" s="1" t="n">
        <v>45969</v>
      </c>
      <c r="D2078" t="inlineStr">
        <is>
          <t>VÄRMLANDS LÄN</t>
        </is>
      </c>
      <c r="E2078" t="inlineStr">
        <is>
          <t>TORSBY</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38165-2025</t>
        </is>
      </c>
      <c r="B2079" s="1" t="n">
        <v>45882.63063657407</v>
      </c>
      <c r="C2079" s="1" t="n">
        <v>45969</v>
      </c>
      <c r="D2079" t="inlineStr">
        <is>
          <t>VÄRMLANDS LÄN</t>
        </is>
      </c>
      <c r="E2079" t="inlineStr">
        <is>
          <t>TORSBY</t>
        </is>
      </c>
      <c r="F2079" t="inlineStr">
        <is>
          <t>Bergvik skog väst AB</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42945-2024</t>
        </is>
      </c>
      <c r="B2080" s="1" t="n">
        <v>45567</v>
      </c>
      <c r="C2080" s="1" t="n">
        <v>45969</v>
      </c>
      <c r="D2080" t="inlineStr">
        <is>
          <t>VÄRMLANDS LÄN</t>
        </is>
      </c>
      <c r="E2080" t="inlineStr">
        <is>
          <t>TORSBY</t>
        </is>
      </c>
      <c r="F2080" t="inlineStr">
        <is>
          <t>Bergvik skog väst AB</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37908-2025</t>
        </is>
      </c>
      <c r="B2081" s="1" t="n">
        <v>45881.5732175926</v>
      </c>
      <c r="C2081" s="1" t="n">
        <v>45969</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37945-2025</t>
        </is>
      </c>
      <c r="B2082" s="1" t="n">
        <v>45881</v>
      </c>
      <c r="C2082" s="1" t="n">
        <v>45969</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8048-2022</t>
        </is>
      </c>
      <c r="B2083" s="1" t="n">
        <v>44609</v>
      </c>
      <c r="C2083" s="1" t="n">
        <v>45969</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54762-2025</t>
        </is>
      </c>
      <c r="B2084" s="1" t="n">
        <v>45966.60082175926</v>
      </c>
      <c r="C2084" s="1" t="n">
        <v>45969</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40788-2022</t>
        </is>
      </c>
      <c r="B2085" s="1" t="n">
        <v>44824</v>
      </c>
      <c r="C2085" s="1" t="n">
        <v>45969</v>
      </c>
      <c r="D2085" t="inlineStr">
        <is>
          <t>VÄRMLANDS LÄN</t>
        </is>
      </c>
      <c r="E2085" t="inlineStr">
        <is>
          <t>TORSBY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44470-2024</t>
        </is>
      </c>
      <c r="B2086" s="1" t="n">
        <v>45574</v>
      </c>
      <c r="C2086" s="1" t="n">
        <v>45969</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38056-2025</t>
        </is>
      </c>
      <c r="B2087" s="1" t="n">
        <v>45882</v>
      </c>
      <c r="C2087" s="1" t="n">
        <v>45969</v>
      </c>
      <c r="D2087" t="inlineStr">
        <is>
          <t>VÄRMLANDS LÄN</t>
        </is>
      </c>
      <c r="E2087" t="inlineStr">
        <is>
          <t>TORSBY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52447-2022</t>
        </is>
      </c>
      <c r="B2088" s="1" t="n">
        <v>44874</v>
      </c>
      <c r="C2088" s="1" t="n">
        <v>45969</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45336.60763888889</v>
      </c>
      <c r="C2089" s="1" t="n">
        <v>45969</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38699-2022</t>
        </is>
      </c>
      <c r="B2090" s="1" t="n">
        <v>44814.53259259259</v>
      </c>
      <c r="C2090" s="1" t="n">
        <v>45969</v>
      </c>
      <c r="D2090" t="inlineStr">
        <is>
          <t>VÄRMLANDS LÄN</t>
        </is>
      </c>
      <c r="E2090" t="inlineStr">
        <is>
          <t>TORSBY</t>
        </is>
      </c>
      <c r="F2090" t="inlineStr">
        <is>
          <t>Bergvik skog väst AB</t>
        </is>
      </c>
      <c r="G2090" t="n">
        <v>22.6</v>
      </c>
      <c r="H2090" t="n">
        <v>0</v>
      </c>
      <c r="I2090" t="n">
        <v>0</v>
      </c>
      <c r="J2090" t="n">
        <v>0</v>
      </c>
      <c r="K2090" t="n">
        <v>0</v>
      </c>
      <c r="L2090" t="n">
        <v>0</v>
      </c>
      <c r="M2090" t="n">
        <v>0</v>
      </c>
      <c r="N2090" t="n">
        <v>0</v>
      </c>
      <c r="O2090" t="n">
        <v>0</v>
      </c>
      <c r="P2090" t="n">
        <v>0</v>
      </c>
      <c r="Q2090" t="n">
        <v>0</v>
      </c>
      <c r="R2090" s="2" t="inlineStr"/>
    </row>
    <row r="2091" ht="15" customHeight="1">
      <c r="A2091" t="inlineStr">
        <is>
          <t>A 34256-2024</t>
        </is>
      </c>
      <c r="B2091" s="1" t="n">
        <v>45524.59434027778</v>
      </c>
      <c r="C2091" s="1" t="n">
        <v>45969</v>
      </c>
      <c r="D2091" t="inlineStr">
        <is>
          <t>VÄRMLANDS LÄN</t>
        </is>
      </c>
      <c r="E2091" t="inlineStr">
        <is>
          <t>TORSBY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43301-2024</t>
        </is>
      </c>
      <c r="B2092" s="1" t="n">
        <v>45568</v>
      </c>
      <c r="C2092" s="1" t="n">
        <v>45969</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20737-2023</t>
        </is>
      </c>
      <c r="B2093" s="1" t="n">
        <v>45058</v>
      </c>
      <c r="C2093" s="1" t="n">
        <v>45969</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22158-2022</t>
        </is>
      </c>
      <c r="B2094" s="1" t="n">
        <v>44708</v>
      </c>
      <c r="C2094" s="1" t="n">
        <v>45969</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50400-2025</t>
        </is>
      </c>
      <c r="B2095" s="1" t="n">
        <v>45944.63516203704</v>
      </c>
      <c r="C2095" s="1" t="n">
        <v>45969</v>
      </c>
      <c r="D2095" t="inlineStr">
        <is>
          <t>VÄRMLANDS LÄN</t>
        </is>
      </c>
      <c r="E2095" t="inlineStr">
        <is>
          <t>TORSBY</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46658-2025</t>
        </is>
      </c>
      <c r="B2096" s="1" t="n">
        <v>45926.49914351852</v>
      </c>
      <c r="C2096" s="1" t="n">
        <v>45969</v>
      </c>
      <c r="D2096" t="inlineStr">
        <is>
          <t>VÄRMLANDS LÄN</t>
        </is>
      </c>
      <c r="E2096" t="inlineStr">
        <is>
          <t>TORSBY</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45969</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46503-2025</t>
        </is>
      </c>
      <c r="B2098" s="1" t="n">
        <v>45925</v>
      </c>
      <c r="C2098" s="1" t="n">
        <v>45969</v>
      </c>
      <c r="D2098" t="inlineStr">
        <is>
          <t>VÄRMLANDS LÄN</t>
        </is>
      </c>
      <c r="E2098" t="inlineStr">
        <is>
          <t>TORSBY</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20130-2023</t>
        </is>
      </c>
      <c r="B2099" s="1" t="n">
        <v>45055.38503472223</v>
      </c>
      <c r="C2099" s="1" t="n">
        <v>45969</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65713-2021</t>
        </is>
      </c>
      <c r="B2100" s="1" t="n">
        <v>44516</v>
      </c>
      <c r="C2100" s="1" t="n">
        <v>45969</v>
      </c>
      <c r="D2100" t="inlineStr">
        <is>
          <t>VÄRMLANDS LÄN</t>
        </is>
      </c>
      <c r="E2100" t="inlineStr">
        <is>
          <t>TORSBY</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46702-2025</t>
        </is>
      </c>
      <c r="B2101" s="1" t="n">
        <v>45926</v>
      </c>
      <c r="C2101" s="1" t="n">
        <v>45969</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55178-2025</t>
        </is>
      </c>
      <c r="B2102" s="1" t="n">
        <v>45968.52921296296</v>
      </c>
      <c r="C2102" s="1" t="n">
        <v>45969</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46243-2025</t>
        </is>
      </c>
      <c r="B2103" s="1" t="n">
        <v>45925.32122685185</v>
      </c>
      <c r="C2103" s="1" t="n">
        <v>45969</v>
      </c>
      <c r="D2103" t="inlineStr">
        <is>
          <t>VÄRMLANDS LÄN</t>
        </is>
      </c>
      <c r="E2103" t="inlineStr">
        <is>
          <t>TORSBY</t>
        </is>
      </c>
      <c r="F2103" t="inlineStr">
        <is>
          <t>Bergvik skog väst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54996-2025</t>
        </is>
      </c>
      <c r="B2104" s="1" t="n">
        <v>45967</v>
      </c>
      <c r="C2104" s="1" t="n">
        <v>45969</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46493-2025</t>
        </is>
      </c>
      <c r="B2105" s="1" t="n">
        <v>45925</v>
      </c>
      <c r="C2105" s="1" t="n">
        <v>45969</v>
      </c>
      <c r="D2105" t="inlineStr">
        <is>
          <t>VÄRMLANDS LÄN</t>
        </is>
      </c>
      <c r="E2105" t="inlineStr">
        <is>
          <t>TORSBY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46550-2025</t>
        </is>
      </c>
      <c r="B2106" s="1" t="n">
        <v>45926</v>
      </c>
      <c r="C2106" s="1" t="n">
        <v>45969</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53714-2025</t>
        </is>
      </c>
      <c r="B2107" s="1" t="n">
        <v>45960</v>
      </c>
      <c r="C2107" s="1" t="n">
        <v>45969</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55071-2025</t>
        </is>
      </c>
      <c r="B2108" s="1" t="n">
        <v>45967</v>
      </c>
      <c r="C2108" s="1" t="n">
        <v>45969</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46695-2025</t>
        </is>
      </c>
      <c r="B2109" s="1" t="n">
        <v>45926</v>
      </c>
      <c r="C2109" s="1" t="n">
        <v>45969</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49453-2025</t>
        </is>
      </c>
      <c r="B2110" s="1" t="n">
        <v>45939</v>
      </c>
      <c r="C2110" s="1" t="n">
        <v>45969</v>
      </c>
      <c r="D2110" t="inlineStr">
        <is>
          <t>VÄRMLANDS LÄN</t>
        </is>
      </c>
      <c r="E2110" t="inlineStr">
        <is>
          <t>TORSBY</t>
        </is>
      </c>
      <c r="F2110" t="inlineStr">
        <is>
          <t>Bergvik skog väst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49636-2025</t>
        </is>
      </c>
      <c r="B2111" s="1" t="n">
        <v>45939</v>
      </c>
      <c r="C2111" s="1" t="n">
        <v>45969</v>
      </c>
      <c r="D2111" t="inlineStr">
        <is>
          <t>VÄRMLANDS LÄN</t>
        </is>
      </c>
      <c r="E2111" t="inlineStr">
        <is>
          <t>TORSBY</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55269-2025</t>
        </is>
      </c>
      <c r="B2112" s="1" t="n">
        <v>45968.67199074074</v>
      </c>
      <c r="C2112" s="1" t="n">
        <v>45969</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54692-2025</t>
        </is>
      </c>
      <c r="B2113" s="1" t="n">
        <v>45966</v>
      </c>
      <c r="C2113" s="1" t="n">
        <v>45969</v>
      </c>
      <c r="D2113" t="inlineStr">
        <is>
          <t>VÄRMLANDS LÄN</t>
        </is>
      </c>
      <c r="E2113" t="inlineStr">
        <is>
          <t>TORSBY</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46334-2025</t>
        </is>
      </c>
      <c r="B2114" s="1" t="n">
        <v>45925.45925925926</v>
      </c>
      <c r="C2114" s="1" t="n">
        <v>45969</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55139-2025</t>
        </is>
      </c>
      <c r="B2115" s="1" t="n">
        <v>45968.42827546296</v>
      </c>
      <c r="C2115" s="1" t="n">
        <v>45969</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54780-2025</t>
        </is>
      </c>
      <c r="B2116" s="1" t="n">
        <v>45966</v>
      </c>
      <c r="C2116" s="1" t="n">
        <v>45969</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55177-2025</t>
        </is>
      </c>
      <c r="B2117" s="1" t="n">
        <v>45968.51857638889</v>
      </c>
      <c r="C2117" s="1" t="n">
        <v>45969</v>
      </c>
      <c r="D2117" t="inlineStr">
        <is>
          <t>VÄRMLANDS LÄN</t>
        </is>
      </c>
      <c r="E2117" t="inlineStr">
        <is>
          <t>TORSBY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49854-2025</t>
        </is>
      </c>
      <c r="B2118" s="1" t="n">
        <v>45940.50342592593</v>
      </c>
      <c r="C2118" s="1" t="n">
        <v>45969</v>
      </c>
      <c r="D2118" t="inlineStr">
        <is>
          <t>VÄRMLANDS LÄN</t>
        </is>
      </c>
      <c r="E2118" t="inlineStr">
        <is>
          <t>TORSBY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46326-2025</t>
        </is>
      </c>
      <c r="B2119" s="1" t="n">
        <v>45925.45237268518</v>
      </c>
      <c r="C2119" s="1" t="n">
        <v>45969</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46578-2025</t>
        </is>
      </c>
      <c r="B2120" s="1" t="n">
        <v>45926.37353009259</v>
      </c>
      <c r="C2120" s="1" t="n">
        <v>45969</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c r="A2121" t="inlineStr">
        <is>
          <t>A 46293-2025</t>
        </is>
      </c>
      <c r="B2121" s="1" t="n">
        <v>45925.39297453704</v>
      </c>
      <c r="C2121" s="1" t="n">
        <v>45969</v>
      </c>
      <c r="D2121" t="inlineStr">
        <is>
          <t>VÄRMLANDS LÄN</t>
        </is>
      </c>
      <c r="E2121" t="inlineStr">
        <is>
          <t>TORSBY</t>
        </is>
      </c>
      <c r="G2121" t="n">
        <v>24.3</v>
      </c>
      <c r="H2121" t="n">
        <v>0</v>
      </c>
      <c r="I2121" t="n">
        <v>0</v>
      </c>
      <c r="J2121" t="n">
        <v>0</v>
      </c>
      <c r="K2121" t="n">
        <v>0</v>
      </c>
      <c r="L2121" t="n">
        <v>0</v>
      </c>
      <c r="M2121" t="n">
        <v>0</v>
      </c>
      <c r="N2121" t="n">
        <v>0</v>
      </c>
      <c r="O2121" t="n">
        <v>0</v>
      </c>
      <c r="P2121" t="n">
        <v>0</v>
      </c>
      <c r="Q2121" t="n">
        <v>0</v>
      </c>
      <c r="R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2025-11-08T10:07:48Z</dcterms:created>
  <dcterms:modified xmlns:dcterms="http://purl.org/dc/terms/" xmlns:xsi="http://www.w3.org/2001/XMLSchema-instance" xsi:type="dcterms:W3CDTF">2025-11-08T10:07:50Z</dcterms:modified>
</cp:coreProperties>
</file>