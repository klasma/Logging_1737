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45711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45711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45711</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45711</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45711</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45711</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45711</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45711</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45711</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45711</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45711</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45711</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45711</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45711</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45711</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45711</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45711</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45711</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45711</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45711</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45711</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45711</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45711</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45711</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45711</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45711</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45711</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45711</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45711</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45711</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45711</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45711</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45711</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45711</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45711</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45711</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45711</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45711</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45711</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45711</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45711</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45711</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45711</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45711</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45711</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45711</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45711</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45711</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45711</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45711</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45711</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45711</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45711</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45711</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45711</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45711</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45711</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45711</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45711</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45711</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45711</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45711</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45711</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45711</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45711</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45711</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45711</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45711</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45711</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45711</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45711</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45711</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45711</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45711</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45711</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45711</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45711</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45711</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45711</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45711</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53198-2020</t>
        </is>
      </c>
      <c r="B82" s="1" t="n">
        <v>44122</v>
      </c>
      <c r="C82" s="1" t="n">
        <v>45711</v>
      </c>
      <c r="D82" t="inlineStr">
        <is>
          <t>VÄRMLANDS LÄN</t>
        </is>
      </c>
      <c r="E82" t="inlineStr">
        <is>
          <t>TORSBY</t>
        </is>
      </c>
      <c r="G82" t="n">
        <v>6.5</v>
      </c>
      <c r="H82" t="n">
        <v>0</v>
      </c>
      <c r="I82" t="n">
        <v>0</v>
      </c>
      <c r="J82" t="n">
        <v>2</v>
      </c>
      <c r="K82" t="n">
        <v>0</v>
      </c>
      <c r="L82" t="n">
        <v>0</v>
      </c>
      <c r="M82" t="n">
        <v>0</v>
      </c>
      <c r="N82" t="n">
        <v>0</v>
      </c>
      <c r="O82" t="n">
        <v>2</v>
      </c>
      <c r="P82" t="n">
        <v>0</v>
      </c>
      <c r="Q82" t="n">
        <v>2</v>
      </c>
      <c r="R82" s="2" t="inlineStr">
        <is>
          <t>Garnlav
Kolflarnlav</t>
        </is>
      </c>
      <c r="S82">
        <f>HYPERLINK("https://klasma.github.io/Logging_1737/artfynd/A 53198-2020 artfynd.xlsx", "A 53198-2020")</f>
        <v/>
      </c>
      <c r="T82">
        <f>HYPERLINK("https://klasma.github.io/Logging_1737/kartor/A 53198-2020 karta.png", "A 53198-2020")</f>
        <v/>
      </c>
      <c r="V82">
        <f>HYPERLINK("https://klasma.github.io/Logging_1737/klagomål/A 53198-2020 FSC-klagomål.docx", "A 53198-2020")</f>
        <v/>
      </c>
      <c r="W82">
        <f>HYPERLINK("https://klasma.github.io/Logging_1737/klagomålsmail/A 53198-2020 FSC-klagomål mail.docx", "A 53198-2020")</f>
        <v/>
      </c>
      <c r="X82">
        <f>HYPERLINK("https://klasma.github.io/Logging_1737/tillsyn/A 53198-2020 tillsynsbegäran.docx", "A 53198-2020")</f>
        <v/>
      </c>
      <c r="Y82">
        <f>HYPERLINK("https://klasma.github.io/Logging_1737/tillsynsmail/A 53198-2020 tillsynsbegäran mail.docx", "A 53198-2020")</f>
        <v/>
      </c>
    </row>
    <row r="83" ht="15" customHeight="1">
      <c r="A83" t="inlineStr">
        <is>
          <t>A 1524-2021</t>
        </is>
      </c>
      <c r="B83" s="1" t="n">
        <v>44209</v>
      </c>
      <c r="C83" s="1" t="n">
        <v>45711</v>
      </c>
      <c r="D83" t="inlineStr">
        <is>
          <t>VÄRMLANDS LÄN</t>
        </is>
      </c>
      <c r="E83" t="inlineStr">
        <is>
          <t>TORSBY</t>
        </is>
      </c>
      <c r="G83" t="n">
        <v>1</v>
      </c>
      <c r="H83" t="n">
        <v>0</v>
      </c>
      <c r="I83" t="n">
        <v>2</v>
      </c>
      <c r="J83" t="n">
        <v>0</v>
      </c>
      <c r="K83" t="n">
        <v>0</v>
      </c>
      <c r="L83" t="n">
        <v>0</v>
      </c>
      <c r="M83" t="n">
        <v>0</v>
      </c>
      <c r="N83" t="n">
        <v>0</v>
      </c>
      <c r="O83" t="n">
        <v>0</v>
      </c>
      <c r="P83" t="n">
        <v>0</v>
      </c>
      <c r="Q83" t="n">
        <v>2</v>
      </c>
      <c r="R83" s="2" t="inlineStr">
        <is>
          <t>Dropptaggsvamp
Skarp dropptaggsvamp</t>
        </is>
      </c>
      <c r="S83">
        <f>HYPERLINK("https://klasma.github.io/Logging_1737/artfynd/A 1524-2021 artfynd.xlsx", "A 1524-2021")</f>
        <v/>
      </c>
      <c r="T83">
        <f>HYPERLINK("https://klasma.github.io/Logging_1737/kartor/A 1524-2021 karta.png", "A 1524-2021")</f>
        <v/>
      </c>
      <c r="V83">
        <f>HYPERLINK("https://klasma.github.io/Logging_1737/klagomål/A 1524-2021 FSC-klagomål.docx", "A 1524-2021")</f>
        <v/>
      </c>
      <c r="W83">
        <f>HYPERLINK("https://klasma.github.io/Logging_1737/klagomålsmail/A 1524-2021 FSC-klagomål mail.docx", "A 1524-2021")</f>
        <v/>
      </c>
      <c r="X83">
        <f>HYPERLINK("https://klasma.github.io/Logging_1737/tillsyn/A 1524-2021 tillsynsbegäran.docx", "A 1524-2021")</f>
        <v/>
      </c>
      <c r="Y83">
        <f>HYPERLINK("https://klasma.github.io/Logging_1737/tillsynsmail/A 1524-2021 tillsynsbegäran mail.docx", "A 1524-2021")</f>
        <v/>
      </c>
    </row>
    <row r="84" ht="15" customHeight="1">
      <c r="A84" t="inlineStr">
        <is>
          <t>A 43023-2021</t>
        </is>
      </c>
      <c r="B84" s="1" t="n">
        <v>44431</v>
      </c>
      <c r="C84" s="1" t="n">
        <v>45711</v>
      </c>
      <c r="D84" t="inlineStr">
        <is>
          <t>VÄRMLANDS LÄN</t>
        </is>
      </c>
      <c r="E84" t="inlineStr">
        <is>
          <t>TORSBY</t>
        </is>
      </c>
      <c r="G84" t="n">
        <v>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43023-2021 artfynd.xlsx", "A 43023-2021")</f>
        <v/>
      </c>
      <c r="T84">
        <f>HYPERLINK("https://klasma.github.io/Logging_1737/kartor/A 43023-2021 karta.png", "A 43023-2021")</f>
        <v/>
      </c>
      <c r="V84">
        <f>HYPERLINK("https://klasma.github.io/Logging_1737/klagomål/A 43023-2021 FSC-klagomål.docx", "A 43023-2021")</f>
        <v/>
      </c>
      <c r="W84">
        <f>HYPERLINK("https://klasma.github.io/Logging_1737/klagomålsmail/A 43023-2021 FSC-klagomål mail.docx", "A 43023-2021")</f>
        <v/>
      </c>
      <c r="X84">
        <f>HYPERLINK("https://klasma.github.io/Logging_1737/tillsyn/A 43023-2021 tillsynsbegäran.docx", "A 43023-2021")</f>
        <v/>
      </c>
      <c r="Y84">
        <f>HYPERLINK("https://klasma.github.io/Logging_1737/tillsynsmail/A 43023-2021 tillsynsbegäran mail.docx", "A 43023-2021")</f>
        <v/>
      </c>
    </row>
    <row r="85" ht="15" customHeight="1">
      <c r="A85" t="inlineStr">
        <is>
          <t>A 12375-2022</t>
        </is>
      </c>
      <c r="B85" s="1" t="n">
        <v>44637</v>
      </c>
      <c r="C85" s="1" t="n">
        <v>45711</v>
      </c>
      <c r="D85" t="inlineStr">
        <is>
          <t>VÄRMLANDS LÄN</t>
        </is>
      </c>
      <c r="E85" t="inlineStr">
        <is>
          <t>TORSBY</t>
        </is>
      </c>
      <c r="G85" t="n">
        <v>5.8</v>
      </c>
      <c r="H85" t="n">
        <v>0</v>
      </c>
      <c r="I85" t="n">
        <v>1</v>
      </c>
      <c r="J85" t="n">
        <v>1</v>
      </c>
      <c r="K85" t="n">
        <v>0</v>
      </c>
      <c r="L85" t="n">
        <v>0</v>
      </c>
      <c r="M85" t="n">
        <v>0</v>
      </c>
      <c r="N85" t="n">
        <v>0</v>
      </c>
      <c r="O85" t="n">
        <v>1</v>
      </c>
      <c r="P85" t="n">
        <v>0</v>
      </c>
      <c r="Q85" t="n">
        <v>2</v>
      </c>
      <c r="R85" s="2" t="inlineStr">
        <is>
          <t>Garnlav
Nästlav</t>
        </is>
      </c>
      <c r="S85">
        <f>HYPERLINK("https://klasma.github.io/Logging_1737/artfynd/A 12375-2022 artfynd.xlsx", "A 12375-2022")</f>
        <v/>
      </c>
      <c r="T85">
        <f>HYPERLINK("https://klasma.github.io/Logging_1737/kartor/A 12375-2022 karta.png", "A 12375-2022")</f>
        <v/>
      </c>
      <c r="V85">
        <f>HYPERLINK("https://klasma.github.io/Logging_1737/klagomål/A 12375-2022 FSC-klagomål.docx", "A 12375-2022")</f>
        <v/>
      </c>
      <c r="W85">
        <f>HYPERLINK("https://klasma.github.io/Logging_1737/klagomålsmail/A 12375-2022 FSC-klagomål mail.docx", "A 12375-2022")</f>
        <v/>
      </c>
      <c r="X85">
        <f>HYPERLINK("https://klasma.github.io/Logging_1737/tillsyn/A 12375-2022 tillsynsbegäran.docx", "A 12375-2022")</f>
        <v/>
      </c>
      <c r="Y85">
        <f>HYPERLINK("https://klasma.github.io/Logging_1737/tillsynsmail/A 12375-2022 tillsynsbegäran mail.docx", "A 12375-2022")</f>
        <v/>
      </c>
    </row>
    <row r="86" ht="15" customHeight="1">
      <c r="A86" t="inlineStr">
        <is>
          <t>A 12372-2022</t>
        </is>
      </c>
      <c r="B86" s="1" t="n">
        <v>44637</v>
      </c>
      <c r="C86" s="1" t="n">
        <v>45711</v>
      </c>
      <c r="D86" t="inlineStr">
        <is>
          <t>VÄRMLANDS LÄN</t>
        </is>
      </c>
      <c r="E86" t="inlineStr">
        <is>
          <t>TORSBY</t>
        </is>
      </c>
      <c r="G86" t="n">
        <v>3.4</v>
      </c>
      <c r="H86" t="n">
        <v>0</v>
      </c>
      <c r="I86" t="n">
        <v>0</v>
      </c>
      <c r="J86" t="n">
        <v>2</v>
      </c>
      <c r="K86" t="n">
        <v>0</v>
      </c>
      <c r="L86" t="n">
        <v>0</v>
      </c>
      <c r="M86" t="n">
        <v>0</v>
      </c>
      <c r="N86" t="n">
        <v>0</v>
      </c>
      <c r="O86" t="n">
        <v>2</v>
      </c>
      <c r="P86" t="n">
        <v>0</v>
      </c>
      <c r="Q86" t="n">
        <v>2</v>
      </c>
      <c r="R86" s="2" t="inlineStr">
        <is>
          <t>Gammelgransskål
Garnlav</t>
        </is>
      </c>
      <c r="S86">
        <f>HYPERLINK("https://klasma.github.io/Logging_1737/artfynd/A 12372-2022 artfynd.xlsx", "A 12372-2022")</f>
        <v/>
      </c>
      <c r="T86">
        <f>HYPERLINK("https://klasma.github.io/Logging_1737/kartor/A 12372-2022 karta.png", "A 12372-2022")</f>
        <v/>
      </c>
      <c r="V86">
        <f>HYPERLINK("https://klasma.github.io/Logging_1737/klagomål/A 12372-2022 FSC-klagomål.docx", "A 12372-2022")</f>
        <v/>
      </c>
      <c r="W86">
        <f>HYPERLINK("https://klasma.github.io/Logging_1737/klagomålsmail/A 12372-2022 FSC-klagomål mail.docx", "A 12372-2022")</f>
        <v/>
      </c>
      <c r="X86">
        <f>HYPERLINK("https://klasma.github.io/Logging_1737/tillsyn/A 12372-2022 tillsynsbegäran.docx", "A 12372-2022")</f>
        <v/>
      </c>
      <c r="Y86">
        <f>HYPERLINK("https://klasma.github.io/Logging_1737/tillsynsmail/A 12372-2022 tillsynsbegäran mail.docx", "A 12372-2022")</f>
        <v/>
      </c>
    </row>
    <row r="87" ht="15" customHeight="1">
      <c r="A87" t="inlineStr">
        <is>
          <t>A 22174-2022</t>
        </is>
      </c>
      <c r="B87" s="1" t="n">
        <v>44712</v>
      </c>
      <c r="C87" s="1" t="n">
        <v>45711</v>
      </c>
      <c r="D87" t="inlineStr">
        <is>
          <t>VÄRMLANDS LÄN</t>
        </is>
      </c>
      <c r="E87" t="inlineStr">
        <is>
          <t>TORSBY</t>
        </is>
      </c>
      <c r="G87" t="n">
        <v>11</v>
      </c>
      <c r="H87" t="n">
        <v>1</v>
      </c>
      <c r="I87" t="n">
        <v>1</v>
      </c>
      <c r="J87" t="n">
        <v>0</v>
      </c>
      <c r="K87" t="n">
        <v>0</v>
      </c>
      <c r="L87" t="n">
        <v>0</v>
      </c>
      <c r="M87" t="n">
        <v>0</v>
      </c>
      <c r="N87" t="n">
        <v>0</v>
      </c>
      <c r="O87" t="n">
        <v>0</v>
      </c>
      <c r="P87" t="n">
        <v>0</v>
      </c>
      <c r="Q87" t="n">
        <v>2</v>
      </c>
      <c r="R87" s="2" t="inlineStr">
        <is>
          <t>Svart trolldruva
Revlummer</t>
        </is>
      </c>
      <c r="S87">
        <f>HYPERLINK("https://klasma.github.io/Logging_1737/artfynd/A 22174-2022 artfynd.xlsx", "A 22174-2022")</f>
        <v/>
      </c>
      <c r="T87">
        <f>HYPERLINK("https://klasma.github.io/Logging_1737/kartor/A 22174-2022 karta.png", "A 22174-2022")</f>
        <v/>
      </c>
      <c r="V87">
        <f>HYPERLINK("https://klasma.github.io/Logging_1737/klagomål/A 22174-2022 FSC-klagomål.docx", "A 22174-2022")</f>
        <v/>
      </c>
      <c r="W87">
        <f>HYPERLINK("https://klasma.github.io/Logging_1737/klagomålsmail/A 22174-2022 FSC-klagomål mail.docx", "A 22174-2022")</f>
        <v/>
      </c>
      <c r="X87">
        <f>HYPERLINK("https://klasma.github.io/Logging_1737/tillsyn/A 22174-2022 tillsynsbegäran.docx", "A 22174-2022")</f>
        <v/>
      </c>
      <c r="Y87">
        <f>HYPERLINK("https://klasma.github.io/Logging_1737/tillsynsmail/A 22174-2022 tillsynsbegäran mail.docx", "A 22174-2022")</f>
        <v/>
      </c>
    </row>
    <row r="88" ht="15" customHeight="1">
      <c r="A88" t="inlineStr">
        <is>
          <t>A 28156-2022</t>
        </is>
      </c>
      <c r="B88" s="1" t="n">
        <v>44746</v>
      </c>
      <c r="C88" s="1" t="n">
        <v>45711</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34930-2022</t>
        </is>
      </c>
      <c r="B89" s="1" t="n">
        <v>44796</v>
      </c>
      <c r="C89" s="1" t="n">
        <v>45711</v>
      </c>
      <c r="D89" t="inlineStr">
        <is>
          <t>VÄRMLANDS LÄN</t>
        </is>
      </c>
      <c r="E89" t="inlineStr">
        <is>
          <t>TORSBY</t>
        </is>
      </c>
      <c r="G89" t="n">
        <v>3.3</v>
      </c>
      <c r="H89" t="n">
        <v>0</v>
      </c>
      <c r="I89" t="n">
        <v>2</v>
      </c>
      <c r="J89" t="n">
        <v>0</v>
      </c>
      <c r="K89" t="n">
        <v>0</v>
      </c>
      <c r="L89" t="n">
        <v>0</v>
      </c>
      <c r="M89" t="n">
        <v>0</v>
      </c>
      <c r="N89" t="n">
        <v>0</v>
      </c>
      <c r="O89" t="n">
        <v>0</v>
      </c>
      <c r="P89" t="n">
        <v>0</v>
      </c>
      <c r="Q89" t="n">
        <v>2</v>
      </c>
      <c r="R89" s="2" t="inlineStr">
        <is>
          <t>Mörk husmossa
Terpentinmossa</t>
        </is>
      </c>
      <c r="S89">
        <f>HYPERLINK("https://klasma.github.io/Logging_1737/artfynd/A 34930-2022 artfynd.xlsx", "A 34930-2022")</f>
        <v/>
      </c>
      <c r="T89">
        <f>HYPERLINK("https://klasma.github.io/Logging_1737/kartor/A 34930-2022 karta.png", "A 34930-2022")</f>
        <v/>
      </c>
      <c r="V89">
        <f>HYPERLINK("https://klasma.github.io/Logging_1737/klagomål/A 34930-2022 FSC-klagomål.docx", "A 34930-2022")</f>
        <v/>
      </c>
      <c r="W89">
        <f>HYPERLINK("https://klasma.github.io/Logging_1737/klagomålsmail/A 34930-2022 FSC-klagomål mail.docx", "A 34930-2022")</f>
        <v/>
      </c>
      <c r="X89">
        <f>HYPERLINK("https://klasma.github.io/Logging_1737/tillsyn/A 34930-2022 tillsynsbegäran.docx", "A 34930-2022")</f>
        <v/>
      </c>
      <c r="Y89">
        <f>HYPERLINK("https://klasma.github.io/Logging_1737/tillsynsmail/A 34930-2022 tillsynsbegäran mail.docx", "A 34930-2022")</f>
        <v/>
      </c>
    </row>
    <row r="90" ht="15" customHeight="1">
      <c r="A90" t="inlineStr">
        <is>
          <t>A 2000-2023</t>
        </is>
      </c>
      <c r="B90" s="1" t="n">
        <v>44939</v>
      </c>
      <c r="C90" s="1" t="n">
        <v>45711</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4718-2023</t>
        </is>
      </c>
      <c r="B91" s="1" t="n">
        <v>44957</v>
      </c>
      <c r="C91" s="1" t="n">
        <v>45711</v>
      </c>
      <c r="D91" t="inlineStr">
        <is>
          <t>VÄRMLANDS LÄN</t>
        </is>
      </c>
      <c r="E91" t="inlineStr">
        <is>
          <t>TORSBY</t>
        </is>
      </c>
      <c r="G91" t="n">
        <v>8.5</v>
      </c>
      <c r="H91" t="n">
        <v>0</v>
      </c>
      <c r="I91" t="n">
        <v>0</v>
      </c>
      <c r="J91" t="n">
        <v>2</v>
      </c>
      <c r="K91" t="n">
        <v>0</v>
      </c>
      <c r="L91" t="n">
        <v>0</v>
      </c>
      <c r="M91" t="n">
        <v>0</v>
      </c>
      <c r="N91" t="n">
        <v>0</v>
      </c>
      <c r="O91" t="n">
        <v>2</v>
      </c>
      <c r="P91" t="n">
        <v>0</v>
      </c>
      <c r="Q91" t="n">
        <v>2</v>
      </c>
      <c r="R91" s="2" t="inlineStr">
        <is>
          <t>Garnlav
Violettgrå tagellav</t>
        </is>
      </c>
      <c r="S91">
        <f>HYPERLINK("https://klasma.github.io/Logging_1737/artfynd/A 4718-2023 artfynd.xlsx", "A 4718-2023")</f>
        <v/>
      </c>
      <c r="T91">
        <f>HYPERLINK("https://klasma.github.io/Logging_1737/kartor/A 4718-2023 karta.png", "A 4718-2023")</f>
        <v/>
      </c>
      <c r="V91">
        <f>HYPERLINK("https://klasma.github.io/Logging_1737/klagomål/A 4718-2023 FSC-klagomål.docx", "A 4718-2023")</f>
        <v/>
      </c>
      <c r="W91">
        <f>HYPERLINK("https://klasma.github.io/Logging_1737/klagomålsmail/A 4718-2023 FSC-klagomål mail.docx", "A 4718-2023")</f>
        <v/>
      </c>
      <c r="X91">
        <f>HYPERLINK("https://klasma.github.io/Logging_1737/tillsyn/A 4718-2023 tillsynsbegäran.docx", "A 4718-2023")</f>
        <v/>
      </c>
      <c r="Y91">
        <f>HYPERLINK("https://klasma.github.io/Logging_1737/tillsynsmail/A 4718-2023 tillsynsbegäran mail.docx", "A 4718-2023")</f>
        <v/>
      </c>
    </row>
    <row r="92" ht="15" customHeight="1">
      <c r="A92" t="inlineStr">
        <is>
          <t>A 13364-2023</t>
        </is>
      </c>
      <c r="B92" s="1" t="n">
        <v>45005</v>
      </c>
      <c r="C92" s="1" t="n">
        <v>45711</v>
      </c>
      <c r="D92" t="inlineStr">
        <is>
          <t>VÄRMLANDS LÄN</t>
        </is>
      </c>
      <c r="E92" t="inlineStr">
        <is>
          <t>TORSBY</t>
        </is>
      </c>
      <c r="G92" t="n">
        <v>16.3</v>
      </c>
      <c r="H92" t="n">
        <v>0</v>
      </c>
      <c r="I92" t="n">
        <v>1</v>
      </c>
      <c r="J92" t="n">
        <v>1</v>
      </c>
      <c r="K92" t="n">
        <v>0</v>
      </c>
      <c r="L92" t="n">
        <v>0</v>
      </c>
      <c r="M92" t="n">
        <v>0</v>
      </c>
      <c r="N92" t="n">
        <v>0</v>
      </c>
      <c r="O92" t="n">
        <v>1</v>
      </c>
      <c r="P92" t="n">
        <v>0</v>
      </c>
      <c r="Q92" t="n">
        <v>2</v>
      </c>
      <c r="R92" s="2" t="inlineStr">
        <is>
          <t>Mörk kolflarnlav
Dropptaggsvamp</t>
        </is>
      </c>
      <c r="S92">
        <f>HYPERLINK("https://klasma.github.io/Logging_1737/artfynd/A 13364-2023 artfynd.xlsx", "A 13364-2023")</f>
        <v/>
      </c>
      <c r="T92">
        <f>HYPERLINK("https://klasma.github.io/Logging_1737/kartor/A 13364-2023 karta.png", "A 13364-2023")</f>
        <v/>
      </c>
      <c r="V92">
        <f>HYPERLINK("https://klasma.github.io/Logging_1737/klagomål/A 13364-2023 FSC-klagomål.docx", "A 13364-2023")</f>
        <v/>
      </c>
      <c r="W92">
        <f>HYPERLINK("https://klasma.github.io/Logging_1737/klagomålsmail/A 13364-2023 FSC-klagomål mail.docx", "A 13364-2023")</f>
        <v/>
      </c>
      <c r="X92">
        <f>HYPERLINK("https://klasma.github.io/Logging_1737/tillsyn/A 13364-2023 tillsynsbegäran.docx", "A 13364-2023")</f>
        <v/>
      </c>
      <c r="Y92">
        <f>HYPERLINK("https://klasma.github.io/Logging_1737/tillsynsmail/A 13364-2023 tillsynsbegäran mail.docx", "A 13364-2023")</f>
        <v/>
      </c>
    </row>
    <row r="93" ht="15" customHeight="1">
      <c r="A93" t="inlineStr">
        <is>
          <t>A 16414-2023</t>
        </is>
      </c>
      <c r="B93" s="1" t="n">
        <v>45022</v>
      </c>
      <c r="C93" s="1" t="n">
        <v>45711</v>
      </c>
      <c r="D93" t="inlineStr">
        <is>
          <t>VÄRMLANDS LÄN</t>
        </is>
      </c>
      <c r="E93" t="inlineStr">
        <is>
          <t>TORSBY</t>
        </is>
      </c>
      <c r="G93" t="n">
        <v>8.800000000000001</v>
      </c>
      <c r="H93" t="n">
        <v>2</v>
      </c>
      <c r="I93" t="n">
        <v>0</v>
      </c>
      <c r="J93" t="n">
        <v>2</v>
      </c>
      <c r="K93" t="n">
        <v>0</v>
      </c>
      <c r="L93" t="n">
        <v>0</v>
      </c>
      <c r="M93" t="n">
        <v>0</v>
      </c>
      <c r="N93" t="n">
        <v>0</v>
      </c>
      <c r="O93" t="n">
        <v>2</v>
      </c>
      <c r="P93" t="n">
        <v>0</v>
      </c>
      <c r="Q93" t="n">
        <v>2</v>
      </c>
      <c r="R93" s="2" t="inlineStr">
        <is>
          <t>Spillkråka
Talltita</t>
        </is>
      </c>
      <c r="S93">
        <f>HYPERLINK("https://klasma.github.io/Logging_1737/artfynd/A 16414-2023 artfynd.xlsx", "A 16414-2023")</f>
        <v/>
      </c>
      <c r="T93">
        <f>HYPERLINK("https://klasma.github.io/Logging_1737/kartor/A 16414-2023 karta.png", "A 16414-2023")</f>
        <v/>
      </c>
      <c r="V93">
        <f>HYPERLINK("https://klasma.github.io/Logging_1737/klagomål/A 16414-2023 FSC-klagomål.docx", "A 16414-2023")</f>
        <v/>
      </c>
      <c r="W93">
        <f>HYPERLINK("https://klasma.github.io/Logging_1737/klagomålsmail/A 16414-2023 FSC-klagomål mail.docx", "A 16414-2023")</f>
        <v/>
      </c>
      <c r="X93">
        <f>HYPERLINK("https://klasma.github.io/Logging_1737/tillsyn/A 16414-2023 tillsynsbegäran.docx", "A 16414-2023")</f>
        <v/>
      </c>
      <c r="Y93">
        <f>HYPERLINK("https://klasma.github.io/Logging_1737/tillsynsmail/A 16414-2023 tillsynsbegäran mail.docx", "A 16414-2023")</f>
        <v/>
      </c>
      <c r="Z93">
        <f>HYPERLINK("https://klasma.github.io/Logging_1737/fåglar/A 16414-2023 prioriterade fågelarter.docx", "A 16414-2023")</f>
        <v/>
      </c>
    </row>
    <row r="94" ht="15" customHeight="1">
      <c r="A94" t="inlineStr">
        <is>
          <t>A 16442-2023</t>
        </is>
      </c>
      <c r="B94" s="1" t="n">
        <v>45026</v>
      </c>
      <c r="C94" s="1" t="n">
        <v>45711</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42610-2023</t>
        </is>
      </c>
      <c r="B95" s="1" t="n">
        <v>45181</v>
      </c>
      <c r="C95" s="1" t="n">
        <v>45711</v>
      </c>
      <c r="D95" t="inlineStr">
        <is>
          <t>VÄRMLANDS LÄN</t>
        </is>
      </c>
      <c r="E95" t="inlineStr">
        <is>
          <t>TORSBY</t>
        </is>
      </c>
      <c r="G95" t="n">
        <v>16.9</v>
      </c>
      <c r="H95" t="n">
        <v>1</v>
      </c>
      <c r="I95" t="n">
        <v>0</v>
      </c>
      <c r="J95" t="n">
        <v>1</v>
      </c>
      <c r="K95" t="n">
        <v>0</v>
      </c>
      <c r="L95" t="n">
        <v>0</v>
      </c>
      <c r="M95" t="n">
        <v>0</v>
      </c>
      <c r="N95" t="n">
        <v>0</v>
      </c>
      <c r="O95" t="n">
        <v>1</v>
      </c>
      <c r="P95" t="n">
        <v>0</v>
      </c>
      <c r="Q95" t="n">
        <v>2</v>
      </c>
      <c r="R95" s="2" t="inlineStr">
        <is>
          <t>Garnlav
Tjäder</t>
        </is>
      </c>
      <c r="S95">
        <f>HYPERLINK("https://klasma.github.io/Logging_1737/artfynd/A 42610-2023 artfynd.xlsx", "A 42610-2023")</f>
        <v/>
      </c>
      <c r="T95">
        <f>HYPERLINK("https://klasma.github.io/Logging_1737/kartor/A 42610-2023 karta.png", "A 42610-2023")</f>
        <v/>
      </c>
      <c r="V95">
        <f>HYPERLINK("https://klasma.github.io/Logging_1737/klagomål/A 42610-2023 FSC-klagomål.docx", "A 42610-2023")</f>
        <v/>
      </c>
      <c r="W95">
        <f>HYPERLINK("https://klasma.github.io/Logging_1737/klagomålsmail/A 42610-2023 FSC-klagomål mail.docx", "A 42610-2023")</f>
        <v/>
      </c>
      <c r="X95">
        <f>HYPERLINK("https://klasma.github.io/Logging_1737/tillsyn/A 42610-2023 tillsynsbegäran.docx", "A 42610-2023")</f>
        <v/>
      </c>
      <c r="Y95">
        <f>HYPERLINK("https://klasma.github.io/Logging_1737/tillsynsmail/A 42610-2023 tillsynsbegäran mail.docx", "A 42610-2023")</f>
        <v/>
      </c>
      <c r="Z95">
        <f>HYPERLINK("https://klasma.github.io/Logging_1737/fåglar/A 42610-2023 prioriterade fågelarter.docx", "A 42610-2023")</f>
        <v/>
      </c>
    </row>
    <row r="96" ht="15" customHeight="1">
      <c r="A96" t="inlineStr">
        <is>
          <t>A 46008-2023</t>
        </is>
      </c>
      <c r="B96" s="1" t="n">
        <v>45196</v>
      </c>
      <c r="C96" s="1" t="n">
        <v>45711</v>
      </c>
      <c r="D96" t="inlineStr">
        <is>
          <t>VÄRMLANDS LÄN</t>
        </is>
      </c>
      <c r="E96" t="inlineStr">
        <is>
          <t>TORSBY</t>
        </is>
      </c>
      <c r="G96" t="n">
        <v>15.4</v>
      </c>
      <c r="H96" t="n">
        <v>0</v>
      </c>
      <c r="I96" t="n">
        <v>0</v>
      </c>
      <c r="J96" t="n">
        <v>2</v>
      </c>
      <c r="K96" t="n">
        <v>0</v>
      </c>
      <c r="L96" t="n">
        <v>0</v>
      </c>
      <c r="M96" t="n">
        <v>0</v>
      </c>
      <c r="N96" t="n">
        <v>0</v>
      </c>
      <c r="O96" t="n">
        <v>2</v>
      </c>
      <c r="P96" t="n">
        <v>0</v>
      </c>
      <c r="Q96" t="n">
        <v>2</v>
      </c>
      <c r="R96" s="2" t="inlineStr">
        <is>
          <t>Dvärgbägarlav
Garnlav</t>
        </is>
      </c>
      <c r="S96">
        <f>HYPERLINK("https://klasma.github.io/Logging_1737/artfynd/A 46008-2023 artfynd.xlsx", "A 46008-2023")</f>
        <v/>
      </c>
      <c r="T96">
        <f>HYPERLINK("https://klasma.github.io/Logging_1737/kartor/A 46008-2023 karta.png", "A 46008-2023")</f>
        <v/>
      </c>
      <c r="V96">
        <f>HYPERLINK("https://klasma.github.io/Logging_1737/klagomål/A 46008-2023 FSC-klagomål.docx", "A 46008-2023")</f>
        <v/>
      </c>
      <c r="W96">
        <f>HYPERLINK("https://klasma.github.io/Logging_1737/klagomålsmail/A 46008-2023 FSC-klagomål mail.docx", "A 46008-2023")</f>
        <v/>
      </c>
      <c r="X96">
        <f>HYPERLINK("https://klasma.github.io/Logging_1737/tillsyn/A 46008-2023 tillsynsbegäran.docx", "A 46008-2023")</f>
        <v/>
      </c>
      <c r="Y96">
        <f>HYPERLINK("https://klasma.github.io/Logging_1737/tillsynsmail/A 46008-2023 tillsynsbegäran mail.docx", "A 46008-2023")</f>
        <v/>
      </c>
    </row>
    <row r="97" ht="15" customHeight="1">
      <c r="A97" t="inlineStr">
        <is>
          <t>A 48292-2023</t>
        </is>
      </c>
      <c r="B97" s="1" t="n">
        <v>45205</v>
      </c>
      <c r="C97" s="1" t="n">
        <v>45711</v>
      </c>
      <c r="D97" t="inlineStr">
        <is>
          <t>VÄRMLANDS LÄN</t>
        </is>
      </c>
      <c r="E97" t="inlineStr">
        <is>
          <t>TORSBY</t>
        </is>
      </c>
      <c r="G97" t="n">
        <v>2.3</v>
      </c>
      <c r="H97" t="n">
        <v>0</v>
      </c>
      <c r="I97" t="n">
        <v>1</v>
      </c>
      <c r="J97" t="n">
        <v>1</v>
      </c>
      <c r="K97" t="n">
        <v>0</v>
      </c>
      <c r="L97" t="n">
        <v>0</v>
      </c>
      <c r="M97" t="n">
        <v>0</v>
      </c>
      <c r="N97" t="n">
        <v>0</v>
      </c>
      <c r="O97" t="n">
        <v>1</v>
      </c>
      <c r="P97" t="n">
        <v>0</v>
      </c>
      <c r="Q97" t="n">
        <v>2</v>
      </c>
      <c r="R97" s="2" t="inlineStr">
        <is>
          <t>Vedtrappmossa
Vedticka</t>
        </is>
      </c>
      <c r="S97">
        <f>HYPERLINK("https://klasma.github.io/Logging_1737/artfynd/A 48292-2023 artfynd.xlsx", "A 48292-2023")</f>
        <v/>
      </c>
      <c r="T97">
        <f>HYPERLINK("https://klasma.github.io/Logging_1737/kartor/A 48292-2023 karta.png", "A 48292-2023")</f>
        <v/>
      </c>
      <c r="V97">
        <f>HYPERLINK("https://klasma.github.io/Logging_1737/klagomål/A 48292-2023 FSC-klagomål.docx", "A 48292-2023")</f>
        <v/>
      </c>
      <c r="W97">
        <f>HYPERLINK("https://klasma.github.io/Logging_1737/klagomålsmail/A 48292-2023 FSC-klagomål mail.docx", "A 48292-2023")</f>
        <v/>
      </c>
      <c r="X97">
        <f>HYPERLINK("https://klasma.github.io/Logging_1737/tillsyn/A 48292-2023 tillsynsbegäran.docx", "A 48292-2023")</f>
        <v/>
      </c>
      <c r="Y97">
        <f>HYPERLINK("https://klasma.github.io/Logging_1737/tillsynsmail/A 48292-2023 tillsynsbegäran mail.docx", "A 48292-2023")</f>
        <v/>
      </c>
    </row>
    <row r="98" ht="15" customHeight="1">
      <c r="A98" t="inlineStr">
        <is>
          <t>A 62955-2023</t>
        </is>
      </c>
      <c r="B98" s="1" t="n">
        <v>45271</v>
      </c>
      <c r="C98" s="1" t="n">
        <v>45711</v>
      </c>
      <c r="D98" t="inlineStr">
        <is>
          <t>VÄRMLANDS LÄN</t>
        </is>
      </c>
      <c r="E98" t="inlineStr">
        <is>
          <t>TORSBY</t>
        </is>
      </c>
      <c r="F98" t="inlineStr">
        <is>
          <t>Övriga statliga verk och myndigheter</t>
        </is>
      </c>
      <c r="G98" t="n">
        <v>4.2</v>
      </c>
      <c r="H98" t="n">
        <v>0</v>
      </c>
      <c r="I98" t="n">
        <v>0</v>
      </c>
      <c r="J98" t="n">
        <v>2</v>
      </c>
      <c r="K98" t="n">
        <v>0</v>
      </c>
      <c r="L98" t="n">
        <v>0</v>
      </c>
      <c r="M98" t="n">
        <v>0</v>
      </c>
      <c r="N98" t="n">
        <v>0</v>
      </c>
      <c r="O98" t="n">
        <v>2</v>
      </c>
      <c r="P98" t="n">
        <v>0</v>
      </c>
      <c r="Q98" t="n">
        <v>2</v>
      </c>
      <c r="R98" s="2" t="inlineStr">
        <is>
          <t>Garnlav
Vedtrappmossa</t>
        </is>
      </c>
      <c r="S98">
        <f>HYPERLINK("https://klasma.github.io/Logging_1737/artfynd/A 62955-2023 artfynd.xlsx", "A 62955-2023")</f>
        <v/>
      </c>
      <c r="T98">
        <f>HYPERLINK("https://klasma.github.io/Logging_1737/kartor/A 62955-2023 karta.png", "A 62955-2023")</f>
        <v/>
      </c>
      <c r="V98">
        <f>HYPERLINK("https://klasma.github.io/Logging_1737/klagomål/A 62955-2023 FSC-klagomål.docx", "A 62955-2023")</f>
        <v/>
      </c>
      <c r="W98">
        <f>HYPERLINK("https://klasma.github.io/Logging_1737/klagomålsmail/A 62955-2023 FSC-klagomål mail.docx", "A 62955-2023")</f>
        <v/>
      </c>
      <c r="X98">
        <f>HYPERLINK("https://klasma.github.io/Logging_1737/tillsyn/A 62955-2023 tillsynsbegäran.docx", "A 62955-2023")</f>
        <v/>
      </c>
      <c r="Y98">
        <f>HYPERLINK("https://klasma.github.io/Logging_1737/tillsynsmail/A 62955-2023 tillsynsbegäran mail.docx", "A 62955-2023")</f>
        <v/>
      </c>
    </row>
    <row r="99" ht="15" customHeight="1">
      <c r="A99" t="inlineStr">
        <is>
          <t>A 4068-2024</t>
        </is>
      </c>
      <c r="B99" s="1" t="n">
        <v>45323</v>
      </c>
      <c r="C99" s="1" t="n">
        <v>45711</v>
      </c>
      <c r="D99" t="inlineStr">
        <is>
          <t>VÄRMLANDS LÄN</t>
        </is>
      </c>
      <c r="E99" t="inlineStr">
        <is>
          <t>TORSBY</t>
        </is>
      </c>
      <c r="G99" t="n">
        <v>2.9</v>
      </c>
      <c r="H99" t="n">
        <v>1</v>
      </c>
      <c r="I99" t="n">
        <v>2</v>
      </c>
      <c r="J99" t="n">
        <v>0</v>
      </c>
      <c r="K99" t="n">
        <v>0</v>
      </c>
      <c r="L99" t="n">
        <v>0</v>
      </c>
      <c r="M99" t="n">
        <v>0</v>
      </c>
      <c r="N99" t="n">
        <v>0</v>
      </c>
      <c r="O99" t="n">
        <v>0</v>
      </c>
      <c r="P99" t="n">
        <v>0</v>
      </c>
      <c r="Q99" t="n">
        <v>2</v>
      </c>
      <c r="R99" s="2" t="inlineStr">
        <is>
          <t>Korallrot
Springkorn</t>
        </is>
      </c>
      <c r="S99">
        <f>HYPERLINK("https://klasma.github.io/Logging_1737/artfynd/A 4068-2024 artfynd.xlsx", "A 4068-2024")</f>
        <v/>
      </c>
      <c r="T99">
        <f>HYPERLINK("https://klasma.github.io/Logging_1737/kartor/A 4068-2024 karta.png", "A 4068-2024")</f>
        <v/>
      </c>
      <c r="V99">
        <f>HYPERLINK("https://klasma.github.io/Logging_1737/klagomål/A 4068-2024 FSC-klagomål.docx", "A 4068-2024")</f>
        <v/>
      </c>
      <c r="W99">
        <f>HYPERLINK("https://klasma.github.io/Logging_1737/klagomålsmail/A 4068-2024 FSC-klagomål mail.docx", "A 4068-2024")</f>
        <v/>
      </c>
      <c r="X99">
        <f>HYPERLINK("https://klasma.github.io/Logging_1737/tillsyn/A 4068-2024 tillsynsbegäran.docx", "A 4068-2024")</f>
        <v/>
      </c>
      <c r="Y99">
        <f>HYPERLINK("https://klasma.github.io/Logging_1737/tillsynsmail/A 4068-2024 tillsynsbegäran mail.docx", "A 4068-2024")</f>
        <v/>
      </c>
    </row>
    <row r="100" ht="15" customHeight="1">
      <c r="A100" t="inlineStr">
        <is>
          <t>A 23091-2024</t>
        </is>
      </c>
      <c r="B100" s="1" t="n">
        <v>45450</v>
      </c>
      <c r="C100" s="1" t="n">
        <v>45711</v>
      </c>
      <c r="D100" t="inlineStr">
        <is>
          <t>VÄRMLANDS LÄN</t>
        </is>
      </c>
      <c r="E100" t="inlineStr">
        <is>
          <t>TORSBY</t>
        </is>
      </c>
      <c r="F100" t="inlineStr">
        <is>
          <t>Bergvik skog väst AB</t>
        </is>
      </c>
      <c r="G100" t="n">
        <v>14.3</v>
      </c>
      <c r="H100" t="n">
        <v>0</v>
      </c>
      <c r="I100" t="n">
        <v>1</v>
      </c>
      <c r="J100" t="n">
        <v>1</v>
      </c>
      <c r="K100" t="n">
        <v>0</v>
      </c>
      <c r="L100" t="n">
        <v>0</v>
      </c>
      <c r="M100" t="n">
        <v>0</v>
      </c>
      <c r="N100" t="n">
        <v>0</v>
      </c>
      <c r="O100" t="n">
        <v>1</v>
      </c>
      <c r="P100" t="n">
        <v>0</v>
      </c>
      <c r="Q100" t="n">
        <v>2</v>
      </c>
      <c r="R100" s="2" t="inlineStr">
        <is>
          <t>Vedskivlav
Kambräken</t>
        </is>
      </c>
      <c r="S100">
        <f>HYPERLINK("https://klasma.github.io/Logging_1737/artfynd/A 23091-2024 artfynd.xlsx", "A 23091-2024")</f>
        <v/>
      </c>
      <c r="T100">
        <f>HYPERLINK("https://klasma.github.io/Logging_1737/kartor/A 23091-2024 karta.png", "A 23091-2024")</f>
        <v/>
      </c>
      <c r="V100">
        <f>HYPERLINK("https://klasma.github.io/Logging_1737/klagomål/A 23091-2024 FSC-klagomål.docx", "A 23091-2024")</f>
        <v/>
      </c>
      <c r="W100">
        <f>HYPERLINK("https://klasma.github.io/Logging_1737/klagomålsmail/A 23091-2024 FSC-klagomål mail.docx", "A 23091-2024")</f>
        <v/>
      </c>
      <c r="X100">
        <f>HYPERLINK("https://klasma.github.io/Logging_1737/tillsyn/A 23091-2024 tillsynsbegäran.docx", "A 23091-2024")</f>
        <v/>
      </c>
      <c r="Y100">
        <f>HYPERLINK("https://klasma.github.io/Logging_1737/tillsynsmail/A 23091-2024 tillsynsbegäran mail.docx", "A 23091-2024")</f>
        <v/>
      </c>
    </row>
    <row r="101" ht="15" customHeight="1">
      <c r="A101" t="inlineStr">
        <is>
          <t>A 34491-2024</t>
        </is>
      </c>
      <c r="B101" s="1" t="n">
        <v>45525</v>
      </c>
      <c r="C101" s="1" t="n">
        <v>45711</v>
      </c>
      <c r="D101" t="inlineStr">
        <is>
          <t>VÄRMLANDS LÄN</t>
        </is>
      </c>
      <c r="E101" t="inlineStr">
        <is>
          <t>TORSBY</t>
        </is>
      </c>
      <c r="G101" t="n">
        <v>3.1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34491-2024 artfynd.xlsx", "A 34491-2024")</f>
        <v/>
      </c>
      <c r="T101">
        <f>HYPERLINK("https://klasma.github.io/Logging_1737/kartor/A 34491-2024 karta.png", "A 34491-2024")</f>
        <v/>
      </c>
      <c r="V101">
        <f>HYPERLINK("https://klasma.github.io/Logging_1737/klagomål/A 34491-2024 FSC-klagomål.docx", "A 34491-2024")</f>
        <v/>
      </c>
      <c r="W101">
        <f>HYPERLINK("https://klasma.github.io/Logging_1737/klagomålsmail/A 34491-2024 FSC-klagomål mail.docx", "A 34491-2024")</f>
        <v/>
      </c>
      <c r="X101">
        <f>HYPERLINK("https://klasma.github.io/Logging_1737/tillsyn/A 34491-2024 tillsynsbegäran.docx", "A 34491-2024")</f>
        <v/>
      </c>
      <c r="Y101">
        <f>HYPERLINK("https://klasma.github.io/Logging_1737/tillsynsmail/A 34491-2024 tillsynsbegäran mail.docx", "A 34491-2024")</f>
        <v/>
      </c>
    </row>
    <row r="102" ht="15" customHeight="1">
      <c r="A102" t="inlineStr">
        <is>
          <t>A 37351-2024</t>
        </is>
      </c>
      <c r="B102" s="1" t="n">
        <v>45540</v>
      </c>
      <c r="C102" s="1" t="n">
        <v>45711</v>
      </c>
      <c r="D102" t="inlineStr">
        <is>
          <t>VÄRMLANDS LÄN</t>
        </is>
      </c>
      <c r="E102" t="inlineStr">
        <is>
          <t>TORSBY</t>
        </is>
      </c>
      <c r="F102" t="inlineStr">
        <is>
          <t>Bergvik skog väst AB</t>
        </is>
      </c>
      <c r="G102" t="n">
        <v>22.7</v>
      </c>
      <c r="H102" t="n">
        <v>1</v>
      </c>
      <c r="I102" t="n">
        <v>0</v>
      </c>
      <c r="J102" t="n">
        <v>2</v>
      </c>
      <c r="K102" t="n">
        <v>0</v>
      </c>
      <c r="L102" t="n">
        <v>0</v>
      </c>
      <c r="M102" t="n">
        <v>0</v>
      </c>
      <c r="N102" t="n">
        <v>0</v>
      </c>
      <c r="O102" t="n">
        <v>2</v>
      </c>
      <c r="P102" t="n">
        <v>0</v>
      </c>
      <c r="Q102" t="n">
        <v>2</v>
      </c>
      <c r="R102" s="2" t="inlineStr">
        <is>
          <t>Motaggsvamp
Talltita</t>
        </is>
      </c>
      <c r="S102">
        <f>HYPERLINK("https://klasma.github.io/Logging_1737/artfynd/A 37351-2024 artfynd.xlsx", "A 37351-2024")</f>
        <v/>
      </c>
      <c r="T102">
        <f>HYPERLINK("https://klasma.github.io/Logging_1737/kartor/A 37351-2024 karta.png", "A 37351-2024")</f>
        <v/>
      </c>
      <c r="V102">
        <f>HYPERLINK("https://klasma.github.io/Logging_1737/klagomål/A 37351-2024 FSC-klagomål.docx", "A 37351-2024")</f>
        <v/>
      </c>
      <c r="W102">
        <f>HYPERLINK("https://klasma.github.io/Logging_1737/klagomålsmail/A 37351-2024 FSC-klagomål mail.docx", "A 37351-2024")</f>
        <v/>
      </c>
      <c r="X102">
        <f>HYPERLINK("https://klasma.github.io/Logging_1737/tillsyn/A 37351-2024 tillsynsbegäran.docx", "A 37351-2024")</f>
        <v/>
      </c>
      <c r="Y102">
        <f>HYPERLINK("https://klasma.github.io/Logging_1737/tillsynsmail/A 37351-2024 tillsynsbegäran mail.docx", "A 37351-2024")</f>
        <v/>
      </c>
      <c r="Z102">
        <f>HYPERLINK("https://klasma.github.io/Logging_1737/fåglar/A 37351-2024 prioriterade fågelarter.docx", "A 37351-2024")</f>
        <v/>
      </c>
    </row>
    <row r="103" ht="15" customHeight="1">
      <c r="A103" t="inlineStr">
        <is>
          <t>A 37936-2024</t>
        </is>
      </c>
      <c r="B103" s="1" t="n">
        <v>45544</v>
      </c>
      <c r="C103" s="1" t="n">
        <v>45711</v>
      </c>
      <c r="D103" t="inlineStr">
        <is>
          <t>VÄRMLANDS LÄN</t>
        </is>
      </c>
      <c r="E103" t="inlineStr">
        <is>
          <t>TORSBY</t>
        </is>
      </c>
      <c r="G103" t="n">
        <v>5.4</v>
      </c>
      <c r="H103" t="n">
        <v>0</v>
      </c>
      <c r="I103" t="n">
        <v>0</v>
      </c>
      <c r="J103" t="n">
        <v>2</v>
      </c>
      <c r="K103" t="n">
        <v>0</v>
      </c>
      <c r="L103" t="n">
        <v>0</v>
      </c>
      <c r="M103" t="n">
        <v>0</v>
      </c>
      <c r="N103" t="n">
        <v>0</v>
      </c>
      <c r="O103" t="n">
        <v>2</v>
      </c>
      <c r="P103" t="n">
        <v>0</v>
      </c>
      <c r="Q103" t="n">
        <v>2</v>
      </c>
      <c r="R103" s="2" t="inlineStr">
        <is>
          <t>Dvärgbägarlav
Vedflamlav</t>
        </is>
      </c>
      <c r="S103">
        <f>HYPERLINK("https://klasma.github.io/Logging_1737/artfynd/A 37936-2024 artfynd.xlsx", "A 37936-2024")</f>
        <v/>
      </c>
      <c r="T103">
        <f>HYPERLINK("https://klasma.github.io/Logging_1737/kartor/A 37936-2024 karta.png", "A 37936-2024")</f>
        <v/>
      </c>
      <c r="V103">
        <f>HYPERLINK("https://klasma.github.io/Logging_1737/klagomål/A 37936-2024 FSC-klagomål.docx", "A 37936-2024")</f>
        <v/>
      </c>
      <c r="W103">
        <f>HYPERLINK("https://klasma.github.io/Logging_1737/klagomålsmail/A 37936-2024 FSC-klagomål mail.docx", "A 37936-2024")</f>
        <v/>
      </c>
      <c r="X103">
        <f>HYPERLINK("https://klasma.github.io/Logging_1737/tillsyn/A 37936-2024 tillsynsbegäran.docx", "A 37936-2024")</f>
        <v/>
      </c>
      <c r="Y103">
        <f>HYPERLINK("https://klasma.github.io/Logging_1737/tillsynsmail/A 37936-2024 tillsynsbegäran mail.docx", "A 37936-2024")</f>
        <v/>
      </c>
    </row>
    <row r="104" ht="15" customHeight="1">
      <c r="A104" t="inlineStr">
        <is>
          <t>A 50800-2024</t>
        </is>
      </c>
      <c r="B104" s="1" t="n">
        <v>45602</v>
      </c>
      <c r="C104" s="1" t="n">
        <v>45711</v>
      </c>
      <c r="D104" t="inlineStr">
        <is>
          <t>VÄRMLANDS LÄN</t>
        </is>
      </c>
      <c r="E104" t="inlineStr">
        <is>
          <t>TORSBY</t>
        </is>
      </c>
      <c r="G104" t="n">
        <v>6.3</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HYPERLINK("https://klasma.github.io/Logging_1737/artfynd/A 50800-2024 artfynd.xlsx", "A 50800-2024")</f>
        <v/>
      </c>
      <c r="T104">
        <f>HYPERLINK("https://klasma.github.io/Logging_1737/kartor/A 50800-2024 karta.png", "A 50800-2024")</f>
        <v/>
      </c>
      <c r="V104">
        <f>HYPERLINK("https://klasma.github.io/Logging_1737/klagomål/A 50800-2024 FSC-klagomål.docx", "A 50800-2024")</f>
        <v/>
      </c>
      <c r="W104">
        <f>HYPERLINK("https://klasma.github.io/Logging_1737/klagomålsmail/A 50800-2024 FSC-klagomål mail.docx", "A 50800-2024")</f>
        <v/>
      </c>
      <c r="X104">
        <f>HYPERLINK("https://klasma.github.io/Logging_1737/tillsyn/A 50800-2024 tillsynsbegäran.docx", "A 50800-2024")</f>
        <v/>
      </c>
      <c r="Y104">
        <f>HYPERLINK("https://klasma.github.io/Logging_1737/tillsynsmail/A 50800-2024 tillsynsbegäran mail.docx", "A 50800-2024")</f>
        <v/>
      </c>
    </row>
    <row r="105" ht="15" customHeight="1">
      <c r="A105" t="inlineStr">
        <is>
          <t>A 57775-2024</t>
        </is>
      </c>
      <c r="B105" s="1" t="n">
        <v>45630</v>
      </c>
      <c r="C105" s="1" t="n">
        <v>45711</v>
      </c>
      <c r="D105" t="inlineStr">
        <is>
          <t>VÄRMLANDS LÄN</t>
        </is>
      </c>
      <c r="E105" t="inlineStr">
        <is>
          <t>TORSBY</t>
        </is>
      </c>
      <c r="G105" t="n">
        <v>7.1</v>
      </c>
      <c r="H105" t="n">
        <v>0</v>
      </c>
      <c r="I105" t="n">
        <v>0</v>
      </c>
      <c r="J105" t="n">
        <v>2</v>
      </c>
      <c r="K105" t="n">
        <v>0</v>
      </c>
      <c r="L105" t="n">
        <v>0</v>
      </c>
      <c r="M105" t="n">
        <v>0</v>
      </c>
      <c r="N105" t="n">
        <v>0</v>
      </c>
      <c r="O105" t="n">
        <v>2</v>
      </c>
      <c r="P105" t="n">
        <v>0</v>
      </c>
      <c r="Q105" t="n">
        <v>2</v>
      </c>
      <c r="R105" s="2" t="inlineStr">
        <is>
          <t>Garnlav
Vedskivlav</t>
        </is>
      </c>
      <c r="S105">
        <f>HYPERLINK("https://klasma.github.io/Logging_1737/artfynd/A 57775-2024 artfynd.xlsx", "A 57775-2024")</f>
        <v/>
      </c>
      <c r="T105">
        <f>HYPERLINK("https://klasma.github.io/Logging_1737/kartor/A 57775-2024 karta.png", "A 57775-2024")</f>
        <v/>
      </c>
      <c r="V105">
        <f>HYPERLINK("https://klasma.github.io/Logging_1737/klagomål/A 57775-2024 FSC-klagomål.docx", "A 57775-2024")</f>
        <v/>
      </c>
      <c r="W105">
        <f>HYPERLINK("https://klasma.github.io/Logging_1737/klagomålsmail/A 57775-2024 FSC-klagomål mail.docx", "A 57775-2024")</f>
        <v/>
      </c>
      <c r="X105">
        <f>HYPERLINK("https://klasma.github.io/Logging_1737/tillsyn/A 57775-2024 tillsynsbegäran.docx", "A 57775-2024")</f>
        <v/>
      </c>
      <c r="Y105">
        <f>HYPERLINK("https://klasma.github.io/Logging_1737/tillsynsmail/A 57775-2024 tillsynsbegäran mail.docx", "A 57775-2024")</f>
        <v/>
      </c>
    </row>
    <row r="106" ht="15" customHeight="1">
      <c r="A106" t="inlineStr">
        <is>
          <t>A 61950-2024</t>
        </is>
      </c>
      <c r="B106" s="1" t="n">
        <v>45653</v>
      </c>
      <c r="C106" s="1" t="n">
        <v>45711</v>
      </c>
      <c r="D106" t="inlineStr">
        <is>
          <t>VÄRMLANDS LÄN</t>
        </is>
      </c>
      <c r="E106" t="inlineStr">
        <is>
          <t>TORSBY</t>
        </is>
      </c>
      <c r="G106" t="n">
        <v>2.1</v>
      </c>
      <c r="H106" t="n">
        <v>2</v>
      </c>
      <c r="I106" t="n">
        <v>0</v>
      </c>
      <c r="J106" t="n">
        <v>2</v>
      </c>
      <c r="K106" t="n">
        <v>0</v>
      </c>
      <c r="L106" t="n">
        <v>0</v>
      </c>
      <c r="M106" t="n">
        <v>0</v>
      </c>
      <c r="N106" t="n">
        <v>0</v>
      </c>
      <c r="O106" t="n">
        <v>2</v>
      </c>
      <c r="P106" t="n">
        <v>0</v>
      </c>
      <c r="Q106" t="n">
        <v>2</v>
      </c>
      <c r="R106" s="2" t="inlineStr">
        <is>
          <t>Björktrast
Rödvingetrast</t>
        </is>
      </c>
      <c r="S106">
        <f>HYPERLINK("https://klasma.github.io/Logging_1737/artfynd/A 61950-2024 artfynd.xlsx", "A 61950-2024")</f>
        <v/>
      </c>
      <c r="T106">
        <f>HYPERLINK("https://klasma.github.io/Logging_1737/kartor/A 61950-2024 karta.png", "A 61950-2024")</f>
        <v/>
      </c>
      <c r="V106">
        <f>HYPERLINK("https://klasma.github.io/Logging_1737/klagomål/A 61950-2024 FSC-klagomål.docx", "A 61950-2024")</f>
        <v/>
      </c>
      <c r="W106">
        <f>HYPERLINK("https://klasma.github.io/Logging_1737/klagomålsmail/A 61950-2024 FSC-klagomål mail.docx", "A 61950-2024")</f>
        <v/>
      </c>
      <c r="X106">
        <f>HYPERLINK("https://klasma.github.io/Logging_1737/tillsyn/A 61950-2024 tillsynsbegäran.docx", "A 61950-2024")</f>
        <v/>
      </c>
      <c r="Y106">
        <f>HYPERLINK("https://klasma.github.io/Logging_1737/tillsynsmail/A 61950-2024 tillsynsbegäran mail.docx", "A 61950-2024")</f>
        <v/>
      </c>
      <c r="Z106">
        <f>HYPERLINK("https://klasma.github.io/Logging_1737/fåglar/A 61950-2024 prioriterade fågelarter.docx", "A 61950-2024")</f>
        <v/>
      </c>
    </row>
    <row r="107" ht="15" customHeight="1">
      <c r="A107" t="inlineStr">
        <is>
          <t>A 537-2025</t>
        </is>
      </c>
      <c r="B107" s="1" t="n">
        <v>45664</v>
      </c>
      <c r="C107" s="1" t="n">
        <v>45711</v>
      </c>
      <c r="D107" t="inlineStr">
        <is>
          <t>VÄRMLANDS LÄN</t>
        </is>
      </c>
      <c r="E107" t="inlineStr">
        <is>
          <t>TORSBY</t>
        </is>
      </c>
      <c r="G107" t="n">
        <v>10.6</v>
      </c>
      <c r="H107" t="n">
        <v>0</v>
      </c>
      <c r="I107" t="n">
        <v>0</v>
      </c>
      <c r="J107" t="n">
        <v>2</v>
      </c>
      <c r="K107" t="n">
        <v>0</v>
      </c>
      <c r="L107" t="n">
        <v>0</v>
      </c>
      <c r="M107" t="n">
        <v>0</v>
      </c>
      <c r="N107" t="n">
        <v>0</v>
      </c>
      <c r="O107" t="n">
        <v>2</v>
      </c>
      <c r="P107" t="n">
        <v>0</v>
      </c>
      <c r="Q107" t="n">
        <v>2</v>
      </c>
      <c r="R107" s="2" t="inlineStr">
        <is>
          <t>Gammelgransskål
Garnlav</t>
        </is>
      </c>
      <c r="S107">
        <f>HYPERLINK("https://klasma.github.io/Logging_1737/artfynd/A 537-2025 artfynd.xlsx", "A 537-2025")</f>
        <v/>
      </c>
      <c r="T107">
        <f>HYPERLINK("https://klasma.github.io/Logging_1737/kartor/A 537-2025 karta.png", "A 537-2025")</f>
        <v/>
      </c>
      <c r="V107">
        <f>HYPERLINK("https://klasma.github.io/Logging_1737/klagomål/A 537-2025 FSC-klagomål.docx", "A 537-2025")</f>
        <v/>
      </c>
      <c r="W107">
        <f>HYPERLINK("https://klasma.github.io/Logging_1737/klagomålsmail/A 537-2025 FSC-klagomål mail.docx", "A 537-2025")</f>
        <v/>
      </c>
      <c r="X107">
        <f>HYPERLINK("https://klasma.github.io/Logging_1737/tillsyn/A 537-2025 tillsynsbegäran.docx", "A 537-2025")</f>
        <v/>
      </c>
      <c r="Y107">
        <f>HYPERLINK("https://klasma.github.io/Logging_1737/tillsynsmail/A 537-2025 tillsynsbegäran mail.docx", "A 537-2025")</f>
        <v/>
      </c>
    </row>
    <row r="108" ht="15" customHeight="1">
      <c r="A108" t="inlineStr">
        <is>
          <t>A 2938-2025</t>
        </is>
      </c>
      <c r="B108" s="1" t="n">
        <v>45678</v>
      </c>
      <c r="C108" s="1" t="n">
        <v>45711</v>
      </c>
      <c r="D108" t="inlineStr">
        <is>
          <t>VÄRMLANDS LÄN</t>
        </is>
      </c>
      <c r="E108" t="inlineStr">
        <is>
          <t>TORSBY</t>
        </is>
      </c>
      <c r="G108" t="n">
        <v>2</v>
      </c>
      <c r="H108" t="n">
        <v>1</v>
      </c>
      <c r="I108" t="n">
        <v>0</v>
      </c>
      <c r="J108" t="n">
        <v>2</v>
      </c>
      <c r="K108" t="n">
        <v>0</v>
      </c>
      <c r="L108" t="n">
        <v>0</v>
      </c>
      <c r="M108" t="n">
        <v>0</v>
      </c>
      <c r="N108" t="n">
        <v>0</v>
      </c>
      <c r="O108" t="n">
        <v>2</v>
      </c>
      <c r="P108" t="n">
        <v>0</v>
      </c>
      <c r="Q108" t="n">
        <v>2</v>
      </c>
      <c r="R108" s="2" t="inlineStr">
        <is>
          <t>Gammelgransskål
Tretåig hackspett</t>
        </is>
      </c>
      <c r="S108">
        <f>HYPERLINK("https://klasma.github.io/Logging_1737/artfynd/A 2938-2025 artfynd.xlsx", "A 2938-2025")</f>
        <v/>
      </c>
      <c r="T108">
        <f>HYPERLINK("https://klasma.github.io/Logging_1737/kartor/A 2938-2025 karta.png", "A 2938-2025")</f>
        <v/>
      </c>
      <c r="V108">
        <f>HYPERLINK("https://klasma.github.io/Logging_1737/klagomål/A 2938-2025 FSC-klagomål.docx", "A 2938-2025")</f>
        <v/>
      </c>
      <c r="W108">
        <f>HYPERLINK("https://klasma.github.io/Logging_1737/klagomålsmail/A 2938-2025 FSC-klagomål mail.docx", "A 2938-2025")</f>
        <v/>
      </c>
      <c r="X108">
        <f>HYPERLINK("https://klasma.github.io/Logging_1737/tillsyn/A 2938-2025 tillsynsbegäran.docx", "A 2938-2025")</f>
        <v/>
      </c>
      <c r="Y108">
        <f>HYPERLINK("https://klasma.github.io/Logging_1737/tillsynsmail/A 2938-2025 tillsynsbegäran mail.docx", "A 2938-2025")</f>
        <v/>
      </c>
      <c r="Z108">
        <f>HYPERLINK("https://klasma.github.io/Logging_1737/fåglar/A 2938-2025 prioriterade fågelarter.docx", "A 2938-2025")</f>
        <v/>
      </c>
    </row>
    <row r="109" ht="15" customHeight="1">
      <c r="A109" t="inlineStr">
        <is>
          <t>A 18499-2019</t>
        </is>
      </c>
      <c r="B109" s="1" t="n">
        <v>43559</v>
      </c>
      <c r="C109" s="1" t="n">
        <v>45711</v>
      </c>
      <c r="D109" t="inlineStr">
        <is>
          <t>VÄRMLANDS LÄN</t>
        </is>
      </c>
      <c r="E109" t="inlineStr">
        <is>
          <t>TORSBY</t>
        </is>
      </c>
      <c r="G109" t="n">
        <v>4.8</v>
      </c>
      <c r="H109" t="n">
        <v>0</v>
      </c>
      <c r="I109" t="n">
        <v>0</v>
      </c>
      <c r="J109" t="n">
        <v>0</v>
      </c>
      <c r="K109" t="n">
        <v>1</v>
      </c>
      <c r="L109" t="n">
        <v>0</v>
      </c>
      <c r="M109" t="n">
        <v>0</v>
      </c>
      <c r="N109" t="n">
        <v>0</v>
      </c>
      <c r="O109" t="n">
        <v>1</v>
      </c>
      <c r="P109" t="n">
        <v>1</v>
      </c>
      <c r="Q109" t="n">
        <v>1</v>
      </c>
      <c r="R109" s="2" t="inlineStr">
        <is>
          <t>Raggbock</t>
        </is>
      </c>
      <c r="S109">
        <f>HYPERLINK("https://klasma.github.io/Logging_1737/artfynd/A 18499-2019 artfynd.xlsx", "A 18499-2019")</f>
        <v/>
      </c>
      <c r="T109">
        <f>HYPERLINK("https://klasma.github.io/Logging_1737/kartor/A 18499-2019 karta.png", "A 18499-2019")</f>
        <v/>
      </c>
      <c r="V109">
        <f>HYPERLINK("https://klasma.github.io/Logging_1737/klagomål/A 18499-2019 FSC-klagomål.docx", "A 18499-2019")</f>
        <v/>
      </c>
      <c r="W109">
        <f>HYPERLINK("https://klasma.github.io/Logging_1737/klagomålsmail/A 18499-2019 FSC-klagomål mail.docx", "A 18499-2019")</f>
        <v/>
      </c>
      <c r="X109">
        <f>HYPERLINK("https://klasma.github.io/Logging_1737/tillsyn/A 18499-2019 tillsynsbegäran.docx", "A 18499-2019")</f>
        <v/>
      </c>
      <c r="Y109">
        <f>HYPERLINK("https://klasma.github.io/Logging_1737/tillsynsmail/A 18499-2019 tillsynsbegäran mail.docx", "A 18499-2019")</f>
        <v/>
      </c>
    </row>
    <row r="110" ht="15" customHeight="1">
      <c r="A110" t="inlineStr">
        <is>
          <t>A 31848-2019</t>
        </is>
      </c>
      <c r="B110" s="1" t="n">
        <v>43642</v>
      </c>
      <c r="C110" s="1" t="n">
        <v>45711</v>
      </c>
      <c r="D110" t="inlineStr">
        <is>
          <t>VÄRMLANDS LÄN</t>
        </is>
      </c>
      <c r="E110" t="inlineStr">
        <is>
          <t>TORSBY</t>
        </is>
      </c>
      <c r="G110" t="n">
        <v>6.1</v>
      </c>
      <c r="H110" t="n">
        <v>1</v>
      </c>
      <c r="I110" t="n">
        <v>0</v>
      </c>
      <c r="J110" t="n">
        <v>0</v>
      </c>
      <c r="K110" t="n">
        <v>1</v>
      </c>
      <c r="L110" t="n">
        <v>0</v>
      </c>
      <c r="M110" t="n">
        <v>0</v>
      </c>
      <c r="N110" t="n">
        <v>0</v>
      </c>
      <c r="O110" t="n">
        <v>1</v>
      </c>
      <c r="P110" t="n">
        <v>1</v>
      </c>
      <c r="Q110" t="n">
        <v>1</v>
      </c>
      <c r="R110" s="2" t="inlineStr">
        <is>
          <t>Knärot</t>
        </is>
      </c>
      <c r="S110">
        <f>HYPERLINK("https://klasma.github.io/Logging_1737/artfynd/A 31848-2019 artfynd.xlsx", "A 31848-2019")</f>
        <v/>
      </c>
      <c r="T110">
        <f>HYPERLINK("https://klasma.github.io/Logging_1737/kartor/A 31848-2019 karta.png", "A 31848-2019")</f>
        <v/>
      </c>
      <c r="U110">
        <f>HYPERLINK("https://klasma.github.io/Logging_1737/knärot/A 31848-2019 karta knärot.png", "A 31848-2019")</f>
        <v/>
      </c>
      <c r="V110">
        <f>HYPERLINK("https://klasma.github.io/Logging_1737/klagomål/A 31848-2019 FSC-klagomål.docx", "A 31848-2019")</f>
        <v/>
      </c>
      <c r="W110">
        <f>HYPERLINK("https://klasma.github.io/Logging_1737/klagomålsmail/A 31848-2019 FSC-klagomål mail.docx", "A 31848-2019")</f>
        <v/>
      </c>
      <c r="X110">
        <f>HYPERLINK("https://klasma.github.io/Logging_1737/tillsyn/A 31848-2019 tillsynsbegäran.docx", "A 31848-2019")</f>
        <v/>
      </c>
      <c r="Y110">
        <f>HYPERLINK("https://klasma.github.io/Logging_1737/tillsynsmail/A 31848-2019 tillsynsbegäran mail.docx", "A 31848-2019")</f>
        <v/>
      </c>
    </row>
    <row r="111" ht="15" customHeight="1">
      <c r="A111" t="inlineStr">
        <is>
          <t>A 45844-2019</t>
        </is>
      </c>
      <c r="B111" s="1" t="n">
        <v>43717</v>
      </c>
      <c r="C111" s="1" t="n">
        <v>45711</v>
      </c>
      <c r="D111" t="inlineStr">
        <is>
          <t>VÄRMLANDS LÄN</t>
        </is>
      </c>
      <c r="E111" t="inlineStr">
        <is>
          <t>TORSBY</t>
        </is>
      </c>
      <c r="G111" t="n">
        <v>4.1</v>
      </c>
      <c r="H111" t="n">
        <v>1</v>
      </c>
      <c r="I111" t="n">
        <v>0</v>
      </c>
      <c r="J111" t="n">
        <v>1</v>
      </c>
      <c r="K111" t="n">
        <v>0</v>
      </c>
      <c r="L111" t="n">
        <v>0</v>
      </c>
      <c r="M111" t="n">
        <v>0</v>
      </c>
      <c r="N111" t="n">
        <v>0</v>
      </c>
      <c r="O111" t="n">
        <v>1</v>
      </c>
      <c r="P111" t="n">
        <v>0</v>
      </c>
      <c r="Q111" t="n">
        <v>1</v>
      </c>
      <c r="R111" s="2" t="inlineStr">
        <is>
          <t>Talltita</t>
        </is>
      </c>
      <c r="S111">
        <f>HYPERLINK("https://klasma.github.io/Logging_1737/artfynd/A 45844-2019 artfynd.xlsx", "A 45844-2019")</f>
        <v/>
      </c>
      <c r="T111">
        <f>HYPERLINK("https://klasma.github.io/Logging_1737/kartor/A 45844-2019 karta.png", "A 45844-2019")</f>
        <v/>
      </c>
      <c r="V111">
        <f>HYPERLINK("https://klasma.github.io/Logging_1737/klagomål/A 45844-2019 FSC-klagomål.docx", "A 45844-2019")</f>
        <v/>
      </c>
      <c r="W111">
        <f>HYPERLINK("https://klasma.github.io/Logging_1737/klagomålsmail/A 45844-2019 FSC-klagomål mail.docx", "A 45844-2019")</f>
        <v/>
      </c>
      <c r="X111">
        <f>HYPERLINK("https://klasma.github.io/Logging_1737/tillsyn/A 45844-2019 tillsynsbegäran.docx", "A 45844-2019")</f>
        <v/>
      </c>
      <c r="Y111">
        <f>HYPERLINK("https://klasma.github.io/Logging_1737/tillsynsmail/A 45844-2019 tillsynsbegäran mail.docx", "A 45844-2019")</f>
        <v/>
      </c>
      <c r="Z111">
        <f>HYPERLINK("https://klasma.github.io/Logging_1737/fåglar/A 45844-2019 prioriterade fågelarter.docx", "A 45844-2019")</f>
        <v/>
      </c>
    </row>
    <row r="112" ht="15" customHeight="1">
      <c r="A112" t="inlineStr">
        <is>
          <t>A 47731-2019</t>
        </is>
      </c>
      <c r="B112" s="1" t="n">
        <v>43724</v>
      </c>
      <c r="C112" s="1" t="n">
        <v>45711</v>
      </c>
      <c r="D112" t="inlineStr">
        <is>
          <t>VÄRMLANDS LÄN</t>
        </is>
      </c>
      <c r="E112" t="inlineStr">
        <is>
          <t>TORSBY</t>
        </is>
      </c>
      <c r="G112" t="n">
        <v>3.5</v>
      </c>
      <c r="H112" t="n">
        <v>1</v>
      </c>
      <c r="I112" t="n">
        <v>0</v>
      </c>
      <c r="J112" t="n">
        <v>1</v>
      </c>
      <c r="K112" t="n">
        <v>0</v>
      </c>
      <c r="L112" t="n">
        <v>0</v>
      </c>
      <c r="M112" t="n">
        <v>0</v>
      </c>
      <c r="N112" t="n">
        <v>0</v>
      </c>
      <c r="O112" t="n">
        <v>1</v>
      </c>
      <c r="P112" t="n">
        <v>0</v>
      </c>
      <c r="Q112" t="n">
        <v>1</v>
      </c>
      <c r="R112" s="2" t="inlineStr">
        <is>
          <t>Gulsparv</t>
        </is>
      </c>
      <c r="S112">
        <f>HYPERLINK("https://klasma.github.io/Logging_1737/artfynd/A 47731-2019 artfynd.xlsx", "A 47731-2019")</f>
        <v/>
      </c>
      <c r="T112">
        <f>HYPERLINK("https://klasma.github.io/Logging_1737/kartor/A 47731-2019 karta.png", "A 47731-2019")</f>
        <v/>
      </c>
      <c r="V112">
        <f>HYPERLINK("https://klasma.github.io/Logging_1737/klagomål/A 47731-2019 FSC-klagomål.docx", "A 47731-2019")</f>
        <v/>
      </c>
      <c r="W112">
        <f>HYPERLINK("https://klasma.github.io/Logging_1737/klagomålsmail/A 47731-2019 FSC-klagomål mail.docx", "A 47731-2019")</f>
        <v/>
      </c>
      <c r="X112">
        <f>HYPERLINK("https://klasma.github.io/Logging_1737/tillsyn/A 47731-2019 tillsynsbegäran.docx", "A 47731-2019")</f>
        <v/>
      </c>
      <c r="Y112">
        <f>HYPERLINK("https://klasma.github.io/Logging_1737/tillsynsmail/A 47731-2019 tillsynsbegäran mail.docx", "A 47731-2019")</f>
        <v/>
      </c>
      <c r="Z112">
        <f>HYPERLINK("https://klasma.github.io/Logging_1737/fåglar/A 47731-2019 prioriterade fågelarter.docx", "A 47731-2019")</f>
        <v/>
      </c>
    </row>
    <row r="113" ht="15" customHeight="1">
      <c r="A113" t="inlineStr">
        <is>
          <t>A 53924-2019</t>
        </is>
      </c>
      <c r="B113" s="1" t="n">
        <v>43742</v>
      </c>
      <c r="C113" s="1" t="n">
        <v>45711</v>
      </c>
      <c r="D113" t="inlineStr">
        <is>
          <t>VÄRMLANDS LÄN</t>
        </is>
      </c>
      <c r="E113" t="inlineStr">
        <is>
          <t>TORSBY</t>
        </is>
      </c>
      <c r="G113" t="n">
        <v>7.1</v>
      </c>
      <c r="H113" t="n">
        <v>1</v>
      </c>
      <c r="I113" t="n">
        <v>0</v>
      </c>
      <c r="J113" t="n">
        <v>0</v>
      </c>
      <c r="K113" t="n">
        <v>0</v>
      </c>
      <c r="L113" t="n">
        <v>0</v>
      </c>
      <c r="M113" t="n">
        <v>0</v>
      </c>
      <c r="N113" t="n">
        <v>0</v>
      </c>
      <c r="O113" t="n">
        <v>0</v>
      </c>
      <c r="P113" t="n">
        <v>0</v>
      </c>
      <c r="Q113" t="n">
        <v>1</v>
      </c>
      <c r="R113" s="2" t="inlineStr">
        <is>
          <t>Fläcknycklar</t>
        </is>
      </c>
      <c r="S113">
        <f>HYPERLINK("https://klasma.github.io/Logging_1737/artfynd/A 53924-2019 artfynd.xlsx", "A 53924-2019")</f>
        <v/>
      </c>
      <c r="T113">
        <f>HYPERLINK("https://klasma.github.io/Logging_1737/kartor/A 53924-2019 karta.png", "A 53924-2019")</f>
        <v/>
      </c>
      <c r="V113">
        <f>HYPERLINK("https://klasma.github.io/Logging_1737/klagomål/A 53924-2019 FSC-klagomål.docx", "A 53924-2019")</f>
        <v/>
      </c>
      <c r="W113">
        <f>HYPERLINK("https://klasma.github.io/Logging_1737/klagomålsmail/A 53924-2019 FSC-klagomål mail.docx", "A 53924-2019")</f>
        <v/>
      </c>
      <c r="X113">
        <f>HYPERLINK("https://klasma.github.io/Logging_1737/tillsyn/A 53924-2019 tillsynsbegäran.docx", "A 53924-2019")</f>
        <v/>
      </c>
      <c r="Y113">
        <f>HYPERLINK("https://klasma.github.io/Logging_1737/tillsynsmail/A 53924-2019 tillsynsbegäran mail.docx", "A 53924-2019")</f>
        <v/>
      </c>
    </row>
    <row r="114" ht="15" customHeight="1">
      <c r="A114" t="inlineStr">
        <is>
          <t>A 63767-2019</t>
        </is>
      </c>
      <c r="B114" s="1" t="n">
        <v>43795</v>
      </c>
      <c r="C114" s="1" t="n">
        <v>45711</v>
      </c>
      <c r="D114" t="inlineStr">
        <is>
          <t>VÄRMLANDS LÄN</t>
        </is>
      </c>
      <c r="E114" t="inlineStr">
        <is>
          <t>TORSBY</t>
        </is>
      </c>
      <c r="G114" t="n">
        <v>1.4</v>
      </c>
      <c r="H114" t="n">
        <v>0</v>
      </c>
      <c r="I114" t="n">
        <v>0</v>
      </c>
      <c r="J114" t="n">
        <v>1</v>
      </c>
      <c r="K114" t="n">
        <v>0</v>
      </c>
      <c r="L114" t="n">
        <v>0</v>
      </c>
      <c r="M114" t="n">
        <v>0</v>
      </c>
      <c r="N114" t="n">
        <v>0</v>
      </c>
      <c r="O114" t="n">
        <v>1</v>
      </c>
      <c r="P114" t="n">
        <v>0</v>
      </c>
      <c r="Q114" t="n">
        <v>1</v>
      </c>
      <c r="R114" s="2" t="inlineStr">
        <is>
          <t>Garnlav</t>
        </is>
      </c>
      <c r="S114">
        <f>HYPERLINK("https://klasma.github.io/Logging_1737/artfynd/A 63767-2019 artfynd.xlsx", "A 63767-2019")</f>
        <v/>
      </c>
      <c r="T114">
        <f>HYPERLINK("https://klasma.github.io/Logging_1737/kartor/A 63767-2019 karta.png", "A 63767-2019")</f>
        <v/>
      </c>
      <c r="V114">
        <f>HYPERLINK("https://klasma.github.io/Logging_1737/klagomål/A 63767-2019 FSC-klagomål.docx", "A 63767-2019")</f>
        <v/>
      </c>
      <c r="W114">
        <f>HYPERLINK("https://klasma.github.io/Logging_1737/klagomålsmail/A 63767-2019 FSC-klagomål mail.docx", "A 63767-2019")</f>
        <v/>
      </c>
      <c r="X114">
        <f>HYPERLINK("https://klasma.github.io/Logging_1737/tillsyn/A 63767-2019 tillsynsbegäran.docx", "A 63767-2019")</f>
        <v/>
      </c>
      <c r="Y114">
        <f>HYPERLINK("https://klasma.github.io/Logging_1737/tillsynsmail/A 63767-2019 tillsynsbegäran mail.docx", "A 63767-2019")</f>
        <v/>
      </c>
    </row>
    <row r="115" ht="15" customHeight="1">
      <c r="A115" t="inlineStr">
        <is>
          <t>A 65129-2019</t>
        </is>
      </c>
      <c r="B115" s="1" t="n">
        <v>43802</v>
      </c>
      <c r="C115" s="1" t="n">
        <v>45711</v>
      </c>
      <c r="D115" t="inlineStr">
        <is>
          <t>VÄRMLANDS LÄN</t>
        </is>
      </c>
      <c r="E115" t="inlineStr">
        <is>
          <t>TORSBY</t>
        </is>
      </c>
      <c r="G115" t="n">
        <v>3.3</v>
      </c>
      <c r="H115" t="n">
        <v>0</v>
      </c>
      <c r="I115" t="n">
        <v>0</v>
      </c>
      <c r="J115" t="n">
        <v>1</v>
      </c>
      <c r="K115" t="n">
        <v>0</v>
      </c>
      <c r="L115" t="n">
        <v>0</v>
      </c>
      <c r="M115" t="n">
        <v>0</v>
      </c>
      <c r="N115" t="n">
        <v>0</v>
      </c>
      <c r="O115" t="n">
        <v>1</v>
      </c>
      <c r="P115" t="n">
        <v>0</v>
      </c>
      <c r="Q115" t="n">
        <v>1</v>
      </c>
      <c r="R115" s="2" t="inlineStr">
        <is>
          <t>Garnlav</t>
        </is>
      </c>
      <c r="S115">
        <f>HYPERLINK("https://klasma.github.io/Logging_1737/artfynd/A 65129-2019 artfynd.xlsx", "A 65129-2019")</f>
        <v/>
      </c>
      <c r="T115">
        <f>HYPERLINK("https://klasma.github.io/Logging_1737/kartor/A 65129-2019 karta.png", "A 65129-2019")</f>
        <v/>
      </c>
      <c r="V115">
        <f>HYPERLINK("https://klasma.github.io/Logging_1737/klagomål/A 65129-2019 FSC-klagomål.docx", "A 65129-2019")</f>
        <v/>
      </c>
      <c r="W115">
        <f>HYPERLINK("https://klasma.github.io/Logging_1737/klagomålsmail/A 65129-2019 FSC-klagomål mail.docx", "A 65129-2019")</f>
        <v/>
      </c>
      <c r="X115">
        <f>HYPERLINK("https://klasma.github.io/Logging_1737/tillsyn/A 65129-2019 tillsynsbegäran.docx", "A 65129-2019")</f>
        <v/>
      </c>
      <c r="Y115">
        <f>HYPERLINK("https://klasma.github.io/Logging_1737/tillsynsmail/A 65129-2019 tillsynsbegäran mail.docx", "A 65129-2019")</f>
        <v/>
      </c>
    </row>
    <row r="116" ht="15" customHeight="1">
      <c r="A116" t="inlineStr">
        <is>
          <t>A 37035-2020</t>
        </is>
      </c>
      <c r="B116" s="1" t="n">
        <v>44054</v>
      </c>
      <c r="C116" s="1" t="n">
        <v>45711</v>
      </c>
      <c r="D116" t="inlineStr">
        <is>
          <t>VÄRMLANDS LÄN</t>
        </is>
      </c>
      <c r="E116" t="inlineStr">
        <is>
          <t>TORSBY</t>
        </is>
      </c>
      <c r="G116" t="n">
        <v>2.7</v>
      </c>
      <c r="H116" t="n">
        <v>0</v>
      </c>
      <c r="I116" t="n">
        <v>0</v>
      </c>
      <c r="J116" t="n">
        <v>0</v>
      </c>
      <c r="K116" t="n">
        <v>1</v>
      </c>
      <c r="L116" t="n">
        <v>0</v>
      </c>
      <c r="M116" t="n">
        <v>0</v>
      </c>
      <c r="N116" t="n">
        <v>0</v>
      </c>
      <c r="O116" t="n">
        <v>1</v>
      </c>
      <c r="P116" t="n">
        <v>1</v>
      </c>
      <c r="Q116" t="n">
        <v>1</v>
      </c>
      <c r="R116" s="2" t="inlineStr">
        <is>
          <t>Raggbock</t>
        </is>
      </c>
      <c r="S116">
        <f>HYPERLINK("https://klasma.github.io/Logging_1737/artfynd/A 37035-2020 artfynd.xlsx", "A 37035-2020")</f>
        <v/>
      </c>
      <c r="T116">
        <f>HYPERLINK("https://klasma.github.io/Logging_1737/kartor/A 37035-2020 karta.png", "A 37035-2020")</f>
        <v/>
      </c>
      <c r="V116">
        <f>HYPERLINK("https://klasma.github.io/Logging_1737/klagomål/A 37035-2020 FSC-klagomål.docx", "A 37035-2020")</f>
        <v/>
      </c>
      <c r="W116">
        <f>HYPERLINK("https://klasma.github.io/Logging_1737/klagomålsmail/A 37035-2020 FSC-klagomål mail.docx", "A 37035-2020")</f>
        <v/>
      </c>
      <c r="X116">
        <f>HYPERLINK("https://klasma.github.io/Logging_1737/tillsyn/A 37035-2020 tillsynsbegäran.docx", "A 37035-2020")</f>
        <v/>
      </c>
      <c r="Y116">
        <f>HYPERLINK("https://klasma.github.io/Logging_1737/tillsynsmail/A 37035-2020 tillsynsbegäran mail.docx", "A 37035-2020")</f>
        <v/>
      </c>
    </row>
    <row r="117" ht="15" customHeight="1">
      <c r="A117" t="inlineStr">
        <is>
          <t>A 50854-2020</t>
        </is>
      </c>
      <c r="B117" s="1" t="n">
        <v>44105</v>
      </c>
      <c r="C117" s="1" t="n">
        <v>45711</v>
      </c>
      <c r="D117" t="inlineStr">
        <is>
          <t>VÄRMLANDS LÄN</t>
        </is>
      </c>
      <c r="E117" t="inlineStr">
        <is>
          <t>TORSBY</t>
        </is>
      </c>
      <c r="G117" t="n">
        <v>6.5</v>
      </c>
      <c r="H117" t="n">
        <v>1</v>
      </c>
      <c r="I117" t="n">
        <v>0</v>
      </c>
      <c r="J117" t="n">
        <v>0</v>
      </c>
      <c r="K117" t="n">
        <v>1</v>
      </c>
      <c r="L117" t="n">
        <v>0</v>
      </c>
      <c r="M117" t="n">
        <v>0</v>
      </c>
      <c r="N117" t="n">
        <v>0</v>
      </c>
      <c r="O117" t="n">
        <v>1</v>
      </c>
      <c r="P117" t="n">
        <v>1</v>
      </c>
      <c r="Q117" t="n">
        <v>1</v>
      </c>
      <c r="R117" s="2" t="inlineStr">
        <is>
          <t>Knärot</t>
        </is>
      </c>
      <c r="S117">
        <f>HYPERLINK("https://klasma.github.io/Logging_1737/artfynd/A 50854-2020 artfynd.xlsx", "A 50854-2020")</f>
        <v/>
      </c>
      <c r="T117">
        <f>HYPERLINK("https://klasma.github.io/Logging_1737/kartor/A 50854-2020 karta.png", "A 50854-2020")</f>
        <v/>
      </c>
      <c r="U117">
        <f>HYPERLINK("https://klasma.github.io/Logging_1737/knärot/A 50854-2020 karta knärot.png", "A 50854-2020")</f>
        <v/>
      </c>
      <c r="V117">
        <f>HYPERLINK("https://klasma.github.io/Logging_1737/klagomål/A 50854-2020 FSC-klagomål.docx", "A 50854-2020")</f>
        <v/>
      </c>
      <c r="W117">
        <f>HYPERLINK("https://klasma.github.io/Logging_1737/klagomålsmail/A 50854-2020 FSC-klagomål mail.docx", "A 50854-2020")</f>
        <v/>
      </c>
      <c r="X117">
        <f>HYPERLINK("https://klasma.github.io/Logging_1737/tillsyn/A 50854-2020 tillsynsbegäran.docx", "A 50854-2020")</f>
        <v/>
      </c>
      <c r="Y117">
        <f>HYPERLINK("https://klasma.github.io/Logging_1737/tillsynsmail/A 50854-2020 tillsynsbegäran mail.docx", "A 50854-2020")</f>
        <v/>
      </c>
    </row>
    <row r="118" ht="15" customHeight="1">
      <c r="A118" t="inlineStr">
        <is>
          <t>A 50089-2020</t>
        </is>
      </c>
      <c r="B118" s="1" t="n">
        <v>44109</v>
      </c>
      <c r="C118" s="1" t="n">
        <v>45711</v>
      </c>
      <c r="D118" t="inlineStr">
        <is>
          <t>VÄRMLANDS LÄN</t>
        </is>
      </c>
      <c r="E118" t="inlineStr">
        <is>
          <t>TORSBY</t>
        </is>
      </c>
      <c r="G118" t="n">
        <v>0.9</v>
      </c>
      <c r="H118" t="n">
        <v>1</v>
      </c>
      <c r="I118" t="n">
        <v>0</v>
      </c>
      <c r="J118" t="n">
        <v>1</v>
      </c>
      <c r="K118" t="n">
        <v>0</v>
      </c>
      <c r="L118" t="n">
        <v>0</v>
      </c>
      <c r="M118" t="n">
        <v>0</v>
      </c>
      <c r="N118" t="n">
        <v>0</v>
      </c>
      <c r="O118" t="n">
        <v>1</v>
      </c>
      <c r="P118" t="n">
        <v>0</v>
      </c>
      <c r="Q118" t="n">
        <v>1</v>
      </c>
      <c r="R118" s="2" t="inlineStr">
        <is>
          <t>Spillkråka</t>
        </is>
      </c>
      <c r="S118">
        <f>HYPERLINK("https://klasma.github.io/Logging_1737/artfynd/A 50089-2020 artfynd.xlsx", "A 50089-2020")</f>
        <v/>
      </c>
      <c r="T118">
        <f>HYPERLINK("https://klasma.github.io/Logging_1737/kartor/A 50089-2020 karta.png", "A 50089-2020")</f>
        <v/>
      </c>
      <c r="V118">
        <f>HYPERLINK("https://klasma.github.io/Logging_1737/klagomål/A 50089-2020 FSC-klagomål.docx", "A 50089-2020")</f>
        <v/>
      </c>
      <c r="W118">
        <f>HYPERLINK("https://klasma.github.io/Logging_1737/klagomålsmail/A 50089-2020 FSC-klagomål mail.docx", "A 50089-2020")</f>
        <v/>
      </c>
      <c r="X118">
        <f>HYPERLINK("https://klasma.github.io/Logging_1737/tillsyn/A 50089-2020 tillsynsbegäran.docx", "A 50089-2020")</f>
        <v/>
      </c>
      <c r="Y118">
        <f>HYPERLINK("https://klasma.github.io/Logging_1737/tillsynsmail/A 50089-2020 tillsynsbegäran mail.docx", "A 50089-2020")</f>
        <v/>
      </c>
      <c r="Z118">
        <f>HYPERLINK("https://klasma.github.io/Logging_1737/fåglar/A 50089-2020 prioriterade fågelarter.docx", "A 50089-2020")</f>
        <v/>
      </c>
    </row>
    <row r="119" ht="15" customHeight="1">
      <c r="A119" t="inlineStr">
        <is>
          <t>A 53491-2020</t>
        </is>
      </c>
      <c r="B119" s="1" t="n">
        <v>44123</v>
      </c>
      <c r="C119" s="1" t="n">
        <v>45711</v>
      </c>
      <c r="D119" t="inlineStr">
        <is>
          <t>VÄRMLANDS LÄN</t>
        </is>
      </c>
      <c r="E119" t="inlineStr">
        <is>
          <t>TORSBY</t>
        </is>
      </c>
      <c r="G119" t="n">
        <v>1.5</v>
      </c>
      <c r="H119" t="n">
        <v>0</v>
      </c>
      <c r="I119" t="n">
        <v>0</v>
      </c>
      <c r="J119" t="n">
        <v>1</v>
      </c>
      <c r="K119" t="n">
        <v>0</v>
      </c>
      <c r="L119" t="n">
        <v>0</v>
      </c>
      <c r="M119" t="n">
        <v>0</v>
      </c>
      <c r="N119" t="n">
        <v>0</v>
      </c>
      <c r="O119" t="n">
        <v>1</v>
      </c>
      <c r="P119" t="n">
        <v>0</v>
      </c>
      <c r="Q119" t="n">
        <v>1</v>
      </c>
      <c r="R119" s="2" t="inlineStr">
        <is>
          <t>Garnlav</t>
        </is>
      </c>
      <c r="S119">
        <f>HYPERLINK("https://klasma.github.io/Logging_1737/artfynd/A 53491-2020 artfynd.xlsx", "A 53491-2020")</f>
        <v/>
      </c>
      <c r="T119">
        <f>HYPERLINK("https://klasma.github.io/Logging_1737/kartor/A 53491-2020 karta.png", "A 53491-2020")</f>
        <v/>
      </c>
      <c r="V119">
        <f>HYPERLINK("https://klasma.github.io/Logging_1737/klagomål/A 53491-2020 FSC-klagomål.docx", "A 53491-2020")</f>
        <v/>
      </c>
      <c r="W119">
        <f>HYPERLINK("https://klasma.github.io/Logging_1737/klagomålsmail/A 53491-2020 FSC-klagomål mail.docx", "A 53491-2020")</f>
        <v/>
      </c>
      <c r="X119">
        <f>HYPERLINK("https://klasma.github.io/Logging_1737/tillsyn/A 53491-2020 tillsynsbegäran.docx", "A 53491-2020")</f>
        <v/>
      </c>
      <c r="Y119">
        <f>HYPERLINK("https://klasma.github.io/Logging_1737/tillsynsmail/A 53491-2020 tillsynsbegäran mail.docx", "A 53491-2020")</f>
        <v/>
      </c>
    </row>
    <row r="120" ht="15" customHeight="1">
      <c r="A120" t="inlineStr">
        <is>
          <t>A 8747-2021</t>
        </is>
      </c>
      <c r="B120" s="1" t="n">
        <v>44246</v>
      </c>
      <c r="C120" s="1" t="n">
        <v>45711</v>
      </c>
      <c r="D120" t="inlineStr">
        <is>
          <t>VÄRMLANDS LÄN</t>
        </is>
      </c>
      <c r="E120" t="inlineStr">
        <is>
          <t>TORSBY</t>
        </is>
      </c>
      <c r="G120" t="n">
        <v>8.5</v>
      </c>
      <c r="H120" t="n">
        <v>0</v>
      </c>
      <c r="I120" t="n">
        <v>0</v>
      </c>
      <c r="J120" t="n">
        <v>1</v>
      </c>
      <c r="K120" t="n">
        <v>0</v>
      </c>
      <c r="L120" t="n">
        <v>0</v>
      </c>
      <c r="M120" t="n">
        <v>0</v>
      </c>
      <c r="N120" t="n">
        <v>0</v>
      </c>
      <c r="O120" t="n">
        <v>1</v>
      </c>
      <c r="P120" t="n">
        <v>0</v>
      </c>
      <c r="Q120" t="n">
        <v>1</v>
      </c>
      <c r="R120" s="2" t="inlineStr">
        <is>
          <t>Garnlav</t>
        </is>
      </c>
      <c r="S120">
        <f>HYPERLINK("https://klasma.github.io/Logging_1737/artfynd/A 8747-2021 artfynd.xlsx", "A 8747-2021")</f>
        <v/>
      </c>
      <c r="T120">
        <f>HYPERLINK("https://klasma.github.io/Logging_1737/kartor/A 8747-2021 karta.png", "A 8747-2021")</f>
        <v/>
      </c>
      <c r="V120">
        <f>HYPERLINK("https://klasma.github.io/Logging_1737/klagomål/A 8747-2021 FSC-klagomål.docx", "A 8747-2021")</f>
        <v/>
      </c>
      <c r="W120">
        <f>HYPERLINK("https://klasma.github.io/Logging_1737/klagomålsmail/A 8747-2021 FSC-klagomål mail.docx", "A 8747-2021")</f>
        <v/>
      </c>
      <c r="X120">
        <f>HYPERLINK("https://klasma.github.io/Logging_1737/tillsyn/A 8747-2021 tillsynsbegäran.docx", "A 8747-2021")</f>
        <v/>
      </c>
      <c r="Y120">
        <f>HYPERLINK("https://klasma.github.io/Logging_1737/tillsynsmail/A 8747-2021 tillsynsbegäran mail.docx", "A 8747-2021")</f>
        <v/>
      </c>
    </row>
    <row r="121" ht="15" customHeight="1">
      <c r="A121" t="inlineStr">
        <is>
          <t>A 24042-2021</t>
        </is>
      </c>
      <c r="B121" s="1" t="n">
        <v>44336</v>
      </c>
      <c r="C121" s="1" t="n">
        <v>45711</v>
      </c>
      <c r="D121" t="inlineStr">
        <is>
          <t>VÄRMLANDS LÄN</t>
        </is>
      </c>
      <c r="E121" t="inlineStr">
        <is>
          <t>TORSBY</t>
        </is>
      </c>
      <c r="G121" t="n">
        <v>4.5</v>
      </c>
      <c r="H121" t="n">
        <v>0</v>
      </c>
      <c r="I121" t="n">
        <v>1</v>
      </c>
      <c r="J121" t="n">
        <v>0</v>
      </c>
      <c r="K121" t="n">
        <v>0</v>
      </c>
      <c r="L121" t="n">
        <v>0</v>
      </c>
      <c r="M121" t="n">
        <v>0</v>
      </c>
      <c r="N121" t="n">
        <v>0</v>
      </c>
      <c r="O121" t="n">
        <v>0</v>
      </c>
      <c r="P121" t="n">
        <v>0</v>
      </c>
      <c r="Q121" t="n">
        <v>1</v>
      </c>
      <c r="R121" s="2" t="inlineStr">
        <is>
          <t>Stuplav</t>
        </is>
      </c>
      <c r="S121">
        <f>HYPERLINK("https://klasma.github.io/Logging_1737/artfynd/A 24042-2021 artfynd.xlsx", "A 24042-2021")</f>
        <v/>
      </c>
      <c r="T121">
        <f>HYPERLINK("https://klasma.github.io/Logging_1737/kartor/A 24042-2021 karta.png", "A 24042-2021")</f>
        <v/>
      </c>
      <c r="V121">
        <f>HYPERLINK("https://klasma.github.io/Logging_1737/klagomål/A 24042-2021 FSC-klagomål.docx", "A 24042-2021")</f>
        <v/>
      </c>
      <c r="W121">
        <f>HYPERLINK("https://klasma.github.io/Logging_1737/klagomålsmail/A 24042-2021 FSC-klagomål mail.docx", "A 24042-2021")</f>
        <v/>
      </c>
      <c r="X121">
        <f>HYPERLINK("https://klasma.github.io/Logging_1737/tillsyn/A 24042-2021 tillsynsbegäran.docx", "A 24042-2021")</f>
        <v/>
      </c>
      <c r="Y121">
        <f>HYPERLINK("https://klasma.github.io/Logging_1737/tillsynsmail/A 24042-2021 tillsynsbegäran mail.docx", "A 24042-2021")</f>
        <v/>
      </c>
    </row>
    <row r="122" ht="15" customHeight="1">
      <c r="A122" t="inlineStr">
        <is>
          <t>A 34876-2021</t>
        </is>
      </c>
      <c r="B122" s="1" t="n">
        <v>44383</v>
      </c>
      <c r="C122" s="1" t="n">
        <v>45711</v>
      </c>
      <c r="D122" t="inlineStr">
        <is>
          <t>VÄRMLANDS LÄN</t>
        </is>
      </c>
      <c r="E122" t="inlineStr">
        <is>
          <t>TORSBY</t>
        </is>
      </c>
      <c r="G122" t="n">
        <v>4.7</v>
      </c>
      <c r="H122" t="n">
        <v>0</v>
      </c>
      <c r="I122" t="n">
        <v>0</v>
      </c>
      <c r="J122" t="n">
        <v>1</v>
      </c>
      <c r="K122" t="n">
        <v>0</v>
      </c>
      <c r="L122" t="n">
        <v>0</v>
      </c>
      <c r="M122" t="n">
        <v>0</v>
      </c>
      <c r="N122" t="n">
        <v>0</v>
      </c>
      <c r="O122" t="n">
        <v>1</v>
      </c>
      <c r="P122" t="n">
        <v>0</v>
      </c>
      <c r="Q122" t="n">
        <v>1</v>
      </c>
      <c r="R122" s="2" t="inlineStr">
        <is>
          <t>Doftskinn</t>
        </is>
      </c>
      <c r="S122">
        <f>HYPERLINK("https://klasma.github.io/Logging_1737/artfynd/A 34876-2021 artfynd.xlsx", "A 34876-2021")</f>
        <v/>
      </c>
      <c r="T122">
        <f>HYPERLINK("https://klasma.github.io/Logging_1737/kartor/A 34876-2021 karta.png", "A 34876-2021")</f>
        <v/>
      </c>
      <c r="V122">
        <f>HYPERLINK("https://klasma.github.io/Logging_1737/klagomål/A 34876-2021 FSC-klagomål.docx", "A 34876-2021")</f>
        <v/>
      </c>
      <c r="W122">
        <f>HYPERLINK("https://klasma.github.io/Logging_1737/klagomålsmail/A 34876-2021 FSC-klagomål mail.docx", "A 34876-2021")</f>
        <v/>
      </c>
      <c r="X122">
        <f>HYPERLINK("https://klasma.github.io/Logging_1737/tillsyn/A 34876-2021 tillsynsbegäran.docx", "A 34876-2021")</f>
        <v/>
      </c>
      <c r="Y122">
        <f>HYPERLINK("https://klasma.github.io/Logging_1737/tillsynsmail/A 34876-2021 tillsynsbegäran mail.docx", "A 34876-2021")</f>
        <v/>
      </c>
    </row>
    <row r="123" ht="15" customHeight="1">
      <c r="A123" t="inlineStr">
        <is>
          <t>A 34853-2021</t>
        </is>
      </c>
      <c r="B123" s="1" t="n">
        <v>44383</v>
      </c>
      <c r="C123" s="1" t="n">
        <v>45711</v>
      </c>
      <c r="D123" t="inlineStr">
        <is>
          <t>VÄRMLANDS LÄN</t>
        </is>
      </c>
      <c r="E123" t="inlineStr">
        <is>
          <t>TORSBY</t>
        </is>
      </c>
      <c r="G123" t="n">
        <v>14.8</v>
      </c>
      <c r="H123" t="n">
        <v>1</v>
      </c>
      <c r="I123" t="n">
        <v>0</v>
      </c>
      <c r="J123" t="n">
        <v>1</v>
      </c>
      <c r="K123" t="n">
        <v>0</v>
      </c>
      <c r="L123" t="n">
        <v>0</v>
      </c>
      <c r="M123" t="n">
        <v>0</v>
      </c>
      <c r="N123" t="n">
        <v>0</v>
      </c>
      <c r="O123" t="n">
        <v>1</v>
      </c>
      <c r="P123" t="n">
        <v>0</v>
      </c>
      <c r="Q123" t="n">
        <v>1</v>
      </c>
      <c r="R123" s="2" t="inlineStr">
        <is>
          <t>Talltita</t>
        </is>
      </c>
      <c r="S123">
        <f>HYPERLINK("https://klasma.github.io/Logging_1737/artfynd/A 34853-2021 artfynd.xlsx", "A 34853-2021")</f>
        <v/>
      </c>
      <c r="T123">
        <f>HYPERLINK("https://klasma.github.io/Logging_1737/kartor/A 34853-2021 karta.png", "A 34853-2021")</f>
        <v/>
      </c>
      <c r="V123">
        <f>HYPERLINK("https://klasma.github.io/Logging_1737/klagomål/A 34853-2021 FSC-klagomål.docx", "A 34853-2021")</f>
        <v/>
      </c>
      <c r="W123">
        <f>HYPERLINK("https://klasma.github.io/Logging_1737/klagomålsmail/A 34853-2021 FSC-klagomål mail.docx", "A 34853-2021")</f>
        <v/>
      </c>
      <c r="X123">
        <f>HYPERLINK("https://klasma.github.io/Logging_1737/tillsyn/A 34853-2021 tillsynsbegäran.docx", "A 34853-2021")</f>
        <v/>
      </c>
      <c r="Y123">
        <f>HYPERLINK("https://klasma.github.io/Logging_1737/tillsynsmail/A 34853-2021 tillsynsbegäran mail.docx", "A 34853-2021")</f>
        <v/>
      </c>
      <c r="Z123">
        <f>HYPERLINK("https://klasma.github.io/Logging_1737/fåglar/A 34853-2021 prioriterade fågelarter.docx", "A 34853-2021")</f>
        <v/>
      </c>
    </row>
    <row r="124" ht="15" customHeight="1">
      <c r="A124" t="inlineStr">
        <is>
          <t>A 40265-2021</t>
        </is>
      </c>
      <c r="B124" s="1" t="n">
        <v>44419</v>
      </c>
      <c r="C124" s="1" t="n">
        <v>45711</v>
      </c>
      <c r="D124" t="inlineStr">
        <is>
          <t>VÄRMLANDS LÄN</t>
        </is>
      </c>
      <c r="E124" t="inlineStr">
        <is>
          <t>TORSBY</t>
        </is>
      </c>
      <c r="F124" t="inlineStr">
        <is>
          <t>Bergvik skog väst AB</t>
        </is>
      </c>
      <c r="G124" t="n">
        <v>5.7</v>
      </c>
      <c r="H124" t="n">
        <v>1</v>
      </c>
      <c r="I124" t="n">
        <v>0</v>
      </c>
      <c r="J124" t="n">
        <v>1</v>
      </c>
      <c r="K124" t="n">
        <v>0</v>
      </c>
      <c r="L124" t="n">
        <v>0</v>
      </c>
      <c r="M124" t="n">
        <v>0</v>
      </c>
      <c r="N124" t="n">
        <v>0</v>
      </c>
      <c r="O124" t="n">
        <v>1</v>
      </c>
      <c r="P124" t="n">
        <v>0</v>
      </c>
      <c r="Q124" t="n">
        <v>1</v>
      </c>
      <c r="R124" s="2" t="inlineStr">
        <is>
          <t>Nordfladdermus</t>
        </is>
      </c>
      <c r="S124">
        <f>HYPERLINK("https://klasma.github.io/Logging_1737/artfynd/A 40265-2021 artfynd.xlsx", "A 40265-2021")</f>
        <v/>
      </c>
      <c r="T124">
        <f>HYPERLINK("https://klasma.github.io/Logging_1737/kartor/A 40265-2021 karta.png", "A 40265-2021")</f>
        <v/>
      </c>
      <c r="V124">
        <f>HYPERLINK("https://klasma.github.io/Logging_1737/klagomål/A 40265-2021 FSC-klagomål.docx", "A 40265-2021")</f>
        <v/>
      </c>
      <c r="W124">
        <f>HYPERLINK("https://klasma.github.io/Logging_1737/klagomålsmail/A 40265-2021 FSC-klagomål mail.docx", "A 40265-2021")</f>
        <v/>
      </c>
      <c r="X124">
        <f>HYPERLINK("https://klasma.github.io/Logging_1737/tillsyn/A 40265-2021 tillsynsbegäran.docx", "A 40265-2021")</f>
        <v/>
      </c>
      <c r="Y124">
        <f>HYPERLINK("https://klasma.github.io/Logging_1737/tillsynsmail/A 40265-2021 tillsynsbegäran mail.docx", "A 40265-2021")</f>
        <v/>
      </c>
    </row>
    <row r="125" ht="15" customHeight="1">
      <c r="A125" t="inlineStr">
        <is>
          <t>A 43784-2021</t>
        </is>
      </c>
      <c r="B125" s="1" t="n">
        <v>44433</v>
      </c>
      <c r="C125" s="1" t="n">
        <v>45711</v>
      </c>
      <c r="D125" t="inlineStr">
        <is>
          <t>VÄRMLANDS LÄN</t>
        </is>
      </c>
      <c r="E125" t="inlineStr">
        <is>
          <t>TORSBY</t>
        </is>
      </c>
      <c r="G125" t="n">
        <v>5.2</v>
      </c>
      <c r="H125" t="n">
        <v>1</v>
      </c>
      <c r="I125" t="n">
        <v>0</v>
      </c>
      <c r="J125" t="n">
        <v>0</v>
      </c>
      <c r="K125" t="n">
        <v>0</v>
      </c>
      <c r="L125" t="n">
        <v>0</v>
      </c>
      <c r="M125" t="n">
        <v>0</v>
      </c>
      <c r="N125" t="n">
        <v>0</v>
      </c>
      <c r="O125" t="n">
        <v>0</v>
      </c>
      <c r="P125" t="n">
        <v>0</v>
      </c>
      <c r="Q125" t="n">
        <v>1</v>
      </c>
      <c r="R125" s="2" t="inlineStr">
        <is>
          <t>Kopparödla</t>
        </is>
      </c>
      <c r="S125">
        <f>HYPERLINK("https://klasma.github.io/Logging_1737/artfynd/A 43784-2021 artfynd.xlsx", "A 43784-2021")</f>
        <v/>
      </c>
      <c r="T125">
        <f>HYPERLINK("https://klasma.github.io/Logging_1737/kartor/A 43784-2021 karta.png", "A 43784-2021")</f>
        <v/>
      </c>
      <c r="V125">
        <f>HYPERLINK("https://klasma.github.io/Logging_1737/klagomål/A 43784-2021 FSC-klagomål.docx", "A 43784-2021")</f>
        <v/>
      </c>
      <c r="W125">
        <f>HYPERLINK("https://klasma.github.io/Logging_1737/klagomålsmail/A 43784-2021 FSC-klagomål mail.docx", "A 43784-2021")</f>
        <v/>
      </c>
      <c r="X125">
        <f>HYPERLINK("https://klasma.github.io/Logging_1737/tillsyn/A 43784-2021 tillsynsbegäran.docx", "A 43784-2021")</f>
        <v/>
      </c>
      <c r="Y125">
        <f>HYPERLINK("https://klasma.github.io/Logging_1737/tillsynsmail/A 43784-2021 tillsynsbegäran mail.docx", "A 43784-2021")</f>
        <v/>
      </c>
    </row>
    <row r="126" ht="15" customHeight="1">
      <c r="A126" t="inlineStr">
        <is>
          <t>A 49110-2021</t>
        </is>
      </c>
      <c r="B126" s="1" t="n">
        <v>44453</v>
      </c>
      <c r="C126" s="1" t="n">
        <v>45711</v>
      </c>
      <c r="D126" t="inlineStr">
        <is>
          <t>VÄRMLANDS LÄN</t>
        </is>
      </c>
      <c r="E126" t="inlineStr">
        <is>
          <t>TORSBY</t>
        </is>
      </c>
      <c r="G126" t="n">
        <v>33.8</v>
      </c>
      <c r="H126" t="n">
        <v>0</v>
      </c>
      <c r="I126" t="n">
        <v>1</v>
      </c>
      <c r="J126" t="n">
        <v>0</v>
      </c>
      <c r="K126" t="n">
        <v>0</v>
      </c>
      <c r="L126" t="n">
        <v>0</v>
      </c>
      <c r="M126" t="n">
        <v>0</v>
      </c>
      <c r="N126" t="n">
        <v>0</v>
      </c>
      <c r="O126" t="n">
        <v>0</v>
      </c>
      <c r="P126" t="n">
        <v>0</v>
      </c>
      <c r="Q126" t="n">
        <v>1</v>
      </c>
      <c r="R126" s="2" t="inlineStr">
        <is>
          <t>Vedticka</t>
        </is>
      </c>
      <c r="S126">
        <f>HYPERLINK("https://klasma.github.io/Logging_1737/artfynd/A 49110-2021 artfynd.xlsx", "A 49110-2021")</f>
        <v/>
      </c>
      <c r="T126">
        <f>HYPERLINK("https://klasma.github.io/Logging_1737/kartor/A 49110-2021 karta.png", "A 49110-2021")</f>
        <v/>
      </c>
      <c r="V126">
        <f>HYPERLINK("https://klasma.github.io/Logging_1737/klagomål/A 49110-2021 FSC-klagomål.docx", "A 49110-2021")</f>
        <v/>
      </c>
      <c r="W126">
        <f>HYPERLINK("https://klasma.github.io/Logging_1737/klagomålsmail/A 49110-2021 FSC-klagomål mail.docx", "A 49110-2021")</f>
        <v/>
      </c>
      <c r="X126">
        <f>HYPERLINK("https://klasma.github.io/Logging_1737/tillsyn/A 49110-2021 tillsynsbegäran.docx", "A 49110-2021")</f>
        <v/>
      </c>
      <c r="Y126">
        <f>HYPERLINK("https://klasma.github.io/Logging_1737/tillsynsmail/A 49110-2021 tillsynsbegäran mail.docx", "A 49110-2021")</f>
        <v/>
      </c>
    </row>
    <row r="127" ht="15" customHeight="1">
      <c r="A127" t="inlineStr">
        <is>
          <t>A 54982-2021</t>
        </is>
      </c>
      <c r="B127" s="1" t="n">
        <v>44469</v>
      </c>
      <c r="C127" s="1" t="n">
        <v>45711</v>
      </c>
      <c r="D127" t="inlineStr">
        <is>
          <t>VÄRMLANDS LÄN</t>
        </is>
      </c>
      <c r="E127" t="inlineStr">
        <is>
          <t>TORSBY</t>
        </is>
      </c>
      <c r="G127" t="n">
        <v>4.1</v>
      </c>
      <c r="H127" t="n">
        <v>0</v>
      </c>
      <c r="I127" t="n">
        <v>1</v>
      </c>
      <c r="J127" t="n">
        <v>0</v>
      </c>
      <c r="K127" t="n">
        <v>0</v>
      </c>
      <c r="L127" t="n">
        <v>0</v>
      </c>
      <c r="M127" t="n">
        <v>0</v>
      </c>
      <c r="N127" t="n">
        <v>0</v>
      </c>
      <c r="O127" t="n">
        <v>0</v>
      </c>
      <c r="P127" t="n">
        <v>0</v>
      </c>
      <c r="Q127" t="n">
        <v>1</v>
      </c>
      <c r="R127" s="2" t="inlineStr">
        <is>
          <t>Tibast</t>
        </is>
      </c>
      <c r="S127">
        <f>HYPERLINK("https://klasma.github.io/Logging_1737/artfynd/A 54982-2021 artfynd.xlsx", "A 54982-2021")</f>
        <v/>
      </c>
      <c r="T127">
        <f>HYPERLINK("https://klasma.github.io/Logging_1737/kartor/A 54982-2021 karta.png", "A 54982-2021")</f>
        <v/>
      </c>
      <c r="V127">
        <f>HYPERLINK("https://klasma.github.io/Logging_1737/klagomål/A 54982-2021 FSC-klagomål.docx", "A 54982-2021")</f>
        <v/>
      </c>
      <c r="W127">
        <f>HYPERLINK("https://klasma.github.io/Logging_1737/klagomålsmail/A 54982-2021 FSC-klagomål mail.docx", "A 54982-2021")</f>
        <v/>
      </c>
      <c r="X127">
        <f>HYPERLINK("https://klasma.github.io/Logging_1737/tillsyn/A 54982-2021 tillsynsbegäran.docx", "A 54982-2021")</f>
        <v/>
      </c>
      <c r="Y127">
        <f>HYPERLINK("https://klasma.github.io/Logging_1737/tillsynsmail/A 54982-2021 tillsynsbegäran mail.docx", "A 54982-2021")</f>
        <v/>
      </c>
    </row>
    <row r="128" ht="15" customHeight="1">
      <c r="A128" t="inlineStr">
        <is>
          <t>A 58471-2021</t>
        </is>
      </c>
      <c r="B128" s="1" t="n">
        <v>44488</v>
      </c>
      <c r="C128" s="1" t="n">
        <v>45711</v>
      </c>
      <c r="D128" t="inlineStr">
        <is>
          <t>VÄRMLANDS LÄN</t>
        </is>
      </c>
      <c r="E128" t="inlineStr">
        <is>
          <t>TORSBY</t>
        </is>
      </c>
      <c r="G128" t="n">
        <v>2.5</v>
      </c>
      <c r="H128" t="n">
        <v>0</v>
      </c>
      <c r="I128" t="n">
        <v>1</v>
      </c>
      <c r="J128" t="n">
        <v>0</v>
      </c>
      <c r="K128" t="n">
        <v>0</v>
      </c>
      <c r="L128" t="n">
        <v>0</v>
      </c>
      <c r="M128" t="n">
        <v>0</v>
      </c>
      <c r="N128" t="n">
        <v>0</v>
      </c>
      <c r="O128" t="n">
        <v>0</v>
      </c>
      <c r="P128" t="n">
        <v>0</v>
      </c>
      <c r="Q128" t="n">
        <v>1</v>
      </c>
      <c r="R128" s="2" t="inlineStr">
        <is>
          <t>Korallblylav</t>
        </is>
      </c>
      <c r="S128">
        <f>HYPERLINK("https://klasma.github.io/Logging_1737/artfynd/A 58471-2021 artfynd.xlsx", "A 58471-2021")</f>
        <v/>
      </c>
      <c r="T128">
        <f>HYPERLINK("https://klasma.github.io/Logging_1737/kartor/A 58471-2021 karta.png", "A 58471-2021")</f>
        <v/>
      </c>
      <c r="V128">
        <f>HYPERLINK("https://klasma.github.io/Logging_1737/klagomål/A 58471-2021 FSC-klagomål.docx", "A 58471-2021")</f>
        <v/>
      </c>
      <c r="W128">
        <f>HYPERLINK("https://klasma.github.io/Logging_1737/klagomålsmail/A 58471-2021 FSC-klagomål mail.docx", "A 58471-2021")</f>
        <v/>
      </c>
      <c r="X128">
        <f>HYPERLINK("https://klasma.github.io/Logging_1737/tillsyn/A 58471-2021 tillsynsbegäran.docx", "A 58471-2021")</f>
        <v/>
      </c>
      <c r="Y128">
        <f>HYPERLINK("https://klasma.github.io/Logging_1737/tillsynsmail/A 58471-2021 tillsynsbegäran mail.docx", "A 58471-2021")</f>
        <v/>
      </c>
    </row>
    <row r="129" ht="15" customHeight="1">
      <c r="A129" t="inlineStr">
        <is>
          <t>A 61813-2021</t>
        </is>
      </c>
      <c r="B129" s="1" t="n">
        <v>44501</v>
      </c>
      <c r="C129" s="1" t="n">
        <v>45711</v>
      </c>
      <c r="D129" t="inlineStr">
        <is>
          <t>VÄRMLANDS LÄN</t>
        </is>
      </c>
      <c r="E129" t="inlineStr">
        <is>
          <t>TORSBY</t>
        </is>
      </c>
      <c r="G129" t="n">
        <v>4.9</v>
      </c>
      <c r="H129" t="n">
        <v>0</v>
      </c>
      <c r="I129" t="n">
        <v>0</v>
      </c>
      <c r="J129" t="n">
        <v>1</v>
      </c>
      <c r="K129" t="n">
        <v>0</v>
      </c>
      <c r="L129" t="n">
        <v>0</v>
      </c>
      <c r="M129" t="n">
        <v>0</v>
      </c>
      <c r="N129" t="n">
        <v>0</v>
      </c>
      <c r="O129" t="n">
        <v>1</v>
      </c>
      <c r="P129" t="n">
        <v>0</v>
      </c>
      <c r="Q129" t="n">
        <v>1</v>
      </c>
      <c r="R129" s="2" t="inlineStr">
        <is>
          <t>Tallticka</t>
        </is>
      </c>
      <c r="S129">
        <f>HYPERLINK("https://klasma.github.io/Logging_1737/artfynd/A 61813-2021 artfynd.xlsx", "A 61813-2021")</f>
        <v/>
      </c>
      <c r="T129">
        <f>HYPERLINK("https://klasma.github.io/Logging_1737/kartor/A 61813-2021 karta.png", "A 61813-2021")</f>
        <v/>
      </c>
      <c r="V129">
        <f>HYPERLINK("https://klasma.github.io/Logging_1737/klagomål/A 61813-2021 FSC-klagomål.docx", "A 61813-2021")</f>
        <v/>
      </c>
      <c r="W129">
        <f>HYPERLINK("https://klasma.github.io/Logging_1737/klagomålsmail/A 61813-2021 FSC-klagomål mail.docx", "A 61813-2021")</f>
        <v/>
      </c>
      <c r="X129">
        <f>HYPERLINK("https://klasma.github.io/Logging_1737/tillsyn/A 61813-2021 tillsynsbegäran.docx", "A 61813-2021")</f>
        <v/>
      </c>
      <c r="Y129">
        <f>HYPERLINK("https://klasma.github.io/Logging_1737/tillsynsmail/A 61813-2021 tillsynsbegäran mail.docx", "A 61813-2021")</f>
        <v/>
      </c>
    </row>
    <row r="130" ht="15" customHeight="1">
      <c r="A130" t="inlineStr">
        <is>
          <t>A 65767-2021</t>
        </is>
      </c>
      <c r="B130" s="1" t="n">
        <v>44516</v>
      </c>
      <c r="C130" s="1" t="n">
        <v>45711</v>
      </c>
      <c r="D130" t="inlineStr">
        <is>
          <t>VÄRMLANDS LÄN</t>
        </is>
      </c>
      <c r="E130" t="inlineStr">
        <is>
          <t>TORSBY</t>
        </is>
      </c>
      <c r="G130" t="n">
        <v>7.5</v>
      </c>
      <c r="H130" t="n">
        <v>0</v>
      </c>
      <c r="I130" t="n">
        <v>1</v>
      </c>
      <c r="J130" t="n">
        <v>0</v>
      </c>
      <c r="K130" t="n">
        <v>0</v>
      </c>
      <c r="L130" t="n">
        <v>0</v>
      </c>
      <c r="M130" t="n">
        <v>0</v>
      </c>
      <c r="N130" t="n">
        <v>0</v>
      </c>
      <c r="O130" t="n">
        <v>0</v>
      </c>
      <c r="P130" t="n">
        <v>0</v>
      </c>
      <c r="Q130" t="n">
        <v>1</v>
      </c>
      <c r="R130" s="2" t="inlineStr">
        <is>
          <t>Mörk husmossa</t>
        </is>
      </c>
      <c r="S130">
        <f>HYPERLINK("https://klasma.github.io/Logging_1737/artfynd/A 65767-2021 artfynd.xlsx", "A 65767-2021")</f>
        <v/>
      </c>
      <c r="T130">
        <f>HYPERLINK("https://klasma.github.io/Logging_1737/kartor/A 65767-2021 karta.png", "A 65767-2021")</f>
        <v/>
      </c>
      <c r="V130">
        <f>HYPERLINK("https://klasma.github.io/Logging_1737/klagomål/A 65767-2021 FSC-klagomål.docx", "A 65767-2021")</f>
        <v/>
      </c>
      <c r="W130">
        <f>HYPERLINK("https://klasma.github.io/Logging_1737/klagomålsmail/A 65767-2021 FSC-klagomål mail.docx", "A 65767-2021")</f>
        <v/>
      </c>
      <c r="X130">
        <f>HYPERLINK("https://klasma.github.io/Logging_1737/tillsyn/A 65767-2021 tillsynsbegäran.docx", "A 65767-2021")</f>
        <v/>
      </c>
      <c r="Y130">
        <f>HYPERLINK("https://klasma.github.io/Logging_1737/tillsynsmail/A 65767-2021 tillsynsbegäran mail.docx", "A 65767-2021")</f>
        <v/>
      </c>
    </row>
    <row r="131" ht="15" customHeight="1">
      <c r="A131" t="inlineStr">
        <is>
          <t>A 71594-2021</t>
        </is>
      </c>
      <c r="B131" s="1" t="n">
        <v>44541</v>
      </c>
      <c r="C131" s="1" t="n">
        <v>45711</v>
      </c>
      <c r="D131" t="inlineStr">
        <is>
          <t>VÄRMLANDS LÄN</t>
        </is>
      </c>
      <c r="E131" t="inlineStr">
        <is>
          <t>TORSBY</t>
        </is>
      </c>
      <c r="G131" t="n">
        <v>13.1</v>
      </c>
      <c r="H131" t="n">
        <v>0</v>
      </c>
      <c r="I131" t="n">
        <v>0</v>
      </c>
      <c r="J131" t="n">
        <v>1</v>
      </c>
      <c r="K131" t="n">
        <v>0</v>
      </c>
      <c r="L131" t="n">
        <v>0</v>
      </c>
      <c r="M131" t="n">
        <v>0</v>
      </c>
      <c r="N131" t="n">
        <v>0</v>
      </c>
      <c r="O131" t="n">
        <v>1</v>
      </c>
      <c r="P131" t="n">
        <v>0</v>
      </c>
      <c r="Q131" t="n">
        <v>1</v>
      </c>
      <c r="R131" s="2" t="inlineStr">
        <is>
          <t>Garnlav</t>
        </is>
      </c>
      <c r="S131">
        <f>HYPERLINK("https://klasma.github.io/Logging_1737/artfynd/A 71594-2021 artfynd.xlsx", "A 71594-2021")</f>
        <v/>
      </c>
      <c r="T131">
        <f>HYPERLINK("https://klasma.github.io/Logging_1737/kartor/A 71594-2021 karta.png", "A 71594-2021")</f>
        <v/>
      </c>
      <c r="V131">
        <f>HYPERLINK("https://klasma.github.io/Logging_1737/klagomål/A 71594-2021 FSC-klagomål.docx", "A 71594-2021")</f>
        <v/>
      </c>
      <c r="W131">
        <f>HYPERLINK("https://klasma.github.io/Logging_1737/klagomålsmail/A 71594-2021 FSC-klagomål mail.docx", "A 71594-2021")</f>
        <v/>
      </c>
      <c r="X131">
        <f>HYPERLINK("https://klasma.github.io/Logging_1737/tillsyn/A 71594-2021 tillsynsbegäran.docx", "A 71594-2021")</f>
        <v/>
      </c>
      <c r="Y131">
        <f>HYPERLINK("https://klasma.github.io/Logging_1737/tillsynsmail/A 71594-2021 tillsynsbegäran mail.docx", "A 71594-2021")</f>
        <v/>
      </c>
    </row>
    <row r="132" ht="15" customHeight="1">
      <c r="A132" t="inlineStr">
        <is>
          <t>A 3404-2022</t>
        </is>
      </c>
      <c r="B132" s="1" t="n">
        <v>44585</v>
      </c>
      <c r="C132" s="1" t="n">
        <v>45711</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Vedtrappmossa</t>
        </is>
      </c>
      <c r="S132">
        <f>HYPERLINK("https://klasma.github.io/Logging_1737/artfynd/A 3404-2022 artfynd.xlsx", "A 3404-2022")</f>
        <v/>
      </c>
      <c r="T132">
        <f>HYPERLINK("https://klasma.github.io/Logging_1737/kartor/A 3404-2022 karta.png", "A 3404-2022")</f>
        <v/>
      </c>
      <c r="V132">
        <f>HYPERLINK("https://klasma.github.io/Logging_1737/klagomål/A 3404-2022 FSC-klagomål.docx", "A 3404-2022")</f>
        <v/>
      </c>
      <c r="W132">
        <f>HYPERLINK("https://klasma.github.io/Logging_1737/klagomålsmail/A 3404-2022 FSC-klagomål mail.docx", "A 3404-2022")</f>
        <v/>
      </c>
      <c r="X132">
        <f>HYPERLINK("https://klasma.github.io/Logging_1737/tillsyn/A 3404-2022 tillsynsbegäran.docx", "A 3404-2022")</f>
        <v/>
      </c>
      <c r="Y132">
        <f>HYPERLINK("https://klasma.github.io/Logging_1737/tillsynsmail/A 3404-2022 tillsynsbegäran mail.docx", "A 3404-2022")</f>
        <v/>
      </c>
    </row>
    <row r="133" ht="15" customHeight="1">
      <c r="A133" t="inlineStr">
        <is>
          <t>A 16572-2022</t>
        </is>
      </c>
      <c r="B133" s="1" t="n">
        <v>44672</v>
      </c>
      <c r="C133" s="1" t="n">
        <v>45711</v>
      </c>
      <c r="D133" t="inlineStr">
        <is>
          <t>VÄRMLANDS LÄN</t>
        </is>
      </c>
      <c r="E133" t="inlineStr">
        <is>
          <t>TORSBY</t>
        </is>
      </c>
      <c r="G133" t="n">
        <v>2.6</v>
      </c>
      <c r="H133" t="n">
        <v>0</v>
      </c>
      <c r="I133" t="n">
        <v>0</v>
      </c>
      <c r="J133" t="n">
        <v>1</v>
      </c>
      <c r="K133" t="n">
        <v>0</v>
      </c>
      <c r="L133" t="n">
        <v>0</v>
      </c>
      <c r="M133" t="n">
        <v>0</v>
      </c>
      <c r="N133" t="n">
        <v>0</v>
      </c>
      <c r="O133" t="n">
        <v>1</v>
      </c>
      <c r="P133" t="n">
        <v>0</v>
      </c>
      <c r="Q133" t="n">
        <v>1</v>
      </c>
      <c r="R133" s="2" t="inlineStr">
        <is>
          <t>Skogsklocka</t>
        </is>
      </c>
      <c r="S133">
        <f>HYPERLINK("https://klasma.github.io/Logging_1737/artfynd/A 16572-2022 artfynd.xlsx", "A 16572-2022")</f>
        <v/>
      </c>
      <c r="T133">
        <f>HYPERLINK("https://klasma.github.io/Logging_1737/kartor/A 16572-2022 karta.png", "A 16572-2022")</f>
        <v/>
      </c>
      <c r="V133">
        <f>HYPERLINK("https://klasma.github.io/Logging_1737/klagomål/A 16572-2022 FSC-klagomål.docx", "A 16572-2022")</f>
        <v/>
      </c>
      <c r="W133">
        <f>HYPERLINK("https://klasma.github.io/Logging_1737/klagomålsmail/A 16572-2022 FSC-klagomål mail.docx", "A 16572-2022")</f>
        <v/>
      </c>
      <c r="X133">
        <f>HYPERLINK("https://klasma.github.io/Logging_1737/tillsyn/A 16572-2022 tillsynsbegäran.docx", "A 16572-2022")</f>
        <v/>
      </c>
      <c r="Y133">
        <f>HYPERLINK("https://klasma.github.io/Logging_1737/tillsynsmail/A 16572-2022 tillsynsbegäran mail.docx", "A 16572-2022")</f>
        <v/>
      </c>
    </row>
    <row r="134" ht="15" customHeight="1">
      <c r="A134" t="inlineStr">
        <is>
          <t>A 23486-2022</t>
        </is>
      </c>
      <c r="B134" s="1" t="n">
        <v>44721</v>
      </c>
      <c r="C134" s="1" t="n">
        <v>45711</v>
      </c>
      <c r="D134" t="inlineStr">
        <is>
          <t>VÄRMLANDS LÄN</t>
        </is>
      </c>
      <c r="E134" t="inlineStr">
        <is>
          <t>TORSBY</t>
        </is>
      </c>
      <c r="G134" t="n">
        <v>1</v>
      </c>
      <c r="H134" t="n">
        <v>0</v>
      </c>
      <c r="I134" t="n">
        <v>0</v>
      </c>
      <c r="J134" t="n">
        <v>1</v>
      </c>
      <c r="K134" t="n">
        <v>0</v>
      </c>
      <c r="L134" t="n">
        <v>0</v>
      </c>
      <c r="M134" t="n">
        <v>0</v>
      </c>
      <c r="N134" t="n">
        <v>0</v>
      </c>
      <c r="O134" t="n">
        <v>1</v>
      </c>
      <c r="P134" t="n">
        <v>0</v>
      </c>
      <c r="Q134" t="n">
        <v>1</v>
      </c>
      <c r="R134" s="2" t="inlineStr">
        <is>
          <t>Tallriska</t>
        </is>
      </c>
      <c r="S134">
        <f>HYPERLINK("https://klasma.github.io/Logging_1737/artfynd/A 23486-2022 artfynd.xlsx", "A 23486-2022")</f>
        <v/>
      </c>
      <c r="T134">
        <f>HYPERLINK("https://klasma.github.io/Logging_1737/kartor/A 23486-2022 karta.png", "A 23486-2022")</f>
        <v/>
      </c>
      <c r="V134">
        <f>HYPERLINK("https://klasma.github.io/Logging_1737/klagomål/A 23486-2022 FSC-klagomål.docx", "A 23486-2022")</f>
        <v/>
      </c>
      <c r="W134">
        <f>HYPERLINK("https://klasma.github.io/Logging_1737/klagomålsmail/A 23486-2022 FSC-klagomål mail.docx", "A 23486-2022")</f>
        <v/>
      </c>
      <c r="X134">
        <f>HYPERLINK("https://klasma.github.io/Logging_1737/tillsyn/A 23486-2022 tillsynsbegäran.docx", "A 23486-2022")</f>
        <v/>
      </c>
      <c r="Y134">
        <f>HYPERLINK("https://klasma.github.io/Logging_1737/tillsynsmail/A 23486-2022 tillsynsbegäran mail.docx", "A 23486-2022")</f>
        <v/>
      </c>
    </row>
    <row r="135" ht="15" customHeight="1">
      <c r="A135" t="inlineStr">
        <is>
          <t>A 25999-2022</t>
        </is>
      </c>
      <c r="B135" s="1" t="n">
        <v>44734</v>
      </c>
      <c r="C135" s="1" t="n">
        <v>45711</v>
      </c>
      <c r="D135" t="inlineStr">
        <is>
          <t>VÄRMLANDS LÄN</t>
        </is>
      </c>
      <c r="E135" t="inlineStr">
        <is>
          <t>TORSBY</t>
        </is>
      </c>
      <c r="G135" t="n">
        <v>0.6</v>
      </c>
      <c r="H135" t="n">
        <v>0</v>
      </c>
      <c r="I135" t="n">
        <v>1</v>
      </c>
      <c r="J135" t="n">
        <v>0</v>
      </c>
      <c r="K135" t="n">
        <v>0</v>
      </c>
      <c r="L135" t="n">
        <v>0</v>
      </c>
      <c r="M135" t="n">
        <v>0</v>
      </c>
      <c r="N135" t="n">
        <v>0</v>
      </c>
      <c r="O135" t="n">
        <v>0</v>
      </c>
      <c r="P135" t="n">
        <v>0</v>
      </c>
      <c r="Q135" t="n">
        <v>1</v>
      </c>
      <c r="R135" s="2" t="inlineStr">
        <is>
          <t>Korallblylav</t>
        </is>
      </c>
      <c r="S135">
        <f>HYPERLINK("https://klasma.github.io/Logging_1737/artfynd/A 25999-2022 artfynd.xlsx", "A 25999-2022")</f>
        <v/>
      </c>
      <c r="T135">
        <f>HYPERLINK("https://klasma.github.io/Logging_1737/kartor/A 25999-2022 karta.png", "A 25999-2022")</f>
        <v/>
      </c>
      <c r="V135">
        <f>HYPERLINK("https://klasma.github.io/Logging_1737/klagomål/A 25999-2022 FSC-klagomål.docx", "A 25999-2022")</f>
        <v/>
      </c>
      <c r="W135">
        <f>HYPERLINK("https://klasma.github.io/Logging_1737/klagomålsmail/A 25999-2022 FSC-klagomål mail.docx", "A 25999-2022")</f>
        <v/>
      </c>
      <c r="X135">
        <f>HYPERLINK("https://klasma.github.io/Logging_1737/tillsyn/A 25999-2022 tillsynsbegäran.docx", "A 25999-2022")</f>
        <v/>
      </c>
      <c r="Y135">
        <f>HYPERLINK("https://klasma.github.io/Logging_1737/tillsynsmail/A 25999-2022 tillsynsbegäran mail.docx", "A 25999-2022")</f>
        <v/>
      </c>
    </row>
    <row r="136" ht="15" customHeight="1">
      <c r="A136" t="inlineStr">
        <is>
          <t>A 35709-2022</t>
        </is>
      </c>
      <c r="B136" s="1" t="n">
        <v>44799</v>
      </c>
      <c r="C136" s="1" t="n">
        <v>45711</v>
      </c>
      <c r="D136" t="inlineStr">
        <is>
          <t>VÄRMLANDS LÄN</t>
        </is>
      </c>
      <c r="E136" t="inlineStr">
        <is>
          <t>TORSBY</t>
        </is>
      </c>
      <c r="G136" t="n">
        <v>4.4</v>
      </c>
      <c r="H136" t="n">
        <v>0</v>
      </c>
      <c r="I136" t="n">
        <v>1</v>
      </c>
      <c r="J136" t="n">
        <v>0</v>
      </c>
      <c r="K136" t="n">
        <v>0</v>
      </c>
      <c r="L136" t="n">
        <v>0</v>
      </c>
      <c r="M136" t="n">
        <v>0</v>
      </c>
      <c r="N136" t="n">
        <v>0</v>
      </c>
      <c r="O136" t="n">
        <v>0</v>
      </c>
      <c r="P136" t="n">
        <v>0</v>
      </c>
      <c r="Q136" t="n">
        <v>1</v>
      </c>
      <c r="R136" s="2" t="inlineStr">
        <is>
          <t>Dropptaggsvamp</t>
        </is>
      </c>
      <c r="S136">
        <f>HYPERLINK("https://klasma.github.io/Logging_1737/artfynd/A 35709-2022 artfynd.xlsx", "A 35709-2022")</f>
        <v/>
      </c>
      <c r="T136">
        <f>HYPERLINK("https://klasma.github.io/Logging_1737/kartor/A 35709-2022 karta.png", "A 35709-2022")</f>
        <v/>
      </c>
      <c r="V136">
        <f>HYPERLINK("https://klasma.github.io/Logging_1737/klagomål/A 35709-2022 FSC-klagomål.docx", "A 35709-2022")</f>
        <v/>
      </c>
      <c r="W136">
        <f>HYPERLINK("https://klasma.github.io/Logging_1737/klagomålsmail/A 35709-2022 FSC-klagomål mail.docx", "A 35709-2022")</f>
        <v/>
      </c>
      <c r="X136">
        <f>HYPERLINK("https://klasma.github.io/Logging_1737/tillsyn/A 35709-2022 tillsynsbegäran.docx", "A 35709-2022")</f>
        <v/>
      </c>
      <c r="Y136">
        <f>HYPERLINK("https://klasma.github.io/Logging_1737/tillsynsmail/A 35709-2022 tillsynsbegäran mail.docx", "A 35709-2022")</f>
        <v/>
      </c>
    </row>
    <row r="137" ht="15" customHeight="1">
      <c r="A137" t="inlineStr">
        <is>
          <t>A 42500-2022</t>
        </is>
      </c>
      <c r="B137" s="1" t="n">
        <v>44831</v>
      </c>
      <c r="C137" s="1" t="n">
        <v>45711</v>
      </c>
      <c r="D137" t="inlineStr">
        <is>
          <t>VÄRMLANDS LÄN</t>
        </is>
      </c>
      <c r="E137" t="inlineStr">
        <is>
          <t>TORSBY</t>
        </is>
      </c>
      <c r="F137" t="inlineStr">
        <is>
          <t>Kommuner</t>
        </is>
      </c>
      <c r="G137" t="n">
        <v>2.3</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42500-2022 artfynd.xlsx", "A 42500-2022")</f>
        <v/>
      </c>
      <c r="T137">
        <f>HYPERLINK("https://klasma.github.io/Logging_1737/kartor/A 42500-2022 karta.png", "A 42500-2022")</f>
        <v/>
      </c>
      <c r="U137">
        <f>HYPERLINK("https://klasma.github.io/Logging_1737/knärot/A 42500-2022 karta knärot.png", "A 42500-2022")</f>
        <v/>
      </c>
      <c r="V137">
        <f>HYPERLINK("https://klasma.github.io/Logging_1737/klagomål/A 42500-2022 FSC-klagomål.docx", "A 42500-2022")</f>
        <v/>
      </c>
      <c r="W137">
        <f>HYPERLINK("https://klasma.github.io/Logging_1737/klagomålsmail/A 42500-2022 FSC-klagomål mail.docx", "A 42500-2022")</f>
        <v/>
      </c>
      <c r="X137">
        <f>HYPERLINK("https://klasma.github.io/Logging_1737/tillsyn/A 42500-2022 tillsynsbegäran.docx", "A 42500-2022")</f>
        <v/>
      </c>
      <c r="Y137">
        <f>HYPERLINK("https://klasma.github.io/Logging_1737/tillsynsmail/A 42500-2022 tillsynsbegäran mail.docx", "A 42500-2022")</f>
        <v/>
      </c>
    </row>
    <row r="138" ht="15" customHeight="1">
      <c r="A138" t="inlineStr">
        <is>
          <t>A 44007-2022</t>
        </is>
      </c>
      <c r="B138" s="1" t="n">
        <v>44838</v>
      </c>
      <c r="C138" s="1" t="n">
        <v>45711</v>
      </c>
      <c r="D138" t="inlineStr">
        <is>
          <t>VÄRMLANDS LÄN</t>
        </is>
      </c>
      <c r="E138" t="inlineStr">
        <is>
          <t>TORSBY</t>
        </is>
      </c>
      <c r="F138" t="inlineStr">
        <is>
          <t>Bergvik skog väst AB</t>
        </is>
      </c>
      <c r="G138" t="n">
        <v>8</v>
      </c>
      <c r="H138" t="n">
        <v>1</v>
      </c>
      <c r="I138" t="n">
        <v>0</v>
      </c>
      <c r="J138" t="n">
        <v>1</v>
      </c>
      <c r="K138" t="n">
        <v>0</v>
      </c>
      <c r="L138" t="n">
        <v>0</v>
      </c>
      <c r="M138" t="n">
        <v>0</v>
      </c>
      <c r="N138" t="n">
        <v>0</v>
      </c>
      <c r="O138" t="n">
        <v>1</v>
      </c>
      <c r="P138" t="n">
        <v>0</v>
      </c>
      <c r="Q138" t="n">
        <v>1</v>
      </c>
      <c r="R138" s="2" t="inlineStr">
        <is>
          <t>Utter</t>
        </is>
      </c>
      <c r="S138">
        <f>HYPERLINK("https://klasma.github.io/Logging_1737/artfynd/A 44007-2022 artfynd.xlsx", "A 44007-2022")</f>
        <v/>
      </c>
      <c r="T138">
        <f>HYPERLINK("https://klasma.github.io/Logging_1737/kartor/A 44007-2022 karta.png", "A 44007-2022")</f>
        <v/>
      </c>
      <c r="V138">
        <f>HYPERLINK("https://klasma.github.io/Logging_1737/klagomål/A 44007-2022 FSC-klagomål.docx", "A 44007-2022")</f>
        <v/>
      </c>
      <c r="W138">
        <f>HYPERLINK("https://klasma.github.io/Logging_1737/klagomålsmail/A 44007-2022 FSC-klagomål mail.docx", "A 44007-2022")</f>
        <v/>
      </c>
      <c r="X138">
        <f>HYPERLINK("https://klasma.github.io/Logging_1737/tillsyn/A 44007-2022 tillsynsbegäran.docx", "A 44007-2022")</f>
        <v/>
      </c>
      <c r="Y138">
        <f>HYPERLINK("https://klasma.github.io/Logging_1737/tillsynsmail/A 44007-2022 tillsynsbegäran mail.docx", "A 44007-2022")</f>
        <v/>
      </c>
    </row>
    <row r="139" ht="15" customHeight="1">
      <c r="A139" t="inlineStr">
        <is>
          <t>A 50236-2022</t>
        </is>
      </c>
      <c r="B139" s="1" t="n">
        <v>44865</v>
      </c>
      <c r="C139" s="1" t="n">
        <v>45711</v>
      </c>
      <c r="D139" t="inlineStr">
        <is>
          <t>VÄRMLANDS LÄN</t>
        </is>
      </c>
      <c r="E139" t="inlineStr">
        <is>
          <t>TORSBY</t>
        </is>
      </c>
      <c r="G139" t="n">
        <v>2.3</v>
      </c>
      <c r="H139" t="n">
        <v>0</v>
      </c>
      <c r="I139" t="n">
        <v>0</v>
      </c>
      <c r="J139" t="n">
        <v>1</v>
      </c>
      <c r="K139" t="n">
        <v>0</v>
      </c>
      <c r="L139" t="n">
        <v>0</v>
      </c>
      <c r="M139" t="n">
        <v>0</v>
      </c>
      <c r="N139" t="n">
        <v>0</v>
      </c>
      <c r="O139" t="n">
        <v>1</v>
      </c>
      <c r="P139" t="n">
        <v>0</v>
      </c>
      <c r="Q139" t="n">
        <v>1</v>
      </c>
      <c r="R139" s="2" t="inlineStr">
        <is>
          <t>Garnlav</t>
        </is>
      </c>
      <c r="S139">
        <f>HYPERLINK("https://klasma.github.io/Logging_1737/artfynd/A 50236-2022 artfynd.xlsx", "A 50236-2022")</f>
        <v/>
      </c>
      <c r="T139">
        <f>HYPERLINK("https://klasma.github.io/Logging_1737/kartor/A 50236-2022 karta.png", "A 50236-2022")</f>
        <v/>
      </c>
      <c r="V139">
        <f>HYPERLINK("https://klasma.github.io/Logging_1737/klagomål/A 50236-2022 FSC-klagomål.docx", "A 50236-2022")</f>
        <v/>
      </c>
      <c r="W139">
        <f>HYPERLINK("https://klasma.github.io/Logging_1737/klagomålsmail/A 50236-2022 FSC-klagomål mail.docx", "A 50236-2022")</f>
        <v/>
      </c>
      <c r="X139">
        <f>HYPERLINK("https://klasma.github.io/Logging_1737/tillsyn/A 50236-2022 tillsynsbegäran.docx", "A 50236-2022")</f>
        <v/>
      </c>
      <c r="Y139">
        <f>HYPERLINK("https://klasma.github.io/Logging_1737/tillsynsmail/A 50236-2022 tillsynsbegäran mail.docx", "A 50236-2022")</f>
        <v/>
      </c>
    </row>
    <row r="140" ht="15" customHeight="1">
      <c r="A140" t="inlineStr">
        <is>
          <t>A 51288-2022</t>
        </is>
      </c>
      <c r="B140" s="1" t="n">
        <v>44868</v>
      </c>
      <c r="C140" s="1" t="n">
        <v>45711</v>
      </c>
      <c r="D140" t="inlineStr">
        <is>
          <t>VÄRMLANDS LÄN</t>
        </is>
      </c>
      <c r="E140" t="inlineStr">
        <is>
          <t>TORSBY</t>
        </is>
      </c>
      <c r="G140" t="n">
        <v>1.9</v>
      </c>
      <c r="H140" t="n">
        <v>1</v>
      </c>
      <c r="I140" t="n">
        <v>0</v>
      </c>
      <c r="J140" t="n">
        <v>0</v>
      </c>
      <c r="K140" t="n">
        <v>1</v>
      </c>
      <c r="L140" t="n">
        <v>0</v>
      </c>
      <c r="M140" t="n">
        <v>0</v>
      </c>
      <c r="N140" t="n">
        <v>0</v>
      </c>
      <c r="O140" t="n">
        <v>1</v>
      </c>
      <c r="P140" t="n">
        <v>1</v>
      </c>
      <c r="Q140" t="n">
        <v>1</v>
      </c>
      <c r="R140" s="2" t="inlineStr">
        <is>
          <t>Bombmurkla</t>
        </is>
      </c>
      <c r="S140">
        <f>HYPERLINK("https://klasma.github.io/Logging_1737/artfynd/A 51288-2022 artfynd.xlsx", "A 51288-2022")</f>
        <v/>
      </c>
      <c r="T140">
        <f>HYPERLINK("https://klasma.github.io/Logging_1737/kartor/A 51288-2022 karta.png", "A 51288-2022")</f>
        <v/>
      </c>
      <c r="V140">
        <f>HYPERLINK("https://klasma.github.io/Logging_1737/klagomål/A 51288-2022 FSC-klagomål.docx", "A 51288-2022")</f>
        <v/>
      </c>
      <c r="W140">
        <f>HYPERLINK("https://klasma.github.io/Logging_1737/klagomålsmail/A 51288-2022 FSC-klagomål mail.docx", "A 51288-2022")</f>
        <v/>
      </c>
      <c r="X140">
        <f>HYPERLINK("https://klasma.github.io/Logging_1737/tillsyn/A 51288-2022 tillsynsbegäran.docx", "A 51288-2022")</f>
        <v/>
      </c>
      <c r="Y140">
        <f>HYPERLINK("https://klasma.github.io/Logging_1737/tillsynsmail/A 51288-2022 tillsynsbegäran mail.docx", "A 51288-2022")</f>
        <v/>
      </c>
    </row>
    <row r="141" ht="15" customHeight="1">
      <c r="A141" t="inlineStr">
        <is>
          <t>A 13361-2023</t>
        </is>
      </c>
      <c r="B141" s="1" t="n">
        <v>45005</v>
      </c>
      <c r="C141" s="1" t="n">
        <v>45711</v>
      </c>
      <c r="D141" t="inlineStr">
        <is>
          <t>VÄRMLANDS LÄN</t>
        </is>
      </c>
      <c r="E141" t="inlineStr">
        <is>
          <t>TORSBY</t>
        </is>
      </c>
      <c r="G141" t="n">
        <v>8.5</v>
      </c>
      <c r="H141" t="n">
        <v>0</v>
      </c>
      <c r="I141" t="n">
        <v>1</v>
      </c>
      <c r="J141" t="n">
        <v>0</v>
      </c>
      <c r="K141" t="n">
        <v>0</v>
      </c>
      <c r="L141" t="n">
        <v>0</v>
      </c>
      <c r="M141" t="n">
        <v>0</v>
      </c>
      <c r="N141" t="n">
        <v>0</v>
      </c>
      <c r="O141" t="n">
        <v>0</v>
      </c>
      <c r="P141" t="n">
        <v>0</v>
      </c>
      <c r="Q141" t="n">
        <v>1</v>
      </c>
      <c r="R141" s="2" t="inlineStr">
        <is>
          <t>Dropptaggsvamp</t>
        </is>
      </c>
      <c r="S141">
        <f>HYPERLINK("https://klasma.github.io/Logging_1737/artfynd/A 13361-2023 artfynd.xlsx", "A 13361-2023")</f>
        <v/>
      </c>
      <c r="T141">
        <f>HYPERLINK("https://klasma.github.io/Logging_1737/kartor/A 13361-2023 karta.png", "A 13361-2023")</f>
        <v/>
      </c>
      <c r="V141">
        <f>HYPERLINK("https://klasma.github.io/Logging_1737/klagomål/A 13361-2023 FSC-klagomål.docx", "A 13361-2023")</f>
        <v/>
      </c>
      <c r="W141">
        <f>HYPERLINK("https://klasma.github.io/Logging_1737/klagomålsmail/A 13361-2023 FSC-klagomål mail.docx", "A 13361-2023")</f>
        <v/>
      </c>
      <c r="X141">
        <f>HYPERLINK("https://klasma.github.io/Logging_1737/tillsyn/A 13361-2023 tillsynsbegäran.docx", "A 13361-2023")</f>
        <v/>
      </c>
      <c r="Y141">
        <f>HYPERLINK("https://klasma.github.io/Logging_1737/tillsynsmail/A 13361-2023 tillsynsbegäran mail.docx", "A 13361-2023")</f>
        <v/>
      </c>
    </row>
    <row r="142" ht="15" customHeight="1">
      <c r="A142" t="inlineStr">
        <is>
          <t>A 13359-2023</t>
        </is>
      </c>
      <c r="B142" s="1" t="n">
        <v>45005</v>
      </c>
      <c r="C142" s="1" t="n">
        <v>45711</v>
      </c>
      <c r="D142" t="inlineStr">
        <is>
          <t>VÄRMLANDS LÄN</t>
        </is>
      </c>
      <c r="E142" t="inlineStr">
        <is>
          <t>TORSBY</t>
        </is>
      </c>
      <c r="G142" t="n">
        <v>12.9</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13359-2023 artfynd.xlsx", "A 13359-2023")</f>
        <v/>
      </c>
      <c r="T142">
        <f>HYPERLINK("https://klasma.github.io/Logging_1737/kartor/A 13359-2023 karta.png", "A 13359-2023")</f>
        <v/>
      </c>
      <c r="V142">
        <f>HYPERLINK("https://klasma.github.io/Logging_1737/klagomål/A 13359-2023 FSC-klagomål.docx", "A 13359-2023")</f>
        <v/>
      </c>
      <c r="W142">
        <f>HYPERLINK("https://klasma.github.io/Logging_1737/klagomålsmail/A 13359-2023 FSC-klagomål mail.docx", "A 13359-2023")</f>
        <v/>
      </c>
      <c r="X142">
        <f>HYPERLINK("https://klasma.github.io/Logging_1737/tillsyn/A 13359-2023 tillsynsbegäran.docx", "A 13359-2023")</f>
        <v/>
      </c>
      <c r="Y142">
        <f>HYPERLINK("https://klasma.github.io/Logging_1737/tillsynsmail/A 13359-2023 tillsynsbegäran mail.docx", "A 13359-2023")</f>
        <v/>
      </c>
    </row>
    <row r="143" ht="15" customHeight="1">
      <c r="A143" t="inlineStr">
        <is>
          <t>A 15548-2023</t>
        </is>
      </c>
      <c r="B143" s="1" t="n">
        <v>45020</v>
      </c>
      <c r="C143" s="1" t="n">
        <v>45711</v>
      </c>
      <c r="D143" t="inlineStr">
        <is>
          <t>VÄRMLANDS LÄN</t>
        </is>
      </c>
      <c r="E143" t="inlineStr">
        <is>
          <t>TORSBY</t>
        </is>
      </c>
      <c r="G143" t="n">
        <v>0.6</v>
      </c>
      <c r="H143" t="n">
        <v>1</v>
      </c>
      <c r="I143" t="n">
        <v>0</v>
      </c>
      <c r="J143" t="n">
        <v>1</v>
      </c>
      <c r="K143" t="n">
        <v>0</v>
      </c>
      <c r="L143" t="n">
        <v>0</v>
      </c>
      <c r="M143" t="n">
        <v>0</v>
      </c>
      <c r="N143" t="n">
        <v>0</v>
      </c>
      <c r="O143" t="n">
        <v>1</v>
      </c>
      <c r="P143" t="n">
        <v>0</v>
      </c>
      <c r="Q143" t="n">
        <v>1</v>
      </c>
      <c r="R143" s="2" t="inlineStr">
        <is>
          <t>Spillkråka</t>
        </is>
      </c>
      <c r="S143">
        <f>HYPERLINK("https://klasma.github.io/Logging_1737/artfynd/A 15548-2023 artfynd.xlsx", "A 15548-2023")</f>
        <v/>
      </c>
      <c r="T143">
        <f>HYPERLINK("https://klasma.github.io/Logging_1737/kartor/A 15548-2023 karta.png", "A 15548-2023")</f>
        <v/>
      </c>
      <c r="V143">
        <f>HYPERLINK("https://klasma.github.io/Logging_1737/klagomål/A 15548-2023 FSC-klagomål.docx", "A 15548-2023")</f>
        <v/>
      </c>
      <c r="W143">
        <f>HYPERLINK("https://klasma.github.io/Logging_1737/klagomålsmail/A 15548-2023 FSC-klagomål mail.docx", "A 15548-2023")</f>
        <v/>
      </c>
      <c r="X143">
        <f>HYPERLINK("https://klasma.github.io/Logging_1737/tillsyn/A 15548-2023 tillsynsbegäran.docx", "A 15548-2023")</f>
        <v/>
      </c>
      <c r="Y143">
        <f>HYPERLINK("https://klasma.github.io/Logging_1737/tillsynsmail/A 15548-2023 tillsynsbegäran mail.docx", "A 15548-2023")</f>
        <v/>
      </c>
      <c r="Z143">
        <f>HYPERLINK("https://klasma.github.io/Logging_1737/fåglar/A 15548-2023 prioriterade fågelarter.docx", "A 15548-2023")</f>
        <v/>
      </c>
    </row>
    <row r="144" ht="15" customHeight="1">
      <c r="A144" t="inlineStr">
        <is>
          <t>A 18882-2023</t>
        </is>
      </c>
      <c r="B144" s="1" t="n">
        <v>45044</v>
      </c>
      <c r="C144" s="1" t="n">
        <v>45711</v>
      </c>
      <c r="D144" t="inlineStr">
        <is>
          <t>VÄRMLANDS LÄN</t>
        </is>
      </c>
      <c r="E144" t="inlineStr">
        <is>
          <t>TORSBY</t>
        </is>
      </c>
      <c r="G144" t="n">
        <v>3</v>
      </c>
      <c r="H144" t="n">
        <v>0</v>
      </c>
      <c r="I144" t="n">
        <v>0</v>
      </c>
      <c r="J144" t="n">
        <v>1</v>
      </c>
      <c r="K144" t="n">
        <v>0</v>
      </c>
      <c r="L144" t="n">
        <v>0</v>
      </c>
      <c r="M144" t="n">
        <v>0</v>
      </c>
      <c r="N144" t="n">
        <v>0</v>
      </c>
      <c r="O144" t="n">
        <v>1</v>
      </c>
      <c r="P144" t="n">
        <v>0</v>
      </c>
      <c r="Q144" t="n">
        <v>1</v>
      </c>
      <c r="R144" s="2" t="inlineStr">
        <is>
          <t>Violettgrå tagellav</t>
        </is>
      </c>
      <c r="S144">
        <f>HYPERLINK("https://klasma.github.io/Logging_1737/artfynd/A 18882-2023 artfynd.xlsx", "A 18882-2023")</f>
        <v/>
      </c>
      <c r="T144">
        <f>HYPERLINK("https://klasma.github.io/Logging_1737/kartor/A 18882-2023 karta.png", "A 18882-2023")</f>
        <v/>
      </c>
      <c r="V144">
        <f>HYPERLINK("https://klasma.github.io/Logging_1737/klagomål/A 18882-2023 FSC-klagomål.docx", "A 18882-2023")</f>
        <v/>
      </c>
      <c r="W144">
        <f>HYPERLINK("https://klasma.github.io/Logging_1737/klagomålsmail/A 18882-2023 FSC-klagomål mail.docx", "A 18882-2023")</f>
        <v/>
      </c>
      <c r="X144">
        <f>HYPERLINK("https://klasma.github.io/Logging_1737/tillsyn/A 18882-2023 tillsynsbegäran.docx", "A 18882-2023")</f>
        <v/>
      </c>
      <c r="Y144">
        <f>HYPERLINK("https://klasma.github.io/Logging_1737/tillsynsmail/A 18882-2023 tillsynsbegäran mail.docx", "A 18882-2023")</f>
        <v/>
      </c>
    </row>
    <row r="145" ht="15" customHeight="1">
      <c r="A145" t="inlineStr">
        <is>
          <t>A 19669-2023</t>
        </is>
      </c>
      <c r="B145" s="1" t="n">
        <v>45051</v>
      </c>
      <c r="C145" s="1" t="n">
        <v>45711</v>
      </c>
      <c r="D145" t="inlineStr">
        <is>
          <t>VÄRMLANDS LÄN</t>
        </is>
      </c>
      <c r="E145" t="inlineStr">
        <is>
          <t>TORSBY</t>
        </is>
      </c>
      <c r="F145" t="inlineStr">
        <is>
          <t>Kyrkan</t>
        </is>
      </c>
      <c r="G145" t="n">
        <v>5.2</v>
      </c>
      <c r="H145" t="n">
        <v>1</v>
      </c>
      <c r="I145" t="n">
        <v>0</v>
      </c>
      <c r="J145" t="n">
        <v>1</v>
      </c>
      <c r="K145" t="n">
        <v>0</v>
      </c>
      <c r="L145" t="n">
        <v>0</v>
      </c>
      <c r="M145" t="n">
        <v>0</v>
      </c>
      <c r="N145" t="n">
        <v>0</v>
      </c>
      <c r="O145" t="n">
        <v>1</v>
      </c>
      <c r="P145" t="n">
        <v>0</v>
      </c>
      <c r="Q145" t="n">
        <v>1</v>
      </c>
      <c r="R145" s="2" t="inlineStr">
        <is>
          <t>Utter</t>
        </is>
      </c>
      <c r="S145">
        <f>HYPERLINK("https://klasma.github.io/Logging_1737/artfynd/A 19669-2023 artfynd.xlsx", "A 19669-2023")</f>
        <v/>
      </c>
      <c r="T145">
        <f>HYPERLINK("https://klasma.github.io/Logging_1737/kartor/A 19669-2023 karta.png", "A 19669-2023")</f>
        <v/>
      </c>
      <c r="V145">
        <f>HYPERLINK("https://klasma.github.io/Logging_1737/klagomål/A 19669-2023 FSC-klagomål.docx", "A 19669-2023")</f>
        <v/>
      </c>
      <c r="W145">
        <f>HYPERLINK("https://klasma.github.io/Logging_1737/klagomålsmail/A 19669-2023 FSC-klagomål mail.docx", "A 19669-2023")</f>
        <v/>
      </c>
      <c r="X145">
        <f>HYPERLINK("https://klasma.github.io/Logging_1737/tillsyn/A 19669-2023 tillsynsbegäran.docx", "A 19669-2023")</f>
        <v/>
      </c>
      <c r="Y145">
        <f>HYPERLINK("https://klasma.github.io/Logging_1737/tillsynsmail/A 19669-2023 tillsynsbegäran mail.docx", "A 19669-2023")</f>
        <v/>
      </c>
    </row>
    <row r="146" ht="15" customHeight="1">
      <c r="A146" t="inlineStr">
        <is>
          <t>A 26747-2023</t>
        </is>
      </c>
      <c r="B146" s="1" t="n">
        <v>45090</v>
      </c>
      <c r="C146" s="1" t="n">
        <v>45711</v>
      </c>
      <c r="D146" t="inlineStr">
        <is>
          <t>VÄRMLANDS LÄN</t>
        </is>
      </c>
      <c r="E146" t="inlineStr">
        <is>
          <t>TORSBY</t>
        </is>
      </c>
      <c r="F146" t="inlineStr">
        <is>
          <t>Övriga statliga verk och myndigheter</t>
        </is>
      </c>
      <c r="G146" t="n">
        <v>4.5</v>
      </c>
      <c r="H146" t="n">
        <v>0</v>
      </c>
      <c r="I146" t="n">
        <v>0</v>
      </c>
      <c r="J146" t="n">
        <v>1</v>
      </c>
      <c r="K146" t="n">
        <v>0</v>
      </c>
      <c r="L146" t="n">
        <v>0</v>
      </c>
      <c r="M146" t="n">
        <v>0</v>
      </c>
      <c r="N146" t="n">
        <v>0</v>
      </c>
      <c r="O146" t="n">
        <v>1</v>
      </c>
      <c r="P146" t="n">
        <v>0</v>
      </c>
      <c r="Q146" t="n">
        <v>1</v>
      </c>
      <c r="R146" s="2" t="inlineStr">
        <is>
          <t>Garnlav</t>
        </is>
      </c>
      <c r="S146">
        <f>HYPERLINK("https://klasma.github.io/Logging_1737/artfynd/A 26747-2023 artfynd.xlsx", "A 26747-2023")</f>
        <v/>
      </c>
      <c r="T146">
        <f>HYPERLINK("https://klasma.github.io/Logging_1737/kartor/A 26747-2023 karta.png", "A 26747-2023")</f>
        <v/>
      </c>
      <c r="V146">
        <f>HYPERLINK("https://klasma.github.io/Logging_1737/klagomål/A 26747-2023 FSC-klagomål.docx", "A 26747-2023")</f>
        <v/>
      </c>
      <c r="W146">
        <f>HYPERLINK("https://klasma.github.io/Logging_1737/klagomålsmail/A 26747-2023 FSC-klagomål mail.docx", "A 26747-2023")</f>
        <v/>
      </c>
      <c r="X146">
        <f>HYPERLINK("https://klasma.github.io/Logging_1737/tillsyn/A 26747-2023 tillsynsbegäran.docx", "A 26747-2023")</f>
        <v/>
      </c>
      <c r="Y146">
        <f>HYPERLINK("https://klasma.github.io/Logging_1737/tillsynsmail/A 26747-2023 tillsynsbegäran mail.docx", "A 26747-2023")</f>
        <v/>
      </c>
    </row>
    <row r="147" ht="15" customHeight="1">
      <c r="A147" t="inlineStr">
        <is>
          <t>A 33835-2023</t>
        </is>
      </c>
      <c r="B147" s="1" t="n">
        <v>45133</v>
      </c>
      <c r="C147" s="1" t="n">
        <v>45711</v>
      </c>
      <c r="D147" t="inlineStr">
        <is>
          <t>VÄRMLANDS LÄN</t>
        </is>
      </c>
      <c r="E147" t="inlineStr">
        <is>
          <t>TORSBY</t>
        </is>
      </c>
      <c r="F147" t="inlineStr">
        <is>
          <t>Bergvik skog väst AB</t>
        </is>
      </c>
      <c r="G147" t="n">
        <v>17.3</v>
      </c>
      <c r="H147" t="n">
        <v>1</v>
      </c>
      <c r="I147" t="n">
        <v>0</v>
      </c>
      <c r="J147" t="n">
        <v>0</v>
      </c>
      <c r="K147" t="n">
        <v>0</v>
      </c>
      <c r="L147" t="n">
        <v>0</v>
      </c>
      <c r="M147" t="n">
        <v>0</v>
      </c>
      <c r="N147" t="n">
        <v>0</v>
      </c>
      <c r="O147" t="n">
        <v>0</v>
      </c>
      <c r="P147" t="n">
        <v>0</v>
      </c>
      <c r="Q147" t="n">
        <v>1</v>
      </c>
      <c r="R147" s="2" t="inlineStr">
        <is>
          <t>Sparvuggla</t>
        </is>
      </c>
      <c r="S147">
        <f>HYPERLINK("https://klasma.github.io/Logging_1737/artfynd/A 33835-2023 artfynd.xlsx", "A 33835-2023")</f>
        <v/>
      </c>
      <c r="T147">
        <f>HYPERLINK("https://klasma.github.io/Logging_1737/kartor/A 33835-2023 karta.png", "A 33835-2023")</f>
        <v/>
      </c>
      <c r="V147">
        <f>HYPERLINK("https://klasma.github.io/Logging_1737/klagomål/A 33835-2023 FSC-klagomål.docx", "A 33835-2023")</f>
        <v/>
      </c>
      <c r="W147">
        <f>HYPERLINK("https://klasma.github.io/Logging_1737/klagomålsmail/A 33835-2023 FSC-klagomål mail.docx", "A 33835-2023")</f>
        <v/>
      </c>
      <c r="X147">
        <f>HYPERLINK("https://klasma.github.io/Logging_1737/tillsyn/A 33835-2023 tillsynsbegäran.docx", "A 33835-2023")</f>
        <v/>
      </c>
      <c r="Y147">
        <f>HYPERLINK("https://klasma.github.io/Logging_1737/tillsynsmail/A 33835-2023 tillsynsbegäran mail.docx", "A 33835-2023")</f>
        <v/>
      </c>
      <c r="Z147">
        <f>HYPERLINK("https://klasma.github.io/Logging_1737/fåglar/A 33835-2023 prioriterade fågelarter.docx", "A 33835-2023")</f>
        <v/>
      </c>
    </row>
    <row r="148" ht="15" customHeight="1">
      <c r="A148" t="inlineStr">
        <is>
          <t>A 35809-2023</t>
        </is>
      </c>
      <c r="B148" s="1" t="n">
        <v>45147</v>
      </c>
      <c r="C148" s="1" t="n">
        <v>45711</v>
      </c>
      <c r="D148" t="inlineStr">
        <is>
          <t>VÄRMLANDS LÄN</t>
        </is>
      </c>
      <c r="E148" t="inlineStr">
        <is>
          <t>TORSBY</t>
        </is>
      </c>
      <c r="F148" t="inlineStr">
        <is>
          <t>Övriga statliga verk och myndigheter</t>
        </is>
      </c>
      <c r="G148" t="n">
        <v>7.2</v>
      </c>
      <c r="H148" t="n">
        <v>1</v>
      </c>
      <c r="I148" t="n">
        <v>0</v>
      </c>
      <c r="J148" t="n">
        <v>0</v>
      </c>
      <c r="K148" t="n">
        <v>0</v>
      </c>
      <c r="L148" t="n">
        <v>0</v>
      </c>
      <c r="M148" t="n">
        <v>0</v>
      </c>
      <c r="N148" t="n">
        <v>0</v>
      </c>
      <c r="O148" t="n">
        <v>0</v>
      </c>
      <c r="P148" t="n">
        <v>0</v>
      </c>
      <c r="Q148" t="n">
        <v>1</v>
      </c>
      <c r="R148" s="2" t="inlineStr">
        <is>
          <t>Fläcknycklar</t>
        </is>
      </c>
      <c r="S148">
        <f>HYPERLINK("https://klasma.github.io/Logging_1737/artfynd/A 35809-2023 artfynd.xlsx", "A 35809-2023")</f>
        <v/>
      </c>
      <c r="T148">
        <f>HYPERLINK("https://klasma.github.io/Logging_1737/kartor/A 35809-2023 karta.png", "A 35809-2023")</f>
        <v/>
      </c>
      <c r="V148">
        <f>HYPERLINK("https://klasma.github.io/Logging_1737/klagomål/A 35809-2023 FSC-klagomål.docx", "A 35809-2023")</f>
        <v/>
      </c>
      <c r="W148">
        <f>HYPERLINK("https://klasma.github.io/Logging_1737/klagomålsmail/A 35809-2023 FSC-klagomål mail.docx", "A 35809-2023")</f>
        <v/>
      </c>
      <c r="X148">
        <f>HYPERLINK("https://klasma.github.io/Logging_1737/tillsyn/A 35809-2023 tillsynsbegäran.docx", "A 35809-2023")</f>
        <v/>
      </c>
      <c r="Y148">
        <f>HYPERLINK("https://klasma.github.io/Logging_1737/tillsynsmail/A 35809-2023 tillsynsbegäran mail.docx", "A 35809-2023")</f>
        <v/>
      </c>
    </row>
    <row r="149" ht="15" customHeight="1">
      <c r="A149" t="inlineStr">
        <is>
          <t>A 39681-2023</t>
        </is>
      </c>
      <c r="B149" s="1" t="n">
        <v>45167</v>
      </c>
      <c r="C149" s="1" t="n">
        <v>45711</v>
      </c>
      <c r="D149" t="inlineStr">
        <is>
          <t>VÄRMLANDS LÄN</t>
        </is>
      </c>
      <c r="E149" t="inlineStr">
        <is>
          <t>TORSBY</t>
        </is>
      </c>
      <c r="G149" t="n">
        <v>5.2</v>
      </c>
      <c r="H149" t="n">
        <v>0</v>
      </c>
      <c r="I149" t="n">
        <v>0</v>
      </c>
      <c r="J149" t="n">
        <v>1</v>
      </c>
      <c r="K149" t="n">
        <v>0</v>
      </c>
      <c r="L149" t="n">
        <v>0</v>
      </c>
      <c r="M149" t="n">
        <v>0</v>
      </c>
      <c r="N149" t="n">
        <v>0</v>
      </c>
      <c r="O149" t="n">
        <v>1</v>
      </c>
      <c r="P149" t="n">
        <v>0</v>
      </c>
      <c r="Q149" t="n">
        <v>1</v>
      </c>
      <c r="R149" s="2" t="inlineStr">
        <is>
          <t>Garnlav</t>
        </is>
      </c>
      <c r="S149">
        <f>HYPERLINK("https://klasma.github.io/Logging_1737/artfynd/A 39681-2023 artfynd.xlsx", "A 39681-2023")</f>
        <v/>
      </c>
      <c r="T149">
        <f>HYPERLINK("https://klasma.github.io/Logging_1737/kartor/A 39681-2023 karta.png", "A 39681-2023")</f>
        <v/>
      </c>
      <c r="V149">
        <f>HYPERLINK("https://klasma.github.io/Logging_1737/klagomål/A 39681-2023 FSC-klagomål.docx", "A 39681-2023")</f>
        <v/>
      </c>
      <c r="W149">
        <f>HYPERLINK("https://klasma.github.io/Logging_1737/klagomålsmail/A 39681-2023 FSC-klagomål mail.docx", "A 39681-2023")</f>
        <v/>
      </c>
      <c r="X149">
        <f>HYPERLINK("https://klasma.github.io/Logging_1737/tillsyn/A 39681-2023 tillsynsbegäran.docx", "A 39681-2023")</f>
        <v/>
      </c>
      <c r="Y149">
        <f>HYPERLINK("https://klasma.github.io/Logging_1737/tillsynsmail/A 39681-2023 tillsynsbegäran mail.docx", "A 39681-2023")</f>
        <v/>
      </c>
    </row>
    <row r="150" ht="15" customHeight="1">
      <c r="A150" t="inlineStr">
        <is>
          <t>A 39983-2023</t>
        </is>
      </c>
      <c r="B150" s="1" t="n">
        <v>45168</v>
      </c>
      <c r="C150" s="1" t="n">
        <v>45711</v>
      </c>
      <c r="D150" t="inlineStr">
        <is>
          <t>VÄRMLANDS LÄN</t>
        </is>
      </c>
      <c r="E150" t="inlineStr">
        <is>
          <t>TORSBY</t>
        </is>
      </c>
      <c r="G150" t="n">
        <v>17.2</v>
      </c>
      <c r="H150" t="n">
        <v>1</v>
      </c>
      <c r="I150" t="n">
        <v>0</v>
      </c>
      <c r="J150" t="n">
        <v>1</v>
      </c>
      <c r="K150" t="n">
        <v>0</v>
      </c>
      <c r="L150" t="n">
        <v>0</v>
      </c>
      <c r="M150" t="n">
        <v>0</v>
      </c>
      <c r="N150" t="n">
        <v>0</v>
      </c>
      <c r="O150" t="n">
        <v>1</v>
      </c>
      <c r="P150" t="n">
        <v>0</v>
      </c>
      <c r="Q150" t="n">
        <v>1</v>
      </c>
      <c r="R150" s="2" t="inlineStr">
        <is>
          <t>Kråka</t>
        </is>
      </c>
      <c r="S150">
        <f>HYPERLINK("https://klasma.github.io/Logging_1737/artfynd/A 39983-2023 artfynd.xlsx", "A 39983-2023")</f>
        <v/>
      </c>
      <c r="T150">
        <f>HYPERLINK("https://klasma.github.io/Logging_1737/kartor/A 39983-2023 karta.png", "A 39983-2023")</f>
        <v/>
      </c>
      <c r="V150">
        <f>HYPERLINK("https://klasma.github.io/Logging_1737/klagomål/A 39983-2023 FSC-klagomål.docx", "A 39983-2023")</f>
        <v/>
      </c>
      <c r="W150">
        <f>HYPERLINK("https://klasma.github.io/Logging_1737/klagomålsmail/A 39983-2023 FSC-klagomål mail.docx", "A 39983-2023")</f>
        <v/>
      </c>
      <c r="X150">
        <f>HYPERLINK("https://klasma.github.io/Logging_1737/tillsyn/A 39983-2023 tillsynsbegäran.docx", "A 39983-2023")</f>
        <v/>
      </c>
      <c r="Y150">
        <f>HYPERLINK("https://klasma.github.io/Logging_1737/tillsynsmail/A 39983-2023 tillsynsbegäran mail.docx", "A 39983-2023")</f>
        <v/>
      </c>
      <c r="Z150">
        <f>HYPERLINK("https://klasma.github.io/Logging_1737/fåglar/A 39983-2023 prioriterade fågelarter.docx", "A 39983-2023")</f>
        <v/>
      </c>
    </row>
    <row r="151" ht="15" customHeight="1">
      <c r="A151" t="inlineStr">
        <is>
          <t>A 46099-2023</t>
        </is>
      </c>
      <c r="B151" s="1" t="n">
        <v>45196</v>
      </c>
      <c r="C151" s="1" t="n">
        <v>45711</v>
      </c>
      <c r="D151" t="inlineStr">
        <is>
          <t>VÄRMLANDS LÄN</t>
        </is>
      </c>
      <c r="E151" t="inlineStr">
        <is>
          <t>TORSBY</t>
        </is>
      </c>
      <c r="G151" t="n">
        <v>8.4</v>
      </c>
      <c r="H151" t="n">
        <v>0</v>
      </c>
      <c r="I151" t="n">
        <v>0</v>
      </c>
      <c r="J151" t="n">
        <v>1</v>
      </c>
      <c r="K151" t="n">
        <v>0</v>
      </c>
      <c r="L151" t="n">
        <v>0</v>
      </c>
      <c r="M151" t="n">
        <v>0</v>
      </c>
      <c r="N151" t="n">
        <v>0</v>
      </c>
      <c r="O151" t="n">
        <v>1</v>
      </c>
      <c r="P151" t="n">
        <v>0</v>
      </c>
      <c r="Q151" t="n">
        <v>1</v>
      </c>
      <c r="R151" s="2" t="inlineStr">
        <is>
          <t>Gammelgransskål</t>
        </is>
      </c>
      <c r="S151">
        <f>HYPERLINK("https://klasma.github.io/Logging_1737/artfynd/A 46099-2023 artfynd.xlsx", "A 46099-2023")</f>
        <v/>
      </c>
      <c r="T151">
        <f>HYPERLINK("https://klasma.github.io/Logging_1737/kartor/A 46099-2023 karta.png", "A 46099-2023")</f>
        <v/>
      </c>
      <c r="V151">
        <f>HYPERLINK("https://klasma.github.io/Logging_1737/klagomål/A 46099-2023 FSC-klagomål.docx", "A 46099-2023")</f>
        <v/>
      </c>
      <c r="W151">
        <f>HYPERLINK("https://klasma.github.io/Logging_1737/klagomålsmail/A 46099-2023 FSC-klagomål mail.docx", "A 46099-2023")</f>
        <v/>
      </c>
      <c r="X151">
        <f>HYPERLINK("https://klasma.github.io/Logging_1737/tillsyn/A 46099-2023 tillsynsbegäran.docx", "A 46099-2023")</f>
        <v/>
      </c>
      <c r="Y151">
        <f>HYPERLINK("https://klasma.github.io/Logging_1737/tillsynsmail/A 46099-2023 tillsynsbegäran mail.docx", "A 46099-2023")</f>
        <v/>
      </c>
    </row>
    <row r="152" ht="15" customHeight="1">
      <c r="A152" t="inlineStr">
        <is>
          <t>A 49724-2023</t>
        </is>
      </c>
      <c r="B152" s="1" t="n">
        <v>45208</v>
      </c>
      <c r="C152" s="1" t="n">
        <v>45711</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Garnlav</t>
        </is>
      </c>
      <c r="S152">
        <f>HYPERLINK("https://klasma.github.io/Logging_1737/artfynd/A 49724-2023 artfynd.xlsx", "A 49724-2023")</f>
        <v/>
      </c>
      <c r="T152">
        <f>HYPERLINK("https://klasma.github.io/Logging_1737/kartor/A 49724-2023 karta.png", "A 49724-2023")</f>
        <v/>
      </c>
      <c r="V152">
        <f>HYPERLINK("https://klasma.github.io/Logging_1737/klagomål/A 49724-2023 FSC-klagomål.docx", "A 49724-2023")</f>
        <v/>
      </c>
      <c r="W152">
        <f>HYPERLINK("https://klasma.github.io/Logging_1737/klagomålsmail/A 49724-2023 FSC-klagomål mail.docx", "A 49724-2023")</f>
        <v/>
      </c>
      <c r="X152">
        <f>HYPERLINK("https://klasma.github.io/Logging_1737/tillsyn/A 49724-2023 tillsynsbegäran.docx", "A 49724-2023")</f>
        <v/>
      </c>
      <c r="Y152">
        <f>HYPERLINK("https://klasma.github.io/Logging_1737/tillsynsmail/A 49724-2023 tillsynsbegäran mail.docx", "A 49724-2023")</f>
        <v/>
      </c>
    </row>
    <row r="153" ht="15" customHeight="1">
      <c r="A153" t="inlineStr">
        <is>
          <t>A 57971-2023</t>
        </is>
      </c>
      <c r="B153" s="1" t="n">
        <v>45247</v>
      </c>
      <c r="C153" s="1" t="n">
        <v>45711</v>
      </c>
      <c r="D153" t="inlineStr">
        <is>
          <t>VÄRMLANDS LÄN</t>
        </is>
      </c>
      <c r="E153" t="inlineStr">
        <is>
          <t>TORSBY</t>
        </is>
      </c>
      <c r="G153" t="n">
        <v>12.4</v>
      </c>
      <c r="H153" t="n">
        <v>0</v>
      </c>
      <c r="I153" t="n">
        <v>0</v>
      </c>
      <c r="J153" t="n">
        <v>1</v>
      </c>
      <c r="K153" t="n">
        <v>0</v>
      </c>
      <c r="L153" t="n">
        <v>0</v>
      </c>
      <c r="M153" t="n">
        <v>0</v>
      </c>
      <c r="N153" t="n">
        <v>0</v>
      </c>
      <c r="O153" t="n">
        <v>1</v>
      </c>
      <c r="P153" t="n">
        <v>0</v>
      </c>
      <c r="Q153" t="n">
        <v>1</v>
      </c>
      <c r="R153" s="2" t="inlineStr">
        <is>
          <t>Garnlav</t>
        </is>
      </c>
      <c r="S153">
        <f>HYPERLINK("https://klasma.github.io/Logging_1737/artfynd/A 57971-2023 artfynd.xlsx", "A 57971-2023")</f>
        <v/>
      </c>
      <c r="T153">
        <f>HYPERLINK("https://klasma.github.io/Logging_1737/kartor/A 57971-2023 karta.png", "A 57971-2023")</f>
        <v/>
      </c>
      <c r="V153">
        <f>HYPERLINK("https://klasma.github.io/Logging_1737/klagomål/A 57971-2023 FSC-klagomål.docx", "A 57971-2023")</f>
        <v/>
      </c>
      <c r="W153">
        <f>HYPERLINK("https://klasma.github.io/Logging_1737/klagomålsmail/A 57971-2023 FSC-klagomål mail.docx", "A 57971-2023")</f>
        <v/>
      </c>
      <c r="X153">
        <f>HYPERLINK("https://klasma.github.io/Logging_1737/tillsyn/A 57971-2023 tillsynsbegäran.docx", "A 57971-2023")</f>
        <v/>
      </c>
      <c r="Y153">
        <f>HYPERLINK("https://klasma.github.io/Logging_1737/tillsynsmail/A 57971-2023 tillsynsbegäran mail.docx", "A 57971-2023")</f>
        <v/>
      </c>
    </row>
    <row r="154" ht="15" customHeight="1">
      <c r="A154" t="inlineStr">
        <is>
          <t>A 61911-2023</t>
        </is>
      </c>
      <c r="B154" s="1" t="n">
        <v>45266</v>
      </c>
      <c r="C154" s="1" t="n">
        <v>45711</v>
      </c>
      <c r="D154" t="inlineStr">
        <is>
          <t>VÄRMLANDS LÄN</t>
        </is>
      </c>
      <c r="E154" t="inlineStr">
        <is>
          <t>TORSBY</t>
        </is>
      </c>
      <c r="F154" t="inlineStr">
        <is>
          <t>Kommuner</t>
        </is>
      </c>
      <c r="G154" t="n">
        <v>9.1</v>
      </c>
      <c r="H154" t="n">
        <v>0</v>
      </c>
      <c r="I154" t="n">
        <v>0</v>
      </c>
      <c r="J154" t="n">
        <v>1</v>
      </c>
      <c r="K154" t="n">
        <v>0</v>
      </c>
      <c r="L154" t="n">
        <v>0</v>
      </c>
      <c r="M154" t="n">
        <v>0</v>
      </c>
      <c r="N154" t="n">
        <v>0</v>
      </c>
      <c r="O154" t="n">
        <v>1</v>
      </c>
      <c r="P154" t="n">
        <v>0</v>
      </c>
      <c r="Q154" t="n">
        <v>1</v>
      </c>
      <c r="R154" s="2" t="inlineStr">
        <is>
          <t>Dvärgbägarlav</t>
        </is>
      </c>
      <c r="S154">
        <f>HYPERLINK("https://klasma.github.io/Logging_1737/artfynd/A 61911-2023 artfynd.xlsx", "A 61911-2023")</f>
        <v/>
      </c>
      <c r="T154">
        <f>HYPERLINK("https://klasma.github.io/Logging_1737/kartor/A 61911-2023 karta.png", "A 61911-2023")</f>
        <v/>
      </c>
      <c r="V154">
        <f>HYPERLINK("https://klasma.github.io/Logging_1737/klagomål/A 61911-2023 FSC-klagomål.docx", "A 61911-2023")</f>
        <v/>
      </c>
      <c r="W154">
        <f>HYPERLINK("https://klasma.github.io/Logging_1737/klagomålsmail/A 61911-2023 FSC-klagomål mail.docx", "A 61911-2023")</f>
        <v/>
      </c>
      <c r="X154">
        <f>HYPERLINK("https://klasma.github.io/Logging_1737/tillsyn/A 61911-2023 tillsynsbegäran.docx", "A 61911-2023")</f>
        <v/>
      </c>
      <c r="Y154">
        <f>HYPERLINK("https://klasma.github.io/Logging_1737/tillsynsmail/A 61911-2023 tillsynsbegäran mail.docx", "A 61911-2023")</f>
        <v/>
      </c>
    </row>
    <row r="155" ht="15" customHeight="1">
      <c r="A155" t="inlineStr">
        <is>
          <t>A 1811-2024</t>
        </is>
      </c>
      <c r="B155" s="1" t="n">
        <v>45307</v>
      </c>
      <c r="C155" s="1" t="n">
        <v>45711</v>
      </c>
      <c r="D155" t="inlineStr">
        <is>
          <t>VÄRMLANDS LÄN</t>
        </is>
      </c>
      <c r="E155" t="inlineStr">
        <is>
          <t>TORSBY</t>
        </is>
      </c>
      <c r="G155" t="n">
        <v>12.1</v>
      </c>
      <c r="H155" t="n">
        <v>1</v>
      </c>
      <c r="I155" t="n">
        <v>0</v>
      </c>
      <c r="J155" t="n">
        <v>0</v>
      </c>
      <c r="K155" t="n">
        <v>0</v>
      </c>
      <c r="L155" t="n">
        <v>0</v>
      </c>
      <c r="M155" t="n">
        <v>0</v>
      </c>
      <c r="N155" t="n">
        <v>0</v>
      </c>
      <c r="O155" t="n">
        <v>0</v>
      </c>
      <c r="P155" t="n">
        <v>0</v>
      </c>
      <c r="Q155" t="n">
        <v>1</v>
      </c>
      <c r="R155" s="2" t="inlineStr">
        <is>
          <t>Revlummer</t>
        </is>
      </c>
      <c r="S155">
        <f>HYPERLINK("https://klasma.github.io/Logging_1737/artfynd/A 1811-2024 artfynd.xlsx", "A 1811-2024")</f>
        <v/>
      </c>
      <c r="T155">
        <f>HYPERLINK("https://klasma.github.io/Logging_1737/kartor/A 1811-2024 karta.png", "A 1811-2024")</f>
        <v/>
      </c>
      <c r="V155">
        <f>HYPERLINK("https://klasma.github.io/Logging_1737/klagomål/A 1811-2024 FSC-klagomål.docx", "A 1811-2024")</f>
        <v/>
      </c>
      <c r="W155">
        <f>HYPERLINK("https://klasma.github.io/Logging_1737/klagomålsmail/A 1811-2024 FSC-klagomål mail.docx", "A 1811-2024")</f>
        <v/>
      </c>
      <c r="X155">
        <f>HYPERLINK("https://klasma.github.io/Logging_1737/tillsyn/A 1811-2024 tillsynsbegäran.docx", "A 1811-2024")</f>
        <v/>
      </c>
      <c r="Y155">
        <f>HYPERLINK("https://klasma.github.io/Logging_1737/tillsynsmail/A 1811-2024 tillsynsbegäran mail.docx", "A 1811-2024")</f>
        <v/>
      </c>
    </row>
    <row r="156" ht="15" customHeight="1">
      <c r="A156" t="inlineStr">
        <is>
          <t>A 2039-2024</t>
        </is>
      </c>
      <c r="B156" s="1" t="n">
        <v>45308</v>
      </c>
      <c r="C156" s="1" t="n">
        <v>45711</v>
      </c>
      <c r="D156" t="inlineStr">
        <is>
          <t>VÄRMLANDS LÄN</t>
        </is>
      </c>
      <c r="E156" t="inlineStr">
        <is>
          <t>TORSBY</t>
        </is>
      </c>
      <c r="G156" t="n">
        <v>6.4</v>
      </c>
      <c r="H156" t="n">
        <v>1</v>
      </c>
      <c r="I156" t="n">
        <v>0</v>
      </c>
      <c r="J156" t="n">
        <v>1</v>
      </c>
      <c r="K156" t="n">
        <v>0</v>
      </c>
      <c r="L156" t="n">
        <v>0</v>
      </c>
      <c r="M156" t="n">
        <v>0</v>
      </c>
      <c r="N156" t="n">
        <v>0</v>
      </c>
      <c r="O156" t="n">
        <v>1</v>
      </c>
      <c r="P156" t="n">
        <v>0</v>
      </c>
      <c r="Q156" t="n">
        <v>1</v>
      </c>
      <c r="R156" s="2" t="inlineStr">
        <is>
          <t>Kungsörn</t>
        </is>
      </c>
      <c r="S156">
        <f>HYPERLINK("https://klasma.github.io/Logging_1737/artfynd/A 2039-2024 artfynd.xlsx", "A 2039-2024")</f>
        <v/>
      </c>
      <c r="T156">
        <f>HYPERLINK("https://klasma.github.io/Logging_1737/kartor/A 2039-2024 karta.png", "A 2039-2024")</f>
        <v/>
      </c>
      <c r="V156">
        <f>HYPERLINK("https://klasma.github.io/Logging_1737/klagomål/A 2039-2024 FSC-klagomål.docx", "A 2039-2024")</f>
        <v/>
      </c>
      <c r="W156">
        <f>HYPERLINK("https://klasma.github.io/Logging_1737/klagomålsmail/A 2039-2024 FSC-klagomål mail.docx", "A 2039-2024")</f>
        <v/>
      </c>
      <c r="X156">
        <f>HYPERLINK("https://klasma.github.io/Logging_1737/tillsyn/A 2039-2024 tillsynsbegäran.docx", "A 2039-2024")</f>
        <v/>
      </c>
      <c r="Y156">
        <f>HYPERLINK("https://klasma.github.io/Logging_1737/tillsynsmail/A 2039-2024 tillsynsbegäran mail.docx", "A 2039-2024")</f>
        <v/>
      </c>
      <c r="Z156">
        <f>HYPERLINK("https://klasma.github.io/Logging_1737/fåglar/A 2039-2024 prioriterade fågelarter.docx", "A 2039-2024")</f>
        <v/>
      </c>
    </row>
    <row r="157" ht="15" customHeight="1">
      <c r="A157" t="inlineStr">
        <is>
          <t>A 4985-2024</t>
        </is>
      </c>
      <c r="B157" s="1" t="n">
        <v>45329</v>
      </c>
      <c r="C157" s="1" t="n">
        <v>45711</v>
      </c>
      <c r="D157" t="inlineStr">
        <is>
          <t>VÄRMLANDS LÄN</t>
        </is>
      </c>
      <c r="E157" t="inlineStr">
        <is>
          <t>TORSBY</t>
        </is>
      </c>
      <c r="G157" t="n">
        <v>4.9</v>
      </c>
      <c r="H157" t="n">
        <v>0</v>
      </c>
      <c r="I157" t="n">
        <v>0</v>
      </c>
      <c r="J157" t="n">
        <v>1</v>
      </c>
      <c r="K157" t="n">
        <v>0</v>
      </c>
      <c r="L157" t="n">
        <v>0</v>
      </c>
      <c r="M157" t="n">
        <v>0</v>
      </c>
      <c r="N157" t="n">
        <v>0</v>
      </c>
      <c r="O157" t="n">
        <v>1</v>
      </c>
      <c r="P157" t="n">
        <v>0</v>
      </c>
      <c r="Q157" t="n">
        <v>1</v>
      </c>
      <c r="R157" s="2" t="inlineStr">
        <is>
          <t>Garnlav</t>
        </is>
      </c>
      <c r="S157">
        <f>HYPERLINK("https://klasma.github.io/Logging_1737/artfynd/A 4985-2024 artfynd.xlsx", "A 4985-2024")</f>
        <v/>
      </c>
      <c r="T157">
        <f>HYPERLINK("https://klasma.github.io/Logging_1737/kartor/A 4985-2024 karta.png", "A 4985-2024")</f>
        <v/>
      </c>
      <c r="V157">
        <f>HYPERLINK("https://klasma.github.io/Logging_1737/klagomål/A 4985-2024 FSC-klagomål.docx", "A 4985-2024")</f>
        <v/>
      </c>
      <c r="W157">
        <f>HYPERLINK("https://klasma.github.io/Logging_1737/klagomålsmail/A 4985-2024 FSC-klagomål mail.docx", "A 4985-2024")</f>
        <v/>
      </c>
      <c r="X157">
        <f>HYPERLINK("https://klasma.github.io/Logging_1737/tillsyn/A 4985-2024 tillsynsbegäran.docx", "A 4985-2024")</f>
        <v/>
      </c>
      <c r="Y157">
        <f>HYPERLINK("https://klasma.github.io/Logging_1737/tillsynsmail/A 4985-2024 tillsynsbegäran mail.docx", "A 4985-2024")</f>
        <v/>
      </c>
    </row>
    <row r="158" ht="15" customHeight="1">
      <c r="A158" t="inlineStr">
        <is>
          <t>A 19760-2024</t>
        </is>
      </c>
      <c r="B158" s="1" t="n">
        <v>45432</v>
      </c>
      <c r="C158" s="1" t="n">
        <v>45711</v>
      </c>
      <c r="D158" t="inlineStr">
        <is>
          <t>VÄRMLANDS LÄN</t>
        </is>
      </c>
      <c r="E158" t="inlineStr">
        <is>
          <t>TORSBY</t>
        </is>
      </c>
      <c r="F158" t="inlineStr">
        <is>
          <t>Bergvik skog väst AB</t>
        </is>
      </c>
      <c r="G158" t="n">
        <v>7.9</v>
      </c>
      <c r="H158" t="n">
        <v>1</v>
      </c>
      <c r="I158" t="n">
        <v>0</v>
      </c>
      <c r="J158" t="n">
        <v>1</v>
      </c>
      <c r="K158" t="n">
        <v>0</v>
      </c>
      <c r="L158" t="n">
        <v>0</v>
      </c>
      <c r="M158" t="n">
        <v>0</v>
      </c>
      <c r="N158" t="n">
        <v>0</v>
      </c>
      <c r="O158" t="n">
        <v>1</v>
      </c>
      <c r="P158" t="n">
        <v>0</v>
      </c>
      <c r="Q158" t="n">
        <v>1</v>
      </c>
      <c r="R158" s="2" t="inlineStr">
        <is>
          <t>Utter</t>
        </is>
      </c>
      <c r="S158">
        <f>HYPERLINK("https://klasma.github.io/Logging_1737/artfynd/A 19760-2024 artfynd.xlsx", "A 19760-2024")</f>
        <v/>
      </c>
      <c r="T158">
        <f>HYPERLINK("https://klasma.github.io/Logging_1737/kartor/A 19760-2024 karta.png", "A 19760-2024")</f>
        <v/>
      </c>
      <c r="V158">
        <f>HYPERLINK("https://klasma.github.io/Logging_1737/klagomål/A 19760-2024 FSC-klagomål.docx", "A 19760-2024")</f>
        <v/>
      </c>
      <c r="W158">
        <f>HYPERLINK("https://klasma.github.io/Logging_1737/klagomålsmail/A 19760-2024 FSC-klagomål mail.docx", "A 19760-2024")</f>
        <v/>
      </c>
      <c r="X158">
        <f>HYPERLINK("https://klasma.github.io/Logging_1737/tillsyn/A 19760-2024 tillsynsbegäran.docx", "A 19760-2024")</f>
        <v/>
      </c>
      <c r="Y158">
        <f>HYPERLINK("https://klasma.github.io/Logging_1737/tillsynsmail/A 19760-2024 tillsynsbegäran mail.docx", "A 19760-2024")</f>
        <v/>
      </c>
    </row>
    <row r="159" ht="15" customHeight="1">
      <c r="A159" t="inlineStr">
        <is>
          <t>A 25789-2024</t>
        </is>
      </c>
      <c r="B159" s="1" t="n">
        <v>45467</v>
      </c>
      <c r="C159" s="1" t="n">
        <v>45711</v>
      </c>
      <c r="D159" t="inlineStr">
        <is>
          <t>VÄRMLANDS LÄN</t>
        </is>
      </c>
      <c r="E159" t="inlineStr">
        <is>
          <t>TORSBY</t>
        </is>
      </c>
      <c r="F159" t="inlineStr">
        <is>
          <t>Bergvik skog väst AB</t>
        </is>
      </c>
      <c r="G159" t="n">
        <v>9</v>
      </c>
      <c r="H159" t="n">
        <v>1</v>
      </c>
      <c r="I159" t="n">
        <v>0</v>
      </c>
      <c r="J159" t="n">
        <v>1</v>
      </c>
      <c r="K159" t="n">
        <v>0</v>
      </c>
      <c r="L159" t="n">
        <v>0</v>
      </c>
      <c r="M159" t="n">
        <v>0</v>
      </c>
      <c r="N159" t="n">
        <v>0</v>
      </c>
      <c r="O159" t="n">
        <v>1</v>
      </c>
      <c r="P159" t="n">
        <v>0</v>
      </c>
      <c r="Q159" t="n">
        <v>1</v>
      </c>
      <c r="R159" s="2" t="inlineStr">
        <is>
          <t>Järpe</t>
        </is>
      </c>
      <c r="S159">
        <f>HYPERLINK("https://klasma.github.io/Logging_1737/artfynd/A 25789-2024 artfynd.xlsx", "A 25789-2024")</f>
        <v/>
      </c>
      <c r="T159">
        <f>HYPERLINK("https://klasma.github.io/Logging_1737/kartor/A 25789-2024 karta.png", "A 25789-2024")</f>
        <v/>
      </c>
      <c r="V159">
        <f>HYPERLINK("https://klasma.github.io/Logging_1737/klagomål/A 25789-2024 FSC-klagomål.docx", "A 25789-2024")</f>
        <v/>
      </c>
      <c r="W159">
        <f>HYPERLINK("https://klasma.github.io/Logging_1737/klagomålsmail/A 25789-2024 FSC-klagomål mail.docx", "A 25789-2024")</f>
        <v/>
      </c>
      <c r="X159">
        <f>HYPERLINK("https://klasma.github.io/Logging_1737/tillsyn/A 25789-2024 tillsynsbegäran.docx", "A 25789-2024")</f>
        <v/>
      </c>
      <c r="Y159">
        <f>HYPERLINK("https://klasma.github.io/Logging_1737/tillsynsmail/A 25789-2024 tillsynsbegäran mail.docx", "A 25789-2024")</f>
        <v/>
      </c>
      <c r="Z159">
        <f>HYPERLINK("https://klasma.github.io/Logging_1737/fåglar/A 25789-2024 prioriterade fågelarter.docx", "A 25789-2024")</f>
        <v/>
      </c>
    </row>
    <row r="160" ht="15" customHeight="1">
      <c r="A160" t="inlineStr">
        <is>
          <t>A 36962-2024</t>
        </is>
      </c>
      <c r="B160" s="1" t="n">
        <v>45538</v>
      </c>
      <c r="C160" s="1" t="n">
        <v>45711</v>
      </c>
      <c r="D160" t="inlineStr">
        <is>
          <t>VÄRMLANDS LÄN</t>
        </is>
      </c>
      <c r="E160" t="inlineStr">
        <is>
          <t>TORSBY</t>
        </is>
      </c>
      <c r="G160" t="n">
        <v>17</v>
      </c>
      <c r="H160" t="n">
        <v>0</v>
      </c>
      <c r="I160" t="n">
        <v>1</v>
      </c>
      <c r="J160" t="n">
        <v>0</v>
      </c>
      <c r="K160" t="n">
        <v>0</v>
      </c>
      <c r="L160" t="n">
        <v>0</v>
      </c>
      <c r="M160" t="n">
        <v>0</v>
      </c>
      <c r="N160" t="n">
        <v>0</v>
      </c>
      <c r="O160" t="n">
        <v>0</v>
      </c>
      <c r="P160" t="n">
        <v>0</v>
      </c>
      <c r="Q160" t="n">
        <v>1</v>
      </c>
      <c r="R160" s="2" t="inlineStr">
        <is>
          <t>Dropptaggsvamp</t>
        </is>
      </c>
      <c r="S160">
        <f>HYPERLINK("https://klasma.github.io/Logging_1737/artfynd/A 36962-2024 artfynd.xlsx", "A 36962-2024")</f>
        <v/>
      </c>
      <c r="T160">
        <f>HYPERLINK("https://klasma.github.io/Logging_1737/kartor/A 36962-2024 karta.png", "A 36962-2024")</f>
        <v/>
      </c>
      <c r="V160">
        <f>HYPERLINK("https://klasma.github.io/Logging_1737/klagomål/A 36962-2024 FSC-klagomål.docx", "A 36962-2024")</f>
        <v/>
      </c>
      <c r="W160">
        <f>HYPERLINK("https://klasma.github.io/Logging_1737/klagomålsmail/A 36962-2024 FSC-klagomål mail.docx", "A 36962-2024")</f>
        <v/>
      </c>
      <c r="X160">
        <f>HYPERLINK("https://klasma.github.io/Logging_1737/tillsyn/A 36962-2024 tillsynsbegäran.docx", "A 36962-2024")</f>
        <v/>
      </c>
      <c r="Y160">
        <f>HYPERLINK("https://klasma.github.io/Logging_1737/tillsynsmail/A 36962-2024 tillsynsbegäran mail.docx", "A 36962-2024")</f>
        <v/>
      </c>
    </row>
    <row r="161" ht="15" customHeight="1">
      <c r="A161" t="inlineStr">
        <is>
          <t>A 40033-2024</t>
        </is>
      </c>
      <c r="B161" s="1" t="n">
        <v>45553</v>
      </c>
      <c r="C161" s="1" t="n">
        <v>45711</v>
      </c>
      <c r="D161" t="inlineStr">
        <is>
          <t>VÄRMLANDS LÄN</t>
        </is>
      </c>
      <c r="E161" t="inlineStr">
        <is>
          <t>TORSBY</t>
        </is>
      </c>
      <c r="G161" t="n">
        <v>6.2</v>
      </c>
      <c r="H161" t="n">
        <v>0</v>
      </c>
      <c r="I161" t="n">
        <v>0</v>
      </c>
      <c r="J161" t="n">
        <v>1</v>
      </c>
      <c r="K161" t="n">
        <v>0</v>
      </c>
      <c r="L161" t="n">
        <v>0</v>
      </c>
      <c r="M161" t="n">
        <v>0</v>
      </c>
      <c r="N161" t="n">
        <v>0</v>
      </c>
      <c r="O161" t="n">
        <v>1</v>
      </c>
      <c r="P161" t="n">
        <v>0</v>
      </c>
      <c r="Q161" t="n">
        <v>1</v>
      </c>
      <c r="R161" s="2" t="inlineStr">
        <is>
          <t>Violettgrå tagellav</t>
        </is>
      </c>
      <c r="S161">
        <f>HYPERLINK("https://klasma.github.io/Logging_1737/artfynd/A 40033-2024 artfynd.xlsx", "A 40033-2024")</f>
        <v/>
      </c>
      <c r="T161">
        <f>HYPERLINK("https://klasma.github.io/Logging_1737/kartor/A 40033-2024 karta.png", "A 40033-2024")</f>
        <v/>
      </c>
      <c r="V161">
        <f>HYPERLINK("https://klasma.github.io/Logging_1737/klagomål/A 40033-2024 FSC-klagomål.docx", "A 40033-2024")</f>
        <v/>
      </c>
      <c r="W161">
        <f>HYPERLINK("https://klasma.github.io/Logging_1737/klagomålsmail/A 40033-2024 FSC-klagomål mail.docx", "A 40033-2024")</f>
        <v/>
      </c>
      <c r="X161">
        <f>HYPERLINK("https://klasma.github.io/Logging_1737/tillsyn/A 40033-2024 tillsynsbegäran.docx", "A 40033-2024")</f>
        <v/>
      </c>
      <c r="Y161">
        <f>HYPERLINK("https://klasma.github.io/Logging_1737/tillsynsmail/A 40033-2024 tillsynsbegäran mail.docx", "A 40033-2024")</f>
        <v/>
      </c>
    </row>
    <row r="162" ht="15" customHeight="1">
      <c r="A162" t="inlineStr">
        <is>
          <t>A 40934-2024</t>
        </is>
      </c>
      <c r="B162" s="1" t="n">
        <v>45558</v>
      </c>
      <c r="C162" s="1" t="n">
        <v>45711</v>
      </c>
      <c r="D162" t="inlineStr">
        <is>
          <t>VÄRMLANDS LÄN</t>
        </is>
      </c>
      <c r="E162" t="inlineStr">
        <is>
          <t>TORSBY</t>
        </is>
      </c>
      <c r="G162" t="n">
        <v>8.1</v>
      </c>
      <c r="H162" t="n">
        <v>0</v>
      </c>
      <c r="I162" t="n">
        <v>0</v>
      </c>
      <c r="J162" t="n">
        <v>1</v>
      </c>
      <c r="K162" t="n">
        <v>0</v>
      </c>
      <c r="L162" t="n">
        <v>0</v>
      </c>
      <c r="M162" t="n">
        <v>0</v>
      </c>
      <c r="N162" t="n">
        <v>0</v>
      </c>
      <c r="O162" t="n">
        <v>1</v>
      </c>
      <c r="P162" t="n">
        <v>0</v>
      </c>
      <c r="Q162" t="n">
        <v>1</v>
      </c>
      <c r="R162" s="2" t="inlineStr">
        <is>
          <t>Lunglav</t>
        </is>
      </c>
      <c r="S162">
        <f>HYPERLINK("https://klasma.github.io/Logging_1737/artfynd/A 40934-2024 artfynd.xlsx", "A 40934-2024")</f>
        <v/>
      </c>
      <c r="T162">
        <f>HYPERLINK("https://klasma.github.io/Logging_1737/kartor/A 40934-2024 karta.png", "A 40934-2024")</f>
        <v/>
      </c>
      <c r="V162">
        <f>HYPERLINK("https://klasma.github.io/Logging_1737/klagomål/A 40934-2024 FSC-klagomål.docx", "A 40934-2024")</f>
        <v/>
      </c>
      <c r="W162">
        <f>HYPERLINK("https://klasma.github.io/Logging_1737/klagomålsmail/A 40934-2024 FSC-klagomål mail.docx", "A 40934-2024")</f>
        <v/>
      </c>
      <c r="X162">
        <f>HYPERLINK("https://klasma.github.io/Logging_1737/tillsyn/A 40934-2024 tillsynsbegäran.docx", "A 40934-2024")</f>
        <v/>
      </c>
      <c r="Y162">
        <f>HYPERLINK("https://klasma.github.io/Logging_1737/tillsynsmail/A 40934-2024 tillsynsbegäran mail.docx", "A 40934-2024")</f>
        <v/>
      </c>
    </row>
    <row r="163" ht="15" customHeight="1">
      <c r="A163" t="inlineStr">
        <is>
          <t>A 41350-2024</t>
        </is>
      </c>
      <c r="B163" s="1" t="n">
        <v>45559</v>
      </c>
      <c r="C163" s="1" t="n">
        <v>45711</v>
      </c>
      <c r="D163" t="inlineStr">
        <is>
          <t>VÄRMLANDS LÄN</t>
        </is>
      </c>
      <c r="E163" t="inlineStr">
        <is>
          <t>TORSBY</t>
        </is>
      </c>
      <c r="G163" t="n">
        <v>5.5</v>
      </c>
      <c r="H163" t="n">
        <v>0</v>
      </c>
      <c r="I163" t="n">
        <v>0</v>
      </c>
      <c r="J163" t="n">
        <v>1</v>
      </c>
      <c r="K163" t="n">
        <v>0</v>
      </c>
      <c r="L163" t="n">
        <v>0</v>
      </c>
      <c r="M163" t="n">
        <v>0</v>
      </c>
      <c r="N163" t="n">
        <v>0</v>
      </c>
      <c r="O163" t="n">
        <v>1</v>
      </c>
      <c r="P163" t="n">
        <v>0</v>
      </c>
      <c r="Q163" t="n">
        <v>1</v>
      </c>
      <c r="R163" s="2" t="inlineStr">
        <is>
          <t>Garnlav</t>
        </is>
      </c>
      <c r="S163">
        <f>HYPERLINK("https://klasma.github.io/Logging_1737/artfynd/A 41350-2024 artfynd.xlsx", "A 41350-2024")</f>
        <v/>
      </c>
      <c r="T163">
        <f>HYPERLINK("https://klasma.github.io/Logging_1737/kartor/A 41350-2024 karta.png", "A 41350-2024")</f>
        <v/>
      </c>
      <c r="V163">
        <f>HYPERLINK("https://klasma.github.io/Logging_1737/klagomål/A 41350-2024 FSC-klagomål.docx", "A 41350-2024")</f>
        <v/>
      </c>
      <c r="W163">
        <f>HYPERLINK("https://klasma.github.io/Logging_1737/klagomålsmail/A 41350-2024 FSC-klagomål mail.docx", "A 41350-2024")</f>
        <v/>
      </c>
      <c r="X163">
        <f>HYPERLINK("https://klasma.github.io/Logging_1737/tillsyn/A 41350-2024 tillsynsbegäran.docx", "A 41350-2024")</f>
        <v/>
      </c>
      <c r="Y163">
        <f>HYPERLINK("https://klasma.github.io/Logging_1737/tillsynsmail/A 41350-2024 tillsynsbegäran mail.docx", "A 41350-2024")</f>
        <v/>
      </c>
    </row>
    <row r="164" ht="15" customHeight="1">
      <c r="A164" t="inlineStr">
        <is>
          <t>A 41477-2024</t>
        </is>
      </c>
      <c r="B164" s="1" t="n">
        <v>45560</v>
      </c>
      <c r="C164" s="1" t="n">
        <v>45711</v>
      </c>
      <c r="D164" t="inlineStr">
        <is>
          <t>VÄRMLANDS LÄN</t>
        </is>
      </c>
      <c r="E164" t="inlineStr">
        <is>
          <t>TORSBY</t>
        </is>
      </c>
      <c r="G164" t="n">
        <v>6.7</v>
      </c>
      <c r="H164" t="n">
        <v>0</v>
      </c>
      <c r="I164" t="n">
        <v>0</v>
      </c>
      <c r="J164" t="n">
        <v>1</v>
      </c>
      <c r="K164" t="n">
        <v>0</v>
      </c>
      <c r="L164" t="n">
        <v>0</v>
      </c>
      <c r="M164" t="n">
        <v>0</v>
      </c>
      <c r="N164" t="n">
        <v>0</v>
      </c>
      <c r="O164" t="n">
        <v>1</v>
      </c>
      <c r="P164" t="n">
        <v>0</v>
      </c>
      <c r="Q164" t="n">
        <v>1</v>
      </c>
      <c r="R164" s="2" t="inlineStr">
        <is>
          <t>Garnlav</t>
        </is>
      </c>
      <c r="S164">
        <f>HYPERLINK("https://klasma.github.io/Logging_1737/artfynd/A 41477-2024 artfynd.xlsx", "A 41477-2024")</f>
        <v/>
      </c>
      <c r="T164">
        <f>HYPERLINK("https://klasma.github.io/Logging_1737/kartor/A 41477-2024 karta.png", "A 41477-2024")</f>
        <v/>
      </c>
      <c r="V164">
        <f>HYPERLINK("https://klasma.github.io/Logging_1737/klagomål/A 41477-2024 FSC-klagomål.docx", "A 41477-2024")</f>
        <v/>
      </c>
      <c r="W164">
        <f>HYPERLINK("https://klasma.github.io/Logging_1737/klagomålsmail/A 41477-2024 FSC-klagomål mail.docx", "A 41477-2024")</f>
        <v/>
      </c>
      <c r="X164">
        <f>HYPERLINK("https://klasma.github.io/Logging_1737/tillsyn/A 41477-2024 tillsynsbegäran.docx", "A 41477-2024")</f>
        <v/>
      </c>
      <c r="Y164">
        <f>HYPERLINK("https://klasma.github.io/Logging_1737/tillsynsmail/A 41477-2024 tillsynsbegäran mail.docx", "A 41477-2024")</f>
        <v/>
      </c>
    </row>
    <row r="165" ht="15" customHeight="1">
      <c r="A165" t="inlineStr">
        <is>
          <t>A 47689-2024</t>
        </is>
      </c>
      <c r="B165" s="1" t="n">
        <v>45588</v>
      </c>
      <c r="C165" s="1" t="n">
        <v>45711</v>
      </c>
      <c r="D165" t="inlineStr">
        <is>
          <t>VÄRMLANDS LÄN</t>
        </is>
      </c>
      <c r="E165" t="inlineStr">
        <is>
          <t>TORSBY</t>
        </is>
      </c>
      <c r="G165" t="n">
        <v>3.1</v>
      </c>
      <c r="H165" t="n">
        <v>0</v>
      </c>
      <c r="I165" t="n">
        <v>0</v>
      </c>
      <c r="J165" t="n">
        <v>1</v>
      </c>
      <c r="K165" t="n">
        <v>0</v>
      </c>
      <c r="L165" t="n">
        <v>0</v>
      </c>
      <c r="M165" t="n">
        <v>0</v>
      </c>
      <c r="N165" t="n">
        <v>0</v>
      </c>
      <c r="O165" t="n">
        <v>1</v>
      </c>
      <c r="P165" t="n">
        <v>0</v>
      </c>
      <c r="Q165" t="n">
        <v>1</v>
      </c>
      <c r="R165" s="2" t="inlineStr">
        <is>
          <t>Garnlav</t>
        </is>
      </c>
      <c r="S165">
        <f>HYPERLINK("https://klasma.github.io/Logging_1737/artfynd/A 47689-2024 artfynd.xlsx", "A 47689-2024")</f>
        <v/>
      </c>
      <c r="T165">
        <f>HYPERLINK("https://klasma.github.io/Logging_1737/kartor/A 47689-2024 karta.png", "A 47689-2024")</f>
        <v/>
      </c>
      <c r="V165">
        <f>HYPERLINK("https://klasma.github.io/Logging_1737/klagomål/A 47689-2024 FSC-klagomål.docx", "A 47689-2024")</f>
        <v/>
      </c>
      <c r="W165">
        <f>HYPERLINK("https://klasma.github.io/Logging_1737/klagomålsmail/A 47689-2024 FSC-klagomål mail.docx", "A 47689-2024")</f>
        <v/>
      </c>
      <c r="X165">
        <f>HYPERLINK("https://klasma.github.io/Logging_1737/tillsyn/A 47689-2024 tillsynsbegäran.docx", "A 47689-2024")</f>
        <v/>
      </c>
      <c r="Y165">
        <f>HYPERLINK("https://klasma.github.io/Logging_1737/tillsynsmail/A 47689-2024 tillsynsbegäran mail.docx", "A 47689-2024")</f>
        <v/>
      </c>
    </row>
    <row r="166" ht="15" customHeight="1">
      <c r="A166" t="inlineStr">
        <is>
          <t>A 53862-2024</t>
        </is>
      </c>
      <c r="B166" s="1" t="n">
        <v>45615</v>
      </c>
      <c r="C166" s="1" t="n">
        <v>45711</v>
      </c>
      <c r="D166" t="inlineStr">
        <is>
          <t>VÄRMLANDS LÄN</t>
        </is>
      </c>
      <c r="E166" t="inlineStr">
        <is>
          <t>TORSBY</t>
        </is>
      </c>
      <c r="G166" t="n">
        <v>3.4</v>
      </c>
      <c r="H166" t="n">
        <v>0</v>
      </c>
      <c r="I166" t="n">
        <v>0</v>
      </c>
      <c r="J166" t="n">
        <v>1</v>
      </c>
      <c r="K166" t="n">
        <v>0</v>
      </c>
      <c r="L166" t="n">
        <v>0</v>
      </c>
      <c r="M166" t="n">
        <v>0</v>
      </c>
      <c r="N166" t="n">
        <v>0</v>
      </c>
      <c r="O166" t="n">
        <v>1</v>
      </c>
      <c r="P166" t="n">
        <v>0</v>
      </c>
      <c r="Q166" t="n">
        <v>1</v>
      </c>
      <c r="R166" s="2" t="inlineStr">
        <is>
          <t>Kolflarnlav</t>
        </is>
      </c>
      <c r="S166">
        <f>HYPERLINK("https://klasma.github.io/Logging_1737/artfynd/A 53862-2024 artfynd.xlsx", "A 53862-2024")</f>
        <v/>
      </c>
      <c r="T166">
        <f>HYPERLINK("https://klasma.github.io/Logging_1737/kartor/A 53862-2024 karta.png", "A 53862-2024")</f>
        <v/>
      </c>
      <c r="V166">
        <f>HYPERLINK("https://klasma.github.io/Logging_1737/klagomål/A 53862-2024 FSC-klagomål.docx", "A 53862-2024")</f>
        <v/>
      </c>
      <c r="W166">
        <f>HYPERLINK("https://klasma.github.io/Logging_1737/klagomålsmail/A 53862-2024 FSC-klagomål mail.docx", "A 53862-2024")</f>
        <v/>
      </c>
      <c r="X166">
        <f>HYPERLINK("https://klasma.github.io/Logging_1737/tillsyn/A 53862-2024 tillsynsbegäran.docx", "A 53862-2024")</f>
        <v/>
      </c>
      <c r="Y166">
        <f>HYPERLINK("https://klasma.github.io/Logging_1737/tillsynsmail/A 53862-2024 tillsynsbegäran mail.docx", "A 53862-2024")</f>
        <v/>
      </c>
    </row>
    <row r="167" ht="15" customHeight="1">
      <c r="A167" t="inlineStr">
        <is>
          <t>A 54009-2024</t>
        </is>
      </c>
      <c r="B167" s="1" t="n">
        <v>45616</v>
      </c>
      <c r="C167" s="1" t="n">
        <v>45711</v>
      </c>
      <c r="D167" t="inlineStr">
        <is>
          <t>VÄRMLANDS LÄN</t>
        </is>
      </c>
      <c r="E167" t="inlineStr">
        <is>
          <t>TORSBY</t>
        </is>
      </c>
      <c r="F167" t="inlineStr">
        <is>
          <t>Bergvik skog väst AB</t>
        </is>
      </c>
      <c r="G167" t="n">
        <v>8.800000000000001</v>
      </c>
      <c r="H167" t="n">
        <v>1</v>
      </c>
      <c r="I167" t="n">
        <v>1</v>
      </c>
      <c r="J167" t="n">
        <v>0</v>
      </c>
      <c r="K167" t="n">
        <v>0</v>
      </c>
      <c r="L167" t="n">
        <v>0</v>
      </c>
      <c r="M167" t="n">
        <v>0</v>
      </c>
      <c r="N167" t="n">
        <v>0</v>
      </c>
      <c r="O167" t="n">
        <v>0</v>
      </c>
      <c r="P167" t="n">
        <v>0</v>
      </c>
      <c r="Q167" t="n">
        <v>1</v>
      </c>
      <c r="R167" s="2" t="inlineStr">
        <is>
          <t>Korallrot</t>
        </is>
      </c>
      <c r="S167">
        <f>HYPERLINK("https://klasma.github.io/Logging_1737/artfynd/A 54009-2024 artfynd.xlsx", "A 54009-2024")</f>
        <v/>
      </c>
      <c r="T167">
        <f>HYPERLINK("https://klasma.github.io/Logging_1737/kartor/A 54009-2024 karta.png", "A 54009-2024")</f>
        <v/>
      </c>
      <c r="V167">
        <f>HYPERLINK("https://klasma.github.io/Logging_1737/klagomål/A 54009-2024 FSC-klagomål.docx", "A 54009-2024")</f>
        <v/>
      </c>
      <c r="W167">
        <f>HYPERLINK("https://klasma.github.io/Logging_1737/klagomålsmail/A 54009-2024 FSC-klagomål mail.docx", "A 54009-2024")</f>
        <v/>
      </c>
      <c r="X167">
        <f>HYPERLINK("https://klasma.github.io/Logging_1737/tillsyn/A 54009-2024 tillsynsbegäran.docx", "A 54009-2024")</f>
        <v/>
      </c>
      <c r="Y167">
        <f>HYPERLINK("https://klasma.github.io/Logging_1737/tillsynsmail/A 54009-2024 tillsynsbegäran mail.docx", "A 54009-2024")</f>
        <v/>
      </c>
    </row>
    <row r="168" ht="15" customHeight="1">
      <c r="A168" t="inlineStr">
        <is>
          <t>A 54029-2024</t>
        </is>
      </c>
      <c r="B168" s="1" t="n">
        <v>45616</v>
      </c>
      <c r="C168" s="1" t="n">
        <v>45711</v>
      </c>
      <c r="D168" t="inlineStr">
        <is>
          <t>VÄRMLANDS LÄN</t>
        </is>
      </c>
      <c r="E168" t="inlineStr">
        <is>
          <t>TORSBY</t>
        </is>
      </c>
      <c r="G168" t="n">
        <v>10.2</v>
      </c>
      <c r="H168" t="n">
        <v>0</v>
      </c>
      <c r="I168" t="n">
        <v>1</v>
      </c>
      <c r="J168" t="n">
        <v>0</v>
      </c>
      <c r="K168" t="n">
        <v>0</v>
      </c>
      <c r="L168" t="n">
        <v>0</v>
      </c>
      <c r="M168" t="n">
        <v>0</v>
      </c>
      <c r="N168" t="n">
        <v>0</v>
      </c>
      <c r="O168" t="n">
        <v>0</v>
      </c>
      <c r="P168" t="n">
        <v>0</v>
      </c>
      <c r="Q168" t="n">
        <v>1</v>
      </c>
      <c r="R168" s="2" t="inlineStr">
        <is>
          <t>Vedticka</t>
        </is>
      </c>
      <c r="S168">
        <f>HYPERLINK("https://klasma.github.io/Logging_1737/artfynd/A 54029-2024 artfynd.xlsx", "A 54029-2024")</f>
        <v/>
      </c>
      <c r="T168">
        <f>HYPERLINK("https://klasma.github.io/Logging_1737/kartor/A 54029-2024 karta.png", "A 54029-2024")</f>
        <v/>
      </c>
      <c r="V168">
        <f>HYPERLINK("https://klasma.github.io/Logging_1737/klagomål/A 54029-2024 FSC-klagomål.docx", "A 54029-2024")</f>
        <v/>
      </c>
      <c r="W168">
        <f>HYPERLINK("https://klasma.github.io/Logging_1737/klagomålsmail/A 54029-2024 FSC-klagomål mail.docx", "A 54029-2024")</f>
        <v/>
      </c>
      <c r="X168">
        <f>HYPERLINK("https://klasma.github.io/Logging_1737/tillsyn/A 54029-2024 tillsynsbegäran.docx", "A 54029-2024")</f>
        <v/>
      </c>
      <c r="Y168">
        <f>HYPERLINK("https://klasma.github.io/Logging_1737/tillsynsmail/A 54029-2024 tillsynsbegäran mail.docx", "A 54029-2024")</f>
        <v/>
      </c>
    </row>
    <row r="169" ht="15" customHeight="1">
      <c r="A169" t="inlineStr">
        <is>
          <t>A 54788-2024</t>
        </is>
      </c>
      <c r="B169" s="1" t="n">
        <v>45618</v>
      </c>
      <c r="C169" s="1" t="n">
        <v>45711</v>
      </c>
      <c r="D169" t="inlineStr">
        <is>
          <t>VÄRMLANDS LÄN</t>
        </is>
      </c>
      <c r="E169" t="inlineStr">
        <is>
          <t>TORSBY</t>
        </is>
      </c>
      <c r="G169" t="n">
        <v>2.4</v>
      </c>
      <c r="H169" t="n">
        <v>0</v>
      </c>
      <c r="I169" t="n">
        <v>0</v>
      </c>
      <c r="J169" t="n">
        <v>1</v>
      </c>
      <c r="K169" t="n">
        <v>0</v>
      </c>
      <c r="L169" t="n">
        <v>0</v>
      </c>
      <c r="M169" t="n">
        <v>0</v>
      </c>
      <c r="N169" t="n">
        <v>0</v>
      </c>
      <c r="O169" t="n">
        <v>1</v>
      </c>
      <c r="P169" t="n">
        <v>0</v>
      </c>
      <c r="Q169" t="n">
        <v>1</v>
      </c>
      <c r="R169" s="2" t="inlineStr">
        <is>
          <t>Mörk kolflarnlav</t>
        </is>
      </c>
      <c r="S169">
        <f>HYPERLINK("https://klasma.github.io/Logging_1737/artfynd/A 54788-2024 artfynd.xlsx", "A 54788-2024")</f>
        <v/>
      </c>
      <c r="T169">
        <f>HYPERLINK("https://klasma.github.io/Logging_1737/kartor/A 54788-2024 karta.png", "A 54788-2024")</f>
        <v/>
      </c>
      <c r="V169">
        <f>HYPERLINK("https://klasma.github.io/Logging_1737/klagomål/A 54788-2024 FSC-klagomål.docx", "A 54788-2024")</f>
        <v/>
      </c>
      <c r="W169">
        <f>HYPERLINK("https://klasma.github.io/Logging_1737/klagomålsmail/A 54788-2024 FSC-klagomål mail.docx", "A 54788-2024")</f>
        <v/>
      </c>
      <c r="X169">
        <f>HYPERLINK("https://klasma.github.io/Logging_1737/tillsyn/A 54788-2024 tillsynsbegäran.docx", "A 54788-2024")</f>
        <v/>
      </c>
      <c r="Y169">
        <f>HYPERLINK("https://klasma.github.io/Logging_1737/tillsynsmail/A 54788-2024 tillsynsbegäran mail.docx", "A 54788-2024")</f>
        <v/>
      </c>
    </row>
    <row r="170" ht="15" customHeight="1">
      <c r="A170" t="inlineStr">
        <is>
          <t>A 54786-2024</t>
        </is>
      </c>
      <c r="B170" s="1" t="n">
        <v>45618</v>
      </c>
      <c r="C170" s="1" t="n">
        <v>45711</v>
      </c>
      <c r="D170" t="inlineStr">
        <is>
          <t>VÄRMLANDS LÄN</t>
        </is>
      </c>
      <c r="E170" t="inlineStr">
        <is>
          <t>TORSBY</t>
        </is>
      </c>
      <c r="G170" t="n">
        <v>3.8</v>
      </c>
      <c r="H170" t="n">
        <v>0</v>
      </c>
      <c r="I170" t="n">
        <v>0</v>
      </c>
      <c r="J170" t="n">
        <v>1</v>
      </c>
      <c r="K170" t="n">
        <v>0</v>
      </c>
      <c r="L170" t="n">
        <v>0</v>
      </c>
      <c r="M170" t="n">
        <v>0</v>
      </c>
      <c r="N170" t="n">
        <v>0</v>
      </c>
      <c r="O170" t="n">
        <v>1</v>
      </c>
      <c r="P170" t="n">
        <v>0</v>
      </c>
      <c r="Q170" t="n">
        <v>1</v>
      </c>
      <c r="R170" s="2" t="inlineStr">
        <is>
          <t>Dvärgbägarlav</t>
        </is>
      </c>
      <c r="S170">
        <f>HYPERLINK("https://klasma.github.io/Logging_1737/artfynd/A 54786-2024 artfynd.xlsx", "A 54786-2024")</f>
        <v/>
      </c>
      <c r="T170">
        <f>HYPERLINK("https://klasma.github.io/Logging_1737/kartor/A 54786-2024 karta.png", "A 54786-2024")</f>
        <v/>
      </c>
      <c r="V170">
        <f>HYPERLINK("https://klasma.github.io/Logging_1737/klagomål/A 54786-2024 FSC-klagomål.docx", "A 54786-2024")</f>
        <v/>
      </c>
      <c r="W170">
        <f>HYPERLINK("https://klasma.github.io/Logging_1737/klagomålsmail/A 54786-2024 FSC-klagomål mail.docx", "A 54786-2024")</f>
        <v/>
      </c>
      <c r="X170">
        <f>HYPERLINK("https://klasma.github.io/Logging_1737/tillsyn/A 54786-2024 tillsynsbegäran.docx", "A 54786-2024")</f>
        <v/>
      </c>
      <c r="Y170">
        <f>HYPERLINK("https://klasma.github.io/Logging_1737/tillsynsmail/A 54786-2024 tillsynsbegäran mail.docx", "A 54786-2024")</f>
        <v/>
      </c>
    </row>
    <row r="171" ht="15" customHeight="1">
      <c r="A171" t="inlineStr">
        <is>
          <t>A 56133-2024</t>
        </is>
      </c>
      <c r="B171" s="1" t="n">
        <v>45624</v>
      </c>
      <c r="C171" s="1" t="n">
        <v>45711</v>
      </c>
      <c r="D171" t="inlineStr">
        <is>
          <t>VÄRMLANDS LÄN</t>
        </is>
      </c>
      <c r="E171" t="inlineStr">
        <is>
          <t>TORSBY</t>
        </is>
      </c>
      <c r="G171" t="n">
        <v>2.4</v>
      </c>
      <c r="H171" t="n">
        <v>0</v>
      </c>
      <c r="I171" t="n">
        <v>1</v>
      </c>
      <c r="J171" t="n">
        <v>0</v>
      </c>
      <c r="K171" t="n">
        <v>0</v>
      </c>
      <c r="L171" t="n">
        <v>0</v>
      </c>
      <c r="M171" t="n">
        <v>0</v>
      </c>
      <c r="N171" t="n">
        <v>0</v>
      </c>
      <c r="O171" t="n">
        <v>0</v>
      </c>
      <c r="P171" t="n">
        <v>0</v>
      </c>
      <c r="Q171" t="n">
        <v>1</v>
      </c>
      <c r="R171" s="2" t="inlineStr">
        <is>
          <t>Vedticka</t>
        </is>
      </c>
      <c r="S171">
        <f>HYPERLINK("https://klasma.github.io/Logging_1737/artfynd/A 56133-2024 artfynd.xlsx", "A 56133-2024")</f>
        <v/>
      </c>
      <c r="T171">
        <f>HYPERLINK("https://klasma.github.io/Logging_1737/kartor/A 56133-2024 karta.png", "A 56133-2024")</f>
        <v/>
      </c>
      <c r="V171">
        <f>HYPERLINK("https://klasma.github.io/Logging_1737/klagomål/A 56133-2024 FSC-klagomål.docx", "A 56133-2024")</f>
        <v/>
      </c>
      <c r="W171">
        <f>HYPERLINK("https://klasma.github.io/Logging_1737/klagomålsmail/A 56133-2024 FSC-klagomål mail.docx", "A 56133-2024")</f>
        <v/>
      </c>
      <c r="X171">
        <f>HYPERLINK("https://klasma.github.io/Logging_1737/tillsyn/A 56133-2024 tillsynsbegäran.docx", "A 56133-2024")</f>
        <v/>
      </c>
      <c r="Y171">
        <f>HYPERLINK("https://klasma.github.io/Logging_1737/tillsynsmail/A 56133-2024 tillsynsbegäran mail.docx", "A 56133-2024")</f>
        <v/>
      </c>
    </row>
    <row r="172" ht="15" customHeight="1">
      <c r="A172" t="inlineStr">
        <is>
          <t>A 56990-2024</t>
        </is>
      </c>
      <c r="B172" s="1" t="n">
        <v>45628</v>
      </c>
      <c r="C172" s="1" t="n">
        <v>45711</v>
      </c>
      <c r="D172" t="inlineStr">
        <is>
          <t>VÄRMLANDS LÄN</t>
        </is>
      </c>
      <c r="E172" t="inlineStr">
        <is>
          <t>TORSBY</t>
        </is>
      </c>
      <c r="F172" t="inlineStr">
        <is>
          <t>Bergvik skog väst AB</t>
        </is>
      </c>
      <c r="G172" t="n">
        <v>8.699999999999999</v>
      </c>
      <c r="H172" t="n">
        <v>1</v>
      </c>
      <c r="I172" t="n">
        <v>0</v>
      </c>
      <c r="J172" t="n">
        <v>1</v>
      </c>
      <c r="K172" t="n">
        <v>0</v>
      </c>
      <c r="L172" t="n">
        <v>0</v>
      </c>
      <c r="M172" t="n">
        <v>0</v>
      </c>
      <c r="N172" t="n">
        <v>0</v>
      </c>
      <c r="O172" t="n">
        <v>1</v>
      </c>
      <c r="P172" t="n">
        <v>0</v>
      </c>
      <c r="Q172" t="n">
        <v>1</v>
      </c>
      <c r="R172" s="2" t="inlineStr">
        <is>
          <t>Grönsångare</t>
        </is>
      </c>
      <c r="S172">
        <f>HYPERLINK("https://klasma.github.io/Logging_1737/artfynd/A 56990-2024 artfynd.xlsx", "A 56990-2024")</f>
        <v/>
      </c>
      <c r="T172">
        <f>HYPERLINK("https://klasma.github.io/Logging_1737/kartor/A 56990-2024 karta.png", "A 56990-2024")</f>
        <v/>
      </c>
      <c r="V172">
        <f>HYPERLINK("https://klasma.github.io/Logging_1737/klagomål/A 56990-2024 FSC-klagomål.docx", "A 56990-2024")</f>
        <v/>
      </c>
      <c r="W172">
        <f>HYPERLINK("https://klasma.github.io/Logging_1737/klagomålsmail/A 56990-2024 FSC-klagomål mail.docx", "A 56990-2024")</f>
        <v/>
      </c>
      <c r="X172">
        <f>HYPERLINK("https://klasma.github.io/Logging_1737/tillsyn/A 56990-2024 tillsynsbegäran.docx", "A 56990-2024")</f>
        <v/>
      </c>
      <c r="Y172">
        <f>HYPERLINK("https://klasma.github.io/Logging_1737/tillsynsmail/A 56990-2024 tillsynsbegäran mail.docx", "A 56990-2024")</f>
        <v/>
      </c>
      <c r="Z172">
        <f>HYPERLINK("https://klasma.github.io/Logging_1737/fåglar/A 56990-2024 prioriterade fågelarter.docx", "A 56990-2024")</f>
        <v/>
      </c>
    </row>
    <row r="173" ht="15" customHeight="1">
      <c r="A173" t="inlineStr">
        <is>
          <t>A 58014-2024</t>
        </is>
      </c>
      <c r="B173" s="1" t="n">
        <v>45631</v>
      </c>
      <c r="C173" s="1" t="n">
        <v>45711</v>
      </c>
      <c r="D173" t="inlineStr">
        <is>
          <t>VÄRMLANDS LÄN</t>
        </is>
      </c>
      <c r="E173" t="inlineStr">
        <is>
          <t>TORSBY</t>
        </is>
      </c>
      <c r="G173" t="n">
        <v>2.2</v>
      </c>
      <c r="H173" t="n">
        <v>0</v>
      </c>
      <c r="I173" t="n">
        <v>1</v>
      </c>
      <c r="J173" t="n">
        <v>0</v>
      </c>
      <c r="K173" t="n">
        <v>0</v>
      </c>
      <c r="L173" t="n">
        <v>0</v>
      </c>
      <c r="M173" t="n">
        <v>0</v>
      </c>
      <c r="N173" t="n">
        <v>0</v>
      </c>
      <c r="O173" t="n">
        <v>0</v>
      </c>
      <c r="P173" t="n">
        <v>0</v>
      </c>
      <c r="Q173" t="n">
        <v>1</v>
      </c>
      <c r="R173" s="2" t="inlineStr">
        <is>
          <t>Kattfotslav</t>
        </is>
      </c>
      <c r="S173">
        <f>HYPERLINK("https://klasma.github.io/Logging_1737/artfynd/A 58014-2024 artfynd.xlsx", "A 58014-2024")</f>
        <v/>
      </c>
      <c r="T173">
        <f>HYPERLINK("https://klasma.github.io/Logging_1737/kartor/A 58014-2024 karta.png", "A 58014-2024")</f>
        <v/>
      </c>
      <c r="V173">
        <f>HYPERLINK("https://klasma.github.io/Logging_1737/klagomål/A 58014-2024 FSC-klagomål.docx", "A 58014-2024")</f>
        <v/>
      </c>
      <c r="W173">
        <f>HYPERLINK("https://klasma.github.io/Logging_1737/klagomålsmail/A 58014-2024 FSC-klagomål mail.docx", "A 58014-2024")</f>
        <v/>
      </c>
      <c r="X173">
        <f>HYPERLINK("https://klasma.github.io/Logging_1737/tillsyn/A 58014-2024 tillsynsbegäran.docx", "A 58014-2024")</f>
        <v/>
      </c>
      <c r="Y173">
        <f>HYPERLINK("https://klasma.github.io/Logging_1737/tillsynsmail/A 58014-2024 tillsynsbegäran mail.docx", "A 58014-2024")</f>
        <v/>
      </c>
    </row>
    <row r="174" ht="15" customHeight="1">
      <c r="A174" t="inlineStr">
        <is>
          <t>A 5726-2025</t>
        </is>
      </c>
      <c r="B174" s="1" t="n">
        <v>45694</v>
      </c>
      <c r="C174" s="1" t="n">
        <v>45711</v>
      </c>
      <c r="D174" t="inlineStr">
        <is>
          <t>VÄRMLANDS LÄN</t>
        </is>
      </c>
      <c r="E174" t="inlineStr">
        <is>
          <t>TORSBY</t>
        </is>
      </c>
      <c r="G174" t="n">
        <v>3.5</v>
      </c>
      <c r="H174" t="n">
        <v>0</v>
      </c>
      <c r="I174" t="n">
        <v>1</v>
      </c>
      <c r="J174" t="n">
        <v>0</v>
      </c>
      <c r="K174" t="n">
        <v>0</v>
      </c>
      <c r="L174" t="n">
        <v>0</v>
      </c>
      <c r="M174" t="n">
        <v>0</v>
      </c>
      <c r="N174" t="n">
        <v>0</v>
      </c>
      <c r="O174" t="n">
        <v>0</v>
      </c>
      <c r="P174" t="n">
        <v>0</v>
      </c>
      <c r="Q174" t="n">
        <v>1</v>
      </c>
      <c r="R174" s="2" t="inlineStr">
        <is>
          <t>Vedticka</t>
        </is>
      </c>
      <c r="S174">
        <f>HYPERLINK("https://klasma.github.io/Logging_1737/artfynd/A 5726-2025 artfynd.xlsx", "A 5726-2025")</f>
        <v/>
      </c>
      <c r="T174">
        <f>HYPERLINK("https://klasma.github.io/Logging_1737/kartor/A 5726-2025 karta.png", "A 5726-2025")</f>
        <v/>
      </c>
      <c r="V174">
        <f>HYPERLINK("https://klasma.github.io/Logging_1737/klagomål/A 5726-2025 FSC-klagomål.docx", "A 5726-2025")</f>
        <v/>
      </c>
      <c r="W174">
        <f>HYPERLINK("https://klasma.github.io/Logging_1737/klagomålsmail/A 5726-2025 FSC-klagomål mail.docx", "A 5726-2025")</f>
        <v/>
      </c>
      <c r="X174">
        <f>HYPERLINK("https://klasma.github.io/Logging_1737/tillsyn/A 5726-2025 tillsynsbegäran.docx", "A 5726-2025")</f>
        <v/>
      </c>
      <c r="Y174">
        <f>HYPERLINK("https://klasma.github.io/Logging_1737/tillsynsmail/A 5726-2025 tillsynsbegäran mail.docx", "A 5726-2025")</f>
        <v/>
      </c>
    </row>
    <row r="175" ht="15" customHeight="1">
      <c r="A175" t="inlineStr">
        <is>
          <t>A 17808-2019</t>
        </is>
      </c>
      <c r="B175" s="1" t="n">
        <v>43556</v>
      </c>
      <c r="C175" s="1" t="n">
        <v>45711</v>
      </c>
      <c r="D175" t="inlineStr">
        <is>
          <t>VÄRMLANDS LÄN</t>
        </is>
      </c>
      <c r="E175" t="inlineStr">
        <is>
          <t>TORSBY</t>
        </is>
      </c>
      <c r="G175" t="n">
        <v>2.1</v>
      </c>
      <c r="H175" t="n">
        <v>0</v>
      </c>
      <c r="I175" t="n">
        <v>0</v>
      </c>
      <c r="J175" t="n">
        <v>0</v>
      </c>
      <c r="K175" t="n">
        <v>0</v>
      </c>
      <c r="L175" t="n">
        <v>0</v>
      </c>
      <c r="M175" t="n">
        <v>0</v>
      </c>
      <c r="N175" t="n">
        <v>0</v>
      </c>
      <c r="O175" t="n">
        <v>0</v>
      </c>
      <c r="P175" t="n">
        <v>0</v>
      </c>
      <c r="Q175" t="n">
        <v>0</v>
      </c>
      <c r="R175" s="2" t="inlineStr"/>
    </row>
    <row r="176" ht="15" customHeight="1">
      <c r="A176" t="inlineStr">
        <is>
          <t>A 17788-2019</t>
        </is>
      </c>
      <c r="B176" s="1" t="n">
        <v>43556</v>
      </c>
      <c r="C176" s="1" t="n">
        <v>45711</v>
      </c>
      <c r="D176" t="inlineStr">
        <is>
          <t>VÄRMLANDS LÄN</t>
        </is>
      </c>
      <c r="E176" t="inlineStr">
        <is>
          <t>TORSBY</t>
        </is>
      </c>
      <c r="G176" t="n">
        <v>2.3</v>
      </c>
      <c r="H176" t="n">
        <v>0</v>
      </c>
      <c r="I176" t="n">
        <v>0</v>
      </c>
      <c r="J176" t="n">
        <v>0</v>
      </c>
      <c r="K176" t="n">
        <v>0</v>
      </c>
      <c r="L176" t="n">
        <v>0</v>
      </c>
      <c r="M176" t="n">
        <v>0</v>
      </c>
      <c r="N176" t="n">
        <v>0</v>
      </c>
      <c r="O176" t="n">
        <v>0</v>
      </c>
      <c r="P176" t="n">
        <v>0</v>
      </c>
      <c r="Q176" t="n">
        <v>0</v>
      </c>
      <c r="R176" s="2" t="inlineStr"/>
    </row>
    <row r="177" ht="15" customHeight="1">
      <c r="A177" t="inlineStr">
        <is>
          <t>A 17957-2019</t>
        </is>
      </c>
      <c r="B177" s="1" t="n">
        <v>43557</v>
      </c>
      <c r="C177" s="1" t="n">
        <v>45711</v>
      </c>
      <c r="D177" t="inlineStr">
        <is>
          <t>VÄRMLANDS LÄN</t>
        </is>
      </c>
      <c r="E177" t="inlineStr">
        <is>
          <t>TORSBY</t>
        </is>
      </c>
      <c r="G177" t="n">
        <v>1.6</v>
      </c>
      <c r="H177" t="n">
        <v>0</v>
      </c>
      <c r="I177" t="n">
        <v>0</v>
      </c>
      <c r="J177" t="n">
        <v>0</v>
      </c>
      <c r="K177" t="n">
        <v>0</v>
      </c>
      <c r="L177" t="n">
        <v>0</v>
      </c>
      <c r="M177" t="n">
        <v>0</v>
      </c>
      <c r="N177" t="n">
        <v>0</v>
      </c>
      <c r="O177" t="n">
        <v>0</v>
      </c>
      <c r="P177" t="n">
        <v>0</v>
      </c>
      <c r="Q177" t="n">
        <v>0</v>
      </c>
      <c r="R177" s="2" t="inlineStr"/>
    </row>
    <row r="178" ht="15" customHeight="1">
      <c r="A178" t="inlineStr">
        <is>
          <t>A 17864-2019</t>
        </is>
      </c>
      <c r="B178" s="1" t="n">
        <v>43557</v>
      </c>
      <c r="C178" s="1" t="n">
        <v>45711</v>
      </c>
      <c r="D178" t="inlineStr">
        <is>
          <t>VÄRMLANDS LÄN</t>
        </is>
      </c>
      <c r="E178" t="inlineStr">
        <is>
          <t>TORSBY</t>
        </is>
      </c>
      <c r="G178" t="n">
        <v>1.4</v>
      </c>
      <c r="H178" t="n">
        <v>0</v>
      </c>
      <c r="I178" t="n">
        <v>0</v>
      </c>
      <c r="J178" t="n">
        <v>0</v>
      </c>
      <c r="K178" t="n">
        <v>0</v>
      </c>
      <c r="L178" t="n">
        <v>0</v>
      </c>
      <c r="M178" t="n">
        <v>0</v>
      </c>
      <c r="N178" t="n">
        <v>0</v>
      </c>
      <c r="O178" t="n">
        <v>0</v>
      </c>
      <c r="P178" t="n">
        <v>0</v>
      </c>
      <c r="Q178" t="n">
        <v>0</v>
      </c>
      <c r="R178" s="2" t="inlineStr"/>
    </row>
    <row r="179" ht="15" customHeight="1">
      <c r="A179" t="inlineStr">
        <is>
          <t>A 18551-2019</t>
        </is>
      </c>
      <c r="B179" s="1" t="n">
        <v>43559</v>
      </c>
      <c r="C179" s="1" t="n">
        <v>45711</v>
      </c>
      <c r="D179" t="inlineStr">
        <is>
          <t>VÄRMLANDS LÄN</t>
        </is>
      </c>
      <c r="E179" t="inlineStr">
        <is>
          <t>TORSBY</t>
        </is>
      </c>
      <c r="G179" t="n">
        <v>1.5</v>
      </c>
      <c r="H179" t="n">
        <v>0</v>
      </c>
      <c r="I179" t="n">
        <v>0</v>
      </c>
      <c r="J179" t="n">
        <v>0</v>
      </c>
      <c r="K179" t="n">
        <v>0</v>
      </c>
      <c r="L179" t="n">
        <v>0</v>
      </c>
      <c r="M179" t="n">
        <v>0</v>
      </c>
      <c r="N179" t="n">
        <v>0</v>
      </c>
      <c r="O179" t="n">
        <v>0</v>
      </c>
      <c r="P179" t="n">
        <v>0</v>
      </c>
      <c r="Q179" t="n">
        <v>0</v>
      </c>
      <c r="R179" s="2" t="inlineStr"/>
    </row>
    <row r="180" ht="15" customHeight="1">
      <c r="A180" t="inlineStr">
        <is>
          <t>A 18947-2019</t>
        </is>
      </c>
      <c r="B180" s="1" t="n">
        <v>43563</v>
      </c>
      <c r="C180" s="1" t="n">
        <v>45711</v>
      </c>
      <c r="D180" t="inlineStr">
        <is>
          <t>VÄRMLANDS LÄN</t>
        </is>
      </c>
      <c r="E180" t="inlineStr">
        <is>
          <t>TORSBY</t>
        </is>
      </c>
      <c r="G180" t="n">
        <v>7.6</v>
      </c>
      <c r="H180" t="n">
        <v>0</v>
      </c>
      <c r="I180" t="n">
        <v>0</v>
      </c>
      <c r="J180" t="n">
        <v>0</v>
      </c>
      <c r="K180" t="n">
        <v>0</v>
      </c>
      <c r="L180" t="n">
        <v>0</v>
      </c>
      <c r="M180" t="n">
        <v>0</v>
      </c>
      <c r="N180" t="n">
        <v>0</v>
      </c>
      <c r="O180" t="n">
        <v>0</v>
      </c>
      <c r="P180" t="n">
        <v>0</v>
      </c>
      <c r="Q180" t="n">
        <v>0</v>
      </c>
      <c r="R180" s="2" t="inlineStr"/>
    </row>
    <row r="181" ht="15" customHeight="1">
      <c r="A181" t="inlineStr">
        <is>
          <t>A 19974-2019</t>
        </is>
      </c>
      <c r="B181" s="1" t="n">
        <v>43564</v>
      </c>
      <c r="C181" s="1" t="n">
        <v>45711</v>
      </c>
      <c r="D181" t="inlineStr">
        <is>
          <t>VÄRMLANDS LÄN</t>
        </is>
      </c>
      <c r="E181" t="inlineStr">
        <is>
          <t>TORSBY</t>
        </is>
      </c>
      <c r="G181" t="n">
        <v>5.1</v>
      </c>
      <c r="H181" t="n">
        <v>0</v>
      </c>
      <c r="I181" t="n">
        <v>0</v>
      </c>
      <c r="J181" t="n">
        <v>0</v>
      </c>
      <c r="K181" t="n">
        <v>0</v>
      </c>
      <c r="L181" t="n">
        <v>0</v>
      </c>
      <c r="M181" t="n">
        <v>0</v>
      </c>
      <c r="N181" t="n">
        <v>0</v>
      </c>
      <c r="O181" t="n">
        <v>0</v>
      </c>
      <c r="P181" t="n">
        <v>0</v>
      </c>
      <c r="Q181" t="n">
        <v>0</v>
      </c>
      <c r="R181" s="2" t="inlineStr"/>
    </row>
    <row r="182" ht="15" customHeight="1">
      <c r="A182" t="inlineStr">
        <is>
          <t>A 19125-2019</t>
        </is>
      </c>
      <c r="B182" s="1" t="n">
        <v>43564</v>
      </c>
      <c r="C182" s="1" t="n">
        <v>45711</v>
      </c>
      <c r="D182" t="inlineStr">
        <is>
          <t>VÄRMLANDS LÄN</t>
        </is>
      </c>
      <c r="E182" t="inlineStr">
        <is>
          <t>TORSBY</t>
        </is>
      </c>
      <c r="G182" t="n">
        <v>18.3</v>
      </c>
      <c r="H182" t="n">
        <v>0</v>
      </c>
      <c r="I182" t="n">
        <v>0</v>
      </c>
      <c r="J182" t="n">
        <v>0</v>
      </c>
      <c r="K182" t="n">
        <v>0</v>
      </c>
      <c r="L182" t="n">
        <v>0</v>
      </c>
      <c r="M182" t="n">
        <v>0</v>
      </c>
      <c r="N182" t="n">
        <v>0</v>
      </c>
      <c r="O182" t="n">
        <v>0</v>
      </c>
      <c r="P182" t="n">
        <v>0</v>
      </c>
      <c r="Q182" t="n">
        <v>0</v>
      </c>
      <c r="R182" s="2" t="inlineStr"/>
    </row>
    <row r="183" ht="15" customHeight="1">
      <c r="A183" t="inlineStr">
        <is>
          <t>A 19591-2019</t>
        </is>
      </c>
      <c r="B183" s="1" t="n">
        <v>43566</v>
      </c>
      <c r="C183" s="1" t="n">
        <v>45711</v>
      </c>
      <c r="D183" t="inlineStr">
        <is>
          <t>VÄRMLANDS LÄN</t>
        </is>
      </c>
      <c r="E183" t="inlineStr">
        <is>
          <t>TORSBY</t>
        </is>
      </c>
      <c r="G183" t="n">
        <v>0.9</v>
      </c>
      <c r="H183" t="n">
        <v>0</v>
      </c>
      <c r="I183" t="n">
        <v>0</v>
      </c>
      <c r="J183" t="n">
        <v>0</v>
      </c>
      <c r="K183" t="n">
        <v>0</v>
      </c>
      <c r="L183" t="n">
        <v>0</v>
      </c>
      <c r="M183" t="n">
        <v>0</v>
      </c>
      <c r="N183" t="n">
        <v>0</v>
      </c>
      <c r="O183" t="n">
        <v>0</v>
      </c>
      <c r="P183" t="n">
        <v>0</v>
      </c>
      <c r="Q183" t="n">
        <v>0</v>
      </c>
      <c r="R183" s="2" t="inlineStr"/>
    </row>
    <row r="184" ht="15" customHeight="1">
      <c r="A184" t="inlineStr">
        <is>
          <t>A 20167-2019</t>
        </is>
      </c>
      <c r="B184" s="1" t="n">
        <v>43570</v>
      </c>
      <c r="C184" s="1" t="n">
        <v>45711</v>
      </c>
      <c r="D184" t="inlineStr">
        <is>
          <t>VÄRMLANDS LÄN</t>
        </is>
      </c>
      <c r="E184" t="inlineStr">
        <is>
          <t>TORSBY</t>
        </is>
      </c>
      <c r="G184" t="n">
        <v>5</v>
      </c>
      <c r="H184" t="n">
        <v>0</v>
      </c>
      <c r="I184" t="n">
        <v>0</v>
      </c>
      <c r="J184" t="n">
        <v>0</v>
      </c>
      <c r="K184" t="n">
        <v>0</v>
      </c>
      <c r="L184" t="n">
        <v>0</v>
      </c>
      <c r="M184" t="n">
        <v>0</v>
      </c>
      <c r="N184" t="n">
        <v>0</v>
      </c>
      <c r="O184" t="n">
        <v>0</v>
      </c>
      <c r="P184" t="n">
        <v>0</v>
      </c>
      <c r="Q184" t="n">
        <v>0</v>
      </c>
      <c r="R184" s="2" t="inlineStr"/>
    </row>
    <row r="185" ht="15" customHeight="1">
      <c r="A185" t="inlineStr">
        <is>
          <t>A 20190-2019</t>
        </is>
      </c>
      <c r="B185" s="1" t="n">
        <v>43570</v>
      </c>
      <c r="C185" s="1" t="n">
        <v>45711</v>
      </c>
      <c r="D185" t="inlineStr">
        <is>
          <t>VÄRMLANDS LÄN</t>
        </is>
      </c>
      <c r="E185" t="inlineStr">
        <is>
          <t>TORSBY</t>
        </is>
      </c>
      <c r="G185" t="n">
        <v>2.1</v>
      </c>
      <c r="H185" t="n">
        <v>0</v>
      </c>
      <c r="I185" t="n">
        <v>0</v>
      </c>
      <c r="J185" t="n">
        <v>0</v>
      </c>
      <c r="K185" t="n">
        <v>0</v>
      </c>
      <c r="L185" t="n">
        <v>0</v>
      </c>
      <c r="M185" t="n">
        <v>0</v>
      </c>
      <c r="N185" t="n">
        <v>0</v>
      </c>
      <c r="O185" t="n">
        <v>0</v>
      </c>
      <c r="P185" t="n">
        <v>0</v>
      </c>
      <c r="Q185" t="n">
        <v>0</v>
      </c>
      <c r="R185" s="2" t="inlineStr"/>
    </row>
    <row r="186" ht="15" customHeight="1">
      <c r="A186" t="inlineStr">
        <is>
          <t>A 20244-2019</t>
        </is>
      </c>
      <c r="B186" s="1" t="n">
        <v>43571</v>
      </c>
      <c r="C186" s="1" t="n">
        <v>45711</v>
      </c>
      <c r="D186" t="inlineStr">
        <is>
          <t>VÄRMLANDS LÄN</t>
        </is>
      </c>
      <c r="E186" t="inlineStr">
        <is>
          <t>TORSBY</t>
        </is>
      </c>
      <c r="F186" t="inlineStr">
        <is>
          <t>Bergvik skog väst AB</t>
        </is>
      </c>
      <c r="G186" t="n">
        <v>1</v>
      </c>
      <c r="H186" t="n">
        <v>0</v>
      </c>
      <c r="I186" t="n">
        <v>0</v>
      </c>
      <c r="J186" t="n">
        <v>0</v>
      </c>
      <c r="K186" t="n">
        <v>0</v>
      </c>
      <c r="L186" t="n">
        <v>0</v>
      </c>
      <c r="M186" t="n">
        <v>0</v>
      </c>
      <c r="N186" t="n">
        <v>0</v>
      </c>
      <c r="O186" t="n">
        <v>0</v>
      </c>
      <c r="P186" t="n">
        <v>0</v>
      </c>
      <c r="Q186" t="n">
        <v>0</v>
      </c>
      <c r="R186" s="2" t="inlineStr"/>
    </row>
    <row r="187" ht="15" customHeight="1">
      <c r="A187" t="inlineStr">
        <is>
          <t>A 20616-2019</t>
        </is>
      </c>
      <c r="B187" s="1" t="n">
        <v>43572</v>
      </c>
      <c r="C187" s="1" t="n">
        <v>45711</v>
      </c>
      <c r="D187" t="inlineStr">
        <is>
          <t>VÄRMLANDS LÄN</t>
        </is>
      </c>
      <c r="E187" t="inlineStr">
        <is>
          <t>TORSBY</t>
        </is>
      </c>
      <c r="G187" t="n">
        <v>0.4</v>
      </c>
      <c r="H187" t="n">
        <v>0</v>
      </c>
      <c r="I187" t="n">
        <v>0</v>
      </c>
      <c r="J187" t="n">
        <v>0</v>
      </c>
      <c r="K187" t="n">
        <v>0</v>
      </c>
      <c r="L187" t="n">
        <v>0</v>
      </c>
      <c r="M187" t="n">
        <v>0</v>
      </c>
      <c r="N187" t="n">
        <v>0</v>
      </c>
      <c r="O187" t="n">
        <v>0</v>
      </c>
      <c r="P187" t="n">
        <v>0</v>
      </c>
      <c r="Q187" t="n">
        <v>0</v>
      </c>
      <c r="R187" s="2" t="inlineStr"/>
    </row>
    <row r="188" ht="15" customHeight="1">
      <c r="A188" t="inlineStr">
        <is>
          <t>A 20468-2019</t>
        </is>
      </c>
      <c r="B188" s="1" t="n">
        <v>43572</v>
      </c>
      <c r="C188" s="1" t="n">
        <v>45711</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21166-2019</t>
        </is>
      </c>
      <c r="B189" s="1" t="n">
        <v>43578</v>
      </c>
      <c r="C189" s="1" t="n">
        <v>45711</v>
      </c>
      <c r="D189" t="inlineStr">
        <is>
          <t>VÄRMLANDS LÄN</t>
        </is>
      </c>
      <c r="E189" t="inlineStr">
        <is>
          <t>TORSBY</t>
        </is>
      </c>
      <c r="G189" t="n">
        <v>3.4</v>
      </c>
      <c r="H189" t="n">
        <v>0</v>
      </c>
      <c r="I189" t="n">
        <v>0</v>
      </c>
      <c r="J189" t="n">
        <v>0</v>
      </c>
      <c r="K189" t="n">
        <v>0</v>
      </c>
      <c r="L189" t="n">
        <v>0</v>
      </c>
      <c r="M189" t="n">
        <v>0</v>
      </c>
      <c r="N189" t="n">
        <v>0</v>
      </c>
      <c r="O189" t="n">
        <v>0</v>
      </c>
      <c r="P189" t="n">
        <v>0</v>
      </c>
      <c r="Q189" t="n">
        <v>0</v>
      </c>
      <c r="R189" s="2" t="inlineStr"/>
    </row>
    <row r="190" ht="15" customHeight="1">
      <c r="A190" t="inlineStr">
        <is>
          <t>A 21387-2019</t>
        </is>
      </c>
      <c r="B190" s="1" t="n">
        <v>43580</v>
      </c>
      <c r="C190" s="1" t="n">
        <v>45711</v>
      </c>
      <c r="D190" t="inlineStr">
        <is>
          <t>VÄRMLANDS LÄN</t>
        </is>
      </c>
      <c r="E190" t="inlineStr">
        <is>
          <t>TORSBY</t>
        </is>
      </c>
      <c r="G190" t="n">
        <v>2.4</v>
      </c>
      <c r="H190" t="n">
        <v>0</v>
      </c>
      <c r="I190" t="n">
        <v>0</v>
      </c>
      <c r="J190" t="n">
        <v>0</v>
      </c>
      <c r="K190" t="n">
        <v>0</v>
      </c>
      <c r="L190" t="n">
        <v>0</v>
      </c>
      <c r="M190" t="n">
        <v>0</v>
      </c>
      <c r="N190" t="n">
        <v>0</v>
      </c>
      <c r="O190" t="n">
        <v>0</v>
      </c>
      <c r="P190" t="n">
        <v>0</v>
      </c>
      <c r="Q190" t="n">
        <v>0</v>
      </c>
      <c r="R190" s="2" t="inlineStr"/>
    </row>
    <row r="191" ht="15" customHeight="1">
      <c r="A191" t="inlineStr">
        <is>
          <t>A 21958-2019</t>
        </is>
      </c>
      <c r="B191" s="1" t="n">
        <v>43584</v>
      </c>
      <c r="C191" s="1" t="n">
        <v>45711</v>
      </c>
      <c r="D191" t="inlineStr">
        <is>
          <t>VÄRMLANDS LÄN</t>
        </is>
      </c>
      <c r="E191" t="inlineStr">
        <is>
          <t>TORSBY</t>
        </is>
      </c>
      <c r="G191" t="n">
        <v>3.5</v>
      </c>
      <c r="H191" t="n">
        <v>0</v>
      </c>
      <c r="I191" t="n">
        <v>0</v>
      </c>
      <c r="J191" t="n">
        <v>0</v>
      </c>
      <c r="K191" t="n">
        <v>0</v>
      </c>
      <c r="L191" t="n">
        <v>0</v>
      </c>
      <c r="M191" t="n">
        <v>0</v>
      </c>
      <c r="N191" t="n">
        <v>0</v>
      </c>
      <c r="O191" t="n">
        <v>0</v>
      </c>
      <c r="P191" t="n">
        <v>0</v>
      </c>
      <c r="Q191" t="n">
        <v>0</v>
      </c>
      <c r="R191" s="2" t="inlineStr"/>
    </row>
    <row r="192" ht="15" customHeight="1">
      <c r="A192" t="inlineStr">
        <is>
          <t>A 22252-2019</t>
        </is>
      </c>
      <c r="B192" s="1" t="n">
        <v>43585</v>
      </c>
      <c r="C192" s="1" t="n">
        <v>45711</v>
      </c>
      <c r="D192" t="inlineStr">
        <is>
          <t>VÄRMLANDS LÄN</t>
        </is>
      </c>
      <c r="E192" t="inlineStr">
        <is>
          <t>TORSBY</t>
        </is>
      </c>
      <c r="G192" t="n">
        <v>3.7</v>
      </c>
      <c r="H192" t="n">
        <v>0</v>
      </c>
      <c r="I192" t="n">
        <v>0</v>
      </c>
      <c r="J192" t="n">
        <v>0</v>
      </c>
      <c r="K192" t="n">
        <v>0</v>
      </c>
      <c r="L192" t="n">
        <v>0</v>
      </c>
      <c r="M192" t="n">
        <v>0</v>
      </c>
      <c r="N192" t="n">
        <v>0</v>
      </c>
      <c r="O192" t="n">
        <v>0</v>
      </c>
      <c r="P192" t="n">
        <v>0</v>
      </c>
      <c r="Q192" t="n">
        <v>0</v>
      </c>
      <c r="R192" s="2" t="inlineStr"/>
    </row>
    <row r="193" ht="15" customHeight="1">
      <c r="A193" t="inlineStr">
        <is>
          <t>A 22158-2019</t>
        </is>
      </c>
      <c r="B193" s="1" t="n">
        <v>43585</v>
      </c>
      <c r="C193" s="1" t="n">
        <v>45711</v>
      </c>
      <c r="D193" t="inlineStr">
        <is>
          <t>VÄRMLANDS LÄN</t>
        </is>
      </c>
      <c r="E193" t="inlineStr">
        <is>
          <t>TORSBY</t>
        </is>
      </c>
      <c r="G193" t="n">
        <v>4.5</v>
      </c>
      <c r="H193" t="n">
        <v>0</v>
      </c>
      <c r="I193" t="n">
        <v>0</v>
      </c>
      <c r="J193" t="n">
        <v>0</v>
      </c>
      <c r="K193" t="n">
        <v>0</v>
      </c>
      <c r="L193" t="n">
        <v>0</v>
      </c>
      <c r="M193" t="n">
        <v>0</v>
      </c>
      <c r="N193" t="n">
        <v>0</v>
      </c>
      <c r="O193" t="n">
        <v>0</v>
      </c>
      <c r="P193" t="n">
        <v>0</v>
      </c>
      <c r="Q193" t="n">
        <v>0</v>
      </c>
      <c r="R193" s="2" t="inlineStr"/>
    </row>
    <row r="194" ht="15" customHeight="1">
      <c r="A194" t="inlineStr">
        <is>
          <t>A 22416-2019</t>
        </is>
      </c>
      <c r="B194" s="1" t="n">
        <v>43587</v>
      </c>
      <c r="C194" s="1" t="n">
        <v>45711</v>
      </c>
      <c r="D194" t="inlineStr">
        <is>
          <t>VÄRMLANDS LÄN</t>
        </is>
      </c>
      <c r="E194" t="inlineStr">
        <is>
          <t>TORSBY</t>
        </is>
      </c>
      <c r="G194" t="n">
        <v>1.9</v>
      </c>
      <c r="H194" t="n">
        <v>0</v>
      </c>
      <c r="I194" t="n">
        <v>0</v>
      </c>
      <c r="J194" t="n">
        <v>0</v>
      </c>
      <c r="K194" t="n">
        <v>0</v>
      </c>
      <c r="L194" t="n">
        <v>0</v>
      </c>
      <c r="M194" t="n">
        <v>0</v>
      </c>
      <c r="N194" t="n">
        <v>0</v>
      </c>
      <c r="O194" t="n">
        <v>0</v>
      </c>
      <c r="P194" t="n">
        <v>0</v>
      </c>
      <c r="Q194" t="n">
        <v>0</v>
      </c>
      <c r="R194" s="2" t="inlineStr"/>
    </row>
    <row r="195" ht="15" customHeight="1">
      <c r="A195" t="inlineStr">
        <is>
          <t>A 22351-2019</t>
        </is>
      </c>
      <c r="B195" s="1" t="n">
        <v>43587</v>
      </c>
      <c r="C195" s="1" t="n">
        <v>45711</v>
      </c>
      <c r="D195" t="inlineStr">
        <is>
          <t>VÄRMLANDS LÄN</t>
        </is>
      </c>
      <c r="E195" t="inlineStr">
        <is>
          <t>TORSBY</t>
        </is>
      </c>
      <c r="G195" t="n">
        <v>4.3</v>
      </c>
      <c r="H195" t="n">
        <v>0</v>
      </c>
      <c r="I195" t="n">
        <v>0</v>
      </c>
      <c r="J195" t="n">
        <v>0</v>
      </c>
      <c r="K195" t="n">
        <v>0</v>
      </c>
      <c r="L195" t="n">
        <v>0</v>
      </c>
      <c r="M195" t="n">
        <v>0</v>
      </c>
      <c r="N195" t="n">
        <v>0</v>
      </c>
      <c r="O195" t="n">
        <v>0</v>
      </c>
      <c r="P195" t="n">
        <v>0</v>
      </c>
      <c r="Q195" t="n">
        <v>0</v>
      </c>
      <c r="R195" s="2" t="inlineStr"/>
    </row>
    <row r="196" ht="15" customHeight="1">
      <c r="A196" t="inlineStr">
        <is>
          <t>A 22692-2019</t>
        </is>
      </c>
      <c r="B196" s="1" t="n">
        <v>43588</v>
      </c>
      <c r="C196" s="1" t="n">
        <v>45711</v>
      </c>
      <c r="D196" t="inlineStr">
        <is>
          <t>VÄRMLANDS LÄN</t>
        </is>
      </c>
      <c r="E196" t="inlineStr">
        <is>
          <t>TORSBY</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22717-2019</t>
        </is>
      </c>
      <c r="B197" s="1" t="n">
        <v>43588</v>
      </c>
      <c r="C197" s="1" t="n">
        <v>45711</v>
      </c>
      <c r="D197" t="inlineStr">
        <is>
          <t>VÄRMLANDS LÄN</t>
        </is>
      </c>
      <c r="E197" t="inlineStr">
        <is>
          <t>TORSBY</t>
        </is>
      </c>
      <c r="G197" t="n">
        <v>8</v>
      </c>
      <c r="H197" t="n">
        <v>0</v>
      </c>
      <c r="I197" t="n">
        <v>0</v>
      </c>
      <c r="J197" t="n">
        <v>0</v>
      </c>
      <c r="K197" t="n">
        <v>0</v>
      </c>
      <c r="L197" t="n">
        <v>0</v>
      </c>
      <c r="M197" t="n">
        <v>0</v>
      </c>
      <c r="N197" t="n">
        <v>0</v>
      </c>
      <c r="O197" t="n">
        <v>0</v>
      </c>
      <c r="P197" t="n">
        <v>0</v>
      </c>
      <c r="Q197" t="n">
        <v>0</v>
      </c>
      <c r="R197" s="2" t="inlineStr"/>
    </row>
    <row r="198" ht="15" customHeight="1">
      <c r="A198" t="inlineStr">
        <is>
          <t>A 23412-2019</t>
        </is>
      </c>
      <c r="B198" s="1" t="n">
        <v>43593</v>
      </c>
      <c r="C198" s="1" t="n">
        <v>45711</v>
      </c>
      <c r="D198" t="inlineStr">
        <is>
          <t>VÄRMLANDS LÄN</t>
        </is>
      </c>
      <c r="E198" t="inlineStr">
        <is>
          <t>TORSBY</t>
        </is>
      </c>
      <c r="G198" t="n">
        <v>1.6</v>
      </c>
      <c r="H198" t="n">
        <v>0</v>
      </c>
      <c r="I198" t="n">
        <v>0</v>
      </c>
      <c r="J198" t="n">
        <v>0</v>
      </c>
      <c r="K198" t="n">
        <v>0</v>
      </c>
      <c r="L198" t="n">
        <v>0</v>
      </c>
      <c r="M198" t="n">
        <v>0</v>
      </c>
      <c r="N198" t="n">
        <v>0</v>
      </c>
      <c r="O198" t="n">
        <v>0</v>
      </c>
      <c r="P198" t="n">
        <v>0</v>
      </c>
      <c r="Q198" t="n">
        <v>0</v>
      </c>
      <c r="R198" s="2" t="inlineStr"/>
    </row>
    <row r="199" ht="15" customHeight="1">
      <c r="A199" t="inlineStr">
        <is>
          <t>A 23892-2019</t>
        </is>
      </c>
      <c r="B199" s="1" t="n">
        <v>43595</v>
      </c>
      <c r="C199" s="1" t="n">
        <v>45711</v>
      </c>
      <c r="D199" t="inlineStr">
        <is>
          <t>VÄRMLANDS LÄN</t>
        </is>
      </c>
      <c r="E199" t="inlineStr">
        <is>
          <t>TORSBY</t>
        </is>
      </c>
      <c r="G199" t="n">
        <v>1.8</v>
      </c>
      <c r="H199" t="n">
        <v>0</v>
      </c>
      <c r="I199" t="n">
        <v>0</v>
      </c>
      <c r="J199" t="n">
        <v>0</v>
      </c>
      <c r="K199" t="n">
        <v>0</v>
      </c>
      <c r="L199" t="n">
        <v>0</v>
      </c>
      <c r="M199" t="n">
        <v>0</v>
      </c>
      <c r="N199" t="n">
        <v>0</v>
      </c>
      <c r="O199" t="n">
        <v>0</v>
      </c>
      <c r="P199" t="n">
        <v>0</v>
      </c>
      <c r="Q199" t="n">
        <v>0</v>
      </c>
      <c r="R199" s="2" t="inlineStr"/>
    </row>
    <row r="200" ht="15" customHeight="1">
      <c r="A200" t="inlineStr">
        <is>
          <t>A 23771-2019</t>
        </is>
      </c>
      <c r="B200" s="1" t="n">
        <v>43595</v>
      </c>
      <c r="C200" s="1" t="n">
        <v>45711</v>
      </c>
      <c r="D200" t="inlineStr">
        <is>
          <t>VÄRMLANDS LÄN</t>
        </is>
      </c>
      <c r="E200" t="inlineStr">
        <is>
          <t>TORSBY</t>
        </is>
      </c>
      <c r="G200" t="n">
        <v>1.4</v>
      </c>
      <c r="H200" t="n">
        <v>0</v>
      </c>
      <c r="I200" t="n">
        <v>0</v>
      </c>
      <c r="J200" t="n">
        <v>0</v>
      </c>
      <c r="K200" t="n">
        <v>0</v>
      </c>
      <c r="L200" t="n">
        <v>0</v>
      </c>
      <c r="M200" t="n">
        <v>0</v>
      </c>
      <c r="N200" t="n">
        <v>0</v>
      </c>
      <c r="O200" t="n">
        <v>0</v>
      </c>
      <c r="P200" t="n">
        <v>0</v>
      </c>
      <c r="Q200" t="n">
        <v>0</v>
      </c>
      <c r="R200" s="2" t="inlineStr"/>
    </row>
    <row r="201" ht="15" customHeight="1">
      <c r="A201" t="inlineStr">
        <is>
          <t>A 24667-2019</t>
        </is>
      </c>
      <c r="B201" s="1" t="n">
        <v>43599</v>
      </c>
      <c r="C201" s="1" t="n">
        <v>45711</v>
      </c>
      <c r="D201" t="inlineStr">
        <is>
          <t>VÄRMLANDS LÄN</t>
        </is>
      </c>
      <c r="E201" t="inlineStr">
        <is>
          <t>TORSBY</t>
        </is>
      </c>
      <c r="G201" t="n">
        <v>6.7</v>
      </c>
      <c r="H201" t="n">
        <v>0</v>
      </c>
      <c r="I201" t="n">
        <v>0</v>
      </c>
      <c r="J201" t="n">
        <v>0</v>
      </c>
      <c r="K201" t="n">
        <v>0</v>
      </c>
      <c r="L201" t="n">
        <v>0</v>
      </c>
      <c r="M201" t="n">
        <v>0</v>
      </c>
      <c r="N201" t="n">
        <v>0</v>
      </c>
      <c r="O201" t="n">
        <v>0</v>
      </c>
      <c r="P201" t="n">
        <v>0</v>
      </c>
      <c r="Q201" t="n">
        <v>0</v>
      </c>
      <c r="R201" s="2" t="inlineStr"/>
    </row>
    <row r="202" ht="15" customHeight="1">
      <c r="A202" t="inlineStr">
        <is>
          <t>A 24703-2019</t>
        </is>
      </c>
      <c r="B202" s="1" t="n">
        <v>43601</v>
      </c>
      <c r="C202" s="1" t="n">
        <v>45711</v>
      </c>
      <c r="D202" t="inlineStr">
        <is>
          <t>VÄRMLANDS LÄN</t>
        </is>
      </c>
      <c r="E202" t="inlineStr">
        <is>
          <t>TORSBY</t>
        </is>
      </c>
      <c r="G202" t="n">
        <v>1.5</v>
      </c>
      <c r="H202" t="n">
        <v>0</v>
      </c>
      <c r="I202" t="n">
        <v>0</v>
      </c>
      <c r="J202" t="n">
        <v>0</v>
      </c>
      <c r="K202" t="n">
        <v>0</v>
      </c>
      <c r="L202" t="n">
        <v>0</v>
      </c>
      <c r="M202" t="n">
        <v>0</v>
      </c>
      <c r="N202" t="n">
        <v>0</v>
      </c>
      <c r="O202" t="n">
        <v>0</v>
      </c>
      <c r="P202" t="n">
        <v>0</v>
      </c>
      <c r="Q202" t="n">
        <v>0</v>
      </c>
      <c r="R202" s="2" t="inlineStr"/>
    </row>
    <row r="203" ht="15" customHeight="1">
      <c r="A203" t="inlineStr">
        <is>
          <t>A 26493-2019</t>
        </is>
      </c>
      <c r="B203" s="1" t="n">
        <v>43612</v>
      </c>
      <c r="C203" s="1" t="n">
        <v>45711</v>
      </c>
      <c r="D203" t="inlineStr">
        <is>
          <t>VÄRMLANDS LÄN</t>
        </is>
      </c>
      <c r="E203" t="inlineStr">
        <is>
          <t>TORSBY</t>
        </is>
      </c>
      <c r="F203" t="inlineStr">
        <is>
          <t>Bergvik skog väst AB</t>
        </is>
      </c>
      <c r="G203" t="n">
        <v>1.4</v>
      </c>
      <c r="H203" t="n">
        <v>0</v>
      </c>
      <c r="I203" t="n">
        <v>0</v>
      </c>
      <c r="J203" t="n">
        <v>0</v>
      </c>
      <c r="K203" t="n">
        <v>0</v>
      </c>
      <c r="L203" t="n">
        <v>0</v>
      </c>
      <c r="M203" t="n">
        <v>0</v>
      </c>
      <c r="N203" t="n">
        <v>0</v>
      </c>
      <c r="O203" t="n">
        <v>0</v>
      </c>
      <c r="P203" t="n">
        <v>0</v>
      </c>
      <c r="Q203" t="n">
        <v>0</v>
      </c>
      <c r="R203" s="2" t="inlineStr"/>
    </row>
    <row r="204" ht="15" customHeight="1">
      <c r="A204" t="inlineStr">
        <is>
          <t>A 27907-2019</t>
        </is>
      </c>
      <c r="B204" s="1" t="n">
        <v>43612</v>
      </c>
      <c r="C204" s="1" t="n">
        <v>45711</v>
      </c>
      <c r="D204" t="inlineStr">
        <is>
          <t>VÄRMLANDS LÄN</t>
        </is>
      </c>
      <c r="E204" t="inlineStr">
        <is>
          <t>TORSBY</t>
        </is>
      </c>
      <c r="G204" t="n">
        <v>7.5</v>
      </c>
      <c r="H204" t="n">
        <v>0</v>
      </c>
      <c r="I204" t="n">
        <v>0</v>
      </c>
      <c r="J204" t="n">
        <v>0</v>
      </c>
      <c r="K204" t="n">
        <v>0</v>
      </c>
      <c r="L204" t="n">
        <v>0</v>
      </c>
      <c r="M204" t="n">
        <v>0</v>
      </c>
      <c r="N204" t="n">
        <v>0</v>
      </c>
      <c r="O204" t="n">
        <v>0</v>
      </c>
      <c r="P204" t="n">
        <v>0</v>
      </c>
      <c r="Q204" t="n">
        <v>0</v>
      </c>
      <c r="R204" s="2" t="inlineStr"/>
    </row>
    <row r="205" ht="15" customHeight="1">
      <c r="A205" t="inlineStr">
        <is>
          <t>A 26783-2019</t>
        </is>
      </c>
      <c r="B205" s="1" t="n">
        <v>43613</v>
      </c>
      <c r="C205" s="1" t="n">
        <v>45711</v>
      </c>
      <c r="D205" t="inlineStr">
        <is>
          <t>VÄRMLANDS LÄN</t>
        </is>
      </c>
      <c r="E205" t="inlineStr">
        <is>
          <t>TORSBY</t>
        </is>
      </c>
      <c r="G205" t="n">
        <v>0.6</v>
      </c>
      <c r="H205" t="n">
        <v>0</v>
      </c>
      <c r="I205" t="n">
        <v>0</v>
      </c>
      <c r="J205" t="n">
        <v>0</v>
      </c>
      <c r="K205" t="n">
        <v>0</v>
      </c>
      <c r="L205" t="n">
        <v>0</v>
      </c>
      <c r="M205" t="n">
        <v>0</v>
      </c>
      <c r="N205" t="n">
        <v>0</v>
      </c>
      <c r="O205" t="n">
        <v>0</v>
      </c>
      <c r="P205" t="n">
        <v>0</v>
      </c>
      <c r="Q205" t="n">
        <v>0</v>
      </c>
      <c r="R205" s="2" t="inlineStr"/>
    </row>
    <row r="206" ht="15" customHeight="1">
      <c r="A206" t="inlineStr">
        <is>
          <t>A 27711-2019</t>
        </is>
      </c>
      <c r="B206" s="1" t="n">
        <v>43619</v>
      </c>
      <c r="C206" s="1" t="n">
        <v>45711</v>
      </c>
      <c r="D206" t="inlineStr">
        <is>
          <t>VÄRMLANDS LÄN</t>
        </is>
      </c>
      <c r="E206" t="inlineStr">
        <is>
          <t>TORSBY</t>
        </is>
      </c>
      <c r="G206" t="n">
        <v>0.7</v>
      </c>
      <c r="H206" t="n">
        <v>0</v>
      </c>
      <c r="I206" t="n">
        <v>0</v>
      </c>
      <c r="J206" t="n">
        <v>0</v>
      </c>
      <c r="K206" t="n">
        <v>0</v>
      </c>
      <c r="L206" t="n">
        <v>0</v>
      </c>
      <c r="M206" t="n">
        <v>0</v>
      </c>
      <c r="N206" t="n">
        <v>0</v>
      </c>
      <c r="O206" t="n">
        <v>0</v>
      </c>
      <c r="P206" t="n">
        <v>0</v>
      </c>
      <c r="Q206" t="n">
        <v>0</v>
      </c>
      <c r="R206" s="2" t="inlineStr"/>
    </row>
    <row r="207" ht="15" customHeight="1">
      <c r="A207" t="inlineStr">
        <is>
          <t>A 27682-2019</t>
        </is>
      </c>
      <c r="B207" s="1" t="n">
        <v>43619</v>
      </c>
      <c r="C207" s="1" t="n">
        <v>45711</v>
      </c>
      <c r="D207" t="inlineStr">
        <is>
          <t>VÄRMLANDS LÄN</t>
        </is>
      </c>
      <c r="E207" t="inlineStr">
        <is>
          <t>TORSBY</t>
        </is>
      </c>
      <c r="G207" t="n">
        <v>1.2</v>
      </c>
      <c r="H207" t="n">
        <v>0</v>
      </c>
      <c r="I207" t="n">
        <v>0</v>
      </c>
      <c r="J207" t="n">
        <v>0</v>
      </c>
      <c r="K207" t="n">
        <v>0</v>
      </c>
      <c r="L207" t="n">
        <v>0</v>
      </c>
      <c r="M207" t="n">
        <v>0</v>
      </c>
      <c r="N207" t="n">
        <v>0</v>
      </c>
      <c r="O207" t="n">
        <v>0</v>
      </c>
      <c r="P207" t="n">
        <v>0</v>
      </c>
      <c r="Q207" t="n">
        <v>0</v>
      </c>
      <c r="R207" s="2" t="inlineStr"/>
    </row>
    <row r="208" ht="15" customHeight="1">
      <c r="A208" t="inlineStr">
        <is>
          <t>A 28975-2019</t>
        </is>
      </c>
      <c r="B208" s="1" t="n">
        <v>43619</v>
      </c>
      <c r="C208" s="1" t="n">
        <v>45711</v>
      </c>
      <c r="D208" t="inlineStr">
        <is>
          <t>VÄRMLANDS LÄN</t>
        </is>
      </c>
      <c r="E208" t="inlineStr">
        <is>
          <t>TORSBY</t>
        </is>
      </c>
      <c r="G208" t="n">
        <v>6.5</v>
      </c>
      <c r="H208" t="n">
        <v>0</v>
      </c>
      <c r="I208" t="n">
        <v>0</v>
      </c>
      <c r="J208" t="n">
        <v>0</v>
      </c>
      <c r="K208" t="n">
        <v>0</v>
      </c>
      <c r="L208" t="n">
        <v>0</v>
      </c>
      <c r="M208" t="n">
        <v>0</v>
      </c>
      <c r="N208" t="n">
        <v>0</v>
      </c>
      <c r="O208" t="n">
        <v>0</v>
      </c>
      <c r="P208" t="n">
        <v>0</v>
      </c>
      <c r="Q208" t="n">
        <v>0</v>
      </c>
      <c r="R208" s="2" t="inlineStr"/>
    </row>
    <row r="209" ht="15" customHeight="1">
      <c r="A209" t="inlineStr">
        <is>
          <t>A 28487-2019</t>
        </is>
      </c>
      <c r="B209" s="1" t="n">
        <v>43621</v>
      </c>
      <c r="C209" s="1" t="n">
        <v>45711</v>
      </c>
      <c r="D209" t="inlineStr">
        <is>
          <t>VÄRMLANDS LÄN</t>
        </is>
      </c>
      <c r="E209" t="inlineStr">
        <is>
          <t>TORSBY</t>
        </is>
      </c>
      <c r="G209" t="n">
        <v>1.6</v>
      </c>
      <c r="H209" t="n">
        <v>0</v>
      </c>
      <c r="I209" t="n">
        <v>0</v>
      </c>
      <c r="J209" t="n">
        <v>0</v>
      </c>
      <c r="K209" t="n">
        <v>0</v>
      </c>
      <c r="L209" t="n">
        <v>0</v>
      </c>
      <c r="M209" t="n">
        <v>0</v>
      </c>
      <c r="N209" t="n">
        <v>0</v>
      </c>
      <c r="O209" t="n">
        <v>0</v>
      </c>
      <c r="P209" t="n">
        <v>0</v>
      </c>
      <c r="Q209" t="n">
        <v>0</v>
      </c>
      <c r="R209" s="2" t="inlineStr"/>
    </row>
    <row r="210" ht="15" customHeight="1">
      <c r="A210" t="inlineStr">
        <is>
          <t>A 28653-2019</t>
        </is>
      </c>
      <c r="B210" s="1" t="n">
        <v>43627</v>
      </c>
      <c r="C210" s="1" t="n">
        <v>45711</v>
      </c>
      <c r="D210" t="inlineStr">
        <is>
          <t>VÄRMLANDS LÄN</t>
        </is>
      </c>
      <c r="E210" t="inlineStr">
        <is>
          <t>TORSBY</t>
        </is>
      </c>
      <c r="G210" t="n">
        <v>5.2</v>
      </c>
      <c r="H210" t="n">
        <v>0</v>
      </c>
      <c r="I210" t="n">
        <v>0</v>
      </c>
      <c r="J210" t="n">
        <v>0</v>
      </c>
      <c r="K210" t="n">
        <v>0</v>
      </c>
      <c r="L210" t="n">
        <v>0</v>
      </c>
      <c r="M210" t="n">
        <v>0</v>
      </c>
      <c r="N210" t="n">
        <v>0</v>
      </c>
      <c r="O210" t="n">
        <v>0</v>
      </c>
      <c r="P210" t="n">
        <v>0</v>
      </c>
      <c r="Q210" t="n">
        <v>0</v>
      </c>
      <c r="R210" s="2" t="inlineStr"/>
    </row>
    <row r="211" ht="15" customHeight="1">
      <c r="A211" t="inlineStr">
        <is>
          <t>A 28818-2019</t>
        </is>
      </c>
      <c r="B211" s="1" t="n">
        <v>43627</v>
      </c>
      <c r="C211" s="1" t="n">
        <v>45711</v>
      </c>
      <c r="D211" t="inlineStr">
        <is>
          <t>VÄRMLANDS LÄN</t>
        </is>
      </c>
      <c r="E211" t="inlineStr">
        <is>
          <t>TORSBY</t>
        </is>
      </c>
      <c r="F211" t="inlineStr">
        <is>
          <t>Bergvik skog väst AB</t>
        </is>
      </c>
      <c r="G211" t="n">
        <v>58.6</v>
      </c>
      <c r="H211" t="n">
        <v>0</v>
      </c>
      <c r="I211" t="n">
        <v>0</v>
      </c>
      <c r="J211" t="n">
        <v>0</v>
      </c>
      <c r="K211" t="n">
        <v>0</v>
      </c>
      <c r="L211" t="n">
        <v>0</v>
      </c>
      <c r="M211" t="n">
        <v>0</v>
      </c>
      <c r="N211" t="n">
        <v>0</v>
      </c>
      <c r="O211" t="n">
        <v>0</v>
      </c>
      <c r="P211" t="n">
        <v>0</v>
      </c>
      <c r="Q211" t="n">
        <v>0</v>
      </c>
      <c r="R211" s="2" t="inlineStr"/>
    </row>
    <row r="212" ht="15" customHeight="1">
      <c r="A212" t="inlineStr">
        <is>
          <t>A 28889-2019</t>
        </is>
      </c>
      <c r="B212" s="1" t="n">
        <v>43628</v>
      </c>
      <c r="C212" s="1" t="n">
        <v>45711</v>
      </c>
      <c r="D212" t="inlineStr">
        <is>
          <t>VÄRMLANDS LÄN</t>
        </is>
      </c>
      <c r="E212" t="inlineStr">
        <is>
          <t>TORSBY</t>
        </is>
      </c>
      <c r="G212" t="n">
        <v>2</v>
      </c>
      <c r="H212" t="n">
        <v>0</v>
      </c>
      <c r="I212" t="n">
        <v>0</v>
      </c>
      <c r="J212" t="n">
        <v>0</v>
      </c>
      <c r="K212" t="n">
        <v>0</v>
      </c>
      <c r="L212" t="n">
        <v>0</v>
      </c>
      <c r="M212" t="n">
        <v>0</v>
      </c>
      <c r="N212" t="n">
        <v>0</v>
      </c>
      <c r="O212" t="n">
        <v>0</v>
      </c>
      <c r="P212" t="n">
        <v>0</v>
      </c>
      <c r="Q212" t="n">
        <v>0</v>
      </c>
      <c r="R212" s="2" t="inlineStr"/>
    </row>
    <row r="213" ht="15" customHeight="1">
      <c r="A213" t="inlineStr">
        <is>
          <t>A 29436-2019</t>
        </is>
      </c>
      <c r="B213" s="1" t="n">
        <v>43629</v>
      </c>
      <c r="C213" s="1" t="n">
        <v>45711</v>
      </c>
      <c r="D213" t="inlineStr">
        <is>
          <t>VÄRMLANDS LÄN</t>
        </is>
      </c>
      <c r="E213" t="inlineStr">
        <is>
          <t>TORSBY</t>
        </is>
      </c>
      <c r="F213" t="inlineStr">
        <is>
          <t>Bergvik skog väst AB</t>
        </is>
      </c>
      <c r="G213" t="n">
        <v>33.7</v>
      </c>
      <c r="H213" t="n">
        <v>0</v>
      </c>
      <c r="I213" t="n">
        <v>0</v>
      </c>
      <c r="J213" t="n">
        <v>0</v>
      </c>
      <c r="K213" t="n">
        <v>0</v>
      </c>
      <c r="L213" t="n">
        <v>0</v>
      </c>
      <c r="M213" t="n">
        <v>0</v>
      </c>
      <c r="N213" t="n">
        <v>0</v>
      </c>
      <c r="O213" t="n">
        <v>0</v>
      </c>
      <c r="P213" t="n">
        <v>0</v>
      </c>
      <c r="Q213" t="n">
        <v>0</v>
      </c>
      <c r="R213" s="2" t="inlineStr"/>
    </row>
    <row r="214" ht="15" customHeight="1">
      <c r="A214" t="inlineStr">
        <is>
          <t>A 30031-2019</t>
        </is>
      </c>
      <c r="B214" s="1" t="n">
        <v>43633</v>
      </c>
      <c r="C214" s="1" t="n">
        <v>45711</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30049-2019</t>
        </is>
      </c>
      <c r="B215" s="1" t="n">
        <v>43633</v>
      </c>
      <c r="C215" s="1" t="n">
        <v>45711</v>
      </c>
      <c r="D215" t="inlineStr">
        <is>
          <t>VÄRMLANDS LÄN</t>
        </is>
      </c>
      <c r="E215" t="inlineStr">
        <is>
          <t>TORSBY</t>
        </is>
      </c>
      <c r="G215" t="n">
        <v>7.1</v>
      </c>
      <c r="H215" t="n">
        <v>0</v>
      </c>
      <c r="I215" t="n">
        <v>0</v>
      </c>
      <c r="J215" t="n">
        <v>0</v>
      </c>
      <c r="K215" t="n">
        <v>0</v>
      </c>
      <c r="L215" t="n">
        <v>0</v>
      </c>
      <c r="M215" t="n">
        <v>0</v>
      </c>
      <c r="N215" t="n">
        <v>0</v>
      </c>
      <c r="O215" t="n">
        <v>0</v>
      </c>
      <c r="P215" t="n">
        <v>0</v>
      </c>
      <c r="Q215" t="n">
        <v>0</v>
      </c>
      <c r="R215" s="2" t="inlineStr"/>
    </row>
    <row r="216" ht="15" customHeight="1">
      <c r="A216" t="inlineStr">
        <is>
          <t>A 29984-2019</t>
        </is>
      </c>
      <c r="B216" s="1" t="n">
        <v>43633</v>
      </c>
      <c r="C216" s="1" t="n">
        <v>45711</v>
      </c>
      <c r="D216" t="inlineStr">
        <is>
          <t>VÄRMLANDS LÄN</t>
        </is>
      </c>
      <c r="E216" t="inlineStr">
        <is>
          <t>TORSBY</t>
        </is>
      </c>
      <c r="F216" t="inlineStr">
        <is>
          <t>Bergvik skog väst AB</t>
        </is>
      </c>
      <c r="G216" t="n">
        <v>1.2</v>
      </c>
      <c r="H216" t="n">
        <v>0</v>
      </c>
      <c r="I216" t="n">
        <v>0</v>
      </c>
      <c r="J216" t="n">
        <v>0</v>
      </c>
      <c r="K216" t="n">
        <v>0</v>
      </c>
      <c r="L216" t="n">
        <v>0</v>
      </c>
      <c r="M216" t="n">
        <v>0</v>
      </c>
      <c r="N216" t="n">
        <v>0</v>
      </c>
      <c r="O216" t="n">
        <v>0</v>
      </c>
      <c r="P216" t="n">
        <v>0</v>
      </c>
      <c r="Q216" t="n">
        <v>0</v>
      </c>
      <c r="R216" s="2" t="inlineStr"/>
    </row>
    <row r="217" ht="15" customHeight="1">
      <c r="A217" t="inlineStr">
        <is>
          <t>A 30158-2019</t>
        </is>
      </c>
      <c r="B217" s="1" t="n">
        <v>43634</v>
      </c>
      <c r="C217" s="1" t="n">
        <v>45711</v>
      </c>
      <c r="D217" t="inlineStr">
        <is>
          <t>VÄRMLANDS LÄN</t>
        </is>
      </c>
      <c r="E217" t="inlineStr">
        <is>
          <t>TORSBY</t>
        </is>
      </c>
      <c r="G217" t="n">
        <v>3.3</v>
      </c>
      <c r="H217" t="n">
        <v>0</v>
      </c>
      <c r="I217" t="n">
        <v>0</v>
      </c>
      <c r="J217" t="n">
        <v>0</v>
      </c>
      <c r="K217" t="n">
        <v>0</v>
      </c>
      <c r="L217" t="n">
        <v>0</v>
      </c>
      <c r="M217" t="n">
        <v>0</v>
      </c>
      <c r="N217" t="n">
        <v>0</v>
      </c>
      <c r="O217" t="n">
        <v>0</v>
      </c>
      <c r="P217" t="n">
        <v>0</v>
      </c>
      <c r="Q217" t="n">
        <v>0</v>
      </c>
      <c r="R217" s="2" t="inlineStr"/>
    </row>
    <row r="218" ht="15" customHeight="1">
      <c r="A218" t="inlineStr">
        <is>
          <t>A 30596-2019</t>
        </is>
      </c>
      <c r="B218" s="1" t="n">
        <v>43635</v>
      </c>
      <c r="C218" s="1" t="n">
        <v>45711</v>
      </c>
      <c r="D218" t="inlineStr">
        <is>
          <t>VÄRMLANDS LÄN</t>
        </is>
      </c>
      <c r="E218" t="inlineStr">
        <is>
          <t>TORSBY</t>
        </is>
      </c>
      <c r="G218" t="n">
        <v>2.1</v>
      </c>
      <c r="H218" t="n">
        <v>0</v>
      </c>
      <c r="I218" t="n">
        <v>0</v>
      </c>
      <c r="J218" t="n">
        <v>0</v>
      </c>
      <c r="K218" t="n">
        <v>0</v>
      </c>
      <c r="L218" t="n">
        <v>0</v>
      </c>
      <c r="M218" t="n">
        <v>0</v>
      </c>
      <c r="N218" t="n">
        <v>0</v>
      </c>
      <c r="O218" t="n">
        <v>0</v>
      </c>
      <c r="P218" t="n">
        <v>0</v>
      </c>
      <c r="Q218" t="n">
        <v>0</v>
      </c>
      <c r="R218" s="2" t="inlineStr"/>
    </row>
    <row r="219" ht="15" customHeight="1">
      <c r="A219" t="inlineStr">
        <is>
          <t>A 30860-2019</t>
        </is>
      </c>
      <c r="B219" s="1" t="n">
        <v>43636</v>
      </c>
      <c r="C219" s="1" t="n">
        <v>45711</v>
      </c>
      <c r="D219" t="inlineStr">
        <is>
          <t>VÄRMLANDS LÄN</t>
        </is>
      </c>
      <c r="E219" t="inlineStr">
        <is>
          <t>TORSBY</t>
        </is>
      </c>
      <c r="G219" t="n">
        <v>11.7</v>
      </c>
      <c r="H219" t="n">
        <v>0</v>
      </c>
      <c r="I219" t="n">
        <v>0</v>
      </c>
      <c r="J219" t="n">
        <v>0</v>
      </c>
      <c r="K219" t="n">
        <v>0</v>
      </c>
      <c r="L219" t="n">
        <v>0</v>
      </c>
      <c r="M219" t="n">
        <v>0</v>
      </c>
      <c r="N219" t="n">
        <v>0</v>
      </c>
      <c r="O219" t="n">
        <v>0</v>
      </c>
      <c r="P219" t="n">
        <v>0</v>
      </c>
      <c r="Q219" t="n">
        <v>0</v>
      </c>
      <c r="R219" s="2" t="inlineStr"/>
    </row>
    <row r="220" ht="15" customHeight="1">
      <c r="A220" t="inlineStr">
        <is>
          <t>A 31109-2019</t>
        </is>
      </c>
      <c r="B220" s="1" t="n">
        <v>43640</v>
      </c>
      <c r="C220" s="1" t="n">
        <v>45711</v>
      </c>
      <c r="D220" t="inlineStr">
        <is>
          <t>VÄRMLANDS LÄN</t>
        </is>
      </c>
      <c r="E220" t="inlineStr">
        <is>
          <t>TORSBY</t>
        </is>
      </c>
      <c r="G220" t="n">
        <v>4</v>
      </c>
      <c r="H220" t="n">
        <v>0</v>
      </c>
      <c r="I220" t="n">
        <v>0</v>
      </c>
      <c r="J220" t="n">
        <v>0</v>
      </c>
      <c r="K220" t="n">
        <v>0</v>
      </c>
      <c r="L220" t="n">
        <v>0</v>
      </c>
      <c r="M220" t="n">
        <v>0</v>
      </c>
      <c r="N220" t="n">
        <v>0</v>
      </c>
      <c r="O220" t="n">
        <v>0</v>
      </c>
      <c r="P220" t="n">
        <v>0</v>
      </c>
      <c r="Q220" t="n">
        <v>0</v>
      </c>
      <c r="R220" s="2" t="inlineStr"/>
    </row>
    <row r="221" ht="15" customHeight="1">
      <c r="A221" t="inlineStr">
        <is>
          <t>A 31010-2019</t>
        </is>
      </c>
      <c r="B221" s="1" t="n">
        <v>43640</v>
      </c>
      <c r="C221" s="1" t="n">
        <v>45711</v>
      </c>
      <c r="D221" t="inlineStr">
        <is>
          <t>VÄRMLANDS LÄN</t>
        </is>
      </c>
      <c r="E221" t="inlineStr">
        <is>
          <t>TORSBY</t>
        </is>
      </c>
      <c r="G221" t="n">
        <v>4</v>
      </c>
      <c r="H221" t="n">
        <v>0</v>
      </c>
      <c r="I221" t="n">
        <v>0</v>
      </c>
      <c r="J221" t="n">
        <v>0</v>
      </c>
      <c r="K221" t="n">
        <v>0</v>
      </c>
      <c r="L221" t="n">
        <v>0</v>
      </c>
      <c r="M221" t="n">
        <v>0</v>
      </c>
      <c r="N221" t="n">
        <v>0</v>
      </c>
      <c r="O221" t="n">
        <v>0</v>
      </c>
      <c r="P221" t="n">
        <v>0</v>
      </c>
      <c r="Q221" t="n">
        <v>0</v>
      </c>
      <c r="R221" s="2" t="inlineStr"/>
    </row>
    <row r="222" ht="15" customHeight="1">
      <c r="A222" t="inlineStr">
        <is>
          <t>A 31138-2019</t>
        </is>
      </c>
      <c r="B222" s="1" t="n">
        <v>43640</v>
      </c>
      <c r="C222" s="1" t="n">
        <v>45711</v>
      </c>
      <c r="D222" t="inlineStr">
        <is>
          <t>VÄRMLANDS LÄN</t>
        </is>
      </c>
      <c r="E222" t="inlineStr">
        <is>
          <t>TORSBY</t>
        </is>
      </c>
      <c r="F222" t="inlineStr">
        <is>
          <t>Bergvik skog väst AB</t>
        </is>
      </c>
      <c r="G222" t="n">
        <v>1.1</v>
      </c>
      <c r="H222" t="n">
        <v>0</v>
      </c>
      <c r="I222" t="n">
        <v>0</v>
      </c>
      <c r="J222" t="n">
        <v>0</v>
      </c>
      <c r="K222" t="n">
        <v>0</v>
      </c>
      <c r="L222" t="n">
        <v>0</v>
      </c>
      <c r="M222" t="n">
        <v>0</v>
      </c>
      <c r="N222" t="n">
        <v>0</v>
      </c>
      <c r="O222" t="n">
        <v>0</v>
      </c>
      <c r="P222" t="n">
        <v>0</v>
      </c>
      <c r="Q222" t="n">
        <v>0</v>
      </c>
      <c r="R222" s="2" t="inlineStr"/>
    </row>
    <row r="223" ht="15" customHeight="1">
      <c r="A223" t="inlineStr">
        <is>
          <t>A 31543-2019</t>
        </is>
      </c>
      <c r="B223" s="1" t="n">
        <v>43641</v>
      </c>
      <c r="C223" s="1" t="n">
        <v>45711</v>
      </c>
      <c r="D223" t="inlineStr">
        <is>
          <t>VÄRMLANDS LÄN</t>
        </is>
      </c>
      <c r="E223" t="inlineStr">
        <is>
          <t>TORSBY</t>
        </is>
      </c>
      <c r="G223" t="n">
        <v>6</v>
      </c>
      <c r="H223" t="n">
        <v>0</v>
      </c>
      <c r="I223" t="n">
        <v>0</v>
      </c>
      <c r="J223" t="n">
        <v>0</v>
      </c>
      <c r="K223" t="n">
        <v>0</v>
      </c>
      <c r="L223" t="n">
        <v>0</v>
      </c>
      <c r="M223" t="n">
        <v>0</v>
      </c>
      <c r="N223" t="n">
        <v>0</v>
      </c>
      <c r="O223" t="n">
        <v>0</v>
      </c>
      <c r="P223" t="n">
        <v>0</v>
      </c>
      <c r="Q223" t="n">
        <v>0</v>
      </c>
      <c r="R223" s="2" t="inlineStr"/>
    </row>
    <row r="224" ht="15" customHeight="1">
      <c r="A224" t="inlineStr">
        <is>
          <t>A 31930-2019</t>
        </is>
      </c>
      <c r="B224" s="1" t="n">
        <v>43642</v>
      </c>
      <c r="C224" s="1" t="n">
        <v>45711</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32170-2019</t>
        </is>
      </c>
      <c r="B225" s="1" t="n">
        <v>43643</v>
      </c>
      <c r="C225" s="1" t="n">
        <v>45711</v>
      </c>
      <c r="D225" t="inlineStr">
        <is>
          <t>VÄRMLANDS LÄN</t>
        </is>
      </c>
      <c r="E225" t="inlineStr">
        <is>
          <t>TORSBY</t>
        </is>
      </c>
      <c r="G225" t="n">
        <v>4.6</v>
      </c>
      <c r="H225" t="n">
        <v>0</v>
      </c>
      <c r="I225" t="n">
        <v>0</v>
      </c>
      <c r="J225" t="n">
        <v>0</v>
      </c>
      <c r="K225" t="n">
        <v>0</v>
      </c>
      <c r="L225" t="n">
        <v>0</v>
      </c>
      <c r="M225" t="n">
        <v>0</v>
      </c>
      <c r="N225" t="n">
        <v>0</v>
      </c>
      <c r="O225" t="n">
        <v>0</v>
      </c>
      <c r="P225" t="n">
        <v>0</v>
      </c>
      <c r="Q225" t="n">
        <v>0</v>
      </c>
      <c r="R225" s="2" t="inlineStr"/>
    </row>
    <row r="226" ht="15" customHeight="1">
      <c r="A226" t="inlineStr">
        <is>
          <t>A 32443-2019</t>
        </is>
      </c>
      <c r="B226" s="1" t="n">
        <v>43644</v>
      </c>
      <c r="C226" s="1" t="n">
        <v>45711</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32298-2019</t>
        </is>
      </c>
      <c r="B227" s="1" t="n">
        <v>43644</v>
      </c>
      <c r="C227" s="1" t="n">
        <v>45711</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32468-2019</t>
        </is>
      </c>
      <c r="B228" s="1" t="n">
        <v>43644</v>
      </c>
      <c r="C228" s="1" t="n">
        <v>45711</v>
      </c>
      <c r="D228" t="inlineStr">
        <is>
          <t>VÄRMLANDS LÄN</t>
        </is>
      </c>
      <c r="E228" t="inlineStr">
        <is>
          <t>TORSBY</t>
        </is>
      </c>
      <c r="G228" t="n">
        <v>4.7</v>
      </c>
      <c r="H228" t="n">
        <v>0</v>
      </c>
      <c r="I228" t="n">
        <v>0</v>
      </c>
      <c r="J228" t="n">
        <v>0</v>
      </c>
      <c r="K228" t="n">
        <v>0</v>
      </c>
      <c r="L228" t="n">
        <v>0</v>
      </c>
      <c r="M228" t="n">
        <v>0</v>
      </c>
      <c r="N228" t="n">
        <v>0</v>
      </c>
      <c r="O228" t="n">
        <v>0</v>
      </c>
      <c r="P228" t="n">
        <v>0</v>
      </c>
      <c r="Q228" t="n">
        <v>0</v>
      </c>
      <c r="R228" s="2" t="inlineStr"/>
    </row>
    <row r="229" ht="15" customHeight="1">
      <c r="A229" t="inlineStr">
        <is>
          <t>A 32444-2019</t>
        </is>
      </c>
      <c r="B229" s="1" t="n">
        <v>43644</v>
      </c>
      <c r="C229" s="1" t="n">
        <v>45711</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33918-2019</t>
        </is>
      </c>
      <c r="B230" s="1" t="n">
        <v>43654</v>
      </c>
      <c r="C230" s="1" t="n">
        <v>45711</v>
      </c>
      <c r="D230" t="inlineStr">
        <is>
          <t>VÄRMLANDS LÄN</t>
        </is>
      </c>
      <c r="E230" t="inlineStr">
        <is>
          <t>TORSBY</t>
        </is>
      </c>
      <c r="G230" t="n">
        <v>1.6</v>
      </c>
      <c r="H230" t="n">
        <v>0</v>
      </c>
      <c r="I230" t="n">
        <v>0</v>
      </c>
      <c r="J230" t="n">
        <v>0</v>
      </c>
      <c r="K230" t="n">
        <v>0</v>
      </c>
      <c r="L230" t="n">
        <v>0</v>
      </c>
      <c r="M230" t="n">
        <v>0</v>
      </c>
      <c r="N230" t="n">
        <v>0</v>
      </c>
      <c r="O230" t="n">
        <v>0</v>
      </c>
      <c r="P230" t="n">
        <v>0</v>
      </c>
      <c r="Q230" t="n">
        <v>0</v>
      </c>
      <c r="R230" s="2" t="inlineStr"/>
    </row>
    <row r="231" ht="15" customHeight="1">
      <c r="A231" t="inlineStr">
        <is>
          <t>A 35505-2019</t>
        </is>
      </c>
      <c r="B231" s="1" t="n">
        <v>43654</v>
      </c>
      <c r="C231" s="1" t="n">
        <v>45711</v>
      </c>
      <c r="D231" t="inlineStr">
        <is>
          <t>VÄRMLANDS LÄN</t>
        </is>
      </c>
      <c r="E231" t="inlineStr">
        <is>
          <t>TORSBY</t>
        </is>
      </c>
      <c r="G231" t="n">
        <v>0.8</v>
      </c>
      <c r="H231" t="n">
        <v>0</v>
      </c>
      <c r="I231" t="n">
        <v>0</v>
      </c>
      <c r="J231" t="n">
        <v>0</v>
      </c>
      <c r="K231" t="n">
        <v>0</v>
      </c>
      <c r="L231" t="n">
        <v>0</v>
      </c>
      <c r="M231" t="n">
        <v>0</v>
      </c>
      <c r="N231" t="n">
        <v>0</v>
      </c>
      <c r="O231" t="n">
        <v>0</v>
      </c>
      <c r="P231" t="n">
        <v>0</v>
      </c>
      <c r="Q231" t="n">
        <v>0</v>
      </c>
      <c r="R231" s="2" t="inlineStr"/>
    </row>
    <row r="232" ht="15" customHeight="1">
      <c r="A232" t="inlineStr">
        <is>
          <t>A 35788-2019</t>
        </is>
      </c>
      <c r="B232" s="1" t="n">
        <v>43656</v>
      </c>
      <c r="C232" s="1" t="n">
        <v>45711</v>
      </c>
      <c r="D232" t="inlineStr">
        <is>
          <t>VÄRMLANDS LÄN</t>
        </is>
      </c>
      <c r="E232" t="inlineStr">
        <is>
          <t>TORSBY</t>
        </is>
      </c>
      <c r="F232" t="inlineStr">
        <is>
          <t>Kyrkan</t>
        </is>
      </c>
      <c r="G232" t="n">
        <v>0.8</v>
      </c>
      <c r="H232" t="n">
        <v>0</v>
      </c>
      <c r="I232" t="n">
        <v>0</v>
      </c>
      <c r="J232" t="n">
        <v>0</v>
      </c>
      <c r="K232" t="n">
        <v>0</v>
      </c>
      <c r="L232" t="n">
        <v>0</v>
      </c>
      <c r="M232" t="n">
        <v>0</v>
      </c>
      <c r="N232" t="n">
        <v>0</v>
      </c>
      <c r="O232" t="n">
        <v>0</v>
      </c>
      <c r="P232" t="n">
        <v>0</v>
      </c>
      <c r="Q232" t="n">
        <v>0</v>
      </c>
      <c r="R232" s="2" t="inlineStr"/>
    </row>
    <row r="233" ht="15" customHeight="1">
      <c r="A233" t="inlineStr">
        <is>
          <t>A 34541-2019</t>
        </is>
      </c>
      <c r="B233" s="1" t="n">
        <v>43657</v>
      </c>
      <c r="C233" s="1" t="n">
        <v>45711</v>
      </c>
      <c r="D233" t="inlineStr">
        <is>
          <t>VÄRMLANDS LÄN</t>
        </is>
      </c>
      <c r="E233" t="inlineStr">
        <is>
          <t>TORSBY</t>
        </is>
      </c>
      <c r="G233" t="n">
        <v>5.7</v>
      </c>
      <c r="H233" t="n">
        <v>0</v>
      </c>
      <c r="I233" t="n">
        <v>0</v>
      </c>
      <c r="J233" t="n">
        <v>0</v>
      </c>
      <c r="K233" t="n">
        <v>0</v>
      </c>
      <c r="L233" t="n">
        <v>0</v>
      </c>
      <c r="M233" t="n">
        <v>0</v>
      </c>
      <c r="N233" t="n">
        <v>0</v>
      </c>
      <c r="O233" t="n">
        <v>0</v>
      </c>
      <c r="P233" t="n">
        <v>0</v>
      </c>
      <c r="Q233" t="n">
        <v>0</v>
      </c>
      <c r="R233" s="2" t="inlineStr"/>
    </row>
    <row r="234" ht="15" customHeight="1">
      <c r="A234" t="inlineStr">
        <is>
          <t>A 36480-2019</t>
        </is>
      </c>
      <c r="B234" s="1" t="n">
        <v>43668</v>
      </c>
      <c r="C234" s="1" t="n">
        <v>45711</v>
      </c>
      <c r="D234" t="inlineStr">
        <is>
          <t>VÄRMLANDS LÄN</t>
        </is>
      </c>
      <c r="E234" t="inlineStr">
        <is>
          <t>TORSBY</t>
        </is>
      </c>
      <c r="G234" t="n">
        <v>1.3</v>
      </c>
      <c r="H234" t="n">
        <v>0</v>
      </c>
      <c r="I234" t="n">
        <v>0</v>
      </c>
      <c r="J234" t="n">
        <v>0</v>
      </c>
      <c r="K234" t="n">
        <v>0</v>
      </c>
      <c r="L234" t="n">
        <v>0</v>
      </c>
      <c r="M234" t="n">
        <v>0</v>
      </c>
      <c r="N234" t="n">
        <v>0</v>
      </c>
      <c r="O234" t="n">
        <v>0</v>
      </c>
      <c r="P234" t="n">
        <v>0</v>
      </c>
      <c r="Q234" t="n">
        <v>0</v>
      </c>
      <c r="R234" s="2" t="inlineStr"/>
    </row>
    <row r="235" ht="15" customHeight="1">
      <c r="A235" t="inlineStr">
        <is>
          <t>A 38010-2019</t>
        </is>
      </c>
      <c r="B235" s="1" t="n">
        <v>43669</v>
      </c>
      <c r="C235" s="1" t="n">
        <v>45711</v>
      </c>
      <c r="D235" t="inlineStr">
        <is>
          <t>VÄRMLANDS LÄN</t>
        </is>
      </c>
      <c r="E235" t="inlineStr">
        <is>
          <t>TORSBY</t>
        </is>
      </c>
      <c r="G235" t="n">
        <v>6.2</v>
      </c>
      <c r="H235" t="n">
        <v>0</v>
      </c>
      <c r="I235" t="n">
        <v>0</v>
      </c>
      <c r="J235" t="n">
        <v>0</v>
      </c>
      <c r="K235" t="n">
        <v>0</v>
      </c>
      <c r="L235" t="n">
        <v>0</v>
      </c>
      <c r="M235" t="n">
        <v>0</v>
      </c>
      <c r="N235" t="n">
        <v>0</v>
      </c>
      <c r="O235" t="n">
        <v>0</v>
      </c>
      <c r="P235" t="n">
        <v>0</v>
      </c>
      <c r="Q235" t="n">
        <v>0</v>
      </c>
      <c r="R235" s="2" t="inlineStr"/>
    </row>
    <row r="236" ht="15" customHeight="1">
      <c r="A236" t="inlineStr">
        <is>
          <t>A 38003-2019</t>
        </is>
      </c>
      <c r="B236" s="1" t="n">
        <v>43669</v>
      </c>
      <c r="C236" s="1" t="n">
        <v>45711</v>
      </c>
      <c r="D236" t="inlineStr">
        <is>
          <t>VÄRMLANDS LÄN</t>
        </is>
      </c>
      <c r="E236" t="inlineStr">
        <is>
          <t>TORSBY</t>
        </is>
      </c>
      <c r="G236" t="n">
        <v>3.1</v>
      </c>
      <c r="H236" t="n">
        <v>0</v>
      </c>
      <c r="I236" t="n">
        <v>0</v>
      </c>
      <c r="J236" t="n">
        <v>0</v>
      </c>
      <c r="K236" t="n">
        <v>0</v>
      </c>
      <c r="L236" t="n">
        <v>0</v>
      </c>
      <c r="M236" t="n">
        <v>0</v>
      </c>
      <c r="N236" t="n">
        <v>0</v>
      </c>
      <c r="O236" t="n">
        <v>0</v>
      </c>
      <c r="P236" t="n">
        <v>0</v>
      </c>
      <c r="Q236" t="n">
        <v>0</v>
      </c>
      <c r="R236" s="2" t="inlineStr"/>
    </row>
    <row r="237" ht="15" customHeight="1">
      <c r="A237" t="inlineStr">
        <is>
          <t>A 36712-2019</t>
        </is>
      </c>
      <c r="B237" s="1" t="n">
        <v>43669</v>
      </c>
      <c r="C237" s="1" t="n">
        <v>45711</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36682-2019</t>
        </is>
      </c>
      <c r="B238" s="1" t="n">
        <v>43670</v>
      </c>
      <c r="C238" s="1" t="n">
        <v>45711</v>
      </c>
      <c r="D238" t="inlineStr">
        <is>
          <t>VÄRMLANDS LÄN</t>
        </is>
      </c>
      <c r="E238" t="inlineStr">
        <is>
          <t>TORSBY</t>
        </is>
      </c>
      <c r="G238" t="n">
        <v>8.1</v>
      </c>
      <c r="H238" t="n">
        <v>0</v>
      </c>
      <c r="I238" t="n">
        <v>0</v>
      </c>
      <c r="J238" t="n">
        <v>0</v>
      </c>
      <c r="K238" t="n">
        <v>0</v>
      </c>
      <c r="L238" t="n">
        <v>0</v>
      </c>
      <c r="M238" t="n">
        <v>0</v>
      </c>
      <c r="N238" t="n">
        <v>0</v>
      </c>
      <c r="O238" t="n">
        <v>0</v>
      </c>
      <c r="P238" t="n">
        <v>0</v>
      </c>
      <c r="Q238" t="n">
        <v>0</v>
      </c>
      <c r="R238" s="2" t="inlineStr"/>
    </row>
    <row r="239" ht="15" customHeight="1">
      <c r="A239" t="inlineStr">
        <is>
          <t>A 36734-2019</t>
        </is>
      </c>
      <c r="B239" s="1" t="n">
        <v>43672</v>
      </c>
      <c r="C239" s="1" t="n">
        <v>45711</v>
      </c>
      <c r="D239" t="inlineStr">
        <is>
          <t>VÄRMLANDS LÄN</t>
        </is>
      </c>
      <c r="E239" t="inlineStr">
        <is>
          <t>TORSBY</t>
        </is>
      </c>
      <c r="G239" t="n">
        <v>2.4</v>
      </c>
      <c r="H239" t="n">
        <v>0</v>
      </c>
      <c r="I239" t="n">
        <v>0</v>
      </c>
      <c r="J239" t="n">
        <v>0</v>
      </c>
      <c r="K239" t="n">
        <v>0</v>
      </c>
      <c r="L239" t="n">
        <v>0</v>
      </c>
      <c r="M239" t="n">
        <v>0</v>
      </c>
      <c r="N239" t="n">
        <v>0</v>
      </c>
      <c r="O239" t="n">
        <v>0</v>
      </c>
      <c r="P239" t="n">
        <v>0</v>
      </c>
      <c r="Q239" t="n">
        <v>0</v>
      </c>
      <c r="R239" s="2" t="inlineStr"/>
    </row>
    <row r="240" ht="15" customHeight="1">
      <c r="A240" t="inlineStr">
        <is>
          <t>A 36820-2019</t>
        </is>
      </c>
      <c r="B240" s="1" t="n">
        <v>43673</v>
      </c>
      <c r="C240" s="1" t="n">
        <v>45711</v>
      </c>
      <c r="D240" t="inlineStr">
        <is>
          <t>VÄRMLANDS LÄN</t>
        </is>
      </c>
      <c r="E240" t="inlineStr">
        <is>
          <t>TORSBY</t>
        </is>
      </c>
      <c r="G240" t="n">
        <v>0.2</v>
      </c>
      <c r="H240" t="n">
        <v>0</v>
      </c>
      <c r="I240" t="n">
        <v>0</v>
      </c>
      <c r="J240" t="n">
        <v>0</v>
      </c>
      <c r="K240" t="n">
        <v>0</v>
      </c>
      <c r="L240" t="n">
        <v>0</v>
      </c>
      <c r="M240" t="n">
        <v>0</v>
      </c>
      <c r="N240" t="n">
        <v>0</v>
      </c>
      <c r="O240" t="n">
        <v>0</v>
      </c>
      <c r="P240" t="n">
        <v>0</v>
      </c>
      <c r="Q240" t="n">
        <v>0</v>
      </c>
      <c r="R240" s="2" t="inlineStr"/>
    </row>
    <row r="241" ht="15" customHeight="1">
      <c r="A241" t="inlineStr">
        <is>
          <t>A 37005-2019</t>
        </is>
      </c>
      <c r="B241" s="1" t="n">
        <v>43676</v>
      </c>
      <c r="C241" s="1" t="n">
        <v>45711</v>
      </c>
      <c r="D241" t="inlineStr">
        <is>
          <t>VÄRMLANDS LÄN</t>
        </is>
      </c>
      <c r="E241" t="inlineStr">
        <is>
          <t>TORSBY</t>
        </is>
      </c>
      <c r="G241" t="n">
        <v>1.6</v>
      </c>
      <c r="H241" t="n">
        <v>0</v>
      </c>
      <c r="I241" t="n">
        <v>0</v>
      </c>
      <c r="J241" t="n">
        <v>0</v>
      </c>
      <c r="K241" t="n">
        <v>0</v>
      </c>
      <c r="L241" t="n">
        <v>0</v>
      </c>
      <c r="M241" t="n">
        <v>0</v>
      </c>
      <c r="N241" t="n">
        <v>0</v>
      </c>
      <c r="O241" t="n">
        <v>0</v>
      </c>
      <c r="P241" t="n">
        <v>0</v>
      </c>
      <c r="Q241" t="n">
        <v>0</v>
      </c>
      <c r="R241" s="2" t="inlineStr"/>
    </row>
    <row r="242" ht="15" customHeight="1">
      <c r="A242" t="inlineStr">
        <is>
          <t>A 37719-2019</t>
        </is>
      </c>
      <c r="B242" s="1" t="n">
        <v>43682</v>
      </c>
      <c r="C242" s="1" t="n">
        <v>45711</v>
      </c>
      <c r="D242" t="inlineStr">
        <is>
          <t>VÄRMLANDS LÄN</t>
        </is>
      </c>
      <c r="E242" t="inlineStr">
        <is>
          <t>TORSBY</t>
        </is>
      </c>
      <c r="G242" t="n">
        <v>1.1</v>
      </c>
      <c r="H242" t="n">
        <v>0</v>
      </c>
      <c r="I242" t="n">
        <v>0</v>
      </c>
      <c r="J242" t="n">
        <v>0</v>
      </c>
      <c r="K242" t="n">
        <v>0</v>
      </c>
      <c r="L242" t="n">
        <v>0</v>
      </c>
      <c r="M242" t="n">
        <v>0</v>
      </c>
      <c r="N242" t="n">
        <v>0</v>
      </c>
      <c r="O242" t="n">
        <v>0</v>
      </c>
      <c r="P242" t="n">
        <v>0</v>
      </c>
      <c r="Q242" t="n">
        <v>0</v>
      </c>
      <c r="R242" s="2" t="inlineStr"/>
    </row>
    <row r="243" ht="15" customHeight="1">
      <c r="A243" t="inlineStr">
        <is>
          <t>A 38068-2019</t>
        </is>
      </c>
      <c r="B243" s="1" t="n">
        <v>43683</v>
      </c>
      <c r="C243" s="1" t="n">
        <v>45711</v>
      </c>
      <c r="D243" t="inlineStr">
        <is>
          <t>VÄRMLANDS LÄN</t>
        </is>
      </c>
      <c r="E243" t="inlineStr">
        <is>
          <t>TORSBY</t>
        </is>
      </c>
      <c r="G243" t="n">
        <v>2.7</v>
      </c>
      <c r="H243" t="n">
        <v>0</v>
      </c>
      <c r="I243" t="n">
        <v>0</v>
      </c>
      <c r="J243" t="n">
        <v>0</v>
      </c>
      <c r="K243" t="n">
        <v>0</v>
      </c>
      <c r="L243" t="n">
        <v>0</v>
      </c>
      <c r="M243" t="n">
        <v>0</v>
      </c>
      <c r="N243" t="n">
        <v>0</v>
      </c>
      <c r="O243" t="n">
        <v>0</v>
      </c>
      <c r="P243" t="n">
        <v>0</v>
      </c>
      <c r="Q243" t="n">
        <v>0</v>
      </c>
      <c r="R243" s="2" t="inlineStr"/>
    </row>
    <row r="244" ht="15" customHeight="1">
      <c r="A244" t="inlineStr">
        <is>
          <t>A 38265-2019</t>
        </is>
      </c>
      <c r="B244" s="1" t="n">
        <v>43684</v>
      </c>
      <c r="C244" s="1" t="n">
        <v>45711</v>
      </c>
      <c r="D244" t="inlineStr">
        <is>
          <t>VÄRMLANDS LÄN</t>
        </is>
      </c>
      <c r="E244" t="inlineStr">
        <is>
          <t>TORSBY</t>
        </is>
      </c>
      <c r="G244" t="n">
        <v>0.9</v>
      </c>
      <c r="H244" t="n">
        <v>0</v>
      </c>
      <c r="I244" t="n">
        <v>0</v>
      </c>
      <c r="J244" t="n">
        <v>0</v>
      </c>
      <c r="K244" t="n">
        <v>0</v>
      </c>
      <c r="L244" t="n">
        <v>0</v>
      </c>
      <c r="M244" t="n">
        <v>0</v>
      </c>
      <c r="N244" t="n">
        <v>0</v>
      </c>
      <c r="O244" t="n">
        <v>0</v>
      </c>
      <c r="P244" t="n">
        <v>0</v>
      </c>
      <c r="Q244" t="n">
        <v>0</v>
      </c>
      <c r="R244" s="2" t="inlineStr"/>
    </row>
    <row r="245" ht="15" customHeight="1">
      <c r="A245" t="inlineStr">
        <is>
          <t>A 39213-2019</t>
        </is>
      </c>
      <c r="B245" s="1" t="n">
        <v>43690</v>
      </c>
      <c r="C245" s="1" t="n">
        <v>45711</v>
      </c>
      <c r="D245" t="inlineStr">
        <is>
          <t>VÄRMLANDS LÄN</t>
        </is>
      </c>
      <c r="E245" t="inlineStr">
        <is>
          <t>TORSBY</t>
        </is>
      </c>
      <c r="G245" t="n">
        <v>1.8</v>
      </c>
      <c r="H245" t="n">
        <v>0</v>
      </c>
      <c r="I245" t="n">
        <v>0</v>
      </c>
      <c r="J245" t="n">
        <v>0</v>
      </c>
      <c r="K245" t="n">
        <v>0</v>
      </c>
      <c r="L245" t="n">
        <v>0</v>
      </c>
      <c r="M245" t="n">
        <v>0</v>
      </c>
      <c r="N245" t="n">
        <v>0</v>
      </c>
      <c r="O245" t="n">
        <v>0</v>
      </c>
      <c r="P245" t="n">
        <v>0</v>
      </c>
      <c r="Q245" t="n">
        <v>0</v>
      </c>
      <c r="R245" s="2" t="inlineStr"/>
    </row>
    <row r="246" ht="15" customHeight="1">
      <c r="A246" t="inlineStr">
        <is>
          <t>A 40632-2019</t>
        </is>
      </c>
      <c r="B246" s="1" t="n">
        <v>43696</v>
      </c>
      <c r="C246" s="1" t="n">
        <v>45711</v>
      </c>
      <c r="D246" t="inlineStr">
        <is>
          <t>VÄRMLANDS LÄN</t>
        </is>
      </c>
      <c r="E246" t="inlineStr">
        <is>
          <t>TORSBY</t>
        </is>
      </c>
      <c r="G246" t="n">
        <v>4.2</v>
      </c>
      <c r="H246" t="n">
        <v>0</v>
      </c>
      <c r="I246" t="n">
        <v>0</v>
      </c>
      <c r="J246" t="n">
        <v>0</v>
      </c>
      <c r="K246" t="n">
        <v>0</v>
      </c>
      <c r="L246" t="n">
        <v>0</v>
      </c>
      <c r="M246" t="n">
        <v>0</v>
      </c>
      <c r="N246" t="n">
        <v>0</v>
      </c>
      <c r="O246" t="n">
        <v>0</v>
      </c>
      <c r="P246" t="n">
        <v>0</v>
      </c>
      <c r="Q246" t="n">
        <v>0</v>
      </c>
      <c r="R246" s="2" t="inlineStr"/>
    </row>
    <row r="247" ht="15" customHeight="1">
      <c r="A247" t="inlineStr">
        <is>
          <t>A 40589-2019</t>
        </is>
      </c>
      <c r="B247" s="1" t="n">
        <v>43696</v>
      </c>
      <c r="C247" s="1" t="n">
        <v>45711</v>
      </c>
      <c r="D247" t="inlineStr">
        <is>
          <t>VÄRMLANDS LÄN</t>
        </is>
      </c>
      <c r="E247" t="inlineStr">
        <is>
          <t>TORSBY</t>
        </is>
      </c>
      <c r="G247" t="n">
        <v>2</v>
      </c>
      <c r="H247" t="n">
        <v>0</v>
      </c>
      <c r="I247" t="n">
        <v>0</v>
      </c>
      <c r="J247" t="n">
        <v>0</v>
      </c>
      <c r="K247" t="n">
        <v>0</v>
      </c>
      <c r="L247" t="n">
        <v>0</v>
      </c>
      <c r="M247" t="n">
        <v>0</v>
      </c>
      <c r="N247" t="n">
        <v>0</v>
      </c>
      <c r="O247" t="n">
        <v>0</v>
      </c>
      <c r="P247" t="n">
        <v>0</v>
      </c>
      <c r="Q247" t="n">
        <v>0</v>
      </c>
      <c r="R247" s="2" t="inlineStr"/>
    </row>
    <row r="248" ht="15" customHeight="1">
      <c r="A248" t="inlineStr">
        <is>
          <t>A 40810-2019</t>
        </is>
      </c>
      <c r="B248" s="1" t="n">
        <v>43697</v>
      </c>
      <c r="C248" s="1" t="n">
        <v>45711</v>
      </c>
      <c r="D248" t="inlineStr">
        <is>
          <t>VÄRMLANDS LÄN</t>
        </is>
      </c>
      <c r="E248" t="inlineStr">
        <is>
          <t>TORSBY</t>
        </is>
      </c>
      <c r="G248" t="n">
        <v>0.8</v>
      </c>
      <c r="H248" t="n">
        <v>0</v>
      </c>
      <c r="I248" t="n">
        <v>0</v>
      </c>
      <c r="J248" t="n">
        <v>0</v>
      </c>
      <c r="K248" t="n">
        <v>0</v>
      </c>
      <c r="L248" t="n">
        <v>0</v>
      </c>
      <c r="M248" t="n">
        <v>0</v>
      </c>
      <c r="N248" t="n">
        <v>0</v>
      </c>
      <c r="O248" t="n">
        <v>0</v>
      </c>
      <c r="P248" t="n">
        <v>0</v>
      </c>
      <c r="Q248" t="n">
        <v>0</v>
      </c>
      <c r="R248" s="2" t="inlineStr"/>
    </row>
    <row r="249" ht="15" customHeight="1">
      <c r="A249" t="inlineStr">
        <is>
          <t>A 41698-2019</t>
        </is>
      </c>
      <c r="B249" s="1" t="n">
        <v>43697</v>
      </c>
      <c r="C249" s="1" t="n">
        <v>45711</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42441-2019</t>
        </is>
      </c>
      <c r="B250" s="1" t="n">
        <v>43697</v>
      </c>
      <c r="C250" s="1" t="n">
        <v>45711</v>
      </c>
      <c r="D250" t="inlineStr">
        <is>
          <t>VÄRMLANDS LÄN</t>
        </is>
      </c>
      <c r="E250" t="inlineStr">
        <is>
          <t>TORSBY</t>
        </is>
      </c>
      <c r="G250" t="n">
        <v>2.4</v>
      </c>
      <c r="H250" t="n">
        <v>0</v>
      </c>
      <c r="I250" t="n">
        <v>0</v>
      </c>
      <c r="J250" t="n">
        <v>0</v>
      </c>
      <c r="K250" t="n">
        <v>0</v>
      </c>
      <c r="L250" t="n">
        <v>0</v>
      </c>
      <c r="M250" t="n">
        <v>0</v>
      </c>
      <c r="N250" t="n">
        <v>0</v>
      </c>
      <c r="O250" t="n">
        <v>0</v>
      </c>
      <c r="P250" t="n">
        <v>0</v>
      </c>
      <c r="Q250" t="n">
        <v>0</v>
      </c>
      <c r="R250" s="2" t="inlineStr"/>
    </row>
    <row r="251" ht="15" customHeight="1">
      <c r="A251" t="inlineStr">
        <is>
          <t>A 41436-2019</t>
        </is>
      </c>
      <c r="B251" s="1" t="n">
        <v>43698</v>
      </c>
      <c r="C251" s="1" t="n">
        <v>45711</v>
      </c>
      <c r="D251" t="inlineStr">
        <is>
          <t>VÄRMLANDS LÄN</t>
        </is>
      </c>
      <c r="E251" t="inlineStr">
        <is>
          <t>TORSBY</t>
        </is>
      </c>
      <c r="G251" t="n">
        <v>0.9</v>
      </c>
      <c r="H251" t="n">
        <v>0</v>
      </c>
      <c r="I251" t="n">
        <v>0</v>
      </c>
      <c r="J251" t="n">
        <v>0</v>
      </c>
      <c r="K251" t="n">
        <v>0</v>
      </c>
      <c r="L251" t="n">
        <v>0</v>
      </c>
      <c r="M251" t="n">
        <v>0</v>
      </c>
      <c r="N251" t="n">
        <v>0</v>
      </c>
      <c r="O251" t="n">
        <v>0</v>
      </c>
      <c r="P251" t="n">
        <v>0</v>
      </c>
      <c r="Q251" t="n">
        <v>0</v>
      </c>
      <c r="R251" s="2" t="inlineStr"/>
    </row>
    <row r="252" ht="15" customHeight="1">
      <c r="A252" t="inlineStr">
        <is>
          <t>A 41435-2019</t>
        </is>
      </c>
      <c r="B252" s="1" t="n">
        <v>43698</v>
      </c>
      <c r="C252" s="1" t="n">
        <v>45711</v>
      </c>
      <c r="D252" t="inlineStr">
        <is>
          <t>VÄRMLANDS LÄN</t>
        </is>
      </c>
      <c r="E252" t="inlineStr">
        <is>
          <t>TORSBY</t>
        </is>
      </c>
      <c r="G252" t="n">
        <v>2</v>
      </c>
      <c r="H252" t="n">
        <v>0</v>
      </c>
      <c r="I252" t="n">
        <v>0</v>
      </c>
      <c r="J252" t="n">
        <v>0</v>
      </c>
      <c r="K252" t="n">
        <v>0</v>
      </c>
      <c r="L252" t="n">
        <v>0</v>
      </c>
      <c r="M252" t="n">
        <v>0</v>
      </c>
      <c r="N252" t="n">
        <v>0</v>
      </c>
      <c r="O252" t="n">
        <v>0</v>
      </c>
      <c r="P252" t="n">
        <v>0</v>
      </c>
      <c r="Q252" t="n">
        <v>0</v>
      </c>
      <c r="R252" s="2" t="inlineStr"/>
    </row>
    <row r="253" ht="15" customHeight="1">
      <c r="A253" t="inlineStr">
        <is>
          <t>A 41438-2019</t>
        </is>
      </c>
      <c r="B253" s="1" t="n">
        <v>43698</v>
      </c>
      <c r="C253" s="1" t="n">
        <v>45711</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41621-2019</t>
        </is>
      </c>
      <c r="B254" s="1" t="n">
        <v>43699</v>
      </c>
      <c r="C254" s="1" t="n">
        <v>45711</v>
      </c>
      <c r="D254" t="inlineStr">
        <is>
          <t>VÄRMLANDS LÄN</t>
        </is>
      </c>
      <c r="E254" t="inlineStr">
        <is>
          <t>TORSBY</t>
        </is>
      </c>
      <c r="G254" t="n">
        <v>4.2</v>
      </c>
      <c r="H254" t="n">
        <v>0</v>
      </c>
      <c r="I254" t="n">
        <v>0</v>
      </c>
      <c r="J254" t="n">
        <v>0</v>
      </c>
      <c r="K254" t="n">
        <v>0</v>
      </c>
      <c r="L254" t="n">
        <v>0</v>
      </c>
      <c r="M254" t="n">
        <v>0</v>
      </c>
      <c r="N254" t="n">
        <v>0</v>
      </c>
      <c r="O254" t="n">
        <v>0</v>
      </c>
      <c r="P254" t="n">
        <v>0</v>
      </c>
      <c r="Q254" t="n">
        <v>0</v>
      </c>
      <c r="R254" s="2" t="inlineStr"/>
    </row>
    <row r="255" ht="15" customHeight="1">
      <c r="A255" t="inlineStr">
        <is>
          <t>A 42230-2019</t>
        </is>
      </c>
      <c r="B255" s="1" t="n">
        <v>43703</v>
      </c>
      <c r="C255" s="1" t="n">
        <v>45711</v>
      </c>
      <c r="D255" t="inlineStr">
        <is>
          <t>VÄRMLANDS LÄN</t>
        </is>
      </c>
      <c r="E255" t="inlineStr">
        <is>
          <t>TORSBY</t>
        </is>
      </c>
      <c r="G255" t="n">
        <v>1.9</v>
      </c>
      <c r="H255" t="n">
        <v>0</v>
      </c>
      <c r="I255" t="n">
        <v>0</v>
      </c>
      <c r="J255" t="n">
        <v>0</v>
      </c>
      <c r="K255" t="n">
        <v>0</v>
      </c>
      <c r="L255" t="n">
        <v>0</v>
      </c>
      <c r="M255" t="n">
        <v>0</v>
      </c>
      <c r="N255" t="n">
        <v>0</v>
      </c>
      <c r="O255" t="n">
        <v>0</v>
      </c>
      <c r="P255" t="n">
        <v>0</v>
      </c>
      <c r="Q255" t="n">
        <v>0</v>
      </c>
      <c r="R255" s="2" t="inlineStr"/>
    </row>
    <row r="256" ht="15" customHeight="1">
      <c r="A256" t="inlineStr">
        <is>
          <t>A 43273-2019</t>
        </is>
      </c>
      <c r="B256" s="1" t="n">
        <v>43704</v>
      </c>
      <c r="C256" s="1" t="n">
        <v>45711</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43897-2019</t>
        </is>
      </c>
      <c r="B257" s="1" t="n">
        <v>43707</v>
      </c>
      <c r="C257" s="1" t="n">
        <v>45711</v>
      </c>
      <c r="D257" t="inlineStr">
        <is>
          <t>VÄRMLANDS LÄN</t>
        </is>
      </c>
      <c r="E257" t="inlineStr">
        <is>
          <t>TORSBY</t>
        </is>
      </c>
      <c r="G257" t="n">
        <v>3.2</v>
      </c>
      <c r="H257" t="n">
        <v>0</v>
      </c>
      <c r="I257" t="n">
        <v>0</v>
      </c>
      <c r="J257" t="n">
        <v>0</v>
      </c>
      <c r="K257" t="n">
        <v>0</v>
      </c>
      <c r="L257" t="n">
        <v>0</v>
      </c>
      <c r="M257" t="n">
        <v>0</v>
      </c>
      <c r="N257" t="n">
        <v>0</v>
      </c>
      <c r="O257" t="n">
        <v>0</v>
      </c>
      <c r="P257" t="n">
        <v>0</v>
      </c>
      <c r="Q257" t="n">
        <v>0</v>
      </c>
      <c r="R257" s="2" t="inlineStr"/>
    </row>
    <row r="258" ht="15" customHeight="1">
      <c r="A258" t="inlineStr">
        <is>
          <t>A 44832-2019</t>
        </is>
      </c>
      <c r="B258" s="1" t="n">
        <v>43707</v>
      </c>
      <c r="C258" s="1" t="n">
        <v>45711</v>
      </c>
      <c r="D258" t="inlineStr">
        <is>
          <t>VÄRMLANDS LÄN</t>
        </is>
      </c>
      <c r="E258" t="inlineStr">
        <is>
          <t>TORSBY</t>
        </is>
      </c>
      <c r="G258" t="n">
        <v>27.1</v>
      </c>
      <c r="H258" t="n">
        <v>0</v>
      </c>
      <c r="I258" t="n">
        <v>0</v>
      </c>
      <c r="J258" t="n">
        <v>0</v>
      </c>
      <c r="K258" t="n">
        <v>0</v>
      </c>
      <c r="L258" t="n">
        <v>0</v>
      </c>
      <c r="M258" t="n">
        <v>0</v>
      </c>
      <c r="N258" t="n">
        <v>0</v>
      </c>
      <c r="O258" t="n">
        <v>0</v>
      </c>
      <c r="P258" t="n">
        <v>0</v>
      </c>
      <c r="Q258" t="n">
        <v>0</v>
      </c>
      <c r="R258" s="2" t="inlineStr"/>
    </row>
    <row r="259" ht="15" customHeight="1">
      <c r="A259" t="inlineStr">
        <is>
          <t>A 44708-2019</t>
        </is>
      </c>
      <c r="B259" s="1" t="n">
        <v>43712</v>
      </c>
      <c r="C259" s="1" t="n">
        <v>45711</v>
      </c>
      <c r="D259" t="inlineStr">
        <is>
          <t>VÄRMLANDS LÄN</t>
        </is>
      </c>
      <c r="E259" t="inlineStr">
        <is>
          <t>TORSBY</t>
        </is>
      </c>
      <c r="F259" t="inlineStr">
        <is>
          <t>Bergvik skog väst AB</t>
        </is>
      </c>
      <c r="G259" t="n">
        <v>3.7</v>
      </c>
      <c r="H259" t="n">
        <v>0</v>
      </c>
      <c r="I259" t="n">
        <v>0</v>
      </c>
      <c r="J259" t="n">
        <v>0</v>
      </c>
      <c r="K259" t="n">
        <v>0</v>
      </c>
      <c r="L259" t="n">
        <v>0</v>
      </c>
      <c r="M259" t="n">
        <v>0</v>
      </c>
      <c r="N259" t="n">
        <v>0</v>
      </c>
      <c r="O259" t="n">
        <v>0</v>
      </c>
      <c r="P259" t="n">
        <v>0</v>
      </c>
      <c r="Q259" t="n">
        <v>0</v>
      </c>
      <c r="R259" s="2" t="inlineStr"/>
    </row>
    <row r="260" ht="15" customHeight="1">
      <c r="A260" t="inlineStr">
        <is>
          <t>A 44706-2019</t>
        </is>
      </c>
      <c r="B260" s="1" t="n">
        <v>43712</v>
      </c>
      <c r="C260" s="1" t="n">
        <v>45711</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45053-2019</t>
        </is>
      </c>
      <c r="B261" s="1" t="n">
        <v>43713</v>
      </c>
      <c r="C261" s="1" t="n">
        <v>45711</v>
      </c>
      <c r="D261" t="inlineStr">
        <is>
          <t>VÄRMLANDS LÄN</t>
        </is>
      </c>
      <c r="E261" t="inlineStr">
        <is>
          <t>TORSBY</t>
        </is>
      </c>
      <c r="G261" t="n">
        <v>1.3</v>
      </c>
      <c r="H261" t="n">
        <v>0</v>
      </c>
      <c r="I261" t="n">
        <v>0</v>
      </c>
      <c r="J261" t="n">
        <v>0</v>
      </c>
      <c r="K261" t="n">
        <v>0</v>
      </c>
      <c r="L261" t="n">
        <v>0</v>
      </c>
      <c r="M261" t="n">
        <v>0</v>
      </c>
      <c r="N261" t="n">
        <v>0</v>
      </c>
      <c r="O261" t="n">
        <v>0</v>
      </c>
      <c r="P261" t="n">
        <v>0</v>
      </c>
      <c r="Q261" t="n">
        <v>0</v>
      </c>
      <c r="R261" s="2" t="inlineStr"/>
    </row>
    <row r="262" ht="15" customHeight="1">
      <c r="A262" t="inlineStr">
        <is>
          <t>A 45083-2019</t>
        </is>
      </c>
      <c r="B262" s="1" t="n">
        <v>43713</v>
      </c>
      <c r="C262" s="1" t="n">
        <v>45711</v>
      </c>
      <c r="D262" t="inlineStr">
        <is>
          <t>VÄRMLANDS LÄN</t>
        </is>
      </c>
      <c r="E262" t="inlineStr">
        <is>
          <t>TORSBY</t>
        </is>
      </c>
      <c r="F262" t="inlineStr">
        <is>
          <t>Bergvik skog väst AB</t>
        </is>
      </c>
      <c r="G262" t="n">
        <v>37.8</v>
      </c>
      <c r="H262" t="n">
        <v>0</v>
      </c>
      <c r="I262" t="n">
        <v>0</v>
      </c>
      <c r="J262" t="n">
        <v>0</v>
      </c>
      <c r="K262" t="n">
        <v>0</v>
      </c>
      <c r="L262" t="n">
        <v>0</v>
      </c>
      <c r="M262" t="n">
        <v>0</v>
      </c>
      <c r="N262" t="n">
        <v>0</v>
      </c>
      <c r="O262" t="n">
        <v>0</v>
      </c>
      <c r="P262" t="n">
        <v>0</v>
      </c>
      <c r="Q262" t="n">
        <v>0</v>
      </c>
      <c r="R262" s="2" t="inlineStr"/>
    </row>
    <row r="263" ht="15" customHeight="1">
      <c r="A263" t="inlineStr">
        <is>
          <t>A 45189-2019</t>
        </is>
      </c>
      <c r="B263" s="1" t="n">
        <v>43713</v>
      </c>
      <c r="C263" s="1" t="n">
        <v>45711</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45068-2019</t>
        </is>
      </c>
      <c r="B264" s="1" t="n">
        <v>43713</v>
      </c>
      <c r="C264" s="1" t="n">
        <v>45711</v>
      </c>
      <c r="D264" t="inlineStr">
        <is>
          <t>VÄRMLANDS LÄN</t>
        </is>
      </c>
      <c r="E264" t="inlineStr">
        <is>
          <t>TORSBY</t>
        </is>
      </c>
      <c r="G264" t="n">
        <v>2.4</v>
      </c>
      <c r="H264" t="n">
        <v>0</v>
      </c>
      <c r="I264" t="n">
        <v>0</v>
      </c>
      <c r="J264" t="n">
        <v>0</v>
      </c>
      <c r="K264" t="n">
        <v>0</v>
      </c>
      <c r="L264" t="n">
        <v>0</v>
      </c>
      <c r="M264" t="n">
        <v>0</v>
      </c>
      <c r="N264" t="n">
        <v>0</v>
      </c>
      <c r="O264" t="n">
        <v>0</v>
      </c>
      <c r="P264" t="n">
        <v>0</v>
      </c>
      <c r="Q264" t="n">
        <v>0</v>
      </c>
      <c r="R264" s="2" t="inlineStr"/>
    </row>
    <row r="265" ht="15" customHeight="1">
      <c r="A265" t="inlineStr">
        <is>
          <t>A 45891-2019</t>
        </is>
      </c>
      <c r="B265" s="1" t="n">
        <v>43717</v>
      </c>
      <c r="C265" s="1" t="n">
        <v>45711</v>
      </c>
      <c r="D265" t="inlineStr">
        <is>
          <t>VÄRMLANDS LÄN</t>
        </is>
      </c>
      <c r="E265" t="inlineStr">
        <is>
          <t>TORSBY</t>
        </is>
      </c>
      <c r="G265" t="n">
        <v>2.7</v>
      </c>
      <c r="H265" t="n">
        <v>0</v>
      </c>
      <c r="I265" t="n">
        <v>0</v>
      </c>
      <c r="J265" t="n">
        <v>0</v>
      </c>
      <c r="K265" t="n">
        <v>0</v>
      </c>
      <c r="L265" t="n">
        <v>0</v>
      </c>
      <c r="M265" t="n">
        <v>0</v>
      </c>
      <c r="N265" t="n">
        <v>0</v>
      </c>
      <c r="O265" t="n">
        <v>0</v>
      </c>
      <c r="P265" t="n">
        <v>0</v>
      </c>
      <c r="Q265" t="n">
        <v>0</v>
      </c>
      <c r="R265" s="2" t="inlineStr"/>
    </row>
    <row r="266" ht="15" customHeight="1">
      <c r="A266" t="inlineStr">
        <is>
          <t>A 46738-2019</t>
        </is>
      </c>
      <c r="B266" s="1" t="n">
        <v>43719</v>
      </c>
      <c r="C266" s="1" t="n">
        <v>45711</v>
      </c>
      <c r="D266" t="inlineStr">
        <is>
          <t>VÄRMLANDS LÄN</t>
        </is>
      </c>
      <c r="E266" t="inlineStr">
        <is>
          <t>TORSBY</t>
        </is>
      </c>
      <c r="G266" t="n">
        <v>1.5</v>
      </c>
      <c r="H266" t="n">
        <v>0</v>
      </c>
      <c r="I266" t="n">
        <v>0</v>
      </c>
      <c r="J266" t="n">
        <v>0</v>
      </c>
      <c r="K266" t="n">
        <v>0</v>
      </c>
      <c r="L266" t="n">
        <v>0</v>
      </c>
      <c r="M266" t="n">
        <v>0</v>
      </c>
      <c r="N266" t="n">
        <v>0</v>
      </c>
      <c r="O266" t="n">
        <v>0</v>
      </c>
      <c r="P266" t="n">
        <v>0</v>
      </c>
      <c r="Q266" t="n">
        <v>0</v>
      </c>
      <c r="R266" s="2" t="inlineStr"/>
    </row>
    <row r="267" ht="15" customHeight="1">
      <c r="A267" t="inlineStr">
        <is>
          <t>A 46743-2019</t>
        </is>
      </c>
      <c r="B267" s="1" t="n">
        <v>43719</v>
      </c>
      <c r="C267" s="1" t="n">
        <v>45711</v>
      </c>
      <c r="D267" t="inlineStr">
        <is>
          <t>VÄRMLANDS LÄN</t>
        </is>
      </c>
      <c r="E267" t="inlineStr">
        <is>
          <t>TORSBY</t>
        </is>
      </c>
      <c r="G267" t="n">
        <v>7</v>
      </c>
      <c r="H267" t="n">
        <v>0</v>
      </c>
      <c r="I267" t="n">
        <v>0</v>
      </c>
      <c r="J267" t="n">
        <v>0</v>
      </c>
      <c r="K267" t="n">
        <v>0</v>
      </c>
      <c r="L267" t="n">
        <v>0</v>
      </c>
      <c r="M267" t="n">
        <v>0</v>
      </c>
      <c r="N267" t="n">
        <v>0</v>
      </c>
      <c r="O267" t="n">
        <v>0</v>
      </c>
      <c r="P267" t="n">
        <v>0</v>
      </c>
      <c r="Q267" t="n">
        <v>0</v>
      </c>
      <c r="R267" s="2" t="inlineStr"/>
    </row>
    <row r="268" ht="15" customHeight="1">
      <c r="A268" t="inlineStr">
        <is>
          <t>A 47114-2019</t>
        </is>
      </c>
      <c r="B268" s="1" t="n">
        <v>43720</v>
      </c>
      <c r="C268" s="1" t="n">
        <v>45711</v>
      </c>
      <c r="D268" t="inlineStr">
        <is>
          <t>VÄRMLANDS LÄN</t>
        </is>
      </c>
      <c r="E268" t="inlineStr">
        <is>
          <t>TORSBY</t>
        </is>
      </c>
      <c r="G268" t="n">
        <v>2.2</v>
      </c>
      <c r="H268" t="n">
        <v>0</v>
      </c>
      <c r="I268" t="n">
        <v>0</v>
      </c>
      <c r="J268" t="n">
        <v>0</v>
      </c>
      <c r="K268" t="n">
        <v>0</v>
      </c>
      <c r="L268" t="n">
        <v>0</v>
      </c>
      <c r="M268" t="n">
        <v>0</v>
      </c>
      <c r="N268" t="n">
        <v>0</v>
      </c>
      <c r="O268" t="n">
        <v>0</v>
      </c>
      <c r="P268" t="n">
        <v>0</v>
      </c>
      <c r="Q268" t="n">
        <v>0</v>
      </c>
      <c r="R268" s="2" t="inlineStr"/>
    </row>
    <row r="269" ht="15" customHeight="1">
      <c r="A269" t="inlineStr">
        <is>
          <t>A 47214-2019</t>
        </is>
      </c>
      <c r="B269" s="1" t="n">
        <v>43721</v>
      </c>
      <c r="C269" s="1" t="n">
        <v>45711</v>
      </c>
      <c r="D269" t="inlineStr">
        <is>
          <t>VÄRMLANDS LÄN</t>
        </is>
      </c>
      <c r="E269" t="inlineStr">
        <is>
          <t>TORSBY</t>
        </is>
      </c>
      <c r="G269" t="n">
        <v>3</v>
      </c>
      <c r="H269" t="n">
        <v>0</v>
      </c>
      <c r="I269" t="n">
        <v>0</v>
      </c>
      <c r="J269" t="n">
        <v>0</v>
      </c>
      <c r="K269" t="n">
        <v>0</v>
      </c>
      <c r="L269" t="n">
        <v>0</v>
      </c>
      <c r="M269" t="n">
        <v>0</v>
      </c>
      <c r="N269" t="n">
        <v>0</v>
      </c>
      <c r="O269" t="n">
        <v>0</v>
      </c>
      <c r="P269" t="n">
        <v>0</v>
      </c>
      <c r="Q269" t="n">
        <v>0</v>
      </c>
      <c r="R269" s="2" t="inlineStr"/>
    </row>
    <row r="270" ht="15" customHeight="1">
      <c r="A270" t="inlineStr">
        <is>
          <t>A 47137-2019</t>
        </is>
      </c>
      <c r="B270" s="1" t="n">
        <v>43721</v>
      </c>
      <c r="C270" s="1" t="n">
        <v>45711</v>
      </c>
      <c r="D270" t="inlineStr">
        <is>
          <t>VÄRMLANDS LÄN</t>
        </is>
      </c>
      <c r="E270" t="inlineStr">
        <is>
          <t>TORSBY</t>
        </is>
      </c>
      <c r="G270" t="n">
        <v>1.3</v>
      </c>
      <c r="H270" t="n">
        <v>0</v>
      </c>
      <c r="I270" t="n">
        <v>0</v>
      </c>
      <c r="J270" t="n">
        <v>0</v>
      </c>
      <c r="K270" t="n">
        <v>0</v>
      </c>
      <c r="L270" t="n">
        <v>0</v>
      </c>
      <c r="M270" t="n">
        <v>0</v>
      </c>
      <c r="N270" t="n">
        <v>0</v>
      </c>
      <c r="O270" t="n">
        <v>0</v>
      </c>
      <c r="P270" t="n">
        <v>0</v>
      </c>
      <c r="Q270" t="n">
        <v>0</v>
      </c>
      <c r="R270" s="2" t="inlineStr"/>
    </row>
    <row r="271" ht="15" customHeight="1">
      <c r="A271" t="inlineStr">
        <is>
          <t>A 47316-2019</t>
        </is>
      </c>
      <c r="B271" s="1" t="n">
        <v>43721</v>
      </c>
      <c r="C271" s="1" t="n">
        <v>45711</v>
      </c>
      <c r="D271" t="inlineStr">
        <is>
          <t>VÄRMLANDS LÄN</t>
        </is>
      </c>
      <c r="E271" t="inlineStr">
        <is>
          <t>TORSBY</t>
        </is>
      </c>
      <c r="F271" t="inlineStr">
        <is>
          <t>Bergvik skog väst AB</t>
        </is>
      </c>
      <c r="G271" t="n">
        <v>6.6</v>
      </c>
      <c r="H271" t="n">
        <v>0</v>
      </c>
      <c r="I271" t="n">
        <v>0</v>
      </c>
      <c r="J271" t="n">
        <v>0</v>
      </c>
      <c r="K271" t="n">
        <v>0</v>
      </c>
      <c r="L271" t="n">
        <v>0</v>
      </c>
      <c r="M271" t="n">
        <v>0</v>
      </c>
      <c r="N271" t="n">
        <v>0</v>
      </c>
      <c r="O271" t="n">
        <v>0</v>
      </c>
      <c r="P271" t="n">
        <v>0</v>
      </c>
      <c r="Q271" t="n">
        <v>0</v>
      </c>
      <c r="R271" s="2" t="inlineStr"/>
    </row>
    <row r="272" ht="15" customHeight="1">
      <c r="A272" t="inlineStr">
        <is>
          <t>A 47608-2019</t>
        </is>
      </c>
      <c r="B272" s="1" t="n">
        <v>43724</v>
      </c>
      <c r="C272" s="1" t="n">
        <v>45711</v>
      </c>
      <c r="D272" t="inlineStr">
        <is>
          <t>VÄRMLANDS LÄN</t>
        </is>
      </c>
      <c r="E272" t="inlineStr">
        <is>
          <t>TORSBY</t>
        </is>
      </c>
      <c r="G272" t="n">
        <v>0.9</v>
      </c>
      <c r="H272" t="n">
        <v>0</v>
      </c>
      <c r="I272" t="n">
        <v>0</v>
      </c>
      <c r="J272" t="n">
        <v>0</v>
      </c>
      <c r="K272" t="n">
        <v>0</v>
      </c>
      <c r="L272" t="n">
        <v>0</v>
      </c>
      <c r="M272" t="n">
        <v>0</v>
      </c>
      <c r="N272" t="n">
        <v>0</v>
      </c>
      <c r="O272" t="n">
        <v>0</v>
      </c>
      <c r="P272" t="n">
        <v>0</v>
      </c>
      <c r="Q272" t="n">
        <v>0</v>
      </c>
      <c r="R272" s="2" t="inlineStr"/>
    </row>
    <row r="273" ht="15" customHeight="1">
      <c r="A273" t="inlineStr">
        <is>
          <t>A 47772-2019</t>
        </is>
      </c>
      <c r="B273" s="1" t="n">
        <v>43724</v>
      </c>
      <c r="C273" s="1" t="n">
        <v>45711</v>
      </c>
      <c r="D273" t="inlineStr">
        <is>
          <t>VÄRMLANDS LÄN</t>
        </is>
      </c>
      <c r="E273" t="inlineStr">
        <is>
          <t>TORSBY</t>
        </is>
      </c>
      <c r="G273" t="n">
        <v>3.9</v>
      </c>
      <c r="H273" t="n">
        <v>0</v>
      </c>
      <c r="I273" t="n">
        <v>0</v>
      </c>
      <c r="J273" t="n">
        <v>0</v>
      </c>
      <c r="K273" t="n">
        <v>0</v>
      </c>
      <c r="L273" t="n">
        <v>0</v>
      </c>
      <c r="M273" t="n">
        <v>0</v>
      </c>
      <c r="N273" t="n">
        <v>0</v>
      </c>
      <c r="O273" t="n">
        <v>0</v>
      </c>
      <c r="P273" t="n">
        <v>0</v>
      </c>
      <c r="Q273" t="n">
        <v>0</v>
      </c>
      <c r="R273" s="2" t="inlineStr"/>
    </row>
    <row r="274" ht="15" customHeight="1">
      <c r="A274" t="inlineStr">
        <is>
          <t>A 47648-2019</t>
        </is>
      </c>
      <c r="B274" s="1" t="n">
        <v>43724</v>
      </c>
      <c r="C274" s="1" t="n">
        <v>45711</v>
      </c>
      <c r="D274" t="inlineStr">
        <is>
          <t>VÄRMLANDS LÄN</t>
        </is>
      </c>
      <c r="E274" t="inlineStr">
        <is>
          <t>TORSBY</t>
        </is>
      </c>
      <c r="G274" t="n">
        <v>2</v>
      </c>
      <c r="H274" t="n">
        <v>0</v>
      </c>
      <c r="I274" t="n">
        <v>0</v>
      </c>
      <c r="J274" t="n">
        <v>0</v>
      </c>
      <c r="K274" t="n">
        <v>0</v>
      </c>
      <c r="L274" t="n">
        <v>0</v>
      </c>
      <c r="M274" t="n">
        <v>0</v>
      </c>
      <c r="N274" t="n">
        <v>0</v>
      </c>
      <c r="O274" t="n">
        <v>0</v>
      </c>
      <c r="P274" t="n">
        <v>0</v>
      </c>
      <c r="Q274" t="n">
        <v>0</v>
      </c>
      <c r="R274" s="2" t="inlineStr"/>
    </row>
    <row r="275" ht="15" customHeight="1">
      <c r="A275" t="inlineStr">
        <is>
          <t>A 47502-2019</t>
        </is>
      </c>
      <c r="B275" s="1" t="n">
        <v>43724</v>
      </c>
      <c r="C275" s="1" t="n">
        <v>45711</v>
      </c>
      <c r="D275" t="inlineStr">
        <is>
          <t>VÄRMLANDS LÄN</t>
        </is>
      </c>
      <c r="E275" t="inlineStr">
        <is>
          <t>TORSBY</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47869-2019</t>
        </is>
      </c>
      <c r="B276" s="1" t="n">
        <v>43725</v>
      </c>
      <c r="C276" s="1" t="n">
        <v>45711</v>
      </c>
      <c r="D276" t="inlineStr">
        <is>
          <t>VÄRMLANDS LÄN</t>
        </is>
      </c>
      <c r="E276" t="inlineStr">
        <is>
          <t>TORSBY</t>
        </is>
      </c>
      <c r="G276" t="n">
        <v>4.7</v>
      </c>
      <c r="H276" t="n">
        <v>0</v>
      </c>
      <c r="I276" t="n">
        <v>0</v>
      </c>
      <c r="J276" t="n">
        <v>0</v>
      </c>
      <c r="K276" t="n">
        <v>0</v>
      </c>
      <c r="L276" t="n">
        <v>0</v>
      </c>
      <c r="M276" t="n">
        <v>0</v>
      </c>
      <c r="N276" t="n">
        <v>0</v>
      </c>
      <c r="O276" t="n">
        <v>0</v>
      </c>
      <c r="P276" t="n">
        <v>0</v>
      </c>
      <c r="Q276" t="n">
        <v>0</v>
      </c>
      <c r="R276" s="2" t="inlineStr"/>
    </row>
    <row r="277" ht="15" customHeight="1">
      <c r="A277" t="inlineStr">
        <is>
          <t>A 47979-2019</t>
        </is>
      </c>
      <c r="B277" s="1" t="n">
        <v>43725</v>
      </c>
      <c r="C277" s="1" t="n">
        <v>45711</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48040-2019</t>
        </is>
      </c>
      <c r="B278" s="1" t="n">
        <v>43725</v>
      </c>
      <c r="C278" s="1" t="n">
        <v>45711</v>
      </c>
      <c r="D278" t="inlineStr">
        <is>
          <t>VÄRMLANDS LÄN</t>
        </is>
      </c>
      <c r="E278" t="inlineStr">
        <is>
          <t>TORSBY</t>
        </is>
      </c>
      <c r="G278" t="n">
        <v>2.7</v>
      </c>
      <c r="H278" t="n">
        <v>0</v>
      </c>
      <c r="I278" t="n">
        <v>0</v>
      </c>
      <c r="J278" t="n">
        <v>0</v>
      </c>
      <c r="K278" t="n">
        <v>0</v>
      </c>
      <c r="L278" t="n">
        <v>0</v>
      </c>
      <c r="M278" t="n">
        <v>0</v>
      </c>
      <c r="N278" t="n">
        <v>0</v>
      </c>
      <c r="O278" t="n">
        <v>0</v>
      </c>
      <c r="P278" t="n">
        <v>0</v>
      </c>
      <c r="Q278" t="n">
        <v>0</v>
      </c>
      <c r="R278" s="2" t="inlineStr"/>
    </row>
    <row r="279" ht="15" customHeight="1">
      <c r="A279" t="inlineStr">
        <is>
          <t>A 48346-2019</t>
        </is>
      </c>
      <c r="B279" s="1" t="n">
        <v>43726</v>
      </c>
      <c r="C279" s="1" t="n">
        <v>45711</v>
      </c>
      <c r="D279" t="inlineStr">
        <is>
          <t>VÄRMLANDS LÄN</t>
        </is>
      </c>
      <c r="E279" t="inlineStr">
        <is>
          <t>TORSBY</t>
        </is>
      </c>
      <c r="G279" t="n">
        <v>0.9</v>
      </c>
      <c r="H279" t="n">
        <v>0</v>
      </c>
      <c r="I279" t="n">
        <v>0</v>
      </c>
      <c r="J279" t="n">
        <v>0</v>
      </c>
      <c r="K279" t="n">
        <v>0</v>
      </c>
      <c r="L279" t="n">
        <v>0</v>
      </c>
      <c r="M279" t="n">
        <v>0</v>
      </c>
      <c r="N279" t="n">
        <v>0</v>
      </c>
      <c r="O279" t="n">
        <v>0</v>
      </c>
      <c r="P279" t="n">
        <v>0</v>
      </c>
      <c r="Q279" t="n">
        <v>0</v>
      </c>
      <c r="R279" s="2" t="inlineStr"/>
    </row>
    <row r="280" ht="15" customHeight="1">
      <c r="A280" t="inlineStr">
        <is>
          <t>A 48366-2019</t>
        </is>
      </c>
      <c r="B280" s="1" t="n">
        <v>43726</v>
      </c>
      <c r="C280" s="1" t="n">
        <v>45711</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49550-2019</t>
        </is>
      </c>
      <c r="B281" s="1" t="n">
        <v>43727</v>
      </c>
      <c r="C281" s="1" t="n">
        <v>45711</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51497-2019</t>
        </is>
      </c>
      <c r="B282" s="1" t="n">
        <v>43734</v>
      </c>
      <c r="C282" s="1" t="n">
        <v>45711</v>
      </c>
      <c r="D282" t="inlineStr">
        <is>
          <t>VÄRMLANDS LÄN</t>
        </is>
      </c>
      <c r="E282" t="inlineStr">
        <is>
          <t>TORSBY</t>
        </is>
      </c>
      <c r="G282" t="n">
        <v>1.2</v>
      </c>
      <c r="H282" t="n">
        <v>0</v>
      </c>
      <c r="I282" t="n">
        <v>0</v>
      </c>
      <c r="J282" t="n">
        <v>0</v>
      </c>
      <c r="K282" t="n">
        <v>0</v>
      </c>
      <c r="L282" t="n">
        <v>0</v>
      </c>
      <c r="M282" t="n">
        <v>0</v>
      </c>
      <c r="N282" t="n">
        <v>0</v>
      </c>
      <c r="O282" t="n">
        <v>0</v>
      </c>
      <c r="P282" t="n">
        <v>0</v>
      </c>
      <c r="Q282" t="n">
        <v>0</v>
      </c>
      <c r="R282" s="2" t="inlineStr"/>
    </row>
    <row r="283" ht="15" customHeight="1">
      <c r="A283" t="inlineStr">
        <is>
          <t>A 50428-2019</t>
        </is>
      </c>
      <c r="B283" s="1" t="n">
        <v>43735</v>
      </c>
      <c r="C283" s="1" t="n">
        <v>45711</v>
      </c>
      <c r="D283" t="inlineStr">
        <is>
          <t>VÄRMLANDS LÄN</t>
        </is>
      </c>
      <c r="E283" t="inlineStr">
        <is>
          <t>TORSBY</t>
        </is>
      </c>
      <c r="G283" t="n">
        <v>0.4</v>
      </c>
      <c r="H283" t="n">
        <v>0</v>
      </c>
      <c r="I283" t="n">
        <v>0</v>
      </c>
      <c r="J283" t="n">
        <v>0</v>
      </c>
      <c r="K283" t="n">
        <v>0</v>
      </c>
      <c r="L283" t="n">
        <v>0</v>
      </c>
      <c r="M283" t="n">
        <v>0</v>
      </c>
      <c r="N283" t="n">
        <v>0</v>
      </c>
      <c r="O283" t="n">
        <v>0</v>
      </c>
      <c r="P283" t="n">
        <v>0</v>
      </c>
      <c r="Q283" t="n">
        <v>0</v>
      </c>
      <c r="R283" s="2" t="inlineStr"/>
    </row>
    <row r="284" ht="15" customHeight="1">
      <c r="A284" t="inlineStr">
        <is>
          <t>A 52319-2019</t>
        </is>
      </c>
      <c r="B284" s="1" t="n">
        <v>43735</v>
      </c>
      <c r="C284" s="1" t="n">
        <v>45711</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52326-2019</t>
        </is>
      </c>
      <c r="B285" s="1" t="n">
        <v>43735</v>
      </c>
      <c r="C285" s="1" t="n">
        <v>45711</v>
      </c>
      <c r="D285" t="inlineStr">
        <is>
          <t>VÄRMLANDS LÄN</t>
        </is>
      </c>
      <c r="E285" t="inlineStr">
        <is>
          <t>TORSBY</t>
        </is>
      </c>
      <c r="G285" t="n">
        <v>6.2</v>
      </c>
      <c r="H285" t="n">
        <v>0</v>
      </c>
      <c r="I285" t="n">
        <v>0</v>
      </c>
      <c r="J285" t="n">
        <v>0</v>
      </c>
      <c r="K285" t="n">
        <v>0</v>
      </c>
      <c r="L285" t="n">
        <v>0</v>
      </c>
      <c r="M285" t="n">
        <v>0</v>
      </c>
      <c r="N285" t="n">
        <v>0</v>
      </c>
      <c r="O285" t="n">
        <v>0</v>
      </c>
      <c r="P285" t="n">
        <v>0</v>
      </c>
      <c r="Q285" t="n">
        <v>0</v>
      </c>
      <c r="R285" s="2" t="inlineStr"/>
    </row>
    <row r="286" ht="15" customHeight="1">
      <c r="A286" t="inlineStr">
        <is>
          <t>A 52317-2019</t>
        </is>
      </c>
      <c r="B286" s="1" t="n">
        <v>43735</v>
      </c>
      <c r="C286" s="1" t="n">
        <v>45711</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51254-2019</t>
        </is>
      </c>
      <c r="B287" s="1" t="n">
        <v>43739</v>
      </c>
      <c r="C287" s="1" t="n">
        <v>45711</v>
      </c>
      <c r="D287" t="inlineStr">
        <is>
          <t>VÄRMLANDS LÄN</t>
        </is>
      </c>
      <c r="E287" t="inlineStr">
        <is>
          <t>TORSBY</t>
        </is>
      </c>
      <c r="F287" t="inlineStr">
        <is>
          <t>Bergvik skog väst AB</t>
        </is>
      </c>
      <c r="G287" t="n">
        <v>4.5</v>
      </c>
      <c r="H287" t="n">
        <v>0</v>
      </c>
      <c r="I287" t="n">
        <v>0</v>
      </c>
      <c r="J287" t="n">
        <v>0</v>
      </c>
      <c r="K287" t="n">
        <v>0</v>
      </c>
      <c r="L287" t="n">
        <v>0</v>
      </c>
      <c r="M287" t="n">
        <v>0</v>
      </c>
      <c r="N287" t="n">
        <v>0</v>
      </c>
      <c r="O287" t="n">
        <v>0</v>
      </c>
      <c r="P287" t="n">
        <v>0</v>
      </c>
      <c r="Q287" t="n">
        <v>0</v>
      </c>
      <c r="R287" s="2" t="inlineStr"/>
    </row>
    <row r="288" ht="15" customHeight="1">
      <c r="A288" t="inlineStr">
        <is>
          <t>A 52186-2019</t>
        </is>
      </c>
      <c r="B288" s="1" t="n">
        <v>43742</v>
      </c>
      <c r="C288" s="1" t="n">
        <v>45711</v>
      </c>
      <c r="D288" t="inlineStr">
        <is>
          <t>VÄRMLANDS LÄN</t>
        </is>
      </c>
      <c r="E288" t="inlineStr">
        <is>
          <t>TORSBY</t>
        </is>
      </c>
      <c r="G288" t="n">
        <v>3.6</v>
      </c>
      <c r="H288" t="n">
        <v>0</v>
      </c>
      <c r="I288" t="n">
        <v>0</v>
      </c>
      <c r="J288" t="n">
        <v>0</v>
      </c>
      <c r="K288" t="n">
        <v>0</v>
      </c>
      <c r="L288" t="n">
        <v>0</v>
      </c>
      <c r="M288" t="n">
        <v>0</v>
      </c>
      <c r="N288" t="n">
        <v>0</v>
      </c>
      <c r="O288" t="n">
        <v>0</v>
      </c>
      <c r="P288" t="n">
        <v>0</v>
      </c>
      <c r="Q288" t="n">
        <v>0</v>
      </c>
      <c r="R288" s="2" t="inlineStr"/>
    </row>
    <row r="289" ht="15" customHeight="1">
      <c r="A289" t="inlineStr">
        <is>
          <t>A 52311-2019</t>
        </is>
      </c>
      <c r="B289" s="1" t="n">
        <v>43745</v>
      </c>
      <c r="C289" s="1" t="n">
        <v>45711</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52674-2019</t>
        </is>
      </c>
      <c r="B290" s="1" t="n">
        <v>43746</v>
      </c>
      <c r="C290" s="1" t="n">
        <v>45711</v>
      </c>
      <c r="D290" t="inlineStr">
        <is>
          <t>VÄRMLANDS LÄN</t>
        </is>
      </c>
      <c r="E290" t="inlineStr">
        <is>
          <t>TORSBY</t>
        </is>
      </c>
      <c r="F290" t="inlineStr">
        <is>
          <t>Bergvik skog väst AB</t>
        </is>
      </c>
      <c r="G290" t="n">
        <v>26.4</v>
      </c>
      <c r="H290" t="n">
        <v>0</v>
      </c>
      <c r="I290" t="n">
        <v>0</v>
      </c>
      <c r="J290" t="n">
        <v>0</v>
      </c>
      <c r="K290" t="n">
        <v>0</v>
      </c>
      <c r="L290" t="n">
        <v>0</v>
      </c>
      <c r="M290" t="n">
        <v>0</v>
      </c>
      <c r="N290" t="n">
        <v>0</v>
      </c>
      <c r="O290" t="n">
        <v>0</v>
      </c>
      <c r="P290" t="n">
        <v>0</v>
      </c>
      <c r="Q290" t="n">
        <v>0</v>
      </c>
      <c r="R290" s="2" t="inlineStr"/>
    </row>
    <row r="291" ht="15" customHeight="1">
      <c r="A291" t="inlineStr">
        <is>
          <t>A 52885-2019</t>
        </is>
      </c>
      <c r="B291" s="1" t="n">
        <v>43746</v>
      </c>
      <c r="C291" s="1" t="n">
        <v>45711</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53271-2019</t>
        </is>
      </c>
      <c r="B292" s="1" t="n">
        <v>43748</v>
      </c>
      <c r="C292" s="1" t="n">
        <v>45711</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54764-2019</t>
        </is>
      </c>
      <c r="B293" s="1" t="n">
        <v>43748</v>
      </c>
      <c r="C293" s="1" t="n">
        <v>45711</v>
      </c>
      <c r="D293" t="inlineStr">
        <is>
          <t>VÄRMLANDS LÄN</t>
        </is>
      </c>
      <c r="E293" t="inlineStr">
        <is>
          <t>TORSBY</t>
        </is>
      </c>
      <c r="G293" t="n">
        <v>1</v>
      </c>
      <c r="H293" t="n">
        <v>0</v>
      </c>
      <c r="I293" t="n">
        <v>0</v>
      </c>
      <c r="J293" t="n">
        <v>0</v>
      </c>
      <c r="K293" t="n">
        <v>0</v>
      </c>
      <c r="L293" t="n">
        <v>0</v>
      </c>
      <c r="M293" t="n">
        <v>0</v>
      </c>
      <c r="N293" t="n">
        <v>0</v>
      </c>
      <c r="O293" t="n">
        <v>0</v>
      </c>
      <c r="P293" t="n">
        <v>0</v>
      </c>
      <c r="Q293" t="n">
        <v>0</v>
      </c>
      <c r="R293" s="2" t="inlineStr"/>
    </row>
    <row r="294" ht="15" customHeight="1">
      <c r="A294" t="inlineStr">
        <is>
          <t>A 53635-2019</t>
        </is>
      </c>
      <c r="B294" s="1" t="n">
        <v>43749</v>
      </c>
      <c r="C294" s="1" t="n">
        <v>45711</v>
      </c>
      <c r="D294" t="inlineStr">
        <is>
          <t>VÄRMLANDS LÄN</t>
        </is>
      </c>
      <c r="E294" t="inlineStr">
        <is>
          <t>TORSBY</t>
        </is>
      </c>
      <c r="G294" t="n">
        <v>0.8</v>
      </c>
      <c r="H294" t="n">
        <v>0</v>
      </c>
      <c r="I294" t="n">
        <v>0</v>
      </c>
      <c r="J294" t="n">
        <v>0</v>
      </c>
      <c r="K294" t="n">
        <v>0</v>
      </c>
      <c r="L294" t="n">
        <v>0</v>
      </c>
      <c r="M294" t="n">
        <v>0</v>
      </c>
      <c r="N294" t="n">
        <v>0</v>
      </c>
      <c r="O294" t="n">
        <v>0</v>
      </c>
      <c r="P294" t="n">
        <v>0</v>
      </c>
      <c r="Q294" t="n">
        <v>0</v>
      </c>
      <c r="R294" s="2" t="inlineStr"/>
    </row>
    <row r="295" ht="15" customHeight="1">
      <c r="A295" t="inlineStr">
        <is>
          <t>A 53746-2019</t>
        </is>
      </c>
      <c r="B295" s="1" t="n">
        <v>43749</v>
      </c>
      <c r="C295" s="1" t="n">
        <v>45711</v>
      </c>
      <c r="D295" t="inlineStr">
        <is>
          <t>VÄRMLANDS LÄN</t>
        </is>
      </c>
      <c r="E295" t="inlineStr">
        <is>
          <t>TORSBY</t>
        </is>
      </c>
      <c r="G295" t="n">
        <v>0.3</v>
      </c>
      <c r="H295" t="n">
        <v>0</v>
      </c>
      <c r="I295" t="n">
        <v>0</v>
      </c>
      <c r="J295" t="n">
        <v>0</v>
      </c>
      <c r="K295" t="n">
        <v>0</v>
      </c>
      <c r="L295" t="n">
        <v>0</v>
      </c>
      <c r="M295" t="n">
        <v>0</v>
      </c>
      <c r="N295" t="n">
        <v>0</v>
      </c>
      <c r="O295" t="n">
        <v>0</v>
      </c>
      <c r="P295" t="n">
        <v>0</v>
      </c>
      <c r="Q295" t="n">
        <v>0</v>
      </c>
      <c r="R295" s="2" t="inlineStr"/>
    </row>
    <row r="296" ht="15" customHeight="1">
      <c r="A296" t="inlineStr">
        <is>
          <t>A 53744-2019</t>
        </is>
      </c>
      <c r="B296" s="1" t="n">
        <v>43749</v>
      </c>
      <c r="C296" s="1" t="n">
        <v>45711</v>
      </c>
      <c r="D296" t="inlineStr">
        <is>
          <t>VÄRMLANDS LÄN</t>
        </is>
      </c>
      <c r="E296" t="inlineStr">
        <is>
          <t>TORSBY</t>
        </is>
      </c>
      <c r="G296" t="n">
        <v>0.4</v>
      </c>
      <c r="H296" t="n">
        <v>0</v>
      </c>
      <c r="I296" t="n">
        <v>0</v>
      </c>
      <c r="J296" t="n">
        <v>0</v>
      </c>
      <c r="K296" t="n">
        <v>0</v>
      </c>
      <c r="L296" t="n">
        <v>0</v>
      </c>
      <c r="M296" t="n">
        <v>0</v>
      </c>
      <c r="N296" t="n">
        <v>0</v>
      </c>
      <c r="O296" t="n">
        <v>0</v>
      </c>
      <c r="P296" t="n">
        <v>0</v>
      </c>
      <c r="Q296" t="n">
        <v>0</v>
      </c>
      <c r="R296" s="2" t="inlineStr"/>
    </row>
    <row r="297" ht="15" customHeight="1">
      <c r="A297" t="inlineStr">
        <is>
          <t>A 54437-2019</t>
        </is>
      </c>
      <c r="B297" s="1" t="n">
        <v>43754</v>
      </c>
      <c r="C297" s="1" t="n">
        <v>45711</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56256-2019</t>
        </is>
      </c>
      <c r="B298" s="1" t="n">
        <v>43756</v>
      </c>
      <c r="C298" s="1" t="n">
        <v>45711</v>
      </c>
      <c r="D298" t="inlineStr">
        <is>
          <t>VÄRMLANDS LÄN</t>
        </is>
      </c>
      <c r="E298" t="inlineStr">
        <is>
          <t>TORSBY</t>
        </is>
      </c>
      <c r="G298" t="n">
        <v>2.2</v>
      </c>
      <c r="H298" t="n">
        <v>0</v>
      </c>
      <c r="I298" t="n">
        <v>0</v>
      </c>
      <c r="J298" t="n">
        <v>0</v>
      </c>
      <c r="K298" t="n">
        <v>0</v>
      </c>
      <c r="L298" t="n">
        <v>0</v>
      </c>
      <c r="M298" t="n">
        <v>0</v>
      </c>
      <c r="N298" t="n">
        <v>0</v>
      </c>
      <c r="O298" t="n">
        <v>0</v>
      </c>
      <c r="P298" t="n">
        <v>0</v>
      </c>
      <c r="Q298" t="n">
        <v>0</v>
      </c>
      <c r="R298" s="2" t="inlineStr"/>
    </row>
    <row r="299" ht="15" customHeight="1">
      <c r="A299" t="inlineStr">
        <is>
          <t>A 55988-2019</t>
        </is>
      </c>
      <c r="B299" s="1" t="n">
        <v>43759</v>
      </c>
      <c r="C299" s="1" t="n">
        <v>45711</v>
      </c>
      <c r="D299" t="inlineStr">
        <is>
          <t>VÄRMLANDS LÄN</t>
        </is>
      </c>
      <c r="E299" t="inlineStr">
        <is>
          <t>TORSBY</t>
        </is>
      </c>
      <c r="G299" t="n">
        <v>1</v>
      </c>
      <c r="H299" t="n">
        <v>0</v>
      </c>
      <c r="I299" t="n">
        <v>0</v>
      </c>
      <c r="J299" t="n">
        <v>0</v>
      </c>
      <c r="K299" t="n">
        <v>0</v>
      </c>
      <c r="L299" t="n">
        <v>0</v>
      </c>
      <c r="M299" t="n">
        <v>0</v>
      </c>
      <c r="N299" t="n">
        <v>0</v>
      </c>
      <c r="O299" t="n">
        <v>0</v>
      </c>
      <c r="P299" t="n">
        <v>0</v>
      </c>
      <c r="Q299" t="n">
        <v>0</v>
      </c>
      <c r="R299" s="2" t="inlineStr"/>
    </row>
    <row r="300" ht="15" customHeight="1">
      <c r="A300" t="inlineStr">
        <is>
          <t>A 56704-2019</t>
        </is>
      </c>
      <c r="B300" s="1" t="n">
        <v>43759</v>
      </c>
      <c r="C300" s="1" t="n">
        <v>45711</v>
      </c>
      <c r="D300" t="inlineStr">
        <is>
          <t>VÄRMLANDS LÄN</t>
        </is>
      </c>
      <c r="E300" t="inlineStr">
        <is>
          <t>TORSBY</t>
        </is>
      </c>
      <c r="G300" t="n">
        <v>2.6</v>
      </c>
      <c r="H300" t="n">
        <v>0</v>
      </c>
      <c r="I300" t="n">
        <v>0</v>
      </c>
      <c r="J300" t="n">
        <v>0</v>
      </c>
      <c r="K300" t="n">
        <v>0</v>
      </c>
      <c r="L300" t="n">
        <v>0</v>
      </c>
      <c r="M300" t="n">
        <v>0</v>
      </c>
      <c r="N300" t="n">
        <v>0</v>
      </c>
      <c r="O300" t="n">
        <v>0</v>
      </c>
      <c r="P300" t="n">
        <v>0</v>
      </c>
      <c r="Q300" t="n">
        <v>0</v>
      </c>
      <c r="R300" s="2" t="inlineStr"/>
    </row>
    <row r="301" ht="15" customHeight="1">
      <c r="A301" t="inlineStr">
        <is>
          <t>A 55927-2019</t>
        </is>
      </c>
      <c r="B301" s="1" t="n">
        <v>43761</v>
      </c>
      <c r="C301" s="1" t="n">
        <v>45711</v>
      </c>
      <c r="D301" t="inlineStr">
        <is>
          <t>VÄRMLANDS LÄN</t>
        </is>
      </c>
      <c r="E301" t="inlineStr">
        <is>
          <t>TORSBY</t>
        </is>
      </c>
      <c r="G301" t="n">
        <v>2.8</v>
      </c>
      <c r="H301" t="n">
        <v>0</v>
      </c>
      <c r="I301" t="n">
        <v>0</v>
      </c>
      <c r="J301" t="n">
        <v>0</v>
      </c>
      <c r="K301" t="n">
        <v>0</v>
      </c>
      <c r="L301" t="n">
        <v>0</v>
      </c>
      <c r="M301" t="n">
        <v>0</v>
      </c>
      <c r="N301" t="n">
        <v>0</v>
      </c>
      <c r="O301" t="n">
        <v>0</v>
      </c>
      <c r="P301" t="n">
        <v>0</v>
      </c>
      <c r="Q301" t="n">
        <v>0</v>
      </c>
      <c r="R301" s="2" t="inlineStr"/>
    </row>
    <row r="302" ht="15" customHeight="1">
      <c r="A302" t="inlineStr">
        <is>
          <t>A 56021-2019</t>
        </is>
      </c>
      <c r="B302" s="1" t="n">
        <v>43761</v>
      </c>
      <c r="C302" s="1" t="n">
        <v>45711</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56305-2019</t>
        </is>
      </c>
      <c r="B303" s="1" t="n">
        <v>43762</v>
      </c>
      <c r="C303" s="1" t="n">
        <v>45711</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56594-2019</t>
        </is>
      </c>
      <c r="B304" s="1" t="n">
        <v>43763</v>
      </c>
      <c r="C304" s="1" t="n">
        <v>45711</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56633-2019</t>
        </is>
      </c>
      <c r="B305" s="1" t="n">
        <v>43763</v>
      </c>
      <c r="C305" s="1" t="n">
        <v>45711</v>
      </c>
      <c r="D305" t="inlineStr">
        <is>
          <t>VÄRMLANDS LÄN</t>
        </is>
      </c>
      <c r="E305" t="inlineStr">
        <is>
          <t>TORSBY</t>
        </is>
      </c>
      <c r="G305" t="n">
        <v>1.6</v>
      </c>
      <c r="H305" t="n">
        <v>0</v>
      </c>
      <c r="I305" t="n">
        <v>0</v>
      </c>
      <c r="J305" t="n">
        <v>0</v>
      </c>
      <c r="K305" t="n">
        <v>0</v>
      </c>
      <c r="L305" t="n">
        <v>0</v>
      </c>
      <c r="M305" t="n">
        <v>0</v>
      </c>
      <c r="N305" t="n">
        <v>0</v>
      </c>
      <c r="O305" t="n">
        <v>0</v>
      </c>
      <c r="P305" t="n">
        <v>0</v>
      </c>
      <c r="Q305" t="n">
        <v>0</v>
      </c>
      <c r="R305" s="2" t="inlineStr"/>
    </row>
    <row r="306" ht="15" customHeight="1">
      <c r="A306" t="inlineStr">
        <is>
          <t>A 56824-2019</t>
        </is>
      </c>
      <c r="B306" s="1" t="n">
        <v>43764</v>
      </c>
      <c r="C306" s="1" t="n">
        <v>45711</v>
      </c>
      <c r="D306" t="inlineStr">
        <is>
          <t>VÄRMLANDS LÄN</t>
        </is>
      </c>
      <c r="E306" t="inlineStr">
        <is>
          <t>TORSBY</t>
        </is>
      </c>
      <c r="G306" t="n">
        <v>3.6</v>
      </c>
      <c r="H306" t="n">
        <v>0</v>
      </c>
      <c r="I306" t="n">
        <v>0</v>
      </c>
      <c r="J306" t="n">
        <v>0</v>
      </c>
      <c r="K306" t="n">
        <v>0</v>
      </c>
      <c r="L306" t="n">
        <v>0</v>
      </c>
      <c r="M306" t="n">
        <v>0</v>
      </c>
      <c r="N306" t="n">
        <v>0</v>
      </c>
      <c r="O306" t="n">
        <v>0</v>
      </c>
      <c r="P306" t="n">
        <v>0</v>
      </c>
      <c r="Q306" t="n">
        <v>0</v>
      </c>
      <c r="R306" s="2" t="inlineStr"/>
    </row>
    <row r="307" ht="15" customHeight="1">
      <c r="A307" t="inlineStr">
        <is>
          <t>A 56935-2019</t>
        </is>
      </c>
      <c r="B307" s="1" t="n">
        <v>43766</v>
      </c>
      <c r="C307" s="1" t="n">
        <v>45711</v>
      </c>
      <c r="D307" t="inlineStr">
        <is>
          <t>VÄRMLANDS LÄN</t>
        </is>
      </c>
      <c r="E307" t="inlineStr">
        <is>
          <t>TORSBY</t>
        </is>
      </c>
      <c r="F307" t="inlineStr">
        <is>
          <t>Bergvik skog väst AB</t>
        </is>
      </c>
      <c r="G307" t="n">
        <v>2.4</v>
      </c>
      <c r="H307" t="n">
        <v>0</v>
      </c>
      <c r="I307" t="n">
        <v>0</v>
      </c>
      <c r="J307" t="n">
        <v>0</v>
      </c>
      <c r="K307" t="n">
        <v>0</v>
      </c>
      <c r="L307" t="n">
        <v>0</v>
      </c>
      <c r="M307" t="n">
        <v>0</v>
      </c>
      <c r="N307" t="n">
        <v>0</v>
      </c>
      <c r="O307" t="n">
        <v>0</v>
      </c>
      <c r="P307" t="n">
        <v>0</v>
      </c>
      <c r="Q307" t="n">
        <v>0</v>
      </c>
      <c r="R307" s="2" t="inlineStr"/>
    </row>
    <row r="308" ht="15" customHeight="1">
      <c r="A308" t="inlineStr">
        <is>
          <t>A 57399-2019</t>
        </is>
      </c>
      <c r="B308" s="1" t="n">
        <v>43767</v>
      </c>
      <c r="C308" s="1" t="n">
        <v>45711</v>
      </c>
      <c r="D308" t="inlineStr">
        <is>
          <t>VÄRMLANDS LÄN</t>
        </is>
      </c>
      <c r="E308" t="inlineStr">
        <is>
          <t>TORSBY</t>
        </is>
      </c>
      <c r="F308" t="inlineStr">
        <is>
          <t>Bergvik skog väst AB</t>
        </is>
      </c>
      <c r="G308" t="n">
        <v>18.9</v>
      </c>
      <c r="H308" t="n">
        <v>0</v>
      </c>
      <c r="I308" t="n">
        <v>0</v>
      </c>
      <c r="J308" t="n">
        <v>0</v>
      </c>
      <c r="K308" t="n">
        <v>0</v>
      </c>
      <c r="L308" t="n">
        <v>0</v>
      </c>
      <c r="M308" t="n">
        <v>0</v>
      </c>
      <c r="N308" t="n">
        <v>0</v>
      </c>
      <c r="O308" t="n">
        <v>0</v>
      </c>
      <c r="P308" t="n">
        <v>0</v>
      </c>
      <c r="Q308" t="n">
        <v>0</v>
      </c>
      <c r="R308" s="2" t="inlineStr"/>
    </row>
    <row r="309" ht="15" customHeight="1">
      <c r="A309" t="inlineStr">
        <is>
          <t>A 57251-2019</t>
        </is>
      </c>
      <c r="B309" s="1" t="n">
        <v>43767</v>
      </c>
      <c r="C309" s="1" t="n">
        <v>45711</v>
      </c>
      <c r="D309" t="inlineStr">
        <is>
          <t>VÄRMLANDS LÄN</t>
        </is>
      </c>
      <c r="E309" t="inlineStr">
        <is>
          <t>TORSBY</t>
        </is>
      </c>
      <c r="F309" t="inlineStr">
        <is>
          <t>Bergvik skog väst AB</t>
        </is>
      </c>
      <c r="G309" t="n">
        <v>4.3</v>
      </c>
      <c r="H309" t="n">
        <v>0</v>
      </c>
      <c r="I309" t="n">
        <v>0</v>
      </c>
      <c r="J309" t="n">
        <v>0</v>
      </c>
      <c r="K309" t="n">
        <v>0</v>
      </c>
      <c r="L309" t="n">
        <v>0</v>
      </c>
      <c r="M309" t="n">
        <v>0</v>
      </c>
      <c r="N309" t="n">
        <v>0</v>
      </c>
      <c r="O309" t="n">
        <v>0</v>
      </c>
      <c r="P309" t="n">
        <v>0</v>
      </c>
      <c r="Q309" t="n">
        <v>0</v>
      </c>
      <c r="R309" s="2" t="inlineStr"/>
    </row>
    <row r="310" ht="15" customHeight="1">
      <c r="A310" t="inlineStr">
        <is>
          <t>A 57301-2019</t>
        </is>
      </c>
      <c r="B310" s="1" t="n">
        <v>43767</v>
      </c>
      <c r="C310" s="1" t="n">
        <v>45711</v>
      </c>
      <c r="D310" t="inlineStr">
        <is>
          <t>VÄRMLANDS LÄN</t>
        </is>
      </c>
      <c r="E310" t="inlineStr">
        <is>
          <t>TORSBY</t>
        </is>
      </c>
      <c r="G310" t="n">
        <v>3.6</v>
      </c>
      <c r="H310" t="n">
        <v>0</v>
      </c>
      <c r="I310" t="n">
        <v>0</v>
      </c>
      <c r="J310" t="n">
        <v>0</v>
      </c>
      <c r="K310" t="n">
        <v>0</v>
      </c>
      <c r="L310" t="n">
        <v>0</v>
      </c>
      <c r="M310" t="n">
        <v>0</v>
      </c>
      <c r="N310" t="n">
        <v>0</v>
      </c>
      <c r="O310" t="n">
        <v>0</v>
      </c>
      <c r="P310" t="n">
        <v>0</v>
      </c>
      <c r="Q310" t="n">
        <v>0</v>
      </c>
      <c r="R310" s="2" t="inlineStr"/>
    </row>
    <row r="311" ht="15" customHeight="1">
      <c r="A311" t="inlineStr">
        <is>
          <t>A 57268-2019</t>
        </is>
      </c>
      <c r="B311" s="1" t="n">
        <v>43767</v>
      </c>
      <c r="C311" s="1" t="n">
        <v>45711</v>
      </c>
      <c r="D311" t="inlineStr">
        <is>
          <t>VÄRMLANDS LÄN</t>
        </is>
      </c>
      <c r="E311" t="inlineStr">
        <is>
          <t>TORSBY</t>
        </is>
      </c>
      <c r="G311" t="n">
        <v>0.9</v>
      </c>
      <c r="H311" t="n">
        <v>0</v>
      </c>
      <c r="I311" t="n">
        <v>0</v>
      </c>
      <c r="J311" t="n">
        <v>0</v>
      </c>
      <c r="K311" t="n">
        <v>0</v>
      </c>
      <c r="L311" t="n">
        <v>0</v>
      </c>
      <c r="M311" t="n">
        <v>0</v>
      </c>
      <c r="N311" t="n">
        <v>0</v>
      </c>
      <c r="O311" t="n">
        <v>0</v>
      </c>
      <c r="P311" t="n">
        <v>0</v>
      </c>
      <c r="Q311" t="n">
        <v>0</v>
      </c>
      <c r="R311" s="2" t="inlineStr"/>
    </row>
    <row r="312" ht="15" customHeight="1">
      <c r="A312" t="inlineStr">
        <is>
          <t>A 58530-2019</t>
        </is>
      </c>
      <c r="B312" s="1" t="n">
        <v>43767</v>
      </c>
      <c r="C312" s="1" t="n">
        <v>45711</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57223-2019</t>
        </is>
      </c>
      <c r="B313" s="1" t="n">
        <v>43767</v>
      </c>
      <c r="C313" s="1" t="n">
        <v>45711</v>
      </c>
      <c r="D313" t="inlineStr">
        <is>
          <t>VÄRMLANDS LÄN</t>
        </is>
      </c>
      <c r="E313" t="inlineStr">
        <is>
          <t>TORSBY</t>
        </is>
      </c>
      <c r="F313" t="inlineStr">
        <is>
          <t>Bergvik skog väst AB</t>
        </is>
      </c>
      <c r="G313" t="n">
        <v>2.4</v>
      </c>
      <c r="H313" t="n">
        <v>0</v>
      </c>
      <c r="I313" t="n">
        <v>0</v>
      </c>
      <c r="J313" t="n">
        <v>0</v>
      </c>
      <c r="K313" t="n">
        <v>0</v>
      </c>
      <c r="L313" t="n">
        <v>0</v>
      </c>
      <c r="M313" t="n">
        <v>0</v>
      </c>
      <c r="N313" t="n">
        <v>0</v>
      </c>
      <c r="O313" t="n">
        <v>0</v>
      </c>
      <c r="P313" t="n">
        <v>0</v>
      </c>
      <c r="Q313" t="n">
        <v>0</v>
      </c>
      <c r="R313" s="2" t="inlineStr"/>
    </row>
    <row r="314" ht="15" customHeight="1">
      <c r="A314" t="inlineStr">
        <is>
          <t>A 57566-2019</t>
        </is>
      </c>
      <c r="B314" s="1" t="n">
        <v>43768</v>
      </c>
      <c r="C314" s="1" t="n">
        <v>45711</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57704-2019</t>
        </is>
      </c>
      <c r="B315" s="1" t="n">
        <v>43768</v>
      </c>
      <c r="C315" s="1" t="n">
        <v>45711</v>
      </c>
      <c r="D315" t="inlineStr">
        <is>
          <t>VÄRMLANDS LÄN</t>
        </is>
      </c>
      <c r="E315" t="inlineStr">
        <is>
          <t>TORSBY</t>
        </is>
      </c>
      <c r="F315" t="inlineStr">
        <is>
          <t>Kommuner</t>
        </is>
      </c>
      <c r="G315" t="n">
        <v>0.9</v>
      </c>
      <c r="H315" t="n">
        <v>0</v>
      </c>
      <c r="I315" t="n">
        <v>0</v>
      </c>
      <c r="J315" t="n">
        <v>0</v>
      </c>
      <c r="K315" t="n">
        <v>0</v>
      </c>
      <c r="L315" t="n">
        <v>0</v>
      </c>
      <c r="M315" t="n">
        <v>0</v>
      </c>
      <c r="N315" t="n">
        <v>0</v>
      </c>
      <c r="O315" t="n">
        <v>0</v>
      </c>
      <c r="P315" t="n">
        <v>0</v>
      </c>
      <c r="Q315" t="n">
        <v>0</v>
      </c>
      <c r="R315" s="2" t="inlineStr"/>
    </row>
    <row r="316" ht="15" customHeight="1">
      <c r="A316" t="inlineStr">
        <is>
          <t>A 57565-2019</t>
        </is>
      </c>
      <c r="B316" s="1" t="n">
        <v>43768</v>
      </c>
      <c r="C316" s="1" t="n">
        <v>45711</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58004-2019</t>
        </is>
      </c>
      <c r="B317" s="1" t="n">
        <v>43769</v>
      </c>
      <c r="C317" s="1" t="n">
        <v>45711</v>
      </c>
      <c r="D317" t="inlineStr">
        <is>
          <t>VÄRMLANDS LÄN</t>
        </is>
      </c>
      <c r="E317" t="inlineStr">
        <is>
          <t>TORSBY</t>
        </is>
      </c>
      <c r="F317" t="inlineStr">
        <is>
          <t>Bergvik skog väst AB</t>
        </is>
      </c>
      <c r="G317" t="n">
        <v>2.2</v>
      </c>
      <c r="H317" t="n">
        <v>0</v>
      </c>
      <c r="I317" t="n">
        <v>0</v>
      </c>
      <c r="J317" t="n">
        <v>0</v>
      </c>
      <c r="K317" t="n">
        <v>0</v>
      </c>
      <c r="L317" t="n">
        <v>0</v>
      </c>
      <c r="M317" t="n">
        <v>0</v>
      </c>
      <c r="N317" t="n">
        <v>0</v>
      </c>
      <c r="O317" t="n">
        <v>0</v>
      </c>
      <c r="P317" t="n">
        <v>0</v>
      </c>
      <c r="Q317" t="n">
        <v>0</v>
      </c>
      <c r="R317" s="2" t="inlineStr"/>
    </row>
    <row r="318" ht="15" customHeight="1">
      <c r="A318" t="inlineStr">
        <is>
          <t>A 58678-2019</t>
        </is>
      </c>
      <c r="B318" s="1" t="n">
        <v>43773</v>
      </c>
      <c r="C318" s="1" t="n">
        <v>45711</v>
      </c>
      <c r="D318" t="inlineStr">
        <is>
          <t>VÄRMLANDS LÄN</t>
        </is>
      </c>
      <c r="E318" t="inlineStr">
        <is>
          <t>TORSBY</t>
        </is>
      </c>
      <c r="F318" t="inlineStr">
        <is>
          <t>Bergvik skog väst AB</t>
        </is>
      </c>
      <c r="G318" t="n">
        <v>2.2</v>
      </c>
      <c r="H318" t="n">
        <v>0</v>
      </c>
      <c r="I318" t="n">
        <v>0</v>
      </c>
      <c r="J318" t="n">
        <v>0</v>
      </c>
      <c r="K318" t="n">
        <v>0</v>
      </c>
      <c r="L318" t="n">
        <v>0</v>
      </c>
      <c r="M318" t="n">
        <v>0</v>
      </c>
      <c r="N318" t="n">
        <v>0</v>
      </c>
      <c r="O318" t="n">
        <v>0</v>
      </c>
      <c r="P318" t="n">
        <v>0</v>
      </c>
      <c r="Q318" t="n">
        <v>0</v>
      </c>
      <c r="R318" s="2" t="inlineStr"/>
    </row>
    <row r="319" ht="15" customHeight="1">
      <c r="A319" t="inlineStr">
        <is>
          <t>A 59127-2019</t>
        </is>
      </c>
      <c r="B319" s="1" t="n">
        <v>43775</v>
      </c>
      <c r="C319" s="1" t="n">
        <v>45711</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59593-2019</t>
        </is>
      </c>
      <c r="B320" s="1" t="n">
        <v>43776</v>
      </c>
      <c r="C320" s="1" t="n">
        <v>45711</v>
      </c>
      <c r="D320" t="inlineStr">
        <is>
          <t>VÄRMLANDS LÄN</t>
        </is>
      </c>
      <c r="E320" t="inlineStr">
        <is>
          <t>TORSBY</t>
        </is>
      </c>
      <c r="F320" t="inlineStr">
        <is>
          <t>Bergvik skog väst AB</t>
        </is>
      </c>
      <c r="G320" t="n">
        <v>6.8</v>
      </c>
      <c r="H320" t="n">
        <v>0</v>
      </c>
      <c r="I320" t="n">
        <v>0</v>
      </c>
      <c r="J320" t="n">
        <v>0</v>
      </c>
      <c r="K320" t="n">
        <v>0</v>
      </c>
      <c r="L320" t="n">
        <v>0</v>
      </c>
      <c r="M320" t="n">
        <v>0</v>
      </c>
      <c r="N320" t="n">
        <v>0</v>
      </c>
      <c r="O320" t="n">
        <v>0</v>
      </c>
      <c r="P320" t="n">
        <v>0</v>
      </c>
      <c r="Q320" t="n">
        <v>0</v>
      </c>
      <c r="R320" s="2" t="inlineStr"/>
    </row>
    <row r="321" ht="15" customHeight="1">
      <c r="A321" t="inlineStr">
        <is>
          <t>A 60545-2019</t>
        </is>
      </c>
      <c r="B321" s="1" t="n">
        <v>43781</v>
      </c>
      <c r="C321" s="1" t="n">
        <v>45711</v>
      </c>
      <c r="D321" t="inlineStr">
        <is>
          <t>VÄRMLANDS LÄN</t>
        </is>
      </c>
      <c r="E321" t="inlineStr">
        <is>
          <t>TORSBY</t>
        </is>
      </c>
      <c r="F321" t="inlineStr">
        <is>
          <t>Bergvik skog väst AB</t>
        </is>
      </c>
      <c r="G321" t="n">
        <v>1.3</v>
      </c>
      <c r="H321" t="n">
        <v>0</v>
      </c>
      <c r="I321" t="n">
        <v>0</v>
      </c>
      <c r="J321" t="n">
        <v>0</v>
      </c>
      <c r="K321" t="n">
        <v>0</v>
      </c>
      <c r="L321" t="n">
        <v>0</v>
      </c>
      <c r="M321" t="n">
        <v>0</v>
      </c>
      <c r="N321" t="n">
        <v>0</v>
      </c>
      <c r="O321" t="n">
        <v>0</v>
      </c>
      <c r="P321" t="n">
        <v>0</v>
      </c>
      <c r="Q321" t="n">
        <v>0</v>
      </c>
      <c r="R321" s="2" t="inlineStr"/>
    </row>
    <row r="322" ht="15" customHeight="1">
      <c r="A322" t="inlineStr">
        <is>
          <t>A 61074-2019</t>
        </is>
      </c>
      <c r="B322" s="1" t="n">
        <v>43782</v>
      </c>
      <c r="C322" s="1" t="n">
        <v>45711</v>
      </c>
      <c r="D322" t="inlineStr">
        <is>
          <t>VÄRMLANDS LÄN</t>
        </is>
      </c>
      <c r="E322" t="inlineStr">
        <is>
          <t>TORSBY</t>
        </is>
      </c>
      <c r="G322" t="n">
        <v>6.4</v>
      </c>
      <c r="H322" t="n">
        <v>0</v>
      </c>
      <c r="I322" t="n">
        <v>0</v>
      </c>
      <c r="J322" t="n">
        <v>0</v>
      </c>
      <c r="K322" t="n">
        <v>0</v>
      </c>
      <c r="L322" t="n">
        <v>0</v>
      </c>
      <c r="M322" t="n">
        <v>0</v>
      </c>
      <c r="N322" t="n">
        <v>0</v>
      </c>
      <c r="O322" t="n">
        <v>0</v>
      </c>
      <c r="P322" t="n">
        <v>0</v>
      </c>
      <c r="Q322" t="n">
        <v>0</v>
      </c>
      <c r="R322" s="2" t="inlineStr"/>
    </row>
    <row r="323" ht="15" customHeight="1">
      <c r="A323" t="inlineStr">
        <is>
          <t>A 62050-2019</t>
        </is>
      </c>
      <c r="B323" s="1" t="n">
        <v>43787</v>
      </c>
      <c r="C323" s="1" t="n">
        <v>45711</v>
      </c>
      <c r="D323" t="inlineStr">
        <is>
          <t>VÄRMLANDS LÄN</t>
        </is>
      </c>
      <c r="E323" t="inlineStr">
        <is>
          <t>TORSBY</t>
        </is>
      </c>
      <c r="F323" t="inlineStr">
        <is>
          <t>Bergvik skog väst AB</t>
        </is>
      </c>
      <c r="G323" t="n">
        <v>4.3</v>
      </c>
      <c r="H323" t="n">
        <v>0</v>
      </c>
      <c r="I323" t="n">
        <v>0</v>
      </c>
      <c r="J323" t="n">
        <v>0</v>
      </c>
      <c r="K323" t="n">
        <v>0</v>
      </c>
      <c r="L323" t="n">
        <v>0</v>
      </c>
      <c r="M323" t="n">
        <v>0</v>
      </c>
      <c r="N323" t="n">
        <v>0</v>
      </c>
      <c r="O323" t="n">
        <v>0</v>
      </c>
      <c r="P323" t="n">
        <v>0</v>
      </c>
      <c r="Q323" t="n">
        <v>0</v>
      </c>
      <c r="R323" s="2" t="inlineStr"/>
    </row>
    <row r="324" ht="15" customHeight="1">
      <c r="A324" t="inlineStr">
        <is>
          <t>A 61958-2019</t>
        </is>
      </c>
      <c r="B324" s="1" t="n">
        <v>43787</v>
      </c>
      <c r="C324" s="1" t="n">
        <v>45711</v>
      </c>
      <c r="D324" t="inlineStr">
        <is>
          <t>VÄRMLANDS LÄN</t>
        </is>
      </c>
      <c r="E324" t="inlineStr">
        <is>
          <t>TORSBY</t>
        </is>
      </c>
      <c r="G324" t="n">
        <v>2.4</v>
      </c>
      <c r="H324" t="n">
        <v>0</v>
      </c>
      <c r="I324" t="n">
        <v>0</v>
      </c>
      <c r="J324" t="n">
        <v>0</v>
      </c>
      <c r="K324" t="n">
        <v>0</v>
      </c>
      <c r="L324" t="n">
        <v>0</v>
      </c>
      <c r="M324" t="n">
        <v>0</v>
      </c>
      <c r="N324" t="n">
        <v>0</v>
      </c>
      <c r="O324" t="n">
        <v>0</v>
      </c>
      <c r="P324" t="n">
        <v>0</v>
      </c>
      <c r="Q324" t="n">
        <v>0</v>
      </c>
      <c r="R324" s="2" t="inlineStr"/>
    </row>
    <row r="325" ht="15" customHeight="1">
      <c r="A325" t="inlineStr">
        <is>
          <t>A 62255-2019</t>
        </is>
      </c>
      <c r="B325" s="1" t="n">
        <v>43788</v>
      </c>
      <c r="C325" s="1" t="n">
        <v>45711</v>
      </c>
      <c r="D325" t="inlineStr">
        <is>
          <t>VÄRMLANDS LÄN</t>
        </is>
      </c>
      <c r="E325" t="inlineStr">
        <is>
          <t>TORSBY</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62286-2019</t>
        </is>
      </c>
      <c r="B326" s="1" t="n">
        <v>43788</v>
      </c>
      <c r="C326" s="1" t="n">
        <v>45711</v>
      </c>
      <c r="D326" t="inlineStr">
        <is>
          <t>VÄRMLANDS LÄN</t>
        </is>
      </c>
      <c r="E326" t="inlineStr">
        <is>
          <t>TORSBY</t>
        </is>
      </c>
      <c r="F326" t="inlineStr">
        <is>
          <t>Bergvik skog väst AB</t>
        </is>
      </c>
      <c r="G326" t="n">
        <v>2.9</v>
      </c>
      <c r="H326" t="n">
        <v>0</v>
      </c>
      <c r="I326" t="n">
        <v>0</v>
      </c>
      <c r="J326" t="n">
        <v>0</v>
      </c>
      <c r="K326" t="n">
        <v>0</v>
      </c>
      <c r="L326" t="n">
        <v>0</v>
      </c>
      <c r="M326" t="n">
        <v>0</v>
      </c>
      <c r="N326" t="n">
        <v>0</v>
      </c>
      <c r="O326" t="n">
        <v>0</v>
      </c>
      <c r="P326" t="n">
        <v>0</v>
      </c>
      <c r="Q326" t="n">
        <v>0</v>
      </c>
      <c r="R326" s="2" t="inlineStr"/>
    </row>
    <row r="327" ht="15" customHeight="1">
      <c r="A327" t="inlineStr">
        <is>
          <t>A 63743-2019</t>
        </is>
      </c>
      <c r="B327" s="1" t="n">
        <v>43795</v>
      </c>
      <c r="C327" s="1" t="n">
        <v>45711</v>
      </c>
      <c r="D327" t="inlineStr">
        <is>
          <t>VÄRMLANDS LÄN</t>
        </is>
      </c>
      <c r="E327" t="inlineStr">
        <is>
          <t>TORSBY</t>
        </is>
      </c>
      <c r="F327" t="inlineStr">
        <is>
          <t>Bergvik skog väst AB</t>
        </is>
      </c>
      <c r="G327" t="n">
        <v>6.3</v>
      </c>
      <c r="H327" t="n">
        <v>0</v>
      </c>
      <c r="I327" t="n">
        <v>0</v>
      </c>
      <c r="J327" t="n">
        <v>0</v>
      </c>
      <c r="K327" t="n">
        <v>0</v>
      </c>
      <c r="L327" t="n">
        <v>0</v>
      </c>
      <c r="M327" t="n">
        <v>0</v>
      </c>
      <c r="N327" t="n">
        <v>0</v>
      </c>
      <c r="O327" t="n">
        <v>0</v>
      </c>
      <c r="P327" t="n">
        <v>0</v>
      </c>
      <c r="Q327" t="n">
        <v>0</v>
      </c>
      <c r="R327" s="2" t="inlineStr"/>
    </row>
    <row r="328" ht="15" customHeight="1">
      <c r="A328" t="inlineStr">
        <is>
          <t>A 64114-2019</t>
        </is>
      </c>
      <c r="B328" s="1" t="n">
        <v>43796</v>
      </c>
      <c r="C328" s="1" t="n">
        <v>45711</v>
      </c>
      <c r="D328" t="inlineStr">
        <is>
          <t>VÄRMLANDS LÄN</t>
        </is>
      </c>
      <c r="E328" t="inlineStr">
        <is>
          <t>TORSBY</t>
        </is>
      </c>
      <c r="G328" t="n">
        <v>0.7</v>
      </c>
      <c r="H328" t="n">
        <v>0</v>
      </c>
      <c r="I328" t="n">
        <v>0</v>
      </c>
      <c r="J328" t="n">
        <v>0</v>
      </c>
      <c r="K328" t="n">
        <v>0</v>
      </c>
      <c r="L328" t="n">
        <v>0</v>
      </c>
      <c r="M328" t="n">
        <v>0</v>
      </c>
      <c r="N328" t="n">
        <v>0</v>
      </c>
      <c r="O328" t="n">
        <v>0</v>
      </c>
      <c r="P328" t="n">
        <v>0</v>
      </c>
      <c r="Q328" t="n">
        <v>0</v>
      </c>
      <c r="R328" s="2" t="inlineStr"/>
    </row>
    <row r="329" ht="15" customHeight="1">
      <c r="A329" t="inlineStr">
        <is>
          <t>A 64444-2019</t>
        </is>
      </c>
      <c r="B329" s="1" t="n">
        <v>43797</v>
      </c>
      <c r="C329" s="1" t="n">
        <v>45711</v>
      </c>
      <c r="D329" t="inlineStr">
        <is>
          <t>VÄRMLANDS LÄN</t>
        </is>
      </c>
      <c r="E329" t="inlineStr">
        <is>
          <t>TORSBY</t>
        </is>
      </c>
      <c r="G329" t="n">
        <v>3.5</v>
      </c>
      <c r="H329" t="n">
        <v>0</v>
      </c>
      <c r="I329" t="n">
        <v>0</v>
      </c>
      <c r="J329" t="n">
        <v>0</v>
      </c>
      <c r="K329" t="n">
        <v>0</v>
      </c>
      <c r="L329" t="n">
        <v>0</v>
      </c>
      <c r="M329" t="n">
        <v>0</v>
      </c>
      <c r="N329" t="n">
        <v>0</v>
      </c>
      <c r="O329" t="n">
        <v>0</v>
      </c>
      <c r="P329" t="n">
        <v>0</v>
      </c>
      <c r="Q329" t="n">
        <v>0</v>
      </c>
      <c r="R329" s="2" t="inlineStr"/>
    </row>
    <row r="330" ht="15" customHeight="1">
      <c r="A330" t="inlineStr">
        <is>
          <t>A 65187-2019</t>
        </is>
      </c>
      <c r="B330" s="1" t="n">
        <v>43797</v>
      </c>
      <c r="C330" s="1" t="n">
        <v>45711</v>
      </c>
      <c r="D330" t="inlineStr">
        <is>
          <t>VÄRMLANDS LÄN</t>
        </is>
      </c>
      <c r="E330" t="inlineStr">
        <is>
          <t>TORSBY</t>
        </is>
      </c>
      <c r="G330" t="n">
        <v>2</v>
      </c>
      <c r="H330" t="n">
        <v>0</v>
      </c>
      <c r="I330" t="n">
        <v>0</v>
      </c>
      <c r="J330" t="n">
        <v>0</v>
      </c>
      <c r="K330" t="n">
        <v>0</v>
      </c>
      <c r="L330" t="n">
        <v>0</v>
      </c>
      <c r="M330" t="n">
        <v>0</v>
      </c>
      <c r="N330" t="n">
        <v>0</v>
      </c>
      <c r="O330" t="n">
        <v>0</v>
      </c>
      <c r="P330" t="n">
        <v>0</v>
      </c>
      <c r="Q330" t="n">
        <v>0</v>
      </c>
      <c r="R330" s="2" t="inlineStr"/>
    </row>
    <row r="331" ht="15" customHeight="1">
      <c r="A331" t="inlineStr">
        <is>
          <t>A 65243-2019</t>
        </is>
      </c>
      <c r="B331" s="1" t="n">
        <v>43797</v>
      </c>
      <c r="C331" s="1" t="n">
        <v>45711</v>
      </c>
      <c r="D331" t="inlineStr">
        <is>
          <t>VÄRMLANDS LÄN</t>
        </is>
      </c>
      <c r="E331" t="inlineStr">
        <is>
          <t>TORSBY</t>
        </is>
      </c>
      <c r="F331" t="inlineStr">
        <is>
          <t>Övriga statliga verk och myndigheter</t>
        </is>
      </c>
      <c r="G331" t="n">
        <v>20.3</v>
      </c>
      <c r="H331" t="n">
        <v>0</v>
      </c>
      <c r="I331" t="n">
        <v>0</v>
      </c>
      <c r="J331" t="n">
        <v>0</v>
      </c>
      <c r="K331" t="n">
        <v>0</v>
      </c>
      <c r="L331" t="n">
        <v>0</v>
      </c>
      <c r="M331" t="n">
        <v>0</v>
      </c>
      <c r="N331" t="n">
        <v>0</v>
      </c>
      <c r="O331" t="n">
        <v>0</v>
      </c>
      <c r="P331" t="n">
        <v>0</v>
      </c>
      <c r="Q331" t="n">
        <v>0</v>
      </c>
      <c r="R331" s="2" t="inlineStr"/>
    </row>
    <row r="332" ht="15" customHeight="1">
      <c r="A332" t="inlineStr">
        <is>
          <t>A 64803-2019</t>
        </is>
      </c>
      <c r="B332" s="1" t="n">
        <v>43801</v>
      </c>
      <c r="C332" s="1" t="n">
        <v>45711</v>
      </c>
      <c r="D332" t="inlineStr">
        <is>
          <t>VÄRMLANDS LÄN</t>
        </is>
      </c>
      <c r="E332" t="inlineStr">
        <is>
          <t>TORSBY</t>
        </is>
      </c>
      <c r="G332" t="n">
        <v>0.5</v>
      </c>
      <c r="H332" t="n">
        <v>0</v>
      </c>
      <c r="I332" t="n">
        <v>0</v>
      </c>
      <c r="J332" t="n">
        <v>0</v>
      </c>
      <c r="K332" t="n">
        <v>0</v>
      </c>
      <c r="L332" t="n">
        <v>0</v>
      </c>
      <c r="M332" t="n">
        <v>0</v>
      </c>
      <c r="N332" t="n">
        <v>0</v>
      </c>
      <c r="O332" t="n">
        <v>0</v>
      </c>
      <c r="P332" t="n">
        <v>0</v>
      </c>
      <c r="Q332" t="n">
        <v>0</v>
      </c>
      <c r="R332" s="2" t="inlineStr"/>
    </row>
    <row r="333" ht="15" customHeight="1">
      <c r="A333" t="inlineStr">
        <is>
          <t>A 65132-2019</t>
        </is>
      </c>
      <c r="B333" s="1" t="n">
        <v>43802</v>
      </c>
      <c r="C333" s="1" t="n">
        <v>45711</v>
      </c>
      <c r="D333" t="inlineStr">
        <is>
          <t>VÄRMLANDS LÄN</t>
        </is>
      </c>
      <c r="E333" t="inlineStr">
        <is>
          <t>TORSBY</t>
        </is>
      </c>
      <c r="G333" t="n">
        <v>2.4</v>
      </c>
      <c r="H333" t="n">
        <v>0</v>
      </c>
      <c r="I333" t="n">
        <v>0</v>
      </c>
      <c r="J333" t="n">
        <v>0</v>
      </c>
      <c r="K333" t="n">
        <v>0</v>
      </c>
      <c r="L333" t="n">
        <v>0</v>
      </c>
      <c r="M333" t="n">
        <v>0</v>
      </c>
      <c r="N333" t="n">
        <v>0</v>
      </c>
      <c r="O333" t="n">
        <v>0</v>
      </c>
      <c r="P333" t="n">
        <v>0</v>
      </c>
      <c r="Q333" t="n">
        <v>0</v>
      </c>
      <c r="R333" s="2" t="inlineStr"/>
    </row>
    <row r="334" ht="15" customHeight="1">
      <c r="A334" t="inlineStr">
        <is>
          <t>A 65076-2019</t>
        </is>
      </c>
      <c r="B334" s="1" t="n">
        <v>43802</v>
      </c>
      <c r="C334" s="1" t="n">
        <v>45711</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65465-2019</t>
        </is>
      </c>
      <c r="B335" s="1" t="n">
        <v>43803</v>
      </c>
      <c r="C335" s="1" t="n">
        <v>45711</v>
      </c>
      <c r="D335" t="inlineStr">
        <is>
          <t>VÄRMLANDS LÄN</t>
        </is>
      </c>
      <c r="E335" t="inlineStr">
        <is>
          <t>TORSBY</t>
        </is>
      </c>
      <c r="G335" t="n">
        <v>2.8</v>
      </c>
      <c r="H335" t="n">
        <v>0</v>
      </c>
      <c r="I335" t="n">
        <v>0</v>
      </c>
      <c r="J335" t="n">
        <v>0</v>
      </c>
      <c r="K335" t="n">
        <v>0</v>
      </c>
      <c r="L335" t="n">
        <v>0</v>
      </c>
      <c r="M335" t="n">
        <v>0</v>
      </c>
      <c r="N335" t="n">
        <v>0</v>
      </c>
      <c r="O335" t="n">
        <v>0</v>
      </c>
      <c r="P335" t="n">
        <v>0</v>
      </c>
      <c r="Q335" t="n">
        <v>0</v>
      </c>
      <c r="R335" s="2" t="inlineStr"/>
    </row>
    <row r="336" ht="15" customHeight="1">
      <c r="A336" t="inlineStr">
        <is>
          <t>A 65914-2019</t>
        </is>
      </c>
      <c r="B336" s="1" t="n">
        <v>43805</v>
      </c>
      <c r="C336" s="1" t="n">
        <v>45711</v>
      </c>
      <c r="D336" t="inlineStr">
        <is>
          <t>VÄRMLANDS LÄN</t>
        </is>
      </c>
      <c r="E336" t="inlineStr">
        <is>
          <t>TORSBY</t>
        </is>
      </c>
      <c r="F336" t="inlineStr">
        <is>
          <t>Bergvik skog väst AB</t>
        </is>
      </c>
      <c r="G336" t="n">
        <v>1.5</v>
      </c>
      <c r="H336" t="n">
        <v>0</v>
      </c>
      <c r="I336" t="n">
        <v>0</v>
      </c>
      <c r="J336" t="n">
        <v>0</v>
      </c>
      <c r="K336" t="n">
        <v>0</v>
      </c>
      <c r="L336" t="n">
        <v>0</v>
      </c>
      <c r="M336" t="n">
        <v>0</v>
      </c>
      <c r="N336" t="n">
        <v>0</v>
      </c>
      <c r="O336" t="n">
        <v>0</v>
      </c>
      <c r="P336" t="n">
        <v>0</v>
      </c>
      <c r="Q336" t="n">
        <v>0</v>
      </c>
      <c r="R336" s="2" t="inlineStr"/>
    </row>
    <row r="337" ht="15" customHeight="1">
      <c r="A337" t="inlineStr">
        <is>
          <t>A 67527-2019</t>
        </is>
      </c>
      <c r="B337" s="1" t="n">
        <v>43808</v>
      </c>
      <c r="C337" s="1" t="n">
        <v>45711</v>
      </c>
      <c r="D337" t="inlineStr">
        <is>
          <t>VÄRMLANDS LÄN</t>
        </is>
      </c>
      <c r="E337" t="inlineStr">
        <is>
          <t>TORSBY</t>
        </is>
      </c>
      <c r="G337" t="n">
        <v>1.2</v>
      </c>
      <c r="H337" t="n">
        <v>0</v>
      </c>
      <c r="I337" t="n">
        <v>0</v>
      </c>
      <c r="J337" t="n">
        <v>0</v>
      </c>
      <c r="K337" t="n">
        <v>0</v>
      </c>
      <c r="L337" t="n">
        <v>0</v>
      </c>
      <c r="M337" t="n">
        <v>0</v>
      </c>
      <c r="N337" t="n">
        <v>0</v>
      </c>
      <c r="O337" t="n">
        <v>0</v>
      </c>
      <c r="P337" t="n">
        <v>0</v>
      </c>
      <c r="Q337" t="n">
        <v>0</v>
      </c>
      <c r="R337" s="2" t="inlineStr"/>
    </row>
    <row r="338" ht="15" customHeight="1">
      <c r="A338" t="inlineStr">
        <is>
          <t>A 66690-2019</t>
        </is>
      </c>
      <c r="B338" s="1" t="n">
        <v>43809</v>
      </c>
      <c r="C338" s="1" t="n">
        <v>45711</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66689-2019</t>
        </is>
      </c>
      <c r="B339" s="1" t="n">
        <v>43809</v>
      </c>
      <c r="C339" s="1" t="n">
        <v>45711</v>
      </c>
      <c r="D339" t="inlineStr">
        <is>
          <t>VÄRMLANDS LÄN</t>
        </is>
      </c>
      <c r="E339" t="inlineStr">
        <is>
          <t>TORSBY</t>
        </is>
      </c>
      <c r="G339" t="n">
        <v>1.7</v>
      </c>
      <c r="H339" t="n">
        <v>0</v>
      </c>
      <c r="I339" t="n">
        <v>0</v>
      </c>
      <c r="J339" t="n">
        <v>0</v>
      </c>
      <c r="K339" t="n">
        <v>0</v>
      </c>
      <c r="L339" t="n">
        <v>0</v>
      </c>
      <c r="M339" t="n">
        <v>0</v>
      </c>
      <c r="N339" t="n">
        <v>0</v>
      </c>
      <c r="O339" t="n">
        <v>0</v>
      </c>
      <c r="P339" t="n">
        <v>0</v>
      </c>
      <c r="Q339" t="n">
        <v>0</v>
      </c>
      <c r="R339" s="2" t="inlineStr"/>
    </row>
    <row r="340" ht="15" customHeight="1">
      <c r="A340" t="inlineStr">
        <is>
          <t>A 67686-2019</t>
        </is>
      </c>
      <c r="B340" s="1" t="n">
        <v>43809</v>
      </c>
      <c r="C340" s="1" t="n">
        <v>45711</v>
      </c>
      <c r="D340" t="inlineStr">
        <is>
          <t>VÄRMLANDS LÄN</t>
        </is>
      </c>
      <c r="E340" t="inlineStr">
        <is>
          <t>TORSBY</t>
        </is>
      </c>
      <c r="G340" t="n">
        <v>1.3</v>
      </c>
      <c r="H340" t="n">
        <v>0</v>
      </c>
      <c r="I340" t="n">
        <v>0</v>
      </c>
      <c r="J340" t="n">
        <v>0</v>
      </c>
      <c r="K340" t="n">
        <v>0</v>
      </c>
      <c r="L340" t="n">
        <v>0</v>
      </c>
      <c r="M340" t="n">
        <v>0</v>
      </c>
      <c r="N340" t="n">
        <v>0</v>
      </c>
      <c r="O340" t="n">
        <v>0</v>
      </c>
      <c r="P340" t="n">
        <v>0</v>
      </c>
      <c r="Q340" t="n">
        <v>0</v>
      </c>
      <c r="R340" s="2" t="inlineStr"/>
    </row>
    <row r="341" ht="15" customHeight="1">
      <c r="A341" t="inlineStr">
        <is>
          <t>A 66688-2019</t>
        </is>
      </c>
      <c r="B341" s="1" t="n">
        <v>43809</v>
      </c>
      <c r="C341" s="1" t="n">
        <v>45711</v>
      </c>
      <c r="D341" t="inlineStr">
        <is>
          <t>VÄRMLANDS LÄN</t>
        </is>
      </c>
      <c r="E341" t="inlineStr">
        <is>
          <t>TORSBY</t>
        </is>
      </c>
      <c r="G341" t="n">
        <v>1.4</v>
      </c>
      <c r="H341" t="n">
        <v>0</v>
      </c>
      <c r="I341" t="n">
        <v>0</v>
      </c>
      <c r="J341" t="n">
        <v>0</v>
      </c>
      <c r="K341" t="n">
        <v>0</v>
      </c>
      <c r="L341" t="n">
        <v>0</v>
      </c>
      <c r="M341" t="n">
        <v>0</v>
      </c>
      <c r="N341" t="n">
        <v>0</v>
      </c>
      <c r="O341" t="n">
        <v>0</v>
      </c>
      <c r="P341" t="n">
        <v>0</v>
      </c>
      <c r="Q341" t="n">
        <v>0</v>
      </c>
      <c r="R341" s="2" t="inlineStr"/>
    </row>
    <row r="342" ht="15" customHeight="1">
      <c r="A342" t="inlineStr">
        <is>
          <t>A 67690-2019</t>
        </is>
      </c>
      <c r="B342" s="1" t="n">
        <v>43809</v>
      </c>
      <c r="C342" s="1" t="n">
        <v>45711</v>
      </c>
      <c r="D342" t="inlineStr">
        <is>
          <t>VÄRMLANDS LÄN</t>
        </is>
      </c>
      <c r="E342" t="inlineStr">
        <is>
          <t>TORSBY</t>
        </is>
      </c>
      <c r="G342" t="n">
        <v>1</v>
      </c>
      <c r="H342" t="n">
        <v>0</v>
      </c>
      <c r="I342" t="n">
        <v>0</v>
      </c>
      <c r="J342" t="n">
        <v>0</v>
      </c>
      <c r="K342" t="n">
        <v>0</v>
      </c>
      <c r="L342" t="n">
        <v>0</v>
      </c>
      <c r="M342" t="n">
        <v>0</v>
      </c>
      <c r="N342" t="n">
        <v>0</v>
      </c>
      <c r="O342" t="n">
        <v>0</v>
      </c>
      <c r="P342" t="n">
        <v>0</v>
      </c>
      <c r="Q342" t="n">
        <v>0</v>
      </c>
      <c r="R342" s="2" t="inlineStr"/>
    </row>
    <row r="343" ht="15" customHeight="1">
      <c r="A343" t="inlineStr">
        <is>
          <t>A 67671-2019</t>
        </is>
      </c>
      <c r="B343" s="1" t="n">
        <v>43810</v>
      </c>
      <c r="C343" s="1" t="n">
        <v>45711</v>
      </c>
      <c r="D343" t="inlineStr">
        <is>
          <t>VÄRMLANDS LÄN</t>
        </is>
      </c>
      <c r="E343" t="inlineStr">
        <is>
          <t>TORSBY</t>
        </is>
      </c>
      <c r="G343" t="n">
        <v>0.6</v>
      </c>
      <c r="H343" t="n">
        <v>0</v>
      </c>
      <c r="I343" t="n">
        <v>0</v>
      </c>
      <c r="J343" t="n">
        <v>0</v>
      </c>
      <c r="K343" t="n">
        <v>0</v>
      </c>
      <c r="L343" t="n">
        <v>0</v>
      </c>
      <c r="M343" t="n">
        <v>0</v>
      </c>
      <c r="N343" t="n">
        <v>0</v>
      </c>
      <c r="O343" t="n">
        <v>0</v>
      </c>
      <c r="P343" t="n">
        <v>0</v>
      </c>
      <c r="Q343" t="n">
        <v>0</v>
      </c>
      <c r="R343" s="2" t="inlineStr"/>
    </row>
    <row r="344" ht="15" customHeight="1">
      <c r="A344" t="inlineStr">
        <is>
          <t>A 67728-2019</t>
        </is>
      </c>
      <c r="B344" s="1" t="n">
        <v>43815</v>
      </c>
      <c r="C344" s="1" t="n">
        <v>45711</v>
      </c>
      <c r="D344" t="inlineStr">
        <is>
          <t>VÄRMLANDS LÄN</t>
        </is>
      </c>
      <c r="E344" t="inlineStr">
        <is>
          <t>TORSBY</t>
        </is>
      </c>
      <c r="G344" t="n">
        <v>1.1</v>
      </c>
      <c r="H344" t="n">
        <v>0</v>
      </c>
      <c r="I344" t="n">
        <v>0</v>
      </c>
      <c r="J344" t="n">
        <v>0</v>
      </c>
      <c r="K344" t="n">
        <v>0</v>
      </c>
      <c r="L344" t="n">
        <v>0</v>
      </c>
      <c r="M344" t="n">
        <v>0</v>
      </c>
      <c r="N344" t="n">
        <v>0</v>
      </c>
      <c r="O344" t="n">
        <v>0</v>
      </c>
      <c r="P344" t="n">
        <v>0</v>
      </c>
      <c r="Q344" t="n">
        <v>0</v>
      </c>
      <c r="R344" s="2" t="inlineStr"/>
    </row>
    <row r="345" ht="15" customHeight="1">
      <c r="A345" t="inlineStr">
        <is>
          <t>A 68354-2019</t>
        </is>
      </c>
      <c r="B345" s="1" t="n">
        <v>43818</v>
      </c>
      <c r="C345" s="1" t="n">
        <v>45711</v>
      </c>
      <c r="D345" t="inlineStr">
        <is>
          <t>VÄRMLANDS LÄN</t>
        </is>
      </c>
      <c r="E345" t="inlineStr">
        <is>
          <t>TORSBY</t>
        </is>
      </c>
      <c r="G345" t="n">
        <v>61.1</v>
      </c>
      <c r="H345" t="n">
        <v>0</v>
      </c>
      <c r="I345" t="n">
        <v>0</v>
      </c>
      <c r="J345" t="n">
        <v>0</v>
      </c>
      <c r="K345" t="n">
        <v>0</v>
      </c>
      <c r="L345" t="n">
        <v>0</v>
      </c>
      <c r="M345" t="n">
        <v>0</v>
      </c>
      <c r="N345" t="n">
        <v>0</v>
      </c>
      <c r="O345" t="n">
        <v>0</v>
      </c>
      <c r="P345" t="n">
        <v>0</v>
      </c>
      <c r="Q345" t="n">
        <v>0</v>
      </c>
      <c r="R345" s="2" t="inlineStr"/>
    </row>
    <row r="346" ht="15" customHeight="1">
      <c r="A346" t="inlineStr">
        <is>
          <t>A 68360-2019</t>
        </is>
      </c>
      <c r="B346" s="1" t="n">
        <v>43818</v>
      </c>
      <c r="C346" s="1" t="n">
        <v>45711</v>
      </c>
      <c r="D346" t="inlineStr">
        <is>
          <t>VÄRMLANDS LÄN</t>
        </is>
      </c>
      <c r="E346" t="inlineStr">
        <is>
          <t>TORSBY</t>
        </is>
      </c>
      <c r="G346" t="n">
        <v>9</v>
      </c>
      <c r="H346" t="n">
        <v>0</v>
      </c>
      <c r="I346" t="n">
        <v>0</v>
      </c>
      <c r="J346" t="n">
        <v>0</v>
      </c>
      <c r="K346" t="n">
        <v>0</v>
      </c>
      <c r="L346" t="n">
        <v>0</v>
      </c>
      <c r="M346" t="n">
        <v>0</v>
      </c>
      <c r="N346" t="n">
        <v>0</v>
      </c>
      <c r="O346" t="n">
        <v>0</v>
      </c>
      <c r="P346" t="n">
        <v>0</v>
      </c>
      <c r="Q346" t="n">
        <v>0</v>
      </c>
      <c r="R346" s="2" t="inlineStr"/>
    </row>
    <row r="347" ht="15" customHeight="1">
      <c r="A347" t="inlineStr">
        <is>
          <t>A 68553-2019</t>
        </is>
      </c>
      <c r="B347" s="1" t="n">
        <v>43818</v>
      </c>
      <c r="C347" s="1" t="n">
        <v>45711</v>
      </c>
      <c r="D347" t="inlineStr">
        <is>
          <t>VÄRMLANDS LÄN</t>
        </is>
      </c>
      <c r="E347" t="inlineStr">
        <is>
          <t>TORSBY</t>
        </is>
      </c>
      <c r="G347" t="n">
        <v>1.5</v>
      </c>
      <c r="H347" t="n">
        <v>0</v>
      </c>
      <c r="I347" t="n">
        <v>0</v>
      </c>
      <c r="J347" t="n">
        <v>0</v>
      </c>
      <c r="K347" t="n">
        <v>0</v>
      </c>
      <c r="L347" t="n">
        <v>0</v>
      </c>
      <c r="M347" t="n">
        <v>0</v>
      </c>
      <c r="N347" t="n">
        <v>0</v>
      </c>
      <c r="O347" t="n">
        <v>0</v>
      </c>
      <c r="P347" t="n">
        <v>0</v>
      </c>
      <c r="Q347" t="n">
        <v>0</v>
      </c>
      <c r="R347" s="2" t="inlineStr"/>
    </row>
    <row r="348" ht="15" customHeight="1">
      <c r="A348" t="inlineStr">
        <is>
          <t>A 140-2020</t>
        </is>
      </c>
      <c r="B348" s="1" t="n">
        <v>43833</v>
      </c>
      <c r="C348" s="1" t="n">
        <v>45711</v>
      </c>
      <c r="D348" t="inlineStr">
        <is>
          <t>VÄRMLANDS LÄN</t>
        </is>
      </c>
      <c r="E348" t="inlineStr">
        <is>
          <t>TORSBY</t>
        </is>
      </c>
      <c r="G348" t="n">
        <v>2.8</v>
      </c>
      <c r="H348" t="n">
        <v>0</v>
      </c>
      <c r="I348" t="n">
        <v>0</v>
      </c>
      <c r="J348" t="n">
        <v>0</v>
      </c>
      <c r="K348" t="n">
        <v>0</v>
      </c>
      <c r="L348" t="n">
        <v>0</v>
      </c>
      <c r="M348" t="n">
        <v>0</v>
      </c>
      <c r="N348" t="n">
        <v>0</v>
      </c>
      <c r="O348" t="n">
        <v>0</v>
      </c>
      <c r="P348" t="n">
        <v>0</v>
      </c>
      <c r="Q348" t="n">
        <v>0</v>
      </c>
      <c r="R348" s="2" t="inlineStr"/>
    </row>
    <row r="349" ht="15" customHeight="1">
      <c r="A349" t="inlineStr">
        <is>
          <t>A 338-2020</t>
        </is>
      </c>
      <c r="B349" s="1" t="n">
        <v>43837</v>
      </c>
      <c r="C349" s="1" t="n">
        <v>45711</v>
      </c>
      <c r="D349" t="inlineStr">
        <is>
          <t>VÄRMLANDS LÄN</t>
        </is>
      </c>
      <c r="E349" t="inlineStr">
        <is>
          <t>TORSBY</t>
        </is>
      </c>
      <c r="G349" t="n">
        <v>3.2</v>
      </c>
      <c r="H349" t="n">
        <v>0</v>
      </c>
      <c r="I349" t="n">
        <v>0</v>
      </c>
      <c r="J349" t="n">
        <v>0</v>
      </c>
      <c r="K349" t="n">
        <v>0</v>
      </c>
      <c r="L349" t="n">
        <v>0</v>
      </c>
      <c r="M349" t="n">
        <v>0</v>
      </c>
      <c r="N349" t="n">
        <v>0</v>
      </c>
      <c r="O349" t="n">
        <v>0</v>
      </c>
      <c r="P349" t="n">
        <v>0</v>
      </c>
      <c r="Q349" t="n">
        <v>0</v>
      </c>
      <c r="R349" s="2" t="inlineStr"/>
    </row>
    <row r="350" ht="15" customHeight="1">
      <c r="A350" t="inlineStr">
        <is>
          <t>A 388-2020</t>
        </is>
      </c>
      <c r="B350" s="1" t="n">
        <v>43837</v>
      </c>
      <c r="C350" s="1" t="n">
        <v>45711</v>
      </c>
      <c r="D350" t="inlineStr">
        <is>
          <t>VÄRMLANDS LÄN</t>
        </is>
      </c>
      <c r="E350" t="inlineStr">
        <is>
          <t>TORSBY</t>
        </is>
      </c>
      <c r="G350" t="n">
        <v>0.8</v>
      </c>
      <c r="H350" t="n">
        <v>0</v>
      </c>
      <c r="I350" t="n">
        <v>0</v>
      </c>
      <c r="J350" t="n">
        <v>0</v>
      </c>
      <c r="K350" t="n">
        <v>0</v>
      </c>
      <c r="L350" t="n">
        <v>0</v>
      </c>
      <c r="M350" t="n">
        <v>0</v>
      </c>
      <c r="N350" t="n">
        <v>0</v>
      </c>
      <c r="O350" t="n">
        <v>0</v>
      </c>
      <c r="P350" t="n">
        <v>0</v>
      </c>
      <c r="Q350" t="n">
        <v>0</v>
      </c>
      <c r="R350" s="2" t="inlineStr"/>
    </row>
    <row r="351" ht="15" customHeight="1">
      <c r="A351" t="inlineStr">
        <is>
          <t>A 3263-2020</t>
        </is>
      </c>
      <c r="B351" s="1" t="n">
        <v>43844</v>
      </c>
      <c r="C351" s="1" t="n">
        <v>45711</v>
      </c>
      <c r="D351" t="inlineStr">
        <is>
          <t>VÄRMLANDS LÄN</t>
        </is>
      </c>
      <c r="E351" t="inlineStr">
        <is>
          <t>TORSBY</t>
        </is>
      </c>
      <c r="G351" t="n">
        <v>14.7</v>
      </c>
      <c r="H351" t="n">
        <v>0</v>
      </c>
      <c r="I351" t="n">
        <v>0</v>
      </c>
      <c r="J351" t="n">
        <v>0</v>
      </c>
      <c r="K351" t="n">
        <v>0</v>
      </c>
      <c r="L351" t="n">
        <v>0</v>
      </c>
      <c r="M351" t="n">
        <v>0</v>
      </c>
      <c r="N351" t="n">
        <v>0</v>
      </c>
      <c r="O351" t="n">
        <v>0</v>
      </c>
      <c r="P351" t="n">
        <v>0</v>
      </c>
      <c r="Q351" t="n">
        <v>0</v>
      </c>
      <c r="R351" s="2" t="inlineStr"/>
    </row>
    <row r="352" ht="15" customHeight="1">
      <c r="A352" t="inlineStr">
        <is>
          <t>A 3172-2020</t>
        </is>
      </c>
      <c r="B352" s="1" t="n">
        <v>43844</v>
      </c>
      <c r="C352" s="1" t="n">
        <v>45711</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2082-2020</t>
        </is>
      </c>
      <c r="B353" s="1" t="n">
        <v>43845</v>
      </c>
      <c r="C353" s="1" t="n">
        <v>45711</v>
      </c>
      <c r="D353" t="inlineStr">
        <is>
          <t>VÄRMLANDS LÄN</t>
        </is>
      </c>
      <c r="E353" t="inlineStr">
        <is>
          <t>TORSBY</t>
        </is>
      </c>
      <c r="G353" t="n">
        <v>1.1</v>
      </c>
      <c r="H353" t="n">
        <v>0</v>
      </c>
      <c r="I353" t="n">
        <v>0</v>
      </c>
      <c r="J353" t="n">
        <v>0</v>
      </c>
      <c r="K353" t="n">
        <v>0</v>
      </c>
      <c r="L353" t="n">
        <v>0</v>
      </c>
      <c r="M353" t="n">
        <v>0</v>
      </c>
      <c r="N353" t="n">
        <v>0</v>
      </c>
      <c r="O353" t="n">
        <v>0</v>
      </c>
      <c r="P353" t="n">
        <v>0</v>
      </c>
      <c r="Q353" t="n">
        <v>0</v>
      </c>
      <c r="R353" s="2" t="inlineStr"/>
    </row>
    <row r="354" ht="15" customHeight="1">
      <c r="A354" t="inlineStr">
        <is>
          <t>A 1875-2020</t>
        </is>
      </c>
      <c r="B354" s="1" t="n">
        <v>43845</v>
      </c>
      <c r="C354" s="1" t="n">
        <v>45711</v>
      </c>
      <c r="D354" t="inlineStr">
        <is>
          <t>VÄRMLANDS LÄN</t>
        </is>
      </c>
      <c r="E354" t="inlineStr">
        <is>
          <t>TORSBY</t>
        </is>
      </c>
      <c r="G354" t="n">
        <v>3</v>
      </c>
      <c r="H354" t="n">
        <v>0</v>
      </c>
      <c r="I354" t="n">
        <v>0</v>
      </c>
      <c r="J354" t="n">
        <v>0</v>
      </c>
      <c r="K354" t="n">
        <v>0</v>
      </c>
      <c r="L354" t="n">
        <v>0</v>
      </c>
      <c r="M354" t="n">
        <v>0</v>
      </c>
      <c r="N354" t="n">
        <v>0</v>
      </c>
      <c r="O354" t="n">
        <v>0</v>
      </c>
      <c r="P354" t="n">
        <v>0</v>
      </c>
      <c r="Q354" t="n">
        <v>0</v>
      </c>
      <c r="R354" s="2" t="inlineStr"/>
    </row>
    <row r="355" ht="15" customHeight="1">
      <c r="A355" t="inlineStr">
        <is>
          <t>A 2068-2020</t>
        </is>
      </c>
      <c r="B355" s="1" t="n">
        <v>43845</v>
      </c>
      <c r="C355" s="1" t="n">
        <v>45711</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4017-2020</t>
        </is>
      </c>
      <c r="B356" s="1" t="n">
        <v>43846</v>
      </c>
      <c r="C356" s="1" t="n">
        <v>45711</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4753-2020</t>
        </is>
      </c>
      <c r="B357" s="1" t="n">
        <v>43859</v>
      </c>
      <c r="C357" s="1" t="n">
        <v>45711</v>
      </c>
      <c r="D357" t="inlineStr">
        <is>
          <t>VÄRMLANDS LÄN</t>
        </is>
      </c>
      <c r="E357" t="inlineStr">
        <is>
          <t>TORSBY</t>
        </is>
      </c>
      <c r="G357" t="n">
        <v>4.5</v>
      </c>
      <c r="H357" t="n">
        <v>0</v>
      </c>
      <c r="I357" t="n">
        <v>0</v>
      </c>
      <c r="J357" t="n">
        <v>0</v>
      </c>
      <c r="K357" t="n">
        <v>0</v>
      </c>
      <c r="L357" t="n">
        <v>0</v>
      </c>
      <c r="M357" t="n">
        <v>0</v>
      </c>
      <c r="N357" t="n">
        <v>0</v>
      </c>
      <c r="O357" t="n">
        <v>0</v>
      </c>
      <c r="P357" t="n">
        <v>0</v>
      </c>
      <c r="Q357" t="n">
        <v>0</v>
      </c>
      <c r="R357" s="2" t="inlineStr"/>
    </row>
    <row r="358" ht="15" customHeight="1">
      <c r="A358" t="inlineStr">
        <is>
          <t>A 5180-2020</t>
        </is>
      </c>
      <c r="B358" s="1" t="n">
        <v>43860</v>
      </c>
      <c r="C358" s="1" t="n">
        <v>45711</v>
      </c>
      <c r="D358" t="inlineStr">
        <is>
          <t>VÄRMLANDS LÄN</t>
        </is>
      </c>
      <c r="E358" t="inlineStr">
        <is>
          <t>TORSBY</t>
        </is>
      </c>
      <c r="G358" t="n">
        <v>2.3</v>
      </c>
      <c r="H358" t="n">
        <v>0</v>
      </c>
      <c r="I358" t="n">
        <v>0</v>
      </c>
      <c r="J358" t="n">
        <v>0</v>
      </c>
      <c r="K358" t="n">
        <v>0</v>
      </c>
      <c r="L358" t="n">
        <v>0</v>
      </c>
      <c r="M358" t="n">
        <v>0</v>
      </c>
      <c r="N358" t="n">
        <v>0</v>
      </c>
      <c r="O358" t="n">
        <v>0</v>
      </c>
      <c r="P358" t="n">
        <v>0</v>
      </c>
      <c r="Q358" t="n">
        <v>0</v>
      </c>
      <c r="R358" s="2" t="inlineStr"/>
    </row>
    <row r="359" ht="15" customHeight="1">
      <c r="A359" t="inlineStr">
        <is>
          <t>A 5426-2020</t>
        </is>
      </c>
      <c r="B359" s="1" t="n">
        <v>43861</v>
      </c>
      <c r="C359" s="1" t="n">
        <v>45711</v>
      </c>
      <c r="D359" t="inlineStr">
        <is>
          <t>VÄRMLANDS LÄN</t>
        </is>
      </c>
      <c r="E359" t="inlineStr">
        <is>
          <t>TORSBY</t>
        </is>
      </c>
      <c r="G359" t="n">
        <v>7.2</v>
      </c>
      <c r="H359" t="n">
        <v>0</v>
      </c>
      <c r="I359" t="n">
        <v>0</v>
      </c>
      <c r="J359" t="n">
        <v>0</v>
      </c>
      <c r="K359" t="n">
        <v>0</v>
      </c>
      <c r="L359" t="n">
        <v>0</v>
      </c>
      <c r="M359" t="n">
        <v>0</v>
      </c>
      <c r="N359" t="n">
        <v>0</v>
      </c>
      <c r="O359" t="n">
        <v>0</v>
      </c>
      <c r="P359" t="n">
        <v>0</v>
      </c>
      <c r="Q359" t="n">
        <v>0</v>
      </c>
      <c r="R359" s="2" t="inlineStr"/>
    </row>
    <row r="360" ht="15" customHeight="1">
      <c r="A360" t="inlineStr">
        <is>
          <t>A 5425-2020</t>
        </is>
      </c>
      <c r="B360" s="1" t="n">
        <v>43861</v>
      </c>
      <c r="C360" s="1" t="n">
        <v>45711</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5427-2020</t>
        </is>
      </c>
      <c r="B361" s="1" t="n">
        <v>43861</v>
      </c>
      <c r="C361" s="1" t="n">
        <v>45711</v>
      </c>
      <c r="D361" t="inlineStr">
        <is>
          <t>VÄRMLANDS LÄN</t>
        </is>
      </c>
      <c r="E361" t="inlineStr">
        <is>
          <t>TORSBY</t>
        </is>
      </c>
      <c r="G361" t="n">
        <v>0.6</v>
      </c>
      <c r="H361" t="n">
        <v>0</v>
      </c>
      <c r="I361" t="n">
        <v>0</v>
      </c>
      <c r="J361" t="n">
        <v>0</v>
      </c>
      <c r="K361" t="n">
        <v>0</v>
      </c>
      <c r="L361" t="n">
        <v>0</v>
      </c>
      <c r="M361" t="n">
        <v>0</v>
      </c>
      <c r="N361" t="n">
        <v>0</v>
      </c>
      <c r="O361" t="n">
        <v>0</v>
      </c>
      <c r="P361" t="n">
        <v>0</v>
      </c>
      <c r="Q361" t="n">
        <v>0</v>
      </c>
      <c r="R361" s="2" t="inlineStr"/>
    </row>
    <row r="362" ht="15" customHeight="1">
      <c r="A362" t="inlineStr">
        <is>
          <t>A 7000-2020</t>
        </is>
      </c>
      <c r="B362" s="1" t="n">
        <v>43868</v>
      </c>
      <c r="C362" s="1" t="n">
        <v>45711</v>
      </c>
      <c r="D362" t="inlineStr">
        <is>
          <t>VÄRMLANDS LÄN</t>
        </is>
      </c>
      <c r="E362" t="inlineStr">
        <is>
          <t>TORSBY</t>
        </is>
      </c>
      <c r="G362" t="n">
        <v>2.8</v>
      </c>
      <c r="H362" t="n">
        <v>0</v>
      </c>
      <c r="I362" t="n">
        <v>0</v>
      </c>
      <c r="J362" t="n">
        <v>0</v>
      </c>
      <c r="K362" t="n">
        <v>0</v>
      </c>
      <c r="L362" t="n">
        <v>0</v>
      </c>
      <c r="M362" t="n">
        <v>0</v>
      </c>
      <c r="N362" t="n">
        <v>0</v>
      </c>
      <c r="O362" t="n">
        <v>0</v>
      </c>
      <c r="P362" t="n">
        <v>0</v>
      </c>
      <c r="Q362" t="n">
        <v>0</v>
      </c>
      <c r="R362" s="2" t="inlineStr"/>
    </row>
    <row r="363" ht="15" customHeight="1">
      <c r="A363" t="inlineStr">
        <is>
          <t>A 6862-2020</t>
        </is>
      </c>
      <c r="B363" s="1" t="n">
        <v>43868</v>
      </c>
      <c r="C363" s="1" t="n">
        <v>45711</v>
      </c>
      <c r="D363" t="inlineStr">
        <is>
          <t>VÄRMLANDS LÄN</t>
        </is>
      </c>
      <c r="E363" t="inlineStr">
        <is>
          <t>TORSBY</t>
        </is>
      </c>
      <c r="G363" t="n">
        <v>0.9</v>
      </c>
      <c r="H363" t="n">
        <v>0</v>
      </c>
      <c r="I363" t="n">
        <v>0</v>
      </c>
      <c r="J363" t="n">
        <v>0</v>
      </c>
      <c r="K363" t="n">
        <v>0</v>
      </c>
      <c r="L363" t="n">
        <v>0</v>
      </c>
      <c r="M363" t="n">
        <v>0</v>
      </c>
      <c r="N363" t="n">
        <v>0</v>
      </c>
      <c r="O363" t="n">
        <v>0</v>
      </c>
      <c r="P363" t="n">
        <v>0</v>
      </c>
      <c r="Q363" t="n">
        <v>0</v>
      </c>
      <c r="R363" s="2" t="inlineStr"/>
    </row>
    <row r="364" ht="15" customHeight="1">
      <c r="A364" t="inlineStr">
        <is>
          <t>A 7153-2020</t>
        </is>
      </c>
      <c r="B364" s="1" t="n">
        <v>43870</v>
      </c>
      <c r="C364" s="1" t="n">
        <v>45711</v>
      </c>
      <c r="D364" t="inlineStr">
        <is>
          <t>VÄRMLANDS LÄN</t>
        </is>
      </c>
      <c r="E364" t="inlineStr">
        <is>
          <t>TORSBY</t>
        </is>
      </c>
      <c r="G364" t="n">
        <v>2.5</v>
      </c>
      <c r="H364" t="n">
        <v>0</v>
      </c>
      <c r="I364" t="n">
        <v>0</v>
      </c>
      <c r="J364" t="n">
        <v>0</v>
      </c>
      <c r="K364" t="n">
        <v>0</v>
      </c>
      <c r="L364" t="n">
        <v>0</v>
      </c>
      <c r="M364" t="n">
        <v>0</v>
      </c>
      <c r="N364" t="n">
        <v>0</v>
      </c>
      <c r="O364" t="n">
        <v>0</v>
      </c>
      <c r="P364" t="n">
        <v>0</v>
      </c>
      <c r="Q364" t="n">
        <v>0</v>
      </c>
      <c r="R364" s="2" t="inlineStr"/>
    </row>
    <row r="365" ht="15" customHeight="1">
      <c r="A365" t="inlineStr">
        <is>
          <t>A 7279-2020</t>
        </is>
      </c>
      <c r="B365" s="1" t="n">
        <v>43871</v>
      </c>
      <c r="C365" s="1" t="n">
        <v>45711</v>
      </c>
      <c r="D365" t="inlineStr">
        <is>
          <t>VÄRMLANDS LÄN</t>
        </is>
      </c>
      <c r="E365" t="inlineStr">
        <is>
          <t>TORSBY</t>
        </is>
      </c>
      <c r="G365" t="n">
        <v>6.7</v>
      </c>
      <c r="H365" t="n">
        <v>0</v>
      </c>
      <c r="I365" t="n">
        <v>0</v>
      </c>
      <c r="J365" t="n">
        <v>0</v>
      </c>
      <c r="K365" t="n">
        <v>0</v>
      </c>
      <c r="L365" t="n">
        <v>0</v>
      </c>
      <c r="M365" t="n">
        <v>0</v>
      </c>
      <c r="N365" t="n">
        <v>0</v>
      </c>
      <c r="O365" t="n">
        <v>0</v>
      </c>
      <c r="P365" t="n">
        <v>0</v>
      </c>
      <c r="Q365" t="n">
        <v>0</v>
      </c>
      <c r="R365" s="2" t="inlineStr"/>
    </row>
    <row r="366" ht="15" customHeight="1">
      <c r="A366" t="inlineStr">
        <is>
          <t>A 7526-2020</t>
        </is>
      </c>
      <c r="B366" s="1" t="n">
        <v>43871</v>
      </c>
      <c r="C366" s="1" t="n">
        <v>45711</v>
      </c>
      <c r="D366" t="inlineStr">
        <is>
          <t>VÄRMLANDS LÄN</t>
        </is>
      </c>
      <c r="E366" t="inlineStr">
        <is>
          <t>TORSBY</t>
        </is>
      </c>
      <c r="G366" t="n">
        <v>11.8</v>
      </c>
      <c r="H366" t="n">
        <v>0</v>
      </c>
      <c r="I366" t="n">
        <v>0</v>
      </c>
      <c r="J366" t="n">
        <v>0</v>
      </c>
      <c r="K366" t="n">
        <v>0</v>
      </c>
      <c r="L366" t="n">
        <v>0</v>
      </c>
      <c r="M366" t="n">
        <v>0</v>
      </c>
      <c r="N366" t="n">
        <v>0</v>
      </c>
      <c r="O366" t="n">
        <v>0</v>
      </c>
      <c r="P366" t="n">
        <v>0</v>
      </c>
      <c r="Q366" t="n">
        <v>0</v>
      </c>
      <c r="R366" s="2" t="inlineStr"/>
    </row>
    <row r="367" ht="15" customHeight="1">
      <c r="A367" t="inlineStr">
        <is>
          <t>A 7582-2020</t>
        </is>
      </c>
      <c r="B367" s="1" t="n">
        <v>43871</v>
      </c>
      <c r="C367" s="1" t="n">
        <v>45711</v>
      </c>
      <c r="D367" t="inlineStr">
        <is>
          <t>VÄRMLANDS LÄN</t>
        </is>
      </c>
      <c r="E367" t="inlineStr">
        <is>
          <t>TORSBY</t>
        </is>
      </c>
      <c r="G367" t="n">
        <v>7.4</v>
      </c>
      <c r="H367" t="n">
        <v>0</v>
      </c>
      <c r="I367" t="n">
        <v>0</v>
      </c>
      <c r="J367" t="n">
        <v>0</v>
      </c>
      <c r="K367" t="n">
        <v>0</v>
      </c>
      <c r="L367" t="n">
        <v>0</v>
      </c>
      <c r="M367" t="n">
        <v>0</v>
      </c>
      <c r="N367" t="n">
        <v>0</v>
      </c>
      <c r="O367" t="n">
        <v>0</v>
      </c>
      <c r="P367" t="n">
        <v>0</v>
      </c>
      <c r="Q367" t="n">
        <v>0</v>
      </c>
      <c r="R367" s="2" t="inlineStr"/>
    </row>
    <row r="368" ht="15" customHeight="1">
      <c r="A368" t="inlineStr">
        <is>
          <t>A 7749-2020</t>
        </is>
      </c>
      <c r="B368" s="1" t="n">
        <v>43872</v>
      </c>
      <c r="C368" s="1" t="n">
        <v>45711</v>
      </c>
      <c r="D368" t="inlineStr">
        <is>
          <t>VÄRMLANDS LÄN</t>
        </is>
      </c>
      <c r="E368" t="inlineStr">
        <is>
          <t>TORSBY</t>
        </is>
      </c>
      <c r="G368" t="n">
        <v>0.8</v>
      </c>
      <c r="H368" t="n">
        <v>0</v>
      </c>
      <c r="I368" t="n">
        <v>0</v>
      </c>
      <c r="J368" t="n">
        <v>0</v>
      </c>
      <c r="K368" t="n">
        <v>0</v>
      </c>
      <c r="L368" t="n">
        <v>0</v>
      </c>
      <c r="M368" t="n">
        <v>0</v>
      </c>
      <c r="N368" t="n">
        <v>0</v>
      </c>
      <c r="O368" t="n">
        <v>0</v>
      </c>
      <c r="P368" t="n">
        <v>0</v>
      </c>
      <c r="Q368" t="n">
        <v>0</v>
      </c>
      <c r="R368" s="2" t="inlineStr"/>
    </row>
    <row r="369" ht="15" customHeight="1">
      <c r="A369" t="inlineStr">
        <is>
          <t>A 7856-2020</t>
        </is>
      </c>
      <c r="B369" s="1" t="n">
        <v>43873</v>
      </c>
      <c r="C369" s="1" t="n">
        <v>45711</v>
      </c>
      <c r="D369" t="inlineStr">
        <is>
          <t>VÄRMLANDS LÄN</t>
        </is>
      </c>
      <c r="E369" t="inlineStr">
        <is>
          <t>TORSBY</t>
        </is>
      </c>
      <c r="G369" t="n">
        <v>4.5</v>
      </c>
      <c r="H369" t="n">
        <v>0</v>
      </c>
      <c r="I369" t="n">
        <v>0</v>
      </c>
      <c r="J369" t="n">
        <v>0</v>
      </c>
      <c r="K369" t="n">
        <v>0</v>
      </c>
      <c r="L369" t="n">
        <v>0</v>
      </c>
      <c r="M369" t="n">
        <v>0</v>
      </c>
      <c r="N369" t="n">
        <v>0</v>
      </c>
      <c r="O369" t="n">
        <v>0</v>
      </c>
      <c r="P369" t="n">
        <v>0</v>
      </c>
      <c r="Q369" t="n">
        <v>0</v>
      </c>
      <c r="R369" s="2" t="inlineStr"/>
    </row>
    <row r="370" ht="15" customHeight="1">
      <c r="A370" t="inlineStr">
        <is>
          <t>A 8631-2020</t>
        </is>
      </c>
      <c r="B370" s="1" t="n">
        <v>43874</v>
      </c>
      <c r="C370" s="1" t="n">
        <v>45711</v>
      </c>
      <c r="D370" t="inlineStr">
        <is>
          <t>VÄRMLANDS LÄN</t>
        </is>
      </c>
      <c r="E370" t="inlineStr">
        <is>
          <t>TORSBY</t>
        </is>
      </c>
      <c r="G370" t="n">
        <v>3.3</v>
      </c>
      <c r="H370" t="n">
        <v>0</v>
      </c>
      <c r="I370" t="n">
        <v>0</v>
      </c>
      <c r="J370" t="n">
        <v>0</v>
      </c>
      <c r="K370" t="n">
        <v>0</v>
      </c>
      <c r="L370" t="n">
        <v>0</v>
      </c>
      <c r="M370" t="n">
        <v>0</v>
      </c>
      <c r="N370" t="n">
        <v>0</v>
      </c>
      <c r="O370" t="n">
        <v>0</v>
      </c>
      <c r="P370" t="n">
        <v>0</v>
      </c>
      <c r="Q370" t="n">
        <v>0</v>
      </c>
      <c r="R370" s="2" t="inlineStr"/>
    </row>
    <row r="371" ht="15" customHeight="1">
      <c r="A371" t="inlineStr">
        <is>
          <t>A 8899-2020</t>
        </is>
      </c>
      <c r="B371" s="1" t="n">
        <v>43878</v>
      </c>
      <c r="C371" s="1" t="n">
        <v>45711</v>
      </c>
      <c r="D371" t="inlineStr">
        <is>
          <t>VÄRMLANDS LÄN</t>
        </is>
      </c>
      <c r="E371" t="inlineStr">
        <is>
          <t>TORSBY</t>
        </is>
      </c>
      <c r="G371" t="n">
        <v>1.3</v>
      </c>
      <c r="H371" t="n">
        <v>0</v>
      </c>
      <c r="I371" t="n">
        <v>0</v>
      </c>
      <c r="J371" t="n">
        <v>0</v>
      </c>
      <c r="K371" t="n">
        <v>0</v>
      </c>
      <c r="L371" t="n">
        <v>0</v>
      </c>
      <c r="M371" t="n">
        <v>0</v>
      </c>
      <c r="N371" t="n">
        <v>0</v>
      </c>
      <c r="O371" t="n">
        <v>0</v>
      </c>
      <c r="P371" t="n">
        <v>0</v>
      </c>
      <c r="Q371" t="n">
        <v>0</v>
      </c>
      <c r="R371" s="2" t="inlineStr"/>
    </row>
    <row r="372" ht="15" customHeight="1">
      <c r="A372" t="inlineStr">
        <is>
          <t>A 9192-2020</t>
        </is>
      </c>
      <c r="B372" s="1" t="n">
        <v>43879</v>
      </c>
      <c r="C372" s="1" t="n">
        <v>45711</v>
      </c>
      <c r="D372" t="inlineStr">
        <is>
          <t>VÄRMLANDS LÄN</t>
        </is>
      </c>
      <c r="E372" t="inlineStr">
        <is>
          <t>TORSBY</t>
        </is>
      </c>
      <c r="G372" t="n">
        <v>0.6</v>
      </c>
      <c r="H372" t="n">
        <v>0</v>
      </c>
      <c r="I372" t="n">
        <v>0</v>
      </c>
      <c r="J372" t="n">
        <v>0</v>
      </c>
      <c r="K372" t="n">
        <v>0</v>
      </c>
      <c r="L372" t="n">
        <v>0</v>
      </c>
      <c r="M372" t="n">
        <v>0</v>
      </c>
      <c r="N372" t="n">
        <v>0</v>
      </c>
      <c r="O372" t="n">
        <v>0</v>
      </c>
      <c r="P372" t="n">
        <v>0</v>
      </c>
      <c r="Q372" t="n">
        <v>0</v>
      </c>
      <c r="R372" s="2" t="inlineStr"/>
    </row>
    <row r="373" ht="15" customHeight="1">
      <c r="A373" t="inlineStr">
        <is>
          <t>A 9766-2020</t>
        </is>
      </c>
      <c r="B373" s="1" t="n">
        <v>43879</v>
      </c>
      <c r="C373" s="1" t="n">
        <v>45711</v>
      </c>
      <c r="D373" t="inlineStr">
        <is>
          <t>VÄRMLANDS LÄN</t>
        </is>
      </c>
      <c r="E373" t="inlineStr">
        <is>
          <t>TORSBY</t>
        </is>
      </c>
      <c r="G373" t="n">
        <v>1.1</v>
      </c>
      <c r="H373" t="n">
        <v>0</v>
      </c>
      <c r="I373" t="n">
        <v>0</v>
      </c>
      <c r="J373" t="n">
        <v>0</v>
      </c>
      <c r="K373" t="n">
        <v>0</v>
      </c>
      <c r="L373" t="n">
        <v>0</v>
      </c>
      <c r="M373" t="n">
        <v>0</v>
      </c>
      <c r="N373" t="n">
        <v>0</v>
      </c>
      <c r="O373" t="n">
        <v>0</v>
      </c>
      <c r="P373" t="n">
        <v>0</v>
      </c>
      <c r="Q373" t="n">
        <v>0</v>
      </c>
      <c r="R373" s="2" t="inlineStr"/>
    </row>
    <row r="374" ht="15" customHeight="1">
      <c r="A374" t="inlineStr">
        <is>
          <t>A 9760-2020</t>
        </is>
      </c>
      <c r="B374" s="1" t="n">
        <v>43879</v>
      </c>
      <c r="C374" s="1" t="n">
        <v>45711</v>
      </c>
      <c r="D374" t="inlineStr">
        <is>
          <t>VÄRMLANDS LÄN</t>
        </is>
      </c>
      <c r="E374" t="inlineStr">
        <is>
          <t>TORSBY</t>
        </is>
      </c>
      <c r="G374" t="n">
        <v>0.7</v>
      </c>
      <c r="H374" t="n">
        <v>0</v>
      </c>
      <c r="I374" t="n">
        <v>0</v>
      </c>
      <c r="J374" t="n">
        <v>0</v>
      </c>
      <c r="K374" t="n">
        <v>0</v>
      </c>
      <c r="L374" t="n">
        <v>0</v>
      </c>
      <c r="M374" t="n">
        <v>0</v>
      </c>
      <c r="N374" t="n">
        <v>0</v>
      </c>
      <c r="O374" t="n">
        <v>0</v>
      </c>
      <c r="P374" t="n">
        <v>0</v>
      </c>
      <c r="Q374" t="n">
        <v>0</v>
      </c>
      <c r="R374" s="2" t="inlineStr"/>
    </row>
    <row r="375" ht="15" customHeight="1">
      <c r="A375" t="inlineStr">
        <is>
          <t>A 9600-2020</t>
        </is>
      </c>
      <c r="B375" s="1" t="n">
        <v>43881</v>
      </c>
      <c r="C375" s="1" t="n">
        <v>45711</v>
      </c>
      <c r="D375" t="inlineStr">
        <is>
          <t>VÄRMLANDS LÄN</t>
        </is>
      </c>
      <c r="E375" t="inlineStr">
        <is>
          <t>TORSBY</t>
        </is>
      </c>
      <c r="G375" t="n">
        <v>0.8</v>
      </c>
      <c r="H375" t="n">
        <v>0</v>
      </c>
      <c r="I375" t="n">
        <v>0</v>
      </c>
      <c r="J375" t="n">
        <v>0</v>
      </c>
      <c r="K375" t="n">
        <v>0</v>
      </c>
      <c r="L375" t="n">
        <v>0</v>
      </c>
      <c r="M375" t="n">
        <v>0</v>
      </c>
      <c r="N375" t="n">
        <v>0</v>
      </c>
      <c r="O375" t="n">
        <v>0</v>
      </c>
      <c r="P375" t="n">
        <v>0</v>
      </c>
      <c r="Q375" t="n">
        <v>0</v>
      </c>
      <c r="R375" s="2" t="inlineStr"/>
    </row>
    <row r="376" ht="15" customHeight="1">
      <c r="A376" t="inlineStr">
        <is>
          <t>A 10899-2020</t>
        </is>
      </c>
      <c r="B376" s="1" t="n">
        <v>43885</v>
      </c>
      <c r="C376" s="1" t="n">
        <v>45711</v>
      </c>
      <c r="D376" t="inlineStr">
        <is>
          <t>VÄRMLANDS LÄN</t>
        </is>
      </c>
      <c r="E376" t="inlineStr">
        <is>
          <t>TORSBY</t>
        </is>
      </c>
      <c r="G376" t="n">
        <v>7.4</v>
      </c>
      <c r="H376" t="n">
        <v>0</v>
      </c>
      <c r="I376" t="n">
        <v>0</v>
      </c>
      <c r="J376" t="n">
        <v>0</v>
      </c>
      <c r="K376" t="n">
        <v>0</v>
      </c>
      <c r="L376" t="n">
        <v>0</v>
      </c>
      <c r="M376" t="n">
        <v>0</v>
      </c>
      <c r="N376" t="n">
        <v>0</v>
      </c>
      <c r="O376" t="n">
        <v>0</v>
      </c>
      <c r="P376" t="n">
        <v>0</v>
      </c>
      <c r="Q376" t="n">
        <v>0</v>
      </c>
      <c r="R376" s="2" t="inlineStr"/>
    </row>
    <row r="377" ht="15" customHeight="1">
      <c r="A377" t="inlineStr">
        <is>
          <t>A 10422-2020</t>
        </is>
      </c>
      <c r="B377" s="1" t="n">
        <v>43886</v>
      </c>
      <c r="C377" s="1" t="n">
        <v>45711</v>
      </c>
      <c r="D377" t="inlineStr">
        <is>
          <t>VÄRMLANDS LÄN</t>
        </is>
      </c>
      <c r="E377" t="inlineStr">
        <is>
          <t>TORSBY</t>
        </is>
      </c>
      <c r="G377" t="n">
        <v>3.4</v>
      </c>
      <c r="H377" t="n">
        <v>0</v>
      </c>
      <c r="I377" t="n">
        <v>0</v>
      </c>
      <c r="J377" t="n">
        <v>0</v>
      </c>
      <c r="K377" t="n">
        <v>0</v>
      </c>
      <c r="L377" t="n">
        <v>0</v>
      </c>
      <c r="M377" t="n">
        <v>0</v>
      </c>
      <c r="N377" t="n">
        <v>0</v>
      </c>
      <c r="O377" t="n">
        <v>0</v>
      </c>
      <c r="P377" t="n">
        <v>0</v>
      </c>
      <c r="Q377" t="n">
        <v>0</v>
      </c>
      <c r="R377" s="2" t="inlineStr"/>
    </row>
    <row r="378" ht="15" customHeight="1">
      <c r="A378" t="inlineStr">
        <is>
          <t>A 10449-2020</t>
        </is>
      </c>
      <c r="B378" s="1" t="n">
        <v>43886</v>
      </c>
      <c r="C378" s="1" t="n">
        <v>45711</v>
      </c>
      <c r="D378" t="inlineStr">
        <is>
          <t>VÄRMLANDS LÄN</t>
        </is>
      </c>
      <c r="E378" t="inlineStr">
        <is>
          <t>TORSBY</t>
        </is>
      </c>
      <c r="G378" t="n">
        <v>2.4</v>
      </c>
      <c r="H378" t="n">
        <v>0</v>
      </c>
      <c r="I378" t="n">
        <v>0</v>
      </c>
      <c r="J378" t="n">
        <v>0</v>
      </c>
      <c r="K378" t="n">
        <v>0</v>
      </c>
      <c r="L378" t="n">
        <v>0</v>
      </c>
      <c r="M378" t="n">
        <v>0</v>
      </c>
      <c r="N378" t="n">
        <v>0</v>
      </c>
      <c r="O378" t="n">
        <v>0</v>
      </c>
      <c r="P378" t="n">
        <v>0</v>
      </c>
      <c r="Q378" t="n">
        <v>0</v>
      </c>
      <c r="R378" s="2" t="inlineStr"/>
    </row>
    <row r="379" ht="15" customHeight="1">
      <c r="A379" t="inlineStr">
        <is>
          <t>A 11213-2020</t>
        </is>
      </c>
      <c r="B379" s="1" t="n">
        <v>43892</v>
      </c>
      <c r="C379" s="1" t="n">
        <v>45711</v>
      </c>
      <c r="D379" t="inlineStr">
        <is>
          <t>VÄRMLANDS LÄN</t>
        </is>
      </c>
      <c r="E379" t="inlineStr">
        <is>
          <t>TORSBY</t>
        </is>
      </c>
      <c r="G379" t="n">
        <v>1.3</v>
      </c>
      <c r="H379" t="n">
        <v>0</v>
      </c>
      <c r="I379" t="n">
        <v>0</v>
      </c>
      <c r="J379" t="n">
        <v>0</v>
      </c>
      <c r="K379" t="n">
        <v>0</v>
      </c>
      <c r="L379" t="n">
        <v>0</v>
      </c>
      <c r="M379" t="n">
        <v>0</v>
      </c>
      <c r="N379" t="n">
        <v>0</v>
      </c>
      <c r="O379" t="n">
        <v>0</v>
      </c>
      <c r="P379" t="n">
        <v>0</v>
      </c>
      <c r="Q379" t="n">
        <v>0</v>
      </c>
      <c r="R379" s="2" t="inlineStr"/>
    </row>
    <row r="380" ht="15" customHeight="1">
      <c r="A380" t="inlineStr">
        <is>
          <t>A 12428-2020</t>
        </is>
      </c>
      <c r="B380" s="1" t="n">
        <v>43896</v>
      </c>
      <c r="C380" s="1" t="n">
        <v>45711</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12855-2020</t>
        </is>
      </c>
      <c r="B381" s="1" t="n">
        <v>43899</v>
      </c>
      <c r="C381" s="1" t="n">
        <v>45711</v>
      </c>
      <c r="D381" t="inlineStr">
        <is>
          <t>VÄRMLANDS LÄN</t>
        </is>
      </c>
      <c r="E381" t="inlineStr">
        <is>
          <t>TORSBY</t>
        </is>
      </c>
      <c r="G381" t="n">
        <v>5.9</v>
      </c>
      <c r="H381" t="n">
        <v>0</v>
      </c>
      <c r="I381" t="n">
        <v>0</v>
      </c>
      <c r="J381" t="n">
        <v>0</v>
      </c>
      <c r="K381" t="n">
        <v>0</v>
      </c>
      <c r="L381" t="n">
        <v>0</v>
      </c>
      <c r="M381" t="n">
        <v>0</v>
      </c>
      <c r="N381" t="n">
        <v>0</v>
      </c>
      <c r="O381" t="n">
        <v>0</v>
      </c>
      <c r="P381" t="n">
        <v>0</v>
      </c>
      <c r="Q381" t="n">
        <v>0</v>
      </c>
      <c r="R381" s="2" t="inlineStr"/>
    </row>
    <row r="382" ht="15" customHeight="1">
      <c r="A382" t="inlineStr">
        <is>
          <t>A 12881-2020</t>
        </is>
      </c>
      <c r="B382" s="1" t="n">
        <v>43900</v>
      </c>
      <c r="C382" s="1" t="n">
        <v>45711</v>
      </c>
      <c r="D382" t="inlineStr">
        <is>
          <t>VÄRMLANDS LÄN</t>
        </is>
      </c>
      <c r="E382" t="inlineStr">
        <is>
          <t>TORSBY</t>
        </is>
      </c>
      <c r="G382" t="n">
        <v>1</v>
      </c>
      <c r="H382" t="n">
        <v>0</v>
      </c>
      <c r="I382" t="n">
        <v>0</v>
      </c>
      <c r="J382" t="n">
        <v>0</v>
      </c>
      <c r="K382" t="n">
        <v>0</v>
      </c>
      <c r="L382" t="n">
        <v>0</v>
      </c>
      <c r="M382" t="n">
        <v>0</v>
      </c>
      <c r="N382" t="n">
        <v>0</v>
      </c>
      <c r="O382" t="n">
        <v>0</v>
      </c>
      <c r="P382" t="n">
        <v>0</v>
      </c>
      <c r="Q382" t="n">
        <v>0</v>
      </c>
      <c r="R382" s="2" t="inlineStr"/>
    </row>
    <row r="383" ht="15" customHeight="1">
      <c r="A383" t="inlineStr">
        <is>
          <t>A 14246-2020</t>
        </is>
      </c>
      <c r="B383" s="1" t="n">
        <v>43900</v>
      </c>
      <c r="C383" s="1" t="n">
        <v>45711</v>
      </c>
      <c r="D383" t="inlineStr">
        <is>
          <t>VÄRMLANDS LÄN</t>
        </is>
      </c>
      <c r="E383" t="inlineStr">
        <is>
          <t>TORSBY</t>
        </is>
      </c>
      <c r="G383" t="n">
        <v>2.3</v>
      </c>
      <c r="H383" t="n">
        <v>0</v>
      </c>
      <c r="I383" t="n">
        <v>0</v>
      </c>
      <c r="J383" t="n">
        <v>0</v>
      </c>
      <c r="K383" t="n">
        <v>0</v>
      </c>
      <c r="L383" t="n">
        <v>0</v>
      </c>
      <c r="M383" t="n">
        <v>0</v>
      </c>
      <c r="N383" t="n">
        <v>0</v>
      </c>
      <c r="O383" t="n">
        <v>0</v>
      </c>
      <c r="P383" t="n">
        <v>0</v>
      </c>
      <c r="Q383" t="n">
        <v>0</v>
      </c>
      <c r="R383" s="2" t="inlineStr"/>
    </row>
    <row r="384" ht="15" customHeight="1">
      <c r="A384" t="inlineStr">
        <is>
          <t>A 13153-2020</t>
        </is>
      </c>
      <c r="B384" s="1" t="n">
        <v>43901</v>
      </c>
      <c r="C384" s="1" t="n">
        <v>45711</v>
      </c>
      <c r="D384" t="inlineStr">
        <is>
          <t>VÄRMLANDS LÄN</t>
        </is>
      </c>
      <c r="E384" t="inlineStr">
        <is>
          <t>TORSBY</t>
        </is>
      </c>
      <c r="G384" t="n">
        <v>1.9</v>
      </c>
      <c r="H384" t="n">
        <v>0</v>
      </c>
      <c r="I384" t="n">
        <v>0</v>
      </c>
      <c r="J384" t="n">
        <v>0</v>
      </c>
      <c r="K384" t="n">
        <v>0</v>
      </c>
      <c r="L384" t="n">
        <v>0</v>
      </c>
      <c r="M384" t="n">
        <v>0</v>
      </c>
      <c r="N384" t="n">
        <v>0</v>
      </c>
      <c r="O384" t="n">
        <v>0</v>
      </c>
      <c r="P384" t="n">
        <v>0</v>
      </c>
      <c r="Q384" t="n">
        <v>0</v>
      </c>
      <c r="R384" s="2" t="inlineStr"/>
    </row>
    <row r="385" ht="15" customHeight="1">
      <c r="A385" t="inlineStr">
        <is>
          <t>A 13250-2020</t>
        </is>
      </c>
      <c r="B385" s="1" t="n">
        <v>43901</v>
      </c>
      <c r="C385" s="1" t="n">
        <v>45711</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14695-2020</t>
        </is>
      </c>
      <c r="B386" s="1" t="n">
        <v>43903</v>
      </c>
      <c r="C386" s="1" t="n">
        <v>45711</v>
      </c>
      <c r="D386" t="inlineStr">
        <is>
          <t>VÄRMLANDS LÄN</t>
        </is>
      </c>
      <c r="E386" t="inlineStr">
        <is>
          <t>TORSBY</t>
        </is>
      </c>
      <c r="G386" t="n">
        <v>8</v>
      </c>
      <c r="H386" t="n">
        <v>0</v>
      </c>
      <c r="I386" t="n">
        <v>0</v>
      </c>
      <c r="J386" t="n">
        <v>0</v>
      </c>
      <c r="K386" t="n">
        <v>0</v>
      </c>
      <c r="L386" t="n">
        <v>0</v>
      </c>
      <c r="M386" t="n">
        <v>0</v>
      </c>
      <c r="N386" t="n">
        <v>0</v>
      </c>
      <c r="O386" t="n">
        <v>0</v>
      </c>
      <c r="P386" t="n">
        <v>0</v>
      </c>
      <c r="Q386" t="n">
        <v>0</v>
      </c>
      <c r="R386" s="2" t="inlineStr"/>
    </row>
    <row r="387" ht="15" customHeight="1">
      <c r="A387" t="inlineStr">
        <is>
          <t>A 14693-2020</t>
        </is>
      </c>
      <c r="B387" s="1" t="n">
        <v>43903</v>
      </c>
      <c r="C387" s="1" t="n">
        <v>45711</v>
      </c>
      <c r="D387" t="inlineStr">
        <is>
          <t>VÄRMLANDS LÄN</t>
        </is>
      </c>
      <c r="E387" t="inlineStr">
        <is>
          <t>TORSBY</t>
        </is>
      </c>
      <c r="G387" t="n">
        <v>2.9</v>
      </c>
      <c r="H387" t="n">
        <v>0</v>
      </c>
      <c r="I387" t="n">
        <v>0</v>
      </c>
      <c r="J387" t="n">
        <v>0</v>
      </c>
      <c r="K387" t="n">
        <v>0</v>
      </c>
      <c r="L387" t="n">
        <v>0</v>
      </c>
      <c r="M387" t="n">
        <v>0</v>
      </c>
      <c r="N387" t="n">
        <v>0</v>
      </c>
      <c r="O387" t="n">
        <v>0</v>
      </c>
      <c r="P387" t="n">
        <v>0</v>
      </c>
      <c r="Q387" t="n">
        <v>0</v>
      </c>
      <c r="R387" s="2" t="inlineStr"/>
    </row>
    <row r="388" ht="15" customHeight="1">
      <c r="A388" t="inlineStr">
        <is>
          <t>A 14962-2020</t>
        </is>
      </c>
      <c r="B388" s="1" t="n">
        <v>43907</v>
      </c>
      <c r="C388" s="1" t="n">
        <v>45711</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14968-2020</t>
        </is>
      </c>
      <c r="B389" s="1" t="n">
        <v>43907</v>
      </c>
      <c r="C389" s="1" t="n">
        <v>45711</v>
      </c>
      <c r="D389" t="inlineStr">
        <is>
          <t>VÄRMLANDS LÄN</t>
        </is>
      </c>
      <c r="E389" t="inlineStr">
        <is>
          <t>TORSBY</t>
        </is>
      </c>
      <c r="G389" t="n">
        <v>3.2</v>
      </c>
      <c r="H389" t="n">
        <v>0</v>
      </c>
      <c r="I389" t="n">
        <v>0</v>
      </c>
      <c r="J389" t="n">
        <v>0</v>
      </c>
      <c r="K389" t="n">
        <v>0</v>
      </c>
      <c r="L389" t="n">
        <v>0</v>
      </c>
      <c r="M389" t="n">
        <v>0</v>
      </c>
      <c r="N389" t="n">
        <v>0</v>
      </c>
      <c r="O389" t="n">
        <v>0</v>
      </c>
      <c r="P389" t="n">
        <v>0</v>
      </c>
      <c r="Q389" t="n">
        <v>0</v>
      </c>
      <c r="R389" s="2" t="inlineStr"/>
    </row>
    <row r="390" ht="15" customHeight="1">
      <c r="A390" t="inlineStr">
        <is>
          <t>A 14702-2020</t>
        </is>
      </c>
      <c r="B390" s="1" t="n">
        <v>43909</v>
      </c>
      <c r="C390" s="1" t="n">
        <v>45711</v>
      </c>
      <c r="D390" t="inlineStr">
        <is>
          <t>VÄRMLANDS LÄN</t>
        </is>
      </c>
      <c r="E390" t="inlineStr">
        <is>
          <t>TORSBY</t>
        </is>
      </c>
      <c r="G390" t="n">
        <v>2.1</v>
      </c>
      <c r="H390" t="n">
        <v>0</v>
      </c>
      <c r="I390" t="n">
        <v>0</v>
      </c>
      <c r="J390" t="n">
        <v>0</v>
      </c>
      <c r="K390" t="n">
        <v>0</v>
      </c>
      <c r="L390" t="n">
        <v>0</v>
      </c>
      <c r="M390" t="n">
        <v>0</v>
      </c>
      <c r="N390" t="n">
        <v>0</v>
      </c>
      <c r="O390" t="n">
        <v>0</v>
      </c>
      <c r="P390" t="n">
        <v>0</v>
      </c>
      <c r="Q390" t="n">
        <v>0</v>
      </c>
      <c r="R390" s="2" t="inlineStr"/>
    </row>
    <row r="391" ht="15" customHeight="1">
      <c r="A391" t="inlineStr">
        <is>
          <t>A 14694-2020</t>
        </is>
      </c>
      <c r="B391" s="1" t="n">
        <v>43909</v>
      </c>
      <c r="C391" s="1" t="n">
        <v>45711</v>
      </c>
      <c r="D391" t="inlineStr">
        <is>
          <t>VÄRMLANDS LÄN</t>
        </is>
      </c>
      <c r="E391" t="inlineStr">
        <is>
          <t>TORSBY</t>
        </is>
      </c>
      <c r="G391" t="n">
        <v>1.8</v>
      </c>
      <c r="H391" t="n">
        <v>0</v>
      </c>
      <c r="I391" t="n">
        <v>0</v>
      </c>
      <c r="J391" t="n">
        <v>0</v>
      </c>
      <c r="K391" t="n">
        <v>0</v>
      </c>
      <c r="L391" t="n">
        <v>0</v>
      </c>
      <c r="M391" t="n">
        <v>0</v>
      </c>
      <c r="N391" t="n">
        <v>0</v>
      </c>
      <c r="O391" t="n">
        <v>0</v>
      </c>
      <c r="P391" t="n">
        <v>0</v>
      </c>
      <c r="Q391" t="n">
        <v>0</v>
      </c>
      <c r="R391" s="2" t="inlineStr"/>
    </row>
    <row r="392" ht="15" customHeight="1">
      <c r="A392" t="inlineStr">
        <is>
          <t>A 14851-2020</t>
        </is>
      </c>
      <c r="B392" s="1" t="n">
        <v>43909</v>
      </c>
      <c r="C392" s="1" t="n">
        <v>45711</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15161-2020</t>
        </is>
      </c>
      <c r="B393" s="1" t="n">
        <v>43912</v>
      </c>
      <c r="C393" s="1" t="n">
        <v>45711</v>
      </c>
      <c r="D393" t="inlineStr">
        <is>
          <t>VÄRMLANDS LÄN</t>
        </is>
      </c>
      <c r="E393" t="inlineStr">
        <is>
          <t>TORSBY</t>
        </is>
      </c>
      <c r="G393" t="n">
        <v>2.7</v>
      </c>
      <c r="H393" t="n">
        <v>0</v>
      </c>
      <c r="I393" t="n">
        <v>0</v>
      </c>
      <c r="J393" t="n">
        <v>0</v>
      </c>
      <c r="K393" t="n">
        <v>0</v>
      </c>
      <c r="L393" t="n">
        <v>0</v>
      </c>
      <c r="M393" t="n">
        <v>0</v>
      </c>
      <c r="N393" t="n">
        <v>0</v>
      </c>
      <c r="O393" t="n">
        <v>0</v>
      </c>
      <c r="P393" t="n">
        <v>0</v>
      </c>
      <c r="Q393" t="n">
        <v>0</v>
      </c>
      <c r="R393" s="2" t="inlineStr"/>
    </row>
    <row r="394" ht="15" customHeight="1">
      <c r="A394" t="inlineStr">
        <is>
          <t>A 15280-2020</t>
        </is>
      </c>
      <c r="B394" s="1" t="n">
        <v>43913</v>
      </c>
      <c r="C394" s="1" t="n">
        <v>45711</v>
      </c>
      <c r="D394" t="inlineStr">
        <is>
          <t>VÄRMLANDS LÄN</t>
        </is>
      </c>
      <c r="E394" t="inlineStr">
        <is>
          <t>TORSBY</t>
        </is>
      </c>
      <c r="G394" t="n">
        <v>0.5</v>
      </c>
      <c r="H394" t="n">
        <v>0</v>
      </c>
      <c r="I394" t="n">
        <v>0</v>
      </c>
      <c r="J394" t="n">
        <v>0</v>
      </c>
      <c r="K394" t="n">
        <v>0</v>
      </c>
      <c r="L394" t="n">
        <v>0</v>
      </c>
      <c r="M394" t="n">
        <v>0</v>
      </c>
      <c r="N394" t="n">
        <v>0</v>
      </c>
      <c r="O394" t="n">
        <v>0</v>
      </c>
      <c r="P394" t="n">
        <v>0</v>
      </c>
      <c r="Q394" t="n">
        <v>0</v>
      </c>
      <c r="R394" s="2" t="inlineStr"/>
    </row>
    <row r="395" ht="15" customHeight="1">
      <c r="A395" t="inlineStr">
        <is>
          <t>A 15589-2020</t>
        </is>
      </c>
      <c r="B395" s="1" t="n">
        <v>43914</v>
      </c>
      <c r="C395" s="1" t="n">
        <v>45711</v>
      </c>
      <c r="D395" t="inlineStr">
        <is>
          <t>VÄRMLANDS LÄN</t>
        </is>
      </c>
      <c r="E395" t="inlineStr">
        <is>
          <t>TORSBY</t>
        </is>
      </c>
      <c r="G395" t="n">
        <v>1.5</v>
      </c>
      <c r="H395" t="n">
        <v>0</v>
      </c>
      <c r="I395" t="n">
        <v>0</v>
      </c>
      <c r="J395" t="n">
        <v>0</v>
      </c>
      <c r="K395" t="n">
        <v>0</v>
      </c>
      <c r="L395" t="n">
        <v>0</v>
      </c>
      <c r="M395" t="n">
        <v>0</v>
      </c>
      <c r="N395" t="n">
        <v>0</v>
      </c>
      <c r="O395" t="n">
        <v>0</v>
      </c>
      <c r="P395" t="n">
        <v>0</v>
      </c>
      <c r="Q395" t="n">
        <v>0</v>
      </c>
      <c r="R395" s="2" t="inlineStr"/>
    </row>
    <row r="396" ht="15" customHeight="1">
      <c r="A396" t="inlineStr">
        <is>
          <t>A 15701-2020</t>
        </is>
      </c>
      <c r="B396" s="1" t="n">
        <v>43915</v>
      </c>
      <c r="C396" s="1" t="n">
        <v>45711</v>
      </c>
      <c r="D396" t="inlineStr">
        <is>
          <t>VÄRMLANDS LÄN</t>
        </is>
      </c>
      <c r="E396" t="inlineStr">
        <is>
          <t>TORSBY</t>
        </is>
      </c>
      <c r="G396" t="n">
        <v>2.9</v>
      </c>
      <c r="H396" t="n">
        <v>0</v>
      </c>
      <c r="I396" t="n">
        <v>0</v>
      </c>
      <c r="J396" t="n">
        <v>0</v>
      </c>
      <c r="K396" t="n">
        <v>0</v>
      </c>
      <c r="L396" t="n">
        <v>0</v>
      </c>
      <c r="M396" t="n">
        <v>0</v>
      </c>
      <c r="N396" t="n">
        <v>0</v>
      </c>
      <c r="O396" t="n">
        <v>0</v>
      </c>
      <c r="P396" t="n">
        <v>0</v>
      </c>
      <c r="Q396" t="n">
        <v>0</v>
      </c>
      <c r="R396" s="2" t="inlineStr"/>
    </row>
    <row r="397" ht="15" customHeight="1">
      <c r="A397" t="inlineStr">
        <is>
          <t>A 15768-2020</t>
        </is>
      </c>
      <c r="B397" s="1" t="n">
        <v>43915</v>
      </c>
      <c r="C397" s="1" t="n">
        <v>45711</v>
      </c>
      <c r="D397" t="inlineStr">
        <is>
          <t>VÄRMLANDS LÄN</t>
        </is>
      </c>
      <c r="E397" t="inlineStr">
        <is>
          <t>TORSBY</t>
        </is>
      </c>
      <c r="G397" t="n">
        <v>0.6</v>
      </c>
      <c r="H397" t="n">
        <v>0</v>
      </c>
      <c r="I397" t="n">
        <v>0</v>
      </c>
      <c r="J397" t="n">
        <v>0</v>
      </c>
      <c r="K397" t="n">
        <v>0</v>
      </c>
      <c r="L397" t="n">
        <v>0</v>
      </c>
      <c r="M397" t="n">
        <v>0</v>
      </c>
      <c r="N397" t="n">
        <v>0</v>
      </c>
      <c r="O397" t="n">
        <v>0</v>
      </c>
      <c r="P397" t="n">
        <v>0</v>
      </c>
      <c r="Q397" t="n">
        <v>0</v>
      </c>
      <c r="R397" s="2" t="inlineStr"/>
    </row>
    <row r="398" ht="15" customHeight="1">
      <c r="A398" t="inlineStr">
        <is>
          <t>A 16101-2020</t>
        </is>
      </c>
      <c r="B398" s="1" t="n">
        <v>43916</v>
      </c>
      <c r="C398" s="1" t="n">
        <v>45711</v>
      </c>
      <c r="D398" t="inlineStr">
        <is>
          <t>VÄRMLANDS LÄN</t>
        </is>
      </c>
      <c r="E398" t="inlineStr">
        <is>
          <t>TORSBY</t>
        </is>
      </c>
      <c r="G398" t="n">
        <v>14.6</v>
      </c>
      <c r="H398" t="n">
        <v>0</v>
      </c>
      <c r="I398" t="n">
        <v>0</v>
      </c>
      <c r="J398" t="n">
        <v>0</v>
      </c>
      <c r="K398" t="n">
        <v>0</v>
      </c>
      <c r="L398" t="n">
        <v>0</v>
      </c>
      <c r="M398" t="n">
        <v>0</v>
      </c>
      <c r="N398" t="n">
        <v>0</v>
      </c>
      <c r="O398" t="n">
        <v>0</v>
      </c>
      <c r="P398" t="n">
        <v>0</v>
      </c>
      <c r="Q398" t="n">
        <v>0</v>
      </c>
      <c r="R398" s="2" t="inlineStr"/>
    </row>
    <row r="399" ht="15" customHeight="1">
      <c r="A399" t="inlineStr">
        <is>
          <t>A 16364-2020</t>
        </is>
      </c>
      <c r="B399" s="1" t="n">
        <v>43917</v>
      </c>
      <c r="C399" s="1" t="n">
        <v>45711</v>
      </c>
      <c r="D399" t="inlineStr">
        <is>
          <t>VÄRMLANDS LÄN</t>
        </is>
      </c>
      <c r="E399" t="inlineStr">
        <is>
          <t>TORSBY</t>
        </is>
      </c>
      <c r="G399" t="n">
        <v>1.6</v>
      </c>
      <c r="H399" t="n">
        <v>0</v>
      </c>
      <c r="I399" t="n">
        <v>0</v>
      </c>
      <c r="J399" t="n">
        <v>0</v>
      </c>
      <c r="K399" t="n">
        <v>0</v>
      </c>
      <c r="L399" t="n">
        <v>0</v>
      </c>
      <c r="M399" t="n">
        <v>0</v>
      </c>
      <c r="N399" t="n">
        <v>0</v>
      </c>
      <c r="O399" t="n">
        <v>0</v>
      </c>
      <c r="P399" t="n">
        <v>0</v>
      </c>
      <c r="Q399" t="n">
        <v>0</v>
      </c>
      <c r="R399" s="2" t="inlineStr"/>
    </row>
    <row r="400" ht="15" customHeight="1">
      <c r="A400" t="inlineStr">
        <is>
          <t>A 16437-2020</t>
        </is>
      </c>
      <c r="B400" s="1" t="n">
        <v>43919</v>
      </c>
      <c r="C400" s="1" t="n">
        <v>45711</v>
      </c>
      <c r="D400" t="inlineStr">
        <is>
          <t>VÄRMLANDS LÄN</t>
        </is>
      </c>
      <c r="E400" t="inlineStr">
        <is>
          <t>TORSBY</t>
        </is>
      </c>
      <c r="G400" t="n">
        <v>1.2</v>
      </c>
      <c r="H400" t="n">
        <v>0</v>
      </c>
      <c r="I400" t="n">
        <v>0</v>
      </c>
      <c r="J400" t="n">
        <v>0</v>
      </c>
      <c r="K400" t="n">
        <v>0</v>
      </c>
      <c r="L400" t="n">
        <v>0</v>
      </c>
      <c r="M400" t="n">
        <v>0</v>
      </c>
      <c r="N400" t="n">
        <v>0</v>
      </c>
      <c r="O400" t="n">
        <v>0</v>
      </c>
      <c r="P400" t="n">
        <v>0</v>
      </c>
      <c r="Q400" t="n">
        <v>0</v>
      </c>
      <c r="R400" s="2" t="inlineStr"/>
    </row>
    <row r="401" ht="15" customHeight="1">
      <c r="A401" t="inlineStr">
        <is>
          <t>A 17021-2020</t>
        </is>
      </c>
      <c r="B401" s="1" t="n">
        <v>43921</v>
      </c>
      <c r="C401" s="1" t="n">
        <v>45711</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16999-2020</t>
        </is>
      </c>
      <c r="B402" s="1" t="n">
        <v>43921</v>
      </c>
      <c r="C402" s="1" t="n">
        <v>45711</v>
      </c>
      <c r="D402" t="inlineStr">
        <is>
          <t>VÄRMLANDS LÄN</t>
        </is>
      </c>
      <c r="E402" t="inlineStr">
        <is>
          <t>TORSBY</t>
        </is>
      </c>
      <c r="G402" t="n">
        <v>6.6</v>
      </c>
      <c r="H402" t="n">
        <v>0</v>
      </c>
      <c r="I402" t="n">
        <v>0</v>
      </c>
      <c r="J402" t="n">
        <v>0</v>
      </c>
      <c r="K402" t="n">
        <v>0</v>
      </c>
      <c r="L402" t="n">
        <v>0</v>
      </c>
      <c r="M402" t="n">
        <v>0</v>
      </c>
      <c r="N402" t="n">
        <v>0</v>
      </c>
      <c r="O402" t="n">
        <v>0</v>
      </c>
      <c r="P402" t="n">
        <v>0</v>
      </c>
      <c r="Q402" t="n">
        <v>0</v>
      </c>
      <c r="R402" s="2" t="inlineStr"/>
    </row>
    <row r="403" ht="15" customHeight="1">
      <c r="A403" t="inlineStr">
        <is>
          <t>A 17009-2020</t>
        </is>
      </c>
      <c r="B403" s="1" t="n">
        <v>43921</v>
      </c>
      <c r="C403" s="1" t="n">
        <v>45711</v>
      </c>
      <c r="D403" t="inlineStr">
        <is>
          <t>VÄRMLANDS LÄN</t>
        </is>
      </c>
      <c r="E403" t="inlineStr">
        <is>
          <t>TORSBY</t>
        </is>
      </c>
      <c r="G403" t="n">
        <v>3.3</v>
      </c>
      <c r="H403" t="n">
        <v>0</v>
      </c>
      <c r="I403" t="n">
        <v>0</v>
      </c>
      <c r="J403" t="n">
        <v>0</v>
      </c>
      <c r="K403" t="n">
        <v>0</v>
      </c>
      <c r="L403" t="n">
        <v>0</v>
      </c>
      <c r="M403" t="n">
        <v>0</v>
      </c>
      <c r="N403" t="n">
        <v>0</v>
      </c>
      <c r="O403" t="n">
        <v>0</v>
      </c>
      <c r="P403" t="n">
        <v>0</v>
      </c>
      <c r="Q403" t="n">
        <v>0</v>
      </c>
      <c r="R403" s="2" t="inlineStr"/>
    </row>
    <row r="404" ht="15" customHeight="1">
      <c r="A404" t="inlineStr">
        <is>
          <t>A 18155-2020</t>
        </is>
      </c>
      <c r="B404" s="1" t="n">
        <v>43927</v>
      </c>
      <c r="C404" s="1" t="n">
        <v>45711</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18641-2020</t>
        </is>
      </c>
      <c r="B405" s="1" t="n">
        <v>43928</v>
      </c>
      <c r="C405" s="1" t="n">
        <v>45711</v>
      </c>
      <c r="D405" t="inlineStr">
        <is>
          <t>VÄRMLANDS LÄN</t>
        </is>
      </c>
      <c r="E405" t="inlineStr">
        <is>
          <t>TORSBY</t>
        </is>
      </c>
      <c r="G405" t="n">
        <v>1.4</v>
      </c>
      <c r="H405" t="n">
        <v>0</v>
      </c>
      <c r="I405" t="n">
        <v>0</v>
      </c>
      <c r="J405" t="n">
        <v>0</v>
      </c>
      <c r="K405" t="n">
        <v>0</v>
      </c>
      <c r="L405" t="n">
        <v>0</v>
      </c>
      <c r="M405" t="n">
        <v>0</v>
      </c>
      <c r="N405" t="n">
        <v>0</v>
      </c>
      <c r="O405" t="n">
        <v>0</v>
      </c>
      <c r="P405" t="n">
        <v>0</v>
      </c>
      <c r="Q405" t="n">
        <v>0</v>
      </c>
      <c r="R405" s="2" t="inlineStr"/>
    </row>
    <row r="406" ht="15" customHeight="1">
      <c r="A406" t="inlineStr">
        <is>
          <t>A 18769-2020</t>
        </is>
      </c>
      <c r="B406" s="1" t="n">
        <v>43930</v>
      </c>
      <c r="C406" s="1" t="n">
        <v>45711</v>
      </c>
      <c r="D406" t="inlineStr">
        <is>
          <t>VÄRMLANDS LÄN</t>
        </is>
      </c>
      <c r="E406" t="inlineStr">
        <is>
          <t>TORSBY</t>
        </is>
      </c>
      <c r="G406" t="n">
        <v>5.2</v>
      </c>
      <c r="H406" t="n">
        <v>0</v>
      </c>
      <c r="I406" t="n">
        <v>0</v>
      </c>
      <c r="J406" t="n">
        <v>0</v>
      </c>
      <c r="K406" t="n">
        <v>0</v>
      </c>
      <c r="L406" t="n">
        <v>0</v>
      </c>
      <c r="M406" t="n">
        <v>0</v>
      </c>
      <c r="N406" t="n">
        <v>0</v>
      </c>
      <c r="O406" t="n">
        <v>0</v>
      </c>
      <c r="P406" t="n">
        <v>0</v>
      </c>
      <c r="Q406" t="n">
        <v>0</v>
      </c>
      <c r="R406" s="2" t="inlineStr"/>
    </row>
    <row r="407" ht="15" customHeight="1">
      <c r="A407" t="inlineStr">
        <is>
          <t>A 18770-2020</t>
        </is>
      </c>
      <c r="B407" s="1" t="n">
        <v>43930</v>
      </c>
      <c r="C407" s="1" t="n">
        <v>45711</v>
      </c>
      <c r="D407" t="inlineStr">
        <is>
          <t>VÄRMLANDS LÄN</t>
        </is>
      </c>
      <c r="E407" t="inlineStr">
        <is>
          <t>TORSBY</t>
        </is>
      </c>
      <c r="G407" t="n">
        <v>4.2</v>
      </c>
      <c r="H407" t="n">
        <v>0</v>
      </c>
      <c r="I407" t="n">
        <v>0</v>
      </c>
      <c r="J407" t="n">
        <v>0</v>
      </c>
      <c r="K407" t="n">
        <v>0</v>
      </c>
      <c r="L407" t="n">
        <v>0</v>
      </c>
      <c r="M407" t="n">
        <v>0</v>
      </c>
      <c r="N407" t="n">
        <v>0</v>
      </c>
      <c r="O407" t="n">
        <v>0</v>
      </c>
      <c r="P407" t="n">
        <v>0</v>
      </c>
      <c r="Q407" t="n">
        <v>0</v>
      </c>
      <c r="R407" s="2" t="inlineStr"/>
    </row>
    <row r="408" ht="15" customHeight="1">
      <c r="A408" t="inlineStr">
        <is>
          <t>A 18972-2020</t>
        </is>
      </c>
      <c r="B408" s="1" t="n">
        <v>43935</v>
      </c>
      <c r="C408" s="1" t="n">
        <v>45711</v>
      </c>
      <c r="D408" t="inlineStr">
        <is>
          <t>VÄRMLANDS LÄN</t>
        </is>
      </c>
      <c r="E408" t="inlineStr">
        <is>
          <t>TORSBY</t>
        </is>
      </c>
      <c r="G408" t="n">
        <v>1.3</v>
      </c>
      <c r="H408" t="n">
        <v>0</v>
      </c>
      <c r="I408" t="n">
        <v>0</v>
      </c>
      <c r="J408" t="n">
        <v>0</v>
      </c>
      <c r="K408" t="n">
        <v>0</v>
      </c>
      <c r="L408" t="n">
        <v>0</v>
      </c>
      <c r="M408" t="n">
        <v>0</v>
      </c>
      <c r="N408" t="n">
        <v>0</v>
      </c>
      <c r="O408" t="n">
        <v>0</v>
      </c>
      <c r="P408" t="n">
        <v>0</v>
      </c>
      <c r="Q408" t="n">
        <v>0</v>
      </c>
      <c r="R408" s="2" t="inlineStr"/>
    </row>
    <row r="409" ht="15" customHeight="1">
      <c r="A409" t="inlineStr">
        <is>
          <t>A 19032-2020</t>
        </is>
      </c>
      <c r="B409" s="1" t="n">
        <v>43936</v>
      </c>
      <c r="C409" s="1" t="n">
        <v>45711</v>
      </c>
      <c r="D409" t="inlineStr">
        <is>
          <t>VÄRMLANDS LÄN</t>
        </is>
      </c>
      <c r="E409" t="inlineStr">
        <is>
          <t>TORSBY</t>
        </is>
      </c>
      <c r="G409" t="n">
        <v>1</v>
      </c>
      <c r="H409" t="n">
        <v>0</v>
      </c>
      <c r="I409" t="n">
        <v>0</v>
      </c>
      <c r="J409" t="n">
        <v>0</v>
      </c>
      <c r="K409" t="n">
        <v>0</v>
      </c>
      <c r="L409" t="n">
        <v>0</v>
      </c>
      <c r="M409" t="n">
        <v>0</v>
      </c>
      <c r="N409" t="n">
        <v>0</v>
      </c>
      <c r="O409" t="n">
        <v>0</v>
      </c>
      <c r="P409" t="n">
        <v>0</v>
      </c>
      <c r="Q409" t="n">
        <v>0</v>
      </c>
      <c r="R409" s="2" t="inlineStr"/>
    </row>
    <row r="410" ht="15" customHeight="1">
      <c r="A410" t="inlineStr">
        <is>
          <t>A 19181-2020</t>
        </is>
      </c>
      <c r="B410" s="1" t="n">
        <v>43937</v>
      </c>
      <c r="C410" s="1" t="n">
        <v>45711</v>
      </c>
      <c r="D410" t="inlineStr">
        <is>
          <t>VÄRMLANDS LÄN</t>
        </is>
      </c>
      <c r="E410" t="inlineStr">
        <is>
          <t>TORSBY</t>
        </is>
      </c>
      <c r="G410" t="n">
        <v>1.6</v>
      </c>
      <c r="H410" t="n">
        <v>0</v>
      </c>
      <c r="I410" t="n">
        <v>0</v>
      </c>
      <c r="J410" t="n">
        <v>0</v>
      </c>
      <c r="K410" t="n">
        <v>0</v>
      </c>
      <c r="L410" t="n">
        <v>0</v>
      </c>
      <c r="M410" t="n">
        <v>0</v>
      </c>
      <c r="N410" t="n">
        <v>0</v>
      </c>
      <c r="O410" t="n">
        <v>0</v>
      </c>
      <c r="P410" t="n">
        <v>0</v>
      </c>
      <c r="Q410" t="n">
        <v>0</v>
      </c>
      <c r="R410" s="2" t="inlineStr"/>
    </row>
    <row r="411" ht="15" customHeight="1">
      <c r="A411" t="inlineStr">
        <is>
          <t>A 19384-2020</t>
        </is>
      </c>
      <c r="B411" s="1" t="n">
        <v>43938</v>
      </c>
      <c r="C411" s="1" t="n">
        <v>45711</v>
      </c>
      <c r="D411" t="inlineStr">
        <is>
          <t>VÄRMLANDS LÄN</t>
        </is>
      </c>
      <c r="E411" t="inlineStr">
        <is>
          <t>TORSBY</t>
        </is>
      </c>
      <c r="G411" t="n">
        <v>0.9</v>
      </c>
      <c r="H411" t="n">
        <v>0</v>
      </c>
      <c r="I411" t="n">
        <v>0</v>
      </c>
      <c r="J411" t="n">
        <v>0</v>
      </c>
      <c r="K411" t="n">
        <v>0</v>
      </c>
      <c r="L411" t="n">
        <v>0</v>
      </c>
      <c r="M411" t="n">
        <v>0</v>
      </c>
      <c r="N411" t="n">
        <v>0</v>
      </c>
      <c r="O411" t="n">
        <v>0</v>
      </c>
      <c r="P411" t="n">
        <v>0</v>
      </c>
      <c r="Q411" t="n">
        <v>0</v>
      </c>
      <c r="R411" s="2" t="inlineStr"/>
    </row>
    <row r="412" ht="15" customHeight="1">
      <c r="A412" t="inlineStr">
        <is>
          <t>A 19963-2020</t>
        </is>
      </c>
      <c r="B412" s="1" t="n">
        <v>43941</v>
      </c>
      <c r="C412" s="1" t="n">
        <v>45711</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20025-2020</t>
        </is>
      </c>
      <c r="B413" s="1" t="n">
        <v>43943</v>
      </c>
      <c r="C413" s="1" t="n">
        <v>45711</v>
      </c>
      <c r="D413" t="inlineStr">
        <is>
          <t>VÄRMLANDS LÄN</t>
        </is>
      </c>
      <c r="E413" t="inlineStr">
        <is>
          <t>TORSBY</t>
        </is>
      </c>
      <c r="F413" t="inlineStr">
        <is>
          <t>Bergvik skog väst AB</t>
        </is>
      </c>
      <c r="G413" t="n">
        <v>0.6</v>
      </c>
      <c r="H413" t="n">
        <v>0</v>
      </c>
      <c r="I413" t="n">
        <v>0</v>
      </c>
      <c r="J413" t="n">
        <v>0</v>
      </c>
      <c r="K413" t="n">
        <v>0</v>
      </c>
      <c r="L413" t="n">
        <v>0</v>
      </c>
      <c r="M413" t="n">
        <v>0</v>
      </c>
      <c r="N413" t="n">
        <v>0</v>
      </c>
      <c r="O413" t="n">
        <v>0</v>
      </c>
      <c r="P413" t="n">
        <v>0</v>
      </c>
      <c r="Q413" t="n">
        <v>0</v>
      </c>
      <c r="R413" s="2" t="inlineStr"/>
    </row>
    <row r="414" ht="15" customHeight="1">
      <c r="A414" t="inlineStr">
        <is>
          <t>A 20280-2020</t>
        </is>
      </c>
      <c r="B414" s="1" t="n">
        <v>43945</v>
      </c>
      <c r="C414" s="1" t="n">
        <v>45711</v>
      </c>
      <c r="D414" t="inlineStr">
        <is>
          <t>VÄRMLANDS LÄN</t>
        </is>
      </c>
      <c r="E414" t="inlineStr">
        <is>
          <t>TORSBY</t>
        </is>
      </c>
      <c r="G414" t="n">
        <v>1.7</v>
      </c>
      <c r="H414" t="n">
        <v>0</v>
      </c>
      <c r="I414" t="n">
        <v>0</v>
      </c>
      <c r="J414" t="n">
        <v>0</v>
      </c>
      <c r="K414" t="n">
        <v>0</v>
      </c>
      <c r="L414" t="n">
        <v>0</v>
      </c>
      <c r="M414" t="n">
        <v>0</v>
      </c>
      <c r="N414" t="n">
        <v>0</v>
      </c>
      <c r="O414" t="n">
        <v>0</v>
      </c>
      <c r="P414" t="n">
        <v>0</v>
      </c>
      <c r="Q414" t="n">
        <v>0</v>
      </c>
      <c r="R414" s="2" t="inlineStr"/>
    </row>
    <row r="415" ht="15" customHeight="1">
      <c r="A415" t="inlineStr">
        <is>
          <t>A 20464-2020</t>
        </is>
      </c>
      <c r="B415" s="1" t="n">
        <v>43948</v>
      </c>
      <c r="C415" s="1" t="n">
        <v>45711</v>
      </c>
      <c r="D415" t="inlineStr">
        <is>
          <t>VÄRMLANDS LÄN</t>
        </is>
      </c>
      <c r="E415" t="inlineStr">
        <is>
          <t>TORSBY</t>
        </is>
      </c>
      <c r="G415" t="n">
        <v>0.6</v>
      </c>
      <c r="H415" t="n">
        <v>0</v>
      </c>
      <c r="I415" t="n">
        <v>0</v>
      </c>
      <c r="J415" t="n">
        <v>0</v>
      </c>
      <c r="K415" t="n">
        <v>0</v>
      </c>
      <c r="L415" t="n">
        <v>0</v>
      </c>
      <c r="M415" t="n">
        <v>0</v>
      </c>
      <c r="N415" t="n">
        <v>0</v>
      </c>
      <c r="O415" t="n">
        <v>0</v>
      </c>
      <c r="P415" t="n">
        <v>0</v>
      </c>
      <c r="Q415" t="n">
        <v>0</v>
      </c>
      <c r="R415" s="2" t="inlineStr"/>
    </row>
    <row r="416" ht="15" customHeight="1">
      <c r="A416" t="inlineStr">
        <is>
          <t>A 21099-2020</t>
        </is>
      </c>
      <c r="B416" s="1" t="n">
        <v>43951</v>
      </c>
      <c r="C416" s="1" t="n">
        <v>45711</v>
      </c>
      <c r="D416" t="inlineStr">
        <is>
          <t>VÄRMLANDS LÄN</t>
        </is>
      </c>
      <c r="E416" t="inlineStr">
        <is>
          <t>TORSBY</t>
        </is>
      </c>
      <c r="G416" t="n">
        <v>0.9</v>
      </c>
      <c r="H416" t="n">
        <v>0</v>
      </c>
      <c r="I416" t="n">
        <v>0</v>
      </c>
      <c r="J416" t="n">
        <v>0</v>
      </c>
      <c r="K416" t="n">
        <v>0</v>
      </c>
      <c r="L416" t="n">
        <v>0</v>
      </c>
      <c r="M416" t="n">
        <v>0</v>
      </c>
      <c r="N416" t="n">
        <v>0</v>
      </c>
      <c r="O416" t="n">
        <v>0</v>
      </c>
      <c r="P416" t="n">
        <v>0</v>
      </c>
      <c r="Q416" t="n">
        <v>0</v>
      </c>
      <c r="R416" s="2" t="inlineStr"/>
    </row>
    <row r="417" ht="15" customHeight="1">
      <c r="A417" t="inlineStr">
        <is>
          <t>A 21335-2020</t>
        </is>
      </c>
      <c r="B417" s="1" t="n">
        <v>43951</v>
      </c>
      <c r="C417" s="1" t="n">
        <v>45711</v>
      </c>
      <c r="D417" t="inlineStr">
        <is>
          <t>VÄRMLANDS LÄN</t>
        </is>
      </c>
      <c r="E417" t="inlineStr">
        <is>
          <t>TORSBY</t>
        </is>
      </c>
      <c r="F417" t="inlineStr">
        <is>
          <t>Övriga Aktiebolag</t>
        </is>
      </c>
      <c r="G417" t="n">
        <v>4</v>
      </c>
      <c r="H417" t="n">
        <v>0</v>
      </c>
      <c r="I417" t="n">
        <v>0</v>
      </c>
      <c r="J417" t="n">
        <v>0</v>
      </c>
      <c r="K417" t="n">
        <v>0</v>
      </c>
      <c r="L417" t="n">
        <v>0</v>
      </c>
      <c r="M417" t="n">
        <v>0</v>
      </c>
      <c r="N417" t="n">
        <v>0</v>
      </c>
      <c r="O417" t="n">
        <v>0</v>
      </c>
      <c r="P417" t="n">
        <v>0</v>
      </c>
      <c r="Q417" t="n">
        <v>0</v>
      </c>
      <c r="R417" s="2" t="inlineStr"/>
    </row>
    <row r="418" ht="15" customHeight="1">
      <c r="A418" t="inlineStr">
        <is>
          <t>A 21369-2020</t>
        </is>
      </c>
      <c r="B418" s="1" t="n">
        <v>43951</v>
      </c>
      <c r="C418" s="1" t="n">
        <v>45711</v>
      </c>
      <c r="D418" t="inlineStr">
        <is>
          <t>VÄRMLANDS LÄN</t>
        </is>
      </c>
      <c r="E418" t="inlineStr">
        <is>
          <t>TORSBY</t>
        </is>
      </c>
      <c r="F418" t="inlineStr">
        <is>
          <t>Övriga Aktiebolag</t>
        </is>
      </c>
      <c r="G418" t="n">
        <v>3.5</v>
      </c>
      <c r="H418" t="n">
        <v>0</v>
      </c>
      <c r="I418" t="n">
        <v>0</v>
      </c>
      <c r="J418" t="n">
        <v>0</v>
      </c>
      <c r="K418" t="n">
        <v>0</v>
      </c>
      <c r="L418" t="n">
        <v>0</v>
      </c>
      <c r="M418" t="n">
        <v>0</v>
      </c>
      <c r="N418" t="n">
        <v>0</v>
      </c>
      <c r="O418" t="n">
        <v>0</v>
      </c>
      <c r="P418" t="n">
        <v>0</v>
      </c>
      <c r="Q418" t="n">
        <v>0</v>
      </c>
      <c r="R418" s="2" t="inlineStr"/>
    </row>
    <row r="419" ht="15" customHeight="1">
      <c r="A419" t="inlineStr">
        <is>
          <t>A 21045-2020</t>
        </is>
      </c>
      <c r="B419" s="1" t="n">
        <v>43951</v>
      </c>
      <c r="C419" s="1" t="n">
        <v>45711</v>
      </c>
      <c r="D419" t="inlineStr">
        <is>
          <t>VÄRMLANDS LÄN</t>
        </is>
      </c>
      <c r="E419" t="inlineStr">
        <is>
          <t>TORSBY</t>
        </is>
      </c>
      <c r="G419" t="n">
        <v>1.1</v>
      </c>
      <c r="H419" t="n">
        <v>0</v>
      </c>
      <c r="I419" t="n">
        <v>0</v>
      </c>
      <c r="J419" t="n">
        <v>0</v>
      </c>
      <c r="K419" t="n">
        <v>0</v>
      </c>
      <c r="L419" t="n">
        <v>0</v>
      </c>
      <c r="M419" t="n">
        <v>0</v>
      </c>
      <c r="N419" t="n">
        <v>0</v>
      </c>
      <c r="O419" t="n">
        <v>0</v>
      </c>
      <c r="P419" t="n">
        <v>0</v>
      </c>
      <c r="Q419" t="n">
        <v>0</v>
      </c>
      <c r="R419" s="2" t="inlineStr"/>
    </row>
    <row r="420" ht="15" customHeight="1">
      <c r="A420" t="inlineStr">
        <is>
          <t>A 21347-2020</t>
        </is>
      </c>
      <c r="B420" s="1" t="n">
        <v>43951</v>
      </c>
      <c r="C420" s="1" t="n">
        <v>45711</v>
      </c>
      <c r="D420" t="inlineStr">
        <is>
          <t>VÄRMLANDS LÄN</t>
        </is>
      </c>
      <c r="E420" t="inlineStr">
        <is>
          <t>TORSBY</t>
        </is>
      </c>
      <c r="F420" t="inlineStr">
        <is>
          <t>Övriga Aktiebolag</t>
        </is>
      </c>
      <c r="G420" t="n">
        <v>0.8</v>
      </c>
      <c r="H420" t="n">
        <v>0</v>
      </c>
      <c r="I420" t="n">
        <v>0</v>
      </c>
      <c r="J420" t="n">
        <v>0</v>
      </c>
      <c r="K420" t="n">
        <v>0</v>
      </c>
      <c r="L420" t="n">
        <v>0</v>
      </c>
      <c r="M420" t="n">
        <v>0</v>
      </c>
      <c r="N420" t="n">
        <v>0</v>
      </c>
      <c r="O420" t="n">
        <v>0</v>
      </c>
      <c r="P420" t="n">
        <v>0</v>
      </c>
      <c r="Q420" t="n">
        <v>0</v>
      </c>
      <c r="R420" s="2" t="inlineStr"/>
    </row>
    <row r="421" ht="15" customHeight="1">
      <c r="A421" t="inlineStr">
        <is>
          <t>A 21900-2020</t>
        </is>
      </c>
      <c r="B421" s="1" t="n">
        <v>43955</v>
      </c>
      <c r="C421" s="1" t="n">
        <v>45711</v>
      </c>
      <c r="D421" t="inlineStr">
        <is>
          <t>VÄRMLANDS LÄN</t>
        </is>
      </c>
      <c r="E421" t="inlineStr">
        <is>
          <t>TORSBY</t>
        </is>
      </c>
      <c r="G421" t="n">
        <v>2.7</v>
      </c>
      <c r="H421" t="n">
        <v>0</v>
      </c>
      <c r="I421" t="n">
        <v>0</v>
      </c>
      <c r="J421" t="n">
        <v>0</v>
      </c>
      <c r="K421" t="n">
        <v>0</v>
      </c>
      <c r="L421" t="n">
        <v>0</v>
      </c>
      <c r="M421" t="n">
        <v>0</v>
      </c>
      <c r="N421" t="n">
        <v>0</v>
      </c>
      <c r="O421" t="n">
        <v>0</v>
      </c>
      <c r="P421" t="n">
        <v>0</v>
      </c>
      <c r="Q421" t="n">
        <v>0</v>
      </c>
      <c r="R421" s="2" t="inlineStr"/>
    </row>
    <row r="422" ht="15" customHeight="1">
      <c r="A422" t="inlineStr">
        <is>
          <t>A 21672-2020</t>
        </is>
      </c>
      <c r="B422" s="1" t="n">
        <v>43957</v>
      </c>
      <c r="C422" s="1" t="n">
        <v>45711</v>
      </c>
      <c r="D422" t="inlineStr">
        <is>
          <t>VÄRMLANDS LÄN</t>
        </is>
      </c>
      <c r="E422" t="inlineStr">
        <is>
          <t>TORSBY</t>
        </is>
      </c>
      <c r="F422" t="inlineStr">
        <is>
          <t>Bergvik skog väst AB</t>
        </is>
      </c>
      <c r="G422" t="n">
        <v>44.1</v>
      </c>
      <c r="H422" t="n">
        <v>0</v>
      </c>
      <c r="I422" t="n">
        <v>0</v>
      </c>
      <c r="J422" t="n">
        <v>0</v>
      </c>
      <c r="K422" t="n">
        <v>0</v>
      </c>
      <c r="L422" t="n">
        <v>0</v>
      </c>
      <c r="M422" t="n">
        <v>0</v>
      </c>
      <c r="N422" t="n">
        <v>0</v>
      </c>
      <c r="O422" t="n">
        <v>0</v>
      </c>
      <c r="P422" t="n">
        <v>0</v>
      </c>
      <c r="Q422" t="n">
        <v>0</v>
      </c>
      <c r="R422" s="2" t="inlineStr"/>
    </row>
    <row r="423" ht="15" customHeight="1">
      <c r="A423" t="inlineStr">
        <is>
          <t>A 22194-2020</t>
        </is>
      </c>
      <c r="B423" s="1" t="n">
        <v>43962</v>
      </c>
      <c r="C423" s="1" t="n">
        <v>45711</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22209-2020</t>
        </is>
      </c>
      <c r="B424" s="1" t="n">
        <v>43962</v>
      </c>
      <c r="C424" s="1" t="n">
        <v>45711</v>
      </c>
      <c r="D424" t="inlineStr">
        <is>
          <t>VÄRMLANDS LÄN</t>
        </is>
      </c>
      <c r="E424" t="inlineStr">
        <is>
          <t>TORSBY</t>
        </is>
      </c>
      <c r="G424" t="n">
        <v>0.4</v>
      </c>
      <c r="H424" t="n">
        <v>0</v>
      </c>
      <c r="I424" t="n">
        <v>0</v>
      </c>
      <c r="J424" t="n">
        <v>0</v>
      </c>
      <c r="K424" t="n">
        <v>0</v>
      </c>
      <c r="L424" t="n">
        <v>0</v>
      </c>
      <c r="M424" t="n">
        <v>0</v>
      </c>
      <c r="N424" t="n">
        <v>0</v>
      </c>
      <c r="O424" t="n">
        <v>0</v>
      </c>
      <c r="P424" t="n">
        <v>0</v>
      </c>
      <c r="Q424" t="n">
        <v>0</v>
      </c>
      <c r="R424" s="2" t="inlineStr"/>
    </row>
    <row r="425" ht="15" customHeight="1">
      <c r="A425" t="inlineStr">
        <is>
          <t>A 25518-2020</t>
        </is>
      </c>
      <c r="B425" s="1" t="n">
        <v>43983</v>
      </c>
      <c r="C425" s="1" t="n">
        <v>45711</v>
      </c>
      <c r="D425" t="inlineStr">
        <is>
          <t>VÄRMLANDS LÄN</t>
        </is>
      </c>
      <c r="E425" t="inlineStr">
        <is>
          <t>TORSBY</t>
        </is>
      </c>
      <c r="G425" t="n">
        <v>0.2</v>
      </c>
      <c r="H425" t="n">
        <v>0</v>
      </c>
      <c r="I425" t="n">
        <v>0</v>
      </c>
      <c r="J425" t="n">
        <v>0</v>
      </c>
      <c r="K425" t="n">
        <v>0</v>
      </c>
      <c r="L425" t="n">
        <v>0</v>
      </c>
      <c r="M425" t="n">
        <v>0</v>
      </c>
      <c r="N425" t="n">
        <v>0</v>
      </c>
      <c r="O425" t="n">
        <v>0</v>
      </c>
      <c r="P425" t="n">
        <v>0</v>
      </c>
      <c r="Q425" t="n">
        <v>0</v>
      </c>
      <c r="R425" s="2" t="inlineStr"/>
    </row>
    <row r="426" ht="15" customHeight="1">
      <c r="A426" t="inlineStr">
        <is>
          <t>A 26915-2020</t>
        </is>
      </c>
      <c r="B426" s="1" t="n">
        <v>43986</v>
      </c>
      <c r="C426" s="1" t="n">
        <v>45711</v>
      </c>
      <c r="D426" t="inlineStr">
        <is>
          <t>VÄRMLANDS LÄN</t>
        </is>
      </c>
      <c r="E426" t="inlineStr">
        <is>
          <t>TORSBY</t>
        </is>
      </c>
      <c r="G426" t="n">
        <v>0.5</v>
      </c>
      <c r="H426" t="n">
        <v>0</v>
      </c>
      <c r="I426" t="n">
        <v>0</v>
      </c>
      <c r="J426" t="n">
        <v>0</v>
      </c>
      <c r="K426" t="n">
        <v>0</v>
      </c>
      <c r="L426" t="n">
        <v>0</v>
      </c>
      <c r="M426" t="n">
        <v>0</v>
      </c>
      <c r="N426" t="n">
        <v>0</v>
      </c>
      <c r="O426" t="n">
        <v>0</v>
      </c>
      <c r="P426" t="n">
        <v>0</v>
      </c>
      <c r="Q426" t="n">
        <v>0</v>
      </c>
      <c r="R426" s="2" t="inlineStr"/>
    </row>
    <row r="427" ht="15" customHeight="1">
      <c r="A427" t="inlineStr">
        <is>
          <t>A 26926-2020</t>
        </is>
      </c>
      <c r="B427" s="1" t="n">
        <v>43986</v>
      </c>
      <c r="C427" s="1" t="n">
        <v>45711</v>
      </c>
      <c r="D427" t="inlineStr">
        <is>
          <t>VÄRMLANDS LÄN</t>
        </is>
      </c>
      <c r="E427" t="inlineStr">
        <is>
          <t>TORSBY</t>
        </is>
      </c>
      <c r="G427" t="n">
        <v>1.4</v>
      </c>
      <c r="H427" t="n">
        <v>0</v>
      </c>
      <c r="I427" t="n">
        <v>0</v>
      </c>
      <c r="J427" t="n">
        <v>0</v>
      </c>
      <c r="K427" t="n">
        <v>0</v>
      </c>
      <c r="L427" t="n">
        <v>0</v>
      </c>
      <c r="M427" t="n">
        <v>0</v>
      </c>
      <c r="N427" t="n">
        <v>0</v>
      </c>
      <c r="O427" t="n">
        <v>0</v>
      </c>
      <c r="P427" t="n">
        <v>0</v>
      </c>
      <c r="Q427" t="n">
        <v>0</v>
      </c>
      <c r="R427" s="2" t="inlineStr"/>
    </row>
    <row r="428" ht="15" customHeight="1">
      <c r="A428" t="inlineStr">
        <is>
          <t>A 26919-2020</t>
        </is>
      </c>
      <c r="B428" s="1" t="n">
        <v>43986</v>
      </c>
      <c r="C428" s="1" t="n">
        <v>45711</v>
      </c>
      <c r="D428" t="inlineStr">
        <is>
          <t>VÄRMLANDS LÄN</t>
        </is>
      </c>
      <c r="E428" t="inlineStr">
        <is>
          <t>TORSBY</t>
        </is>
      </c>
      <c r="G428" t="n">
        <v>0.4</v>
      </c>
      <c r="H428" t="n">
        <v>0</v>
      </c>
      <c r="I428" t="n">
        <v>0</v>
      </c>
      <c r="J428" t="n">
        <v>0</v>
      </c>
      <c r="K428" t="n">
        <v>0</v>
      </c>
      <c r="L428" t="n">
        <v>0</v>
      </c>
      <c r="M428" t="n">
        <v>0</v>
      </c>
      <c r="N428" t="n">
        <v>0</v>
      </c>
      <c r="O428" t="n">
        <v>0</v>
      </c>
      <c r="P428" t="n">
        <v>0</v>
      </c>
      <c r="Q428" t="n">
        <v>0</v>
      </c>
      <c r="R428" s="2" t="inlineStr"/>
    </row>
    <row r="429" ht="15" customHeight="1">
      <c r="A429" t="inlineStr">
        <is>
          <t>A 26666-2020</t>
        </is>
      </c>
      <c r="B429" s="1" t="n">
        <v>43989</v>
      </c>
      <c r="C429" s="1" t="n">
        <v>45711</v>
      </c>
      <c r="D429" t="inlineStr">
        <is>
          <t>VÄRMLANDS LÄN</t>
        </is>
      </c>
      <c r="E429" t="inlineStr">
        <is>
          <t>TORSBY</t>
        </is>
      </c>
      <c r="G429" t="n">
        <v>8.4</v>
      </c>
      <c r="H429" t="n">
        <v>0</v>
      </c>
      <c r="I429" t="n">
        <v>0</v>
      </c>
      <c r="J429" t="n">
        <v>0</v>
      </c>
      <c r="K429" t="n">
        <v>0</v>
      </c>
      <c r="L429" t="n">
        <v>0</v>
      </c>
      <c r="M429" t="n">
        <v>0</v>
      </c>
      <c r="N429" t="n">
        <v>0</v>
      </c>
      <c r="O429" t="n">
        <v>0</v>
      </c>
      <c r="P429" t="n">
        <v>0</v>
      </c>
      <c r="Q429" t="n">
        <v>0</v>
      </c>
      <c r="R429" s="2" t="inlineStr"/>
    </row>
    <row r="430" ht="15" customHeight="1">
      <c r="A430" t="inlineStr">
        <is>
          <t>A 27339-2020</t>
        </is>
      </c>
      <c r="B430" s="1" t="n">
        <v>43990</v>
      </c>
      <c r="C430" s="1" t="n">
        <v>45711</v>
      </c>
      <c r="D430" t="inlineStr">
        <is>
          <t>VÄRMLANDS LÄN</t>
        </is>
      </c>
      <c r="E430" t="inlineStr">
        <is>
          <t>TORSBY</t>
        </is>
      </c>
      <c r="G430" t="n">
        <v>4.2</v>
      </c>
      <c r="H430" t="n">
        <v>0</v>
      </c>
      <c r="I430" t="n">
        <v>0</v>
      </c>
      <c r="J430" t="n">
        <v>0</v>
      </c>
      <c r="K430" t="n">
        <v>0</v>
      </c>
      <c r="L430" t="n">
        <v>0</v>
      </c>
      <c r="M430" t="n">
        <v>0</v>
      </c>
      <c r="N430" t="n">
        <v>0</v>
      </c>
      <c r="O430" t="n">
        <v>0</v>
      </c>
      <c r="P430" t="n">
        <v>0</v>
      </c>
      <c r="Q430" t="n">
        <v>0</v>
      </c>
      <c r="R430" s="2" t="inlineStr"/>
    </row>
    <row r="431" ht="15" customHeight="1">
      <c r="A431" t="inlineStr">
        <is>
          <t>A 27009-2020</t>
        </is>
      </c>
      <c r="B431" s="1" t="n">
        <v>43991</v>
      </c>
      <c r="C431" s="1" t="n">
        <v>45711</v>
      </c>
      <c r="D431" t="inlineStr">
        <is>
          <t>VÄRMLANDS LÄN</t>
        </is>
      </c>
      <c r="E431" t="inlineStr">
        <is>
          <t>TORSBY</t>
        </is>
      </c>
      <c r="F431" t="inlineStr">
        <is>
          <t>Bergvik skog väst AB</t>
        </is>
      </c>
      <c r="G431" t="n">
        <v>3</v>
      </c>
      <c r="H431" t="n">
        <v>0</v>
      </c>
      <c r="I431" t="n">
        <v>0</v>
      </c>
      <c r="J431" t="n">
        <v>0</v>
      </c>
      <c r="K431" t="n">
        <v>0</v>
      </c>
      <c r="L431" t="n">
        <v>0</v>
      </c>
      <c r="M431" t="n">
        <v>0</v>
      </c>
      <c r="N431" t="n">
        <v>0</v>
      </c>
      <c r="O431" t="n">
        <v>0</v>
      </c>
      <c r="P431" t="n">
        <v>0</v>
      </c>
      <c r="Q431" t="n">
        <v>0</v>
      </c>
      <c r="R431" s="2" t="inlineStr"/>
    </row>
    <row r="432" ht="15" customHeight="1">
      <c r="A432" t="inlineStr">
        <is>
          <t>A 28397-2020</t>
        </is>
      </c>
      <c r="B432" s="1" t="n">
        <v>43998</v>
      </c>
      <c r="C432" s="1" t="n">
        <v>45711</v>
      </c>
      <c r="D432" t="inlineStr">
        <is>
          <t>VÄRMLANDS LÄN</t>
        </is>
      </c>
      <c r="E432" t="inlineStr">
        <is>
          <t>TORSBY</t>
        </is>
      </c>
      <c r="G432" t="n">
        <v>7.3</v>
      </c>
      <c r="H432" t="n">
        <v>0</v>
      </c>
      <c r="I432" t="n">
        <v>0</v>
      </c>
      <c r="J432" t="n">
        <v>0</v>
      </c>
      <c r="K432" t="n">
        <v>0</v>
      </c>
      <c r="L432" t="n">
        <v>0</v>
      </c>
      <c r="M432" t="n">
        <v>0</v>
      </c>
      <c r="N432" t="n">
        <v>0</v>
      </c>
      <c r="O432" t="n">
        <v>0</v>
      </c>
      <c r="P432" t="n">
        <v>0</v>
      </c>
      <c r="Q432" t="n">
        <v>0</v>
      </c>
      <c r="R432" s="2" t="inlineStr"/>
    </row>
    <row r="433" ht="15" customHeight="1">
      <c r="A433" t="inlineStr">
        <is>
          <t>A 28416-2020</t>
        </is>
      </c>
      <c r="B433" s="1" t="n">
        <v>43998</v>
      </c>
      <c r="C433" s="1" t="n">
        <v>45711</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28703-2020</t>
        </is>
      </c>
      <c r="B434" s="1" t="n">
        <v>43999</v>
      </c>
      <c r="C434" s="1" t="n">
        <v>45711</v>
      </c>
      <c r="D434" t="inlineStr">
        <is>
          <t>VÄRMLANDS LÄN</t>
        </is>
      </c>
      <c r="E434" t="inlineStr">
        <is>
          <t>TORSBY</t>
        </is>
      </c>
      <c r="G434" t="n">
        <v>4.3</v>
      </c>
      <c r="H434" t="n">
        <v>0</v>
      </c>
      <c r="I434" t="n">
        <v>0</v>
      </c>
      <c r="J434" t="n">
        <v>0</v>
      </c>
      <c r="K434" t="n">
        <v>0</v>
      </c>
      <c r="L434" t="n">
        <v>0</v>
      </c>
      <c r="M434" t="n">
        <v>0</v>
      </c>
      <c r="N434" t="n">
        <v>0</v>
      </c>
      <c r="O434" t="n">
        <v>0</v>
      </c>
      <c r="P434" t="n">
        <v>0</v>
      </c>
      <c r="Q434" t="n">
        <v>0</v>
      </c>
      <c r="R434" s="2" t="inlineStr"/>
    </row>
    <row r="435" ht="15" customHeight="1">
      <c r="A435" t="inlineStr">
        <is>
          <t>A 28849-2020</t>
        </is>
      </c>
      <c r="B435" s="1" t="n">
        <v>44000</v>
      </c>
      <c r="C435" s="1" t="n">
        <v>45711</v>
      </c>
      <c r="D435" t="inlineStr">
        <is>
          <t>VÄRMLANDS LÄN</t>
        </is>
      </c>
      <c r="E435" t="inlineStr">
        <is>
          <t>TORSBY</t>
        </is>
      </c>
      <c r="G435" t="n">
        <v>10.9</v>
      </c>
      <c r="H435" t="n">
        <v>0</v>
      </c>
      <c r="I435" t="n">
        <v>0</v>
      </c>
      <c r="J435" t="n">
        <v>0</v>
      </c>
      <c r="K435" t="n">
        <v>0</v>
      </c>
      <c r="L435" t="n">
        <v>0</v>
      </c>
      <c r="M435" t="n">
        <v>0</v>
      </c>
      <c r="N435" t="n">
        <v>0</v>
      </c>
      <c r="O435" t="n">
        <v>0</v>
      </c>
      <c r="P435" t="n">
        <v>0</v>
      </c>
      <c r="Q435" t="n">
        <v>0</v>
      </c>
      <c r="R435" s="2" t="inlineStr"/>
    </row>
    <row r="436" ht="15" customHeight="1">
      <c r="A436" t="inlineStr">
        <is>
          <t>A 28897-2020</t>
        </is>
      </c>
      <c r="B436" s="1" t="n">
        <v>44000</v>
      </c>
      <c r="C436" s="1" t="n">
        <v>45711</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28911-2020</t>
        </is>
      </c>
      <c r="B437" s="1" t="n">
        <v>44000</v>
      </c>
      <c r="C437" s="1" t="n">
        <v>45711</v>
      </c>
      <c r="D437" t="inlineStr">
        <is>
          <t>VÄRMLANDS LÄN</t>
        </is>
      </c>
      <c r="E437" t="inlineStr">
        <is>
          <t>TORSBY</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28976-2020</t>
        </is>
      </c>
      <c r="B438" s="1" t="n">
        <v>44000</v>
      </c>
      <c r="C438" s="1" t="n">
        <v>45711</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28987-2020</t>
        </is>
      </c>
      <c r="B439" s="1" t="n">
        <v>44000</v>
      </c>
      <c r="C439" s="1" t="n">
        <v>45711</v>
      </c>
      <c r="D439" t="inlineStr">
        <is>
          <t>VÄRMLANDS LÄN</t>
        </is>
      </c>
      <c r="E439" t="inlineStr">
        <is>
          <t>TORSBY</t>
        </is>
      </c>
      <c r="G439" t="n">
        <v>1.9</v>
      </c>
      <c r="H439" t="n">
        <v>0</v>
      </c>
      <c r="I439" t="n">
        <v>0</v>
      </c>
      <c r="J439" t="n">
        <v>0</v>
      </c>
      <c r="K439" t="n">
        <v>0</v>
      </c>
      <c r="L439" t="n">
        <v>0</v>
      </c>
      <c r="M439" t="n">
        <v>0</v>
      </c>
      <c r="N439" t="n">
        <v>0</v>
      </c>
      <c r="O439" t="n">
        <v>0</v>
      </c>
      <c r="P439" t="n">
        <v>0</v>
      </c>
      <c r="Q439" t="n">
        <v>0</v>
      </c>
      <c r="R439" s="2" t="inlineStr"/>
    </row>
    <row r="440" ht="15" customHeight="1">
      <c r="A440" t="inlineStr">
        <is>
          <t>A 29970-2020</t>
        </is>
      </c>
      <c r="B440" s="1" t="n">
        <v>44006</v>
      </c>
      <c r="C440" s="1" t="n">
        <v>45711</v>
      </c>
      <c r="D440" t="inlineStr">
        <is>
          <t>VÄRMLANDS LÄN</t>
        </is>
      </c>
      <c r="E440" t="inlineStr">
        <is>
          <t>TORSBY</t>
        </is>
      </c>
      <c r="F440" t="inlineStr">
        <is>
          <t>Bergvik skog väst AB</t>
        </is>
      </c>
      <c r="G440" t="n">
        <v>7.4</v>
      </c>
      <c r="H440" t="n">
        <v>0</v>
      </c>
      <c r="I440" t="n">
        <v>0</v>
      </c>
      <c r="J440" t="n">
        <v>0</v>
      </c>
      <c r="K440" t="n">
        <v>0</v>
      </c>
      <c r="L440" t="n">
        <v>0</v>
      </c>
      <c r="M440" t="n">
        <v>0</v>
      </c>
      <c r="N440" t="n">
        <v>0</v>
      </c>
      <c r="O440" t="n">
        <v>0</v>
      </c>
      <c r="P440" t="n">
        <v>0</v>
      </c>
      <c r="Q440" t="n">
        <v>0</v>
      </c>
      <c r="R440" s="2" t="inlineStr"/>
    </row>
    <row r="441" ht="15" customHeight="1">
      <c r="A441" t="inlineStr">
        <is>
          <t>A 30572-2020</t>
        </is>
      </c>
      <c r="B441" s="1" t="n">
        <v>44008</v>
      </c>
      <c r="C441" s="1" t="n">
        <v>45711</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30996-2020</t>
        </is>
      </c>
      <c r="B442" s="1" t="n">
        <v>44011</v>
      </c>
      <c r="C442" s="1" t="n">
        <v>45711</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30930-2020</t>
        </is>
      </c>
      <c r="B443" s="1" t="n">
        <v>44011</v>
      </c>
      <c r="C443" s="1" t="n">
        <v>45711</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31298-2020</t>
        </is>
      </c>
      <c r="B444" s="1" t="n">
        <v>44012</v>
      </c>
      <c r="C444" s="1" t="n">
        <v>45711</v>
      </c>
      <c r="D444" t="inlineStr">
        <is>
          <t>VÄRMLANDS LÄN</t>
        </is>
      </c>
      <c r="E444" t="inlineStr">
        <is>
          <t>TORSBY</t>
        </is>
      </c>
      <c r="G444" t="n">
        <v>4.3</v>
      </c>
      <c r="H444" t="n">
        <v>0</v>
      </c>
      <c r="I444" t="n">
        <v>0</v>
      </c>
      <c r="J444" t="n">
        <v>0</v>
      </c>
      <c r="K444" t="n">
        <v>0</v>
      </c>
      <c r="L444" t="n">
        <v>0</v>
      </c>
      <c r="M444" t="n">
        <v>0</v>
      </c>
      <c r="N444" t="n">
        <v>0</v>
      </c>
      <c r="O444" t="n">
        <v>0</v>
      </c>
      <c r="P444" t="n">
        <v>0</v>
      </c>
      <c r="Q444" t="n">
        <v>0</v>
      </c>
      <c r="R444" s="2" t="inlineStr"/>
    </row>
    <row r="445" ht="15" customHeight="1">
      <c r="A445" t="inlineStr">
        <is>
          <t>A 31436-2020</t>
        </is>
      </c>
      <c r="B445" s="1" t="n">
        <v>44013</v>
      </c>
      <c r="C445" s="1" t="n">
        <v>45711</v>
      </c>
      <c r="D445" t="inlineStr">
        <is>
          <t>VÄRMLANDS LÄN</t>
        </is>
      </c>
      <c r="E445" t="inlineStr">
        <is>
          <t>TORSBY</t>
        </is>
      </c>
      <c r="G445" t="n">
        <v>0.6</v>
      </c>
      <c r="H445" t="n">
        <v>0</v>
      </c>
      <c r="I445" t="n">
        <v>0</v>
      </c>
      <c r="J445" t="n">
        <v>0</v>
      </c>
      <c r="K445" t="n">
        <v>0</v>
      </c>
      <c r="L445" t="n">
        <v>0</v>
      </c>
      <c r="M445" t="n">
        <v>0</v>
      </c>
      <c r="N445" t="n">
        <v>0</v>
      </c>
      <c r="O445" t="n">
        <v>0</v>
      </c>
      <c r="P445" t="n">
        <v>0</v>
      </c>
      <c r="Q445" t="n">
        <v>0</v>
      </c>
      <c r="R445" s="2" t="inlineStr"/>
    </row>
    <row r="446" ht="15" customHeight="1">
      <c r="A446" t="inlineStr">
        <is>
          <t>A 31577-2020</t>
        </is>
      </c>
      <c r="B446" s="1" t="n">
        <v>44013</v>
      </c>
      <c r="C446" s="1" t="n">
        <v>45711</v>
      </c>
      <c r="D446" t="inlineStr">
        <is>
          <t>VÄRMLANDS LÄN</t>
        </is>
      </c>
      <c r="E446" t="inlineStr">
        <is>
          <t>TORSBY</t>
        </is>
      </c>
      <c r="F446" t="inlineStr">
        <is>
          <t>Kommuner</t>
        </is>
      </c>
      <c r="G446" t="n">
        <v>1</v>
      </c>
      <c r="H446" t="n">
        <v>0</v>
      </c>
      <c r="I446" t="n">
        <v>0</v>
      </c>
      <c r="J446" t="n">
        <v>0</v>
      </c>
      <c r="K446" t="n">
        <v>0</v>
      </c>
      <c r="L446" t="n">
        <v>0</v>
      </c>
      <c r="M446" t="n">
        <v>0</v>
      </c>
      <c r="N446" t="n">
        <v>0</v>
      </c>
      <c r="O446" t="n">
        <v>0</v>
      </c>
      <c r="P446" t="n">
        <v>0</v>
      </c>
      <c r="Q446" t="n">
        <v>0</v>
      </c>
      <c r="R446" s="2" t="inlineStr"/>
    </row>
    <row r="447" ht="15" customHeight="1">
      <c r="A447" t="inlineStr">
        <is>
          <t>A 31759-2020</t>
        </is>
      </c>
      <c r="B447" s="1" t="n">
        <v>44014</v>
      </c>
      <c r="C447" s="1" t="n">
        <v>45711</v>
      </c>
      <c r="D447" t="inlineStr">
        <is>
          <t>VÄRMLANDS LÄN</t>
        </is>
      </c>
      <c r="E447" t="inlineStr">
        <is>
          <t>TORSBY</t>
        </is>
      </c>
      <c r="G447" t="n">
        <v>1.4</v>
      </c>
      <c r="H447" t="n">
        <v>0</v>
      </c>
      <c r="I447" t="n">
        <v>0</v>
      </c>
      <c r="J447" t="n">
        <v>0</v>
      </c>
      <c r="K447" t="n">
        <v>0</v>
      </c>
      <c r="L447" t="n">
        <v>0</v>
      </c>
      <c r="M447" t="n">
        <v>0</v>
      </c>
      <c r="N447" t="n">
        <v>0</v>
      </c>
      <c r="O447" t="n">
        <v>0</v>
      </c>
      <c r="P447" t="n">
        <v>0</v>
      </c>
      <c r="Q447" t="n">
        <v>0</v>
      </c>
      <c r="R447" s="2" t="inlineStr"/>
    </row>
    <row r="448" ht="15" customHeight="1">
      <c r="A448" t="inlineStr">
        <is>
          <t>A 32122-2020</t>
        </is>
      </c>
      <c r="B448" s="1" t="n">
        <v>44015</v>
      </c>
      <c r="C448" s="1" t="n">
        <v>45711</v>
      </c>
      <c r="D448" t="inlineStr">
        <is>
          <t>VÄRMLANDS LÄN</t>
        </is>
      </c>
      <c r="E448" t="inlineStr">
        <is>
          <t>TORSBY</t>
        </is>
      </c>
      <c r="G448" t="n">
        <v>0.8</v>
      </c>
      <c r="H448" t="n">
        <v>0</v>
      </c>
      <c r="I448" t="n">
        <v>0</v>
      </c>
      <c r="J448" t="n">
        <v>0</v>
      </c>
      <c r="K448" t="n">
        <v>0</v>
      </c>
      <c r="L448" t="n">
        <v>0</v>
      </c>
      <c r="M448" t="n">
        <v>0</v>
      </c>
      <c r="N448" t="n">
        <v>0</v>
      </c>
      <c r="O448" t="n">
        <v>0</v>
      </c>
      <c r="P448" t="n">
        <v>0</v>
      </c>
      <c r="Q448" t="n">
        <v>0</v>
      </c>
      <c r="R448" s="2" t="inlineStr"/>
    </row>
    <row r="449" ht="15" customHeight="1">
      <c r="A449" t="inlineStr">
        <is>
          <t>A 32623-2020</t>
        </is>
      </c>
      <c r="B449" s="1" t="n">
        <v>44019</v>
      </c>
      <c r="C449" s="1" t="n">
        <v>45711</v>
      </c>
      <c r="D449" t="inlineStr">
        <is>
          <t>VÄRMLANDS LÄN</t>
        </is>
      </c>
      <c r="E449" t="inlineStr">
        <is>
          <t>TORSBY</t>
        </is>
      </c>
      <c r="F449" t="inlineStr">
        <is>
          <t>Kommuner</t>
        </is>
      </c>
      <c r="G449" t="n">
        <v>13.9</v>
      </c>
      <c r="H449" t="n">
        <v>0</v>
      </c>
      <c r="I449" t="n">
        <v>0</v>
      </c>
      <c r="J449" t="n">
        <v>0</v>
      </c>
      <c r="K449" t="n">
        <v>0</v>
      </c>
      <c r="L449" t="n">
        <v>0</v>
      </c>
      <c r="M449" t="n">
        <v>0</v>
      </c>
      <c r="N449" t="n">
        <v>0</v>
      </c>
      <c r="O449" t="n">
        <v>0</v>
      </c>
      <c r="P449" t="n">
        <v>0</v>
      </c>
      <c r="Q449" t="n">
        <v>0</v>
      </c>
      <c r="R449" s="2" t="inlineStr"/>
    </row>
    <row r="450" ht="15" customHeight="1">
      <c r="A450" t="inlineStr">
        <is>
          <t>A 32651-2020</t>
        </is>
      </c>
      <c r="B450" s="1" t="n">
        <v>44019</v>
      </c>
      <c r="C450" s="1" t="n">
        <v>45711</v>
      </c>
      <c r="D450" t="inlineStr">
        <is>
          <t>VÄRMLANDS LÄN</t>
        </is>
      </c>
      <c r="E450" t="inlineStr">
        <is>
          <t>TORSBY</t>
        </is>
      </c>
      <c r="F450" t="inlineStr">
        <is>
          <t>Kommuner</t>
        </is>
      </c>
      <c r="G450" t="n">
        <v>8.6</v>
      </c>
      <c r="H450" t="n">
        <v>0</v>
      </c>
      <c r="I450" t="n">
        <v>0</v>
      </c>
      <c r="J450" t="n">
        <v>0</v>
      </c>
      <c r="K450" t="n">
        <v>0</v>
      </c>
      <c r="L450" t="n">
        <v>0</v>
      </c>
      <c r="M450" t="n">
        <v>0</v>
      </c>
      <c r="N450" t="n">
        <v>0</v>
      </c>
      <c r="O450" t="n">
        <v>0</v>
      </c>
      <c r="P450" t="n">
        <v>0</v>
      </c>
      <c r="Q450" t="n">
        <v>0</v>
      </c>
      <c r="R450" s="2" t="inlineStr"/>
    </row>
    <row r="451" ht="15" customHeight="1">
      <c r="A451" t="inlineStr">
        <is>
          <t>A 33124-2020</t>
        </is>
      </c>
      <c r="B451" s="1" t="n">
        <v>44021</v>
      </c>
      <c r="C451" s="1" t="n">
        <v>45711</v>
      </c>
      <c r="D451" t="inlineStr">
        <is>
          <t>VÄRMLANDS LÄN</t>
        </is>
      </c>
      <c r="E451" t="inlineStr">
        <is>
          <t>TORSBY</t>
        </is>
      </c>
      <c r="G451" t="n">
        <v>1.9</v>
      </c>
      <c r="H451" t="n">
        <v>0</v>
      </c>
      <c r="I451" t="n">
        <v>0</v>
      </c>
      <c r="J451" t="n">
        <v>0</v>
      </c>
      <c r="K451" t="n">
        <v>0</v>
      </c>
      <c r="L451" t="n">
        <v>0</v>
      </c>
      <c r="M451" t="n">
        <v>0</v>
      </c>
      <c r="N451" t="n">
        <v>0</v>
      </c>
      <c r="O451" t="n">
        <v>0</v>
      </c>
      <c r="P451" t="n">
        <v>0</v>
      </c>
      <c r="Q451" t="n">
        <v>0</v>
      </c>
      <c r="R451" s="2" t="inlineStr"/>
    </row>
    <row r="452" ht="15" customHeight="1">
      <c r="A452" t="inlineStr">
        <is>
          <t>A 33095-2020</t>
        </is>
      </c>
      <c r="B452" s="1" t="n">
        <v>44021</v>
      </c>
      <c r="C452" s="1" t="n">
        <v>45711</v>
      </c>
      <c r="D452" t="inlineStr">
        <is>
          <t>VÄRMLANDS LÄN</t>
        </is>
      </c>
      <c r="E452" t="inlineStr">
        <is>
          <t>TORSBY</t>
        </is>
      </c>
      <c r="G452" t="n">
        <v>3.1</v>
      </c>
      <c r="H452" t="n">
        <v>0</v>
      </c>
      <c r="I452" t="n">
        <v>0</v>
      </c>
      <c r="J452" t="n">
        <v>0</v>
      </c>
      <c r="K452" t="n">
        <v>0</v>
      </c>
      <c r="L452" t="n">
        <v>0</v>
      </c>
      <c r="M452" t="n">
        <v>0</v>
      </c>
      <c r="N452" t="n">
        <v>0</v>
      </c>
      <c r="O452" t="n">
        <v>0</v>
      </c>
      <c r="P452" t="n">
        <v>0</v>
      </c>
      <c r="Q452" t="n">
        <v>0</v>
      </c>
      <c r="R452" s="2" t="inlineStr"/>
    </row>
    <row r="453" ht="15" customHeight="1">
      <c r="A453" t="inlineStr">
        <is>
          <t>A 33126-2020</t>
        </is>
      </c>
      <c r="B453" s="1" t="n">
        <v>44021</v>
      </c>
      <c r="C453" s="1" t="n">
        <v>45711</v>
      </c>
      <c r="D453" t="inlineStr">
        <is>
          <t>VÄRMLANDS LÄN</t>
        </is>
      </c>
      <c r="E453" t="inlineStr">
        <is>
          <t>TORSBY</t>
        </is>
      </c>
      <c r="G453" t="n">
        <v>1.7</v>
      </c>
      <c r="H453" t="n">
        <v>0</v>
      </c>
      <c r="I453" t="n">
        <v>0</v>
      </c>
      <c r="J453" t="n">
        <v>0</v>
      </c>
      <c r="K453" t="n">
        <v>0</v>
      </c>
      <c r="L453" t="n">
        <v>0</v>
      </c>
      <c r="M453" t="n">
        <v>0</v>
      </c>
      <c r="N453" t="n">
        <v>0</v>
      </c>
      <c r="O453" t="n">
        <v>0</v>
      </c>
      <c r="P453" t="n">
        <v>0</v>
      </c>
      <c r="Q453" t="n">
        <v>0</v>
      </c>
      <c r="R453" s="2" t="inlineStr"/>
    </row>
    <row r="454" ht="15" customHeight="1">
      <c r="A454" t="inlineStr">
        <is>
          <t>A 33691-2020</t>
        </is>
      </c>
      <c r="B454" s="1" t="n">
        <v>44022</v>
      </c>
      <c r="C454" s="1" t="n">
        <v>45711</v>
      </c>
      <c r="D454" t="inlineStr">
        <is>
          <t>VÄRMLANDS LÄN</t>
        </is>
      </c>
      <c r="E454" t="inlineStr">
        <is>
          <t>TORSBY</t>
        </is>
      </c>
      <c r="F454" t="inlineStr">
        <is>
          <t>Övriga Aktiebolag</t>
        </is>
      </c>
      <c r="G454" t="n">
        <v>3.8</v>
      </c>
      <c r="H454" t="n">
        <v>0</v>
      </c>
      <c r="I454" t="n">
        <v>0</v>
      </c>
      <c r="J454" t="n">
        <v>0</v>
      </c>
      <c r="K454" t="n">
        <v>0</v>
      </c>
      <c r="L454" t="n">
        <v>0</v>
      </c>
      <c r="M454" t="n">
        <v>0</v>
      </c>
      <c r="N454" t="n">
        <v>0</v>
      </c>
      <c r="O454" t="n">
        <v>0</v>
      </c>
      <c r="P454" t="n">
        <v>0</v>
      </c>
      <c r="Q454" t="n">
        <v>0</v>
      </c>
      <c r="R454" s="2" t="inlineStr"/>
    </row>
    <row r="455" ht="15" customHeight="1">
      <c r="A455" t="inlineStr">
        <is>
          <t>A 34901-2020</t>
        </is>
      </c>
      <c r="B455" s="1" t="n">
        <v>44022</v>
      </c>
      <c r="C455" s="1" t="n">
        <v>45711</v>
      </c>
      <c r="D455" t="inlineStr">
        <is>
          <t>VÄRMLANDS LÄN</t>
        </is>
      </c>
      <c r="E455" t="inlineStr">
        <is>
          <t>TORSBY</t>
        </is>
      </c>
      <c r="F455" t="inlineStr">
        <is>
          <t>Övriga Aktiebolag</t>
        </is>
      </c>
      <c r="G455" t="n">
        <v>0.4</v>
      </c>
      <c r="H455" t="n">
        <v>0</v>
      </c>
      <c r="I455" t="n">
        <v>0</v>
      </c>
      <c r="J455" t="n">
        <v>0</v>
      </c>
      <c r="K455" t="n">
        <v>0</v>
      </c>
      <c r="L455" t="n">
        <v>0</v>
      </c>
      <c r="M455" t="n">
        <v>0</v>
      </c>
      <c r="N455" t="n">
        <v>0</v>
      </c>
      <c r="O455" t="n">
        <v>0</v>
      </c>
      <c r="P455" t="n">
        <v>0</v>
      </c>
      <c r="Q455" t="n">
        <v>0</v>
      </c>
      <c r="R455" s="2" t="inlineStr"/>
    </row>
    <row r="456" ht="15" customHeight="1">
      <c r="A456" t="inlineStr">
        <is>
          <t>A 33908-2020</t>
        </is>
      </c>
      <c r="B456" s="1" t="n">
        <v>44027</v>
      </c>
      <c r="C456" s="1" t="n">
        <v>45711</v>
      </c>
      <c r="D456" t="inlineStr">
        <is>
          <t>VÄRMLANDS LÄN</t>
        </is>
      </c>
      <c r="E456" t="inlineStr">
        <is>
          <t>TORSBY</t>
        </is>
      </c>
      <c r="G456" t="n">
        <v>3.6</v>
      </c>
      <c r="H456" t="n">
        <v>0</v>
      </c>
      <c r="I456" t="n">
        <v>0</v>
      </c>
      <c r="J456" t="n">
        <v>0</v>
      </c>
      <c r="K456" t="n">
        <v>0</v>
      </c>
      <c r="L456" t="n">
        <v>0</v>
      </c>
      <c r="M456" t="n">
        <v>0</v>
      </c>
      <c r="N456" t="n">
        <v>0</v>
      </c>
      <c r="O456" t="n">
        <v>0</v>
      </c>
      <c r="P456" t="n">
        <v>0</v>
      </c>
      <c r="Q456" t="n">
        <v>0</v>
      </c>
      <c r="R456" s="2" t="inlineStr"/>
    </row>
    <row r="457" ht="15" customHeight="1">
      <c r="A457" t="inlineStr">
        <is>
          <t>A 33864-2020</t>
        </is>
      </c>
      <c r="B457" s="1" t="n">
        <v>44027</v>
      </c>
      <c r="C457" s="1" t="n">
        <v>45711</v>
      </c>
      <c r="D457" t="inlineStr">
        <is>
          <t>VÄRMLANDS LÄN</t>
        </is>
      </c>
      <c r="E457" t="inlineStr">
        <is>
          <t>TORSBY</t>
        </is>
      </c>
      <c r="G457" t="n">
        <v>0.6</v>
      </c>
      <c r="H457" t="n">
        <v>0</v>
      </c>
      <c r="I457" t="n">
        <v>0</v>
      </c>
      <c r="J457" t="n">
        <v>0</v>
      </c>
      <c r="K457" t="n">
        <v>0</v>
      </c>
      <c r="L457" t="n">
        <v>0</v>
      </c>
      <c r="M457" t="n">
        <v>0</v>
      </c>
      <c r="N457" t="n">
        <v>0</v>
      </c>
      <c r="O457" t="n">
        <v>0</v>
      </c>
      <c r="P457" t="n">
        <v>0</v>
      </c>
      <c r="Q457" t="n">
        <v>0</v>
      </c>
      <c r="R457" s="2" t="inlineStr"/>
    </row>
    <row r="458" ht="15" customHeight="1">
      <c r="A458" t="inlineStr">
        <is>
          <t>A 34118-2020</t>
        </is>
      </c>
      <c r="B458" s="1" t="n">
        <v>44028</v>
      </c>
      <c r="C458" s="1" t="n">
        <v>45711</v>
      </c>
      <c r="D458" t="inlineStr">
        <is>
          <t>VÄRMLANDS LÄN</t>
        </is>
      </c>
      <c r="E458" t="inlineStr">
        <is>
          <t>TORSBY</t>
        </is>
      </c>
      <c r="G458" t="n">
        <v>1.8</v>
      </c>
      <c r="H458" t="n">
        <v>0</v>
      </c>
      <c r="I458" t="n">
        <v>0</v>
      </c>
      <c r="J458" t="n">
        <v>0</v>
      </c>
      <c r="K458" t="n">
        <v>0</v>
      </c>
      <c r="L458" t="n">
        <v>0</v>
      </c>
      <c r="M458" t="n">
        <v>0</v>
      </c>
      <c r="N458" t="n">
        <v>0</v>
      </c>
      <c r="O458" t="n">
        <v>0</v>
      </c>
      <c r="P458" t="n">
        <v>0</v>
      </c>
      <c r="Q458" t="n">
        <v>0</v>
      </c>
      <c r="R458" s="2" t="inlineStr"/>
    </row>
    <row r="459" ht="15" customHeight="1">
      <c r="A459" t="inlineStr">
        <is>
          <t>A 34247-2020</t>
        </is>
      </c>
      <c r="B459" s="1" t="n">
        <v>44029</v>
      </c>
      <c r="C459" s="1" t="n">
        <v>45711</v>
      </c>
      <c r="D459" t="inlineStr">
        <is>
          <t>VÄRMLANDS LÄN</t>
        </is>
      </c>
      <c r="E459" t="inlineStr">
        <is>
          <t>TORSBY</t>
        </is>
      </c>
      <c r="F459" t="inlineStr">
        <is>
          <t>Kommuner</t>
        </is>
      </c>
      <c r="G459" t="n">
        <v>3.3</v>
      </c>
      <c r="H459" t="n">
        <v>0</v>
      </c>
      <c r="I459" t="n">
        <v>0</v>
      </c>
      <c r="J459" t="n">
        <v>0</v>
      </c>
      <c r="K459" t="n">
        <v>0</v>
      </c>
      <c r="L459" t="n">
        <v>0</v>
      </c>
      <c r="M459" t="n">
        <v>0</v>
      </c>
      <c r="N459" t="n">
        <v>0</v>
      </c>
      <c r="O459" t="n">
        <v>0</v>
      </c>
      <c r="P459" t="n">
        <v>0</v>
      </c>
      <c r="Q459" t="n">
        <v>0</v>
      </c>
      <c r="R459" s="2" t="inlineStr"/>
    </row>
    <row r="460" ht="15" customHeight="1">
      <c r="A460" t="inlineStr">
        <is>
          <t>A 35132-2020</t>
        </is>
      </c>
      <c r="B460" s="1" t="n">
        <v>44040</v>
      </c>
      <c r="C460" s="1" t="n">
        <v>45711</v>
      </c>
      <c r="D460" t="inlineStr">
        <is>
          <t>VÄRMLANDS LÄN</t>
        </is>
      </c>
      <c r="E460" t="inlineStr">
        <is>
          <t>TORSBY</t>
        </is>
      </c>
      <c r="F460" t="inlineStr">
        <is>
          <t>Kommuner</t>
        </is>
      </c>
      <c r="G460" t="n">
        <v>5.3</v>
      </c>
      <c r="H460" t="n">
        <v>0</v>
      </c>
      <c r="I460" t="n">
        <v>0</v>
      </c>
      <c r="J460" t="n">
        <v>0</v>
      </c>
      <c r="K460" t="n">
        <v>0</v>
      </c>
      <c r="L460" t="n">
        <v>0</v>
      </c>
      <c r="M460" t="n">
        <v>0</v>
      </c>
      <c r="N460" t="n">
        <v>0</v>
      </c>
      <c r="O460" t="n">
        <v>0</v>
      </c>
      <c r="P460" t="n">
        <v>0</v>
      </c>
      <c r="Q460" t="n">
        <v>0</v>
      </c>
      <c r="R460" s="2" t="inlineStr"/>
    </row>
    <row r="461" ht="15" customHeight="1">
      <c r="A461" t="inlineStr">
        <is>
          <t>A 35174-2020</t>
        </is>
      </c>
      <c r="B461" s="1" t="n">
        <v>44040</v>
      </c>
      <c r="C461" s="1" t="n">
        <v>45711</v>
      </c>
      <c r="D461" t="inlineStr">
        <is>
          <t>VÄRMLANDS LÄN</t>
        </is>
      </c>
      <c r="E461" t="inlineStr">
        <is>
          <t>TORSBY</t>
        </is>
      </c>
      <c r="F461" t="inlineStr">
        <is>
          <t>Kommuner</t>
        </is>
      </c>
      <c r="G461" t="n">
        <v>5.3</v>
      </c>
      <c r="H461" t="n">
        <v>0</v>
      </c>
      <c r="I461" t="n">
        <v>0</v>
      </c>
      <c r="J461" t="n">
        <v>0</v>
      </c>
      <c r="K461" t="n">
        <v>0</v>
      </c>
      <c r="L461" t="n">
        <v>0</v>
      </c>
      <c r="M461" t="n">
        <v>0</v>
      </c>
      <c r="N461" t="n">
        <v>0</v>
      </c>
      <c r="O461" t="n">
        <v>0</v>
      </c>
      <c r="P461" t="n">
        <v>0</v>
      </c>
      <c r="Q461" t="n">
        <v>0</v>
      </c>
      <c r="R461" s="2" t="inlineStr"/>
    </row>
    <row r="462" ht="15" customHeight="1">
      <c r="A462" t="inlineStr">
        <is>
          <t>A 35500-2020</t>
        </is>
      </c>
      <c r="B462" s="1" t="n">
        <v>44043</v>
      </c>
      <c r="C462" s="1" t="n">
        <v>45711</v>
      </c>
      <c r="D462" t="inlineStr">
        <is>
          <t>VÄRMLANDS LÄN</t>
        </is>
      </c>
      <c r="E462" t="inlineStr">
        <is>
          <t>TORSBY</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35778-2020</t>
        </is>
      </c>
      <c r="B463" s="1" t="n">
        <v>44046</v>
      </c>
      <c r="C463" s="1" t="n">
        <v>45711</v>
      </c>
      <c r="D463" t="inlineStr">
        <is>
          <t>VÄRMLANDS LÄN</t>
        </is>
      </c>
      <c r="E463" t="inlineStr">
        <is>
          <t>TORSBY</t>
        </is>
      </c>
      <c r="G463" t="n">
        <v>10.2</v>
      </c>
      <c r="H463" t="n">
        <v>0</v>
      </c>
      <c r="I463" t="n">
        <v>0</v>
      </c>
      <c r="J463" t="n">
        <v>0</v>
      </c>
      <c r="K463" t="n">
        <v>0</v>
      </c>
      <c r="L463" t="n">
        <v>0</v>
      </c>
      <c r="M463" t="n">
        <v>0</v>
      </c>
      <c r="N463" t="n">
        <v>0</v>
      </c>
      <c r="O463" t="n">
        <v>0</v>
      </c>
      <c r="P463" t="n">
        <v>0</v>
      </c>
      <c r="Q463" t="n">
        <v>0</v>
      </c>
      <c r="R463" s="2" t="inlineStr"/>
    </row>
    <row r="464" ht="15" customHeight="1">
      <c r="A464" t="inlineStr">
        <is>
          <t>A 35900-2020</t>
        </is>
      </c>
      <c r="B464" s="1" t="n">
        <v>44047</v>
      </c>
      <c r="C464" s="1" t="n">
        <v>45711</v>
      </c>
      <c r="D464" t="inlineStr">
        <is>
          <t>VÄRMLANDS LÄN</t>
        </is>
      </c>
      <c r="E464" t="inlineStr">
        <is>
          <t>TORSBY</t>
        </is>
      </c>
      <c r="G464" t="n">
        <v>7.2</v>
      </c>
      <c r="H464" t="n">
        <v>0</v>
      </c>
      <c r="I464" t="n">
        <v>0</v>
      </c>
      <c r="J464" t="n">
        <v>0</v>
      </c>
      <c r="K464" t="n">
        <v>0</v>
      </c>
      <c r="L464" t="n">
        <v>0</v>
      </c>
      <c r="M464" t="n">
        <v>0</v>
      </c>
      <c r="N464" t="n">
        <v>0</v>
      </c>
      <c r="O464" t="n">
        <v>0</v>
      </c>
      <c r="P464" t="n">
        <v>0</v>
      </c>
      <c r="Q464" t="n">
        <v>0</v>
      </c>
      <c r="R464" s="2" t="inlineStr"/>
    </row>
    <row r="465" ht="15" customHeight="1">
      <c r="A465" t="inlineStr">
        <is>
          <t>A 35955-2020</t>
        </is>
      </c>
      <c r="B465" s="1" t="n">
        <v>44047</v>
      </c>
      <c r="C465" s="1" t="n">
        <v>45711</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35826-2020</t>
        </is>
      </c>
      <c r="B466" s="1" t="n">
        <v>44047</v>
      </c>
      <c r="C466" s="1" t="n">
        <v>45711</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35905-2020</t>
        </is>
      </c>
      <c r="B467" s="1" t="n">
        <v>44047</v>
      </c>
      <c r="C467" s="1" t="n">
        <v>45711</v>
      </c>
      <c r="D467" t="inlineStr">
        <is>
          <t>VÄRMLANDS LÄN</t>
        </is>
      </c>
      <c r="E467" t="inlineStr">
        <is>
          <t>TORSBY</t>
        </is>
      </c>
      <c r="G467" t="n">
        <v>1.2</v>
      </c>
      <c r="H467" t="n">
        <v>0</v>
      </c>
      <c r="I467" t="n">
        <v>0</v>
      </c>
      <c r="J467" t="n">
        <v>0</v>
      </c>
      <c r="K467" t="n">
        <v>0</v>
      </c>
      <c r="L467" t="n">
        <v>0</v>
      </c>
      <c r="M467" t="n">
        <v>0</v>
      </c>
      <c r="N467" t="n">
        <v>0</v>
      </c>
      <c r="O467" t="n">
        <v>0</v>
      </c>
      <c r="P467" t="n">
        <v>0</v>
      </c>
      <c r="Q467" t="n">
        <v>0</v>
      </c>
      <c r="R467" s="2" t="inlineStr"/>
    </row>
    <row r="468" ht="15" customHeight="1">
      <c r="A468" t="inlineStr">
        <is>
          <t>A 36482-2020</t>
        </is>
      </c>
      <c r="B468" s="1" t="n">
        <v>44048</v>
      </c>
      <c r="C468" s="1" t="n">
        <v>45711</v>
      </c>
      <c r="D468" t="inlineStr">
        <is>
          <t>VÄRMLANDS LÄN</t>
        </is>
      </c>
      <c r="E468" t="inlineStr">
        <is>
          <t>TORSBY</t>
        </is>
      </c>
      <c r="G468" t="n">
        <v>0.7</v>
      </c>
      <c r="H468" t="n">
        <v>0</v>
      </c>
      <c r="I468" t="n">
        <v>0</v>
      </c>
      <c r="J468" t="n">
        <v>0</v>
      </c>
      <c r="K468" t="n">
        <v>0</v>
      </c>
      <c r="L468" t="n">
        <v>0</v>
      </c>
      <c r="M468" t="n">
        <v>0</v>
      </c>
      <c r="N468" t="n">
        <v>0</v>
      </c>
      <c r="O468" t="n">
        <v>0</v>
      </c>
      <c r="P468" t="n">
        <v>0</v>
      </c>
      <c r="Q468" t="n">
        <v>0</v>
      </c>
      <c r="R468" s="2" t="inlineStr"/>
    </row>
    <row r="469" ht="15" customHeight="1">
      <c r="A469" t="inlineStr">
        <is>
          <t>A 36104-2020</t>
        </is>
      </c>
      <c r="B469" s="1" t="n">
        <v>44048</v>
      </c>
      <c r="C469" s="1" t="n">
        <v>45711</v>
      </c>
      <c r="D469" t="inlineStr">
        <is>
          <t>VÄRMLANDS LÄN</t>
        </is>
      </c>
      <c r="E469" t="inlineStr">
        <is>
          <t>TORSBY</t>
        </is>
      </c>
      <c r="G469" t="n">
        <v>3.1</v>
      </c>
      <c r="H469" t="n">
        <v>0</v>
      </c>
      <c r="I469" t="n">
        <v>0</v>
      </c>
      <c r="J469" t="n">
        <v>0</v>
      </c>
      <c r="K469" t="n">
        <v>0</v>
      </c>
      <c r="L469" t="n">
        <v>0</v>
      </c>
      <c r="M469" t="n">
        <v>0</v>
      </c>
      <c r="N469" t="n">
        <v>0</v>
      </c>
      <c r="O469" t="n">
        <v>0</v>
      </c>
      <c r="P469" t="n">
        <v>0</v>
      </c>
      <c r="Q469" t="n">
        <v>0</v>
      </c>
      <c r="R469" s="2" t="inlineStr"/>
    </row>
    <row r="470" ht="15" customHeight="1">
      <c r="A470" t="inlineStr">
        <is>
          <t>A 36265-2020</t>
        </is>
      </c>
      <c r="B470" s="1" t="n">
        <v>44049</v>
      </c>
      <c r="C470" s="1" t="n">
        <v>45711</v>
      </c>
      <c r="D470" t="inlineStr">
        <is>
          <t>VÄRMLANDS LÄN</t>
        </is>
      </c>
      <c r="E470" t="inlineStr">
        <is>
          <t>TORSBY</t>
        </is>
      </c>
      <c r="G470" t="n">
        <v>1.8</v>
      </c>
      <c r="H470" t="n">
        <v>0</v>
      </c>
      <c r="I470" t="n">
        <v>0</v>
      </c>
      <c r="J470" t="n">
        <v>0</v>
      </c>
      <c r="K470" t="n">
        <v>0</v>
      </c>
      <c r="L470" t="n">
        <v>0</v>
      </c>
      <c r="M470" t="n">
        <v>0</v>
      </c>
      <c r="N470" t="n">
        <v>0</v>
      </c>
      <c r="O470" t="n">
        <v>0</v>
      </c>
      <c r="P470" t="n">
        <v>0</v>
      </c>
      <c r="Q470" t="n">
        <v>0</v>
      </c>
      <c r="R470" s="2" t="inlineStr"/>
    </row>
    <row r="471" ht="15" customHeight="1">
      <c r="A471" t="inlineStr">
        <is>
          <t>A 36396-2020</t>
        </is>
      </c>
      <c r="B471" s="1" t="n">
        <v>44049</v>
      </c>
      <c r="C471" s="1" t="n">
        <v>45711</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36394-2020</t>
        </is>
      </c>
      <c r="B472" s="1" t="n">
        <v>44049</v>
      </c>
      <c r="C472" s="1" t="n">
        <v>45711</v>
      </c>
      <c r="D472" t="inlineStr">
        <is>
          <t>VÄRMLANDS LÄN</t>
        </is>
      </c>
      <c r="E472" t="inlineStr">
        <is>
          <t>TORSBY</t>
        </is>
      </c>
      <c r="G472" t="n">
        <v>7</v>
      </c>
      <c r="H472" t="n">
        <v>0</v>
      </c>
      <c r="I472" t="n">
        <v>0</v>
      </c>
      <c r="J472" t="n">
        <v>0</v>
      </c>
      <c r="K472" t="n">
        <v>0</v>
      </c>
      <c r="L472" t="n">
        <v>0</v>
      </c>
      <c r="M472" t="n">
        <v>0</v>
      </c>
      <c r="N472" t="n">
        <v>0</v>
      </c>
      <c r="O472" t="n">
        <v>0</v>
      </c>
      <c r="P472" t="n">
        <v>0</v>
      </c>
      <c r="Q472" t="n">
        <v>0</v>
      </c>
      <c r="R472" s="2" t="inlineStr"/>
    </row>
    <row r="473" ht="15" customHeight="1">
      <c r="A473" t="inlineStr">
        <is>
          <t>A 36847-2020</t>
        </is>
      </c>
      <c r="B473" s="1" t="n">
        <v>44053</v>
      </c>
      <c r="C473" s="1" t="n">
        <v>45711</v>
      </c>
      <c r="D473" t="inlineStr">
        <is>
          <t>VÄRMLANDS LÄN</t>
        </is>
      </c>
      <c r="E473" t="inlineStr">
        <is>
          <t>TORSBY</t>
        </is>
      </c>
      <c r="G473" t="n">
        <v>1.4</v>
      </c>
      <c r="H473" t="n">
        <v>0</v>
      </c>
      <c r="I473" t="n">
        <v>0</v>
      </c>
      <c r="J473" t="n">
        <v>0</v>
      </c>
      <c r="K473" t="n">
        <v>0</v>
      </c>
      <c r="L473" t="n">
        <v>0</v>
      </c>
      <c r="M473" t="n">
        <v>0</v>
      </c>
      <c r="N473" t="n">
        <v>0</v>
      </c>
      <c r="O473" t="n">
        <v>0</v>
      </c>
      <c r="P473" t="n">
        <v>0</v>
      </c>
      <c r="Q473" t="n">
        <v>0</v>
      </c>
      <c r="R473" s="2" t="inlineStr"/>
    </row>
    <row r="474" ht="15" customHeight="1">
      <c r="A474" t="inlineStr">
        <is>
          <t>A 36901-2020</t>
        </is>
      </c>
      <c r="B474" s="1" t="n">
        <v>44053</v>
      </c>
      <c r="C474" s="1" t="n">
        <v>45711</v>
      </c>
      <c r="D474" t="inlineStr">
        <is>
          <t>VÄRMLANDS LÄN</t>
        </is>
      </c>
      <c r="E474" t="inlineStr">
        <is>
          <t>TORSBY</t>
        </is>
      </c>
      <c r="G474" t="n">
        <v>3.1</v>
      </c>
      <c r="H474" t="n">
        <v>0</v>
      </c>
      <c r="I474" t="n">
        <v>0</v>
      </c>
      <c r="J474" t="n">
        <v>0</v>
      </c>
      <c r="K474" t="n">
        <v>0</v>
      </c>
      <c r="L474" t="n">
        <v>0</v>
      </c>
      <c r="M474" t="n">
        <v>0</v>
      </c>
      <c r="N474" t="n">
        <v>0</v>
      </c>
      <c r="O474" t="n">
        <v>0</v>
      </c>
      <c r="P474" t="n">
        <v>0</v>
      </c>
      <c r="Q474" t="n">
        <v>0</v>
      </c>
      <c r="R474" s="2" t="inlineStr"/>
    </row>
    <row r="475" ht="15" customHeight="1">
      <c r="A475" t="inlineStr">
        <is>
          <t>A 37305-2020</t>
        </is>
      </c>
      <c r="B475" s="1" t="n">
        <v>44055</v>
      </c>
      <c r="C475" s="1" t="n">
        <v>45711</v>
      </c>
      <c r="D475" t="inlineStr">
        <is>
          <t>VÄRMLANDS LÄN</t>
        </is>
      </c>
      <c r="E475" t="inlineStr">
        <is>
          <t>TORSBY</t>
        </is>
      </c>
      <c r="G475" t="n">
        <v>0.5</v>
      </c>
      <c r="H475" t="n">
        <v>0</v>
      </c>
      <c r="I475" t="n">
        <v>0</v>
      </c>
      <c r="J475" t="n">
        <v>0</v>
      </c>
      <c r="K475" t="n">
        <v>0</v>
      </c>
      <c r="L475" t="n">
        <v>0</v>
      </c>
      <c r="M475" t="n">
        <v>0</v>
      </c>
      <c r="N475" t="n">
        <v>0</v>
      </c>
      <c r="O475" t="n">
        <v>0</v>
      </c>
      <c r="P475" t="n">
        <v>0</v>
      </c>
      <c r="Q475" t="n">
        <v>0</v>
      </c>
      <c r="R475" s="2" t="inlineStr"/>
    </row>
    <row r="476" ht="15" customHeight="1">
      <c r="A476" t="inlineStr">
        <is>
          <t>A 37302-2020</t>
        </is>
      </c>
      <c r="B476" s="1" t="n">
        <v>44055</v>
      </c>
      <c r="C476" s="1" t="n">
        <v>45711</v>
      </c>
      <c r="D476" t="inlineStr">
        <is>
          <t>VÄRMLANDS LÄN</t>
        </is>
      </c>
      <c r="E476" t="inlineStr">
        <is>
          <t>TORSBY</t>
        </is>
      </c>
      <c r="G476" t="n">
        <v>1.3</v>
      </c>
      <c r="H476" t="n">
        <v>0</v>
      </c>
      <c r="I476" t="n">
        <v>0</v>
      </c>
      <c r="J476" t="n">
        <v>0</v>
      </c>
      <c r="K476" t="n">
        <v>0</v>
      </c>
      <c r="L476" t="n">
        <v>0</v>
      </c>
      <c r="M476" t="n">
        <v>0</v>
      </c>
      <c r="N476" t="n">
        <v>0</v>
      </c>
      <c r="O476" t="n">
        <v>0</v>
      </c>
      <c r="P476" t="n">
        <v>0</v>
      </c>
      <c r="Q476" t="n">
        <v>0</v>
      </c>
      <c r="R476" s="2" t="inlineStr"/>
    </row>
    <row r="477" ht="15" customHeight="1">
      <c r="A477" t="inlineStr">
        <is>
          <t>A 37307-2020</t>
        </is>
      </c>
      <c r="B477" s="1" t="n">
        <v>44055</v>
      </c>
      <c r="C477" s="1" t="n">
        <v>45711</v>
      </c>
      <c r="D477" t="inlineStr">
        <is>
          <t>VÄRMLANDS LÄN</t>
        </is>
      </c>
      <c r="E477" t="inlineStr">
        <is>
          <t>TORSBY</t>
        </is>
      </c>
      <c r="G477" t="n">
        <v>1.2</v>
      </c>
      <c r="H477" t="n">
        <v>0</v>
      </c>
      <c r="I477" t="n">
        <v>0</v>
      </c>
      <c r="J477" t="n">
        <v>0</v>
      </c>
      <c r="K477" t="n">
        <v>0</v>
      </c>
      <c r="L477" t="n">
        <v>0</v>
      </c>
      <c r="M477" t="n">
        <v>0</v>
      </c>
      <c r="N477" t="n">
        <v>0</v>
      </c>
      <c r="O477" t="n">
        <v>0</v>
      </c>
      <c r="P477" t="n">
        <v>0</v>
      </c>
      <c r="Q477" t="n">
        <v>0</v>
      </c>
      <c r="R477" s="2" t="inlineStr"/>
    </row>
    <row r="478" ht="15" customHeight="1">
      <c r="A478" t="inlineStr">
        <is>
          <t>A 37303-2020</t>
        </is>
      </c>
      <c r="B478" s="1" t="n">
        <v>44055</v>
      </c>
      <c r="C478" s="1" t="n">
        <v>45711</v>
      </c>
      <c r="D478" t="inlineStr">
        <is>
          <t>VÄRMLANDS LÄN</t>
        </is>
      </c>
      <c r="E478" t="inlineStr">
        <is>
          <t>TORSBY</t>
        </is>
      </c>
      <c r="G478" t="n">
        <v>1.9</v>
      </c>
      <c r="H478" t="n">
        <v>0</v>
      </c>
      <c r="I478" t="n">
        <v>0</v>
      </c>
      <c r="J478" t="n">
        <v>0</v>
      </c>
      <c r="K478" t="n">
        <v>0</v>
      </c>
      <c r="L478" t="n">
        <v>0</v>
      </c>
      <c r="M478" t="n">
        <v>0</v>
      </c>
      <c r="N478" t="n">
        <v>0</v>
      </c>
      <c r="O478" t="n">
        <v>0</v>
      </c>
      <c r="P478" t="n">
        <v>0</v>
      </c>
      <c r="Q478" t="n">
        <v>0</v>
      </c>
      <c r="R478" s="2" t="inlineStr"/>
    </row>
    <row r="479" ht="15" customHeight="1">
      <c r="A479" t="inlineStr">
        <is>
          <t>A 38506-2020</t>
        </is>
      </c>
      <c r="B479" s="1" t="n">
        <v>44061</v>
      </c>
      <c r="C479" s="1" t="n">
        <v>45711</v>
      </c>
      <c r="D479" t="inlineStr">
        <is>
          <t>VÄRMLANDS LÄN</t>
        </is>
      </c>
      <c r="E479" t="inlineStr">
        <is>
          <t>TORSBY</t>
        </is>
      </c>
      <c r="G479" t="n">
        <v>5</v>
      </c>
      <c r="H479" t="n">
        <v>0</v>
      </c>
      <c r="I479" t="n">
        <v>0</v>
      </c>
      <c r="J479" t="n">
        <v>0</v>
      </c>
      <c r="K479" t="n">
        <v>0</v>
      </c>
      <c r="L479" t="n">
        <v>0</v>
      </c>
      <c r="M479" t="n">
        <v>0</v>
      </c>
      <c r="N479" t="n">
        <v>0</v>
      </c>
      <c r="O479" t="n">
        <v>0</v>
      </c>
      <c r="P479" t="n">
        <v>0</v>
      </c>
      <c r="Q479" t="n">
        <v>0</v>
      </c>
      <c r="R479" s="2" t="inlineStr"/>
    </row>
    <row r="480" ht="15" customHeight="1">
      <c r="A480" t="inlineStr">
        <is>
          <t>A 38978-2020</t>
        </is>
      </c>
      <c r="B480" s="1" t="n">
        <v>44062</v>
      </c>
      <c r="C480" s="1" t="n">
        <v>45711</v>
      </c>
      <c r="D480" t="inlineStr">
        <is>
          <t>VÄRMLANDS LÄN</t>
        </is>
      </c>
      <c r="E480" t="inlineStr">
        <is>
          <t>TORSBY</t>
        </is>
      </c>
      <c r="G480" t="n">
        <v>1.8</v>
      </c>
      <c r="H480" t="n">
        <v>0</v>
      </c>
      <c r="I480" t="n">
        <v>0</v>
      </c>
      <c r="J480" t="n">
        <v>0</v>
      </c>
      <c r="K480" t="n">
        <v>0</v>
      </c>
      <c r="L480" t="n">
        <v>0</v>
      </c>
      <c r="M480" t="n">
        <v>0</v>
      </c>
      <c r="N480" t="n">
        <v>0</v>
      </c>
      <c r="O480" t="n">
        <v>0</v>
      </c>
      <c r="P480" t="n">
        <v>0</v>
      </c>
      <c r="Q480" t="n">
        <v>0</v>
      </c>
      <c r="R480" s="2" t="inlineStr"/>
    </row>
    <row r="481" ht="15" customHeight="1">
      <c r="A481" t="inlineStr">
        <is>
          <t>A 40218-2020</t>
        </is>
      </c>
      <c r="B481" s="1" t="n">
        <v>44064</v>
      </c>
      <c r="C481" s="1" t="n">
        <v>45711</v>
      </c>
      <c r="D481" t="inlineStr">
        <is>
          <t>VÄRMLANDS LÄN</t>
        </is>
      </c>
      <c r="E481" t="inlineStr">
        <is>
          <t>TORSBY</t>
        </is>
      </c>
      <c r="G481" t="n">
        <v>3.7</v>
      </c>
      <c r="H481" t="n">
        <v>0</v>
      </c>
      <c r="I481" t="n">
        <v>0</v>
      </c>
      <c r="J481" t="n">
        <v>0</v>
      </c>
      <c r="K481" t="n">
        <v>0</v>
      </c>
      <c r="L481" t="n">
        <v>0</v>
      </c>
      <c r="M481" t="n">
        <v>0</v>
      </c>
      <c r="N481" t="n">
        <v>0</v>
      </c>
      <c r="O481" t="n">
        <v>0</v>
      </c>
      <c r="P481" t="n">
        <v>0</v>
      </c>
      <c r="Q481" t="n">
        <v>0</v>
      </c>
      <c r="R481" s="2" t="inlineStr"/>
    </row>
    <row r="482" ht="15" customHeight="1">
      <c r="A482" t="inlineStr">
        <is>
          <t>A 40015-2020</t>
        </is>
      </c>
      <c r="B482" s="1" t="n">
        <v>44067</v>
      </c>
      <c r="C482" s="1" t="n">
        <v>45711</v>
      </c>
      <c r="D482" t="inlineStr">
        <is>
          <t>VÄRMLANDS LÄN</t>
        </is>
      </c>
      <c r="E482" t="inlineStr">
        <is>
          <t>TORSBY</t>
        </is>
      </c>
      <c r="G482" t="n">
        <v>5.7</v>
      </c>
      <c r="H482" t="n">
        <v>0</v>
      </c>
      <c r="I482" t="n">
        <v>0</v>
      </c>
      <c r="J482" t="n">
        <v>0</v>
      </c>
      <c r="K482" t="n">
        <v>0</v>
      </c>
      <c r="L482" t="n">
        <v>0</v>
      </c>
      <c r="M482" t="n">
        <v>0</v>
      </c>
      <c r="N482" t="n">
        <v>0</v>
      </c>
      <c r="O482" t="n">
        <v>0</v>
      </c>
      <c r="P482" t="n">
        <v>0</v>
      </c>
      <c r="Q482" t="n">
        <v>0</v>
      </c>
      <c r="R482" s="2" t="inlineStr"/>
    </row>
    <row r="483" ht="15" customHeight="1">
      <c r="A483" t="inlineStr">
        <is>
          <t>A 40550-2020</t>
        </is>
      </c>
      <c r="B483" s="1" t="n">
        <v>44069</v>
      </c>
      <c r="C483" s="1" t="n">
        <v>45711</v>
      </c>
      <c r="D483" t="inlineStr">
        <is>
          <t>VÄRMLANDS LÄN</t>
        </is>
      </c>
      <c r="E483" t="inlineStr">
        <is>
          <t>TORSBY</t>
        </is>
      </c>
      <c r="G483" t="n">
        <v>1.6</v>
      </c>
      <c r="H483" t="n">
        <v>0</v>
      </c>
      <c r="I483" t="n">
        <v>0</v>
      </c>
      <c r="J483" t="n">
        <v>0</v>
      </c>
      <c r="K483" t="n">
        <v>0</v>
      </c>
      <c r="L483" t="n">
        <v>0</v>
      </c>
      <c r="M483" t="n">
        <v>0</v>
      </c>
      <c r="N483" t="n">
        <v>0</v>
      </c>
      <c r="O483" t="n">
        <v>0</v>
      </c>
      <c r="P483" t="n">
        <v>0</v>
      </c>
      <c r="Q483" t="n">
        <v>0</v>
      </c>
      <c r="R483" s="2" t="inlineStr"/>
    </row>
    <row r="484" ht="15" customHeight="1">
      <c r="A484" t="inlineStr">
        <is>
          <t>A 40594-2020</t>
        </is>
      </c>
      <c r="B484" s="1" t="n">
        <v>44069</v>
      </c>
      <c r="C484" s="1" t="n">
        <v>45711</v>
      </c>
      <c r="D484" t="inlineStr">
        <is>
          <t>VÄRMLANDS LÄN</t>
        </is>
      </c>
      <c r="E484" t="inlineStr">
        <is>
          <t>TORSBY</t>
        </is>
      </c>
      <c r="G484" t="n">
        <v>0.9</v>
      </c>
      <c r="H484" t="n">
        <v>0</v>
      </c>
      <c r="I484" t="n">
        <v>0</v>
      </c>
      <c r="J484" t="n">
        <v>0</v>
      </c>
      <c r="K484" t="n">
        <v>0</v>
      </c>
      <c r="L484" t="n">
        <v>0</v>
      </c>
      <c r="M484" t="n">
        <v>0</v>
      </c>
      <c r="N484" t="n">
        <v>0</v>
      </c>
      <c r="O484" t="n">
        <v>0</v>
      </c>
      <c r="P484" t="n">
        <v>0</v>
      </c>
      <c r="Q484" t="n">
        <v>0</v>
      </c>
      <c r="R484" s="2" t="inlineStr"/>
    </row>
    <row r="485" ht="15" customHeight="1">
      <c r="A485" t="inlineStr">
        <is>
          <t>A 40509-2020</t>
        </is>
      </c>
      <c r="B485" s="1" t="n">
        <v>44069</v>
      </c>
      <c r="C485" s="1" t="n">
        <v>45711</v>
      </c>
      <c r="D485" t="inlineStr">
        <is>
          <t>VÄRMLANDS LÄN</t>
        </is>
      </c>
      <c r="E485" t="inlineStr">
        <is>
          <t>TORSBY</t>
        </is>
      </c>
      <c r="F485" t="inlineStr">
        <is>
          <t>Naturvårdsverket</t>
        </is>
      </c>
      <c r="G485" t="n">
        <v>57</v>
      </c>
      <c r="H485" t="n">
        <v>0</v>
      </c>
      <c r="I485" t="n">
        <v>0</v>
      </c>
      <c r="J485" t="n">
        <v>0</v>
      </c>
      <c r="K485" t="n">
        <v>0</v>
      </c>
      <c r="L485" t="n">
        <v>0</v>
      </c>
      <c r="M485" t="n">
        <v>0</v>
      </c>
      <c r="N485" t="n">
        <v>0</v>
      </c>
      <c r="O485" t="n">
        <v>0</v>
      </c>
      <c r="P485" t="n">
        <v>0</v>
      </c>
      <c r="Q485" t="n">
        <v>0</v>
      </c>
      <c r="R485" s="2" t="inlineStr"/>
    </row>
    <row r="486" ht="15" customHeight="1">
      <c r="A486" t="inlineStr">
        <is>
          <t>A 40601-2020</t>
        </is>
      </c>
      <c r="B486" s="1" t="n">
        <v>44069</v>
      </c>
      <c r="C486" s="1" t="n">
        <v>45711</v>
      </c>
      <c r="D486" t="inlineStr">
        <is>
          <t>VÄRMLANDS LÄN</t>
        </is>
      </c>
      <c r="E486" t="inlineStr">
        <is>
          <t>TORSBY</t>
        </is>
      </c>
      <c r="G486" t="n">
        <v>0.5</v>
      </c>
      <c r="H486" t="n">
        <v>0</v>
      </c>
      <c r="I486" t="n">
        <v>0</v>
      </c>
      <c r="J486" t="n">
        <v>0</v>
      </c>
      <c r="K486" t="n">
        <v>0</v>
      </c>
      <c r="L486" t="n">
        <v>0</v>
      </c>
      <c r="M486" t="n">
        <v>0</v>
      </c>
      <c r="N486" t="n">
        <v>0</v>
      </c>
      <c r="O486" t="n">
        <v>0</v>
      </c>
      <c r="P486" t="n">
        <v>0</v>
      </c>
      <c r="Q486" t="n">
        <v>0</v>
      </c>
      <c r="R486" s="2" t="inlineStr"/>
    </row>
    <row r="487" ht="15" customHeight="1">
      <c r="A487" t="inlineStr">
        <is>
          <t>A 40994-2020</t>
        </is>
      </c>
      <c r="B487" s="1" t="n">
        <v>44070</v>
      </c>
      <c r="C487" s="1" t="n">
        <v>45711</v>
      </c>
      <c r="D487" t="inlineStr">
        <is>
          <t>VÄRMLANDS LÄN</t>
        </is>
      </c>
      <c r="E487" t="inlineStr">
        <is>
          <t>TORSBY</t>
        </is>
      </c>
      <c r="F487" t="inlineStr">
        <is>
          <t>Bergvik skog väst AB</t>
        </is>
      </c>
      <c r="G487" t="n">
        <v>3.8</v>
      </c>
      <c r="H487" t="n">
        <v>0</v>
      </c>
      <c r="I487" t="n">
        <v>0</v>
      </c>
      <c r="J487" t="n">
        <v>0</v>
      </c>
      <c r="K487" t="n">
        <v>0</v>
      </c>
      <c r="L487" t="n">
        <v>0</v>
      </c>
      <c r="M487" t="n">
        <v>0</v>
      </c>
      <c r="N487" t="n">
        <v>0</v>
      </c>
      <c r="O487" t="n">
        <v>0</v>
      </c>
      <c r="P487" t="n">
        <v>0</v>
      </c>
      <c r="Q487" t="n">
        <v>0</v>
      </c>
      <c r="R487" s="2" t="inlineStr"/>
    </row>
    <row r="488" ht="15" customHeight="1">
      <c r="A488" t="inlineStr">
        <is>
          <t>A 40987-2020</t>
        </is>
      </c>
      <c r="B488" s="1" t="n">
        <v>44070</v>
      </c>
      <c r="C488" s="1" t="n">
        <v>45711</v>
      </c>
      <c r="D488" t="inlineStr">
        <is>
          <t>VÄRMLANDS LÄN</t>
        </is>
      </c>
      <c r="E488" t="inlineStr">
        <is>
          <t>TORSBY</t>
        </is>
      </c>
      <c r="F488" t="inlineStr">
        <is>
          <t>Bergvik skog väst AB</t>
        </is>
      </c>
      <c r="G488" t="n">
        <v>0.4</v>
      </c>
      <c r="H488" t="n">
        <v>0</v>
      </c>
      <c r="I488" t="n">
        <v>0</v>
      </c>
      <c r="J488" t="n">
        <v>0</v>
      </c>
      <c r="K488" t="n">
        <v>0</v>
      </c>
      <c r="L488" t="n">
        <v>0</v>
      </c>
      <c r="M488" t="n">
        <v>0</v>
      </c>
      <c r="N488" t="n">
        <v>0</v>
      </c>
      <c r="O488" t="n">
        <v>0</v>
      </c>
      <c r="P488" t="n">
        <v>0</v>
      </c>
      <c r="Q488" t="n">
        <v>0</v>
      </c>
      <c r="R488" s="2" t="inlineStr"/>
    </row>
    <row r="489" ht="15" customHeight="1">
      <c r="A489" t="inlineStr">
        <is>
          <t>A 40993-2020</t>
        </is>
      </c>
      <c r="B489" s="1" t="n">
        <v>44070</v>
      </c>
      <c r="C489" s="1" t="n">
        <v>45711</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41469-2020</t>
        </is>
      </c>
      <c r="B490" s="1" t="n">
        <v>44074</v>
      </c>
      <c r="C490" s="1" t="n">
        <v>45711</v>
      </c>
      <c r="D490" t="inlineStr">
        <is>
          <t>VÄRMLANDS LÄN</t>
        </is>
      </c>
      <c r="E490" t="inlineStr">
        <is>
          <t>TORSBY</t>
        </is>
      </c>
      <c r="F490" t="inlineStr">
        <is>
          <t>Bergvik skog väst AB</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42391-2020</t>
        </is>
      </c>
      <c r="B491" s="1" t="n">
        <v>44076</v>
      </c>
      <c r="C491" s="1" t="n">
        <v>45711</v>
      </c>
      <c r="D491" t="inlineStr">
        <is>
          <t>VÄRMLANDS LÄN</t>
        </is>
      </c>
      <c r="E491" t="inlineStr">
        <is>
          <t>TORSBY</t>
        </is>
      </c>
      <c r="G491" t="n">
        <v>3.9</v>
      </c>
      <c r="H491" t="n">
        <v>0</v>
      </c>
      <c r="I491" t="n">
        <v>0</v>
      </c>
      <c r="J491" t="n">
        <v>0</v>
      </c>
      <c r="K491" t="n">
        <v>0</v>
      </c>
      <c r="L491" t="n">
        <v>0</v>
      </c>
      <c r="M491" t="n">
        <v>0</v>
      </c>
      <c r="N491" t="n">
        <v>0</v>
      </c>
      <c r="O491" t="n">
        <v>0</v>
      </c>
      <c r="P491" t="n">
        <v>0</v>
      </c>
      <c r="Q491" t="n">
        <v>0</v>
      </c>
      <c r="R491" s="2" t="inlineStr"/>
    </row>
    <row r="492" ht="15" customHeight="1">
      <c r="A492" t="inlineStr">
        <is>
          <t>A 42566-2020</t>
        </is>
      </c>
      <c r="B492" s="1" t="n">
        <v>44077</v>
      </c>
      <c r="C492" s="1" t="n">
        <v>45711</v>
      </c>
      <c r="D492" t="inlineStr">
        <is>
          <t>VÄRMLANDS LÄN</t>
        </is>
      </c>
      <c r="E492" t="inlineStr">
        <is>
          <t>TORSBY</t>
        </is>
      </c>
      <c r="G492" t="n">
        <v>1.7</v>
      </c>
      <c r="H492" t="n">
        <v>0</v>
      </c>
      <c r="I492" t="n">
        <v>0</v>
      </c>
      <c r="J492" t="n">
        <v>0</v>
      </c>
      <c r="K492" t="n">
        <v>0</v>
      </c>
      <c r="L492" t="n">
        <v>0</v>
      </c>
      <c r="M492" t="n">
        <v>0</v>
      </c>
      <c r="N492" t="n">
        <v>0</v>
      </c>
      <c r="O492" t="n">
        <v>0</v>
      </c>
      <c r="P492" t="n">
        <v>0</v>
      </c>
      <c r="Q492" t="n">
        <v>0</v>
      </c>
      <c r="R492" s="2" t="inlineStr"/>
    </row>
    <row r="493" ht="15" customHeight="1">
      <c r="A493" t="inlineStr">
        <is>
          <t>A 42982-2020</t>
        </is>
      </c>
      <c r="B493" s="1" t="n">
        <v>44078</v>
      </c>
      <c r="C493" s="1" t="n">
        <v>45711</v>
      </c>
      <c r="D493" t="inlineStr">
        <is>
          <t>VÄRMLANDS LÄN</t>
        </is>
      </c>
      <c r="E493" t="inlineStr">
        <is>
          <t>TORSBY</t>
        </is>
      </c>
      <c r="G493" t="n">
        <v>1.5</v>
      </c>
      <c r="H493" t="n">
        <v>0</v>
      </c>
      <c r="I493" t="n">
        <v>0</v>
      </c>
      <c r="J493" t="n">
        <v>0</v>
      </c>
      <c r="K493" t="n">
        <v>0</v>
      </c>
      <c r="L493" t="n">
        <v>0</v>
      </c>
      <c r="M493" t="n">
        <v>0</v>
      </c>
      <c r="N493" t="n">
        <v>0</v>
      </c>
      <c r="O493" t="n">
        <v>0</v>
      </c>
      <c r="P493" t="n">
        <v>0</v>
      </c>
      <c r="Q493" t="n">
        <v>0</v>
      </c>
      <c r="R493" s="2" t="inlineStr"/>
    </row>
    <row r="494" ht="15" customHeight="1">
      <c r="A494" t="inlineStr">
        <is>
          <t>A 44722-2020</t>
        </is>
      </c>
      <c r="B494" s="1" t="n">
        <v>44078</v>
      </c>
      <c r="C494" s="1" t="n">
        <v>45711</v>
      </c>
      <c r="D494" t="inlineStr">
        <is>
          <t>VÄRMLANDS LÄN</t>
        </is>
      </c>
      <c r="E494" t="inlineStr">
        <is>
          <t>TORSBY</t>
        </is>
      </c>
      <c r="G494" t="n">
        <v>1.4</v>
      </c>
      <c r="H494" t="n">
        <v>0</v>
      </c>
      <c r="I494" t="n">
        <v>0</v>
      </c>
      <c r="J494" t="n">
        <v>0</v>
      </c>
      <c r="K494" t="n">
        <v>0</v>
      </c>
      <c r="L494" t="n">
        <v>0</v>
      </c>
      <c r="M494" t="n">
        <v>0</v>
      </c>
      <c r="N494" t="n">
        <v>0</v>
      </c>
      <c r="O494" t="n">
        <v>0</v>
      </c>
      <c r="P494" t="n">
        <v>0</v>
      </c>
      <c r="Q494" t="n">
        <v>0</v>
      </c>
      <c r="R494" s="2" t="inlineStr"/>
    </row>
    <row r="495" ht="15" customHeight="1">
      <c r="A495" t="inlineStr">
        <is>
          <t>A 43547-2020</t>
        </is>
      </c>
      <c r="B495" s="1" t="n">
        <v>44078</v>
      </c>
      <c r="C495" s="1" t="n">
        <v>45711</v>
      </c>
      <c r="D495" t="inlineStr">
        <is>
          <t>VÄRMLANDS LÄN</t>
        </is>
      </c>
      <c r="E495" t="inlineStr">
        <is>
          <t>TORSBY</t>
        </is>
      </c>
      <c r="G495" t="n">
        <v>1.1</v>
      </c>
      <c r="H495" t="n">
        <v>0</v>
      </c>
      <c r="I495" t="n">
        <v>0</v>
      </c>
      <c r="J495" t="n">
        <v>0</v>
      </c>
      <c r="K495" t="n">
        <v>0</v>
      </c>
      <c r="L495" t="n">
        <v>0</v>
      </c>
      <c r="M495" t="n">
        <v>0</v>
      </c>
      <c r="N495" t="n">
        <v>0</v>
      </c>
      <c r="O495" t="n">
        <v>0</v>
      </c>
      <c r="P495" t="n">
        <v>0</v>
      </c>
      <c r="Q495" t="n">
        <v>0</v>
      </c>
      <c r="R495" s="2" t="inlineStr"/>
    </row>
    <row r="496" ht="15" customHeight="1">
      <c r="A496" t="inlineStr">
        <is>
          <t>A 44715-2020</t>
        </is>
      </c>
      <c r="B496" s="1" t="n">
        <v>44078</v>
      </c>
      <c r="C496" s="1" t="n">
        <v>45711</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44720-2020</t>
        </is>
      </c>
      <c r="B497" s="1" t="n">
        <v>44078</v>
      </c>
      <c r="C497" s="1" t="n">
        <v>45711</v>
      </c>
      <c r="D497" t="inlineStr">
        <is>
          <t>VÄRMLANDS LÄN</t>
        </is>
      </c>
      <c r="E497" t="inlineStr">
        <is>
          <t>TORSBY</t>
        </is>
      </c>
      <c r="G497" t="n">
        <v>0.9</v>
      </c>
      <c r="H497" t="n">
        <v>0</v>
      </c>
      <c r="I497" t="n">
        <v>0</v>
      </c>
      <c r="J497" t="n">
        <v>0</v>
      </c>
      <c r="K497" t="n">
        <v>0</v>
      </c>
      <c r="L497" t="n">
        <v>0</v>
      </c>
      <c r="M497" t="n">
        <v>0</v>
      </c>
      <c r="N497" t="n">
        <v>0</v>
      </c>
      <c r="O497" t="n">
        <v>0</v>
      </c>
      <c r="P497" t="n">
        <v>0</v>
      </c>
      <c r="Q497" t="n">
        <v>0</v>
      </c>
      <c r="R497" s="2" t="inlineStr"/>
    </row>
    <row r="498" ht="15" customHeight="1">
      <c r="A498" t="inlineStr">
        <is>
          <t>A 43725-2020</t>
        </is>
      </c>
      <c r="B498" s="1" t="n">
        <v>44082</v>
      </c>
      <c r="C498" s="1" t="n">
        <v>45711</v>
      </c>
      <c r="D498" t="inlineStr">
        <is>
          <t>VÄRMLANDS LÄN</t>
        </is>
      </c>
      <c r="E498" t="inlineStr">
        <is>
          <t>TORSBY</t>
        </is>
      </c>
      <c r="G498" t="n">
        <v>1</v>
      </c>
      <c r="H498" t="n">
        <v>0</v>
      </c>
      <c r="I498" t="n">
        <v>0</v>
      </c>
      <c r="J498" t="n">
        <v>0</v>
      </c>
      <c r="K498" t="n">
        <v>0</v>
      </c>
      <c r="L498" t="n">
        <v>0</v>
      </c>
      <c r="M498" t="n">
        <v>0</v>
      </c>
      <c r="N498" t="n">
        <v>0</v>
      </c>
      <c r="O498" t="n">
        <v>0</v>
      </c>
      <c r="P498" t="n">
        <v>0</v>
      </c>
      <c r="Q498" t="n">
        <v>0</v>
      </c>
      <c r="R498" s="2" t="inlineStr"/>
    </row>
    <row r="499" ht="15" customHeight="1">
      <c r="A499" t="inlineStr">
        <is>
          <t>A 44666-2020</t>
        </is>
      </c>
      <c r="B499" s="1" t="n">
        <v>44085</v>
      </c>
      <c r="C499" s="1" t="n">
        <v>45711</v>
      </c>
      <c r="D499" t="inlineStr">
        <is>
          <t>VÄRMLANDS LÄN</t>
        </is>
      </c>
      <c r="E499" t="inlineStr">
        <is>
          <t>TORSBY</t>
        </is>
      </c>
      <c r="G499" t="n">
        <v>0.9</v>
      </c>
      <c r="H499" t="n">
        <v>0</v>
      </c>
      <c r="I499" t="n">
        <v>0</v>
      </c>
      <c r="J499" t="n">
        <v>0</v>
      </c>
      <c r="K499" t="n">
        <v>0</v>
      </c>
      <c r="L499" t="n">
        <v>0</v>
      </c>
      <c r="M499" t="n">
        <v>0</v>
      </c>
      <c r="N499" t="n">
        <v>0</v>
      </c>
      <c r="O499" t="n">
        <v>0</v>
      </c>
      <c r="P499" t="n">
        <v>0</v>
      </c>
      <c r="Q499" t="n">
        <v>0</v>
      </c>
      <c r="R499" s="2" t="inlineStr"/>
    </row>
    <row r="500" ht="15" customHeight="1">
      <c r="A500" t="inlineStr">
        <is>
          <t>A 46482-2020</t>
        </is>
      </c>
      <c r="B500" s="1" t="n">
        <v>44089</v>
      </c>
      <c r="C500" s="1" t="n">
        <v>45711</v>
      </c>
      <c r="D500" t="inlineStr">
        <is>
          <t>VÄRMLANDS LÄN</t>
        </is>
      </c>
      <c r="E500" t="inlineStr">
        <is>
          <t>TORSBY</t>
        </is>
      </c>
      <c r="G500" t="n">
        <v>2.2</v>
      </c>
      <c r="H500" t="n">
        <v>0</v>
      </c>
      <c r="I500" t="n">
        <v>0</v>
      </c>
      <c r="J500" t="n">
        <v>0</v>
      </c>
      <c r="K500" t="n">
        <v>0</v>
      </c>
      <c r="L500" t="n">
        <v>0</v>
      </c>
      <c r="M500" t="n">
        <v>0</v>
      </c>
      <c r="N500" t="n">
        <v>0</v>
      </c>
      <c r="O500" t="n">
        <v>0</v>
      </c>
      <c r="P500" t="n">
        <v>0</v>
      </c>
      <c r="Q500" t="n">
        <v>0</v>
      </c>
      <c r="R500" s="2" t="inlineStr"/>
    </row>
    <row r="501" ht="15" customHeight="1">
      <c r="A501" t="inlineStr">
        <is>
          <t>A 45404-2020</t>
        </is>
      </c>
      <c r="B501" s="1" t="n">
        <v>44089</v>
      </c>
      <c r="C501" s="1" t="n">
        <v>45711</v>
      </c>
      <c r="D501" t="inlineStr">
        <is>
          <t>VÄRMLANDS LÄN</t>
        </is>
      </c>
      <c r="E501" t="inlineStr">
        <is>
          <t>TORSBY</t>
        </is>
      </c>
      <c r="G501" t="n">
        <v>3.2</v>
      </c>
      <c r="H501" t="n">
        <v>0</v>
      </c>
      <c r="I501" t="n">
        <v>0</v>
      </c>
      <c r="J501" t="n">
        <v>0</v>
      </c>
      <c r="K501" t="n">
        <v>0</v>
      </c>
      <c r="L501" t="n">
        <v>0</v>
      </c>
      <c r="M501" t="n">
        <v>0</v>
      </c>
      <c r="N501" t="n">
        <v>0</v>
      </c>
      <c r="O501" t="n">
        <v>0</v>
      </c>
      <c r="P501" t="n">
        <v>0</v>
      </c>
      <c r="Q501" t="n">
        <v>0</v>
      </c>
      <c r="R501" s="2" t="inlineStr"/>
    </row>
    <row r="502" ht="15" customHeight="1">
      <c r="A502" t="inlineStr">
        <is>
          <t>A 45872-2020</t>
        </is>
      </c>
      <c r="B502" s="1" t="n">
        <v>44091</v>
      </c>
      <c r="C502" s="1" t="n">
        <v>45711</v>
      </c>
      <c r="D502" t="inlineStr">
        <is>
          <t>VÄRMLANDS LÄN</t>
        </is>
      </c>
      <c r="E502" t="inlineStr">
        <is>
          <t>TORSBY</t>
        </is>
      </c>
      <c r="G502" t="n">
        <v>1.8</v>
      </c>
      <c r="H502" t="n">
        <v>0</v>
      </c>
      <c r="I502" t="n">
        <v>0</v>
      </c>
      <c r="J502" t="n">
        <v>0</v>
      </c>
      <c r="K502" t="n">
        <v>0</v>
      </c>
      <c r="L502" t="n">
        <v>0</v>
      </c>
      <c r="M502" t="n">
        <v>0</v>
      </c>
      <c r="N502" t="n">
        <v>0</v>
      </c>
      <c r="O502" t="n">
        <v>0</v>
      </c>
      <c r="P502" t="n">
        <v>0</v>
      </c>
      <c r="Q502" t="n">
        <v>0</v>
      </c>
      <c r="R502" s="2" t="inlineStr"/>
    </row>
    <row r="503" ht="15" customHeight="1">
      <c r="A503" t="inlineStr">
        <is>
          <t>A 45898-2020</t>
        </is>
      </c>
      <c r="B503" s="1" t="n">
        <v>44091</v>
      </c>
      <c r="C503" s="1" t="n">
        <v>45711</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46271-2020</t>
        </is>
      </c>
      <c r="B504" s="1" t="n">
        <v>44092</v>
      </c>
      <c r="C504" s="1" t="n">
        <v>45711</v>
      </c>
      <c r="D504" t="inlineStr">
        <is>
          <t>VÄRMLANDS LÄN</t>
        </is>
      </c>
      <c r="E504" t="inlineStr">
        <is>
          <t>TORSBY</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47707-2020</t>
        </is>
      </c>
      <c r="B505" s="1" t="n">
        <v>44096</v>
      </c>
      <c r="C505" s="1" t="n">
        <v>45711</v>
      </c>
      <c r="D505" t="inlineStr">
        <is>
          <t>VÄRMLANDS LÄN</t>
        </is>
      </c>
      <c r="E505" t="inlineStr">
        <is>
          <t>TORSBY</t>
        </is>
      </c>
      <c r="F505" t="inlineStr">
        <is>
          <t>Kyrkan</t>
        </is>
      </c>
      <c r="G505" t="n">
        <v>1.2</v>
      </c>
      <c r="H505" t="n">
        <v>0</v>
      </c>
      <c r="I505" t="n">
        <v>0</v>
      </c>
      <c r="J505" t="n">
        <v>0</v>
      </c>
      <c r="K505" t="n">
        <v>0</v>
      </c>
      <c r="L505" t="n">
        <v>0</v>
      </c>
      <c r="M505" t="n">
        <v>0</v>
      </c>
      <c r="N505" t="n">
        <v>0</v>
      </c>
      <c r="O505" t="n">
        <v>0</v>
      </c>
      <c r="P505" t="n">
        <v>0</v>
      </c>
      <c r="Q505" t="n">
        <v>0</v>
      </c>
      <c r="R505" s="2" t="inlineStr"/>
    </row>
    <row r="506" ht="15" customHeight="1">
      <c r="A506" t="inlineStr">
        <is>
          <t>A 47709-2020</t>
        </is>
      </c>
      <c r="B506" s="1" t="n">
        <v>44096</v>
      </c>
      <c r="C506" s="1" t="n">
        <v>45711</v>
      </c>
      <c r="D506" t="inlineStr">
        <is>
          <t>VÄRMLANDS LÄN</t>
        </is>
      </c>
      <c r="E506" t="inlineStr">
        <is>
          <t>TORSBY</t>
        </is>
      </c>
      <c r="F506" t="inlineStr">
        <is>
          <t>Kyrkan</t>
        </is>
      </c>
      <c r="G506" t="n">
        <v>1.8</v>
      </c>
      <c r="H506" t="n">
        <v>0</v>
      </c>
      <c r="I506" t="n">
        <v>0</v>
      </c>
      <c r="J506" t="n">
        <v>0</v>
      </c>
      <c r="K506" t="n">
        <v>0</v>
      </c>
      <c r="L506" t="n">
        <v>0</v>
      </c>
      <c r="M506" t="n">
        <v>0</v>
      </c>
      <c r="N506" t="n">
        <v>0</v>
      </c>
      <c r="O506" t="n">
        <v>0</v>
      </c>
      <c r="P506" t="n">
        <v>0</v>
      </c>
      <c r="Q506" t="n">
        <v>0</v>
      </c>
      <c r="R506" s="2" t="inlineStr"/>
    </row>
    <row r="507" ht="15" customHeight="1">
      <c r="A507" t="inlineStr">
        <is>
          <t>A 47490-2020</t>
        </is>
      </c>
      <c r="B507" s="1" t="n">
        <v>44098</v>
      </c>
      <c r="C507" s="1" t="n">
        <v>45711</v>
      </c>
      <c r="D507" t="inlineStr">
        <is>
          <t>VÄRMLANDS LÄN</t>
        </is>
      </c>
      <c r="E507" t="inlineStr">
        <is>
          <t>TORSBY</t>
        </is>
      </c>
      <c r="G507" t="n">
        <v>1.1</v>
      </c>
      <c r="H507" t="n">
        <v>0</v>
      </c>
      <c r="I507" t="n">
        <v>0</v>
      </c>
      <c r="J507" t="n">
        <v>0</v>
      </c>
      <c r="K507" t="n">
        <v>0</v>
      </c>
      <c r="L507" t="n">
        <v>0</v>
      </c>
      <c r="M507" t="n">
        <v>0</v>
      </c>
      <c r="N507" t="n">
        <v>0</v>
      </c>
      <c r="O507" t="n">
        <v>0</v>
      </c>
      <c r="P507" t="n">
        <v>0</v>
      </c>
      <c r="Q507" t="n">
        <v>0</v>
      </c>
      <c r="R507" s="2" t="inlineStr"/>
    </row>
    <row r="508" ht="15" customHeight="1">
      <c r="A508" t="inlineStr">
        <is>
          <t>A 48231-2020</t>
        </is>
      </c>
      <c r="B508" s="1" t="n">
        <v>44102</v>
      </c>
      <c r="C508" s="1" t="n">
        <v>45711</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48383-2020</t>
        </is>
      </c>
      <c r="B509" s="1" t="n">
        <v>44102</v>
      </c>
      <c r="C509" s="1" t="n">
        <v>45711</v>
      </c>
      <c r="D509" t="inlineStr">
        <is>
          <t>VÄRMLANDS LÄN</t>
        </is>
      </c>
      <c r="E509" t="inlineStr">
        <is>
          <t>TORSBY</t>
        </is>
      </c>
      <c r="G509" t="n">
        <v>2.9</v>
      </c>
      <c r="H509" t="n">
        <v>0</v>
      </c>
      <c r="I509" t="n">
        <v>0</v>
      </c>
      <c r="J509" t="n">
        <v>0</v>
      </c>
      <c r="K509" t="n">
        <v>0</v>
      </c>
      <c r="L509" t="n">
        <v>0</v>
      </c>
      <c r="M509" t="n">
        <v>0</v>
      </c>
      <c r="N509" t="n">
        <v>0</v>
      </c>
      <c r="O509" t="n">
        <v>0</v>
      </c>
      <c r="P509" t="n">
        <v>0</v>
      </c>
      <c r="Q509" t="n">
        <v>0</v>
      </c>
      <c r="R509" s="2" t="inlineStr"/>
    </row>
    <row r="510" ht="15" customHeight="1">
      <c r="A510" t="inlineStr">
        <is>
          <t>A 48488-2020</t>
        </is>
      </c>
      <c r="B510" s="1" t="n">
        <v>44103</v>
      </c>
      <c r="C510" s="1" t="n">
        <v>45711</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53557-2020</t>
        </is>
      </c>
      <c r="B511" s="1" t="n">
        <v>44104</v>
      </c>
      <c r="C511" s="1" t="n">
        <v>45711</v>
      </c>
      <c r="D511" t="inlineStr">
        <is>
          <t>VÄRMLANDS LÄN</t>
        </is>
      </c>
      <c r="E511" t="inlineStr">
        <is>
          <t>TORSBY</t>
        </is>
      </c>
      <c r="F511" t="inlineStr">
        <is>
          <t>Övriga statliga verk och myndigheter</t>
        </is>
      </c>
      <c r="G511" t="n">
        <v>1</v>
      </c>
      <c r="H511" t="n">
        <v>0</v>
      </c>
      <c r="I511" t="n">
        <v>0</v>
      </c>
      <c r="J511" t="n">
        <v>0</v>
      </c>
      <c r="K511" t="n">
        <v>0</v>
      </c>
      <c r="L511" t="n">
        <v>0</v>
      </c>
      <c r="M511" t="n">
        <v>0</v>
      </c>
      <c r="N511" t="n">
        <v>0</v>
      </c>
      <c r="O511" t="n">
        <v>0</v>
      </c>
      <c r="P511" t="n">
        <v>0</v>
      </c>
      <c r="Q511" t="n">
        <v>0</v>
      </c>
      <c r="R511" s="2" t="inlineStr"/>
    </row>
    <row r="512" ht="15" customHeight="1">
      <c r="A512" t="inlineStr">
        <is>
          <t>A 50084-2020</t>
        </is>
      </c>
      <c r="B512" s="1" t="n">
        <v>44109</v>
      </c>
      <c r="C512" s="1" t="n">
        <v>45711</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50092-2020</t>
        </is>
      </c>
      <c r="B513" s="1" t="n">
        <v>44109</v>
      </c>
      <c r="C513" s="1" t="n">
        <v>45711</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50103-2020</t>
        </is>
      </c>
      <c r="B514" s="1" t="n">
        <v>44109</v>
      </c>
      <c r="C514" s="1" t="n">
        <v>45711</v>
      </c>
      <c r="D514" t="inlineStr">
        <is>
          <t>VÄRMLANDS LÄN</t>
        </is>
      </c>
      <c r="E514" t="inlineStr">
        <is>
          <t>TORSBY</t>
        </is>
      </c>
      <c r="G514" t="n">
        <v>1.6</v>
      </c>
      <c r="H514" t="n">
        <v>0</v>
      </c>
      <c r="I514" t="n">
        <v>0</v>
      </c>
      <c r="J514" t="n">
        <v>0</v>
      </c>
      <c r="K514" t="n">
        <v>0</v>
      </c>
      <c r="L514" t="n">
        <v>0</v>
      </c>
      <c r="M514" t="n">
        <v>0</v>
      </c>
      <c r="N514" t="n">
        <v>0</v>
      </c>
      <c r="O514" t="n">
        <v>0</v>
      </c>
      <c r="P514" t="n">
        <v>0</v>
      </c>
      <c r="Q514" t="n">
        <v>0</v>
      </c>
      <c r="R514" s="2" t="inlineStr"/>
    </row>
    <row r="515" ht="15" customHeight="1">
      <c r="A515" t="inlineStr">
        <is>
          <t>A 50096-2020</t>
        </is>
      </c>
      <c r="B515" s="1" t="n">
        <v>44109</v>
      </c>
      <c r="C515" s="1" t="n">
        <v>45711</v>
      </c>
      <c r="D515" t="inlineStr">
        <is>
          <t>VÄRMLANDS LÄN</t>
        </is>
      </c>
      <c r="E515" t="inlineStr">
        <is>
          <t>TORSBY</t>
        </is>
      </c>
      <c r="G515" t="n">
        <v>2.6</v>
      </c>
      <c r="H515" t="n">
        <v>0</v>
      </c>
      <c r="I515" t="n">
        <v>0</v>
      </c>
      <c r="J515" t="n">
        <v>0</v>
      </c>
      <c r="K515" t="n">
        <v>0</v>
      </c>
      <c r="L515" t="n">
        <v>0</v>
      </c>
      <c r="M515" t="n">
        <v>0</v>
      </c>
      <c r="N515" t="n">
        <v>0</v>
      </c>
      <c r="O515" t="n">
        <v>0</v>
      </c>
      <c r="P515" t="n">
        <v>0</v>
      </c>
      <c r="Q515" t="n">
        <v>0</v>
      </c>
      <c r="R515" s="2" t="inlineStr"/>
    </row>
    <row r="516" ht="15" customHeight="1">
      <c r="A516" t="inlineStr">
        <is>
          <t>A 50486-2020</t>
        </is>
      </c>
      <c r="B516" s="1" t="n">
        <v>44110</v>
      </c>
      <c r="C516" s="1" t="n">
        <v>45711</v>
      </c>
      <c r="D516" t="inlineStr">
        <is>
          <t>VÄRMLANDS LÄN</t>
        </is>
      </c>
      <c r="E516" t="inlineStr">
        <is>
          <t>TORSBY</t>
        </is>
      </c>
      <c r="G516" t="n">
        <v>2.2</v>
      </c>
      <c r="H516" t="n">
        <v>0</v>
      </c>
      <c r="I516" t="n">
        <v>0</v>
      </c>
      <c r="J516" t="n">
        <v>0</v>
      </c>
      <c r="K516" t="n">
        <v>0</v>
      </c>
      <c r="L516" t="n">
        <v>0</v>
      </c>
      <c r="M516" t="n">
        <v>0</v>
      </c>
      <c r="N516" t="n">
        <v>0</v>
      </c>
      <c r="O516" t="n">
        <v>0</v>
      </c>
      <c r="P516" t="n">
        <v>0</v>
      </c>
      <c r="Q516" t="n">
        <v>0</v>
      </c>
      <c r="R516" s="2" t="inlineStr"/>
    </row>
    <row r="517" ht="15" customHeight="1">
      <c r="A517" t="inlineStr">
        <is>
          <t>A 50943-2020</t>
        </is>
      </c>
      <c r="B517" s="1" t="n">
        <v>44111</v>
      </c>
      <c r="C517" s="1" t="n">
        <v>45711</v>
      </c>
      <c r="D517" t="inlineStr">
        <is>
          <t>VÄRMLANDS LÄN</t>
        </is>
      </c>
      <c r="E517" t="inlineStr">
        <is>
          <t>TORSBY</t>
        </is>
      </c>
      <c r="F517" t="inlineStr">
        <is>
          <t>Bergvik skog väst AB</t>
        </is>
      </c>
      <c r="G517" t="n">
        <v>18.4</v>
      </c>
      <c r="H517" t="n">
        <v>0</v>
      </c>
      <c r="I517" t="n">
        <v>0</v>
      </c>
      <c r="J517" t="n">
        <v>0</v>
      </c>
      <c r="K517" t="n">
        <v>0</v>
      </c>
      <c r="L517" t="n">
        <v>0</v>
      </c>
      <c r="M517" t="n">
        <v>0</v>
      </c>
      <c r="N517" t="n">
        <v>0</v>
      </c>
      <c r="O517" t="n">
        <v>0</v>
      </c>
      <c r="P517" t="n">
        <v>0</v>
      </c>
      <c r="Q517" t="n">
        <v>0</v>
      </c>
      <c r="R517" s="2" t="inlineStr"/>
    </row>
    <row r="518" ht="15" customHeight="1">
      <c r="A518" t="inlineStr">
        <is>
          <t>A 51380-2020</t>
        </is>
      </c>
      <c r="B518" s="1" t="n">
        <v>44113</v>
      </c>
      <c r="C518" s="1" t="n">
        <v>45711</v>
      </c>
      <c r="D518" t="inlineStr">
        <is>
          <t>VÄRMLANDS LÄN</t>
        </is>
      </c>
      <c r="E518" t="inlineStr">
        <is>
          <t>TORSBY</t>
        </is>
      </c>
      <c r="G518" t="n">
        <v>1.4</v>
      </c>
      <c r="H518" t="n">
        <v>0</v>
      </c>
      <c r="I518" t="n">
        <v>0</v>
      </c>
      <c r="J518" t="n">
        <v>0</v>
      </c>
      <c r="K518" t="n">
        <v>0</v>
      </c>
      <c r="L518" t="n">
        <v>0</v>
      </c>
      <c r="M518" t="n">
        <v>0</v>
      </c>
      <c r="N518" t="n">
        <v>0</v>
      </c>
      <c r="O518" t="n">
        <v>0</v>
      </c>
      <c r="P518" t="n">
        <v>0</v>
      </c>
      <c r="Q518" t="n">
        <v>0</v>
      </c>
      <c r="R518" s="2" t="inlineStr"/>
    </row>
    <row r="519" ht="15" customHeight="1">
      <c r="A519" t="inlineStr">
        <is>
          <t>A 51385-2020</t>
        </is>
      </c>
      <c r="B519" s="1" t="n">
        <v>44113</v>
      </c>
      <c r="C519" s="1" t="n">
        <v>45711</v>
      </c>
      <c r="D519" t="inlineStr">
        <is>
          <t>VÄRMLANDS LÄN</t>
        </is>
      </c>
      <c r="E519" t="inlineStr">
        <is>
          <t>TORSBY</t>
        </is>
      </c>
      <c r="G519" t="n">
        <v>6.8</v>
      </c>
      <c r="H519" t="n">
        <v>0</v>
      </c>
      <c r="I519" t="n">
        <v>0</v>
      </c>
      <c r="J519" t="n">
        <v>0</v>
      </c>
      <c r="K519" t="n">
        <v>0</v>
      </c>
      <c r="L519" t="n">
        <v>0</v>
      </c>
      <c r="M519" t="n">
        <v>0</v>
      </c>
      <c r="N519" t="n">
        <v>0</v>
      </c>
      <c r="O519" t="n">
        <v>0</v>
      </c>
      <c r="P519" t="n">
        <v>0</v>
      </c>
      <c r="Q519" t="n">
        <v>0</v>
      </c>
      <c r="R519" s="2" t="inlineStr"/>
    </row>
    <row r="520" ht="15" customHeight="1">
      <c r="A520" t="inlineStr">
        <is>
          <t>A 51389-2020</t>
        </is>
      </c>
      <c r="B520" s="1" t="n">
        <v>44113</v>
      </c>
      <c r="C520" s="1" t="n">
        <v>45711</v>
      </c>
      <c r="D520" t="inlineStr">
        <is>
          <t>VÄRMLANDS LÄN</t>
        </is>
      </c>
      <c r="E520" t="inlineStr">
        <is>
          <t>TORSBY</t>
        </is>
      </c>
      <c r="G520" t="n">
        <v>15.4</v>
      </c>
      <c r="H520" t="n">
        <v>0</v>
      </c>
      <c r="I520" t="n">
        <v>0</v>
      </c>
      <c r="J520" t="n">
        <v>0</v>
      </c>
      <c r="K520" t="n">
        <v>0</v>
      </c>
      <c r="L520" t="n">
        <v>0</v>
      </c>
      <c r="M520" t="n">
        <v>0</v>
      </c>
      <c r="N520" t="n">
        <v>0</v>
      </c>
      <c r="O520" t="n">
        <v>0</v>
      </c>
      <c r="P520" t="n">
        <v>0</v>
      </c>
      <c r="Q520" t="n">
        <v>0</v>
      </c>
      <c r="R520" s="2" t="inlineStr"/>
    </row>
    <row r="521" ht="15" customHeight="1">
      <c r="A521" t="inlineStr">
        <is>
          <t>A 51382-2020</t>
        </is>
      </c>
      <c r="B521" s="1" t="n">
        <v>44113</v>
      </c>
      <c r="C521" s="1" t="n">
        <v>45711</v>
      </c>
      <c r="D521" t="inlineStr">
        <is>
          <t>VÄRMLANDS LÄN</t>
        </is>
      </c>
      <c r="E521" t="inlineStr">
        <is>
          <t>TORSBY</t>
        </is>
      </c>
      <c r="G521" t="n">
        <v>0.5</v>
      </c>
      <c r="H521" t="n">
        <v>0</v>
      </c>
      <c r="I521" t="n">
        <v>0</v>
      </c>
      <c r="J521" t="n">
        <v>0</v>
      </c>
      <c r="K521" t="n">
        <v>0</v>
      </c>
      <c r="L521" t="n">
        <v>0</v>
      </c>
      <c r="M521" t="n">
        <v>0</v>
      </c>
      <c r="N521" t="n">
        <v>0</v>
      </c>
      <c r="O521" t="n">
        <v>0</v>
      </c>
      <c r="P521" t="n">
        <v>0</v>
      </c>
      <c r="Q521" t="n">
        <v>0</v>
      </c>
      <c r="R521" s="2" t="inlineStr"/>
    </row>
    <row r="522" ht="15" customHeight="1">
      <c r="A522" t="inlineStr">
        <is>
          <t>A 51381-2020</t>
        </is>
      </c>
      <c r="B522" s="1" t="n">
        <v>44113</v>
      </c>
      <c r="C522" s="1" t="n">
        <v>45711</v>
      </c>
      <c r="D522" t="inlineStr">
        <is>
          <t>VÄRMLANDS LÄN</t>
        </is>
      </c>
      <c r="E522" t="inlineStr">
        <is>
          <t>TORSBY</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51386-2020</t>
        </is>
      </c>
      <c r="B523" s="1" t="n">
        <v>44113</v>
      </c>
      <c r="C523" s="1" t="n">
        <v>45711</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51635-2020</t>
        </is>
      </c>
      <c r="B524" s="1" t="n">
        <v>44113</v>
      </c>
      <c r="C524" s="1" t="n">
        <v>45711</v>
      </c>
      <c r="D524" t="inlineStr">
        <is>
          <t>VÄRMLANDS LÄN</t>
        </is>
      </c>
      <c r="E524" t="inlineStr">
        <is>
          <t>TORSBY</t>
        </is>
      </c>
      <c r="F524" t="inlineStr">
        <is>
          <t>Bergvik skog väst AB</t>
        </is>
      </c>
      <c r="G524" t="n">
        <v>0.4</v>
      </c>
      <c r="H524" t="n">
        <v>0</v>
      </c>
      <c r="I524" t="n">
        <v>0</v>
      </c>
      <c r="J524" t="n">
        <v>0</v>
      </c>
      <c r="K524" t="n">
        <v>0</v>
      </c>
      <c r="L524" t="n">
        <v>0</v>
      </c>
      <c r="M524" t="n">
        <v>0</v>
      </c>
      <c r="N524" t="n">
        <v>0</v>
      </c>
      <c r="O524" t="n">
        <v>0</v>
      </c>
      <c r="P524" t="n">
        <v>0</v>
      </c>
      <c r="Q524" t="n">
        <v>0</v>
      </c>
      <c r="R524" s="2" t="inlineStr"/>
    </row>
    <row r="525" ht="15" customHeight="1">
      <c r="A525" t="inlineStr">
        <is>
          <t>A 51383-2020</t>
        </is>
      </c>
      <c r="B525" s="1" t="n">
        <v>44113</v>
      </c>
      <c r="C525" s="1" t="n">
        <v>45711</v>
      </c>
      <c r="D525" t="inlineStr">
        <is>
          <t>VÄRMLANDS LÄN</t>
        </is>
      </c>
      <c r="E525" t="inlineStr">
        <is>
          <t>TORSBY</t>
        </is>
      </c>
      <c r="G525" t="n">
        <v>3.8</v>
      </c>
      <c r="H525" t="n">
        <v>0</v>
      </c>
      <c r="I525" t="n">
        <v>0</v>
      </c>
      <c r="J525" t="n">
        <v>0</v>
      </c>
      <c r="K525" t="n">
        <v>0</v>
      </c>
      <c r="L525" t="n">
        <v>0</v>
      </c>
      <c r="M525" t="n">
        <v>0</v>
      </c>
      <c r="N525" t="n">
        <v>0</v>
      </c>
      <c r="O525" t="n">
        <v>0</v>
      </c>
      <c r="P525" t="n">
        <v>0</v>
      </c>
      <c r="Q525" t="n">
        <v>0</v>
      </c>
      <c r="R525" s="2" t="inlineStr"/>
    </row>
    <row r="526" ht="15" customHeight="1">
      <c r="A526" t="inlineStr">
        <is>
          <t>A 51838-2020</t>
        </is>
      </c>
      <c r="B526" s="1" t="n">
        <v>44116</v>
      </c>
      <c r="C526" s="1" t="n">
        <v>45711</v>
      </c>
      <c r="D526" t="inlineStr">
        <is>
          <t>VÄRMLANDS LÄN</t>
        </is>
      </c>
      <c r="E526" t="inlineStr">
        <is>
          <t>TORSBY</t>
        </is>
      </c>
      <c r="G526" t="n">
        <v>0.5</v>
      </c>
      <c r="H526" t="n">
        <v>0</v>
      </c>
      <c r="I526" t="n">
        <v>0</v>
      </c>
      <c r="J526" t="n">
        <v>0</v>
      </c>
      <c r="K526" t="n">
        <v>0</v>
      </c>
      <c r="L526" t="n">
        <v>0</v>
      </c>
      <c r="M526" t="n">
        <v>0</v>
      </c>
      <c r="N526" t="n">
        <v>0</v>
      </c>
      <c r="O526" t="n">
        <v>0</v>
      </c>
      <c r="P526" t="n">
        <v>0</v>
      </c>
      <c r="Q526" t="n">
        <v>0</v>
      </c>
      <c r="R526" s="2" t="inlineStr"/>
    </row>
    <row r="527" ht="15" customHeight="1">
      <c r="A527" t="inlineStr">
        <is>
          <t>A 52460-2020</t>
        </is>
      </c>
      <c r="B527" s="1" t="n">
        <v>44116</v>
      </c>
      <c r="C527" s="1" t="n">
        <v>45711</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51837-2020</t>
        </is>
      </c>
      <c r="B528" s="1" t="n">
        <v>44116</v>
      </c>
      <c r="C528" s="1" t="n">
        <v>45711</v>
      </c>
      <c r="D528" t="inlineStr">
        <is>
          <t>VÄRMLANDS LÄN</t>
        </is>
      </c>
      <c r="E528" t="inlineStr">
        <is>
          <t>TORSBY</t>
        </is>
      </c>
      <c r="G528" t="n">
        <v>1.7</v>
      </c>
      <c r="H528" t="n">
        <v>0</v>
      </c>
      <c r="I528" t="n">
        <v>0</v>
      </c>
      <c r="J528" t="n">
        <v>0</v>
      </c>
      <c r="K528" t="n">
        <v>0</v>
      </c>
      <c r="L528" t="n">
        <v>0</v>
      </c>
      <c r="M528" t="n">
        <v>0</v>
      </c>
      <c r="N528" t="n">
        <v>0</v>
      </c>
      <c r="O528" t="n">
        <v>0</v>
      </c>
      <c r="P528" t="n">
        <v>0</v>
      </c>
      <c r="Q528" t="n">
        <v>0</v>
      </c>
      <c r="R528" s="2" t="inlineStr"/>
    </row>
    <row r="529" ht="15" customHeight="1">
      <c r="A529" t="inlineStr">
        <is>
          <t>A 52141-2020</t>
        </is>
      </c>
      <c r="B529" s="1" t="n">
        <v>44117</v>
      </c>
      <c r="C529" s="1" t="n">
        <v>45711</v>
      </c>
      <c r="D529" t="inlineStr">
        <is>
          <t>VÄRMLANDS LÄN</t>
        </is>
      </c>
      <c r="E529" t="inlineStr">
        <is>
          <t>TORSBY</t>
        </is>
      </c>
      <c r="G529" t="n">
        <v>4.1</v>
      </c>
      <c r="H529" t="n">
        <v>0</v>
      </c>
      <c r="I529" t="n">
        <v>0</v>
      </c>
      <c r="J529" t="n">
        <v>0</v>
      </c>
      <c r="K529" t="n">
        <v>0</v>
      </c>
      <c r="L529" t="n">
        <v>0</v>
      </c>
      <c r="M529" t="n">
        <v>0</v>
      </c>
      <c r="N529" t="n">
        <v>0</v>
      </c>
      <c r="O529" t="n">
        <v>0</v>
      </c>
      <c r="P529" t="n">
        <v>0</v>
      </c>
      <c r="Q529" t="n">
        <v>0</v>
      </c>
      <c r="R529" s="2" t="inlineStr"/>
    </row>
    <row r="530" ht="15" customHeight="1">
      <c r="A530" t="inlineStr">
        <is>
          <t>A 52799-2020</t>
        </is>
      </c>
      <c r="B530" s="1" t="n">
        <v>44119</v>
      </c>
      <c r="C530" s="1" t="n">
        <v>45711</v>
      </c>
      <c r="D530" t="inlineStr">
        <is>
          <t>VÄRMLANDS LÄN</t>
        </is>
      </c>
      <c r="E530" t="inlineStr">
        <is>
          <t>TORSBY</t>
        </is>
      </c>
      <c r="G530" t="n">
        <v>6.2</v>
      </c>
      <c r="H530" t="n">
        <v>0</v>
      </c>
      <c r="I530" t="n">
        <v>0</v>
      </c>
      <c r="J530" t="n">
        <v>0</v>
      </c>
      <c r="K530" t="n">
        <v>0</v>
      </c>
      <c r="L530" t="n">
        <v>0</v>
      </c>
      <c r="M530" t="n">
        <v>0</v>
      </c>
      <c r="N530" t="n">
        <v>0</v>
      </c>
      <c r="O530" t="n">
        <v>0</v>
      </c>
      <c r="P530" t="n">
        <v>0</v>
      </c>
      <c r="Q530" t="n">
        <v>0</v>
      </c>
      <c r="R530" s="2" t="inlineStr"/>
    </row>
    <row r="531" ht="15" customHeight="1">
      <c r="A531" t="inlineStr">
        <is>
          <t>A 52979-2020</t>
        </is>
      </c>
      <c r="B531" s="1" t="n">
        <v>44120</v>
      </c>
      <c r="C531" s="1" t="n">
        <v>45711</v>
      </c>
      <c r="D531" t="inlineStr">
        <is>
          <t>VÄRMLANDS LÄN</t>
        </is>
      </c>
      <c r="E531" t="inlineStr">
        <is>
          <t>TORSBY</t>
        </is>
      </c>
      <c r="G531" t="n">
        <v>3.6</v>
      </c>
      <c r="H531" t="n">
        <v>0</v>
      </c>
      <c r="I531" t="n">
        <v>0</v>
      </c>
      <c r="J531" t="n">
        <v>0</v>
      </c>
      <c r="K531" t="n">
        <v>0</v>
      </c>
      <c r="L531" t="n">
        <v>0</v>
      </c>
      <c r="M531" t="n">
        <v>0</v>
      </c>
      <c r="N531" t="n">
        <v>0</v>
      </c>
      <c r="O531" t="n">
        <v>0</v>
      </c>
      <c r="P531" t="n">
        <v>0</v>
      </c>
      <c r="Q531" t="n">
        <v>0</v>
      </c>
      <c r="R531" s="2" t="inlineStr"/>
    </row>
    <row r="532" ht="15" customHeight="1">
      <c r="A532" t="inlineStr">
        <is>
          <t>A 53111-2020</t>
        </is>
      </c>
      <c r="B532" s="1" t="n">
        <v>44120</v>
      </c>
      <c r="C532" s="1" t="n">
        <v>45711</v>
      </c>
      <c r="D532" t="inlineStr">
        <is>
          <t>VÄRMLANDS LÄN</t>
        </is>
      </c>
      <c r="E532" t="inlineStr">
        <is>
          <t>TORSBY</t>
        </is>
      </c>
      <c r="F532" t="inlineStr">
        <is>
          <t>Bergvik skog väst AB</t>
        </is>
      </c>
      <c r="G532" t="n">
        <v>3.4</v>
      </c>
      <c r="H532" t="n">
        <v>0</v>
      </c>
      <c r="I532" t="n">
        <v>0</v>
      </c>
      <c r="J532" t="n">
        <v>0</v>
      </c>
      <c r="K532" t="n">
        <v>0</v>
      </c>
      <c r="L532" t="n">
        <v>0</v>
      </c>
      <c r="M532" t="n">
        <v>0</v>
      </c>
      <c r="N532" t="n">
        <v>0</v>
      </c>
      <c r="O532" t="n">
        <v>0</v>
      </c>
      <c r="P532" t="n">
        <v>0</v>
      </c>
      <c r="Q532" t="n">
        <v>0</v>
      </c>
      <c r="R532" s="2" t="inlineStr"/>
    </row>
    <row r="533" ht="15" customHeight="1">
      <c r="A533" t="inlineStr">
        <is>
          <t>A 53771-2020</t>
        </is>
      </c>
      <c r="B533" s="1" t="n">
        <v>44124</v>
      </c>
      <c r="C533" s="1" t="n">
        <v>45711</v>
      </c>
      <c r="D533" t="inlineStr">
        <is>
          <t>VÄRMLANDS LÄN</t>
        </is>
      </c>
      <c r="E533" t="inlineStr">
        <is>
          <t>TORSBY</t>
        </is>
      </c>
      <c r="G533" t="n">
        <v>2.4</v>
      </c>
      <c r="H533" t="n">
        <v>0</v>
      </c>
      <c r="I533" t="n">
        <v>0</v>
      </c>
      <c r="J533" t="n">
        <v>0</v>
      </c>
      <c r="K533" t="n">
        <v>0</v>
      </c>
      <c r="L533" t="n">
        <v>0</v>
      </c>
      <c r="M533" t="n">
        <v>0</v>
      </c>
      <c r="N533" t="n">
        <v>0</v>
      </c>
      <c r="O533" t="n">
        <v>0</v>
      </c>
      <c r="P533" t="n">
        <v>0</v>
      </c>
      <c r="Q533" t="n">
        <v>0</v>
      </c>
      <c r="R533" s="2" t="inlineStr"/>
    </row>
    <row r="534" ht="15" customHeight="1">
      <c r="A534" t="inlineStr">
        <is>
          <t>A 53733-2020</t>
        </is>
      </c>
      <c r="B534" s="1" t="n">
        <v>44124</v>
      </c>
      <c r="C534" s="1" t="n">
        <v>45711</v>
      </c>
      <c r="D534" t="inlineStr">
        <is>
          <t>VÄRMLANDS LÄN</t>
        </is>
      </c>
      <c r="E534" t="inlineStr">
        <is>
          <t>TORSBY</t>
        </is>
      </c>
      <c r="G534" t="n">
        <v>2.7</v>
      </c>
      <c r="H534" t="n">
        <v>0</v>
      </c>
      <c r="I534" t="n">
        <v>0</v>
      </c>
      <c r="J534" t="n">
        <v>0</v>
      </c>
      <c r="K534" t="n">
        <v>0</v>
      </c>
      <c r="L534" t="n">
        <v>0</v>
      </c>
      <c r="M534" t="n">
        <v>0</v>
      </c>
      <c r="N534" t="n">
        <v>0</v>
      </c>
      <c r="O534" t="n">
        <v>0</v>
      </c>
      <c r="P534" t="n">
        <v>0</v>
      </c>
      <c r="Q534" t="n">
        <v>0</v>
      </c>
      <c r="R534" s="2" t="inlineStr"/>
    </row>
    <row r="535" ht="15" customHeight="1">
      <c r="A535" t="inlineStr">
        <is>
          <t>A 54331-2020</t>
        </is>
      </c>
      <c r="B535" s="1" t="n">
        <v>44124</v>
      </c>
      <c r="C535" s="1" t="n">
        <v>45711</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54060-2020</t>
        </is>
      </c>
      <c r="B536" s="1" t="n">
        <v>44125</v>
      </c>
      <c r="C536" s="1" t="n">
        <v>45711</v>
      </c>
      <c r="D536" t="inlineStr">
        <is>
          <t>VÄRMLANDS LÄN</t>
        </is>
      </c>
      <c r="E536" t="inlineStr">
        <is>
          <t>TORSBY</t>
        </is>
      </c>
      <c r="G536" t="n">
        <v>3.2</v>
      </c>
      <c r="H536" t="n">
        <v>0</v>
      </c>
      <c r="I536" t="n">
        <v>0</v>
      </c>
      <c r="J536" t="n">
        <v>0</v>
      </c>
      <c r="K536" t="n">
        <v>0</v>
      </c>
      <c r="L536" t="n">
        <v>0</v>
      </c>
      <c r="M536" t="n">
        <v>0</v>
      </c>
      <c r="N536" t="n">
        <v>0</v>
      </c>
      <c r="O536" t="n">
        <v>0</v>
      </c>
      <c r="P536" t="n">
        <v>0</v>
      </c>
      <c r="Q536" t="n">
        <v>0</v>
      </c>
      <c r="R536" s="2" t="inlineStr"/>
    </row>
    <row r="537" ht="15" customHeight="1">
      <c r="A537" t="inlineStr">
        <is>
          <t>A 54072-2020</t>
        </is>
      </c>
      <c r="B537" s="1" t="n">
        <v>44125</v>
      </c>
      <c r="C537" s="1" t="n">
        <v>45711</v>
      </c>
      <c r="D537" t="inlineStr">
        <is>
          <t>VÄRMLANDS LÄN</t>
        </is>
      </c>
      <c r="E537" t="inlineStr">
        <is>
          <t>TORSBY</t>
        </is>
      </c>
      <c r="G537" t="n">
        <v>5</v>
      </c>
      <c r="H537" t="n">
        <v>0</v>
      </c>
      <c r="I537" t="n">
        <v>0</v>
      </c>
      <c r="J537" t="n">
        <v>0</v>
      </c>
      <c r="K537" t="n">
        <v>0</v>
      </c>
      <c r="L537" t="n">
        <v>0</v>
      </c>
      <c r="M537" t="n">
        <v>0</v>
      </c>
      <c r="N537" t="n">
        <v>0</v>
      </c>
      <c r="O537" t="n">
        <v>0</v>
      </c>
      <c r="P537" t="n">
        <v>0</v>
      </c>
      <c r="Q537" t="n">
        <v>0</v>
      </c>
      <c r="R537" s="2" t="inlineStr"/>
    </row>
    <row r="538" ht="15" customHeight="1">
      <c r="A538" t="inlineStr">
        <is>
          <t>A 54916-2020</t>
        </is>
      </c>
      <c r="B538" s="1" t="n">
        <v>44127</v>
      </c>
      <c r="C538" s="1" t="n">
        <v>45711</v>
      </c>
      <c r="D538" t="inlineStr">
        <is>
          <t>VÄRMLANDS LÄN</t>
        </is>
      </c>
      <c r="E538" t="inlineStr">
        <is>
          <t>TORSBY</t>
        </is>
      </c>
      <c r="F538" t="inlineStr">
        <is>
          <t>Kyrkan</t>
        </is>
      </c>
      <c r="G538" t="n">
        <v>0.7</v>
      </c>
      <c r="H538" t="n">
        <v>0</v>
      </c>
      <c r="I538" t="n">
        <v>0</v>
      </c>
      <c r="J538" t="n">
        <v>0</v>
      </c>
      <c r="K538" t="n">
        <v>0</v>
      </c>
      <c r="L538" t="n">
        <v>0</v>
      </c>
      <c r="M538" t="n">
        <v>0</v>
      </c>
      <c r="N538" t="n">
        <v>0</v>
      </c>
      <c r="O538" t="n">
        <v>0</v>
      </c>
      <c r="P538" t="n">
        <v>0</v>
      </c>
      <c r="Q538" t="n">
        <v>0</v>
      </c>
      <c r="R538" s="2" t="inlineStr"/>
    </row>
    <row r="539" ht="15" customHeight="1">
      <c r="A539" t="inlineStr">
        <is>
          <t>A 54924-2020</t>
        </is>
      </c>
      <c r="B539" s="1" t="n">
        <v>44127</v>
      </c>
      <c r="C539" s="1" t="n">
        <v>45711</v>
      </c>
      <c r="D539" t="inlineStr">
        <is>
          <t>VÄRMLANDS LÄN</t>
        </is>
      </c>
      <c r="E539" t="inlineStr">
        <is>
          <t>TORSBY</t>
        </is>
      </c>
      <c r="G539" t="n">
        <v>2.1</v>
      </c>
      <c r="H539" t="n">
        <v>0</v>
      </c>
      <c r="I539" t="n">
        <v>0</v>
      </c>
      <c r="J539" t="n">
        <v>0</v>
      </c>
      <c r="K539" t="n">
        <v>0</v>
      </c>
      <c r="L539" t="n">
        <v>0</v>
      </c>
      <c r="M539" t="n">
        <v>0</v>
      </c>
      <c r="N539" t="n">
        <v>0</v>
      </c>
      <c r="O539" t="n">
        <v>0</v>
      </c>
      <c r="P539" t="n">
        <v>0</v>
      </c>
      <c r="Q539" t="n">
        <v>0</v>
      </c>
      <c r="R539" s="2" t="inlineStr"/>
    </row>
    <row r="540" ht="15" customHeight="1">
      <c r="A540" t="inlineStr">
        <is>
          <t>A 55058-2020</t>
        </is>
      </c>
      <c r="B540" s="1" t="n">
        <v>44130</v>
      </c>
      <c r="C540" s="1" t="n">
        <v>45711</v>
      </c>
      <c r="D540" t="inlineStr">
        <is>
          <t>VÄRMLANDS LÄN</t>
        </is>
      </c>
      <c r="E540" t="inlineStr">
        <is>
          <t>TORSBY</t>
        </is>
      </c>
      <c r="F540" t="inlineStr">
        <is>
          <t>Bergvik skog väst AB</t>
        </is>
      </c>
      <c r="G540" t="n">
        <v>0.5</v>
      </c>
      <c r="H540" t="n">
        <v>0</v>
      </c>
      <c r="I540" t="n">
        <v>0</v>
      </c>
      <c r="J540" t="n">
        <v>0</v>
      </c>
      <c r="K540" t="n">
        <v>0</v>
      </c>
      <c r="L540" t="n">
        <v>0</v>
      </c>
      <c r="M540" t="n">
        <v>0</v>
      </c>
      <c r="N540" t="n">
        <v>0</v>
      </c>
      <c r="O540" t="n">
        <v>0</v>
      </c>
      <c r="P540" t="n">
        <v>0</v>
      </c>
      <c r="Q540" t="n">
        <v>0</v>
      </c>
      <c r="R540" s="2" t="inlineStr"/>
    </row>
    <row r="541" ht="15" customHeight="1">
      <c r="A541" t="inlineStr">
        <is>
          <t>A 55217-2020</t>
        </is>
      </c>
      <c r="B541" s="1" t="n">
        <v>44130</v>
      </c>
      <c r="C541" s="1" t="n">
        <v>45711</v>
      </c>
      <c r="D541" t="inlineStr">
        <is>
          <t>VÄRMLANDS LÄN</t>
        </is>
      </c>
      <c r="E541" t="inlineStr">
        <is>
          <t>TORSBY</t>
        </is>
      </c>
      <c r="G541" t="n">
        <v>4.2</v>
      </c>
      <c r="H541" t="n">
        <v>0</v>
      </c>
      <c r="I541" t="n">
        <v>0</v>
      </c>
      <c r="J541" t="n">
        <v>0</v>
      </c>
      <c r="K541" t="n">
        <v>0</v>
      </c>
      <c r="L541" t="n">
        <v>0</v>
      </c>
      <c r="M541" t="n">
        <v>0</v>
      </c>
      <c r="N541" t="n">
        <v>0</v>
      </c>
      <c r="O541" t="n">
        <v>0</v>
      </c>
      <c r="P541" t="n">
        <v>0</v>
      </c>
      <c r="Q541" t="n">
        <v>0</v>
      </c>
      <c r="R541" s="2" t="inlineStr"/>
    </row>
    <row r="542" ht="15" customHeight="1">
      <c r="A542" t="inlineStr">
        <is>
          <t>A 55401-2020</t>
        </is>
      </c>
      <c r="B542" s="1" t="n">
        <v>44131</v>
      </c>
      <c r="C542" s="1" t="n">
        <v>45711</v>
      </c>
      <c r="D542" t="inlineStr">
        <is>
          <t>VÄRMLANDS LÄN</t>
        </is>
      </c>
      <c r="E542" t="inlineStr">
        <is>
          <t>TORSBY</t>
        </is>
      </c>
      <c r="G542" t="n">
        <v>1.9</v>
      </c>
      <c r="H542" t="n">
        <v>0</v>
      </c>
      <c r="I542" t="n">
        <v>0</v>
      </c>
      <c r="J542" t="n">
        <v>0</v>
      </c>
      <c r="K542" t="n">
        <v>0</v>
      </c>
      <c r="L542" t="n">
        <v>0</v>
      </c>
      <c r="M542" t="n">
        <v>0</v>
      </c>
      <c r="N542" t="n">
        <v>0</v>
      </c>
      <c r="O542" t="n">
        <v>0</v>
      </c>
      <c r="P542" t="n">
        <v>0</v>
      </c>
      <c r="Q542" t="n">
        <v>0</v>
      </c>
      <c r="R542" s="2" t="inlineStr"/>
    </row>
    <row r="543" ht="15" customHeight="1">
      <c r="A543" t="inlineStr">
        <is>
          <t>A 56979-2020</t>
        </is>
      </c>
      <c r="B543" s="1" t="n">
        <v>44138</v>
      </c>
      <c r="C543" s="1" t="n">
        <v>45711</v>
      </c>
      <c r="D543" t="inlineStr">
        <is>
          <t>VÄRMLANDS LÄN</t>
        </is>
      </c>
      <c r="E543" t="inlineStr">
        <is>
          <t>TORSBY</t>
        </is>
      </c>
      <c r="G543" t="n">
        <v>3.2</v>
      </c>
      <c r="H543" t="n">
        <v>0</v>
      </c>
      <c r="I543" t="n">
        <v>0</v>
      </c>
      <c r="J543" t="n">
        <v>0</v>
      </c>
      <c r="K543" t="n">
        <v>0</v>
      </c>
      <c r="L543" t="n">
        <v>0</v>
      </c>
      <c r="M543" t="n">
        <v>0</v>
      </c>
      <c r="N543" t="n">
        <v>0</v>
      </c>
      <c r="O543" t="n">
        <v>0</v>
      </c>
      <c r="P543" t="n">
        <v>0</v>
      </c>
      <c r="Q543" t="n">
        <v>0</v>
      </c>
      <c r="R543" s="2" t="inlineStr"/>
    </row>
    <row r="544" ht="15" customHeight="1">
      <c r="A544" t="inlineStr">
        <is>
          <t>A 57119-2020</t>
        </is>
      </c>
      <c r="B544" s="1" t="n">
        <v>44139</v>
      </c>
      <c r="C544" s="1" t="n">
        <v>45711</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57896-2020</t>
        </is>
      </c>
      <c r="B545" s="1" t="n">
        <v>44141</v>
      </c>
      <c r="C545" s="1" t="n">
        <v>45711</v>
      </c>
      <c r="D545" t="inlineStr">
        <is>
          <t>VÄRMLANDS LÄN</t>
        </is>
      </c>
      <c r="E545" t="inlineStr">
        <is>
          <t>TORSBY</t>
        </is>
      </c>
      <c r="F545" t="inlineStr">
        <is>
          <t>Bergvik skog väst AB</t>
        </is>
      </c>
      <c r="G545" t="n">
        <v>5.2</v>
      </c>
      <c r="H545" t="n">
        <v>0</v>
      </c>
      <c r="I545" t="n">
        <v>0</v>
      </c>
      <c r="J545" t="n">
        <v>0</v>
      </c>
      <c r="K545" t="n">
        <v>0</v>
      </c>
      <c r="L545" t="n">
        <v>0</v>
      </c>
      <c r="M545" t="n">
        <v>0</v>
      </c>
      <c r="N545" t="n">
        <v>0</v>
      </c>
      <c r="O545" t="n">
        <v>0</v>
      </c>
      <c r="P545" t="n">
        <v>0</v>
      </c>
      <c r="Q545" t="n">
        <v>0</v>
      </c>
      <c r="R545" s="2" t="inlineStr"/>
    </row>
    <row r="546" ht="15" customHeight="1">
      <c r="A546" t="inlineStr">
        <is>
          <t>A 57980-2020</t>
        </is>
      </c>
      <c r="B546" s="1" t="n">
        <v>44143</v>
      </c>
      <c r="C546" s="1" t="n">
        <v>45711</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58078-2020</t>
        </is>
      </c>
      <c r="B547" s="1" t="n">
        <v>44144</v>
      </c>
      <c r="C547" s="1" t="n">
        <v>45711</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58599-2020</t>
        </is>
      </c>
      <c r="B548" s="1" t="n">
        <v>44145</v>
      </c>
      <c r="C548" s="1" t="n">
        <v>45711</v>
      </c>
      <c r="D548" t="inlineStr">
        <is>
          <t>VÄRMLANDS LÄN</t>
        </is>
      </c>
      <c r="E548" t="inlineStr">
        <is>
          <t>TORSBY</t>
        </is>
      </c>
      <c r="G548" t="n">
        <v>1</v>
      </c>
      <c r="H548" t="n">
        <v>0</v>
      </c>
      <c r="I548" t="n">
        <v>0</v>
      </c>
      <c r="J548" t="n">
        <v>0</v>
      </c>
      <c r="K548" t="n">
        <v>0</v>
      </c>
      <c r="L548" t="n">
        <v>0</v>
      </c>
      <c r="M548" t="n">
        <v>0</v>
      </c>
      <c r="N548" t="n">
        <v>0</v>
      </c>
      <c r="O548" t="n">
        <v>0</v>
      </c>
      <c r="P548" t="n">
        <v>0</v>
      </c>
      <c r="Q548" t="n">
        <v>0</v>
      </c>
      <c r="R548" s="2" t="inlineStr"/>
    </row>
    <row r="549" ht="15" customHeight="1">
      <c r="A549" t="inlineStr">
        <is>
          <t>A 58574-2020</t>
        </is>
      </c>
      <c r="B549" s="1" t="n">
        <v>44145</v>
      </c>
      <c r="C549" s="1" t="n">
        <v>45711</v>
      </c>
      <c r="D549" t="inlineStr">
        <is>
          <t>VÄRMLANDS LÄN</t>
        </is>
      </c>
      <c r="E549" t="inlineStr">
        <is>
          <t>TORSBY</t>
        </is>
      </c>
      <c r="G549" t="n">
        <v>1.6</v>
      </c>
      <c r="H549" t="n">
        <v>0</v>
      </c>
      <c r="I549" t="n">
        <v>0</v>
      </c>
      <c r="J549" t="n">
        <v>0</v>
      </c>
      <c r="K549" t="n">
        <v>0</v>
      </c>
      <c r="L549" t="n">
        <v>0</v>
      </c>
      <c r="M549" t="n">
        <v>0</v>
      </c>
      <c r="N549" t="n">
        <v>0</v>
      </c>
      <c r="O549" t="n">
        <v>0</v>
      </c>
      <c r="P549" t="n">
        <v>0</v>
      </c>
      <c r="Q549" t="n">
        <v>0</v>
      </c>
      <c r="R549" s="2" t="inlineStr"/>
    </row>
    <row r="550" ht="15" customHeight="1">
      <c r="A550" t="inlineStr">
        <is>
          <t>A 58643-2020</t>
        </is>
      </c>
      <c r="B550" s="1" t="n">
        <v>44145</v>
      </c>
      <c r="C550" s="1" t="n">
        <v>45711</v>
      </c>
      <c r="D550" t="inlineStr">
        <is>
          <t>VÄRMLANDS LÄN</t>
        </is>
      </c>
      <c r="E550" t="inlineStr">
        <is>
          <t>TORSBY</t>
        </is>
      </c>
      <c r="G550" t="n">
        <v>2.4</v>
      </c>
      <c r="H550" t="n">
        <v>0</v>
      </c>
      <c r="I550" t="n">
        <v>0</v>
      </c>
      <c r="J550" t="n">
        <v>0</v>
      </c>
      <c r="K550" t="n">
        <v>0</v>
      </c>
      <c r="L550" t="n">
        <v>0</v>
      </c>
      <c r="M550" t="n">
        <v>0</v>
      </c>
      <c r="N550" t="n">
        <v>0</v>
      </c>
      <c r="O550" t="n">
        <v>0</v>
      </c>
      <c r="P550" t="n">
        <v>0</v>
      </c>
      <c r="Q550" t="n">
        <v>0</v>
      </c>
      <c r="R550" s="2" t="inlineStr"/>
    </row>
    <row r="551" ht="15" customHeight="1">
      <c r="A551" t="inlineStr">
        <is>
          <t>A 58680-2020</t>
        </is>
      </c>
      <c r="B551" s="1" t="n">
        <v>44146</v>
      </c>
      <c r="C551" s="1" t="n">
        <v>45711</v>
      </c>
      <c r="D551" t="inlineStr">
        <is>
          <t>VÄRMLANDS LÄN</t>
        </is>
      </c>
      <c r="E551" t="inlineStr">
        <is>
          <t>TORSBY</t>
        </is>
      </c>
      <c r="G551" t="n">
        <v>4.7</v>
      </c>
      <c r="H551" t="n">
        <v>0</v>
      </c>
      <c r="I551" t="n">
        <v>0</v>
      </c>
      <c r="J551" t="n">
        <v>0</v>
      </c>
      <c r="K551" t="n">
        <v>0</v>
      </c>
      <c r="L551" t="n">
        <v>0</v>
      </c>
      <c r="M551" t="n">
        <v>0</v>
      </c>
      <c r="N551" t="n">
        <v>0</v>
      </c>
      <c r="O551" t="n">
        <v>0</v>
      </c>
      <c r="P551" t="n">
        <v>0</v>
      </c>
      <c r="Q551" t="n">
        <v>0</v>
      </c>
      <c r="R551" s="2" t="inlineStr"/>
    </row>
    <row r="552" ht="15" customHeight="1">
      <c r="A552" t="inlineStr">
        <is>
          <t>A 58877-2020</t>
        </is>
      </c>
      <c r="B552" s="1" t="n">
        <v>44146</v>
      </c>
      <c r="C552" s="1" t="n">
        <v>45711</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58930-2020</t>
        </is>
      </c>
      <c r="B553" s="1" t="n">
        <v>44146</v>
      </c>
      <c r="C553" s="1" t="n">
        <v>45711</v>
      </c>
      <c r="D553" t="inlineStr">
        <is>
          <t>VÄRMLANDS LÄN</t>
        </is>
      </c>
      <c r="E553" t="inlineStr">
        <is>
          <t>TORSBY</t>
        </is>
      </c>
      <c r="G553" t="n">
        <v>0.6</v>
      </c>
      <c r="H553" t="n">
        <v>0</v>
      </c>
      <c r="I553" t="n">
        <v>0</v>
      </c>
      <c r="J553" t="n">
        <v>0</v>
      </c>
      <c r="K553" t="n">
        <v>0</v>
      </c>
      <c r="L553" t="n">
        <v>0</v>
      </c>
      <c r="M553" t="n">
        <v>0</v>
      </c>
      <c r="N553" t="n">
        <v>0</v>
      </c>
      <c r="O553" t="n">
        <v>0</v>
      </c>
      <c r="P553" t="n">
        <v>0</v>
      </c>
      <c r="Q553" t="n">
        <v>0</v>
      </c>
      <c r="R553" s="2" t="inlineStr"/>
    </row>
    <row r="554" ht="15" customHeight="1">
      <c r="A554" t="inlineStr">
        <is>
          <t>A 59800-2020</t>
        </is>
      </c>
      <c r="B554" s="1" t="n">
        <v>44151</v>
      </c>
      <c r="C554" s="1" t="n">
        <v>45711</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60167-2020</t>
        </is>
      </c>
      <c r="B555" s="1" t="n">
        <v>44152</v>
      </c>
      <c r="C555" s="1" t="n">
        <v>45711</v>
      </c>
      <c r="D555" t="inlineStr">
        <is>
          <t>VÄRMLANDS LÄN</t>
        </is>
      </c>
      <c r="E555" t="inlineStr">
        <is>
          <t>TORSBY</t>
        </is>
      </c>
      <c r="G555" t="n">
        <v>0.6</v>
      </c>
      <c r="H555" t="n">
        <v>0</v>
      </c>
      <c r="I555" t="n">
        <v>0</v>
      </c>
      <c r="J555" t="n">
        <v>0</v>
      </c>
      <c r="K555" t="n">
        <v>0</v>
      </c>
      <c r="L555" t="n">
        <v>0</v>
      </c>
      <c r="M555" t="n">
        <v>0</v>
      </c>
      <c r="N555" t="n">
        <v>0</v>
      </c>
      <c r="O555" t="n">
        <v>0</v>
      </c>
      <c r="P555" t="n">
        <v>0</v>
      </c>
      <c r="Q555" t="n">
        <v>0</v>
      </c>
      <c r="R555" s="2" t="inlineStr"/>
    </row>
    <row r="556" ht="15" customHeight="1">
      <c r="A556" t="inlineStr">
        <is>
          <t>A 60533-2020</t>
        </is>
      </c>
      <c r="B556" s="1" t="n">
        <v>44153</v>
      </c>
      <c r="C556" s="1" t="n">
        <v>45711</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60719-2020</t>
        </is>
      </c>
      <c r="B557" s="1" t="n">
        <v>44153</v>
      </c>
      <c r="C557" s="1" t="n">
        <v>45711</v>
      </c>
      <c r="D557" t="inlineStr">
        <is>
          <t>VÄRMLANDS LÄN</t>
        </is>
      </c>
      <c r="E557" t="inlineStr">
        <is>
          <t>TORSBY</t>
        </is>
      </c>
      <c r="G557" t="n">
        <v>2.6</v>
      </c>
      <c r="H557" t="n">
        <v>0</v>
      </c>
      <c r="I557" t="n">
        <v>0</v>
      </c>
      <c r="J557" t="n">
        <v>0</v>
      </c>
      <c r="K557" t="n">
        <v>0</v>
      </c>
      <c r="L557" t="n">
        <v>0</v>
      </c>
      <c r="M557" t="n">
        <v>0</v>
      </c>
      <c r="N557" t="n">
        <v>0</v>
      </c>
      <c r="O557" t="n">
        <v>0</v>
      </c>
      <c r="P557" t="n">
        <v>0</v>
      </c>
      <c r="Q557" t="n">
        <v>0</v>
      </c>
      <c r="R557" s="2" t="inlineStr"/>
    </row>
    <row r="558" ht="15" customHeight="1">
      <c r="A558" t="inlineStr">
        <is>
          <t>A 60823-2020</t>
        </is>
      </c>
      <c r="B558" s="1" t="n">
        <v>44153</v>
      </c>
      <c r="C558" s="1" t="n">
        <v>45711</v>
      </c>
      <c r="D558" t="inlineStr">
        <is>
          <t>VÄRMLANDS LÄN</t>
        </is>
      </c>
      <c r="E558" t="inlineStr">
        <is>
          <t>TORSBY</t>
        </is>
      </c>
      <c r="F558" t="inlineStr">
        <is>
          <t>Kyrkan</t>
        </is>
      </c>
      <c r="G558" t="n">
        <v>0.7</v>
      </c>
      <c r="H558" t="n">
        <v>0</v>
      </c>
      <c r="I558" t="n">
        <v>0</v>
      </c>
      <c r="J558" t="n">
        <v>0</v>
      </c>
      <c r="K558" t="n">
        <v>0</v>
      </c>
      <c r="L558" t="n">
        <v>0</v>
      </c>
      <c r="M558" t="n">
        <v>0</v>
      </c>
      <c r="N558" t="n">
        <v>0</v>
      </c>
      <c r="O558" t="n">
        <v>0</v>
      </c>
      <c r="P558" t="n">
        <v>0</v>
      </c>
      <c r="Q558" t="n">
        <v>0</v>
      </c>
      <c r="R558" s="2" t="inlineStr"/>
    </row>
    <row r="559" ht="15" customHeight="1">
      <c r="A559" t="inlineStr">
        <is>
          <t>A 60941-2020</t>
        </is>
      </c>
      <c r="B559" s="1" t="n">
        <v>44154</v>
      </c>
      <c r="C559" s="1" t="n">
        <v>45711</v>
      </c>
      <c r="D559" t="inlineStr">
        <is>
          <t>VÄRMLANDS LÄN</t>
        </is>
      </c>
      <c r="E559" t="inlineStr">
        <is>
          <t>TORSBY</t>
        </is>
      </c>
      <c r="G559" t="n">
        <v>4.1</v>
      </c>
      <c r="H559" t="n">
        <v>0</v>
      </c>
      <c r="I559" t="n">
        <v>0</v>
      </c>
      <c r="J559" t="n">
        <v>0</v>
      </c>
      <c r="K559" t="n">
        <v>0</v>
      </c>
      <c r="L559" t="n">
        <v>0</v>
      </c>
      <c r="M559" t="n">
        <v>0</v>
      </c>
      <c r="N559" t="n">
        <v>0</v>
      </c>
      <c r="O559" t="n">
        <v>0</v>
      </c>
      <c r="P559" t="n">
        <v>0</v>
      </c>
      <c r="Q559" t="n">
        <v>0</v>
      </c>
      <c r="R559" s="2" t="inlineStr"/>
    </row>
    <row r="560" ht="15" customHeight="1">
      <c r="A560" t="inlineStr">
        <is>
          <t>A 61009-2020</t>
        </is>
      </c>
      <c r="B560" s="1" t="n">
        <v>44154</v>
      </c>
      <c r="C560" s="1" t="n">
        <v>45711</v>
      </c>
      <c r="D560" t="inlineStr">
        <is>
          <t>VÄRMLANDS LÄN</t>
        </is>
      </c>
      <c r="E560" t="inlineStr">
        <is>
          <t>TORSBY</t>
        </is>
      </c>
      <c r="G560" t="n">
        <v>2</v>
      </c>
      <c r="H560" t="n">
        <v>0</v>
      </c>
      <c r="I560" t="n">
        <v>0</v>
      </c>
      <c r="J560" t="n">
        <v>0</v>
      </c>
      <c r="K560" t="n">
        <v>0</v>
      </c>
      <c r="L560" t="n">
        <v>0</v>
      </c>
      <c r="M560" t="n">
        <v>0</v>
      </c>
      <c r="N560" t="n">
        <v>0</v>
      </c>
      <c r="O560" t="n">
        <v>0</v>
      </c>
      <c r="P560" t="n">
        <v>0</v>
      </c>
      <c r="Q560" t="n">
        <v>0</v>
      </c>
      <c r="R560" s="2" t="inlineStr"/>
    </row>
    <row r="561" ht="15" customHeight="1">
      <c r="A561" t="inlineStr">
        <is>
          <t>A 61594-2020</t>
        </is>
      </c>
      <c r="B561" s="1" t="n">
        <v>44154</v>
      </c>
      <c r="C561" s="1" t="n">
        <v>45711</v>
      </c>
      <c r="D561" t="inlineStr">
        <is>
          <t>VÄRMLANDS LÄN</t>
        </is>
      </c>
      <c r="E561" t="inlineStr">
        <is>
          <t>TORSBY</t>
        </is>
      </c>
      <c r="G561" t="n">
        <v>6</v>
      </c>
      <c r="H561" t="n">
        <v>0</v>
      </c>
      <c r="I561" t="n">
        <v>0</v>
      </c>
      <c r="J561" t="n">
        <v>0</v>
      </c>
      <c r="K561" t="n">
        <v>0</v>
      </c>
      <c r="L561" t="n">
        <v>0</v>
      </c>
      <c r="M561" t="n">
        <v>0</v>
      </c>
      <c r="N561" t="n">
        <v>0</v>
      </c>
      <c r="O561" t="n">
        <v>0</v>
      </c>
      <c r="P561" t="n">
        <v>0</v>
      </c>
      <c r="Q561" t="n">
        <v>0</v>
      </c>
      <c r="R561" s="2" t="inlineStr"/>
    </row>
    <row r="562" ht="15" customHeight="1">
      <c r="A562" t="inlineStr">
        <is>
          <t>A 61970-2020</t>
        </is>
      </c>
      <c r="B562" s="1" t="n">
        <v>44155</v>
      </c>
      <c r="C562" s="1" t="n">
        <v>45711</v>
      </c>
      <c r="D562" t="inlineStr">
        <is>
          <t>VÄRMLANDS LÄN</t>
        </is>
      </c>
      <c r="E562" t="inlineStr">
        <is>
          <t>TORSBY</t>
        </is>
      </c>
      <c r="G562" t="n">
        <v>2</v>
      </c>
      <c r="H562" t="n">
        <v>0</v>
      </c>
      <c r="I562" t="n">
        <v>0</v>
      </c>
      <c r="J562" t="n">
        <v>0</v>
      </c>
      <c r="K562" t="n">
        <v>0</v>
      </c>
      <c r="L562" t="n">
        <v>0</v>
      </c>
      <c r="M562" t="n">
        <v>0</v>
      </c>
      <c r="N562" t="n">
        <v>0</v>
      </c>
      <c r="O562" t="n">
        <v>0</v>
      </c>
      <c r="P562" t="n">
        <v>0</v>
      </c>
      <c r="Q562" t="n">
        <v>0</v>
      </c>
      <c r="R562" s="2" t="inlineStr"/>
    </row>
    <row r="563" ht="15" customHeight="1">
      <c r="A563" t="inlineStr">
        <is>
          <t>A 61738-2020</t>
        </is>
      </c>
      <c r="B563" s="1" t="n">
        <v>44158</v>
      </c>
      <c r="C563" s="1" t="n">
        <v>45711</v>
      </c>
      <c r="D563" t="inlineStr">
        <is>
          <t>VÄRMLANDS LÄN</t>
        </is>
      </c>
      <c r="E563" t="inlineStr">
        <is>
          <t>TORSBY</t>
        </is>
      </c>
      <c r="F563" t="inlineStr">
        <is>
          <t>Kommuner</t>
        </is>
      </c>
      <c r="G563" t="n">
        <v>5.8</v>
      </c>
      <c r="H563" t="n">
        <v>0</v>
      </c>
      <c r="I563" t="n">
        <v>0</v>
      </c>
      <c r="J563" t="n">
        <v>0</v>
      </c>
      <c r="K563" t="n">
        <v>0</v>
      </c>
      <c r="L563" t="n">
        <v>0</v>
      </c>
      <c r="M563" t="n">
        <v>0</v>
      </c>
      <c r="N563" t="n">
        <v>0</v>
      </c>
      <c r="O563" t="n">
        <v>0</v>
      </c>
      <c r="P563" t="n">
        <v>0</v>
      </c>
      <c r="Q563" t="n">
        <v>0</v>
      </c>
      <c r="R563" s="2" t="inlineStr"/>
    </row>
    <row r="564" ht="15" customHeight="1">
      <c r="A564" t="inlineStr">
        <is>
          <t>A 61753-2020</t>
        </is>
      </c>
      <c r="B564" s="1" t="n">
        <v>44158</v>
      </c>
      <c r="C564" s="1" t="n">
        <v>45711</v>
      </c>
      <c r="D564" t="inlineStr">
        <is>
          <t>VÄRMLANDS LÄN</t>
        </is>
      </c>
      <c r="E564" t="inlineStr">
        <is>
          <t>TORSBY</t>
        </is>
      </c>
      <c r="G564" t="n">
        <v>2.2</v>
      </c>
      <c r="H564" t="n">
        <v>0</v>
      </c>
      <c r="I564" t="n">
        <v>0</v>
      </c>
      <c r="J564" t="n">
        <v>0</v>
      </c>
      <c r="K564" t="n">
        <v>0</v>
      </c>
      <c r="L564" t="n">
        <v>0</v>
      </c>
      <c r="M564" t="n">
        <v>0</v>
      </c>
      <c r="N564" t="n">
        <v>0</v>
      </c>
      <c r="O564" t="n">
        <v>0</v>
      </c>
      <c r="P564" t="n">
        <v>0</v>
      </c>
      <c r="Q564" t="n">
        <v>0</v>
      </c>
      <c r="R564" s="2" t="inlineStr"/>
    </row>
    <row r="565" ht="15" customHeight="1">
      <c r="A565" t="inlineStr">
        <is>
          <t>A 61998-2020</t>
        </is>
      </c>
      <c r="B565" s="1" t="n">
        <v>44158</v>
      </c>
      <c r="C565" s="1" t="n">
        <v>45711</v>
      </c>
      <c r="D565" t="inlineStr">
        <is>
          <t>VÄRMLANDS LÄN</t>
        </is>
      </c>
      <c r="E565" t="inlineStr">
        <is>
          <t>TORSBY</t>
        </is>
      </c>
      <c r="G565" t="n">
        <v>2.7</v>
      </c>
      <c r="H565" t="n">
        <v>0</v>
      </c>
      <c r="I565" t="n">
        <v>0</v>
      </c>
      <c r="J565" t="n">
        <v>0</v>
      </c>
      <c r="K565" t="n">
        <v>0</v>
      </c>
      <c r="L565" t="n">
        <v>0</v>
      </c>
      <c r="M565" t="n">
        <v>0</v>
      </c>
      <c r="N565" t="n">
        <v>0</v>
      </c>
      <c r="O565" t="n">
        <v>0</v>
      </c>
      <c r="P565" t="n">
        <v>0</v>
      </c>
      <c r="Q565" t="n">
        <v>0</v>
      </c>
      <c r="R565" s="2" t="inlineStr"/>
    </row>
    <row r="566" ht="15" customHeight="1">
      <c r="A566" t="inlineStr">
        <is>
          <t>A 61910-2020</t>
        </is>
      </c>
      <c r="B566" s="1" t="n">
        <v>44159</v>
      </c>
      <c r="C566" s="1" t="n">
        <v>45711</v>
      </c>
      <c r="D566" t="inlineStr">
        <is>
          <t>VÄRMLANDS LÄN</t>
        </is>
      </c>
      <c r="E566" t="inlineStr">
        <is>
          <t>TORSBY</t>
        </is>
      </c>
      <c r="G566" t="n">
        <v>1.2</v>
      </c>
      <c r="H566" t="n">
        <v>0</v>
      </c>
      <c r="I566" t="n">
        <v>0</v>
      </c>
      <c r="J566" t="n">
        <v>0</v>
      </c>
      <c r="K566" t="n">
        <v>0</v>
      </c>
      <c r="L566" t="n">
        <v>0</v>
      </c>
      <c r="M566" t="n">
        <v>0</v>
      </c>
      <c r="N566" t="n">
        <v>0</v>
      </c>
      <c r="O566" t="n">
        <v>0</v>
      </c>
      <c r="P566" t="n">
        <v>0</v>
      </c>
      <c r="Q566" t="n">
        <v>0</v>
      </c>
      <c r="R566" s="2" t="inlineStr"/>
    </row>
    <row r="567" ht="15" customHeight="1">
      <c r="A567" t="inlineStr">
        <is>
          <t>A 61956-2020</t>
        </is>
      </c>
      <c r="B567" s="1" t="n">
        <v>44159</v>
      </c>
      <c r="C567" s="1" t="n">
        <v>45711</v>
      </c>
      <c r="D567" t="inlineStr">
        <is>
          <t>VÄRMLANDS LÄN</t>
        </is>
      </c>
      <c r="E567" t="inlineStr">
        <is>
          <t>TORSBY</t>
        </is>
      </c>
      <c r="F567" t="inlineStr">
        <is>
          <t>Kommuner</t>
        </is>
      </c>
      <c r="G567" t="n">
        <v>7.5</v>
      </c>
      <c r="H567" t="n">
        <v>0</v>
      </c>
      <c r="I567" t="n">
        <v>0</v>
      </c>
      <c r="J567" t="n">
        <v>0</v>
      </c>
      <c r="K567" t="n">
        <v>0</v>
      </c>
      <c r="L567" t="n">
        <v>0</v>
      </c>
      <c r="M567" t="n">
        <v>0</v>
      </c>
      <c r="N567" t="n">
        <v>0</v>
      </c>
      <c r="O567" t="n">
        <v>0</v>
      </c>
      <c r="P567" t="n">
        <v>0</v>
      </c>
      <c r="Q567" t="n">
        <v>0</v>
      </c>
      <c r="R567" s="2" t="inlineStr"/>
    </row>
    <row r="568" ht="15" customHeight="1">
      <c r="A568" t="inlineStr">
        <is>
          <t>A 62209-2020</t>
        </is>
      </c>
      <c r="B568" s="1" t="n">
        <v>44159</v>
      </c>
      <c r="C568" s="1" t="n">
        <v>45711</v>
      </c>
      <c r="D568" t="inlineStr">
        <is>
          <t>VÄRMLANDS LÄN</t>
        </is>
      </c>
      <c r="E568" t="inlineStr">
        <is>
          <t>TORSBY</t>
        </is>
      </c>
      <c r="F568" t="inlineStr">
        <is>
          <t>Kommuner</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62211-2020</t>
        </is>
      </c>
      <c r="B569" s="1" t="n">
        <v>44159</v>
      </c>
      <c r="C569" s="1" t="n">
        <v>45711</v>
      </c>
      <c r="D569" t="inlineStr">
        <is>
          <t>VÄRMLANDS LÄN</t>
        </is>
      </c>
      <c r="E569" t="inlineStr">
        <is>
          <t>TORSBY</t>
        </is>
      </c>
      <c r="F569" t="inlineStr">
        <is>
          <t>Kommuner</t>
        </is>
      </c>
      <c r="G569" t="n">
        <v>3.2</v>
      </c>
      <c r="H569" t="n">
        <v>0</v>
      </c>
      <c r="I569" t="n">
        <v>0</v>
      </c>
      <c r="J569" t="n">
        <v>0</v>
      </c>
      <c r="K569" t="n">
        <v>0</v>
      </c>
      <c r="L569" t="n">
        <v>0</v>
      </c>
      <c r="M569" t="n">
        <v>0</v>
      </c>
      <c r="N569" t="n">
        <v>0</v>
      </c>
      <c r="O569" t="n">
        <v>0</v>
      </c>
      <c r="P569" t="n">
        <v>0</v>
      </c>
      <c r="Q569" t="n">
        <v>0</v>
      </c>
      <c r="R569" s="2" t="inlineStr"/>
    </row>
    <row r="570" ht="15" customHeight="1">
      <c r="A570" t="inlineStr">
        <is>
          <t>A 62915-2020</t>
        </is>
      </c>
      <c r="B570" s="1" t="n">
        <v>44162</v>
      </c>
      <c r="C570" s="1" t="n">
        <v>45711</v>
      </c>
      <c r="D570" t="inlineStr">
        <is>
          <t>VÄRMLANDS LÄN</t>
        </is>
      </c>
      <c r="E570" t="inlineStr">
        <is>
          <t>TORSBY</t>
        </is>
      </c>
      <c r="G570" t="n">
        <v>4.6</v>
      </c>
      <c r="H570" t="n">
        <v>0</v>
      </c>
      <c r="I570" t="n">
        <v>0</v>
      </c>
      <c r="J570" t="n">
        <v>0</v>
      </c>
      <c r="K570" t="n">
        <v>0</v>
      </c>
      <c r="L570" t="n">
        <v>0</v>
      </c>
      <c r="M570" t="n">
        <v>0</v>
      </c>
      <c r="N570" t="n">
        <v>0</v>
      </c>
      <c r="O570" t="n">
        <v>0</v>
      </c>
      <c r="P570" t="n">
        <v>0</v>
      </c>
      <c r="Q570" t="n">
        <v>0</v>
      </c>
      <c r="R570" s="2" t="inlineStr"/>
    </row>
    <row r="571" ht="15" customHeight="1">
      <c r="A571" t="inlineStr">
        <is>
          <t>A 63565-2020</t>
        </is>
      </c>
      <c r="B571" s="1" t="n">
        <v>44165</v>
      </c>
      <c r="C571" s="1" t="n">
        <v>45711</v>
      </c>
      <c r="D571" t="inlineStr">
        <is>
          <t>VÄRMLANDS LÄN</t>
        </is>
      </c>
      <c r="E571" t="inlineStr">
        <is>
          <t>TORSBY</t>
        </is>
      </c>
      <c r="G571" t="n">
        <v>10.3</v>
      </c>
      <c r="H571" t="n">
        <v>0</v>
      </c>
      <c r="I571" t="n">
        <v>0</v>
      </c>
      <c r="J571" t="n">
        <v>0</v>
      </c>
      <c r="K571" t="n">
        <v>0</v>
      </c>
      <c r="L571" t="n">
        <v>0</v>
      </c>
      <c r="M571" t="n">
        <v>0</v>
      </c>
      <c r="N571" t="n">
        <v>0</v>
      </c>
      <c r="O571" t="n">
        <v>0</v>
      </c>
      <c r="P571" t="n">
        <v>0</v>
      </c>
      <c r="Q571" t="n">
        <v>0</v>
      </c>
      <c r="R571" s="2" t="inlineStr"/>
    </row>
    <row r="572" ht="15" customHeight="1">
      <c r="A572" t="inlineStr">
        <is>
          <t>A 64396-2020</t>
        </is>
      </c>
      <c r="B572" s="1" t="n">
        <v>44168</v>
      </c>
      <c r="C572" s="1" t="n">
        <v>45711</v>
      </c>
      <c r="D572" t="inlineStr">
        <is>
          <t>VÄRMLANDS LÄN</t>
        </is>
      </c>
      <c r="E572" t="inlineStr">
        <is>
          <t>TORSBY</t>
        </is>
      </c>
      <c r="G572" t="n">
        <v>0.7</v>
      </c>
      <c r="H572" t="n">
        <v>0</v>
      </c>
      <c r="I572" t="n">
        <v>0</v>
      </c>
      <c r="J572" t="n">
        <v>0</v>
      </c>
      <c r="K572" t="n">
        <v>0</v>
      </c>
      <c r="L572" t="n">
        <v>0</v>
      </c>
      <c r="M572" t="n">
        <v>0</v>
      </c>
      <c r="N572" t="n">
        <v>0</v>
      </c>
      <c r="O572" t="n">
        <v>0</v>
      </c>
      <c r="P572" t="n">
        <v>0</v>
      </c>
      <c r="Q572" t="n">
        <v>0</v>
      </c>
      <c r="R572" s="2" t="inlineStr"/>
    </row>
    <row r="573" ht="15" customHeight="1">
      <c r="A573" t="inlineStr">
        <is>
          <t>A 64434-2020</t>
        </is>
      </c>
      <c r="B573" s="1" t="n">
        <v>44168</v>
      </c>
      <c r="C573" s="1" t="n">
        <v>45711</v>
      </c>
      <c r="D573" t="inlineStr">
        <is>
          <t>VÄRMLANDS LÄN</t>
        </is>
      </c>
      <c r="E573" t="inlineStr">
        <is>
          <t>TORSBY</t>
        </is>
      </c>
      <c r="G573" t="n">
        <v>7.7</v>
      </c>
      <c r="H573" t="n">
        <v>0</v>
      </c>
      <c r="I573" t="n">
        <v>0</v>
      </c>
      <c r="J573" t="n">
        <v>0</v>
      </c>
      <c r="K573" t="n">
        <v>0</v>
      </c>
      <c r="L573" t="n">
        <v>0</v>
      </c>
      <c r="M573" t="n">
        <v>0</v>
      </c>
      <c r="N573" t="n">
        <v>0</v>
      </c>
      <c r="O573" t="n">
        <v>0</v>
      </c>
      <c r="P573" t="n">
        <v>0</v>
      </c>
      <c r="Q573" t="n">
        <v>0</v>
      </c>
      <c r="R573" s="2" t="inlineStr"/>
    </row>
    <row r="574" ht="15" customHeight="1">
      <c r="A574" t="inlineStr">
        <is>
          <t>A 65369-2020</t>
        </is>
      </c>
      <c r="B574" s="1" t="n">
        <v>44169</v>
      </c>
      <c r="C574" s="1" t="n">
        <v>45711</v>
      </c>
      <c r="D574" t="inlineStr">
        <is>
          <t>VÄRMLANDS LÄN</t>
        </is>
      </c>
      <c r="E574" t="inlineStr">
        <is>
          <t>TORSBY</t>
        </is>
      </c>
      <c r="G574" t="n">
        <v>32.5</v>
      </c>
      <c r="H574" t="n">
        <v>0</v>
      </c>
      <c r="I574" t="n">
        <v>0</v>
      </c>
      <c r="J574" t="n">
        <v>0</v>
      </c>
      <c r="K574" t="n">
        <v>0</v>
      </c>
      <c r="L574" t="n">
        <v>0</v>
      </c>
      <c r="M574" t="n">
        <v>0</v>
      </c>
      <c r="N574" t="n">
        <v>0</v>
      </c>
      <c r="O574" t="n">
        <v>0</v>
      </c>
      <c r="P574" t="n">
        <v>0</v>
      </c>
      <c r="Q574" t="n">
        <v>0</v>
      </c>
      <c r="R574" s="2" t="inlineStr"/>
    </row>
    <row r="575" ht="15" customHeight="1">
      <c r="A575" t="inlineStr">
        <is>
          <t>A 65482-2020</t>
        </is>
      </c>
      <c r="B575" s="1" t="n">
        <v>44169</v>
      </c>
      <c r="C575" s="1" t="n">
        <v>45711</v>
      </c>
      <c r="D575" t="inlineStr">
        <is>
          <t>VÄRMLANDS LÄN</t>
        </is>
      </c>
      <c r="E575" t="inlineStr">
        <is>
          <t>TORSBY</t>
        </is>
      </c>
      <c r="F575" t="inlineStr">
        <is>
          <t>Kyrkan</t>
        </is>
      </c>
      <c r="G575" t="n">
        <v>21.6</v>
      </c>
      <c r="H575" t="n">
        <v>0</v>
      </c>
      <c r="I575" t="n">
        <v>0</v>
      </c>
      <c r="J575" t="n">
        <v>0</v>
      </c>
      <c r="K575" t="n">
        <v>0</v>
      </c>
      <c r="L575" t="n">
        <v>0</v>
      </c>
      <c r="M575" t="n">
        <v>0</v>
      </c>
      <c r="N575" t="n">
        <v>0</v>
      </c>
      <c r="O575" t="n">
        <v>0</v>
      </c>
      <c r="P575" t="n">
        <v>0</v>
      </c>
      <c r="Q575" t="n">
        <v>0</v>
      </c>
      <c r="R575" s="2" t="inlineStr"/>
    </row>
    <row r="576" ht="15" customHeight="1">
      <c r="A576" t="inlineStr">
        <is>
          <t>A 65398-2020</t>
        </is>
      </c>
      <c r="B576" s="1" t="n">
        <v>44169</v>
      </c>
      <c r="C576" s="1" t="n">
        <v>45711</v>
      </c>
      <c r="D576" t="inlineStr">
        <is>
          <t>VÄRMLANDS LÄN</t>
        </is>
      </c>
      <c r="E576" t="inlineStr">
        <is>
          <t>TORSBY</t>
        </is>
      </c>
      <c r="G576" t="n">
        <v>3.6</v>
      </c>
      <c r="H576" t="n">
        <v>0</v>
      </c>
      <c r="I576" t="n">
        <v>0</v>
      </c>
      <c r="J576" t="n">
        <v>0</v>
      </c>
      <c r="K576" t="n">
        <v>0</v>
      </c>
      <c r="L576" t="n">
        <v>0</v>
      </c>
      <c r="M576" t="n">
        <v>0</v>
      </c>
      <c r="N576" t="n">
        <v>0</v>
      </c>
      <c r="O576" t="n">
        <v>0</v>
      </c>
      <c r="P576" t="n">
        <v>0</v>
      </c>
      <c r="Q576" t="n">
        <v>0</v>
      </c>
      <c r="R576" s="2" t="inlineStr"/>
    </row>
    <row r="577" ht="15" customHeight="1">
      <c r="A577" t="inlineStr">
        <is>
          <t>A 65678-2020</t>
        </is>
      </c>
      <c r="B577" s="1" t="n">
        <v>44172</v>
      </c>
      <c r="C577" s="1" t="n">
        <v>45711</v>
      </c>
      <c r="D577" t="inlineStr">
        <is>
          <t>VÄRMLANDS LÄN</t>
        </is>
      </c>
      <c r="E577" t="inlineStr">
        <is>
          <t>TORSBY</t>
        </is>
      </c>
      <c r="G577" t="n">
        <v>3.5</v>
      </c>
      <c r="H577" t="n">
        <v>0</v>
      </c>
      <c r="I577" t="n">
        <v>0</v>
      </c>
      <c r="J577" t="n">
        <v>0</v>
      </c>
      <c r="K577" t="n">
        <v>0</v>
      </c>
      <c r="L577" t="n">
        <v>0</v>
      </c>
      <c r="M577" t="n">
        <v>0</v>
      </c>
      <c r="N577" t="n">
        <v>0</v>
      </c>
      <c r="O577" t="n">
        <v>0</v>
      </c>
      <c r="P577" t="n">
        <v>0</v>
      </c>
      <c r="Q577" t="n">
        <v>0</v>
      </c>
      <c r="R577" s="2" t="inlineStr"/>
    </row>
    <row r="578" ht="15" customHeight="1">
      <c r="A578" t="inlineStr">
        <is>
          <t>A 65827-2020</t>
        </is>
      </c>
      <c r="B578" s="1" t="n">
        <v>44173</v>
      </c>
      <c r="C578" s="1" t="n">
        <v>45711</v>
      </c>
      <c r="D578" t="inlineStr">
        <is>
          <t>VÄRMLANDS LÄN</t>
        </is>
      </c>
      <c r="E578" t="inlineStr">
        <is>
          <t>TORSBY</t>
        </is>
      </c>
      <c r="G578" t="n">
        <v>6.7</v>
      </c>
      <c r="H578" t="n">
        <v>0</v>
      </c>
      <c r="I578" t="n">
        <v>0</v>
      </c>
      <c r="J578" t="n">
        <v>0</v>
      </c>
      <c r="K578" t="n">
        <v>0</v>
      </c>
      <c r="L578" t="n">
        <v>0</v>
      </c>
      <c r="M578" t="n">
        <v>0</v>
      </c>
      <c r="N578" t="n">
        <v>0</v>
      </c>
      <c r="O578" t="n">
        <v>0</v>
      </c>
      <c r="P578" t="n">
        <v>0</v>
      </c>
      <c r="Q578" t="n">
        <v>0</v>
      </c>
      <c r="R578" s="2" t="inlineStr"/>
    </row>
    <row r="579" ht="15" customHeight="1">
      <c r="A579" t="inlineStr">
        <is>
          <t>A 66703-2020</t>
        </is>
      </c>
      <c r="B579" s="1" t="n">
        <v>44174</v>
      </c>
      <c r="C579" s="1" t="n">
        <v>45711</v>
      </c>
      <c r="D579" t="inlineStr">
        <is>
          <t>VÄRMLANDS LÄN</t>
        </is>
      </c>
      <c r="E579" t="inlineStr">
        <is>
          <t>TORSBY</t>
        </is>
      </c>
      <c r="G579" t="n">
        <v>6.3</v>
      </c>
      <c r="H579" t="n">
        <v>0</v>
      </c>
      <c r="I579" t="n">
        <v>0</v>
      </c>
      <c r="J579" t="n">
        <v>0</v>
      </c>
      <c r="K579" t="n">
        <v>0</v>
      </c>
      <c r="L579" t="n">
        <v>0</v>
      </c>
      <c r="M579" t="n">
        <v>0</v>
      </c>
      <c r="N579" t="n">
        <v>0</v>
      </c>
      <c r="O579" t="n">
        <v>0</v>
      </c>
      <c r="P579" t="n">
        <v>0</v>
      </c>
      <c r="Q579" t="n">
        <v>0</v>
      </c>
      <c r="R579" s="2" t="inlineStr"/>
    </row>
    <row r="580" ht="15" customHeight="1">
      <c r="A580" t="inlineStr">
        <is>
          <t>A 66194-2020</t>
        </is>
      </c>
      <c r="B580" s="1" t="n">
        <v>44175</v>
      </c>
      <c r="C580" s="1" t="n">
        <v>45711</v>
      </c>
      <c r="D580" t="inlineStr">
        <is>
          <t>VÄRMLANDS LÄN</t>
        </is>
      </c>
      <c r="E580" t="inlineStr">
        <is>
          <t>TORSBY</t>
        </is>
      </c>
      <c r="F580" t="inlineStr">
        <is>
          <t>Bergvik skog väst AB</t>
        </is>
      </c>
      <c r="G580" t="n">
        <v>18.4</v>
      </c>
      <c r="H580" t="n">
        <v>0</v>
      </c>
      <c r="I580" t="n">
        <v>0</v>
      </c>
      <c r="J580" t="n">
        <v>0</v>
      </c>
      <c r="K580" t="n">
        <v>0</v>
      </c>
      <c r="L580" t="n">
        <v>0</v>
      </c>
      <c r="M580" t="n">
        <v>0</v>
      </c>
      <c r="N580" t="n">
        <v>0</v>
      </c>
      <c r="O580" t="n">
        <v>0</v>
      </c>
      <c r="P580" t="n">
        <v>0</v>
      </c>
      <c r="Q580" t="n">
        <v>0</v>
      </c>
      <c r="R580" s="2" t="inlineStr"/>
    </row>
    <row r="581" ht="15" customHeight="1">
      <c r="A581" t="inlineStr">
        <is>
          <t>A 66326-2020</t>
        </is>
      </c>
      <c r="B581" s="1" t="n">
        <v>44176</v>
      </c>
      <c r="C581" s="1" t="n">
        <v>45711</v>
      </c>
      <c r="D581" t="inlineStr">
        <is>
          <t>VÄRMLANDS LÄN</t>
        </is>
      </c>
      <c r="E581" t="inlineStr">
        <is>
          <t>TORSBY</t>
        </is>
      </c>
      <c r="G581" t="n">
        <v>1.7</v>
      </c>
      <c r="H581" t="n">
        <v>0</v>
      </c>
      <c r="I581" t="n">
        <v>0</v>
      </c>
      <c r="J581" t="n">
        <v>0</v>
      </c>
      <c r="K581" t="n">
        <v>0</v>
      </c>
      <c r="L581" t="n">
        <v>0</v>
      </c>
      <c r="M581" t="n">
        <v>0</v>
      </c>
      <c r="N581" t="n">
        <v>0</v>
      </c>
      <c r="O581" t="n">
        <v>0</v>
      </c>
      <c r="P581" t="n">
        <v>0</v>
      </c>
      <c r="Q581" t="n">
        <v>0</v>
      </c>
      <c r="R581" s="2" t="inlineStr"/>
    </row>
    <row r="582" ht="15" customHeight="1">
      <c r="A582" t="inlineStr">
        <is>
          <t>A 67084-2020</t>
        </is>
      </c>
      <c r="B582" s="1" t="n">
        <v>44179</v>
      </c>
      <c r="C582" s="1" t="n">
        <v>45711</v>
      </c>
      <c r="D582" t="inlineStr">
        <is>
          <t>VÄRMLANDS LÄN</t>
        </is>
      </c>
      <c r="E582" t="inlineStr">
        <is>
          <t>TORSBY</t>
        </is>
      </c>
      <c r="G582" t="n">
        <v>1.9</v>
      </c>
      <c r="H582" t="n">
        <v>0</v>
      </c>
      <c r="I582" t="n">
        <v>0</v>
      </c>
      <c r="J582" t="n">
        <v>0</v>
      </c>
      <c r="K582" t="n">
        <v>0</v>
      </c>
      <c r="L582" t="n">
        <v>0</v>
      </c>
      <c r="M582" t="n">
        <v>0</v>
      </c>
      <c r="N582" t="n">
        <v>0</v>
      </c>
      <c r="O582" t="n">
        <v>0</v>
      </c>
      <c r="P582" t="n">
        <v>0</v>
      </c>
      <c r="Q582" t="n">
        <v>0</v>
      </c>
      <c r="R582" s="2" t="inlineStr"/>
    </row>
    <row r="583" ht="15" customHeight="1">
      <c r="A583" t="inlineStr">
        <is>
          <t>A 67547-2020</t>
        </is>
      </c>
      <c r="B583" s="1" t="n">
        <v>44181</v>
      </c>
      <c r="C583" s="1" t="n">
        <v>45711</v>
      </c>
      <c r="D583" t="inlineStr">
        <is>
          <t>VÄRMLANDS LÄN</t>
        </is>
      </c>
      <c r="E583" t="inlineStr">
        <is>
          <t>TORSBY</t>
        </is>
      </c>
      <c r="G583" t="n">
        <v>3</v>
      </c>
      <c r="H583" t="n">
        <v>0</v>
      </c>
      <c r="I583" t="n">
        <v>0</v>
      </c>
      <c r="J583" t="n">
        <v>0</v>
      </c>
      <c r="K583" t="n">
        <v>0</v>
      </c>
      <c r="L583" t="n">
        <v>0</v>
      </c>
      <c r="M583" t="n">
        <v>0</v>
      </c>
      <c r="N583" t="n">
        <v>0</v>
      </c>
      <c r="O583" t="n">
        <v>0</v>
      </c>
      <c r="P583" t="n">
        <v>0</v>
      </c>
      <c r="Q583" t="n">
        <v>0</v>
      </c>
      <c r="R583" s="2" t="inlineStr"/>
    </row>
    <row r="584" ht="15" customHeight="1">
      <c r="A584" t="inlineStr">
        <is>
          <t>A 67464-2020</t>
        </is>
      </c>
      <c r="B584" s="1" t="n">
        <v>44181</v>
      </c>
      <c r="C584" s="1" t="n">
        <v>45711</v>
      </c>
      <c r="D584" t="inlineStr">
        <is>
          <t>VÄRMLANDS LÄN</t>
        </is>
      </c>
      <c r="E584" t="inlineStr">
        <is>
          <t>TORSBY</t>
        </is>
      </c>
      <c r="G584" t="n">
        <v>1.5</v>
      </c>
      <c r="H584" t="n">
        <v>0</v>
      </c>
      <c r="I584" t="n">
        <v>0</v>
      </c>
      <c r="J584" t="n">
        <v>0</v>
      </c>
      <c r="K584" t="n">
        <v>0</v>
      </c>
      <c r="L584" t="n">
        <v>0</v>
      </c>
      <c r="M584" t="n">
        <v>0</v>
      </c>
      <c r="N584" t="n">
        <v>0</v>
      </c>
      <c r="O584" t="n">
        <v>0</v>
      </c>
      <c r="P584" t="n">
        <v>0</v>
      </c>
      <c r="Q584" t="n">
        <v>0</v>
      </c>
      <c r="R584" s="2" t="inlineStr"/>
    </row>
    <row r="585" ht="15" customHeight="1">
      <c r="A585" t="inlineStr">
        <is>
          <t>A 67734-2020</t>
        </is>
      </c>
      <c r="B585" s="1" t="n">
        <v>44182</v>
      </c>
      <c r="C585" s="1" t="n">
        <v>45711</v>
      </c>
      <c r="D585" t="inlineStr">
        <is>
          <t>VÄRMLANDS LÄN</t>
        </is>
      </c>
      <c r="E585" t="inlineStr">
        <is>
          <t>TORSBY</t>
        </is>
      </c>
      <c r="G585" t="n">
        <v>2.7</v>
      </c>
      <c r="H585" t="n">
        <v>0</v>
      </c>
      <c r="I585" t="n">
        <v>0</v>
      </c>
      <c r="J585" t="n">
        <v>0</v>
      </c>
      <c r="K585" t="n">
        <v>0</v>
      </c>
      <c r="L585" t="n">
        <v>0</v>
      </c>
      <c r="M585" t="n">
        <v>0</v>
      </c>
      <c r="N585" t="n">
        <v>0</v>
      </c>
      <c r="O585" t="n">
        <v>0</v>
      </c>
      <c r="P585" t="n">
        <v>0</v>
      </c>
      <c r="Q585" t="n">
        <v>0</v>
      </c>
      <c r="R585" s="2" t="inlineStr"/>
    </row>
    <row r="586" ht="15" customHeight="1">
      <c r="A586" t="inlineStr">
        <is>
          <t>A 68220-2020</t>
        </is>
      </c>
      <c r="B586" s="1" t="n">
        <v>44183</v>
      </c>
      <c r="C586" s="1" t="n">
        <v>45711</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68238-2020</t>
        </is>
      </c>
      <c r="B587" s="1" t="n">
        <v>44183</v>
      </c>
      <c r="C587" s="1" t="n">
        <v>45711</v>
      </c>
      <c r="D587" t="inlineStr">
        <is>
          <t>VÄRMLANDS LÄN</t>
        </is>
      </c>
      <c r="E587" t="inlineStr">
        <is>
          <t>TORSBY</t>
        </is>
      </c>
      <c r="F587" t="inlineStr">
        <is>
          <t>Bergvik skog väst AB</t>
        </is>
      </c>
      <c r="G587" t="n">
        <v>6.7</v>
      </c>
      <c r="H587" t="n">
        <v>0</v>
      </c>
      <c r="I587" t="n">
        <v>0</v>
      </c>
      <c r="J587" t="n">
        <v>0</v>
      </c>
      <c r="K587" t="n">
        <v>0</v>
      </c>
      <c r="L587" t="n">
        <v>0</v>
      </c>
      <c r="M587" t="n">
        <v>0</v>
      </c>
      <c r="N587" t="n">
        <v>0</v>
      </c>
      <c r="O587" t="n">
        <v>0</v>
      </c>
      <c r="P587" t="n">
        <v>0</v>
      </c>
      <c r="Q587" t="n">
        <v>0</v>
      </c>
      <c r="R587" s="2" t="inlineStr"/>
    </row>
    <row r="588" ht="15" customHeight="1">
      <c r="A588" t="inlineStr">
        <is>
          <t>A 68246-2020</t>
        </is>
      </c>
      <c r="B588" s="1" t="n">
        <v>44183</v>
      </c>
      <c r="C588" s="1" t="n">
        <v>45711</v>
      </c>
      <c r="D588" t="inlineStr">
        <is>
          <t>VÄRMLANDS LÄN</t>
        </is>
      </c>
      <c r="E588" t="inlineStr">
        <is>
          <t>TORSBY</t>
        </is>
      </c>
      <c r="G588" t="n">
        <v>2.5</v>
      </c>
      <c r="H588" t="n">
        <v>0</v>
      </c>
      <c r="I588" t="n">
        <v>0</v>
      </c>
      <c r="J588" t="n">
        <v>0</v>
      </c>
      <c r="K588" t="n">
        <v>0</v>
      </c>
      <c r="L588" t="n">
        <v>0</v>
      </c>
      <c r="M588" t="n">
        <v>0</v>
      </c>
      <c r="N588" t="n">
        <v>0</v>
      </c>
      <c r="O588" t="n">
        <v>0</v>
      </c>
      <c r="P588" t="n">
        <v>0</v>
      </c>
      <c r="Q588" t="n">
        <v>0</v>
      </c>
      <c r="R588" s="2" t="inlineStr"/>
    </row>
    <row r="589" ht="15" customHeight="1">
      <c r="A589" t="inlineStr">
        <is>
          <t>A 68603-2020</t>
        </is>
      </c>
      <c r="B589" s="1" t="n">
        <v>44186</v>
      </c>
      <c r="C589" s="1" t="n">
        <v>45711</v>
      </c>
      <c r="D589" t="inlineStr">
        <is>
          <t>VÄRMLANDS LÄN</t>
        </is>
      </c>
      <c r="E589" t="inlineStr">
        <is>
          <t>TORSBY</t>
        </is>
      </c>
      <c r="G589" t="n">
        <v>11.2</v>
      </c>
      <c r="H589" t="n">
        <v>0</v>
      </c>
      <c r="I589" t="n">
        <v>0</v>
      </c>
      <c r="J589" t="n">
        <v>0</v>
      </c>
      <c r="K589" t="n">
        <v>0</v>
      </c>
      <c r="L589" t="n">
        <v>0</v>
      </c>
      <c r="M589" t="n">
        <v>0</v>
      </c>
      <c r="N589" t="n">
        <v>0</v>
      </c>
      <c r="O589" t="n">
        <v>0</v>
      </c>
      <c r="P589" t="n">
        <v>0</v>
      </c>
      <c r="Q589" t="n">
        <v>0</v>
      </c>
      <c r="R589" s="2" t="inlineStr"/>
    </row>
    <row r="590" ht="15" customHeight="1">
      <c r="A590" t="inlineStr">
        <is>
          <t>A 69245-2020</t>
        </is>
      </c>
      <c r="B590" s="1" t="n">
        <v>44192</v>
      </c>
      <c r="C590" s="1" t="n">
        <v>45711</v>
      </c>
      <c r="D590" t="inlineStr">
        <is>
          <t>VÄRMLANDS LÄN</t>
        </is>
      </c>
      <c r="E590" t="inlineStr">
        <is>
          <t>TORSBY</t>
        </is>
      </c>
      <c r="G590" t="n">
        <v>0.2</v>
      </c>
      <c r="H590" t="n">
        <v>0</v>
      </c>
      <c r="I590" t="n">
        <v>0</v>
      </c>
      <c r="J590" t="n">
        <v>0</v>
      </c>
      <c r="K590" t="n">
        <v>0</v>
      </c>
      <c r="L590" t="n">
        <v>0</v>
      </c>
      <c r="M590" t="n">
        <v>0</v>
      </c>
      <c r="N590" t="n">
        <v>0</v>
      </c>
      <c r="O590" t="n">
        <v>0</v>
      </c>
      <c r="P590" t="n">
        <v>0</v>
      </c>
      <c r="Q590" t="n">
        <v>0</v>
      </c>
      <c r="R590" s="2" t="inlineStr"/>
    </row>
    <row r="591" ht="15" customHeight="1">
      <c r="A591" t="inlineStr">
        <is>
          <t>A 69250-2020</t>
        </is>
      </c>
      <c r="B591" s="1" t="n">
        <v>44192</v>
      </c>
      <c r="C591" s="1" t="n">
        <v>45711</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69242-2020</t>
        </is>
      </c>
      <c r="B592" s="1" t="n">
        <v>44192</v>
      </c>
      <c r="C592" s="1" t="n">
        <v>45711</v>
      </c>
      <c r="D592" t="inlineStr">
        <is>
          <t>VÄRMLANDS LÄN</t>
        </is>
      </c>
      <c r="E592" t="inlineStr">
        <is>
          <t>TORSBY</t>
        </is>
      </c>
      <c r="G592" t="n">
        <v>0.5</v>
      </c>
      <c r="H592" t="n">
        <v>0</v>
      </c>
      <c r="I592" t="n">
        <v>0</v>
      </c>
      <c r="J592" t="n">
        <v>0</v>
      </c>
      <c r="K592" t="n">
        <v>0</v>
      </c>
      <c r="L592" t="n">
        <v>0</v>
      </c>
      <c r="M592" t="n">
        <v>0</v>
      </c>
      <c r="N592" t="n">
        <v>0</v>
      </c>
      <c r="O592" t="n">
        <v>0</v>
      </c>
      <c r="P592" t="n">
        <v>0</v>
      </c>
      <c r="Q592" t="n">
        <v>0</v>
      </c>
      <c r="R592" s="2" t="inlineStr"/>
    </row>
    <row r="593" ht="15" customHeight="1">
      <c r="A593" t="inlineStr">
        <is>
          <t>A 69247-2020</t>
        </is>
      </c>
      <c r="B593" s="1" t="n">
        <v>44192</v>
      </c>
      <c r="C593" s="1" t="n">
        <v>45711</v>
      </c>
      <c r="D593" t="inlineStr">
        <is>
          <t>VÄRMLANDS LÄN</t>
        </is>
      </c>
      <c r="E593" t="inlineStr">
        <is>
          <t>TORSBY</t>
        </is>
      </c>
      <c r="G593" t="n">
        <v>1.1</v>
      </c>
      <c r="H593" t="n">
        <v>0</v>
      </c>
      <c r="I593" t="n">
        <v>0</v>
      </c>
      <c r="J593" t="n">
        <v>0</v>
      </c>
      <c r="K593" t="n">
        <v>0</v>
      </c>
      <c r="L593" t="n">
        <v>0</v>
      </c>
      <c r="M593" t="n">
        <v>0</v>
      </c>
      <c r="N593" t="n">
        <v>0</v>
      </c>
      <c r="O593" t="n">
        <v>0</v>
      </c>
      <c r="P593" t="n">
        <v>0</v>
      </c>
      <c r="Q593" t="n">
        <v>0</v>
      </c>
      <c r="R593" s="2" t="inlineStr"/>
    </row>
    <row r="594" ht="15" customHeight="1">
      <c r="A594" t="inlineStr">
        <is>
          <t>A 69244-2020</t>
        </is>
      </c>
      <c r="B594" s="1" t="n">
        <v>44192</v>
      </c>
      <c r="C594" s="1" t="n">
        <v>45711</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69248-2020</t>
        </is>
      </c>
      <c r="B595" s="1" t="n">
        <v>44192</v>
      </c>
      <c r="C595" s="1" t="n">
        <v>45711</v>
      </c>
      <c r="D595" t="inlineStr">
        <is>
          <t>VÄRMLANDS LÄN</t>
        </is>
      </c>
      <c r="E595" t="inlineStr">
        <is>
          <t>TORSBY</t>
        </is>
      </c>
      <c r="G595" t="n">
        <v>0.4</v>
      </c>
      <c r="H595" t="n">
        <v>0</v>
      </c>
      <c r="I595" t="n">
        <v>0</v>
      </c>
      <c r="J595" t="n">
        <v>0</v>
      </c>
      <c r="K595" t="n">
        <v>0</v>
      </c>
      <c r="L595" t="n">
        <v>0</v>
      </c>
      <c r="M595" t="n">
        <v>0</v>
      </c>
      <c r="N595" t="n">
        <v>0</v>
      </c>
      <c r="O595" t="n">
        <v>0</v>
      </c>
      <c r="P595" t="n">
        <v>0</v>
      </c>
      <c r="Q595" t="n">
        <v>0</v>
      </c>
      <c r="R595" s="2" t="inlineStr"/>
    </row>
    <row r="596" ht="15" customHeight="1">
      <c r="A596" t="inlineStr">
        <is>
          <t>A 69241-2020</t>
        </is>
      </c>
      <c r="B596" s="1" t="n">
        <v>44192</v>
      </c>
      <c r="C596" s="1" t="n">
        <v>45711</v>
      </c>
      <c r="D596" t="inlineStr">
        <is>
          <t>VÄRMLANDS LÄN</t>
        </is>
      </c>
      <c r="E596" t="inlineStr">
        <is>
          <t>TORSBY</t>
        </is>
      </c>
      <c r="G596" t="n">
        <v>2.3</v>
      </c>
      <c r="H596" t="n">
        <v>0</v>
      </c>
      <c r="I596" t="n">
        <v>0</v>
      </c>
      <c r="J596" t="n">
        <v>0</v>
      </c>
      <c r="K596" t="n">
        <v>0</v>
      </c>
      <c r="L596" t="n">
        <v>0</v>
      </c>
      <c r="M596" t="n">
        <v>0</v>
      </c>
      <c r="N596" t="n">
        <v>0</v>
      </c>
      <c r="O596" t="n">
        <v>0</v>
      </c>
      <c r="P596" t="n">
        <v>0</v>
      </c>
      <c r="Q596" t="n">
        <v>0</v>
      </c>
      <c r="R596" s="2" t="inlineStr"/>
    </row>
    <row r="597" ht="15" customHeight="1">
      <c r="A597" t="inlineStr">
        <is>
          <t>A 69246-2020</t>
        </is>
      </c>
      <c r="B597" s="1" t="n">
        <v>44192</v>
      </c>
      <c r="C597" s="1" t="n">
        <v>45711</v>
      </c>
      <c r="D597" t="inlineStr">
        <is>
          <t>VÄRMLANDS LÄN</t>
        </is>
      </c>
      <c r="E597" t="inlineStr">
        <is>
          <t>TORSBY</t>
        </is>
      </c>
      <c r="G597" t="n">
        <v>0.7</v>
      </c>
      <c r="H597" t="n">
        <v>0</v>
      </c>
      <c r="I597" t="n">
        <v>0</v>
      </c>
      <c r="J597" t="n">
        <v>0</v>
      </c>
      <c r="K597" t="n">
        <v>0</v>
      </c>
      <c r="L597" t="n">
        <v>0</v>
      </c>
      <c r="M597" t="n">
        <v>0</v>
      </c>
      <c r="N597" t="n">
        <v>0</v>
      </c>
      <c r="O597" t="n">
        <v>0</v>
      </c>
      <c r="P597" t="n">
        <v>0</v>
      </c>
      <c r="Q597" t="n">
        <v>0</v>
      </c>
      <c r="R597" s="2" t="inlineStr"/>
    </row>
    <row r="598" ht="15" customHeight="1">
      <c r="A598" t="inlineStr">
        <is>
          <t>A 69434-2020</t>
        </is>
      </c>
      <c r="B598" s="1" t="n">
        <v>44194</v>
      </c>
      <c r="C598" s="1" t="n">
        <v>45711</v>
      </c>
      <c r="D598" t="inlineStr">
        <is>
          <t>VÄRMLANDS LÄN</t>
        </is>
      </c>
      <c r="E598" t="inlineStr">
        <is>
          <t>TORSBY</t>
        </is>
      </c>
      <c r="G598" t="n">
        <v>6.3</v>
      </c>
      <c r="H598" t="n">
        <v>0</v>
      </c>
      <c r="I598" t="n">
        <v>0</v>
      </c>
      <c r="J598" t="n">
        <v>0</v>
      </c>
      <c r="K598" t="n">
        <v>0</v>
      </c>
      <c r="L598" t="n">
        <v>0</v>
      </c>
      <c r="M598" t="n">
        <v>0</v>
      </c>
      <c r="N598" t="n">
        <v>0</v>
      </c>
      <c r="O598" t="n">
        <v>0</v>
      </c>
      <c r="P598" t="n">
        <v>0</v>
      </c>
      <c r="Q598" t="n">
        <v>0</v>
      </c>
      <c r="R598" s="2" t="inlineStr"/>
    </row>
    <row r="599" ht="15" customHeight="1">
      <c r="A599" t="inlineStr">
        <is>
          <t>A 69448-2020</t>
        </is>
      </c>
      <c r="B599" s="1" t="n">
        <v>44194</v>
      </c>
      <c r="C599" s="1" t="n">
        <v>45711</v>
      </c>
      <c r="D599" t="inlineStr">
        <is>
          <t>VÄRMLANDS LÄN</t>
        </is>
      </c>
      <c r="E599" t="inlineStr">
        <is>
          <t>TORSBY</t>
        </is>
      </c>
      <c r="G599" t="n">
        <v>4.8</v>
      </c>
      <c r="H599" t="n">
        <v>0</v>
      </c>
      <c r="I599" t="n">
        <v>0</v>
      </c>
      <c r="J599" t="n">
        <v>0</v>
      </c>
      <c r="K599" t="n">
        <v>0</v>
      </c>
      <c r="L599" t="n">
        <v>0</v>
      </c>
      <c r="M599" t="n">
        <v>0</v>
      </c>
      <c r="N599" t="n">
        <v>0</v>
      </c>
      <c r="O599" t="n">
        <v>0</v>
      </c>
      <c r="P599" t="n">
        <v>0</v>
      </c>
      <c r="Q599" t="n">
        <v>0</v>
      </c>
      <c r="R599" s="2" t="inlineStr"/>
    </row>
    <row r="600" ht="15" customHeight="1">
      <c r="A600" t="inlineStr">
        <is>
          <t>A 69628-2020</t>
        </is>
      </c>
      <c r="B600" s="1" t="n">
        <v>44195</v>
      </c>
      <c r="C600" s="1" t="n">
        <v>45711</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339-2021</t>
        </is>
      </c>
      <c r="B601" s="1" t="n">
        <v>44201</v>
      </c>
      <c r="C601" s="1" t="n">
        <v>45711</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1516-2021</t>
        </is>
      </c>
      <c r="B602" s="1" t="n">
        <v>44209</v>
      </c>
      <c r="C602" s="1" t="n">
        <v>45711</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1526-2021</t>
        </is>
      </c>
      <c r="B603" s="1" t="n">
        <v>44209</v>
      </c>
      <c r="C603" s="1" t="n">
        <v>45711</v>
      </c>
      <c r="D603" t="inlineStr">
        <is>
          <t>VÄRMLANDS LÄN</t>
        </is>
      </c>
      <c r="E603" t="inlineStr">
        <is>
          <t>TORSBY</t>
        </is>
      </c>
      <c r="G603" t="n">
        <v>0.7</v>
      </c>
      <c r="H603" t="n">
        <v>0</v>
      </c>
      <c r="I603" t="n">
        <v>0</v>
      </c>
      <c r="J603" t="n">
        <v>0</v>
      </c>
      <c r="K603" t="n">
        <v>0</v>
      </c>
      <c r="L603" t="n">
        <v>0</v>
      </c>
      <c r="M603" t="n">
        <v>0</v>
      </c>
      <c r="N603" t="n">
        <v>0</v>
      </c>
      <c r="O603" t="n">
        <v>0</v>
      </c>
      <c r="P603" t="n">
        <v>0</v>
      </c>
      <c r="Q603" t="n">
        <v>0</v>
      </c>
      <c r="R603" s="2" t="inlineStr"/>
    </row>
    <row r="604" ht="15" customHeight="1">
      <c r="A604" t="inlineStr">
        <is>
          <t>A 1535-2021</t>
        </is>
      </c>
      <c r="B604" s="1" t="n">
        <v>44209</v>
      </c>
      <c r="C604" s="1" t="n">
        <v>45711</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1544-2021</t>
        </is>
      </c>
      <c r="B605" s="1" t="n">
        <v>44209</v>
      </c>
      <c r="C605" s="1" t="n">
        <v>45711</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2321-2021</t>
        </is>
      </c>
      <c r="B606" s="1" t="n">
        <v>44214</v>
      </c>
      <c r="C606" s="1" t="n">
        <v>45711</v>
      </c>
      <c r="D606" t="inlineStr">
        <is>
          <t>VÄRMLANDS LÄN</t>
        </is>
      </c>
      <c r="E606" t="inlineStr">
        <is>
          <t>TORSBY</t>
        </is>
      </c>
      <c r="G606" t="n">
        <v>4.8</v>
      </c>
      <c r="H606" t="n">
        <v>0</v>
      </c>
      <c r="I606" t="n">
        <v>0</v>
      </c>
      <c r="J606" t="n">
        <v>0</v>
      </c>
      <c r="K606" t="n">
        <v>0</v>
      </c>
      <c r="L606" t="n">
        <v>0</v>
      </c>
      <c r="M606" t="n">
        <v>0</v>
      </c>
      <c r="N606" t="n">
        <v>0</v>
      </c>
      <c r="O606" t="n">
        <v>0</v>
      </c>
      <c r="P606" t="n">
        <v>0</v>
      </c>
      <c r="Q606" t="n">
        <v>0</v>
      </c>
      <c r="R606" s="2" t="inlineStr"/>
    </row>
    <row r="607" ht="15" customHeight="1">
      <c r="A607" t="inlineStr">
        <is>
          <t>A 2576-2021</t>
        </is>
      </c>
      <c r="B607" s="1" t="n">
        <v>44214</v>
      </c>
      <c r="C607" s="1" t="n">
        <v>45711</v>
      </c>
      <c r="D607" t="inlineStr">
        <is>
          <t>VÄRMLANDS LÄN</t>
        </is>
      </c>
      <c r="E607" t="inlineStr">
        <is>
          <t>TORSBY</t>
        </is>
      </c>
      <c r="F607" t="inlineStr">
        <is>
          <t>Kommuner</t>
        </is>
      </c>
      <c r="G607" t="n">
        <v>0.6</v>
      </c>
      <c r="H607" t="n">
        <v>0</v>
      </c>
      <c r="I607" t="n">
        <v>0</v>
      </c>
      <c r="J607" t="n">
        <v>0</v>
      </c>
      <c r="K607" t="n">
        <v>0</v>
      </c>
      <c r="L607" t="n">
        <v>0</v>
      </c>
      <c r="M607" t="n">
        <v>0</v>
      </c>
      <c r="N607" t="n">
        <v>0</v>
      </c>
      <c r="O607" t="n">
        <v>0</v>
      </c>
      <c r="P607" t="n">
        <v>0</v>
      </c>
      <c r="Q607" t="n">
        <v>0</v>
      </c>
      <c r="R607" s="2" t="inlineStr"/>
    </row>
    <row r="608" ht="15" customHeight="1">
      <c r="A608" t="inlineStr">
        <is>
          <t>A 2758-2021</t>
        </is>
      </c>
      <c r="B608" s="1" t="n">
        <v>44215</v>
      </c>
      <c r="C608" s="1" t="n">
        <v>45711</v>
      </c>
      <c r="D608" t="inlineStr">
        <is>
          <t>VÄRMLANDS LÄN</t>
        </is>
      </c>
      <c r="E608" t="inlineStr">
        <is>
          <t>TORSBY</t>
        </is>
      </c>
      <c r="G608" t="n">
        <v>1.1</v>
      </c>
      <c r="H608" t="n">
        <v>0</v>
      </c>
      <c r="I608" t="n">
        <v>0</v>
      </c>
      <c r="J608" t="n">
        <v>0</v>
      </c>
      <c r="K608" t="n">
        <v>0</v>
      </c>
      <c r="L608" t="n">
        <v>0</v>
      </c>
      <c r="M608" t="n">
        <v>0</v>
      </c>
      <c r="N608" t="n">
        <v>0</v>
      </c>
      <c r="O608" t="n">
        <v>0</v>
      </c>
      <c r="P608" t="n">
        <v>0</v>
      </c>
      <c r="Q608" t="n">
        <v>0</v>
      </c>
      <c r="R608" s="2" t="inlineStr"/>
    </row>
    <row r="609" ht="15" customHeight="1">
      <c r="A609" t="inlineStr">
        <is>
          <t>A 3160-2021</t>
        </is>
      </c>
      <c r="B609" s="1" t="n">
        <v>44217</v>
      </c>
      <c r="C609" s="1" t="n">
        <v>45711</v>
      </c>
      <c r="D609" t="inlineStr">
        <is>
          <t>VÄRMLANDS LÄN</t>
        </is>
      </c>
      <c r="E609" t="inlineStr">
        <is>
          <t>TORSBY</t>
        </is>
      </c>
      <c r="G609" t="n">
        <v>4.4</v>
      </c>
      <c r="H609" t="n">
        <v>0</v>
      </c>
      <c r="I609" t="n">
        <v>0</v>
      </c>
      <c r="J609" t="n">
        <v>0</v>
      </c>
      <c r="K609" t="n">
        <v>0</v>
      </c>
      <c r="L609" t="n">
        <v>0</v>
      </c>
      <c r="M609" t="n">
        <v>0</v>
      </c>
      <c r="N609" t="n">
        <v>0</v>
      </c>
      <c r="O609" t="n">
        <v>0</v>
      </c>
      <c r="P609" t="n">
        <v>0</v>
      </c>
      <c r="Q609" t="n">
        <v>0</v>
      </c>
      <c r="R609" s="2" t="inlineStr"/>
    </row>
    <row r="610" ht="15" customHeight="1">
      <c r="A610" t="inlineStr">
        <is>
          <t>A 3336-2021</t>
        </is>
      </c>
      <c r="B610" s="1" t="n">
        <v>44217</v>
      </c>
      <c r="C610" s="1" t="n">
        <v>45711</v>
      </c>
      <c r="D610" t="inlineStr">
        <is>
          <t>VÄRMLANDS LÄN</t>
        </is>
      </c>
      <c r="E610" t="inlineStr">
        <is>
          <t>TORSBY</t>
        </is>
      </c>
      <c r="G610" t="n">
        <v>3.7</v>
      </c>
      <c r="H610" t="n">
        <v>0</v>
      </c>
      <c r="I610" t="n">
        <v>0</v>
      </c>
      <c r="J610" t="n">
        <v>0</v>
      </c>
      <c r="K610" t="n">
        <v>0</v>
      </c>
      <c r="L610" t="n">
        <v>0</v>
      </c>
      <c r="M610" t="n">
        <v>0</v>
      </c>
      <c r="N610" t="n">
        <v>0</v>
      </c>
      <c r="O610" t="n">
        <v>0</v>
      </c>
      <c r="P610" t="n">
        <v>0</v>
      </c>
      <c r="Q610" t="n">
        <v>0</v>
      </c>
      <c r="R610" s="2" t="inlineStr"/>
    </row>
    <row r="611" ht="15" customHeight="1">
      <c r="A611" t="inlineStr">
        <is>
          <t>A 4392-2021</t>
        </is>
      </c>
      <c r="B611" s="1" t="n">
        <v>44223</v>
      </c>
      <c r="C611" s="1" t="n">
        <v>45711</v>
      </c>
      <c r="D611" t="inlineStr">
        <is>
          <t>VÄRMLANDS LÄN</t>
        </is>
      </c>
      <c r="E611" t="inlineStr">
        <is>
          <t>TORSBY</t>
        </is>
      </c>
      <c r="G611" t="n">
        <v>3.8</v>
      </c>
      <c r="H611" t="n">
        <v>0</v>
      </c>
      <c r="I611" t="n">
        <v>0</v>
      </c>
      <c r="J611" t="n">
        <v>0</v>
      </c>
      <c r="K611" t="n">
        <v>0</v>
      </c>
      <c r="L611" t="n">
        <v>0</v>
      </c>
      <c r="M611" t="n">
        <v>0</v>
      </c>
      <c r="N611" t="n">
        <v>0</v>
      </c>
      <c r="O611" t="n">
        <v>0</v>
      </c>
      <c r="P611" t="n">
        <v>0</v>
      </c>
      <c r="Q611" t="n">
        <v>0</v>
      </c>
      <c r="R611" s="2" t="inlineStr"/>
    </row>
    <row r="612" ht="15" customHeight="1">
      <c r="A612" t="inlineStr">
        <is>
          <t>A 4558-2021</t>
        </is>
      </c>
      <c r="B612" s="1" t="n">
        <v>44223</v>
      </c>
      <c r="C612" s="1" t="n">
        <v>45711</v>
      </c>
      <c r="D612" t="inlineStr">
        <is>
          <t>VÄRMLANDS LÄN</t>
        </is>
      </c>
      <c r="E612" t="inlineStr">
        <is>
          <t>TORSBY</t>
        </is>
      </c>
      <c r="G612" t="n">
        <v>0.9</v>
      </c>
      <c r="H612" t="n">
        <v>0</v>
      </c>
      <c r="I612" t="n">
        <v>0</v>
      </c>
      <c r="J612" t="n">
        <v>0</v>
      </c>
      <c r="K612" t="n">
        <v>0</v>
      </c>
      <c r="L612" t="n">
        <v>0</v>
      </c>
      <c r="M612" t="n">
        <v>0</v>
      </c>
      <c r="N612" t="n">
        <v>0</v>
      </c>
      <c r="O612" t="n">
        <v>0</v>
      </c>
      <c r="P612" t="n">
        <v>0</v>
      </c>
      <c r="Q612" t="n">
        <v>0</v>
      </c>
      <c r="R612" s="2" t="inlineStr"/>
    </row>
    <row r="613" ht="15" customHeight="1">
      <c r="A613" t="inlineStr">
        <is>
          <t>A 4393-2021</t>
        </is>
      </c>
      <c r="B613" s="1" t="n">
        <v>44223</v>
      </c>
      <c r="C613" s="1" t="n">
        <v>45711</v>
      </c>
      <c r="D613" t="inlineStr">
        <is>
          <t>VÄRMLANDS LÄN</t>
        </is>
      </c>
      <c r="E613" t="inlineStr">
        <is>
          <t>TORSBY</t>
        </is>
      </c>
      <c r="G613" t="n">
        <v>2.8</v>
      </c>
      <c r="H613" t="n">
        <v>0</v>
      </c>
      <c r="I613" t="n">
        <v>0</v>
      </c>
      <c r="J613" t="n">
        <v>0</v>
      </c>
      <c r="K613" t="n">
        <v>0</v>
      </c>
      <c r="L613" t="n">
        <v>0</v>
      </c>
      <c r="M613" t="n">
        <v>0</v>
      </c>
      <c r="N613" t="n">
        <v>0</v>
      </c>
      <c r="O613" t="n">
        <v>0</v>
      </c>
      <c r="P613" t="n">
        <v>0</v>
      </c>
      <c r="Q613" t="n">
        <v>0</v>
      </c>
      <c r="R613" s="2" t="inlineStr"/>
    </row>
    <row r="614" ht="15" customHeight="1">
      <c r="A614" t="inlineStr">
        <is>
          <t>A 4564-2021</t>
        </is>
      </c>
      <c r="B614" s="1" t="n">
        <v>44223</v>
      </c>
      <c r="C614" s="1" t="n">
        <v>45711</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4479-2021</t>
        </is>
      </c>
      <c r="B615" s="1" t="n">
        <v>44224</v>
      </c>
      <c r="C615" s="1" t="n">
        <v>45711</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4711-2021</t>
        </is>
      </c>
      <c r="B616" s="1" t="n">
        <v>44225</v>
      </c>
      <c r="C616" s="1" t="n">
        <v>45711</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5050-2021</t>
        </is>
      </c>
      <c r="B617" s="1" t="n">
        <v>44228</v>
      </c>
      <c r="C617" s="1" t="n">
        <v>45711</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5105-2021</t>
        </is>
      </c>
      <c r="B618" s="1" t="n">
        <v>44228</v>
      </c>
      <c r="C618" s="1" t="n">
        <v>45711</v>
      </c>
      <c r="D618" t="inlineStr">
        <is>
          <t>VÄRMLANDS LÄN</t>
        </is>
      </c>
      <c r="E618" t="inlineStr">
        <is>
          <t>TORSBY</t>
        </is>
      </c>
      <c r="G618" t="n">
        <v>5.6</v>
      </c>
      <c r="H618" t="n">
        <v>0</v>
      </c>
      <c r="I618" t="n">
        <v>0</v>
      </c>
      <c r="J618" t="n">
        <v>0</v>
      </c>
      <c r="K618" t="n">
        <v>0</v>
      </c>
      <c r="L618" t="n">
        <v>0</v>
      </c>
      <c r="M618" t="n">
        <v>0</v>
      </c>
      <c r="N618" t="n">
        <v>0</v>
      </c>
      <c r="O618" t="n">
        <v>0</v>
      </c>
      <c r="P618" t="n">
        <v>0</v>
      </c>
      <c r="Q618" t="n">
        <v>0</v>
      </c>
      <c r="R618" s="2" t="inlineStr"/>
    </row>
    <row r="619" ht="15" customHeight="1">
      <c r="A619" t="inlineStr">
        <is>
          <t>A 5365-2021</t>
        </is>
      </c>
      <c r="B619" s="1" t="n">
        <v>44229</v>
      </c>
      <c r="C619" s="1" t="n">
        <v>45711</v>
      </c>
      <c r="D619" t="inlineStr">
        <is>
          <t>VÄRMLANDS LÄN</t>
        </is>
      </c>
      <c r="E619" t="inlineStr">
        <is>
          <t>TORSBY</t>
        </is>
      </c>
      <c r="G619" t="n">
        <v>8.1</v>
      </c>
      <c r="H619" t="n">
        <v>0</v>
      </c>
      <c r="I619" t="n">
        <v>0</v>
      </c>
      <c r="J619" t="n">
        <v>0</v>
      </c>
      <c r="K619" t="n">
        <v>0</v>
      </c>
      <c r="L619" t="n">
        <v>0</v>
      </c>
      <c r="M619" t="n">
        <v>0</v>
      </c>
      <c r="N619" t="n">
        <v>0</v>
      </c>
      <c r="O619" t="n">
        <v>0</v>
      </c>
      <c r="P619" t="n">
        <v>0</v>
      </c>
      <c r="Q619" t="n">
        <v>0</v>
      </c>
      <c r="R619" s="2" t="inlineStr"/>
    </row>
    <row r="620" ht="15" customHeight="1">
      <c r="A620" t="inlineStr">
        <is>
          <t>A 5572-2021</t>
        </is>
      </c>
      <c r="B620" s="1" t="n">
        <v>44230</v>
      </c>
      <c r="C620" s="1" t="n">
        <v>45711</v>
      </c>
      <c r="D620" t="inlineStr">
        <is>
          <t>VÄRMLANDS LÄN</t>
        </is>
      </c>
      <c r="E620" t="inlineStr">
        <is>
          <t>TORSBY</t>
        </is>
      </c>
      <c r="G620" t="n">
        <v>2</v>
      </c>
      <c r="H620" t="n">
        <v>0</v>
      </c>
      <c r="I620" t="n">
        <v>0</v>
      </c>
      <c r="J620" t="n">
        <v>0</v>
      </c>
      <c r="K620" t="n">
        <v>0</v>
      </c>
      <c r="L620" t="n">
        <v>0</v>
      </c>
      <c r="M620" t="n">
        <v>0</v>
      </c>
      <c r="N620" t="n">
        <v>0</v>
      </c>
      <c r="O620" t="n">
        <v>0</v>
      </c>
      <c r="P620" t="n">
        <v>0</v>
      </c>
      <c r="Q620" t="n">
        <v>0</v>
      </c>
      <c r="R620" s="2" t="inlineStr"/>
    </row>
    <row r="621" ht="15" customHeight="1">
      <c r="A621" t="inlineStr">
        <is>
          <t>A 5839-2021</t>
        </is>
      </c>
      <c r="B621" s="1" t="n">
        <v>44231</v>
      </c>
      <c r="C621" s="1" t="n">
        <v>45711</v>
      </c>
      <c r="D621" t="inlineStr">
        <is>
          <t>VÄRMLANDS LÄN</t>
        </is>
      </c>
      <c r="E621" t="inlineStr">
        <is>
          <t>TORSBY</t>
        </is>
      </c>
      <c r="G621" t="n">
        <v>1</v>
      </c>
      <c r="H621" t="n">
        <v>0</v>
      </c>
      <c r="I621" t="n">
        <v>0</v>
      </c>
      <c r="J621" t="n">
        <v>0</v>
      </c>
      <c r="K621" t="n">
        <v>0</v>
      </c>
      <c r="L621" t="n">
        <v>0</v>
      </c>
      <c r="M621" t="n">
        <v>0</v>
      </c>
      <c r="N621" t="n">
        <v>0</v>
      </c>
      <c r="O621" t="n">
        <v>0</v>
      </c>
      <c r="P621" t="n">
        <v>0</v>
      </c>
      <c r="Q621" t="n">
        <v>0</v>
      </c>
      <c r="R621" s="2" t="inlineStr"/>
    </row>
    <row r="622" ht="15" customHeight="1">
      <c r="A622" t="inlineStr">
        <is>
          <t>A 6063-2021</t>
        </is>
      </c>
      <c r="B622" s="1" t="n">
        <v>44232</v>
      </c>
      <c r="C622" s="1" t="n">
        <v>45711</v>
      </c>
      <c r="D622" t="inlineStr">
        <is>
          <t>VÄRMLANDS LÄN</t>
        </is>
      </c>
      <c r="E622" t="inlineStr">
        <is>
          <t>TORSBY</t>
        </is>
      </c>
      <c r="G622" t="n">
        <v>1.4</v>
      </c>
      <c r="H622" t="n">
        <v>0</v>
      </c>
      <c r="I622" t="n">
        <v>0</v>
      </c>
      <c r="J622" t="n">
        <v>0</v>
      </c>
      <c r="K622" t="n">
        <v>0</v>
      </c>
      <c r="L622" t="n">
        <v>0</v>
      </c>
      <c r="M622" t="n">
        <v>0</v>
      </c>
      <c r="N622" t="n">
        <v>0</v>
      </c>
      <c r="O622" t="n">
        <v>0</v>
      </c>
      <c r="P622" t="n">
        <v>0</v>
      </c>
      <c r="Q622" t="n">
        <v>0</v>
      </c>
      <c r="R622" s="2" t="inlineStr"/>
    </row>
    <row r="623" ht="15" customHeight="1">
      <c r="A623" t="inlineStr">
        <is>
          <t>A 6111-2021</t>
        </is>
      </c>
      <c r="B623" s="1" t="n">
        <v>44232</v>
      </c>
      <c r="C623" s="1" t="n">
        <v>45711</v>
      </c>
      <c r="D623" t="inlineStr">
        <is>
          <t>VÄRMLANDS LÄN</t>
        </is>
      </c>
      <c r="E623" t="inlineStr">
        <is>
          <t>TORSBY</t>
        </is>
      </c>
      <c r="G623" t="n">
        <v>0.8</v>
      </c>
      <c r="H623" t="n">
        <v>0</v>
      </c>
      <c r="I623" t="n">
        <v>0</v>
      </c>
      <c r="J623" t="n">
        <v>0</v>
      </c>
      <c r="K623" t="n">
        <v>0</v>
      </c>
      <c r="L623" t="n">
        <v>0</v>
      </c>
      <c r="M623" t="n">
        <v>0</v>
      </c>
      <c r="N623" t="n">
        <v>0</v>
      </c>
      <c r="O623" t="n">
        <v>0</v>
      </c>
      <c r="P623" t="n">
        <v>0</v>
      </c>
      <c r="Q623" t="n">
        <v>0</v>
      </c>
      <c r="R623" s="2" t="inlineStr"/>
    </row>
    <row r="624" ht="15" customHeight="1">
      <c r="A624" t="inlineStr">
        <is>
          <t>A 6121-2021</t>
        </is>
      </c>
      <c r="B624" s="1" t="n">
        <v>44232</v>
      </c>
      <c r="C624" s="1" t="n">
        <v>45711</v>
      </c>
      <c r="D624" t="inlineStr">
        <is>
          <t>VÄRMLANDS LÄN</t>
        </is>
      </c>
      <c r="E624" t="inlineStr">
        <is>
          <t>TORSBY</t>
        </is>
      </c>
      <c r="G624" t="n">
        <v>2.9</v>
      </c>
      <c r="H624" t="n">
        <v>0</v>
      </c>
      <c r="I624" t="n">
        <v>0</v>
      </c>
      <c r="J624" t="n">
        <v>0</v>
      </c>
      <c r="K624" t="n">
        <v>0</v>
      </c>
      <c r="L624" t="n">
        <v>0</v>
      </c>
      <c r="M624" t="n">
        <v>0</v>
      </c>
      <c r="N624" t="n">
        <v>0</v>
      </c>
      <c r="O624" t="n">
        <v>0</v>
      </c>
      <c r="P624" t="n">
        <v>0</v>
      </c>
      <c r="Q624" t="n">
        <v>0</v>
      </c>
      <c r="R624" s="2" t="inlineStr"/>
    </row>
    <row r="625" ht="15" customHeight="1">
      <c r="A625" t="inlineStr">
        <is>
          <t>A 6068-2021</t>
        </is>
      </c>
      <c r="B625" s="1" t="n">
        <v>44232</v>
      </c>
      <c r="C625" s="1" t="n">
        <v>45711</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6102-2021</t>
        </is>
      </c>
      <c r="B626" s="1" t="n">
        <v>44232</v>
      </c>
      <c r="C626" s="1" t="n">
        <v>45711</v>
      </c>
      <c r="D626" t="inlineStr">
        <is>
          <t>VÄRMLANDS LÄN</t>
        </is>
      </c>
      <c r="E626" t="inlineStr">
        <is>
          <t>TORSBY</t>
        </is>
      </c>
      <c r="G626" t="n">
        <v>1.5</v>
      </c>
      <c r="H626" t="n">
        <v>0</v>
      </c>
      <c r="I626" t="n">
        <v>0</v>
      </c>
      <c r="J626" t="n">
        <v>0</v>
      </c>
      <c r="K626" t="n">
        <v>0</v>
      </c>
      <c r="L626" t="n">
        <v>0</v>
      </c>
      <c r="M626" t="n">
        <v>0</v>
      </c>
      <c r="N626" t="n">
        <v>0</v>
      </c>
      <c r="O626" t="n">
        <v>0</v>
      </c>
      <c r="P626" t="n">
        <v>0</v>
      </c>
      <c r="Q626" t="n">
        <v>0</v>
      </c>
      <c r="R626" s="2" t="inlineStr"/>
    </row>
    <row r="627" ht="15" customHeight="1">
      <c r="A627" t="inlineStr">
        <is>
          <t>A 6656-2021</t>
        </is>
      </c>
      <c r="B627" s="1" t="n">
        <v>44236</v>
      </c>
      <c r="C627" s="1" t="n">
        <v>45711</v>
      </c>
      <c r="D627" t="inlineStr">
        <is>
          <t>VÄRMLANDS LÄN</t>
        </is>
      </c>
      <c r="E627" t="inlineStr">
        <is>
          <t>TORSBY</t>
        </is>
      </c>
      <c r="G627" t="n">
        <v>2.4</v>
      </c>
      <c r="H627" t="n">
        <v>0</v>
      </c>
      <c r="I627" t="n">
        <v>0</v>
      </c>
      <c r="J627" t="n">
        <v>0</v>
      </c>
      <c r="K627" t="n">
        <v>0</v>
      </c>
      <c r="L627" t="n">
        <v>0</v>
      </c>
      <c r="M627" t="n">
        <v>0</v>
      </c>
      <c r="N627" t="n">
        <v>0</v>
      </c>
      <c r="O627" t="n">
        <v>0</v>
      </c>
      <c r="P627" t="n">
        <v>0</v>
      </c>
      <c r="Q627" t="n">
        <v>0</v>
      </c>
      <c r="R627" s="2" t="inlineStr"/>
    </row>
    <row r="628" ht="15" customHeight="1">
      <c r="A628" t="inlineStr">
        <is>
          <t>A 7661-2021</t>
        </is>
      </c>
      <c r="B628" s="1" t="n">
        <v>44242</v>
      </c>
      <c r="C628" s="1" t="n">
        <v>45711</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8034-2021</t>
        </is>
      </c>
      <c r="B629" s="1" t="n">
        <v>44243</v>
      </c>
      <c r="C629" s="1" t="n">
        <v>45711</v>
      </c>
      <c r="D629" t="inlineStr">
        <is>
          <t>VÄRMLANDS LÄN</t>
        </is>
      </c>
      <c r="E629" t="inlineStr">
        <is>
          <t>TORSBY</t>
        </is>
      </c>
      <c r="G629" t="n">
        <v>15.4</v>
      </c>
      <c r="H629" t="n">
        <v>0</v>
      </c>
      <c r="I629" t="n">
        <v>0</v>
      </c>
      <c r="J629" t="n">
        <v>0</v>
      </c>
      <c r="K629" t="n">
        <v>0</v>
      </c>
      <c r="L629" t="n">
        <v>0</v>
      </c>
      <c r="M629" t="n">
        <v>0</v>
      </c>
      <c r="N629" t="n">
        <v>0</v>
      </c>
      <c r="O629" t="n">
        <v>0</v>
      </c>
      <c r="P629" t="n">
        <v>0</v>
      </c>
      <c r="Q629" t="n">
        <v>0</v>
      </c>
      <c r="R629" s="2" t="inlineStr"/>
    </row>
    <row r="630" ht="15" customHeight="1">
      <c r="A630" t="inlineStr">
        <is>
          <t>A 7898-2021</t>
        </is>
      </c>
      <c r="B630" s="1" t="n">
        <v>44243</v>
      </c>
      <c r="C630" s="1" t="n">
        <v>45711</v>
      </c>
      <c r="D630" t="inlineStr">
        <is>
          <t>VÄRMLANDS LÄN</t>
        </is>
      </c>
      <c r="E630" t="inlineStr">
        <is>
          <t>TORSBY</t>
        </is>
      </c>
      <c r="G630" t="n">
        <v>1.7</v>
      </c>
      <c r="H630" t="n">
        <v>0</v>
      </c>
      <c r="I630" t="n">
        <v>0</v>
      </c>
      <c r="J630" t="n">
        <v>0</v>
      </c>
      <c r="K630" t="n">
        <v>0</v>
      </c>
      <c r="L630" t="n">
        <v>0</v>
      </c>
      <c r="M630" t="n">
        <v>0</v>
      </c>
      <c r="N630" t="n">
        <v>0</v>
      </c>
      <c r="O630" t="n">
        <v>0</v>
      </c>
      <c r="P630" t="n">
        <v>0</v>
      </c>
      <c r="Q630" t="n">
        <v>0</v>
      </c>
      <c r="R630" s="2" t="inlineStr"/>
    </row>
    <row r="631" ht="15" customHeight="1">
      <c r="A631" t="inlineStr">
        <is>
          <t>A 8910-2021</t>
        </is>
      </c>
      <c r="B631" s="1" t="n">
        <v>44246</v>
      </c>
      <c r="C631" s="1" t="n">
        <v>45711</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9775-2021</t>
        </is>
      </c>
      <c r="B632" s="1" t="n">
        <v>44252</v>
      </c>
      <c r="C632" s="1" t="n">
        <v>45711</v>
      </c>
      <c r="D632" t="inlineStr">
        <is>
          <t>VÄRMLANDS LÄN</t>
        </is>
      </c>
      <c r="E632" t="inlineStr">
        <is>
          <t>TORSBY</t>
        </is>
      </c>
      <c r="G632" t="n">
        <v>2.7</v>
      </c>
      <c r="H632" t="n">
        <v>0</v>
      </c>
      <c r="I632" t="n">
        <v>0</v>
      </c>
      <c r="J632" t="n">
        <v>0</v>
      </c>
      <c r="K632" t="n">
        <v>0</v>
      </c>
      <c r="L632" t="n">
        <v>0</v>
      </c>
      <c r="M632" t="n">
        <v>0</v>
      </c>
      <c r="N632" t="n">
        <v>0</v>
      </c>
      <c r="O632" t="n">
        <v>0</v>
      </c>
      <c r="P632" t="n">
        <v>0</v>
      </c>
      <c r="Q632" t="n">
        <v>0</v>
      </c>
      <c r="R632" s="2" t="inlineStr"/>
    </row>
    <row r="633" ht="15" customHeight="1">
      <c r="A633" t="inlineStr">
        <is>
          <t>A 10133-2021</t>
        </is>
      </c>
      <c r="B633" s="1" t="n">
        <v>44256</v>
      </c>
      <c r="C633" s="1" t="n">
        <v>45711</v>
      </c>
      <c r="D633" t="inlineStr">
        <is>
          <t>VÄRMLANDS LÄN</t>
        </is>
      </c>
      <c r="E633" t="inlineStr">
        <is>
          <t>TORSBY</t>
        </is>
      </c>
      <c r="G633" t="n">
        <v>5</v>
      </c>
      <c r="H633" t="n">
        <v>0</v>
      </c>
      <c r="I633" t="n">
        <v>0</v>
      </c>
      <c r="J633" t="n">
        <v>0</v>
      </c>
      <c r="K633" t="n">
        <v>0</v>
      </c>
      <c r="L633" t="n">
        <v>0</v>
      </c>
      <c r="M633" t="n">
        <v>0</v>
      </c>
      <c r="N633" t="n">
        <v>0</v>
      </c>
      <c r="O633" t="n">
        <v>0</v>
      </c>
      <c r="P633" t="n">
        <v>0</v>
      </c>
      <c r="Q633" t="n">
        <v>0</v>
      </c>
      <c r="R633" s="2" t="inlineStr"/>
    </row>
    <row r="634" ht="15" customHeight="1">
      <c r="A634" t="inlineStr">
        <is>
          <t>A 10118-2021</t>
        </is>
      </c>
      <c r="B634" s="1" t="n">
        <v>44256</v>
      </c>
      <c r="C634" s="1" t="n">
        <v>45711</v>
      </c>
      <c r="D634" t="inlineStr">
        <is>
          <t>VÄRMLANDS LÄN</t>
        </is>
      </c>
      <c r="E634" t="inlineStr">
        <is>
          <t>TORSBY</t>
        </is>
      </c>
      <c r="G634" t="n">
        <v>12.5</v>
      </c>
      <c r="H634" t="n">
        <v>0</v>
      </c>
      <c r="I634" t="n">
        <v>0</v>
      </c>
      <c r="J634" t="n">
        <v>0</v>
      </c>
      <c r="K634" t="n">
        <v>0</v>
      </c>
      <c r="L634" t="n">
        <v>0</v>
      </c>
      <c r="M634" t="n">
        <v>0</v>
      </c>
      <c r="N634" t="n">
        <v>0</v>
      </c>
      <c r="O634" t="n">
        <v>0</v>
      </c>
      <c r="P634" t="n">
        <v>0</v>
      </c>
      <c r="Q634" t="n">
        <v>0</v>
      </c>
      <c r="R634" s="2" t="inlineStr"/>
    </row>
    <row r="635" ht="15" customHeight="1">
      <c r="A635" t="inlineStr">
        <is>
          <t>A 10579-2021</t>
        </is>
      </c>
      <c r="B635" s="1" t="n">
        <v>44257</v>
      </c>
      <c r="C635" s="1" t="n">
        <v>45711</v>
      </c>
      <c r="D635" t="inlineStr">
        <is>
          <t>VÄRMLANDS LÄN</t>
        </is>
      </c>
      <c r="E635" t="inlineStr">
        <is>
          <t>TORSBY</t>
        </is>
      </c>
      <c r="G635" t="n">
        <v>1.2</v>
      </c>
      <c r="H635" t="n">
        <v>0</v>
      </c>
      <c r="I635" t="n">
        <v>0</v>
      </c>
      <c r="J635" t="n">
        <v>0</v>
      </c>
      <c r="K635" t="n">
        <v>0</v>
      </c>
      <c r="L635" t="n">
        <v>0</v>
      </c>
      <c r="M635" t="n">
        <v>0</v>
      </c>
      <c r="N635" t="n">
        <v>0</v>
      </c>
      <c r="O635" t="n">
        <v>0</v>
      </c>
      <c r="P635" t="n">
        <v>0</v>
      </c>
      <c r="Q635" t="n">
        <v>0</v>
      </c>
      <c r="R635" s="2" t="inlineStr"/>
    </row>
    <row r="636" ht="15" customHeight="1">
      <c r="A636" t="inlineStr">
        <is>
          <t>A 10778-2021</t>
        </is>
      </c>
      <c r="B636" s="1" t="n">
        <v>44259</v>
      </c>
      <c r="C636" s="1" t="n">
        <v>45711</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11695-2021</t>
        </is>
      </c>
      <c r="B637" s="1" t="n">
        <v>44264</v>
      </c>
      <c r="C637" s="1" t="n">
        <v>45711</v>
      </c>
      <c r="D637" t="inlineStr">
        <is>
          <t>VÄRMLANDS LÄN</t>
        </is>
      </c>
      <c r="E637" t="inlineStr">
        <is>
          <t>TORSBY</t>
        </is>
      </c>
      <c r="G637" t="n">
        <v>3</v>
      </c>
      <c r="H637" t="n">
        <v>0</v>
      </c>
      <c r="I637" t="n">
        <v>0</v>
      </c>
      <c r="J637" t="n">
        <v>0</v>
      </c>
      <c r="K637" t="n">
        <v>0</v>
      </c>
      <c r="L637" t="n">
        <v>0</v>
      </c>
      <c r="M637" t="n">
        <v>0</v>
      </c>
      <c r="N637" t="n">
        <v>0</v>
      </c>
      <c r="O637" t="n">
        <v>0</v>
      </c>
      <c r="P637" t="n">
        <v>0</v>
      </c>
      <c r="Q637" t="n">
        <v>0</v>
      </c>
      <c r="R637" s="2" t="inlineStr"/>
    </row>
    <row r="638" ht="15" customHeight="1">
      <c r="A638" t="inlineStr">
        <is>
          <t>A 11947-2021</t>
        </is>
      </c>
      <c r="B638" s="1" t="n">
        <v>44265</v>
      </c>
      <c r="C638" s="1" t="n">
        <v>45711</v>
      </c>
      <c r="D638" t="inlineStr">
        <is>
          <t>VÄRMLANDS LÄN</t>
        </is>
      </c>
      <c r="E638" t="inlineStr">
        <is>
          <t>TORSBY</t>
        </is>
      </c>
      <c r="G638" t="n">
        <v>2.1</v>
      </c>
      <c r="H638" t="n">
        <v>0</v>
      </c>
      <c r="I638" t="n">
        <v>0</v>
      </c>
      <c r="J638" t="n">
        <v>0</v>
      </c>
      <c r="K638" t="n">
        <v>0</v>
      </c>
      <c r="L638" t="n">
        <v>0</v>
      </c>
      <c r="M638" t="n">
        <v>0</v>
      </c>
      <c r="N638" t="n">
        <v>0</v>
      </c>
      <c r="O638" t="n">
        <v>0</v>
      </c>
      <c r="P638" t="n">
        <v>0</v>
      </c>
      <c r="Q638" t="n">
        <v>0</v>
      </c>
      <c r="R638" s="2" t="inlineStr"/>
    </row>
    <row r="639" ht="15" customHeight="1">
      <c r="A639" t="inlineStr">
        <is>
          <t>A 13013-2021</t>
        </is>
      </c>
      <c r="B639" s="1" t="n">
        <v>44271</v>
      </c>
      <c r="C639" s="1" t="n">
        <v>45711</v>
      </c>
      <c r="D639" t="inlineStr">
        <is>
          <t>VÄRMLANDS LÄN</t>
        </is>
      </c>
      <c r="E639" t="inlineStr">
        <is>
          <t>TORSBY</t>
        </is>
      </c>
      <c r="G639" t="n">
        <v>7.7</v>
      </c>
      <c r="H639" t="n">
        <v>0</v>
      </c>
      <c r="I639" t="n">
        <v>0</v>
      </c>
      <c r="J639" t="n">
        <v>0</v>
      </c>
      <c r="K639" t="n">
        <v>0</v>
      </c>
      <c r="L639" t="n">
        <v>0</v>
      </c>
      <c r="M639" t="n">
        <v>0</v>
      </c>
      <c r="N639" t="n">
        <v>0</v>
      </c>
      <c r="O639" t="n">
        <v>0</v>
      </c>
      <c r="P639" t="n">
        <v>0</v>
      </c>
      <c r="Q639" t="n">
        <v>0</v>
      </c>
      <c r="R639" s="2" t="inlineStr"/>
    </row>
    <row r="640" ht="15" customHeight="1">
      <c r="A640" t="inlineStr">
        <is>
          <t>A 14942-2021</t>
        </is>
      </c>
      <c r="B640" s="1" t="n">
        <v>44281</v>
      </c>
      <c r="C640" s="1" t="n">
        <v>45711</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15279-2021</t>
        </is>
      </c>
      <c r="B641" s="1" t="n">
        <v>44284</v>
      </c>
      <c r="C641" s="1" t="n">
        <v>45711</v>
      </c>
      <c r="D641" t="inlineStr">
        <is>
          <t>VÄRMLANDS LÄN</t>
        </is>
      </c>
      <c r="E641" t="inlineStr">
        <is>
          <t>TORSBY</t>
        </is>
      </c>
      <c r="G641" t="n">
        <v>3.9</v>
      </c>
      <c r="H641" t="n">
        <v>0</v>
      </c>
      <c r="I641" t="n">
        <v>0</v>
      </c>
      <c r="J641" t="n">
        <v>0</v>
      </c>
      <c r="K641" t="n">
        <v>0</v>
      </c>
      <c r="L641" t="n">
        <v>0</v>
      </c>
      <c r="M641" t="n">
        <v>0</v>
      </c>
      <c r="N641" t="n">
        <v>0</v>
      </c>
      <c r="O641" t="n">
        <v>0</v>
      </c>
      <c r="P641" t="n">
        <v>0</v>
      </c>
      <c r="Q641" t="n">
        <v>0</v>
      </c>
      <c r="R641" s="2" t="inlineStr"/>
    </row>
    <row r="642" ht="15" customHeight="1">
      <c r="A642" t="inlineStr">
        <is>
          <t>A 16191-2021</t>
        </is>
      </c>
      <c r="B642" s="1" t="n">
        <v>44285</v>
      </c>
      <c r="C642" s="1" t="n">
        <v>45711</v>
      </c>
      <c r="D642" t="inlineStr">
        <is>
          <t>VÄRMLANDS LÄN</t>
        </is>
      </c>
      <c r="E642" t="inlineStr">
        <is>
          <t>TORSBY</t>
        </is>
      </c>
      <c r="G642" t="n">
        <v>3.7</v>
      </c>
      <c r="H642" t="n">
        <v>0</v>
      </c>
      <c r="I642" t="n">
        <v>0</v>
      </c>
      <c r="J642" t="n">
        <v>0</v>
      </c>
      <c r="K642" t="n">
        <v>0</v>
      </c>
      <c r="L642" t="n">
        <v>0</v>
      </c>
      <c r="M642" t="n">
        <v>0</v>
      </c>
      <c r="N642" t="n">
        <v>0</v>
      </c>
      <c r="O642" t="n">
        <v>0</v>
      </c>
      <c r="P642" t="n">
        <v>0</v>
      </c>
      <c r="Q642" t="n">
        <v>0</v>
      </c>
      <c r="R642" s="2" t="inlineStr"/>
    </row>
    <row r="643" ht="15" customHeight="1">
      <c r="A643" t="inlineStr">
        <is>
          <t>A 15854-2021</t>
        </is>
      </c>
      <c r="B643" s="1" t="n">
        <v>44286</v>
      </c>
      <c r="C643" s="1" t="n">
        <v>45711</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15853-2021</t>
        </is>
      </c>
      <c r="B644" s="1" t="n">
        <v>44286</v>
      </c>
      <c r="C644" s="1" t="n">
        <v>45711</v>
      </c>
      <c r="D644" t="inlineStr">
        <is>
          <t>VÄRMLANDS LÄN</t>
        </is>
      </c>
      <c r="E644" t="inlineStr">
        <is>
          <t>TORSBY</t>
        </is>
      </c>
      <c r="G644" t="n">
        <v>0.6</v>
      </c>
      <c r="H644" t="n">
        <v>0</v>
      </c>
      <c r="I644" t="n">
        <v>0</v>
      </c>
      <c r="J644" t="n">
        <v>0</v>
      </c>
      <c r="K644" t="n">
        <v>0</v>
      </c>
      <c r="L644" t="n">
        <v>0</v>
      </c>
      <c r="M644" t="n">
        <v>0</v>
      </c>
      <c r="N644" t="n">
        <v>0</v>
      </c>
      <c r="O644" t="n">
        <v>0</v>
      </c>
      <c r="P644" t="n">
        <v>0</v>
      </c>
      <c r="Q644" t="n">
        <v>0</v>
      </c>
      <c r="R644" s="2" t="inlineStr"/>
    </row>
    <row r="645" ht="15" customHeight="1">
      <c r="A645" t="inlineStr">
        <is>
          <t>A 15945-2021</t>
        </is>
      </c>
      <c r="B645" s="1" t="n">
        <v>44287</v>
      </c>
      <c r="C645" s="1" t="n">
        <v>45711</v>
      </c>
      <c r="D645" t="inlineStr">
        <is>
          <t>VÄRMLANDS LÄN</t>
        </is>
      </c>
      <c r="E645" t="inlineStr">
        <is>
          <t>TORSBY</t>
        </is>
      </c>
      <c r="G645" t="n">
        <v>1.1</v>
      </c>
      <c r="H645" t="n">
        <v>0</v>
      </c>
      <c r="I645" t="n">
        <v>0</v>
      </c>
      <c r="J645" t="n">
        <v>0</v>
      </c>
      <c r="K645" t="n">
        <v>0</v>
      </c>
      <c r="L645" t="n">
        <v>0</v>
      </c>
      <c r="M645" t="n">
        <v>0</v>
      </c>
      <c r="N645" t="n">
        <v>0</v>
      </c>
      <c r="O645" t="n">
        <v>0</v>
      </c>
      <c r="P645" t="n">
        <v>0</v>
      </c>
      <c r="Q645" t="n">
        <v>0</v>
      </c>
      <c r="R645" s="2" t="inlineStr"/>
    </row>
    <row r="646" ht="15" customHeight="1">
      <c r="A646" t="inlineStr">
        <is>
          <t>A 15939-2021</t>
        </is>
      </c>
      <c r="B646" s="1" t="n">
        <v>44287</v>
      </c>
      <c r="C646" s="1" t="n">
        <v>45711</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16303-2021</t>
        </is>
      </c>
      <c r="B647" s="1" t="n">
        <v>44292</v>
      </c>
      <c r="C647" s="1" t="n">
        <v>45711</v>
      </c>
      <c r="D647" t="inlineStr">
        <is>
          <t>VÄRMLANDS LÄN</t>
        </is>
      </c>
      <c r="E647" t="inlineStr">
        <is>
          <t>TORSBY</t>
        </is>
      </c>
      <c r="G647" t="n">
        <v>3.5</v>
      </c>
      <c r="H647" t="n">
        <v>0</v>
      </c>
      <c r="I647" t="n">
        <v>0</v>
      </c>
      <c r="J647" t="n">
        <v>0</v>
      </c>
      <c r="K647" t="n">
        <v>0</v>
      </c>
      <c r="L647" t="n">
        <v>0</v>
      </c>
      <c r="M647" t="n">
        <v>0</v>
      </c>
      <c r="N647" t="n">
        <v>0</v>
      </c>
      <c r="O647" t="n">
        <v>0</v>
      </c>
      <c r="P647" t="n">
        <v>0</v>
      </c>
      <c r="Q647" t="n">
        <v>0</v>
      </c>
      <c r="R647" s="2" t="inlineStr"/>
    </row>
    <row r="648" ht="15" customHeight="1">
      <c r="A648" t="inlineStr">
        <is>
          <t>A 16299-2021</t>
        </is>
      </c>
      <c r="B648" s="1" t="n">
        <v>44292</v>
      </c>
      <c r="C648" s="1" t="n">
        <v>45711</v>
      </c>
      <c r="D648" t="inlineStr">
        <is>
          <t>VÄRMLANDS LÄN</t>
        </is>
      </c>
      <c r="E648" t="inlineStr">
        <is>
          <t>TORSBY</t>
        </is>
      </c>
      <c r="G648" t="n">
        <v>3.4</v>
      </c>
      <c r="H648" t="n">
        <v>0</v>
      </c>
      <c r="I648" t="n">
        <v>0</v>
      </c>
      <c r="J648" t="n">
        <v>0</v>
      </c>
      <c r="K648" t="n">
        <v>0</v>
      </c>
      <c r="L648" t="n">
        <v>0</v>
      </c>
      <c r="M648" t="n">
        <v>0</v>
      </c>
      <c r="N648" t="n">
        <v>0</v>
      </c>
      <c r="O648" t="n">
        <v>0</v>
      </c>
      <c r="P648" t="n">
        <v>0</v>
      </c>
      <c r="Q648" t="n">
        <v>0</v>
      </c>
      <c r="R648" s="2" t="inlineStr"/>
    </row>
    <row r="649" ht="15" customHeight="1">
      <c r="A649" t="inlineStr">
        <is>
          <t>A 16375-2021</t>
        </is>
      </c>
      <c r="B649" s="1" t="n">
        <v>44292</v>
      </c>
      <c r="C649" s="1" t="n">
        <v>45711</v>
      </c>
      <c r="D649" t="inlineStr">
        <is>
          <t>VÄRMLANDS LÄN</t>
        </is>
      </c>
      <c r="E649" t="inlineStr">
        <is>
          <t>TORSBY</t>
        </is>
      </c>
      <c r="G649" t="n">
        <v>2.3</v>
      </c>
      <c r="H649" t="n">
        <v>0</v>
      </c>
      <c r="I649" t="n">
        <v>0</v>
      </c>
      <c r="J649" t="n">
        <v>0</v>
      </c>
      <c r="K649" t="n">
        <v>0</v>
      </c>
      <c r="L649" t="n">
        <v>0</v>
      </c>
      <c r="M649" t="n">
        <v>0</v>
      </c>
      <c r="N649" t="n">
        <v>0</v>
      </c>
      <c r="O649" t="n">
        <v>0</v>
      </c>
      <c r="P649" t="n">
        <v>0</v>
      </c>
      <c r="Q649" t="n">
        <v>0</v>
      </c>
      <c r="R649" s="2" t="inlineStr"/>
    </row>
    <row r="650" ht="15" customHeight="1">
      <c r="A650" t="inlineStr">
        <is>
          <t>A 17249-2021</t>
        </is>
      </c>
      <c r="B650" s="1" t="n">
        <v>44298</v>
      </c>
      <c r="C650" s="1" t="n">
        <v>45711</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17941-2021</t>
        </is>
      </c>
      <c r="B651" s="1" t="n">
        <v>44301</v>
      </c>
      <c r="C651" s="1" t="n">
        <v>45711</v>
      </c>
      <c r="D651" t="inlineStr">
        <is>
          <t>VÄRMLANDS LÄN</t>
        </is>
      </c>
      <c r="E651" t="inlineStr">
        <is>
          <t>TORSBY</t>
        </is>
      </c>
      <c r="F651" t="inlineStr">
        <is>
          <t>Kommuner</t>
        </is>
      </c>
      <c r="G651" t="n">
        <v>8</v>
      </c>
      <c r="H651" t="n">
        <v>0</v>
      </c>
      <c r="I651" t="n">
        <v>0</v>
      </c>
      <c r="J651" t="n">
        <v>0</v>
      </c>
      <c r="K651" t="n">
        <v>0</v>
      </c>
      <c r="L651" t="n">
        <v>0</v>
      </c>
      <c r="M651" t="n">
        <v>0</v>
      </c>
      <c r="N651" t="n">
        <v>0</v>
      </c>
      <c r="O651" t="n">
        <v>0</v>
      </c>
      <c r="P651" t="n">
        <v>0</v>
      </c>
      <c r="Q651" t="n">
        <v>0</v>
      </c>
      <c r="R651" s="2" t="inlineStr"/>
    </row>
    <row r="652" ht="15" customHeight="1">
      <c r="A652" t="inlineStr">
        <is>
          <t>A 17962-2021</t>
        </is>
      </c>
      <c r="B652" s="1" t="n">
        <v>44301</v>
      </c>
      <c r="C652" s="1" t="n">
        <v>45711</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17944-2021</t>
        </is>
      </c>
      <c r="B653" s="1" t="n">
        <v>44301</v>
      </c>
      <c r="C653" s="1" t="n">
        <v>45711</v>
      </c>
      <c r="D653" t="inlineStr">
        <is>
          <t>VÄRMLANDS LÄN</t>
        </is>
      </c>
      <c r="E653" t="inlineStr">
        <is>
          <t>TORSBY</t>
        </is>
      </c>
      <c r="F653" t="inlineStr">
        <is>
          <t>Kommuner</t>
        </is>
      </c>
      <c r="G653" t="n">
        <v>0.9</v>
      </c>
      <c r="H653" t="n">
        <v>0</v>
      </c>
      <c r="I653" t="n">
        <v>0</v>
      </c>
      <c r="J653" t="n">
        <v>0</v>
      </c>
      <c r="K653" t="n">
        <v>0</v>
      </c>
      <c r="L653" t="n">
        <v>0</v>
      </c>
      <c r="M653" t="n">
        <v>0</v>
      </c>
      <c r="N653" t="n">
        <v>0</v>
      </c>
      <c r="O653" t="n">
        <v>0</v>
      </c>
      <c r="P653" t="n">
        <v>0</v>
      </c>
      <c r="Q653" t="n">
        <v>0</v>
      </c>
      <c r="R653" s="2" t="inlineStr"/>
    </row>
    <row r="654" ht="15" customHeight="1">
      <c r="A654" t="inlineStr">
        <is>
          <t>A 23524-2021</t>
        </is>
      </c>
      <c r="B654" s="1" t="n">
        <v>44301</v>
      </c>
      <c r="C654" s="1" t="n">
        <v>45711</v>
      </c>
      <c r="D654" t="inlineStr">
        <is>
          <t>VÄRMLANDS LÄN</t>
        </is>
      </c>
      <c r="E654" t="inlineStr">
        <is>
          <t>TORSBY</t>
        </is>
      </c>
      <c r="G654" t="n">
        <v>0.5</v>
      </c>
      <c r="H654" t="n">
        <v>0</v>
      </c>
      <c r="I654" t="n">
        <v>0</v>
      </c>
      <c r="J654" t="n">
        <v>0</v>
      </c>
      <c r="K654" t="n">
        <v>0</v>
      </c>
      <c r="L654" t="n">
        <v>0</v>
      </c>
      <c r="M654" t="n">
        <v>0</v>
      </c>
      <c r="N654" t="n">
        <v>0</v>
      </c>
      <c r="O654" t="n">
        <v>0</v>
      </c>
      <c r="P654" t="n">
        <v>0</v>
      </c>
      <c r="Q654" t="n">
        <v>0</v>
      </c>
      <c r="R654" s="2" t="inlineStr"/>
    </row>
    <row r="655" ht="15" customHeight="1">
      <c r="A655" t="inlineStr">
        <is>
          <t>A 18174-2021</t>
        </is>
      </c>
      <c r="B655" s="1" t="n">
        <v>44302</v>
      </c>
      <c r="C655" s="1" t="n">
        <v>45711</v>
      </c>
      <c r="D655" t="inlineStr">
        <is>
          <t>VÄRMLANDS LÄN</t>
        </is>
      </c>
      <c r="E655" t="inlineStr">
        <is>
          <t>TORSBY</t>
        </is>
      </c>
      <c r="G655" t="n">
        <v>4.5</v>
      </c>
      <c r="H655" t="n">
        <v>0</v>
      </c>
      <c r="I655" t="n">
        <v>0</v>
      </c>
      <c r="J655" t="n">
        <v>0</v>
      </c>
      <c r="K655" t="n">
        <v>0</v>
      </c>
      <c r="L655" t="n">
        <v>0</v>
      </c>
      <c r="M655" t="n">
        <v>0</v>
      </c>
      <c r="N655" t="n">
        <v>0</v>
      </c>
      <c r="O655" t="n">
        <v>0</v>
      </c>
      <c r="P655" t="n">
        <v>0</v>
      </c>
      <c r="Q655" t="n">
        <v>0</v>
      </c>
      <c r="R655" s="2" t="inlineStr"/>
    </row>
    <row r="656" ht="15" customHeight="1">
      <c r="A656" t="inlineStr">
        <is>
          <t>A 18033-2021</t>
        </is>
      </c>
      <c r="B656" s="1" t="n">
        <v>44302</v>
      </c>
      <c r="C656" s="1" t="n">
        <v>45711</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18354-2021</t>
        </is>
      </c>
      <c r="B657" s="1" t="n">
        <v>44305</v>
      </c>
      <c r="C657" s="1" t="n">
        <v>45711</v>
      </c>
      <c r="D657" t="inlineStr">
        <is>
          <t>VÄRMLANDS LÄN</t>
        </is>
      </c>
      <c r="E657" t="inlineStr">
        <is>
          <t>TORSBY</t>
        </is>
      </c>
      <c r="F657" t="inlineStr">
        <is>
          <t>Kommuner</t>
        </is>
      </c>
      <c r="G657" t="n">
        <v>2.4</v>
      </c>
      <c r="H657" t="n">
        <v>0</v>
      </c>
      <c r="I657" t="n">
        <v>0</v>
      </c>
      <c r="J657" t="n">
        <v>0</v>
      </c>
      <c r="K657" t="n">
        <v>0</v>
      </c>
      <c r="L657" t="n">
        <v>0</v>
      </c>
      <c r="M657" t="n">
        <v>0</v>
      </c>
      <c r="N657" t="n">
        <v>0</v>
      </c>
      <c r="O657" t="n">
        <v>0</v>
      </c>
      <c r="P657" t="n">
        <v>0</v>
      </c>
      <c r="Q657" t="n">
        <v>0</v>
      </c>
      <c r="R657" s="2" t="inlineStr"/>
    </row>
    <row r="658" ht="15" customHeight="1">
      <c r="A658" t="inlineStr">
        <is>
          <t>A 18344-2021</t>
        </is>
      </c>
      <c r="B658" s="1" t="n">
        <v>44305</v>
      </c>
      <c r="C658" s="1" t="n">
        <v>45711</v>
      </c>
      <c r="D658" t="inlineStr">
        <is>
          <t>VÄRMLANDS LÄN</t>
        </is>
      </c>
      <c r="E658" t="inlineStr">
        <is>
          <t>TORSBY</t>
        </is>
      </c>
      <c r="F658" t="inlineStr">
        <is>
          <t>Kommuner</t>
        </is>
      </c>
      <c r="G658" t="n">
        <v>4.3</v>
      </c>
      <c r="H658" t="n">
        <v>0</v>
      </c>
      <c r="I658" t="n">
        <v>0</v>
      </c>
      <c r="J658" t="n">
        <v>0</v>
      </c>
      <c r="K658" t="n">
        <v>0</v>
      </c>
      <c r="L658" t="n">
        <v>0</v>
      </c>
      <c r="M658" t="n">
        <v>0</v>
      </c>
      <c r="N658" t="n">
        <v>0</v>
      </c>
      <c r="O658" t="n">
        <v>0</v>
      </c>
      <c r="P658" t="n">
        <v>0</v>
      </c>
      <c r="Q658" t="n">
        <v>0</v>
      </c>
      <c r="R658" s="2" t="inlineStr"/>
    </row>
    <row r="659" ht="15" customHeight="1">
      <c r="A659" t="inlineStr">
        <is>
          <t>A 18349-2021</t>
        </is>
      </c>
      <c r="B659" s="1" t="n">
        <v>44305</v>
      </c>
      <c r="C659" s="1" t="n">
        <v>45711</v>
      </c>
      <c r="D659" t="inlineStr">
        <is>
          <t>VÄRMLANDS LÄN</t>
        </is>
      </c>
      <c r="E659" t="inlineStr">
        <is>
          <t>TORSBY</t>
        </is>
      </c>
      <c r="G659" t="n">
        <v>3</v>
      </c>
      <c r="H659" t="n">
        <v>0</v>
      </c>
      <c r="I659" t="n">
        <v>0</v>
      </c>
      <c r="J659" t="n">
        <v>0</v>
      </c>
      <c r="K659" t="n">
        <v>0</v>
      </c>
      <c r="L659" t="n">
        <v>0</v>
      </c>
      <c r="M659" t="n">
        <v>0</v>
      </c>
      <c r="N659" t="n">
        <v>0</v>
      </c>
      <c r="O659" t="n">
        <v>0</v>
      </c>
      <c r="P659" t="n">
        <v>0</v>
      </c>
      <c r="Q659" t="n">
        <v>0</v>
      </c>
      <c r="R659" s="2" t="inlineStr"/>
    </row>
    <row r="660" ht="15" customHeight="1">
      <c r="A660" t="inlineStr">
        <is>
          <t>A 18560-2021</t>
        </is>
      </c>
      <c r="B660" s="1" t="n">
        <v>44306</v>
      </c>
      <c r="C660" s="1" t="n">
        <v>45711</v>
      </c>
      <c r="D660" t="inlineStr">
        <is>
          <t>VÄRMLANDS LÄN</t>
        </is>
      </c>
      <c r="E660" t="inlineStr">
        <is>
          <t>TORSBY</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19031-2021</t>
        </is>
      </c>
      <c r="B661" s="1" t="n">
        <v>44308</v>
      </c>
      <c r="C661" s="1" t="n">
        <v>45711</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19338-2021</t>
        </is>
      </c>
      <c r="B662" s="1" t="n">
        <v>44309</v>
      </c>
      <c r="C662" s="1" t="n">
        <v>45711</v>
      </c>
      <c r="D662" t="inlineStr">
        <is>
          <t>VÄRMLANDS LÄN</t>
        </is>
      </c>
      <c r="E662" t="inlineStr">
        <is>
          <t>TORSBY</t>
        </is>
      </c>
      <c r="F662" t="inlineStr">
        <is>
          <t>Bergvik skog väst AB</t>
        </is>
      </c>
      <c r="G662" t="n">
        <v>3.7</v>
      </c>
      <c r="H662" t="n">
        <v>0</v>
      </c>
      <c r="I662" t="n">
        <v>0</v>
      </c>
      <c r="J662" t="n">
        <v>0</v>
      </c>
      <c r="K662" t="n">
        <v>0</v>
      </c>
      <c r="L662" t="n">
        <v>0</v>
      </c>
      <c r="M662" t="n">
        <v>0</v>
      </c>
      <c r="N662" t="n">
        <v>0</v>
      </c>
      <c r="O662" t="n">
        <v>0</v>
      </c>
      <c r="P662" t="n">
        <v>0</v>
      </c>
      <c r="Q662" t="n">
        <v>0</v>
      </c>
      <c r="R662" s="2" t="inlineStr"/>
    </row>
    <row r="663" ht="15" customHeight="1">
      <c r="A663" t="inlineStr">
        <is>
          <t>A 19375-2021</t>
        </is>
      </c>
      <c r="B663" s="1" t="n">
        <v>44309</v>
      </c>
      <c r="C663" s="1" t="n">
        <v>45711</v>
      </c>
      <c r="D663" t="inlineStr">
        <is>
          <t>VÄRMLANDS LÄN</t>
        </is>
      </c>
      <c r="E663" t="inlineStr">
        <is>
          <t>TORSBY</t>
        </is>
      </c>
      <c r="G663" t="n">
        <v>2</v>
      </c>
      <c r="H663" t="n">
        <v>0</v>
      </c>
      <c r="I663" t="n">
        <v>0</v>
      </c>
      <c r="J663" t="n">
        <v>0</v>
      </c>
      <c r="K663" t="n">
        <v>0</v>
      </c>
      <c r="L663" t="n">
        <v>0</v>
      </c>
      <c r="M663" t="n">
        <v>0</v>
      </c>
      <c r="N663" t="n">
        <v>0</v>
      </c>
      <c r="O663" t="n">
        <v>0</v>
      </c>
      <c r="P663" t="n">
        <v>0</v>
      </c>
      <c r="Q663" t="n">
        <v>0</v>
      </c>
      <c r="R663" s="2" t="inlineStr"/>
    </row>
    <row r="664" ht="15" customHeight="1">
      <c r="A664" t="inlineStr">
        <is>
          <t>A 20182-2021</t>
        </is>
      </c>
      <c r="B664" s="1" t="n">
        <v>44312</v>
      </c>
      <c r="C664" s="1" t="n">
        <v>45711</v>
      </c>
      <c r="D664" t="inlineStr">
        <is>
          <t>VÄRMLANDS LÄN</t>
        </is>
      </c>
      <c r="E664" t="inlineStr">
        <is>
          <t>TORSBY</t>
        </is>
      </c>
      <c r="G664" t="n">
        <v>14.4</v>
      </c>
      <c r="H664" t="n">
        <v>0</v>
      </c>
      <c r="I664" t="n">
        <v>0</v>
      </c>
      <c r="J664" t="n">
        <v>0</v>
      </c>
      <c r="K664" t="n">
        <v>0</v>
      </c>
      <c r="L664" t="n">
        <v>0</v>
      </c>
      <c r="M664" t="n">
        <v>0</v>
      </c>
      <c r="N664" t="n">
        <v>0</v>
      </c>
      <c r="O664" t="n">
        <v>0</v>
      </c>
      <c r="P664" t="n">
        <v>0</v>
      </c>
      <c r="Q664" t="n">
        <v>0</v>
      </c>
      <c r="R664" s="2" t="inlineStr"/>
    </row>
    <row r="665" ht="15" customHeight="1">
      <c r="A665" t="inlineStr">
        <is>
          <t>A 20199-2021</t>
        </is>
      </c>
      <c r="B665" s="1" t="n">
        <v>44312</v>
      </c>
      <c r="C665" s="1" t="n">
        <v>45711</v>
      </c>
      <c r="D665" t="inlineStr">
        <is>
          <t>VÄRMLANDS LÄN</t>
        </is>
      </c>
      <c r="E665" t="inlineStr">
        <is>
          <t>TORSBY</t>
        </is>
      </c>
      <c r="G665" t="n">
        <v>11.4</v>
      </c>
      <c r="H665" t="n">
        <v>0</v>
      </c>
      <c r="I665" t="n">
        <v>0</v>
      </c>
      <c r="J665" t="n">
        <v>0</v>
      </c>
      <c r="K665" t="n">
        <v>0</v>
      </c>
      <c r="L665" t="n">
        <v>0</v>
      </c>
      <c r="M665" t="n">
        <v>0</v>
      </c>
      <c r="N665" t="n">
        <v>0</v>
      </c>
      <c r="O665" t="n">
        <v>0</v>
      </c>
      <c r="P665" t="n">
        <v>0</v>
      </c>
      <c r="Q665" t="n">
        <v>0</v>
      </c>
      <c r="R665" s="2" t="inlineStr"/>
    </row>
    <row r="666" ht="15" customHeight="1">
      <c r="A666" t="inlineStr">
        <is>
          <t>A 20170-2021</t>
        </is>
      </c>
      <c r="B666" s="1" t="n">
        <v>44312</v>
      </c>
      <c r="C666" s="1" t="n">
        <v>45711</v>
      </c>
      <c r="D666" t="inlineStr">
        <is>
          <t>VÄRMLANDS LÄN</t>
        </is>
      </c>
      <c r="E666" t="inlineStr">
        <is>
          <t>TORSBY</t>
        </is>
      </c>
      <c r="G666" t="n">
        <v>1.6</v>
      </c>
      <c r="H666" t="n">
        <v>0</v>
      </c>
      <c r="I666" t="n">
        <v>0</v>
      </c>
      <c r="J666" t="n">
        <v>0</v>
      </c>
      <c r="K666" t="n">
        <v>0</v>
      </c>
      <c r="L666" t="n">
        <v>0</v>
      </c>
      <c r="M666" t="n">
        <v>0</v>
      </c>
      <c r="N666" t="n">
        <v>0</v>
      </c>
      <c r="O666" t="n">
        <v>0</v>
      </c>
      <c r="P666" t="n">
        <v>0</v>
      </c>
      <c r="Q666" t="n">
        <v>0</v>
      </c>
      <c r="R666" s="2" t="inlineStr"/>
    </row>
    <row r="667" ht="15" customHeight="1">
      <c r="A667" t="inlineStr">
        <is>
          <t>A 19877-2021</t>
        </is>
      </c>
      <c r="B667" s="1" t="n">
        <v>44313</v>
      </c>
      <c r="C667" s="1" t="n">
        <v>45711</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19974-2021</t>
        </is>
      </c>
      <c r="B668" s="1" t="n">
        <v>44313</v>
      </c>
      <c r="C668" s="1" t="n">
        <v>45711</v>
      </c>
      <c r="D668" t="inlineStr">
        <is>
          <t>VÄRMLANDS LÄN</t>
        </is>
      </c>
      <c r="E668" t="inlineStr">
        <is>
          <t>TORSBY</t>
        </is>
      </c>
      <c r="G668" t="n">
        <v>0.4</v>
      </c>
      <c r="H668" t="n">
        <v>0</v>
      </c>
      <c r="I668" t="n">
        <v>0</v>
      </c>
      <c r="J668" t="n">
        <v>0</v>
      </c>
      <c r="K668" t="n">
        <v>0</v>
      </c>
      <c r="L668" t="n">
        <v>0</v>
      </c>
      <c r="M668" t="n">
        <v>0</v>
      </c>
      <c r="N668" t="n">
        <v>0</v>
      </c>
      <c r="O668" t="n">
        <v>0</v>
      </c>
      <c r="P668" t="n">
        <v>0</v>
      </c>
      <c r="Q668" t="n">
        <v>0</v>
      </c>
      <c r="R668" s="2" t="inlineStr"/>
    </row>
    <row r="669" ht="15" customHeight="1">
      <c r="A669" t="inlineStr">
        <is>
          <t>A 20122-2021</t>
        </is>
      </c>
      <c r="B669" s="1" t="n">
        <v>44314</v>
      </c>
      <c r="C669" s="1" t="n">
        <v>45711</v>
      </c>
      <c r="D669" t="inlineStr">
        <is>
          <t>VÄRMLANDS LÄN</t>
        </is>
      </c>
      <c r="E669" t="inlineStr">
        <is>
          <t>TORSBY</t>
        </is>
      </c>
      <c r="G669" t="n">
        <v>2.5</v>
      </c>
      <c r="H669" t="n">
        <v>0</v>
      </c>
      <c r="I669" t="n">
        <v>0</v>
      </c>
      <c r="J669" t="n">
        <v>0</v>
      </c>
      <c r="K669" t="n">
        <v>0</v>
      </c>
      <c r="L669" t="n">
        <v>0</v>
      </c>
      <c r="M669" t="n">
        <v>0</v>
      </c>
      <c r="N669" t="n">
        <v>0</v>
      </c>
      <c r="O669" t="n">
        <v>0</v>
      </c>
      <c r="P669" t="n">
        <v>0</v>
      </c>
      <c r="Q669" t="n">
        <v>0</v>
      </c>
      <c r="R669" s="2" t="inlineStr"/>
    </row>
    <row r="670" ht="15" customHeight="1">
      <c r="A670" t="inlineStr">
        <is>
          <t>A 21031-2021</t>
        </is>
      </c>
      <c r="B670" s="1" t="n">
        <v>44319</v>
      </c>
      <c r="C670" s="1" t="n">
        <v>45711</v>
      </c>
      <c r="D670" t="inlineStr">
        <is>
          <t>VÄRMLANDS LÄN</t>
        </is>
      </c>
      <c r="E670" t="inlineStr">
        <is>
          <t>TORSBY</t>
        </is>
      </c>
      <c r="G670" t="n">
        <v>1.2</v>
      </c>
      <c r="H670" t="n">
        <v>0</v>
      </c>
      <c r="I670" t="n">
        <v>0</v>
      </c>
      <c r="J670" t="n">
        <v>0</v>
      </c>
      <c r="K670" t="n">
        <v>0</v>
      </c>
      <c r="L670" t="n">
        <v>0</v>
      </c>
      <c r="M670" t="n">
        <v>0</v>
      </c>
      <c r="N670" t="n">
        <v>0</v>
      </c>
      <c r="O670" t="n">
        <v>0</v>
      </c>
      <c r="P670" t="n">
        <v>0</v>
      </c>
      <c r="Q670" t="n">
        <v>0</v>
      </c>
      <c r="R670" s="2" t="inlineStr"/>
    </row>
    <row r="671" ht="15" customHeight="1">
      <c r="A671" t="inlineStr">
        <is>
          <t>A 21206-2021</t>
        </is>
      </c>
      <c r="B671" s="1" t="n">
        <v>44320</v>
      </c>
      <c r="C671" s="1" t="n">
        <v>45711</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22038-2021</t>
        </is>
      </c>
      <c r="B672" s="1" t="n">
        <v>44323</v>
      </c>
      <c r="C672" s="1" t="n">
        <v>45711</v>
      </c>
      <c r="D672" t="inlineStr">
        <is>
          <t>VÄRMLANDS LÄN</t>
        </is>
      </c>
      <c r="E672" t="inlineStr">
        <is>
          <t>TORSBY</t>
        </is>
      </c>
      <c r="G672" t="n">
        <v>4</v>
      </c>
      <c r="H672" t="n">
        <v>0</v>
      </c>
      <c r="I672" t="n">
        <v>0</v>
      </c>
      <c r="J672" t="n">
        <v>0</v>
      </c>
      <c r="K672" t="n">
        <v>0</v>
      </c>
      <c r="L672" t="n">
        <v>0</v>
      </c>
      <c r="M672" t="n">
        <v>0</v>
      </c>
      <c r="N672" t="n">
        <v>0</v>
      </c>
      <c r="O672" t="n">
        <v>0</v>
      </c>
      <c r="P672" t="n">
        <v>0</v>
      </c>
      <c r="Q672" t="n">
        <v>0</v>
      </c>
      <c r="R672" s="2" t="inlineStr"/>
    </row>
    <row r="673" ht="15" customHeight="1">
      <c r="A673" t="inlineStr">
        <is>
          <t>A 22113-2021</t>
        </is>
      </c>
      <c r="B673" s="1" t="n">
        <v>44323</v>
      </c>
      <c r="C673" s="1" t="n">
        <v>45711</v>
      </c>
      <c r="D673" t="inlineStr">
        <is>
          <t>VÄRMLANDS LÄN</t>
        </is>
      </c>
      <c r="E673" t="inlineStr">
        <is>
          <t>TORSBY</t>
        </is>
      </c>
      <c r="G673" t="n">
        <v>1.7</v>
      </c>
      <c r="H673" t="n">
        <v>0</v>
      </c>
      <c r="I673" t="n">
        <v>0</v>
      </c>
      <c r="J673" t="n">
        <v>0</v>
      </c>
      <c r="K673" t="n">
        <v>0</v>
      </c>
      <c r="L673" t="n">
        <v>0</v>
      </c>
      <c r="M673" t="n">
        <v>0</v>
      </c>
      <c r="N673" t="n">
        <v>0</v>
      </c>
      <c r="O673" t="n">
        <v>0</v>
      </c>
      <c r="P673" t="n">
        <v>0</v>
      </c>
      <c r="Q673" t="n">
        <v>0</v>
      </c>
      <c r="R673" s="2" t="inlineStr"/>
    </row>
    <row r="674" ht="15" customHeight="1">
      <c r="A674" t="inlineStr">
        <is>
          <t>A 22464-2021</t>
        </is>
      </c>
      <c r="B674" s="1" t="n">
        <v>44326</v>
      </c>
      <c r="C674" s="1" t="n">
        <v>45711</v>
      </c>
      <c r="D674" t="inlineStr">
        <is>
          <t>VÄRMLANDS LÄN</t>
        </is>
      </c>
      <c r="E674" t="inlineStr">
        <is>
          <t>TORSBY</t>
        </is>
      </c>
      <c r="G674" t="n">
        <v>6</v>
      </c>
      <c r="H674" t="n">
        <v>0</v>
      </c>
      <c r="I674" t="n">
        <v>0</v>
      </c>
      <c r="J674" t="n">
        <v>0</v>
      </c>
      <c r="K674" t="n">
        <v>0</v>
      </c>
      <c r="L674" t="n">
        <v>0</v>
      </c>
      <c r="M674" t="n">
        <v>0</v>
      </c>
      <c r="N674" t="n">
        <v>0</v>
      </c>
      <c r="O674" t="n">
        <v>0</v>
      </c>
      <c r="P674" t="n">
        <v>0</v>
      </c>
      <c r="Q674" t="n">
        <v>0</v>
      </c>
      <c r="R674" s="2" t="inlineStr"/>
    </row>
    <row r="675" ht="15" customHeight="1">
      <c r="A675" t="inlineStr">
        <is>
          <t>A 22463-2021</t>
        </is>
      </c>
      <c r="B675" s="1" t="n">
        <v>44326</v>
      </c>
      <c r="C675" s="1" t="n">
        <v>45711</v>
      </c>
      <c r="D675" t="inlineStr">
        <is>
          <t>VÄRMLANDS LÄN</t>
        </is>
      </c>
      <c r="E675" t="inlineStr">
        <is>
          <t>TORSBY</t>
        </is>
      </c>
      <c r="G675" t="n">
        <v>0.9</v>
      </c>
      <c r="H675" t="n">
        <v>0</v>
      </c>
      <c r="I675" t="n">
        <v>0</v>
      </c>
      <c r="J675" t="n">
        <v>0</v>
      </c>
      <c r="K675" t="n">
        <v>0</v>
      </c>
      <c r="L675" t="n">
        <v>0</v>
      </c>
      <c r="M675" t="n">
        <v>0</v>
      </c>
      <c r="N675" t="n">
        <v>0</v>
      </c>
      <c r="O675" t="n">
        <v>0</v>
      </c>
      <c r="P675" t="n">
        <v>0</v>
      </c>
      <c r="Q675" t="n">
        <v>0</v>
      </c>
      <c r="R675" s="2" t="inlineStr"/>
    </row>
    <row r="676" ht="15" customHeight="1">
      <c r="A676" t="inlineStr">
        <is>
          <t>A 22671-2021</t>
        </is>
      </c>
      <c r="B676" s="1" t="n">
        <v>44327</v>
      </c>
      <c r="C676" s="1" t="n">
        <v>45711</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22638-2021</t>
        </is>
      </c>
      <c r="B677" s="1" t="n">
        <v>44327</v>
      </c>
      <c r="C677" s="1" t="n">
        <v>45711</v>
      </c>
      <c r="D677" t="inlineStr">
        <is>
          <t>VÄRMLANDS LÄN</t>
        </is>
      </c>
      <c r="E677" t="inlineStr">
        <is>
          <t>TORSBY</t>
        </is>
      </c>
      <c r="G677" t="n">
        <v>1.8</v>
      </c>
      <c r="H677" t="n">
        <v>0</v>
      </c>
      <c r="I677" t="n">
        <v>0</v>
      </c>
      <c r="J677" t="n">
        <v>0</v>
      </c>
      <c r="K677" t="n">
        <v>0</v>
      </c>
      <c r="L677" t="n">
        <v>0</v>
      </c>
      <c r="M677" t="n">
        <v>0</v>
      </c>
      <c r="N677" t="n">
        <v>0</v>
      </c>
      <c r="O677" t="n">
        <v>0</v>
      </c>
      <c r="P677" t="n">
        <v>0</v>
      </c>
      <c r="Q677" t="n">
        <v>0</v>
      </c>
      <c r="R677" s="2" t="inlineStr"/>
    </row>
    <row r="678" ht="15" customHeight="1">
      <c r="A678" t="inlineStr">
        <is>
          <t>A 23191-2021</t>
        </is>
      </c>
      <c r="B678" s="1" t="n">
        <v>44328</v>
      </c>
      <c r="C678" s="1" t="n">
        <v>45711</v>
      </c>
      <c r="D678" t="inlineStr">
        <is>
          <t>VÄRMLANDS LÄN</t>
        </is>
      </c>
      <c r="E678" t="inlineStr">
        <is>
          <t>TORSBY</t>
        </is>
      </c>
      <c r="G678" t="n">
        <v>2</v>
      </c>
      <c r="H678" t="n">
        <v>0</v>
      </c>
      <c r="I678" t="n">
        <v>0</v>
      </c>
      <c r="J678" t="n">
        <v>0</v>
      </c>
      <c r="K678" t="n">
        <v>0</v>
      </c>
      <c r="L678" t="n">
        <v>0</v>
      </c>
      <c r="M678" t="n">
        <v>0</v>
      </c>
      <c r="N678" t="n">
        <v>0</v>
      </c>
      <c r="O678" t="n">
        <v>0</v>
      </c>
      <c r="P678" t="n">
        <v>0</v>
      </c>
      <c r="Q678" t="n">
        <v>0</v>
      </c>
      <c r="R678" s="2" t="inlineStr"/>
    </row>
    <row r="679" ht="15" customHeight="1">
      <c r="A679" t="inlineStr">
        <is>
          <t>A 23194-2021</t>
        </is>
      </c>
      <c r="B679" s="1" t="n">
        <v>44328</v>
      </c>
      <c r="C679" s="1" t="n">
        <v>45711</v>
      </c>
      <c r="D679" t="inlineStr">
        <is>
          <t>VÄRMLANDS LÄN</t>
        </is>
      </c>
      <c r="E679" t="inlineStr">
        <is>
          <t>TORSBY</t>
        </is>
      </c>
      <c r="G679" t="n">
        <v>4.3</v>
      </c>
      <c r="H679" t="n">
        <v>0</v>
      </c>
      <c r="I679" t="n">
        <v>0</v>
      </c>
      <c r="J679" t="n">
        <v>0</v>
      </c>
      <c r="K679" t="n">
        <v>0</v>
      </c>
      <c r="L679" t="n">
        <v>0</v>
      </c>
      <c r="M679" t="n">
        <v>0</v>
      </c>
      <c r="N679" t="n">
        <v>0</v>
      </c>
      <c r="O679" t="n">
        <v>0</v>
      </c>
      <c r="P679" t="n">
        <v>0</v>
      </c>
      <c r="Q679" t="n">
        <v>0</v>
      </c>
      <c r="R679" s="2" t="inlineStr"/>
    </row>
    <row r="680" ht="15" customHeight="1">
      <c r="A680" t="inlineStr">
        <is>
          <t>A 23435-2021</t>
        </is>
      </c>
      <c r="B680" s="1" t="n">
        <v>44333</v>
      </c>
      <c r="C680" s="1" t="n">
        <v>45711</v>
      </c>
      <c r="D680" t="inlineStr">
        <is>
          <t>VÄRMLANDS LÄN</t>
        </is>
      </c>
      <c r="E680" t="inlineStr">
        <is>
          <t>TORSBY</t>
        </is>
      </c>
      <c r="G680" t="n">
        <v>4.9</v>
      </c>
      <c r="H680" t="n">
        <v>0</v>
      </c>
      <c r="I680" t="n">
        <v>0</v>
      </c>
      <c r="J680" t="n">
        <v>0</v>
      </c>
      <c r="K680" t="n">
        <v>0</v>
      </c>
      <c r="L680" t="n">
        <v>0</v>
      </c>
      <c r="M680" t="n">
        <v>0</v>
      </c>
      <c r="N680" t="n">
        <v>0</v>
      </c>
      <c r="O680" t="n">
        <v>0</v>
      </c>
      <c r="P680" t="n">
        <v>0</v>
      </c>
      <c r="Q680" t="n">
        <v>0</v>
      </c>
      <c r="R680" s="2" t="inlineStr"/>
    </row>
    <row r="681" ht="15" customHeight="1">
      <c r="A681" t="inlineStr">
        <is>
          <t>A 23548-2021</t>
        </is>
      </c>
      <c r="B681" s="1" t="n">
        <v>44333</v>
      </c>
      <c r="C681" s="1" t="n">
        <v>45711</v>
      </c>
      <c r="D681" t="inlineStr">
        <is>
          <t>VÄRMLANDS LÄN</t>
        </is>
      </c>
      <c r="E681" t="inlineStr">
        <is>
          <t>TORSBY</t>
        </is>
      </c>
      <c r="G681" t="n">
        <v>0.7</v>
      </c>
      <c r="H681" t="n">
        <v>0</v>
      </c>
      <c r="I681" t="n">
        <v>0</v>
      </c>
      <c r="J681" t="n">
        <v>0</v>
      </c>
      <c r="K681" t="n">
        <v>0</v>
      </c>
      <c r="L681" t="n">
        <v>0</v>
      </c>
      <c r="M681" t="n">
        <v>0</v>
      </c>
      <c r="N681" t="n">
        <v>0</v>
      </c>
      <c r="O681" t="n">
        <v>0</v>
      </c>
      <c r="P681" t="n">
        <v>0</v>
      </c>
      <c r="Q681" t="n">
        <v>0</v>
      </c>
      <c r="R681" s="2" t="inlineStr"/>
    </row>
    <row r="682" ht="15" customHeight="1">
      <c r="A682" t="inlineStr">
        <is>
          <t>A 23842-2021</t>
        </is>
      </c>
      <c r="B682" s="1" t="n">
        <v>44335</v>
      </c>
      <c r="C682" s="1" t="n">
        <v>45711</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23823-2021</t>
        </is>
      </c>
      <c r="B683" s="1" t="n">
        <v>44335</v>
      </c>
      <c r="C683" s="1" t="n">
        <v>45711</v>
      </c>
      <c r="D683" t="inlineStr">
        <is>
          <t>VÄRMLANDS LÄN</t>
        </is>
      </c>
      <c r="E683" t="inlineStr">
        <is>
          <t>TORSBY</t>
        </is>
      </c>
      <c r="G683" t="n">
        <v>3.1</v>
      </c>
      <c r="H683" t="n">
        <v>0</v>
      </c>
      <c r="I683" t="n">
        <v>0</v>
      </c>
      <c r="J683" t="n">
        <v>0</v>
      </c>
      <c r="K683" t="n">
        <v>0</v>
      </c>
      <c r="L683" t="n">
        <v>0</v>
      </c>
      <c r="M683" t="n">
        <v>0</v>
      </c>
      <c r="N683" t="n">
        <v>0</v>
      </c>
      <c r="O683" t="n">
        <v>0</v>
      </c>
      <c r="P683" t="n">
        <v>0</v>
      </c>
      <c r="Q683" t="n">
        <v>0</v>
      </c>
      <c r="R683" s="2" t="inlineStr"/>
    </row>
    <row r="684" ht="15" customHeight="1">
      <c r="A684" t="inlineStr">
        <is>
          <t>A 24054-2021</t>
        </is>
      </c>
      <c r="B684" s="1" t="n">
        <v>44336</v>
      </c>
      <c r="C684" s="1" t="n">
        <v>45711</v>
      </c>
      <c r="D684" t="inlineStr">
        <is>
          <t>VÄRMLANDS LÄN</t>
        </is>
      </c>
      <c r="E684" t="inlineStr">
        <is>
          <t>TORSBY</t>
        </is>
      </c>
      <c r="G684" t="n">
        <v>2.9</v>
      </c>
      <c r="H684" t="n">
        <v>0</v>
      </c>
      <c r="I684" t="n">
        <v>0</v>
      </c>
      <c r="J684" t="n">
        <v>0</v>
      </c>
      <c r="K684" t="n">
        <v>0</v>
      </c>
      <c r="L684" t="n">
        <v>0</v>
      </c>
      <c r="M684" t="n">
        <v>0</v>
      </c>
      <c r="N684" t="n">
        <v>0</v>
      </c>
      <c r="O684" t="n">
        <v>0</v>
      </c>
      <c r="P684" t="n">
        <v>0</v>
      </c>
      <c r="Q684" t="n">
        <v>0</v>
      </c>
      <c r="R684" s="2" t="inlineStr"/>
    </row>
    <row r="685" ht="15" customHeight="1">
      <c r="A685" t="inlineStr">
        <is>
          <t>A 24150-2021</t>
        </is>
      </c>
      <c r="B685" s="1" t="n">
        <v>44336</v>
      </c>
      <c r="C685" s="1" t="n">
        <v>45711</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24165-2021</t>
        </is>
      </c>
      <c r="B686" s="1" t="n">
        <v>44336</v>
      </c>
      <c r="C686" s="1" t="n">
        <v>45711</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25096-2021</t>
        </is>
      </c>
      <c r="B687" s="1" t="n">
        <v>44341</v>
      </c>
      <c r="C687" s="1" t="n">
        <v>45711</v>
      </c>
      <c r="D687" t="inlineStr">
        <is>
          <t>VÄRMLANDS LÄN</t>
        </is>
      </c>
      <c r="E687" t="inlineStr">
        <is>
          <t>TORSBY</t>
        </is>
      </c>
      <c r="F687" t="inlineStr">
        <is>
          <t>Bergvik skog väst AB</t>
        </is>
      </c>
      <c r="G687" t="n">
        <v>14.7</v>
      </c>
      <c r="H687" t="n">
        <v>0</v>
      </c>
      <c r="I687" t="n">
        <v>0</v>
      </c>
      <c r="J687" t="n">
        <v>0</v>
      </c>
      <c r="K687" t="n">
        <v>0</v>
      </c>
      <c r="L687" t="n">
        <v>0</v>
      </c>
      <c r="M687" t="n">
        <v>0</v>
      </c>
      <c r="N687" t="n">
        <v>0</v>
      </c>
      <c r="O687" t="n">
        <v>0</v>
      </c>
      <c r="P687" t="n">
        <v>0</v>
      </c>
      <c r="Q687" t="n">
        <v>0</v>
      </c>
      <c r="R687" s="2" t="inlineStr"/>
    </row>
    <row r="688" ht="15" customHeight="1">
      <c r="A688" t="inlineStr">
        <is>
          <t>A 25247-2021</t>
        </is>
      </c>
      <c r="B688" s="1" t="n">
        <v>44342</v>
      </c>
      <c r="C688" s="1" t="n">
        <v>45711</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25920-2021</t>
        </is>
      </c>
      <c r="B689" s="1" t="n">
        <v>44344</v>
      </c>
      <c r="C689" s="1" t="n">
        <v>45711</v>
      </c>
      <c r="D689" t="inlineStr">
        <is>
          <t>VÄRMLANDS LÄN</t>
        </is>
      </c>
      <c r="E689" t="inlineStr">
        <is>
          <t>TORSBY</t>
        </is>
      </c>
      <c r="G689" t="n">
        <v>1.8</v>
      </c>
      <c r="H689" t="n">
        <v>0</v>
      </c>
      <c r="I689" t="n">
        <v>0</v>
      </c>
      <c r="J689" t="n">
        <v>0</v>
      </c>
      <c r="K689" t="n">
        <v>0</v>
      </c>
      <c r="L689" t="n">
        <v>0</v>
      </c>
      <c r="M689" t="n">
        <v>0</v>
      </c>
      <c r="N689" t="n">
        <v>0</v>
      </c>
      <c r="O689" t="n">
        <v>0</v>
      </c>
      <c r="P689" t="n">
        <v>0</v>
      </c>
      <c r="Q689" t="n">
        <v>0</v>
      </c>
      <c r="R689" s="2" t="inlineStr"/>
    </row>
    <row r="690" ht="15" customHeight="1">
      <c r="A690" t="inlineStr">
        <is>
          <t>A 26082-2021</t>
        </is>
      </c>
      <c r="B690" s="1" t="n">
        <v>44344</v>
      </c>
      <c r="C690" s="1" t="n">
        <v>45711</v>
      </c>
      <c r="D690" t="inlineStr">
        <is>
          <t>VÄRMLANDS LÄN</t>
        </is>
      </c>
      <c r="E690" t="inlineStr">
        <is>
          <t>TORSBY</t>
        </is>
      </c>
      <c r="G690" t="n">
        <v>1.6</v>
      </c>
      <c r="H690" t="n">
        <v>0</v>
      </c>
      <c r="I690" t="n">
        <v>0</v>
      </c>
      <c r="J690" t="n">
        <v>0</v>
      </c>
      <c r="K690" t="n">
        <v>0</v>
      </c>
      <c r="L690" t="n">
        <v>0</v>
      </c>
      <c r="M690" t="n">
        <v>0</v>
      </c>
      <c r="N690" t="n">
        <v>0</v>
      </c>
      <c r="O690" t="n">
        <v>0</v>
      </c>
      <c r="P690" t="n">
        <v>0</v>
      </c>
      <c r="Q690" t="n">
        <v>0</v>
      </c>
      <c r="R690" s="2" t="inlineStr"/>
    </row>
    <row r="691" ht="15" customHeight="1">
      <c r="A691" t="inlineStr">
        <is>
          <t>A 26223-2021</t>
        </is>
      </c>
      <c r="B691" s="1" t="n">
        <v>44347</v>
      </c>
      <c r="C691" s="1" t="n">
        <v>45711</v>
      </c>
      <c r="D691" t="inlineStr">
        <is>
          <t>VÄRMLANDS LÄN</t>
        </is>
      </c>
      <c r="E691" t="inlineStr">
        <is>
          <t>TORSBY</t>
        </is>
      </c>
      <c r="G691" t="n">
        <v>1.4</v>
      </c>
      <c r="H691" t="n">
        <v>0</v>
      </c>
      <c r="I691" t="n">
        <v>0</v>
      </c>
      <c r="J691" t="n">
        <v>0</v>
      </c>
      <c r="K691" t="n">
        <v>0</v>
      </c>
      <c r="L691" t="n">
        <v>0</v>
      </c>
      <c r="M691" t="n">
        <v>0</v>
      </c>
      <c r="N691" t="n">
        <v>0</v>
      </c>
      <c r="O691" t="n">
        <v>0</v>
      </c>
      <c r="P691" t="n">
        <v>0</v>
      </c>
      <c r="Q691" t="n">
        <v>0</v>
      </c>
      <c r="R691" s="2" t="inlineStr"/>
    </row>
    <row r="692" ht="15" customHeight="1">
      <c r="A692" t="inlineStr">
        <is>
          <t>A 26558-2021</t>
        </is>
      </c>
      <c r="B692" s="1" t="n">
        <v>44348</v>
      </c>
      <c r="C692" s="1" t="n">
        <v>45711</v>
      </c>
      <c r="D692" t="inlineStr">
        <is>
          <t>VÄRMLANDS LÄN</t>
        </is>
      </c>
      <c r="E692" t="inlineStr">
        <is>
          <t>TORSBY</t>
        </is>
      </c>
      <c r="G692" t="n">
        <v>19.7</v>
      </c>
      <c r="H692" t="n">
        <v>0</v>
      </c>
      <c r="I692" t="n">
        <v>0</v>
      </c>
      <c r="J692" t="n">
        <v>0</v>
      </c>
      <c r="K692" t="n">
        <v>0</v>
      </c>
      <c r="L692" t="n">
        <v>0</v>
      </c>
      <c r="M692" t="n">
        <v>0</v>
      </c>
      <c r="N692" t="n">
        <v>0</v>
      </c>
      <c r="O692" t="n">
        <v>0</v>
      </c>
      <c r="P692" t="n">
        <v>0</v>
      </c>
      <c r="Q692" t="n">
        <v>0</v>
      </c>
      <c r="R692" s="2" t="inlineStr"/>
    </row>
    <row r="693" ht="15" customHeight="1">
      <c r="A693" t="inlineStr">
        <is>
          <t>A 27446-2021</t>
        </is>
      </c>
      <c r="B693" s="1" t="n">
        <v>44351</v>
      </c>
      <c r="C693" s="1" t="n">
        <v>45711</v>
      </c>
      <c r="D693" t="inlineStr">
        <is>
          <t>VÄRMLANDS LÄN</t>
        </is>
      </c>
      <c r="E693" t="inlineStr">
        <is>
          <t>TORSBY</t>
        </is>
      </c>
      <c r="G693" t="n">
        <v>7.6</v>
      </c>
      <c r="H693" t="n">
        <v>0</v>
      </c>
      <c r="I693" t="n">
        <v>0</v>
      </c>
      <c r="J693" t="n">
        <v>0</v>
      </c>
      <c r="K693" t="n">
        <v>0</v>
      </c>
      <c r="L693" t="n">
        <v>0</v>
      </c>
      <c r="M693" t="n">
        <v>0</v>
      </c>
      <c r="N693" t="n">
        <v>0</v>
      </c>
      <c r="O693" t="n">
        <v>0</v>
      </c>
      <c r="P693" t="n">
        <v>0</v>
      </c>
      <c r="Q693" t="n">
        <v>0</v>
      </c>
      <c r="R693" s="2" t="inlineStr"/>
    </row>
    <row r="694" ht="15" customHeight="1">
      <c r="A694" t="inlineStr">
        <is>
          <t>A 27411-2021</t>
        </is>
      </c>
      <c r="B694" s="1" t="n">
        <v>44351</v>
      </c>
      <c r="C694" s="1" t="n">
        <v>45711</v>
      </c>
      <c r="D694" t="inlineStr">
        <is>
          <t>VÄRMLANDS LÄN</t>
        </is>
      </c>
      <c r="E694" t="inlineStr">
        <is>
          <t>TORSBY</t>
        </is>
      </c>
      <c r="G694" t="n">
        <v>2.5</v>
      </c>
      <c r="H694" t="n">
        <v>0</v>
      </c>
      <c r="I694" t="n">
        <v>0</v>
      </c>
      <c r="J694" t="n">
        <v>0</v>
      </c>
      <c r="K694" t="n">
        <v>0</v>
      </c>
      <c r="L694" t="n">
        <v>0</v>
      </c>
      <c r="M694" t="n">
        <v>0</v>
      </c>
      <c r="N694" t="n">
        <v>0</v>
      </c>
      <c r="O694" t="n">
        <v>0</v>
      </c>
      <c r="P694" t="n">
        <v>0</v>
      </c>
      <c r="Q694" t="n">
        <v>0</v>
      </c>
      <c r="R694" s="2" t="inlineStr"/>
    </row>
    <row r="695" ht="15" customHeight="1">
      <c r="A695" t="inlineStr">
        <is>
          <t>A 27362-2021</t>
        </is>
      </c>
      <c r="B695" s="1" t="n">
        <v>44351</v>
      </c>
      <c r="C695" s="1" t="n">
        <v>45711</v>
      </c>
      <c r="D695" t="inlineStr">
        <is>
          <t>VÄRMLANDS LÄN</t>
        </is>
      </c>
      <c r="E695" t="inlineStr">
        <is>
          <t>TORSBY</t>
        </is>
      </c>
      <c r="G695" t="n">
        <v>2.9</v>
      </c>
      <c r="H695" t="n">
        <v>0</v>
      </c>
      <c r="I695" t="n">
        <v>0</v>
      </c>
      <c r="J695" t="n">
        <v>0</v>
      </c>
      <c r="K695" t="n">
        <v>0</v>
      </c>
      <c r="L695" t="n">
        <v>0</v>
      </c>
      <c r="M695" t="n">
        <v>0</v>
      </c>
      <c r="N695" t="n">
        <v>0</v>
      </c>
      <c r="O695" t="n">
        <v>0</v>
      </c>
      <c r="P695" t="n">
        <v>0</v>
      </c>
      <c r="Q695" t="n">
        <v>0</v>
      </c>
      <c r="R695" s="2" t="inlineStr"/>
    </row>
    <row r="696" ht="15" customHeight="1">
      <c r="A696" t="inlineStr">
        <is>
          <t>A 27932-2021</t>
        </is>
      </c>
      <c r="B696" s="1" t="n">
        <v>44354</v>
      </c>
      <c r="C696" s="1" t="n">
        <v>45711</v>
      </c>
      <c r="D696" t="inlineStr">
        <is>
          <t>VÄRMLANDS LÄN</t>
        </is>
      </c>
      <c r="E696" t="inlineStr">
        <is>
          <t>TORSBY</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28559-2021</t>
        </is>
      </c>
      <c r="B697" s="1" t="n">
        <v>44356</v>
      </c>
      <c r="C697" s="1" t="n">
        <v>45711</v>
      </c>
      <c r="D697" t="inlineStr">
        <is>
          <t>VÄRMLANDS LÄN</t>
        </is>
      </c>
      <c r="E697" t="inlineStr">
        <is>
          <t>TORSBY</t>
        </is>
      </c>
      <c r="G697" t="n">
        <v>2.3</v>
      </c>
      <c r="H697" t="n">
        <v>0</v>
      </c>
      <c r="I697" t="n">
        <v>0</v>
      </c>
      <c r="J697" t="n">
        <v>0</v>
      </c>
      <c r="K697" t="n">
        <v>0</v>
      </c>
      <c r="L697" t="n">
        <v>0</v>
      </c>
      <c r="M697" t="n">
        <v>0</v>
      </c>
      <c r="N697" t="n">
        <v>0</v>
      </c>
      <c r="O697" t="n">
        <v>0</v>
      </c>
      <c r="P697" t="n">
        <v>0</v>
      </c>
      <c r="Q697" t="n">
        <v>0</v>
      </c>
      <c r="R697" s="2" t="inlineStr"/>
    </row>
    <row r="698" ht="15" customHeight="1">
      <c r="A698" t="inlineStr">
        <is>
          <t>A 28562-2021</t>
        </is>
      </c>
      <c r="B698" s="1" t="n">
        <v>44356</v>
      </c>
      <c r="C698" s="1" t="n">
        <v>45711</v>
      </c>
      <c r="D698" t="inlineStr">
        <is>
          <t>VÄRMLANDS LÄN</t>
        </is>
      </c>
      <c r="E698" t="inlineStr">
        <is>
          <t>TORSBY</t>
        </is>
      </c>
      <c r="G698" t="n">
        <v>4.4</v>
      </c>
      <c r="H698" t="n">
        <v>0</v>
      </c>
      <c r="I698" t="n">
        <v>0</v>
      </c>
      <c r="J698" t="n">
        <v>0</v>
      </c>
      <c r="K698" t="n">
        <v>0</v>
      </c>
      <c r="L698" t="n">
        <v>0</v>
      </c>
      <c r="M698" t="n">
        <v>0</v>
      </c>
      <c r="N698" t="n">
        <v>0</v>
      </c>
      <c r="O698" t="n">
        <v>0</v>
      </c>
      <c r="P698" t="n">
        <v>0</v>
      </c>
      <c r="Q698" t="n">
        <v>0</v>
      </c>
      <c r="R698" s="2" t="inlineStr"/>
    </row>
    <row r="699" ht="15" customHeight="1">
      <c r="A699" t="inlineStr">
        <is>
          <t>A 28940-2021</t>
        </is>
      </c>
      <c r="B699" s="1" t="n">
        <v>44358</v>
      </c>
      <c r="C699" s="1" t="n">
        <v>45711</v>
      </c>
      <c r="D699" t="inlineStr">
        <is>
          <t>VÄRMLANDS LÄN</t>
        </is>
      </c>
      <c r="E699" t="inlineStr">
        <is>
          <t>TORSBY</t>
        </is>
      </c>
      <c r="G699" t="n">
        <v>1.1</v>
      </c>
      <c r="H699" t="n">
        <v>0</v>
      </c>
      <c r="I699" t="n">
        <v>0</v>
      </c>
      <c r="J699" t="n">
        <v>0</v>
      </c>
      <c r="K699" t="n">
        <v>0</v>
      </c>
      <c r="L699" t="n">
        <v>0</v>
      </c>
      <c r="M699" t="n">
        <v>0</v>
      </c>
      <c r="N699" t="n">
        <v>0</v>
      </c>
      <c r="O699" t="n">
        <v>0</v>
      </c>
      <c r="P699" t="n">
        <v>0</v>
      </c>
      <c r="Q699" t="n">
        <v>0</v>
      </c>
      <c r="R699" s="2" t="inlineStr"/>
    </row>
    <row r="700" ht="15" customHeight="1">
      <c r="A700" t="inlineStr">
        <is>
          <t>A 29495-2021</t>
        </is>
      </c>
      <c r="B700" s="1" t="n">
        <v>44361</v>
      </c>
      <c r="C700" s="1" t="n">
        <v>45711</v>
      </c>
      <c r="D700" t="inlineStr">
        <is>
          <t>VÄRMLANDS LÄN</t>
        </is>
      </c>
      <c r="E700" t="inlineStr">
        <is>
          <t>TORSBY</t>
        </is>
      </c>
      <c r="F700" t="inlineStr">
        <is>
          <t>Övriga Aktiebolag</t>
        </is>
      </c>
      <c r="G700" t="n">
        <v>38.2</v>
      </c>
      <c r="H700" t="n">
        <v>0</v>
      </c>
      <c r="I700" t="n">
        <v>0</v>
      </c>
      <c r="J700" t="n">
        <v>0</v>
      </c>
      <c r="K700" t="n">
        <v>0</v>
      </c>
      <c r="L700" t="n">
        <v>0</v>
      </c>
      <c r="M700" t="n">
        <v>0</v>
      </c>
      <c r="N700" t="n">
        <v>0</v>
      </c>
      <c r="O700" t="n">
        <v>0</v>
      </c>
      <c r="P700" t="n">
        <v>0</v>
      </c>
      <c r="Q700" t="n">
        <v>0</v>
      </c>
      <c r="R700" s="2" t="inlineStr"/>
    </row>
    <row r="701" ht="15" customHeight="1">
      <c r="A701" t="inlineStr">
        <is>
          <t>A 29457-2021</t>
        </is>
      </c>
      <c r="B701" s="1" t="n">
        <v>44361</v>
      </c>
      <c r="C701" s="1" t="n">
        <v>45711</v>
      </c>
      <c r="D701" t="inlineStr">
        <is>
          <t>VÄRMLANDS LÄN</t>
        </is>
      </c>
      <c r="E701" t="inlineStr">
        <is>
          <t>TORSBY</t>
        </is>
      </c>
      <c r="G701" t="n">
        <v>7.6</v>
      </c>
      <c r="H701" t="n">
        <v>0</v>
      </c>
      <c r="I701" t="n">
        <v>0</v>
      </c>
      <c r="J701" t="n">
        <v>0</v>
      </c>
      <c r="K701" t="n">
        <v>0</v>
      </c>
      <c r="L701" t="n">
        <v>0</v>
      </c>
      <c r="M701" t="n">
        <v>0</v>
      </c>
      <c r="N701" t="n">
        <v>0</v>
      </c>
      <c r="O701" t="n">
        <v>0</v>
      </c>
      <c r="P701" t="n">
        <v>0</v>
      </c>
      <c r="Q701" t="n">
        <v>0</v>
      </c>
      <c r="R701" s="2" t="inlineStr"/>
    </row>
    <row r="702" ht="15" customHeight="1">
      <c r="A702" t="inlineStr">
        <is>
          <t>A 29518-2021</t>
        </is>
      </c>
      <c r="B702" s="1" t="n">
        <v>44361</v>
      </c>
      <c r="C702" s="1" t="n">
        <v>45711</v>
      </c>
      <c r="D702" t="inlineStr">
        <is>
          <t>VÄRMLANDS LÄN</t>
        </is>
      </c>
      <c r="E702" t="inlineStr">
        <is>
          <t>TORSBY</t>
        </is>
      </c>
      <c r="F702" t="inlineStr">
        <is>
          <t>Bergvik skog väst AB</t>
        </is>
      </c>
      <c r="G702" t="n">
        <v>16.7</v>
      </c>
      <c r="H702" t="n">
        <v>0</v>
      </c>
      <c r="I702" t="n">
        <v>0</v>
      </c>
      <c r="J702" t="n">
        <v>0</v>
      </c>
      <c r="K702" t="n">
        <v>0</v>
      </c>
      <c r="L702" t="n">
        <v>0</v>
      </c>
      <c r="M702" t="n">
        <v>0</v>
      </c>
      <c r="N702" t="n">
        <v>0</v>
      </c>
      <c r="O702" t="n">
        <v>0</v>
      </c>
      <c r="P702" t="n">
        <v>0</v>
      </c>
      <c r="Q702" t="n">
        <v>0</v>
      </c>
      <c r="R702" s="2" t="inlineStr"/>
    </row>
    <row r="703" ht="15" customHeight="1">
      <c r="A703" t="inlineStr">
        <is>
          <t>A 29746-2021</t>
        </is>
      </c>
      <c r="B703" s="1" t="n">
        <v>44362</v>
      </c>
      <c r="C703" s="1" t="n">
        <v>45711</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30162-2021</t>
        </is>
      </c>
      <c r="B704" s="1" t="n">
        <v>44363</v>
      </c>
      <c r="C704" s="1" t="n">
        <v>45711</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30384-2021</t>
        </is>
      </c>
      <c r="B705" s="1" t="n">
        <v>44364</v>
      </c>
      <c r="C705" s="1" t="n">
        <v>45711</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30802-2021</t>
        </is>
      </c>
      <c r="B706" s="1" t="n">
        <v>44365</v>
      </c>
      <c r="C706" s="1" t="n">
        <v>45711</v>
      </c>
      <c r="D706" t="inlineStr">
        <is>
          <t>VÄRMLANDS LÄN</t>
        </is>
      </c>
      <c r="E706" t="inlineStr">
        <is>
          <t>TORSBY</t>
        </is>
      </c>
      <c r="G706" t="n">
        <v>0.6</v>
      </c>
      <c r="H706" t="n">
        <v>0</v>
      </c>
      <c r="I706" t="n">
        <v>0</v>
      </c>
      <c r="J706" t="n">
        <v>0</v>
      </c>
      <c r="K706" t="n">
        <v>0</v>
      </c>
      <c r="L706" t="n">
        <v>0</v>
      </c>
      <c r="M706" t="n">
        <v>0</v>
      </c>
      <c r="N706" t="n">
        <v>0</v>
      </c>
      <c r="O706" t="n">
        <v>0</v>
      </c>
      <c r="P706" t="n">
        <v>0</v>
      </c>
      <c r="Q706" t="n">
        <v>0</v>
      </c>
      <c r="R706" s="2" t="inlineStr"/>
    </row>
    <row r="707" ht="15" customHeight="1">
      <c r="A707" t="inlineStr">
        <is>
          <t>A 31494-2021</t>
        </is>
      </c>
      <c r="B707" s="1" t="n">
        <v>44369</v>
      </c>
      <c r="C707" s="1" t="n">
        <v>45711</v>
      </c>
      <c r="D707" t="inlineStr">
        <is>
          <t>VÄRMLANDS LÄN</t>
        </is>
      </c>
      <c r="E707" t="inlineStr">
        <is>
          <t>TORSBY</t>
        </is>
      </c>
      <c r="G707" t="n">
        <v>3.5</v>
      </c>
      <c r="H707" t="n">
        <v>0</v>
      </c>
      <c r="I707" t="n">
        <v>0</v>
      </c>
      <c r="J707" t="n">
        <v>0</v>
      </c>
      <c r="K707" t="n">
        <v>0</v>
      </c>
      <c r="L707" t="n">
        <v>0</v>
      </c>
      <c r="M707" t="n">
        <v>0</v>
      </c>
      <c r="N707" t="n">
        <v>0</v>
      </c>
      <c r="O707" t="n">
        <v>0</v>
      </c>
      <c r="P707" t="n">
        <v>0</v>
      </c>
      <c r="Q707" t="n">
        <v>0</v>
      </c>
      <c r="R707" s="2" t="inlineStr"/>
    </row>
    <row r="708" ht="15" customHeight="1">
      <c r="A708" t="inlineStr">
        <is>
          <t>A 31493-2021</t>
        </is>
      </c>
      <c r="B708" s="1" t="n">
        <v>44369</v>
      </c>
      <c r="C708" s="1" t="n">
        <v>45711</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31511-2021</t>
        </is>
      </c>
      <c r="B709" s="1" t="n">
        <v>44369</v>
      </c>
      <c r="C709" s="1" t="n">
        <v>45711</v>
      </c>
      <c r="D709" t="inlineStr">
        <is>
          <t>VÄRMLANDS LÄN</t>
        </is>
      </c>
      <c r="E709" t="inlineStr">
        <is>
          <t>TORSBY</t>
        </is>
      </c>
      <c r="G709" t="n">
        <v>1.1</v>
      </c>
      <c r="H709" t="n">
        <v>0</v>
      </c>
      <c r="I709" t="n">
        <v>0</v>
      </c>
      <c r="J709" t="n">
        <v>0</v>
      </c>
      <c r="K709" t="n">
        <v>0</v>
      </c>
      <c r="L709" t="n">
        <v>0</v>
      </c>
      <c r="M709" t="n">
        <v>0</v>
      </c>
      <c r="N709" t="n">
        <v>0</v>
      </c>
      <c r="O709" t="n">
        <v>0</v>
      </c>
      <c r="P709" t="n">
        <v>0</v>
      </c>
      <c r="Q709" t="n">
        <v>0</v>
      </c>
      <c r="R709" s="2" t="inlineStr"/>
    </row>
    <row r="710" ht="15" customHeight="1">
      <c r="A710" t="inlineStr">
        <is>
          <t>A 31894-2021</t>
        </is>
      </c>
      <c r="B710" s="1" t="n">
        <v>44370</v>
      </c>
      <c r="C710" s="1" t="n">
        <v>45711</v>
      </c>
      <c r="D710" t="inlineStr">
        <is>
          <t>VÄRMLANDS LÄN</t>
        </is>
      </c>
      <c r="E710" t="inlineStr">
        <is>
          <t>TORSBY</t>
        </is>
      </c>
      <c r="G710" t="n">
        <v>1.7</v>
      </c>
      <c r="H710" t="n">
        <v>0</v>
      </c>
      <c r="I710" t="n">
        <v>0</v>
      </c>
      <c r="J710" t="n">
        <v>0</v>
      </c>
      <c r="K710" t="n">
        <v>0</v>
      </c>
      <c r="L710" t="n">
        <v>0</v>
      </c>
      <c r="M710" t="n">
        <v>0</v>
      </c>
      <c r="N710" t="n">
        <v>0</v>
      </c>
      <c r="O710" t="n">
        <v>0</v>
      </c>
      <c r="P710" t="n">
        <v>0</v>
      </c>
      <c r="Q710" t="n">
        <v>0</v>
      </c>
      <c r="R710" s="2" t="inlineStr"/>
    </row>
    <row r="711" ht="15" customHeight="1">
      <c r="A711" t="inlineStr">
        <is>
          <t>A 31911-2021</t>
        </is>
      </c>
      <c r="B711" s="1" t="n">
        <v>44370</v>
      </c>
      <c r="C711" s="1" t="n">
        <v>45711</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32696-2021</t>
        </is>
      </c>
      <c r="B712" s="1" t="n">
        <v>44375</v>
      </c>
      <c r="C712" s="1" t="n">
        <v>45711</v>
      </c>
      <c r="D712" t="inlineStr">
        <is>
          <t>VÄRMLANDS LÄN</t>
        </is>
      </c>
      <c r="E712" t="inlineStr">
        <is>
          <t>TORSBY</t>
        </is>
      </c>
      <c r="F712" t="inlineStr">
        <is>
          <t>Bergvik skog väst AB</t>
        </is>
      </c>
      <c r="G712" t="n">
        <v>14.8</v>
      </c>
      <c r="H712" t="n">
        <v>0</v>
      </c>
      <c r="I712" t="n">
        <v>0</v>
      </c>
      <c r="J712" t="n">
        <v>0</v>
      </c>
      <c r="K712" t="n">
        <v>0</v>
      </c>
      <c r="L712" t="n">
        <v>0</v>
      </c>
      <c r="M712" t="n">
        <v>0</v>
      </c>
      <c r="N712" t="n">
        <v>0</v>
      </c>
      <c r="O712" t="n">
        <v>0</v>
      </c>
      <c r="P712" t="n">
        <v>0</v>
      </c>
      <c r="Q712" t="n">
        <v>0</v>
      </c>
      <c r="R712" s="2" t="inlineStr"/>
    </row>
    <row r="713" ht="15" customHeight="1">
      <c r="A713" t="inlineStr">
        <is>
          <t>A 32821-2021</t>
        </is>
      </c>
      <c r="B713" s="1" t="n">
        <v>44375</v>
      </c>
      <c r="C713" s="1" t="n">
        <v>45711</v>
      </c>
      <c r="D713" t="inlineStr">
        <is>
          <t>VÄRMLANDS LÄN</t>
        </is>
      </c>
      <c r="E713" t="inlineStr">
        <is>
          <t>TORSBY</t>
        </is>
      </c>
      <c r="G713" t="n">
        <v>3.9</v>
      </c>
      <c r="H713" t="n">
        <v>0</v>
      </c>
      <c r="I713" t="n">
        <v>0</v>
      </c>
      <c r="J713" t="n">
        <v>0</v>
      </c>
      <c r="K713" t="n">
        <v>0</v>
      </c>
      <c r="L713" t="n">
        <v>0</v>
      </c>
      <c r="M713" t="n">
        <v>0</v>
      </c>
      <c r="N713" t="n">
        <v>0</v>
      </c>
      <c r="O713" t="n">
        <v>0</v>
      </c>
      <c r="P713" t="n">
        <v>0</v>
      </c>
      <c r="Q713" t="n">
        <v>0</v>
      </c>
      <c r="R713" s="2" t="inlineStr"/>
    </row>
    <row r="714" ht="15" customHeight="1">
      <c r="A714" t="inlineStr">
        <is>
          <t>A 32747-2021</t>
        </is>
      </c>
      <c r="B714" s="1" t="n">
        <v>44375</v>
      </c>
      <c r="C714" s="1" t="n">
        <v>45711</v>
      </c>
      <c r="D714" t="inlineStr">
        <is>
          <t>VÄRMLANDS LÄN</t>
        </is>
      </c>
      <c r="E714" t="inlineStr">
        <is>
          <t>TORSBY</t>
        </is>
      </c>
      <c r="G714" t="n">
        <v>6.3</v>
      </c>
      <c r="H714" t="n">
        <v>0</v>
      </c>
      <c r="I714" t="n">
        <v>0</v>
      </c>
      <c r="J714" t="n">
        <v>0</v>
      </c>
      <c r="K714" t="n">
        <v>0</v>
      </c>
      <c r="L714" t="n">
        <v>0</v>
      </c>
      <c r="M714" t="n">
        <v>0</v>
      </c>
      <c r="N714" t="n">
        <v>0</v>
      </c>
      <c r="O714" t="n">
        <v>0</v>
      </c>
      <c r="P714" t="n">
        <v>0</v>
      </c>
      <c r="Q714" t="n">
        <v>0</v>
      </c>
      <c r="R714" s="2" t="inlineStr"/>
    </row>
    <row r="715" ht="15" customHeight="1">
      <c r="A715" t="inlineStr">
        <is>
          <t>A 33146-2021</t>
        </is>
      </c>
      <c r="B715" s="1" t="n">
        <v>44376</v>
      </c>
      <c r="C715" s="1" t="n">
        <v>45711</v>
      </c>
      <c r="D715" t="inlineStr">
        <is>
          <t>VÄRMLANDS LÄN</t>
        </is>
      </c>
      <c r="E715" t="inlineStr">
        <is>
          <t>TORSBY</t>
        </is>
      </c>
      <c r="F715" t="inlineStr">
        <is>
          <t>Bergvik skog väst AB</t>
        </is>
      </c>
      <c r="G715" t="n">
        <v>44.5</v>
      </c>
      <c r="H715" t="n">
        <v>0</v>
      </c>
      <c r="I715" t="n">
        <v>0</v>
      </c>
      <c r="J715" t="n">
        <v>0</v>
      </c>
      <c r="K715" t="n">
        <v>0</v>
      </c>
      <c r="L715" t="n">
        <v>0</v>
      </c>
      <c r="M715" t="n">
        <v>0</v>
      </c>
      <c r="N715" t="n">
        <v>0</v>
      </c>
      <c r="O715" t="n">
        <v>0</v>
      </c>
      <c r="P715" t="n">
        <v>0</v>
      </c>
      <c r="Q715" t="n">
        <v>0</v>
      </c>
      <c r="R715" s="2" t="inlineStr"/>
    </row>
    <row r="716" ht="15" customHeight="1">
      <c r="A716" t="inlineStr">
        <is>
          <t>A 33182-2021</t>
        </is>
      </c>
      <c r="B716" s="1" t="n">
        <v>44376</v>
      </c>
      <c r="C716" s="1" t="n">
        <v>45711</v>
      </c>
      <c r="D716" t="inlineStr">
        <is>
          <t>VÄRMLANDS LÄN</t>
        </is>
      </c>
      <c r="E716" t="inlineStr">
        <is>
          <t>TORSBY</t>
        </is>
      </c>
      <c r="G716" t="n">
        <v>1.5</v>
      </c>
      <c r="H716" t="n">
        <v>0</v>
      </c>
      <c r="I716" t="n">
        <v>0</v>
      </c>
      <c r="J716" t="n">
        <v>0</v>
      </c>
      <c r="K716" t="n">
        <v>0</v>
      </c>
      <c r="L716" t="n">
        <v>0</v>
      </c>
      <c r="M716" t="n">
        <v>0</v>
      </c>
      <c r="N716" t="n">
        <v>0</v>
      </c>
      <c r="O716" t="n">
        <v>0</v>
      </c>
      <c r="P716" t="n">
        <v>0</v>
      </c>
      <c r="Q716" t="n">
        <v>0</v>
      </c>
      <c r="R716" s="2" t="inlineStr"/>
    </row>
    <row r="717" ht="15" customHeight="1">
      <c r="A717" t="inlineStr">
        <is>
          <t>A 33145-2021</t>
        </is>
      </c>
      <c r="B717" s="1" t="n">
        <v>44376</v>
      </c>
      <c r="C717" s="1" t="n">
        <v>45711</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33149-2021</t>
        </is>
      </c>
      <c r="B718" s="1" t="n">
        <v>44376</v>
      </c>
      <c r="C718" s="1" t="n">
        <v>45711</v>
      </c>
      <c r="D718" t="inlineStr">
        <is>
          <t>VÄRMLANDS LÄN</t>
        </is>
      </c>
      <c r="E718" t="inlineStr">
        <is>
          <t>TORSBY</t>
        </is>
      </c>
      <c r="G718" t="n">
        <v>1.2</v>
      </c>
      <c r="H718" t="n">
        <v>0</v>
      </c>
      <c r="I718" t="n">
        <v>0</v>
      </c>
      <c r="J718" t="n">
        <v>0</v>
      </c>
      <c r="K718" t="n">
        <v>0</v>
      </c>
      <c r="L718" t="n">
        <v>0</v>
      </c>
      <c r="M718" t="n">
        <v>0</v>
      </c>
      <c r="N718" t="n">
        <v>0</v>
      </c>
      <c r="O718" t="n">
        <v>0</v>
      </c>
      <c r="P718" t="n">
        <v>0</v>
      </c>
      <c r="Q718" t="n">
        <v>0</v>
      </c>
      <c r="R718" s="2" t="inlineStr"/>
    </row>
    <row r="719" ht="15" customHeight="1">
      <c r="A719" t="inlineStr">
        <is>
          <t>A 33183-2021</t>
        </is>
      </c>
      <c r="B719" s="1" t="n">
        <v>44376</v>
      </c>
      <c r="C719" s="1" t="n">
        <v>45711</v>
      </c>
      <c r="D719" t="inlineStr">
        <is>
          <t>VÄRMLANDS LÄN</t>
        </is>
      </c>
      <c r="E719" t="inlineStr">
        <is>
          <t>TORSBY</t>
        </is>
      </c>
      <c r="G719" t="n">
        <v>2.3</v>
      </c>
      <c r="H719" t="n">
        <v>0</v>
      </c>
      <c r="I719" t="n">
        <v>0</v>
      </c>
      <c r="J719" t="n">
        <v>0</v>
      </c>
      <c r="K719" t="n">
        <v>0</v>
      </c>
      <c r="L719" t="n">
        <v>0</v>
      </c>
      <c r="M719" t="n">
        <v>0</v>
      </c>
      <c r="N719" t="n">
        <v>0</v>
      </c>
      <c r="O719" t="n">
        <v>0</v>
      </c>
      <c r="P719" t="n">
        <v>0</v>
      </c>
      <c r="Q719" t="n">
        <v>0</v>
      </c>
      <c r="R719" s="2" t="inlineStr"/>
    </row>
    <row r="720" ht="15" customHeight="1">
      <c r="A720" t="inlineStr">
        <is>
          <t>A 33517-2021</t>
        </is>
      </c>
      <c r="B720" s="1" t="n">
        <v>44377</v>
      </c>
      <c r="C720" s="1" t="n">
        <v>45711</v>
      </c>
      <c r="D720" t="inlineStr">
        <is>
          <t>VÄRMLANDS LÄN</t>
        </is>
      </c>
      <c r="E720" t="inlineStr">
        <is>
          <t>TORSBY</t>
        </is>
      </c>
      <c r="G720" t="n">
        <v>2.2</v>
      </c>
      <c r="H720" t="n">
        <v>0</v>
      </c>
      <c r="I720" t="n">
        <v>0</v>
      </c>
      <c r="J720" t="n">
        <v>0</v>
      </c>
      <c r="K720" t="n">
        <v>0</v>
      </c>
      <c r="L720" t="n">
        <v>0</v>
      </c>
      <c r="M720" t="n">
        <v>0</v>
      </c>
      <c r="N720" t="n">
        <v>0</v>
      </c>
      <c r="O720" t="n">
        <v>0</v>
      </c>
      <c r="P720" t="n">
        <v>0</v>
      </c>
      <c r="Q720" t="n">
        <v>0</v>
      </c>
      <c r="R720" s="2" t="inlineStr"/>
    </row>
    <row r="721" ht="15" customHeight="1">
      <c r="A721" t="inlineStr">
        <is>
          <t>A 33515-2021</t>
        </is>
      </c>
      <c r="B721" s="1" t="n">
        <v>44377</v>
      </c>
      <c r="C721" s="1" t="n">
        <v>45711</v>
      </c>
      <c r="D721" t="inlineStr">
        <is>
          <t>VÄRMLANDS LÄN</t>
        </is>
      </c>
      <c r="E721" t="inlineStr">
        <is>
          <t>TORSBY</t>
        </is>
      </c>
      <c r="G721" t="n">
        <v>3.5</v>
      </c>
      <c r="H721" t="n">
        <v>0</v>
      </c>
      <c r="I721" t="n">
        <v>0</v>
      </c>
      <c r="J721" t="n">
        <v>0</v>
      </c>
      <c r="K721" t="n">
        <v>0</v>
      </c>
      <c r="L721" t="n">
        <v>0</v>
      </c>
      <c r="M721" t="n">
        <v>0</v>
      </c>
      <c r="N721" t="n">
        <v>0</v>
      </c>
      <c r="O721" t="n">
        <v>0</v>
      </c>
      <c r="P721" t="n">
        <v>0</v>
      </c>
      <c r="Q721" t="n">
        <v>0</v>
      </c>
      <c r="R721" s="2" t="inlineStr"/>
    </row>
    <row r="722" ht="15" customHeight="1">
      <c r="A722" t="inlineStr">
        <is>
          <t>A 33839-2021</t>
        </is>
      </c>
      <c r="B722" s="1" t="n">
        <v>44378</v>
      </c>
      <c r="C722" s="1" t="n">
        <v>45711</v>
      </c>
      <c r="D722" t="inlineStr">
        <is>
          <t>VÄRMLANDS LÄN</t>
        </is>
      </c>
      <c r="E722" t="inlineStr">
        <is>
          <t>TORSBY</t>
        </is>
      </c>
      <c r="F722" t="inlineStr">
        <is>
          <t>Bergvik skog väst AB</t>
        </is>
      </c>
      <c r="G722" t="n">
        <v>2.5</v>
      </c>
      <c r="H722" t="n">
        <v>0</v>
      </c>
      <c r="I722" t="n">
        <v>0</v>
      </c>
      <c r="J722" t="n">
        <v>0</v>
      </c>
      <c r="K722" t="n">
        <v>0</v>
      </c>
      <c r="L722" t="n">
        <v>0</v>
      </c>
      <c r="M722" t="n">
        <v>0</v>
      </c>
      <c r="N722" t="n">
        <v>0</v>
      </c>
      <c r="O722" t="n">
        <v>0</v>
      </c>
      <c r="P722" t="n">
        <v>0</v>
      </c>
      <c r="Q722" t="n">
        <v>0</v>
      </c>
      <c r="R722" s="2" t="inlineStr"/>
    </row>
    <row r="723" ht="15" customHeight="1">
      <c r="A723" t="inlineStr">
        <is>
          <t>A 33853-2021</t>
        </is>
      </c>
      <c r="B723" s="1" t="n">
        <v>44378</v>
      </c>
      <c r="C723" s="1" t="n">
        <v>45711</v>
      </c>
      <c r="D723" t="inlineStr">
        <is>
          <t>VÄRMLANDS LÄN</t>
        </is>
      </c>
      <c r="E723" t="inlineStr">
        <is>
          <t>TORSBY</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33937-2021</t>
        </is>
      </c>
      <c r="B724" s="1" t="n">
        <v>44378</v>
      </c>
      <c r="C724" s="1" t="n">
        <v>45711</v>
      </c>
      <c r="D724" t="inlineStr">
        <is>
          <t>VÄRMLANDS LÄN</t>
        </is>
      </c>
      <c r="E724" t="inlineStr">
        <is>
          <t>TORSBY</t>
        </is>
      </c>
      <c r="G724" t="n">
        <v>3.1</v>
      </c>
      <c r="H724" t="n">
        <v>0</v>
      </c>
      <c r="I724" t="n">
        <v>0</v>
      </c>
      <c r="J724" t="n">
        <v>0</v>
      </c>
      <c r="K724" t="n">
        <v>0</v>
      </c>
      <c r="L724" t="n">
        <v>0</v>
      </c>
      <c r="M724" t="n">
        <v>0</v>
      </c>
      <c r="N724" t="n">
        <v>0</v>
      </c>
      <c r="O724" t="n">
        <v>0</v>
      </c>
      <c r="P724" t="n">
        <v>0</v>
      </c>
      <c r="Q724" t="n">
        <v>0</v>
      </c>
      <c r="R724" s="2" t="inlineStr"/>
    </row>
    <row r="725" ht="15" customHeight="1">
      <c r="A725" t="inlineStr">
        <is>
          <t>A 34626-2021</t>
        </is>
      </c>
      <c r="B725" s="1" t="n">
        <v>44382</v>
      </c>
      <c r="C725" s="1" t="n">
        <v>45711</v>
      </c>
      <c r="D725" t="inlineStr">
        <is>
          <t>VÄRMLANDS LÄN</t>
        </is>
      </c>
      <c r="E725" t="inlineStr">
        <is>
          <t>TORSBY</t>
        </is>
      </c>
      <c r="G725" t="n">
        <v>2.1</v>
      </c>
      <c r="H725" t="n">
        <v>0</v>
      </c>
      <c r="I725" t="n">
        <v>0</v>
      </c>
      <c r="J725" t="n">
        <v>0</v>
      </c>
      <c r="K725" t="n">
        <v>0</v>
      </c>
      <c r="L725" t="n">
        <v>0</v>
      </c>
      <c r="M725" t="n">
        <v>0</v>
      </c>
      <c r="N725" t="n">
        <v>0</v>
      </c>
      <c r="O725" t="n">
        <v>0</v>
      </c>
      <c r="P725" t="n">
        <v>0</v>
      </c>
      <c r="Q725" t="n">
        <v>0</v>
      </c>
      <c r="R725" s="2" t="inlineStr"/>
    </row>
    <row r="726" ht="15" customHeight="1">
      <c r="A726" t="inlineStr">
        <is>
          <t>A 34694-2021</t>
        </is>
      </c>
      <c r="B726" s="1" t="n">
        <v>44382</v>
      </c>
      <c r="C726" s="1" t="n">
        <v>45711</v>
      </c>
      <c r="D726" t="inlineStr">
        <is>
          <t>VÄRMLANDS LÄN</t>
        </is>
      </c>
      <c r="E726" t="inlineStr">
        <is>
          <t>TORSBY</t>
        </is>
      </c>
      <c r="G726" t="n">
        <v>0.8</v>
      </c>
      <c r="H726" t="n">
        <v>0</v>
      </c>
      <c r="I726" t="n">
        <v>0</v>
      </c>
      <c r="J726" t="n">
        <v>0</v>
      </c>
      <c r="K726" t="n">
        <v>0</v>
      </c>
      <c r="L726" t="n">
        <v>0</v>
      </c>
      <c r="M726" t="n">
        <v>0</v>
      </c>
      <c r="N726" t="n">
        <v>0</v>
      </c>
      <c r="O726" t="n">
        <v>0</v>
      </c>
      <c r="P726" t="n">
        <v>0</v>
      </c>
      <c r="Q726" t="n">
        <v>0</v>
      </c>
      <c r="R726" s="2" t="inlineStr"/>
    </row>
    <row r="727" ht="15" customHeight="1">
      <c r="A727" t="inlineStr">
        <is>
          <t>A 34885-2021</t>
        </is>
      </c>
      <c r="B727" s="1" t="n">
        <v>44383</v>
      </c>
      <c r="C727" s="1" t="n">
        <v>45711</v>
      </c>
      <c r="D727" t="inlineStr">
        <is>
          <t>VÄRMLANDS LÄN</t>
        </is>
      </c>
      <c r="E727" t="inlineStr">
        <is>
          <t>TORSBY</t>
        </is>
      </c>
      <c r="G727" t="n">
        <v>8.9</v>
      </c>
      <c r="H727" t="n">
        <v>0</v>
      </c>
      <c r="I727" t="n">
        <v>0</v>
      </c>
      <c r="J727" t="n">
        <v>0</v>
      </c>
      <c r="K727" t="n">
        <v>0</v>
      </c>
      <c r="L727" t="n">
        <v>0</v>
      </c>
      <c r="M727" t="n">
        <v>0</v>
      </c>
      <c r="N727" t="n">
        <v>0</v>
      </c>
      <c r="O727" t="n">
        <v>0</v>
      </c>
      <c r="P727" t="n">
        <v>0</v>
      </c>
      <c r="Q727" t="n">
        <v>0</v>
      </c>
      <c r="R727" s="2" t="inlineStr"/>
    </row>
    <row r="728" ht="15" customHeight="1">
      <c r="A728" t="inlineStr">
        <is>
          <t>A 35221-2021</t>
        </is>
      </c>
      <c r="B728" s="1" t="n">
        <v>44384</v>
      </c>
      <c r="C728" s="1" t="n">
        <v>45711</v>
      </c>
      <c r="D728" t="inlineStr">
        <is>
          <t>VÄRMLANDS LÄN</t>
        </is>
      </c>
      <c r="E728" t="inlineStr">
        <is>
          <t>TORSBY</t>
        </is>
      </c>
      <c r="G728" t="n">
        <v>0.9</v>
      </c>
      <c r="H728" t="n">
        <v>0</v>
      </c>
      <c r="I728" t="n">
        <v>0</v>
      </c>
      <c r="J728" t="n">
        <v>0</v>
      </c>
      <c r="K728" t="n">
        <v>0</v>
      </c>
      <c r="L728" t="n">
        <v>0</v>
      </c>
      <c r="M728" t="n">
        <v>0</v>
      </c>
      <c r="N728" t="n">
        <v>0</v>
      </c>
      <c r="O728" t="n">
        <v>0</v>
      </c>
      <c r="P728" t="n">
        <v>0</v>
      </c>
      <c r="Q728" t="n">
        <v>0</v>
      </c>
      <c r="R728" s="2" t="inlineStr"/>
    </row>
    <row r="729" ht="15" customHeight="1">
      <c r="A729" t="inlineStr">
        <is>
          <t>A 35586-2021</t>
        </is>
      </c>
      <c r="B729" s="1" t="n">
        <v>44386</v>
      </c>
      <c r="C729" s="1" t="n">
        <v>45711</v>
      </c>
      <c r="D729" t="inlineStr">
        <is>
          <t>VÄRMLANDS LÄN</t>
        </is>
      </c>
      <c r="E729" t="inlineStr">
        <is>
          <t>TORSBY</t>
        </is>
      </c>
      <c r="F729" t="inlineStr">
        <is>
          <t>Bergvik skog väst AB</t>
        </is>
      </c>
      <c r="G729" t="n">
        <v>5.1</v>
      </c>
      <c r="H729" t="n">
        <v>0</v>
      </c>
      <c r="I729" t="n">
        <v>0</v>
      </c>
      <c r="J729" t="n">
        <v>0</v>
      </c>
      <c r="K729" t="n">
        <v>0</v>
      </c>
      <c r="L729" t="n">
        <v>0</v>
      </c>
      <c r="M729" t="n">
        <v>0</v>
      </c>
      <c r="N729" t="n">
        <v>0</v>
      </c>
      <c r="O729" t="n">
        <v>0</v>
      </c>
      <c r="P729" t="n">
        <v>0</v>
      </c>
      <c r="Q729" t="n">
        <v>0</v>
      </c>
      <c r="R729" s="2" t="inlineStr"/>
    </row>
    <row r="730" ht="15" customHeight="1">
      <c r="A730" t="inlineStr">
        <is>
          <t>A 35907-2021</t>
        </is>
      </c>
      <c r="B730" s="1" t="n">
        <v>44387</v>
      </c>
      <c r="C730" s="1" t="n">
        <v>45711</v>
      </c>
      <c r="D730" t="inlineStr">
        <is>
          <t>VÄRMLANDS LÄN</t>
        </is>
      </c>
      <c r="E730" t="inlineStr">
        <is>
          <t>TORSBY</t>
        </is>
      </c>
      <c r="G730" t="n">
        <v>3</v>
      </c>
      <c r="H730" t="n">
        <v>0</v>
      </c>
      <c r="I730" t="n">
        <v>0</v>
      </c>
      <c r="J730" t="n">
        <v>0</v>
      </c>
      <c r="K730" t="n">
        <v>0</v>
      </c>
      <c r="L730" t="n">
        <v>0</v>
      </c>
      <c r="M730" t="n">
        <v>0</v>
      </c>
      <c r="N730" t="n">
        <v>0</v>
      </c>
      <c r="O730" t="n">
        <v>0</v>
      </c>
      <c r="P730" t="n">
        <v>0</v>
      </c>
      <c r="Q730" t="n">
        <v>0</v>
      </c>
      <c r="R730" s="2" t="inlineStr"/>
    </row>
    <row r="731" ht="15" customHeight="1">
      <c r="A731" t="inlineStr">
        <is>
          <t>A 35909-2021</t>
        </is>
      </c>
      <c r="B731" s="1" t="n">
        <v>44387</v>
      </c>
      <c r="C731" s="1" t="n">
        <v>45711</v>
      </c>
      <c r="D731" t="inlineStr">
        <is>
          <t>VÄRMLANDS LÄN</t>
        </is>
      </c>
      <c r="E731" t="inlineStr">
        <is>
          <t>TORSBY</t>
        </is>
      </c>
      <c r="G731" t="n">
        <v>3.3</v>
      </c>
      <c r="H731" t="n">
        <v>0</v>
      </c>
      <c r="I731" t="n">
        <v>0</v>
      </c>
      <c r="J731" t="n">
        <v>0</v>
      </c>
      <c r="K731" t="n">
        <v>0</v>
      </c>
      <c r="L731" t="n">
        <v>0</v>
      </c>
      <c r="M731" t="n">
        <v>0</v>
      </c>
      <c r="N731" t="n">
        <v>0</v>
      </c>
      <c r="O731" t="n">
        <v>0</v>
      </c>
      <c r="P731" t="n">
        <v>0</v>
      </c>
      <c r="Q731" t="n">
        <v>0</v>
      </c>
      <c r="R731" s="2" t="inlineStr"/>
    </row>
    <row r="732" ht="15" customHeight="1">
      <c r="A732" t="inlineStr">
        <is>
          <t>A 36189-2021</t>
        </is>
      </c>
      <c r="B732" s="1" t="n">
        <v>44389</v>
      </c>
      <c r="C732" s="1" t="n">
        <v>45711</v>
      </c>
      <c r="D732" t="inlineStr">
        <is>
          <t>VÄRMLANDS LÄN</t>
        </is>
      </c>
      <c r="E732" t="inlineStr">
        <is>
          <t>TORSBY</t>
        </is>
      </c>
      <c r="G732" t="n">
        <v>0.5</v>
      </c>
      <c r="H732" t="n">
        <v>0</v>
      </c>
      <c r="I732" t="n">
        <v>0</v>
      </c>
      <c r="J732" t="n">
        <v>0</v>
      </c>
      <c r="K732" t="n">
        <v>0</v>
      </c>
      <c r="L732" t="n">
        <v>0</v>
      </c>
      <c r="M732" t="n">
        <v>0</v>
      </c>
      <c r="N732" t="n">
        <v>0</v>
      </c>
      <c r="O732" t="n">
        <v>0</v>
      </c>
      <c r="P732" t="n">
        <v>0</v>
      </c>
      <c r="Q732" t="n">
        <v>0</v>
      </c>
      <c r="R732" s="2" t="inlineStr"/>
    </row>
    <row r="733" ht="15" customHeight="1">
      <c r="A733" t="inlineStr">
        <is>
          <t>A 36186-2021</t>
        </is>
      </c>
      <c r="B733" s="1" t="n">
        <v>44389</v>
      </c>
      <c r="C733" s="1" t="n">
        <v>45711</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36327-2021</t>
        </is>
      </c>
      <c r="B734" s="1" t="n">
        <v>44390</v>
      </c>
      <c r="C734" s="1" t="n">
        <v>45711</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36589-2021</t>
        </is>
      </c>
      <c r="B735" s="1" t="n">
        <v>44391</v>
      </c>
      <c r="C735" s="1" t="n">
        <v>45711</v>
      </c>
      <c r="D735" t="inlineStr">
        <is>
          <t>VÄRMLANDS LÄN</t>
        </is>
      </c>
      <c r="E735" t="inlineStr">
        <is>
          <t>TORSBY</t>
        </is>
      </c>
      <c r="G735" t="n">
        <v>3.9</v>
      </c>
      <c r="H735" t="n">
        <v>0</v>
      </c>
      <c r="I735" t="n">
        <v>0</v>
      </c>
      <c r="J735" t="n">
        <v>0</v>
      </c>
      <c r="K735" t="n">
        <v>0</v>
      </c>
      <c r="L735" t="n">
        <v>0</v>
      </c>
      <c r="M735" t="n">
        <v>0</v>
      </c>
      <c r="N735" t="n">
        <v>0</v>
      </c>
      <c r="O735" t="n">
        <v>0</v>
      </c>
      <c r="P735" t="n">
        <v>0</v>
      </c>
      <c r="Q735" t="n">
        <v>0</v>
      </c>
      <c r="R735" s="2" t="inlineStr"/>
    </row>
    <row r="736" ht="15" customHeight="1">
      <c r="A736" t="inlineStr">
        <is>
          <t>A 36700-2021</t>
        </is>
      </c>
      <c r="B736" s="1" t="n">
        <v>44392</v>
      </c>
      <c r="C736" s="1" t="n">
        <v>45711</v>
      </c>
      <c r="D736" t="inlineStr">
        <is>
          <t>VÄRMLANDS LÄN</t>
        </is>
      </c>
      <c r="E736" t="inlineStr">
        <is>
          <t>TORSBY</t>
        </is>
      </c>
      <c r="F736" t="inlineStr">
        <is>
          <t>Bergvik skog väst AB</t>
        </is>
      </c>
      <c r="G736" t="n">
        <v>9.9</v>
      </c>
      <c r="H736" t="n">
        <v>0</v>
      </c>
      <c r="I736" t="n">
        <v>0</v>
      </c>
      <c r="J736" t="n">
        <v>0</v>
      </c>
      <c r="K736" t="n">
        <v>0</v>
      </c>
      <c r="L736" t="n">
        <v>0</v>
      </c>
      <c r="M736" t="n">
        <v>0</v>
      </c>
      <c r="N736" t="n">
        <v>0</v>
      </c>
      <c r="O736" t="n">
        <v>0</v>
      </c>
      <c r="P736" t="n">
        <v>0</v>
      </c>
      <c r="Q736" t="n">
        <v>0</v>
      </c>
      <c r="R736" s="2" t="inlineStr"/>
    </row>
    <row r="737" ht="15" customHeight="1">
      <c r="A737" t="inlineStr">
        <is>
          <t>A 37074-2021</t>
        </is>
      </c>
      <c r="B737" s="1" t="n">
        <v>44394</v>
      </c>
      <c r="C737" s="1" t="n">
        <v>45711</v>
      </c>
      <c r="D737" t="inlineStr">
        <is>
          <t>VÄRMLANDS LÄN</t>
        </is>
      </c>
      <c r="E737" t="inlineStr">
        <is>
          <t>TORSBY</t>
        </is>
      </c>
      <c r="G737" t="n">
        <v>1.8</v>
      </c>
      <c r="H737" t="n">
        <v>0</v>
      </c>
      <c r="I737" t="n">
        <v>0</v>
      </c>
      <c r="J737" t="n">
        <v>0</v>
      </c>
      <c r="K737" t="n">
        <v>0</v>
      </c>
      <c r="L737" t="n">
        <v>0</v>
      </c>
      <c r="M737" t="n">
        <v>0</v>
      </c>
      <c r="N737" t="n">
        <v>0</v>
      </c>
      <c r="O737" t="n">
        <v>0</v>
      </c>
      <c r="P737" t="n">
        <v>0</v>
      </c>
      <c r="Q737" t="n">
        <v>0</v>
      </c>
      <c r="R737" s="2" t="inlineStr"/>
    </row>
    <row r="738" ht="15" customHeight="1">
      <c r="A738" t="inlineStr">
        <is>
          <t>A 37075-2021</t>
        </is>
      </c>
      <c r="B738" s="1" t="n">
        <v>44394</v>
      </c>
      <c r="C738" s="1" t="n">
        <v>45711</v>
      </c>
      <c r="D738" t="inlineStr">
        <is>
          <t>VÄRMLANDS LÄN</t>
        </is>
      </c>
      <c r="E738" t="inlineStr">
        <is>
          <t>TORSBY</t>
        </is>
      </c>
      <c r="G738" t="n">
        <v>3.2</v>
      </c>
      <c r="H738" t="n">
        <v>0</v>
      </c>
      <c r="I738" t="n">
        <v>0</v>
      </c>
      <c r="J738" t="n">
        <v>0</v>
      </c>
      <c r="K738" t="n">
        <v>0</v>
      </c>
      <c r="L738" t="n">
        <v>0</v>
      </c>
      <c r="M738" t="n">
        <v>0</v>
      </c>
      <c r="N738" t="n">
        <v>0</v>
      </c>
      <c r="O738" t="n">
        <v>0</v>
      </c>
      <c r="P738" t="n">
        <v>0</v>
      </c>
      <c r="Q738" t="n">
        <v>0</v>
      </c>
      <c r="R738" s="2" t="inlineStr"/>
    </row>
    <row r="739" ht="15" customHeight="1">
      <c r="A739" t="inlineStr">
        <is>
          <t>A 37225-2021</t>
        </is>
      </c>
      <c r="B739" s="1" t="n">
        <v>44396</v>
      </c>
      <c r="C739" s="1" t="n">
        <v>45711</v>
      </c>
      <c r="D739" t="inlineStr">
        <is>
          <t>VÄRMLANDS LÄN</t>
        </is>
      </c>
      <c r="E739" t="inlineStr">
        <is>
          <t>TORSBY</t>
        </is>
      </c>
      <c r="G739" t="n">
        <v>1.3</v>
      </c>
      <c r="H739" t="n">
        <v>0</v>
      </c>
      <c r="I739" t="n">
        <v>0</v>
      </c>
      <c r="J739" t="n">
        <v>0</v>
      </c>
      <c r="K739" t="n">
        <v>0</v>
      </c>
      <c r="L739" t="n">
        <v>0</v>
      </c>
      <c r="M739" t="n">
        <v>0</v>
      </c>
      <c r="N739" t="n">
        <v>0</v>
      </c>
      <c r="O739" t="n">
        <v>0</v>
      </c>
      <c r="P739" t="n">
        <v>0</v>
      </c>
      <c r="Q739" t="n">
        <v>0</v>
      </c>
      <c r="R739" s="2" t="inlineStr"/>
    </row>
    <row r="740" ht="15" customHeight="1">
      <c r="A740" t="inlineStr">
        <is>
          <t>A 37609-2021</t>
        </is>
      </c>
      <c r="B740" s="1" t="n">
        <v>44399</v>
      </c>
      <c r="C740" s="1" t="n">
        <v>45711</v>
      </c>
      <c r="D740" t="inlineStr">
        <is>
          <t>VÄRMLANDS LÄN</t>
        </is>
      </c>
      <c r="E740" t="inlineStr">
        <is>
          <t>TORSBY</t>
        </is>
      </c>
      <c r="G740" t="n">
        <v>0.2</v>
      </c>
      <c r="H740" t="n">
        <v>0</v>
      </c>
      <c r="I740" t="n">
        <v>0</v>
      </c>
      <c r="J740" t="n">
        <v>0</v>
      </c>
      <c r="K740" t="n">
        <v>0</v>
      </c>
      <c r="L740" t="n">
        <v>0</v>
      </c>
      <c r="M740" t="n">
        <v>0</v>
      </c>
      <c r="N740" t="n">
        <v>0</v>
      </c>
      <c r="O740" t="n">
        <v>0</v>
      </c>
      <c r="P740" t="n">
        <v>0</v>
      </c>
      <c r="Q740" t="n">
        <v>0</v>
      </c>
      <c r="R740" s="2" t="inlineStr"/>
    </row>
    <row r="741" ht="15" customHeight="1">
      <c r="A741" t="inlineStr">
        <is>
          <t>A 37608-2021</t>
        </is>
      </c>
      <c r="B741" s="1" t="n">
        <v>44399</v>
      </c>
      <c r="C741" s="1" t="n">
        <v>45711</v>
      </c>
      <c r="D741" t="inlineStr">
        <is>
          <t>VÄRMLANDS LÄN</t>
        </is>
      </c>
      <c r="E741" t="inlineStr">
        <is>
          <t>TORSBY</t>
        </is>
      </c>
      <c r="G741" t="n">
        <v>1.7</v>
      </c>
      <c r="H741" t="n">
        <v>0</v>
      </c>
      <c r="I741" t="n">
        <v>0</v>
      </c>
      <c r="J741" t="n">
        <v>0</v>
      </c>
      <c r="K741" t="n">
        <v>0</v>
      </c>
      <c r="L741" t="n">
        <v>0</v>
      </c>
      <c r="M741" t="n">
        <v>0</v>
      </c>
      <c r="N741" t="n">
        <v>0</v>
      </c>
      <c r="O741" t="n">
        <v>0</v>
      </c>
      <c r="P741" t="n">
        <v>0</v>
      </c>
      <c r="Q741" t="n">
        <v>0</v>
      </c>
      <c r="R741" s="2" t="inlineStr"/>
    </row>
    <row r="742" ht="15" customHeight="1">
      <c r="A742" t="inlineStr">
        <is>
          <t>A 38467-2021</t>
        </is>
      </c>
      <c r="B742" s="1" t="n">
        <v>44405</v>
      </c>
      <c r="C742" s="1" t="n">
        <v>45711</v>
      </c>
      <c r="D742" t="inlineStr">
        <is>
          <t>VÄRMLANDS LÄN</t>
        </is>
      </c>
      <c r="E742" t="inlineStr">
        <is>
          <t>TORSBY</t>
        </is>
      </c>
      <c r="G742" t="n">
        <v>2.8</v>
      </c>
      <c r="H742" t="n">
        <v>0</v>
      </c>
      <c r="I742" t="n">
        <v>0</v>
      </c>
      <c r="J742" t="n">
        <v>0</v>
      </c>
      <c r="K742" t="n">
        <v>0</v>
      </c>
      <c r="L742" t="n">
        <v>0</v>
      </c>
      <c r="M742" t="n">
        <v>0</v>
      </c>
      <c r="N742" t="n">
        <v>0</v>
      </c>
      <c r="O742" t="n">
        <v>0</v>
      </c>
      <c r="P742" t="n">
        <v>0</v>
      </c>
      <c r="Q742" t="n">
        <v>0</v>
      </c>
      <c r="R742" s="2" t="inlineStr"/>
    </row>
    <row r="743" ht="15" customHeight="1">
      <c r="A743" t="inlineStr">
        <is>
          <t>A 38229-2021</t>
        </is>
      </c>
      <c r="B743" s="1" t="n">
        <v>44405</v>
      </c>
      <c r="C743" s="1" t="n">
        <v>45711</v>
      </c>
      <c r="D743" t="inlineStr">
        <is>
          <t>VÄRMLANDS LÄN</t>
        </is>
      </c>
      <c r="E743" t="inlineStr">
        <is>
          <t>TORSBY</t>
        </is>
      </c>
      <c r="F743" t="inlineStr">
        <is>
          <t>Bergvik skog väst AB</t>
        </is>
      </c>
      <c r="G743" t="n">
        <v>2.7</v>
      </c>
      <c r="H743" t="n">
        <v>0</v>
      </c>
      <c r="I743" t="n">
        <v>0</v>
      </c>
      <c r="J743" t="n">
        <v>0</v>
      </c>
      <c r="K743" t="n">
        <v>0</v>
      </c>
      <c r="L743" t="n">
        <v>0</v>
      </c>
      <c r="M743" t="n">
        <v>0</v>
      </c>
      <c r="N743" t="n">
        <v>0</v>
      </c>
      <c r="O743" t="n">
        <v>0</v>
      </c>
      <c r="P743" t="n">
        <v>0</v>
      </c>
      <c r="Q743" t="n">
        <v>0</v>
      </c>
      <c r="R743" s="2" t="inlineStr"/>
    </row>
    <row r="744" ht="15" customHeight="1">
      <c r="A744" t="inlineStr">
        <is>
          <t>A 38298-2021</t>
        </is>
      </c>
      <c r="B744" s="1" t="n">
        <v>44406</v>
      </c>
      <c r="C744" s="1" t="n">
        <v>45711</v>
      </c>
      <c r="D744" t="inlineStr">
        <is>
          <t>VÄRMLANDS LÄN</t>
        </is>
      </c>
      <c r="E744" t="inlineStr">
        <is>
          <t>TORSBY</t>
        </is>
      </c>
      <c r="G744" t="n">
        <v>3.3</v>
      </c>
      <c r="H744" t="n">
        <v>0</v>
      </c>
      <c r="I744" t="n">
        <v>0</v>
      </c>
      <c r="J744" t="n">
        <v>0</v>
      </c>
      <c r="K744" t="n">
        <v>0</v>
      </c>
      <c r="L744" t="n">
        <v>0</v>
      </c>
      <c r="M744" t="n">
        <v>0</v>
      </c>
      <c r="N744" t="n">
        <v>0</v>
      </c>
      <c r="O744" t="n">
        <v>0</v>
      </c>
      <c r="P744" t="n">
        <v>0</v>
      </c>
      <c r="Q744" t="n">
        <v>0</v>
      </c>
      <c r="R744" s="2" t="inlineStr"/>
    </row>
    <row r="745" ht="15" customHeight="1">
      <c r="A745" t="inlineStr">
        <is>
          <t>A 38564-2021</t>
        </is>
      </c>
      <c r="B745" s="1" t="n">
        <v>44407</v>
      </c>
      <c r="C745" s="1" t="n">
        <v>45711</v>
      </c>
      <c r="D745" t="inlineStr">
        <is>
          <t>VÄRMLANDS LÄN</t>
        </is>
      </c>
      <c r="E745" t="inlineStr">
        <is>
          <t>TORSBY</t>
        </is>
      </c>
      <c r="F745" t="inlineStr">
        <is>
          <t>Bergvik skog väst AB</t>
        </is>
      </c>
      <c r="G745" t="n">
        <v>15.7</v>
      </c>
      <c r="H745" t="n">
        <v>0</v>
      </c>
      <c r="I745" t="n">
        <v>0</v>
      </c>
      <c r="J745" t="n">
        <v>0</v>
      </c>
      <c r="K745" t="n">
        <v>0</v>
      </c>
      <c r="L745" t="n">
        <v>0</v>
      </c>
      <c r="M745" t="n">
        <v>0</v>
      </c>
      <c r="N745" t="n">
        <v>0</v>
      </c>
      <c r="O745" t="n">
        <v>0</v>
      </c>
      <c r="P745" t="n">
        <v>0</v>
      </c>
      <c r="Q745" t="n">
        <v>0</v>
      </c>
      <c r="R745" s="2" t="inlineStr"/>
    </row>
    <row r="746" ht="15" customHeight="1">
      <c r="A746" t="inlineStr">
        <is>
          <t>A 38528-2021</t>
        </is>
      </c>
      <c r="B746" s="1" t="n">
        <v>44407</v>
      </c>
      <c r="C746" s="1" t="n">
        <v>45711</v>
      </c>
      <c r="D746" t="inlineStr">
        <is>
          <t>VÄRMLANDS LÄN</t>
        </is>
      </c>
      <c r="E746" t="inlineStr">
        <is>
          <t>TORSBY</t>
        </is>
      </c>
      <c r="F746" t="inlineStr">
        <is>
          <t>Bergvik skog väst AB</t>
        </is>
      </c>
      <c r="G746" t="n">
        <v>12.5</v>
      </c>
      <c r="H746" t="n">
        <v>0</v>
      </c>
      <c r="I746" t="n">
        <v>0</v>
      </c>
      <c r="J746" t="n">
        <v>0</v>
      </c>
      <c r="K746" t="n">
        <v>0</v>
      </c>
      <c r="L746" t="n">
        <v>0</v>
      </c>
      <c r="M746" t="n">
        <v>0</v>
      </c>
      <c r="N746" t="n">
        <v>0</v>
      </c>
      <c r="O746" t="n">
        <v>0</v>
      </c>
      <c r="P746" t="n">
        <v>0</v>
      </c>
      <c r="Q746" t="n">
        <v>0</v>
      </c>
      <c r="R746" s="2" t="inlineStr"/>
    </row>
    <row r="747" ht="15" customHeight="1">
      <c r="A747" t="inlineStr">
        <is>
          <t>A 38767-2021</t>
        </is>
      </c>
      <c r="B747" s="1" t="n">
        <v>44410</v>
      </c>
      <c r="C747" s="1" t="n">
        <v>45711</v>
      </c>
      <c r="D747" t="inlineStr">
        <is>
          <t>VÄRMLANDS LÄN</t>
        </is>
      </c>
      <c r="E747" t="inlineStr">
        <is>
          <t>TORSBY</t>
        </is>
      </c>
      <c r="G747" t="n">
        <v>0.8</v>
      </c>
      <c r="H747" t="n">
        <v>0</v>
      </c>
      <c r="I747" t="n">
        <v>0</v>
      </c>
      <c r="J747" t="n">
        <v>0</v>
      </c>
      <c r="K747" t="n">
        <v>0</v>
      </c>
      <c r="L747" t="n">
        <v>0</v>
      </c>
      <c r="M747" t="n">
        <v>0</v>
      </c>
      <c r="N747" t="n">
        <v>0</v>
      </c>
      <c r="O747" t="n">
        <v>0</v>
      </c>
      <c r="P747" t="n">
        <v>0</v>
      </c>
      <c r="Q747" t="n">
        <v>0</v>
      </c>
      <c r="R747" s="2" t="inlineStr"/>
    </row>
    <row r="748" ht="15" customHeight="1">
      <c r="A748" t="inlineStr">
        <is>
          <t>A 38841-2021</t>
        </is>
      </c>
      <c r="B748" s="1" t="n">
        <v>44411</v>
      </c>
      <c r="C748" s="1" t="n">
        <v>45711</v>
      </c>
      <c r="D748" t="inlineStr">
        <is>
          <t>VÄRMLANDS LÄN</t>
        </is>
      </c>
      <c r="E748" t="inlineStr">
        <is>
          <t>TORSBY</t>
        </is>
      </c>
      <c r="F748" t="inlineStr">
        <is>
          <t>Bergvik skog väst AB</t>
        </is>
      </c>
      <c r="G748" t="n">
        <v>13.8</v>
      </c>
      <c r="H748" t="n">
        <v>0</v>
      </c>
      <c r="I748" t="n">
        <v>0</v>
      </c>
      <c r="J748" t="n">
        <v>0</v>
      </c>
      <c r="K748" t="n">
        <v>0</v>
      </c>
      <c r="L748" t="n">
        <v>0</v>
      </c>
      <c r="M748" t="n">
        <v>0</v>
      </c>
      <c r="N748" t="n">
        <v>0</v>
      </c>
      <c r="O748" t="n">
        <v>0</v>
      </c>
      <c r="P748" t="n">
        <v>0</v>
      </c>
      <c r="Q748" t="n">
        <v>0</v>
      </c>
      <c r="R748" s="2" t="inlineStr"/>
    </row>
    <row r="749" ht="15" customHeight="1">
      <c r="A749" t="inlineStr">
        <is>
          <t>A 39003-2021</t>
        </is>
      </c>
      <c r="B749" s="1" t="n">
        <v>44412</v>
      </c>
      <c r="C749" s="1" t="n">
        <v>45711</v>
      </c>
      <c r="D749" t="inlineStr">
        <is>
          <t>VÄRMLANDS LÄN</t>
        </is>
      </c>
      <c r="E749" t="inlineStr">
        <is>
          <t>TORSBY</t>
        </is>
      </c>
      <c r="F749" t="inlineStr">
        <is>
          <t>Bergvik skog väst AB</t>
        </is>
      </c>
      <c r="G749" t="n">
        <v>3.1</v>
      </c>
      <c r="H749" t="n">
        <v>0</v>
      </c>
      <c r="I749" t="n">
        <v>0</v>
      </c>
      <c r="J749" t="n">
        <v>0</v>
      </c>
      <c r="K749" t="n">
        <v>0</v>
      </c>
      <c r="L749" t="n">
        <v>0</v>
      </c>
      <c r="M749" t="n">
        <v>0</v>
      </c>
      <c r="N749" t="n">
        <v>0</v>
      </c>
      <c r="O749" t="n">
        <v>0</v>
      </c>
      <c r="P749" t="n">
        <v>0</v>
      </c>
      <c r="Q749" t="n">
        <v>0</v>
      </c>
      <c r="R749" s="2" t="inlineStr"/>
    </row>
    <row r="750" ht="15" customHeight="1">
      <c r="A750" t="inlineStr">
        <is>
          <t>A 39260-2021</t>
        </is>
      </c>
      <c r="B750" s="1" t="n">
        <v>44413</v>
      </c>
      <c r="C750" s="1" t="n">
        <v>45711</v>
      </c>
      <c r="D750" t="inlineStr">
        <is>
          <t>VÄRMLANDS LÄN</t>
        </is>
      </c>
      <c r="E750" t="inlineStr">
        <is>
          <t>TORSBY</t>
        </is>
      </c>
      <c r="G750" t="n">
        <v>4.7</v>
      </c>
      <c r="H750" t="n">
        <v>0</v>
      </c>
      <c r="I750" t="n">
        <v>0</v>
      </c>
      <c r="J750" t="n">
        <v>0</v>
      </c>
      <c r="K750" t="n">
        <v>0</v>
      </c>
      <c r="L750" t="n">
        <v>0</v>
      </c>
      <c r="M750" t="n">
        <v>0</v>
      </c>
      <c r="N750" t="n">
        <v>0</v>
      </c>
      <c r="O750" t="n">
        <v>0</v>
      </c>
      <c r="P750" t="n">
        <v>0</v>
      </c>
      <c r="Q750" t="n">
        <v>0</v>
      </c>
      <c r="R750" s="2" t="inlineStr"/>
    </row>
    <row r="751" ht="15" customHeight="1">
      <c r="A751" t="inlineStr">
        <is>
          <t>A 39642-2021</t>
        </is>
      </c>
      <c r="B751" s="1" t="n">
        <v>44417</v>
      </c>
      <c r="C751" s="1" t="n">
        <v>45711</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39826-2021</t>
        </is>
      </c>
      <c r="B752" s="1" t="n">
        <v>44417</v>
      </c>
      <c r="C752" s="1" t="n">
        <v>45711</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39967-2021</t>
        </is>
      </c>
      <c r="B753" s="1" t="n">
        <v>44418</v>
      </c>
      <c r="C753" s="1" t="n">
        <v>45711</v>
      </c>
      <c r="D753" t="inlineStr">
        <is>
          <t>VÄRMLANDS LÄN</t>
        </is>
      </c>
      <c r="E753" t="inlineStr">
        <is>
          <t>TORSBY</t>
        </is>
      </c>
      <c r="F753" t="inlineStr">
        <is>
          <t>Bergvik skog väst AB</t>
        </is>
      </c>
      <c r="G753" t="n">
        <v>11.8</v>
      </c>
      <c r="H753" t="n">
        <v>0</v>
      </c>
      <c r="I753" t="n">
        <v>0</v>
      </c>
      <c r="J753" t="n">
        <v>0</v>
      </c>
      <c r="K753" t="n">
        <v>0</v>
      </c>
      <c r="L753" t="n">
        <v>0</v>
      </c>
      <c r="M753" t="n">
        <v>0</v>
      </c>
      <c r="N753" t="n">
        <v>0</v>
      </c>
      <c r="O753" t="n">
        <v>0</v>
      </c>
      <c r="P753" t="n">
        <v>0</v>
      </c>
      <c r="Q753" t="n">
        <v>0</v>
      </c>
      <c r="R753" s="2" t="inlineStr"/>
    </row>
    <row r="754" ht="15" customHeight="1">
      <c r="A754" t="inlineStr">
        <is>
          <t>A 40281-2021</t>
        </is>
      </c>
      <c r="B754" s="1" t="n">
        <v>44419</v>
      </c>
      <c r="C754" s="1" t="n">
        <v>45711</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40276-2021</t>
        </is>
      </c>
      <c r="B755" s="1" t="n">
        <v>44419</v>
      </c>
      <c r="C755" s="1" t="n">
        <v>45711</v>
      </c>
      <c r="D755" t="inlineStr">
        <is>
          <t>VÄRMLANDS LÄN</t>
        </is>
      </c>
      <c r="E755" t="inlineStr">
        <is>
          <t>TORSBY</t>
        </is>
      </c>
      <c r="G755" t="n">
        <v>2.2</v>
      </c>
      <c r="H755" t="n">
        <v>0</v>
      </c>
      <c r="I755" t="n">
        <v>0</v>
      </c>
      <c r="J755" t="n">
        <v>0</v>
      </c>
      <c r="K755" t="n">
        <v>0</v>
      </c>
      <c r="L755" t="n">
        <v>0</v>
      </c>
      <c r="M755" t="n">
        <v>0</v>
      </c>
      <c r="N755" t="n">
        <v>0</v>
      </c>
      <c r="O755" t="n">
        <v>0</v>
      </c>
      <c r="P755" t="n">
        <v>0</v>
      </c>
      <c r="Q755" t="n">
        <v>0</v>
      </c>
      <c r="R755" s="2" t="inlineStr"/>
    </row>
    <row r="756" ht="15" customHeight="1">
      <c r="A756" t="inlineStr">
        <is>
          <t>A 40278-2021</t>
        </is>
      </c>
      <c r="B756" s="1" t="n">
        <v>44419</v>
      </c>
      <c r="C756" s="1" t="n">
        <v>45711</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40282-2021</t>
        </is>
      </c>
      <c r="B757" s="1" t="n">
        <v>44419</v>
      </c>
      <c r="C757" s="1" t="n">
        <v>45711</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40590-2021</t>
        </is>
      </c>
      <c r="B758" s="1" t="n">
        <v>44420</v>
      </c>
      <c r="C758" s="1" t="n">
        <v>45711</v>
      </c>
      <c r="D758" t="inlineStr">
        <is>
          <t>VÄRMLANDS LÄN</t>
        </is>
      </c>
      <c r="E758" t="inlineStr">
        <is>
          <t>TORSBY</t>
        </is>
      </c>
      <c r="G758" t="n">
        <v>0.9</v>
      </c>
      <c r="H758" t="n">
        <v>0</v>
      </c>
      <c r="I758" t="n">
        <v>0</v>
      </c>
      <c r="J758" t="n">
        <v>0</v>
      </c>
      <c r="K758" t="n">
        <v>0</v>
      </c>
      <c r="L758" t="n">
        <v>0</v>
      </c>
      <c r="M758" t="n">
        <v>0</v>
      </c>
      <c r="N758" t="n">
        <v>0</v>
      </c>
      <c r="O758" t="n">
        <v>0</v>
      </c>
      <c r="P758" t="n">
        <v>0</v>
      </c>
      <c r="Q758" t="n">
        <v>0</v>
      </c>
      <c r="R758" s="2" t="inlineStr"/>
    </row>
    <row r="759" ht="15" customHeight="1">
      <c r="A759" t="inlineStr">
        <is>
          <t>A 40876-2021</t>
        </is>
      </c>
      <c r="B759" s="1" t="n">
        <v>44421</v>
      </c>
      <c r="C759" s="1" t="n">
        <v>45711</v>
      </c>
      <c r="D759" t="inlineStr">
        <is>
          <t>VÄRMLANDS LÄN</t>
        </is>
      </c>
      <c r="E759" t="inlineStr">
        <is>
          <t>TORSBY</t>
        </is>
      </c>
      <c r="G759" t="n">
        <v>1.6</v>
      </c>
      <c r="H759" t="n">
        <v>0</v>
      </c>
      <c r="I759" t="n">
        <v>0</v>
      </c>
      <c r="J759" t="n">
        <v>0</v>
      </c>
      <c r="K759" t="n">
        <v>0</v>
      </c>
      <c r="L759" t="n">
        <v>0</v>
      </c>
      <c r="M759" t="n">
        <v>0</v>
      </c>
      <c r="N759" t="n">
        <v>0</v>
      </c>
      <c r="O759" t="n">
        <v>0</v>
      </c>
      <c r="P759" t="n">
        <v>0</v>
      </c>
      <c r="Q759" t="n">
        <v>0</v>
      </c>
      <c r="R759" s="2" t="inlineStr"/>
    </row>
    <row r="760" ht="15" customHeight="1">
      <c r="A760" t="inlineStr">
        <is>
          <t>A 41253-2021</t>
        </is>
      </c>
      <c r="B760" s="1" t="n">
        <v>44424</v>
      </c>
      <c r="C760" s="1" t="n">
        <v>45711</v>
      </c>
      <c r="D760" t="inlineStr">
        <is>
          <t>VÄRMLANDS LÄN</t>
        </is>
      </c>
      <c r="E760" t="inlineStr">
        <is>
          <t>TORSBY</t>
        </is>
      </c>
      <c r="G760" t="n">
        <v>2</v>
      </c>
      <c r="H760" t="n">
        <v>0</v>
      </c>
      <c r="I760" t="n">
        <v>0</v>
      </c>
      <c r="J760" t="n">
        <v>0</v>
      </c>
      <c r="K760" t="n">
        <v>0</v>
      </c>
      <c r="L760" t="n">
        <v>0</v>
      </c>
      <c r="M760" t="n">
        <v>0</v>
      </c>
      <c r="N760" t="n">
        <v>0</v>
      </c>
      <c r="O760" t="n">
        <v>0</v>
      </c>
      <c r="P760" t="n">
        <v>0</v>
      </c>
      <c r="Q760" t="n">
        <v>0</v>
      </c>
      <c r="R760" s="2" t="inlineStr"/>
    </row>
    <row r="761" ht="15" customHeight="1">
      <c r="A761" t="inlineStr">
        <is>
          <t>A 41377-2021</t>
        </is>
      </c>
      <c r="B761" s="1" t="n">
        <v>44424</v>
      </c>
      <c r="C761" s="1" t="n">
        <v>45711</v>
      </c>
      <c r="D761" t="inlineStr">
        <is>
          <t>VÄRMLANDS LÄN</t>
        </is>
      </c>
      <c r="E761" t="inlineStr">
        <is>
          <t>TORSBY</t>
        </is>
      </c>
      <c r="G761" t="n">
        <v>1.2</v>
      </c>
      <c r="H761" t="n">
        <v>0</v>
      </c>
      <c r="I761" t="n">
        <v>0</v>
      </c>
      <c r="J761" t="n">
        <v>0</v>
      </c>
      <c r="K761" t="n">
        <v>0</v>
      </c>
      <c r="L761" t="n">
        <v>0</v>
      </c>
      <c r="M761" t="n">
        <v>0</v>
      </c>
      <c r="N761" t="n">
        <v>0</v>
      </c>
      <c r="O761" t="n">
        <v>0</v>
      </c>
      <c r="P761" t="n">
        <v>0</v>
      </c>
      <c r="Q761" t="n">
        <v>0</v>
      </c>
      <c r="R761" s="2" t="inlineStr"/>
    </row>
    <row r="762" ht="15" customHeight="1">
      <c r="A762" t="inlineStr">
        <is>
          <t>A 41633-2021</t>
        </is>
      </c>
      <c r="B762" s="1" t="n">
        <v>44425</v>
      </c>
      <c r="C762" s="1" t="n">
        <v>45711</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41671-2021</t>
        </is>
      </c>
      <c r="B763" s="1" t="n">
        <v>44425</v>
      </c>
      <c r="C763" s="1" t="n">
        <v>45711</v>
      </c>
      <c r="D763" t="inlineStr">
        <is>
          <t>VÄRMLANDS LÄN</t>
        </is>
      </c>
      <c r="E763" t="inlineStr">
        <is>
          <t>TORSBY</t>
        </is>
      </c>
      <c r="F763" t="inlineStr">
        <is>
          <t>Övriga Aktiebolag</t>
        </is>
      </c>
      <c r="G763" t="n">
        <v>10.1</v>
      </c>
      <c r="H763" t="n">
        <v>0</v>
      </c>
      <c r="I763" t="n">
        <v>0</v>
      </c>
      <c r="J763" t="n">
        <v>0</v>
      </c>
      <c r="K763" t="n">
        <v>0</v>
      </c>
      <c r="L763" t="n">
        <v>0</v>
      </c>
      <c r="M763" t="n">
        <v>0</v>
      </c>
      <c r="N763" t="n">
        <v>0</v>
      </c>
      <c r="O763" t="n">
        <v>0</v>
      </c>
      <c r="P763" t="n">
        <v>0</v>
      </c>
      <c r="Q763" t="n">
        <v>0</v>
      </c>
      <c r="R763" s="2" t="inlineStr"/>
    </row>
    <row r="764" ht="15" customHeight="1">
      <c r="A764" t="inlineStr">
        <is>
          <t>A 41678-2021</t>
        </is>
      </c>
      <c r="B764" s="1" t="n">
        <v>44425</v>
      </c>
      <c r="C764" s="1" t="n">
        <v>45711</v>
      </c>
      <c r="D764" t="inlineStr">
        <is>
          <t>VÄRMLANDS LÄN</t>
        </is>
      </c>
      <c r="E764" t="inlineStr">
        <is>
          <t>TORSBY</t>
        </is>
      </c>
      <c r="G764" t="n">
        <v>4.3</v>
      </c>
      <c r="H764" t="n">
        <v>0</v>
      </c>
      <c r="I764" t="n">
        <v>0</v>
      </c>
      <c r="J764" t="n">
        <v>0</v>
      </c>
      <c r="K764" t="n">
        <v>0</v>
      </c>
      <c r="L764" t="n">
        <v>0</v>
      </c>
      <c r="M764" t="n">
        <v>0</v>
      </c>
      <c r="N764" t="n">
        <v>0</v>
      </c>
      <c r="O764" t="n">
        <v>0</v>
      </c>
      <c r="P764" t="n">
        <v>0</v>
      </c>
      <c r="Q764" t="n">
        <v>0</v>
      </c>
      <c r="R764" s="2" t="inlineStr"/>
    </row>
    <row r="765" ht="15" customHeight="1">
      <c r="A765" t="inlineStr">
        <is>
          <t>A 41808-2021</t>
        </is>
      </c>
      <c r="B765" s="1" t="n">
        <v>44425</v>
      </c>
      <c r="C765" s="1" t="n">
        <v>45711</v>
      </c>
      <c r="D765" t="inlineStr">
        <is>
          <t>VÄRMLANDS LÄN</t>
        </is>
      </c>
      <c r="E765" t="inlineStr">
        <is>
          <t>TORSBY</t>
        </is>
      </c>
      <c r="G765" t="n">
        <v>2.7</v>
      </c>
      <c r="H765" t="n">
        <v>0</v>
      </c>
      <c r="I765" t="n">
        <v>0</v>
      </c>
      <c r="J765" t="n">
        <v>0</v>
      </c>
      <c r="K765" t="n">
        <v>0</v>
      </c>
      <c r="L765" t="n">
        <v>0</v>
      </c>
      <c r="M765" t="n">
        <v>0</v>
      </c>
      <c r="N765" t="n">
        <v>0</v>
      </c>
      <c r="O765" t="n">
        <v>0</v>
      </c>
      <c r="P765" t="n">
        <v>0</v>
      </c>
      <c r="Q765" t="n">
        <v>0</v>
      </c>
      <c r="R765" s="2" t="inlineStr"/>
    </row>
    <row r="766" ht="15" customHeight="1">
      <c r="A766" t="inlineStr">
        <is>
          <t>A 42347-2021</t>
        </is>
      </c>
      <c r="B766" s="1" t="n">
        <v>44427</v>
      </c>
      <c r="C766" s="1" t="n">
        <v>45711</v>
      </c>
      <c r="D766" t="inlineStr">
        <is>
          <t>VÄRMLANDS LÄN</t>
        </is>
      </c>
      <c r="E766" t="inlineStr">
        <is>
          <t>TORSBY</t>
        </is>
      </c>
      <c r="G766" t="n">
        <v>1.6</v>
      </c>
      <c r="H766" t="n">
        <v>0</v>
      </c>
      <c r="I766" t="n">
        <v>0</v>
      </c>
      <c r="J766" t="n">
        <v>0</v>
      </c>
      <c r="K766" t="n">
        <v>0</v>
      </c>
      <c r="L766" t="n">
        <v>0</v>
      </c>
      <c r="M766" t="n">
        <v>0</v>
      </c>
      <c r="N766" t="n">
        <v>0</v>
      </c>
      <c r="O766" t="n">
        <v>0</v>
      </c>
      <c r="P766" t="n">
        <v>0</v>
      </c>
      <c r="Q766" t="n">
        <v>0</v>
      </c>
      <c r="R766" s="2" t="inlineStr"/>
    </row>
    <row r="767" ht="15" customHeight="1">
      <c r="A767" t="inlineStr">
        <is>
          <t>A 42615-2021</t>
        </is>
      </c>
      <c r="B767" s="1" t="n">
        <v>44428</v>
      </c>
      <c r="C767" s="1" t="n">
        <v>45711</v>
      </c>
      <c r="D767" t="inlineStr">
        <is>
          <t>VÄRMLANDS LÄN</t>
        </is>
      </c>
      <c r="E767" t="inlineStr">
        <is>
          <t>TORSBY</t>
        </is>
      </c>
      <c r="F767" t="inlineStr">
        <is>
          <t>Bergvik skog väst AB</t>
        </is>
      </c>
      <c r="G767" t="n">
        <v>37.2</v>
      </c>
      <c r="H767" t="n">
        <v>0</v>
      </c>
      <c r="I767" t="n">
        <v>0</v>
      </c>
      <c r="J767" t="n">
        <v>0</v>
      </c>
      <c r="K767" t="n">
        <v>0</v>
      </c>
      <c r="L767" t="n">
        <v>0</v>
      </c>
      <c r="M767" t="n">
        <v>0</v>
      </c>
      <c r="N767" t="n">
        <v>0</v>
      </c>
      <c r="O767" t="n">
        <v>0</v>
      </c>
      <c r="P767" t="n">
        <v>0</v>
      </c>
      <c r="Q767" t="n">
        <v>0</v>
      </c>
      <c r="R767" s="2" t="inlineStr"/>
    </row>
    <row r="768" ht="15" customHeight="1">
      <c r="A768" t="inlineStr">
        <is>
          <t>A 42646-2021</t>
        </is>
      </c>
      <c r="B768" s="1" t="n">
        <v>44428</v>
      </c>
      <c r="C768" s="1" t="n">
        <v>45711</v>
      </c>
      <c r="D768" t="inlineStr">
        <is>
          <t>VÄRMLANDS LÄN</t>
        </is>
      </c>
      <c r="E768" t="inlineStr">
        <is>
          <t>TORSBY</t>
        </is>
      </c>
      <c r="F768" t="inlineStr">
        <is>
          <t>Bergvik skog väst AB</t>
        </is>
      </c>
      <c r="G768" t="n">
        <v>21.4</v>
      </c>
      <c r="H768" t="n">
        <v>0</v>
      </c>
      <c r="I768" t="n">
        <v>0</v>
      </c>
      <c r="J768" t="n">
        <v>0</v>
      </c>
      <c r="K768" t="n">
        <v>0</v>
      </c>
      <c r="L768" t="n">
        <v>0</v>
      </c>
      <c r="M768" t="n">
        <v>0</v>
      </c>
      <c r="N768" t="n">
        <v>0</v>
      </c>
      <c r="O768" t="n">
        <v>0</v>
      </c>
      <c r="P768" t="n">
        <v>0</v>
      </c>
      <c r="Q768" t="n">
        <v>0</v>
      </c>
      <c r="R768" s="2" t="inlineStr"/>
    </row>
    <row r="769" ht="15" customHeight="1">
      <c r="A769" t="inlineStr">
        <is>
          <t>A 43052-2021</t>
        </is>
      </c>
      <c r="B769" s="1" t="n">
        <v>44431</v>
      </c>
      <c r="C769" s="1" t="n">
        <v>45711</v>
      </c>
      <c r="D769" t="inlineStr">
        <is>
          <t>VÄRMLANDS LÄN</t>
        </is>
      </c>
      <c r="E769" t="inlineStr">
        <is>
          <t>TORSBY</t>
        </is>
      </c>
      <c r="G769" t="n">
        <v>25.1</v>
      </c>
      <c r="H769" t="n">
        <v>0</v>
      </c>
      <c r="I769" t="n">
        <v>0</v>
      </c>
      <c r="J769" t="n">
        <v>0</v>
      </c>
      <c r="K769" t="n">
        <v>0</v>
      </c>
      <c r="L769" t="n">
        <v>0</v>
      </c>
      <c r="M769" t="n">
        <v>0</v>
      </c>
      <c r="N769" t="n">
        <v>0</v>
      </c>
      <c r="O769" t="n">
        <v>0</v>
      </c>
      <c r="P769" t="n">
        <v>0</v>
      </c>
      <c r="Q769" t="n">
        <v>0</v>
      </c>
      <c r="R769" s="2" t="inlineStr"/>
    </row>
    <row r="770" ht="15" customHeight="1">
      <c r="A770" t="inlineStr">
        <is>
          <t>A 43060-2021</t>
        </is>
      </c>
      <c r="B770" s="1" t="n">
        <v>44431</v>
      </c>
      <c r="C770" s="1" t="n">
        <v>45711</v>
      </c>
      <c r="D770" t="inlineStr">
        <is>
          <t>VÄRMLANDS LÄN</t>
        </is>
      </c>
      <c r="E770" t="inlineStr">
        <is>
          <t>TORSBY</t>
        </is>
      </c>
      <c r="G770" t="n">
        <v>3.2</v>
      </c>
      <c r="H770" t="n">
        <v>0</v>
      </c>
      <c r="I770" t="n">
        <v>0</v>
      </c>
      <c r="J770" t="n">
        <v>0</v>
      </c>
      <c r="K770" t="n">
        <v>0</v>
      </c>
      <c r="L770" t="n">
        <v>0</v>
      </c>
      <c r="M770" t="n">
        <v>0</v>
      </c>
      <c r="N770" t="n">
        <v>0</v>
      </c>
      <c r="O770" t="n">
        <v>0</v>
      </c>
      <c r="P770" t="n">
        <v>0</v>
      </c>
      <c r="Q770" t="n">
        <v>0</v>
      </c>
      <c r="R770" s="2" t="inlineStr"/>
    </row>
    <row r="771" ht="15" customHeight="1">
      <c r="A771" t="inlineStr">
        <is>
          <t>A 43128-2021</t>
        </is>
      </c>
      <c r="B771" s="1" t="n">
        <v>44431</v>
      </c>
      <c r="C771" s="1" t="n">
        <v>45711</v>
      </c>
      <c r="D771" t="inlineStr">
        <is>
          <t>VÄRMLANDS LÄN</t>
        </is>
      </c>
      <c r="E771" t="inlineStr">
        <is>
          <t>TORSBY</t>
        </is>
      </c>
      <c r="G771" t="n">
        <v>10.9</v>
      </c>
      <c r="H771" t="n">
        <v>0</v>
      </c>
      <c r="I771" t="n">
        <v>0</v>
      </c>
      <c r="J771" t="n">
        <v>0</v>
      </c>
      <c r="K771" t="n">
        <v>0</v>
      </c>
      <c r="L771" t="n">
        <v>0</v>
      </c>
      <c r="M771" t="n">
        <v>0</v>
      </c>
      <c r="N771" t="n">
        <v>0</v>
      </c>
      <c r="O771" t="n">
        <v>0</v>
      </c>
      <c r="P771" t="n">
        <v>0</v>
      </c>
      <c r="Q771" t="n">
        <v>0</v>
      </c>
      <c r="R771" s="2" t="inlineStr"/>
    </row>
    <row r="772" ht="15" customHeight="1">
      <c r="A772" t="inlineStr">
        <is>
          <t>A 43136-2021</t>
        </is>
      </c>
      <c r="B772" s="1" t="n">
        <v>44431</v>
      </c>
      <c r="C772" s="1" t="n">
        <v>45711</v>
      </c>
      <c r="D772" t="inlineStr">
        <is>
          <t>VÄRMLANDS LÄN</t>
        </is>
      </c>
      <c r="E772" t="inlineStr">
        <is>
          <t>TORSBY</t>
        </is>
      </c>
      <c r="G772" t="n">
        <v>14.4</v>
      </c>
      <c r="H772" t="n">
        <v>0</v>
      </c>
      <c r="I772" t="n">
        <v>0</v>
      </c>
      <c r="J772" t="n">
        <v>0</v>
      </c>
      <c r="K772" t="n">
        <v>0</v>
      </c>
      <c r="L772" t="n">
        <v>0</v>
      </c>
      <c r="M772" t="n">
        <v>0</v>
      </c>
      <c r="N772" t="n">
        <v>0</v>
      </c>
      <c r="O772" t="n">
        <v>0</v>
      </c>
      <c r="P772" t="n">
        <v>0</v>
      </c>
      <c r="Q772" t="n">
        <v>0</v>
      </c>
      <c r="R772" s="2" t="inlineStr"/>
    </row>
    <row r="773" ht="15" customHeight="1">
      <c r="A773" t="inlineStr">
        <is>
          <t>A 43169-2021</t>
        </is>
      </c>
      <c r="B773" s="1" t="n">
        <v>44431</v>
      </c>
      <c r="C773" s="1" t="n">
        <v>45711</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43095-2021</t>
        </is>
      </c>
      <c r="B774" s="1" t="n">
        <v>44431</v>
      </c>
      <c r="C774" s="1" t="n">
        <v>45711</v>
      </c>
      <c r="D774" t="inlineStr">
        <is>
          <t>VÄRMLANDS LÄN</t>
        </is>
      </c>
      <c r="E774" t="inlineStr">
        <is>
          <t>TORSBY</t>
        </is>
      </c>
      <c r="G774" t="n">
        <v>1.4</v>
      </c>
      <c r="H774" t="n">
        <v>0</v>
      </c>
      <c r="I774" t="n">
        <v>0</v>
      </c>
      <c r="J774" t="n">
        <v>0</v>
      </c>
      <c r="K774" t="n">
        <v>0</v>
      </c>
      <c r="L774" t="n">
        <v>0</v>
      </c>
      <c r="M774" t="n">
        <v>0</v>
      </c>
      <c r="N774" t="n">
        <v>0</v>
      </c>
      <c r="O774" t="n">
        <v>0</v>
      </c>
      <c r="P774" t="n">
        <v>0</v>
      </c>
      <c r="Q774" t="n">
        <v>0</v>
      </c>
      <c r="R774" s="2" t="inlineStr"/>
    </row>
    <row r="775" ht="15" customHeight="1">
      <c r="A775" t="inlineStr">
        <is>
          <t>A 43157-2021</t>
        </is>
      </c>
      <c r="B775" s="1" t="n">
        <v>44431</v>
      </c>
      <c r="C775" s="1" t="n">
        <v>45711</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43127-2021</t>
        </is>
      </c>
      <c r="B776" s="1" t="n">
        <v>44431</v>
      </c>
      <c r="C776" s="1" t="n">
        <v>45711</v>
      </c>
      <c r="D776" t="inlineStr">
        <is>
          <t>VÄRMLANDS LÄN</t>
        </is>
      </c>
      <c r="E776" t="inlineStr">
        <is>
          <t>TORSBY</t>
        </is>
      </c>
      <c r="G776" t="n">
        <v>23.3</v>
      </c>
      <c r="H776" t="n">
        <v>0</v>
      </c>
      <c r="I776" t="n">
        <v>0</v>
      </c>
      <c r="J776" t="n">
        <v>0</v>
      </c>
      <c r="K776" t="n">
        <v>0</v>
      </c>
      <c r="L776" t="n">
        <v>0</v>
      </c>
      <c r="M776" t="n">
        <v>0</v>
      </c>
      <c r="N776" t="n">
        <v>0</v>
      </c>
      <c r="O776" t="n">
        <v>0</v>
      </c>
      <c r="P776" t="n">
        <v>0</v>
      </c>
      <c r="Q776" t="n">
        <v>0</v>
      </c>
      <c r="R776" s="2" t="inlineStr"/>
    </row>
    <row r="777" ht="15" customHeight="1">
      <c r="A777" t="inlineStr">
        <is>
          <t>A 43161-2021</t>
        </is>
      </c>
      <c r="B777" s="1" t="n">
        <v>44431</v>
      </c>
      <c r="C777" s="1" t="n">
        <v>45711</v>
      </c>
      <c r="D777" t="inlineStr">
        <is>
          <t>VÄRMLANDS LÄN</t>
        </is>
      </c>
      <c r="E777" t="inlineStr">
        <is>
          <t>TORSBY</t>
        </is>
      </c>
      <c r="G777" t="n">
        <v>3.7</v>
      </c>
      <c r="H777" t="n">
        <v>0</v>
      </c>
      <c r="I777" t="n">
        <v>0</v>
      </c>
      <c r="J777" t="n">
        <v>0</v>
      </c>
      <c r="K777" t="n">
        <v>0</v>
      </c>
      <c r="L777" t="n">
        <v>0</v>
      </c>
      <c r="M777" t="n">
        <v>0</v>
      </c>
      <c r="N777" t="n">
        <v>0</v>
      </c>
      <c r="O777" t="n">
        <v>0</v>
      </c>
      <c r="P777" t="n">
        <v>0</v>
      </c>
      <c r="Q777" t="n">
        <v>0</v>
      </c>
      <c r="R777" s="2" t="inlineStr"/>
    </row>
    <row r="778" ht="15" customHeight="1">
      <c r="A778" t="inlineStr">
        <is>
          <t>A 44018-2021</t>
        </is>
      </c>
      <c r="B778" s="1" t="n">
        <v>44434</v>
      </c>
      <c r="C778" s="1" t="n">
        <v>45711</v>
      </c>
      <c r="D778" t="inlineStr">
        <is>
          <t>VÄRMLANDS LÄN</t>
        </is>
      </c>
      <c r="E778" t="inlineStr">
        <is>
          <t>TORSBY</t>
        </is>
      </c>
      <c r="F778" t="inlineStr">
        <is>
          <t>Bergvik skog väst AB</t>
        </is>
      </c>
      <c r="G778" t="n">
        <v>2.7</v>
      </c>
      <c r="H778" t="n">
        <v>0</v>
      </c>
      <c r="I778" t="n">
        <v>0</v>
      </c>
      <c r="J778" t="n">
        <v>0</v>
      </c>
      <c r="K778" t="n">
        <v>0</v>
      </c>
      <c r="L778" t="n">
        <v>0</v>
      </c>
      <c r="M778" t="n">
        <v>0</v>
      </c>
      <c r="N778" t="n">
        <v>0</v>
      </c>
      <c r="O778" t="n">
        <v>0</v>
      </c>
      <c r="P778" t="n">
        <v>0</v>
      </c>
      <c r="Q778" t="n">
        <v>0</v>
      </c>
      <c r="R778" s="2" t="inlineStr"/>
    </row>
    <row r="779" ht="15" customHeight="1">
      <c r="A779" t="inlineStr">
        <is>
          <t>A 44418-2021</t>
        </is>
      </c>
      <c r="B779" s="1" t="n">
        <v>44435</v>
      </c>
      <c r="C779" s="1" t="n">
        <v>45711</v>
      </c>
      <c r="D779" t="inlineStr">
        <is>
          <t>VÄRMLANDS LÄN</t>
        </is>
      </c>
      <c r="E779" t="inlineStr">
        <is>
          <t>TORSBY</t>
        </is>
      </c>
      <c r="G779" t="n">
        <v>7.5</v>
      </c>
      <c r="H779" t="n">
        <v>0</v>
      </c>
      <c r="I779" t="n">
        <v>0</v>
      </c>
      <c r="J779" t="n">
        <v>0</v>
      </c>
      <c r="K779" t="n">
        <v>0</v>
      </c>
      <c r="L779" t="n">
        <v>0</v>
      </c>
      <c r="M779" t="n">
        <v>0</v>
      </c>
      <c r="N779" t="n">
        <v>0</v>
      </c>
      <c r="O779" t="n">
        <v>0</v>
      </c>
      <c r="P779" t="n">
        <v>0</v>
      </c>
      <c r="Q779" t="n">
        <v>0</v>
      </c>
      <c r="R779" s="2" t="inlineStr"/>
    </row>
    <row r="780" ht="15" customHeight="1">
      <c r="A780" t="inlineStr">
        <is>
          <t>A 44490-2021</t>
        </is>
      </c>
      <c r="B780" s="1" t="n">
        <v>44435</v>
      </c>
      <c r="C780" s="1" t="n">
        <v>45711</v>
      </c>
      <c r="D780" t="inlineStr">
        <is>
          <t>VÄRMLANDS LÄN</t>
        </is>
      </c>
      <c r="E780" t="inlineStr">
        <is>
          <t>TORSBY</t>
        </is>
      </c>
      <c r="G780" t="n">
        <v>2.4</v>
      </c>
      <c r="H780" t="n">
        <v>0</v>
      </c>
      <c r="I780" t="n">
        <v>0</v>
      </c>
      <c r="J780" t="n">
        <v>0</v>
      </c>
      <c r="K780" t="n">
        <v>0</v>
      </c>
      <c r="L780" t="n">
        <v>0</v>
      </c>
      <c r="M780" t="n">
        <v>0</v>
      </c>
      <c r="N780" t="n">
        <v>0</v>
      </c>
      <c r="O780" t="n">
        <v>0</v>
      </c>
      <c r="P780" t="n">
        <v>0</v>
      </c>
      <c r="Q780" t="n">
        <v>0</v>
      </c>
      <c r="R780" s="2" t="inlineStr"/>
    </row>
    <row r="781" ht="15" customHeight="1">
      <c r="A781" t="inlineStr">
        <is>
          <t>A 44761-2021</t>
        </is>
      </c>
      <c r="B781" s="1" t="n">
        <v>44438</v>
      </c>
      <c r="C781" s="1" t="n">
        <v>45711</v>
      </c>
      <c r="D781" t="inlineStr">
        <is>
          <t>VÄRMLANDS LÄN</t>
        </is>
      </c>
      <c r="E781" t="inlineStr">
        <is>
          <t>TORSBY</t>
        </is>
      </c>
      <c r="G781" t="n">
        <v>6.5</v>
      </c>
      <c r="H781" t="n">
        <v>0</v>
      </c>
      <c r="I781" t="n">
        <v>0</v>
      </c>
      <c r="J781" t="n">
        <v>0</v>
      </c>
      <c r="K781" t="n">
        <v>0</v>
      </c>
      <c r="L781" t="n">
        <v>0</v>
      </c>
      <c r="M781" t="n">
        <v>0</v>
      </c>
      <c r="N781" t="n">
        <v>0</v>
      </c>
      <c r="O781" t="n">
        <v>0</v>
      </c>
      <c r="P781" t="n">
        <v>0</v>
      </c>
      <c r="Q781" t="n">
        <v>0</v>
      </c>
      <c r="R781" s="2" t="inlineStr"/>
    </row>
    <row r="782" ht="15" customHeight="1">
      <c r="A782" t="inlineStr">
        <is>
          <t>A 44979-2021</t>
        </is>
      </c>
      <c r="B782" s="1" t="n">
        <v>44438</v>
      </c>
      <c r="C782" s="1" t="n">
        <v>45711</v>
      </c>
      <c r="D782" t="inlineStr">
        <is>
          <t>VÄRMLANDS LÄN</t>
        </is>
      </c>
      <c r="E782" t="inlineStr">
        <is>
          <t>TORSBY</t>
        </is>
      </c>
      <c r="F782" t="inlineStr">
        <is>
          <t>Bergvik skog väst AB</t>
        </is>
      </c>
      <c r="G782" t="n">
        <v>22.2</v>
      </c>
      <c r="H782" t="n">
        <v>0</v>
      </c>
      <c r="I782" t="n">
        <v>0</v>
      </c>
      <c r="J782" t="n">
        <v>0</v>
      </c>
      <c r="K782" t="n">
        <v>0</v>
      </c>
      <c r="L782" t="n">
        <v>0</v>
      </c>
      <c r="M782" t="n">
        <v>0</v>
      </c>
      <c r="N782" t="n">
        <v>0</v>
      </c>
      <c r="O782" t="n">
        <v>0</v>
      </c>
      <c r="P782" t="n">
        <v>0</v>
      </c>
      <c r="Q782" t="n">
        <v>0</v>
      </c>
      <c r="R782" s="2" t="inlineStr"/>
    </row>
    <row r="783" ht="15" customHeight="1">
      <c r="A783" t="inlineStr">
        <is>
          <t>A 44923-2021</t>
        </is>
      </c>
      <c r="B783" s="1" t="n">
        <v>44438</v>
      </c>
      <c r="C783" s="1" t="n">
        <v>45711</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45445-2021</t>
        </is>
      </c>
      <c r="B784" s="1" t="n">
        <v>44440</v>
      </c>
      <c r="C784" s="1" t="n">
        <v>45711</v>
      </c>
      <c r="D784" t="inlineStr">
        <is>
          <t>VÄRMLANDS LÄN</t>
        </is>
      </c>
      <c r="E784" t="inlineStr">
        <is>
          <t>TORSBY</t>
        </is>
      </c>
      <c r="G784" t="n">
        <v>1.1</v>
      </c>
      <c r="H784" t="n">
        <v>0</v>
      </c>
      <c r="I784" t="n">
        <v>0</v>
      </c>
      <c r="J784" t="n">
        <v>0</v>
      </c>
      <c r="K784" t="n">
        <v>0</v>
      </c>
      <c r="L784" t="n">
        <v>0</v>
      </c>
      <c r="M784" t="n">
        <v>0</v>
      </c>
      <c r="N784" t="n">
        <v>0</v>
      </c>
      <c r="O784" t="n">
        <v>0</v>
      </c>
      <c r="P784" t="n">
        <v>0</v>
      </c>
      <c r="Q784" t="n">
        <v>0</v>
      </c>
      <c r="R784" s="2" t="inlineStr"/>
    </row>
    <row r="785" ht="15" customHeight="1">
      <c r="A785" t="inlineStr">
        <is>
          <t>A 45447-2021</t>
        </is>
      </c>
      <c r="B785" s="1" t="n">
        <v>44440</v>
      </c>
      <c r="C785" s="1" t="n">
        <v>45711</v>
      </c>
      <c r="D785" t="inlineStr">
        <is>
          <t>VÄRMLANDS LÄN</t>
        </is>
      </c>
      <c r="E785" t="inlineStr">
        <is>
          <t>TORSBY</t>
        </is>
      </c>
      <c r="G785" t="n">
        <v>1.7</v>
      </c>
      <c r="H785" t="n">
        <v>0</v>
      </c>
      <c r="I785" t="n">
        <v>0</v>
      </c>
      <c r="J785" t="n">
        <v>0</v>
      </c>
      <c r="K785" t="n">
        <v>0</v>
      </c>
      <c r="L785" t="n">
        <v>0</v>
      </c>
      <c r="M785" t="n">
        <v>0</v>
      </c>
      <c r="N785" t="n">
        <v>0</v>
      </c>
      <c r="O785" t="n">
        <v>0</v>
      </c>
      <c r="P785" t="n">
        <v>0</v>
      </c>
      <c r="Q785" t="n">
        <v>0</v>
      </c>
      <c r="R785" s="2" t="inlineStr"/>
    </row>
    <row r="786" ht="15" customHeight="1">
      <c r="A786" t="inlineStr">
        <is>
          <t>A 46302-2021</t>
        </is>
      </c>
      <c r="B786" s="1" t="n">
        <v>44442</v>
      </c>
      <c r="C786" s="1" t="n">
        <v>45711</v>
      </c>
      <c r="D786" t="inlineStr">
        <is>
          <t>VÄRMLANDS LÄN</t>
        </is>
      </c>
      <c r="E786" t="inlineStr">
        <is>
          <t>TORSBY</t>
        </is>
      </c>
      <c r="F786" t="inlineStr">
        <is>
          <t>Bergvik skog väst AB</t>
        </is>
      </c>
      <c r="G786" t="n">
        <v>3.1</v>
      </c>
      <c r="H786" t="n">
        <v>0</v>
      </c>
      <c r="I786" t="n">
        <v>0</v>
      </c>
      <c r="J786" t="n">
        <v>0</v>
      </c>
      <c r="K786" t="n">
        <v>0</v>
      </c>
      <c r="L786" t="n">
        <v>0</v>
      </c>
      <c r="M786" t="n">
        <v>0</v>
      </c>
      <c r="N786" t="n">
        <v>0</v>
      </c>
      <c r="O786" t="n">
        <v>0</v>
      </c>
      <c r="P786" t="n">
        <v>0</v>
      </c>
      <c r="Q786" t="n">
        <v>0</v>
      </c>
      <c r="R786" s="2" t="inlineStr"/>
    </row>
    <row r="787" ht="15" customHeight="1">
      <c r="A787" t="inlineStr">
        <is>
          <t>A 46503-2021</t>
        </is>
      </c>
      <c r="B787" s="1" t="n">
        <v>44445</v>
      </c>
      <c r="C787" s="1" t="n">
        <v>45711</v>
      </c>
      <c r="D787" t="inlineStr">
        <is>
          <t>VÄRMLANDS LÄN</t>
        </is>
      </c>
      <c r="E787" t="inlineStr">
        <is>
          <t>TORSBY</t>
        </is>
      </c>
      <c r="G787" t="n">
        <v>1.2</v>
      </c>
      <c r="H787" t="n">
        <v>0</v>
      </c>
      <c r="I787" t="n">
        <v>0</v>
      </c>
      <c r="J787" t="n">
        <v>0</v>
      </c>
      <c r="K787" t="n">
        <v>0</v>
      </c>
      <c r="L787" t="n">
        <v>0</v>
      </c>
      <c r="M787" t="n">
        <v>0</v>
      </c>
      <c r="N787" t="n">
        <v>0</v>
      </c>
      <c r="O787" t="n">
        <v>0</v>
      </c>
      <c r="P787" t="n">
        <v>0</v>
      </c>
      <c r="Q787" t="n">
        <v>0</v>
      </c>
      <c r="R787" s="2" t="inlineStr"/>
    </row>
    <row r="788" ht="15" customHeight="1">
      <c r="A788" t="inlineStr">
        <is>
          <t>A 46610-2021</t>
        </is>
      </c>
      <c r="B788" s="1" t="n">
        <v>44445</v>
      </c>
      <c r="C788" s="1" t="n">
        <v>45711</v>
      </c>
      <c r="D788" t="inlineStr">
        <is>
          <t>VÄRMLANDS LÄN</t>
        </is>
      </c>
      <c r="E788" t="inlineStr">
        <is>
          <t>TORSBY</t>
        </is>
      </c>
      <c r="G788" t="n">
        <v>1.4</v>
      </c>
      <c r="H788" t="n">
        <v>0</v>
      </c>
      <c r="I788" t="n">
        <v>0</v>
      </c>
      <c r="J788" t="n">
        <v>0</v>
      </c>
      <c r="K788" t="n">
        <v>0</v>
      </c>
      <c r="L788" t="n">
        <v>0</v>
      </c>
      <c r="M788" t="n">
        <v>0</v>
      </c>
      <c r="N788" t="n">
        <v>0</v>
      </c>
      <c r="O788" t="n">
        <v>0</v>
      </c>
      <c r="P788" t="n">
        <v>0</v>
      </c>
      <c r="Q788" t="n">
        <v>0</v>
      </c>
      <c r="R788" s="2" t="inlineStr"/>
    </row>
    <row r="789" ht="15" customHeight="1">
      <c r="A789" t="inlineStr">
        <is>
          <t>A 46795-2021</t>
        </is>
      </c>
      <c r="B789" s="1" t="n">
        <v>44446</v>
      </c>
      <c r="C789" s="1" t="n">
        <v>45711</v>
      </c>
      <c r="D789" t="inlineStr">
        <is>
          <t>VÄRMLANDS LÄN</t>
        </is>
      </c>
      <c r="E789" t="inlineStr">
        <is>
          <t>TORSBY</t>
        </is>
      </c>
      <c r="G789" t="n">
        <v>6</v>
      </c>
      <c r="H789" t="n">
        <v>0</v>
      </c>
      <c r="I789" t="n">
        <v>0</v>
      </c>
      <c r="J789" t="n">
        <v>0</v>
      </c>
      <c r="K789" t="n">
        <v>0</v>
      </c>
      <c r="L789" t="n">
        <v>0</v>
      </c>
      <c r="M789" t="n">
        <v>0</v>
      </c>
      <c r="N789" t="n">
        <v>0</v>
      </c>
      <c r="O789" t="n">
        <v>0</v>
      </c>
      <c r="P789" t="n">
        <v>0</v>
      </c>
      <c r="Q789" t="n">
        <v>0</v>
      </c>
      <c r="R789" s="2" t="inlineStr"/>
    </row>
    <row r="790" ht="15" customHeight="1">
      <c r="A790" t="inlineStr">
        <is>
          <t>A 46934-2021</t>
        </is>
      </c>
      <c r="B790" s="1" t="n">
        <v>44446</v>
      </c>
      <c r="C790" s="1" t="n">
        <v>45711</v>
      </c>
      <c r="D790" t="inlineStr">
        <is>
          <t>VÄRMLANDS LÄN</t>
        </is>
      </c>
      <c r="E790" t="inlineStr">
        <is>
          <t>TORSBY</t>
        </is>
      </c>
      <c r="G790" t="n">
        <v>1</v>
      </c>
      <c r="H790" t="n">
        <v>0</v>
      </c>
      <c r="I790" t="n">
        <v>0</v>
      </c>
      <c r="J790" t="n">
        <v>0</v>
      </c>
      <c r="K790" t="n">
        <v>0</v>
      </c>
      <c r="L790" t="n">
        <v>0</v>
      </c>
      <c r="M790" t="n">
        <v>0</v>
      </c>
      <c r="N790" t="n">
        <v>0</v>
      </c>
      <c r="O790" t="n">
        <v>0</v>
      </c>
      <c r="P790" t="n">
        <v>0</v>
      </c>
      <c r="Q790" t="n">
        <v>0</v>
      </c>
      <c r="R790" s="2" t="inlineStr"/>
    </row>
    <row r="791" ht="15" customHeight="1">
      <c r="A791" t="inlineStr">
        <is>
          <t>A 46880-2021</t>
        </is>
      </c>
      <c r="B791" s="1" t="n">
        <v>44446</v>
      </c>
      <c r="C791" s="1" t="n">
        <v>45711</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47083-2021</t>
        </is>
      </c>
      <c r="B792" s="1" t="n">
        <v>44446</v>
      </c>
      <c r="C792" s="1" t="n">
        <v>45711</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47098-2021</t>
        </is>
      </c>
      <c r="B793" s="1" t="n">
        <v>44446</v>
      </c>
      <c r="C793" s="1" t="n">
        <v>45711</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47271-2021</t>
        </is>
      </c>
      <c r="B794" s="1" t="n">
        <v>44447</v>
      </c>
      <c r="C794" s="1" t="n">
        <v>45711</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47299-2021</t>
        </is>
      </c>
      <c r="B795" s="1" t="n">
        <v>44447</v>
      </c>
      <c r="C795" s="1" t="n">
        <v>45711</v>
      </c>
      <c r="D795" t="inlineStr">
        <is>
          <t>VÄRMLANDS LÄN</t>
        </is>
      </c>
      <c r="E795" t="inlineStr">
        <is>
          <t>TORSBY</t>
        </is>
      </c>
      <c r="F795" t="inlineStr">
        <is>
          <t>Bergvik skog väst AB</t>
        </is>
      </c>
      <c r="G795" t="n">
        <v>11</v>
      </c>
      <c r="H795" t="n">
        <v>0</v>
      </c>
      <c r="I795" t="n">
        <v>0</v>
      </c>
      <c r="J795" t="n">
        <v>0</v>
      </c>
      <c r="K795" t="n">
        <v>0</v>
      </c>
      <c r="L795" t="n">
        <v>0</v>
      </c>
      <c r="M795" t="n">
        <v>0</v>
      </c>
      <c r="N795" t="n">
        <v>0</v>
      </c>
      <c r="O795" t="n">
        <v>0</v>
      </c>
      <c r="P795" t="n">
        <v>0</v>
      </c>
      <c r="Q795" t="n">
        <v>0</v>
      </c>
      <c r="R795" s="2" t="inlineStr"/>
    </row>
    <row r="796" ht="15" customHeight="1">
      <c r="A796" t="inlineStr">
        <is>
          <t>A 47602-2021</t>
        </is>
      </c>
      <c r="B796" s="1" t="n">
        <v>44448</v>
      </c>
      <c r="C796" s="1" t="n">
        <v>45711</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48159-2021</t>
        </is>
      </c>
      <c r="B797" s="1" t="n">
        <v>44449</v>
      </c>
      <c r="C797" s="1" t="n">
        <v>45711</v>
      </c>
      <c r="D797" t="inlineStr">
        <is>
          <t>VÄRMLANDS LÄN</t>
        </is>
      </c>
      <c r="E797" t="inlineStr">
        <is>
          <t>TORSBY</t>
        </is>
      </c>
      <c r="F797" t="inlineStr">
        <is>
          <t>Bergvik skog väst AB</t>
        </is>
      </c>
      <c r="G797" t="n">
        <v>3</v>
      </c>
      <c r="H797" t="n">
        <v>0</v>
      </c>
      <c r="I797" t="n">
        <v>0</v>
      </c>
      <c r="J797" t="n">
        <v>0</v>
      </c>
      <c r="K797" t="n">
        <v>0</v>
      </c>
      <c r="L797" t="n">
        <v>0</v>
      </c>
      <c r="M797" t="n">
        <v>0</v>
      </c>
      <c r="N797" t="n">
        <v>0</v>
      </c>
      <c r="O797" t="n">
        <v>0</v>
      </c>
      <c r="P797" t="n">
        <v>0</v>
      </c>
      <c r="Q797" t="n">
        <v>0</v>
      </c>
      <c r="R797" s="2" t="inlineStr"/>
    </row>
    <row r="798" ht="15" customHeight="1">
      <c r="A798" t="inlineStr">
        <is>
          <t>A 48188-2021</t>
        </is>
      </c>
      <c r="B798" s="1" t="n">
        <v>44449</v>
      </c>
      <c r="C798" s="1" t="n">
        <v>45711</v>
      </c>
      <c r="D798" t="inlineStr">
        <is>
          <t>VÄRMLANDS LÄN</t>
        </is>
      </c>
      <c r="E798" t="inlineStr">
        <is>
          <t>TORSBY</t>
        </is>
      </c>
      <c r="G798" t="n">
        <v>0.7</v>
      </c>
      <c r="H798" t="n">
        <v>0</v>
      </c>
      <c r="I798" t="n">
        <v>0</v>
      </c>
      <c r="J798" t="n">
        <v>0</v>
      </c>
      <c r="K798" t="n">
        <v>0</v>
      </c>
      <c r="L798" t="n">
        <v>0</v>
      </c>
      <c r="M798" t="n">
        <v>0</v>
      </c>
      <c r="N798" t="n">
        <v>0</v>
      </c>
      <c r="O798" t="n">
        <v>0</v>
      </c>
      <c r="P798" t="n">
        <v>0</v>
      </c>
      <c r="Q798" t="n">
        <v>0</v>
      </c>
      <c r="R798" s="2" t="inlineStr"/>
    </row>
    <row r="799" ht="15" customHeight="1">
      <c r="A799" t="inlineStr">
        <is>
          <t>A 48324-2021</t>
        </is>
      </c>
      <c r="B799" s="1" t="n">
        <v>44450</v>
      </c>
      <c r="C799" s="1" t="n">
        <v>45711</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48657-2021</t>
        </is>
      </c>
      <c r="B800" s="1" t="n">
        <v>44452</v>
      </c>
      <c r="C800" s="1" t="n">
        <v>45711</v>
      </c>
      <c r="D800" t="inlineStr">
        <is>
          <t>VÄRMLANDS LÄN</t>
        </is>
      </c>
      <c r="E800" t="inlineStr">
        <is>
          <t>TORSBY</t>
        </is>
      </c>
      <c r="F800" t="inlineStr">
        <is>
          <t>Bergvik skog väst AB</t>
        </is>
      </c>
      <c r="G800" t="n">
        <v>7.8</v>
      </c>
      <c r="H800" t="n">
        <v>0</v>
      </c>
      <c r="I800" t="n">
        <v>0</v>
      </c>
      <c r="J800" t="n">
        <v>0</v>
      </c>
      <c r="K800" t="n">
        <v>0</v>
      </c>
      <c r="L800" t="n">
        <v>0</v>
      </c>
      <c r="M800" t="n">
        <v>0</v>
      </c>
      <c r="N800" t="n">
        <v>0</v>
      </c>
      <c r="O800" t="n">
        <v>0</v>
      </c>
      <c r="P800" t="n">
        <v>0</v>
      </c>
      <c r="Q800" t="n">
        <v>0</v>
      </c>
      <c r="R800" s="2" t="inlineStr"/>
    </row>
    <row r="801" ht="15" customHeight="1">
      <c r="A801" t="inlineStr">
        <is>
          <t>A 48771-2021</t>
        </is>
      </c>
      <c r="B801" s="1" t="n">
        <v>44452</v>
      </c>
      <c r="C801" s="1" t="n">
        <v>45711</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49192-2021</t>
        </is>
      </c>
      <c r="B802" s="1" t="n">
        <v>44454</v>
      </c>
      <c r="C802" s="1" t="n">
        <v>45711</v>
      </c>
      <c r="D802" t="inlineStr">
        <is>
          <t>VÄRMLANDS LÄN</t>
        </is>
      </c>
      <c r="E802" t="inlineStr">
        <is>
          <t>TORSBY</t>
        </is>
      </c>
      <c r="F802" t="inlineStr">
        <is>
          <t>Bergvik skog väst AB</t>
        </is>
      </c>
      <c r="G802" t="n">
        <v>2.3</v>
      </c>
      <c r="H802" t="n">
        <v>0</v>
      </c>
      <c r="I802" t="n">
        <v>0</v>
      </c>
      <c r="J802" t="n">
        <v>0</v>
      </c>
      <c r="K802" t="n">
        <v>0</v>
      </c>
      <c r="L802" t="n">
        <v>0</v>
      </c>
      <c r="M802" t="n">
        <v>0</v>
      </c>
      <c r="N802" t="n">
        <v>0</v>
      </c>
      <c r="O802" t="n">
        <v>0</v>
      </c>
      <c r="P802" t="n">
        <v>0</v>
      </c>
      <c r="Q802" t="n">
        <v>0</v>
      </c>
      <c r="R802" s="2" t="inlineStr"/>
    </row>
    <row r="803" ht="15" customHeight="1">
      <c r="A803" t="inlineStr">
        <is>
          <t>A 49900-2021</t>
        </is>
      </c>
      <c r="B803" s="1" t="n">
        <v>44455</v>
      </c>
      <c r="C803" s="1" t="n">
        <v>45711</v>
      </c>
      <c r="D803" t="inlineStr">
        <is>
          <t>VÄRMLANDS LÄN</t>
        </is>
      </c>
      <c r="E803" t="inlineStr">
        <is>
          <t>TORSBY</t>
        </is>
      </c>
      <c r="G803" t="n">
        <v>4.1</v>
      </c>
      <c r="H803" t="n">
        <v>0</v>
      </c>
      <c r="I803" t="n">
        <v>0</v>
      </c>
      <c r="J803" t="n">
        <v>0</v>
      </c>
      <c r="K803" t="n">
        <v>0</v>
      </c>
      <c r="L803" t="n">
        <v>0</v>
      </c>
      <c r="M803" t="n">
        <v>0</v>
      </c>
      <c r="N803" t="n">
        <v>0</v>
      </c>
      <c r="O803" t="n">
        <v>0</v>
      </c>
      <c r="P803" t="n">
        <v>0</v>
      </c>
      <c r="Q803" t="n">
        <v>0</v>
      </c>
      <c r="R803" s="2" t="inlineStr"/>
    </row>
    <row r="804" ht="15" customHeight="1">
      <c r="A804" t="inlineStr">
        <is>
          <t>A 50100-2021</t>
        </is>
      </c>
      <c r="B804" s="1" t="n">
        <v>44456</v>
      </c>
      <c r="C804" s="1" t="n">
        <v>45711</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50596-2021</t>
        </is>
      </c>
      <c r="B805" s="1" t="n">
        <v>44459</v>
      </c>
      <c r="C805" s="1" t="n">
        <v>45711</v>
      </c>
      <c r="D805" t="inlineStr">
        <is>
          <t>VÄRMLANDS LÄN</t>
        </is>
      </c>
      <c r="E805" t="inlineStr">
        <is>
          <t>TORSBY</t>
        </is>
      </c>
      <c r="G805" t="n">
        <v>0.5</v>
      </c>
      <c r="H805" t="n">
        <v>0</v>
      </c>
      <c r="I805" t="n">
        <v>0</v>
      </c>
      <c r="J805" t="n">
        <v>0</v>
      </c>
      <c r="K805" t="n">
        <v>0</v>
      </c>
      <c r="L805" t="n">
        <v>0</v>
      </c>
      <c r="M805" t="n">
        <v>0</v>
      </c>
      <c r="N805" t="n">
        <v>0</v>
      </c>
      <c r="O805" t="n">
        <v>0</v>
      </c>
      <c r="P805" t="n">
        <v>0</v>
      </c>
      <c r="Q805" t="n">
        <v>0</v>
      </c>
      <c r="R805" s="2" t="inlineStr"/>
    </row>
    <row r="806" ht="15" customHeight="1">
      <c r="A806" t="inlineStr">
        <is>
          <t>A 50549-2021</t>
        </is>
      </c>
      <c r="B806" s="1" t="n">
        <v>44459</v>
      </c>
      <c r="C806" s="1" t="n">
        <v>45711</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50988-2021</t>
        </is>
      </c>
      <c r="B807" s="1" t="n">
        <v>44460</v>
      </c>
      <c r="C807" s="1" t="n">
        <v>45711</v>
      </c>
      <c r="D807" t="inlineStr">
        <is>
          <t>VÄRMLANDS LÄN</t>
        </is>
      </c>
      <c r="E807" t="inlineStr">
        <is>
          <t>TORSBY</t>
        </is>
      </c>
      <c r="G807" t="n">
        <v>14.3</v>
      </c>
      <c r="H807" t="n">
        <v>0</v>
      </c>
      <c r="I807" t="n">
        <v>0</v>
      </c>
      <c r="J807" t="n">
        <v>0</v>
      </c>
      <c r="K807" t="n">
        <v>0</v>
      </c>
      <c r="L807" t="n">
        <v>0</v>
      </c>
      <c r="M807" t="n">
        <v>0</v>
      </c>
      <c r="N807" t="n">
        <v>0</v>
      </c>
      <c r="O807" t="n">
        <v>0</v>
      </c>
      <c r="P807" t="n">
        <v>0</v>
      </c>
      <c r="Q807" t="n">
        <v>0</v>
      </c>
      <c r="R807" s="2" t="inlineStr"/>
    </row>
    <row r="808" ht="15" customHeight="1">
      <c r="A808" t="inlineStr">
        <is>
          <t>A 51505-2021</t>
        </is>
      </c>
      <c r="B808" s="1" t="n">
        <v>44460</v>
      </c>
      <c r="C808" s="1" t="n">
        <v>45711</v>
      </c>
      <c r="D808" t="inlineStr">
        <is>
          <t>VÄRMLANDS LÄN</t>
        </is>
      </c>
      <c r="E808" t="inlineStr">
        <is>
          <t>TORSBY</t>
        </is>
      </c>
      <c r="G808" t="n">
        <v>1.1</v>
      </c>
      <c r="H808" t="n">
        <v>0</v>
      </c>
      <c r="I808" t="n">
        <v>0</v>
      </c>
      <c r="J808" t="n">
        <v>0</v>
      </c>
      <c r="K808" t="n">
        <v>0</v>
      </c>
      <c r="L808" t="n">
        <v>0</v>
      </c>
      <c r="M808" t="n">
        <v>0</v>
      </c>
      <c r="N808" t="n">
        <v>0</v>
      </c>
      <c r="O808" t="n">
        <v>0</v>
      </c>
      <c r="P808" t="n">
        <v>0</v>
      </c>
      <c r="Q808" t="n">
        <v>0</v>
      </c>
      <c r="R808" s="2" t="inlineStr"/>
    </row>
    <row r="809" ht="15" customHeight="1">
      <c r="A809" t="inlineStr">
        <is>
          <t>A 51494-2021</t>
        </is>
      </c>
      <c r="B809" s="1" t="n">
        <v>44460</v>
      </c>
      <c r="C809" s="1" t="n">
        <v>45711</v>
      </c>
      <c r="D809" t="inlineStr">
        <is>
          <t>VÄRMLANDS LÄN</t>
        </is>
      </c>
      <c r="E809" t="inlineStr">
        <is>
          <t>TORSBY</t>
        </is>
      </c>
      <c r="G809" t="n">
        <v>2.2</v>
      </c>
      <c r="H809" t="n">
        <v>0</v>
      </c>
      <c r="I809" t="n">
        <v>0</v>
      </c>
      <c r="J809" t="n">
        <v>0</v>
      </c>
      <c r="K809" t="n">
        <v>0</v>
      </c>
      <c r="L809" t="n">
        <v>0</v>
      </c>
      <c r="M809" t="n">
        <v>0</v>
      </c>
      <c r="N809" t="n">
        <v>0</v>
      </c>
      <c r="O809" t="n">
        <v>0</v>
      </c>
      <c r="P809" t="n">
        <v>0</v>
      </c>
      <c r="Q809" t="n">
        <v>0</v>
      </c>
      <c r="R809" s="2" t="inlineStr"/>
    </row>
    <row r="810" ht="15" customHeight="1">
      <c r="A810" t="inlineStr">
        <is>
          <t>A 51510-2021</t>
        </is>
      </c>
      <c r="B810" s="1" t="n">
        <v>44460</v>
      </c>
      <c r="C810" s="1" t="n">
        <v>45711</v>
      </c>
      <c r="D810" t="inlineStr">
        <is>
          <t>VÄRMLANDS LÄN</t>
        </is>
      </c>
      <c r="E810" t="inlineStr">
        <is>
          <t>TORSBY</t>
        </is>
      </c>
      <c r="G810" t="n">
        <v>0.5</v>
      </c>
      <c r="H810" t="n">
        <v>0</v>
      </c>
      <c r="I810" t="n">
        <v>0</v>
      </c>
      <c r="J810" t="n">
        <v>0</v>
      </c>
      <c r="K810" t="n">
        <v>0</v>
      </c>
      <c r="L810" t="n">
        <v>0</v>
      </c>
      <c r="M810" t="n">
        <v>0</v>
      </c>
      <c r="N810" t="n">
        <v>0</v>
      </c>
      <c r="O810" t="n">
        <v>0</v>
      </c>
      <c r="P810" t="n">
        <v>0</v>
      </c>
      <c r="Q810" t="n">
        <v>0</v>
      </c>
      <c r="R810" s="2" t="inlineStr"/>
    </row>
    <row r="811" ht="15" customHeight="1">
      <c r="A811" t="inlineStr">
        <is>
          <t>A 51099-2021</t>
        </is>
      </c>
      <c r="B811" s="1" t="n">
        <v>44461</v>
      </c>
      <c r="C811" s="1" t="n">
        <v>45711</v>
      </c>
      <c r="D811" t="inlineStr">
        <is>
          <t>VÄRMLANDS LÄN</t>
        </is>
      </c>
      <c r="E811" t="inlineStr">
        <is>
          <t>TORSBY</t>
        </is>
      </c>
      <c r="G811" t="n">
        <v>1.7</v>
      </c>
      <c r="H811" t="n">
        <v>0</v>
      </c>
      <c r="I811" t="n">
        <v>0</v>
      </c>
      <c r="J811" t="n">
        <v>0</v>
      </c>
      <c r="K811" t="n">
        <v>0</v>
      </c>
      <c r="L811" t="n">
        <v>0</v>
      </c>
      <c r="M811" t="n">
        <v>0</v>
      </c>
      <c r="N811" t="n">
        <v>0</v>
      </c>
      <c r="O811" t="n">
        <v>0</v>
      </c>
      <c r="P811" t="n">
        <v>0</v>
      </c>
      <c r="Q811" t="n">
        <v>0</v>
      </c>
      <c r="R811" s="2" t="inlineStr"/>
    </row>
    <row r="812" ht="15" customHeight="1">
      <c r="A812" t="inlineStr">
        <is>
          <t>A 51247-2021</t>
        </is>
      </c>
      <c r="B812" s="1" t="n">
        <v>44461</v>
      </c>
      <c r="C812" s="1" t="n">
        <v>45711</v>
      </c>
      <c r="D812" t="inlineStr">
        <is>
          <t>VÄRMLANDS LÄN</t>
        </is>
      </c>
      <c r="E812" t="inlineStr">
        <is>
          <t>TORSBY</t>
        </is>
      </c>
      <c r="G812" t="n">
        <v>0.6</v>
      </c>
      <c r="H812" t="n">
        <v>0</v>
      </c>
      <c r="I812" t="n">
        <v>0</v>
      </c>
      <c r="J812" t="n">
        <v>0</v>
      </c>
      <c r="K812" t="n">
        <v>0</v>
      </c>
      <c r="L812" t="n">
        <v>0</v>
      </c>
      <c r="M812" t="n">
        <v>0</v>
      </c>
      <c r="N812" t="n">
        <v>0</v>
      </c>
      <c r="O812" t="n">
        <v>0</v>
      </c>
      <c r="P812" t="n">
        <v>0</v>
      </c>
      <c r="Q812" t="n">
        <v>0</v>
      </c>
      <c r="R812" s="2" t="inlineStr"/>
    </row>
    <row r="813" ht="15" customHeight="1">
      <c r="A813" t="inlineStr">
        <is>
          <t>A 51372-2021</t>
        </is>
      </c>
      <c r="B813" s="1" t="n">
        <v>44461</v>
      </c>
      <c r="C813" s="1" t="n">
        <v>45711</v>
      </c>
      <c r="D813" t="inlineStr">
        <is>
          <t>VÄRMLANDS LÄN</t>
        </is>
      </c>
      <c r="E813" t="inlineStr">
        <is>
          <t>TORSBY</t>
        </is>
      </c>
      <c r="F813" t="inlineStr">
        <is>
          <t>Bergvik skog väst AB</t>
        </is>
      </c>
      <c r="G813" t="n">
        <v>2.3</v>
      </c>
      <c r="H813" t="n">
        <v>0</v>
      </c>
      <c r="I813" t="n">
        <v>0</v>
      </c>
      <c r="J813" t="n">
        <v>0</v>
      </c>
      <c r="K813" t="n">
        <v>0</v>
      </c>
      <c r="L813" t="n">
        <v>0</v>
      </c>
      <c r="M813" t="n">
        <v>0</v>
      </c>
      <c r="N813" t="n">
        <v>0</v>
      </c>
      <c r="O813" t="n">
        <v>0</v>
      </c>
      <c r="P813" t="n">
        <v>0</v>
      </c>
      <c r="Q813" t="n">
        <v>0</v>
      </c>
      <c r="R813" s="2" t="inlineStr"/>
    </row>
    <row r="814" ht="15" customHeight="1">
      <c r="A814" t="inlineStr">
        <is>
          <t>A 51819-2021</t>
        </is>
      </c>
      <c r="B814" s="1" t="n">
        <v>44462</v>
      </c>
      <c r="C814" s="1" t="n">
        <v>45711</v>
      </c>
      <c r="D814" t="inlineStr">
        <is>
          <t>VÄRMLANDS LÄN</t>
        </is>
      </c>
      <c r="E814" t="inlineStr">
        <is>
          <t>TORSBY</t>
        </is>
      </c>
      <c r="F814" t="inlineStr">
        <is>
          <t>Bergvik skog väst AB</t>
        </is>
      </c>
      <c r="G814" t="n">
        <v>14.7</v>
      </c>
      <c r="H814" t="n">
        <v>0</v>
      </c>
      <c r="I814" t="n">
        <v>0</v>
      </c>
      <c r="J814" t="n">
        <v>0</v>
      </c>
      <c r="K814" t="n">
        <v>0</v>
      </c>
      <c r="L814" t="n">
        <v>0</v>
      </c>
      <c r="M814" t="n">
        <v>0</v>
      </c>
      <c r="N814" t="n">
        <v>0</v>
      </c>
      <c r="O814" t="n">
        <v>0</v>
      </c>
      <c r="P814" t="n">
        <v>0</v>
      </c>
      <c r="Q814" t="n">
        <v>0</v>
      </c>
      <c r="R814" s="2" t="inlineStr"/>
    </row>
    <row r="815" ht="15" customHeight="1">
      <c r="A815" t="inlineStr">
        <is>
          <t>A 51522-2021</t>
        </is>
      </c>
      <c r="B815" s="1" t="n">
        <v>44462</v>
      </c>
      <c r="C815" s="1" t="n">
        <v>45711</v>
      </c>
      <c r="D815" t="inlineStr">
        <is>
          <t>VÄRMLANDS LÄN</t>
        </is>
      </c>
      <c r="E815" t="inlineStr">
        <is>
          <t>TORSBY</t>
        </is>
      </c>
      <c r="G815" t="n">
        <v>0.3</v>
      </c>
      <c r="H815" t="n">
        <v>0</v>
      </c>
      <c r="I815" t="n">
        <v>0</v>
      </c>
      <c r="J815" t="n">
        <v>0</v>
      </c>
      <c r="K815" t="n">
        <v>0</v>
      </c>
      <c r="L815" t="n">
        <v>0</v>
      </c>
      <c r="M815" t="n">
        <v>0</v>
      </c>
      <c r="N815" t="n">
        <v>0</v>
      </c>
      <c r="O815" t="n">
        <v>0</v>
      </c>
      <c r="P815" t="n">
        <v>0</v>
      </c>
      <c r="Q815" t="n">
        <v>0</v>
      </c>
      <c r="R815" s="2" t="inlineStr"/>
    </row>
    <row r="816" ht="15" customHeight="1">
      <c r="A816" t="inlineStr">
        <is>
          <t>A 52121-2021</t>
        </is>
      </c>
      <c r="B816" s="1" t="n">
        <v>44463</v>
      </c>
      <c r="C816" s="1" t="n">
        <v>45711</v>
      </c>
      <c r="D816" t="inlineStr">
        <is>
          <t>VÄRMLANDS LÄN</t>
        </is>
      </c>
      <c r="E816" t="inlineStr">
        <is>
          <t>TORSBY</t>
        </is>
      </c>
      <c r="G816" t="n">
        <v>0</v>
      </c>
      <c r="H816" t="n">
        <v>0</v>
      </c>
      <c r="I816" t="n">
        <v>0</v>
      </c>
      <c r="J816" t="n">
        <v>0</v>
      </c>
      <c r="K816" t="n">
        <v>0</v>
      </c>
      <c r="L816" t="n">
        <v>0</v>
      </c>
      <c r="M816" t="n">
        <v>0</v>
      </c>
      <c r="N816" t="n">
        <v>0</v>
      </c>
      <c r="O816" t="n">
        <v>0</v>
      </c>
      <c r="P816" t="n">
        <v>0</v>
      </c>
      <c r="Q816" t="n">
        <v>0</v>
      </c>
      <c r="R816" s="2" t="inlineStr"/>
    </row>
    <row r="817" ht="15" customHeight="1">
      <c r="A817" t="inlineStr">
        <is>
          <t>A 52520-2021</t>
        </is>
      </c>
      <c r="B817" s="1" t="n">
        <v>44466</v>
      </c>
      <c r="C817" s="1" t="n">
        <v>45711</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52728-2021</t>
        </is>
      </c>
      <c r="B818" s="1" t="n">
        <v>44467</v>
      </c>
      <c r="C818" s="1" t="n">
        <v>45711</v>
      </c>
      <c r="D818" t="inlineStr">
        <is>
          <t>VÄRMLANDS LÄN</t>
        </is>
      </c>
      <c r="E818" t="inlineStr">
        <is>
          <t>TORSBY</t>
        </is>
      </c>
      <c r="G818" t="n">
        <v>0.9</v>
      </c>
      <c r="H818" t="n">
        <v>0</v>
      </c>
      <c r="I818" t="n">
        <v>0</v>
      </c>
      <c r="J818" t="n">
        <v>0</v>
      </c>
      <c r="K818" t="n">
        <v>0</v>
      </c>
      <c r="L818" t="n">
        <v>0</v>
      </c>
      <c r="M818" t="n">
        <v>0</v>
      </c>
      <c r="N818" t="n">
        <v>0</v>
      </c>
      <c r="O818" t="n">
        <v>0</v>
      </c>
      <c r="P818" t="n">
        <v>0</v>
      </c>
      <c r="Q818" t="n">
        <v>0</v>
      </c>
      <c r="R818" s="2" t="inlineStr"/>
    </row>
    <row r="819" ht="15" customHeight="1">
      <c r="A819" t="inlineStr">
        <is>
          <t>A 52900-2021</t>
        </is>
      </c>
      <c r="B819" s="1" t="n">
        <v>44467</v>
      </c>
      <c r="C819" s="1" t="n">
        <v>45711</v>
      </c>
      <c r="D819" t="inlineStr">
        <is>
          <t>VÄRMLANDS LÄN</t>
        </is>
      </c>
      <c r="E819" t="inlineStr">
        <is>
          <t>TORSBY</t>
        </is>
      </c>
      <c r="G819" t="n">
        <v>3.8</v>
      </c>
      <c r="H819" t="n">
        <v>0</v>
      </c>
      <c r="I819" t="n">
        <v>0</v>
      </c>
      <c r="J819" t="n">
        <v>0</v>
      </c>
      <c r="K819" t="n">
        <v>0</v>
      </c>
      <c r="L819" t="n">
        <v>0</v>
      </c>
      <c r="M819" t="n">
        <v>0</v>
      </c>
      <c r="N819" t="n">
        <v>0</v>
      </c>
      <c r="O819" t="n">
        <v>0</v>
      </c>
      <c r="P819" t="n">
        <v>0</v>
      </c>
      <c r="Q819" t="n">
        <v>0</v>
      </c>
      <c r="R819" s="2" t="inlineStr"/>
    </row>
    <row r="820" ht="15" customHeight="1">
      <c r="A820" t="inlineStr">
        <is>
          <t>A 53705-2021</t>
        </is>
      </c>
      <c r="B820" s="1" t="n">
        <v>44469</v>
      </c>
      <c r="C820" s="1" t="n">
        <v>45711</v>
      </c>
      <c r="D820" t="inlineStr">
        <is>
          <t>VÄRMLANDS LÄN</t>
        </is>
      </c>
      <c r="E820" t="inlineStr">
        <is>
          <t>TORSBY</t>
        </is>
      </c>
      <c r="F820" t="inlineStr">
        <is>
          <t>Kyrkan</t>
        </is>
      </c>
      <c r="G820" t="n">
        <v>12.4</v>
      </c>
      <c r="H820" t="n">
        <v>0</v>
      </c>
      <c r="I820" t="n">
        <v>0</v>
      </c>
      <c r="J820" t="n">
        <v>0</v>
      </c>
      <c r="K820" t="n">
        <v>0</v>
      </c>
      <c r="L820" t="n">
        <v>0</v>
      </c>
      <c r="M820" t="n">
        <v>0</v>
      </c>
      <c r="N820" t="n">
        <v>0</v>
      </c>
      <c r="O820" t="n">
        <v>0</v>
      </c>
      <c r="P820" t="n">
        <v>0</v>
      </c>
      <c r="Q820" t="n">
        <v>0</v>
      </c>
      <c r="R820" s="2" t="inlineStr"/>
    </row>
    <row r="821" ht="15" customHeight="1">
      <c r="A821" t="inlineStr">
        <is>
          <t>A 54029-2021</t>
        </is>
      </c>
      <c r="B821" s="1" t="n">
        <v>44470</v>
      </c>
      <c r="C821" s="1" t="n">
        <v>45711</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54033-2021</t>
        </is>
      </c>
      <c r="B822" s="1" t="n">
        <v>44470</v>
      </c>
      <c r="C822" s="1" t="n">
        <v>45711</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55794-2021</t>
        </is>
      </c>
      <c r="B823" s="1" t="n">
        <v>44476</v>
      </c>
      <c r="C823" s="1" t="n">
        <v>45711</v>
      </c>
      <c r="D823" t="inlineStr">
        <is>
          <t>VÄRMLANDS LÄN</t>
        </is>
      </c>
      <c r="E823" t="inlineStr">
        <is>
          <t>TORSBY</t>
        </is>
      </c>
      <c r="G823" t="n">
        <v>2.2</v>
      </c>
      <c r="H823" t="n">
        <v>0</v>
      </c>
      <c r="I823" t="n">
        <v>0</v>
      </c>
      <c r="J823" t="n">
        <v>0</v>
      </c>
      <c r="K823" t="n">
        <v>0</v>
      </c>
      <c r="L823" t="n">
        <v>0</v>
      </c>
      <c r="M823" t="n">
        <v>0</v>
      </c>
      <c r="N823" t="n">
        <v>0</v>
      </c>
      <c r="O823" t="n">
        <v>0</v>
      </c>
      <c r="P823" t="n">
        <v>0</v>
      </c>
      <c r="Q823" t="n">
        <v>0</v>
      </c>
      <c r="R823" s="2" t="inlineStr"/>
    </row>
    <row r="824" ht="15" customHeight="1">
      <c r="A824" t="inlineStr">
        <is>
          <t>A 55811-2021</t>
        </is>
      </c>
      <c r="B824" s="1" t="n">
        <v>44476</v>
      </c>
      <c r="C824" s="1" t="n">
        <v>45711</v>
      </c>
      <c r="D824" t="inlineStr">
        <is>
          <t>VÄRMLANDS LÄN</t>
        </is>
      </c>
      <c r="E824" t="inlineStr">
        <is>
          <t>TORSBY</t>
        </is>
      </c>
      <c r="G824" t="n">
        <v>3.7</v>
      </c>
      <c r="H824" t="n">
        <v>0</v>
      </c>
      <c r="I824" t="n">
        <v>0</v>
      </c>
      <c r="J824" t="n">
        <v>0</v>
      </c>
      <c r="K824" t="n">
        <v>0</v>
      </c>
      <c r="L824" t="n">
        <v>0</v>
      </c>
      <c r="M824" t="n">
        <v>0</v>
      </c>
      <c r="N824" t="n">
        <v>0</v>
      </c>
      <c r="O824" t="n">
        <v>0</v>
      </c>
      <c r="P824" t="n">
        <v>0</v>
      </c>
      <c r="Q824" t="n">
        <v>0</v>
      </c>
      <c r="R824" s="2" t="inlineStr"/>
    </row>
    <row r="825" ht="15" customHeight="1">
      <c r="A825" t="inlineStr">
        <is>
          <t>A 56102-2021</t>
        </is>
      </c>
      <c r="B825" s="1" t="n">
        <v>44477</v>
      </c>
      <c r="C825" s="1" t="n">
        <v>45711</v>
      </c>
      <c r="D825" t="inlineStr">
        <is>
          <t>VÄRMLANDS LÄN</t>
        </is>
      </c>
      <c r="E825" t="inlineStr">
        <is>
          <t>TORSBY</t>
        </is>
      </c>
      <c r="G825" t="n">
        <v>4.6</v>
      </c>
      <c r="H825" t="n">
        <v>0</v>
      </c>
      <c r="I825" t="n">
        <v>0</v>
      </c>
      <c r="J825" t="n">
        <v>0</v>
      </c>
      <c r="K825" t="n">
        <v>0</v>
      </c>
      <c r="L825" t="n">
        <v>0</v>
      </c>
      <c r="M825" t="n">
        <v>0</v>
      </c>
      <c r="N825" t="n">
        <v>0</v>
      </c>
      <c r="O825" t="n">
        <v>0</v>
      </c>
      <c r="P825" t="n">
        <v>0</v>
      </c>
      <c r="Q825" t="n">
        <v>0</v>
      </c>
      <c r="R825" s="2" t="inlineStr"/>
    </row>
    <row r="826" ht="15" customHeight="1">
      <c r="A826" t="inlineStr">
        <is>
          <t>A 56037-2021</t>
        </is>
      </c>
      <c r="B826" s="1" t="n">
        <v>44477</v>
      </c>
      <c r="C826" s="1" t="n">
        <v>45711</v>
      </c>
      <c r="D826" t="inlineStr">
        <is>
          <t>VÄRMLANDS LÄN</t>
        </is>
      </c>
      <c r="E826" t="inlineStr">
        <is>
          <t>TORSBY</t>
        </is>
      </c>
      <c r="F826" t="inlineStr">
        <is>
          <t>Bergvik skog väst AB</t>
        </is>
      </c>
      <c r="G826" t="n">
        <v>1.5</v>
      </c>
      <c r="H826" t="n">
        <v>0</v>
      </c>
      <c r="I826" t="n">
        <v>0</v>
      </c>
      <c r="J826" t="n">
        <v>0</v>
      </c>
      <c r="K826" t="n">
        <v>0</v>
      </c>
      <c r="L826" t="n">
        <v>0</v>
      </c>
      <c r="M826" t="n">
        <v>0</v>
      </c>
      <c r="N826" t="n">
        <v>0</v>
      </c>
      <c r="O826" t="n">
        <v>0</v>
      </c>
      <c r="P826" t="n">
        <v>0</v>
      </c>
      <c r="Q826" t="n">
        <v>0</v>
      </c>
      <c r="R826" s="2" t="inlineStr"/>
    </row>
    <row r="827" ht="15" customHeight="1">
      <c r="A827" t="inlineStr">
        <is>
          <t>A 56062-2021</t>
        </is>
      </c>
      <c r="B827" s="1" t="n">
        <v>44477</v>
      </c>
      <c r="C827" s="1" t="n">
        <v>45711</v>
      </c>
      <c r="D827" t="inlineStr">
        <is>
          <t>VÄRMLANDS LÄN</t>
        </is>
      </c>
      <c r="E827" t="inlineStr">
        <is>
          <t>TORSBY</t>
        </is>
      </c>
      <c r="G827" t="n">
        <v>0.9</v>
      </c>
      <c r="H827" t="n">
        <v>0</v>
      </c>
      <c r="I827" t="n">
        <v>0</v>
      </c>
      <c r="J827" t="n">
        <v>0</v>
      </c>
      <c r="K827" t="n">
        <v>0</v>
      </c>
      <c r="L827" t="n">
        <v>0</v>
      </c>
      <c r="M827" t="n">
        <v>0</v>
      </c>
      <c r="N827" t="n">
        <v>0</v>
      </c>
      <c r="O827" t="n">
        <v>0</v>
      </c>
      <c r="P827" t="n">
        <v>0</v>
      </c>
      <c r="Q827" t="n">
        <v>0</v>
      </c>
      <c r="R827" s="2" t="inlineStr"/>
    </row>
    <row r="828" ht="15" customHeight="1">
      <c r="A828" t="inlineStr">
        <is>
          <t>A 56981-2021</t>
        </is>
      </c>
      <c r="B828" s="1" t="n">
        <v>44482</v>
      </c>
      <c r="C828" s="1" t="n">
        <v>45711</v>
      </c>
      <c r="D828" t="inlineStr">
        <is>
          <t>VÄRMLANDS LÄN</t>
        </is>
      </c>
      <c r="E828" t="inlineStr">
        <is>
          <t>TORSBY</t>
        </is>
      </c>
      <c r="G828" t="n">
        <v>2.2</v>
      </c>
      <c r="H828" t="n">
        <v>0</v>
      </c>
      <c r="I828" t="n">
        <v>0</v>
      </c>
      <c r="J828" t="n">
        <v>0</v>
      </c>
      <c r="K828" t="n">
        <v>0</v>
      </c>
      <c r="L828" t="n">
        <v>0</v>
      </c>
      <c r="M828" t="n">
        <v>0</v>
      </c>
      <c r="N828" t="n">
        <v>0</v>
      </c>
      <c r="O828" t="n">
        <v>0</v>
      </c>
      <c r="P828" t="n">
        <v>0</v>
      </c>
      <c r="Q828" t="n">
        <v>0</v>
      </c>
      <c r="R828" s="2" t="inlineStr"/>
    </row>
    <row r="829" ht="15" customHeight="1">
      <c r="A829" t="inlineStr">
        <is>
          <t>A 57287-2021</t>
        </is>
      </c>
      <c r="B829" s="1" t="n">
        <v>44482</v>
      </c>
      <c r="C829" s="1" t="n">
        <v>45711</v>
      </c>
      <c r="D829" t="inlineStr">
        <is>
          <t>VÄRMLANDS LÄN</t>
        </is>
      </c>
      <c r="E829" t="inlineStr">
        <is>
          <t>TORSBY</t>
        </is>
      </c>
      <c r="G829" t="n">
        <v>2.7</v>
      </c>
      <c r="H829" t="n">
        <v>0</v>
      </c>
      <c r="I829" t="n">
        <v>0</v>
      </c>
      <c r="J829" t="n">
        <v>0</v>
      </c>
      <c r="K829" t="n">
        <v>0</v>
      </c>
      <c r="L829" t="n">
        <v>0</v>
      </c>
      <c r="M829" t="n">
        <v>0</v>
      </c>
      <c r="N829" t="n">
        <v>0</v>
      </c>
      <c r="O829" t="n">
        <v>0</v>
      </c>
      <c r="P829" t="n">
        <v>0</v>
      </c>
      <c r="Q829" t="n">
        <v>0</v>
      </c>
      <c r="R829" s="2" t="inlineStr"/>
    </row>
    <row r="830" ht="15" customHeight="1">
      <c r="A830" t="inlineStr">
        <is>
          <t>A 58062-2021</t>
        </is>
      </c>
      <c r="B830" s="1" t="n">
        <v>44487</v>
      </c>
      <c r="C830" s="1" t="n">
        <v>45711</v>
      </c>
      <c r="D830" t="inlineStr">
        <is>
          <t>VÄRMLANDS LÄN</t>
        </is>
      </c>
      <c r="E830" t="inlineStr">
        <is>
          <t>TORSBY</t>
        </is>
      </c>
      <c r="G830" t="n">
        <v>6</v>
      </c>
      <c r="H830" t="n">
        <v>0</v>
      </c>
      <c r="I830" t="n">
        <v>0</v>
      </c>
      <c r="J830" t="n">
        <v>0</v>
      </c>
      <c r="K830" t="n">
        <v>0</v>
      </c>
      <c r="L830" t="n">
        <v>0</v>
      </c>
      <c r="M830" t="n">
        <v>0</v>
      </c>
      <c r="N830" t="n">
        <v>0</v>
      </c>
      <c r="O830" t="n">
        <v>0</v>
      </c>
      <c r="P830" t="n">
        <v>0</v>
      </c>
      <c r="Q830" t="n">
        <v>0</v>
      </c>
      <c r="R830" s="2" t="inlineStr"/>
    </row>
    <row r="831" ht="15" customHeight="1">
      <c r="A831" t="inlineStr">
        <is>
          <t>A 58479-2021</t>
        </is>
      </c>
      <c r="B831" s="1" t="n">
        <v>44488</v>
      </c>
      <c r="C831" s="1" t="n">
        <v>45711</v>
      </c>
      <c r="D831" t="inlineStr">
        <is>
          <t>VÄRMLANDS LÄN</t>
        </is>
      </c>
      <c r="E831" t="inlineStr">
        <is>
          <t>TORSBY</t>
        </is>
      </c>
      <c r="G831" t="n">
        <v>1.6</v>
      </c>
      <c r="H831" t="n">
        <v>0</v>
      </c>
      <c r="I831" t="n">
        <v>0</v>
      </c>
      <c r="J831" t="n">
        <v>0</v>
      </c>
      <c r="K831" t="n">
        <v>0</v>
      </c>
      <c r="L831" t="n">
        <v>0</v>
      </c>
      <c r="M831" t="n">
        <v>0</v>
      </c>
      <c r="N831" t="n">
        <v>0</v>
      </c>
      <c r="O831" t="n">
        <v>0</v>
      </c>
      <c r="P831" t="n">
        <v>0</v>
      </c>
      <c r="Q831" t="n">
        <v>0</v>
      </c>
      <c r="R831" s="2" t="inlineStr"/>
    </row>
    <row r="832" ht="15" customHeight="1">
      <c r="A832" t="inlineStr">
        <is>
          <t>A 58476-2021</t>
        </is>
      </c>
      <c r="B832" s="1" t="n">
        <v>44488</v>
      </c>
      <c r="C832" s="1" t="n">
        <v>45711</v>
      </c>
      <c r="D832" t="inlineStr">
        <is>
          <t>VÄRMLANDS LÄN</t>
        </is>
      </c>
      <c r="E832" t="inlineStr">
        <is>
          <t>TORSBY</t>
        </is>
      </c>
      <c r="G832" t="n">
        <v>1.4</v>
      </c>
      <c r="H832" t="n">
        <v>0</v>
      </c>
      <c r="I832" t="n">
        <v>0</v>
      </c>
      <c r="J832" t="n">
        <v>0</v>
      </c>
      <c r="K832" t="n">
        <v>0</v>
      </c>
      <c r="L832" t="n">
        <v>0</v>
      </c>
      <c r="M832" t="n">
        <v>0</v>
      </c>
      <c r="N832" t="n">
        <v>0</v>
      </c>
      <c r="O832" t="n">
        <v>0</v>
      </c>
      <c r="P832" t="n">
        <v>0</v>
      </c>
      <c r="Q832" t="n">
        <v>0</v>
      </c>
      <c r="R832" s="2" t="inlineStr"/>
    </row>
    <row r="833" ht="15" customHeight="1">
      <c r="A833" t="inlineStr">
        <is>
          <t>A 58543-2021</t>
        </is>
      </c>
      <c r="B833" s="1" t="n">
        <v>44488</v>
      </c>
      <c r="C833" s="1" t="n">
        <v>45711</v>
      </c>
      <c r="D833" t="inlineStr">
        <is>
          <t>VÄRMLANDS LÄN</t>
        </is>
      </c>
      <c r="E833" t="inlineStr">
        <is>
          <t>TORSBY</t>
        </is>
      </c>
      <c r="F833" t="inlineStr">
        <is>
          <t>Bergvik skog väst AB</t>
        </is>
      </c>
      <c r="G833" t="n">
        <v>7.1</v>
      </c>
      <c r="H833" t="n">
        <v>0</v>
      </c>
      <c r="I833" t="n">
        <v>0</v>
      </c>
      <c r="J833" t="n">
        <v>0</v>
      </c>
      <c r="K833" t="n">
        <v>0</v>
      </c>
      <c r="L833" t="n">
        <v>0</v>
      </c>
      <c r="M833" t="n">
        <v>0</v>
      </c>
      <c r="N833" t="n">
        <v>0</v>
      </c>
      <c r="O833" t="n">
        <v>0</v>
      </c>
      <c r="P833" t="n">
        <v>0</v>
      </c>
      <c r="Q833" t="n">
        <v>0</v>
      </c>
      <c r="R833" s="2" t="inlineStr"/>
    </row>
    <row r="834" ht="15" customHeight="1">
      <c r="A834" t="inlineStr">
        <is>
          <t>A 58728-2021</t>
        </is>
      </c>
      <c r="B834" s="1" t="n">
        <v>44489</v>
      </c>
      <c r="C834" s="1" t="n">
        <v>45711</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59425-2021</t>
        </is>
      </c>
      <c r="B835" s="1" t="n">
        <v>44491</v>
      </c>
      <c r="C835" s="1" t="n">
        <v>45711</v>
      </c>
      <c r="D835" t="inlineStr">
        <is>
          <t>VÄRMLANDS LÄN</t>
        </is>
      </c>
      <c r="E835" t="inlineStr">
        <is>
          <t>TORSBY</t>
        </is>
      </c>
      <c r="F835" t="inlineStr">
        <is>
          <t>Bergvik skog väst AB</t>
        </is>
      </c>
      <c r="G835" t="n">
        <v>14.9</v>
      </c>
      <c r="H835" t="n">
        <v>0</v>
      </c>
      <c r="I835" t="n">
        <v>0</v>
      </c>
      <c r="J835" t="n">
        <v>0</v>
      </c>
      <c r="K835" t="n">
        <v>0</v>
      </c>
      <c r="L835" t="n">
        <v>0</v>
      </c>
      <c r="M835" t="n">
        <v>0</v>
      </c>
      <c r="N835" t="n">
        <v>0</v>
      </c>
      <c r="O835" t="n">
        <v>0</v>
      </c>
      <c r="P835" t="n">
        <v>0</v>
      </c>
      <c r="Q835" t="n">
        <v>0</v>
      </c>
      <c r="R835" s="2" t="inlineStr"/>
    </row>
    <row r="836" ht="15" customHeight="1">
      <c r="A836" t="inlineStr">
        <is>
          <t>A 60428-2021</t>
        </is>
      </c>
      <c r="B836" s="1" t="n">
        <v>44496</v>
      </c>
      <c r="C836" s="1" t="n">
        <v>45711</v>
      </c>
      <c r="D836" t="inlineStr">
        <is>
          <t>VÄRMLANDS LÄN</t>
        </is>
      </c>
      <c r="E836" t="inlineStr">
        <is>
          <t>TORSBY</t>
        </is>
      </c>
      <c r="G836" t="n">
        <v>0.5</v>
      </c>
      <c r="H836" t="n">
        <v>0</v>
      </c>
      <c r="I836" t="n">
        <v>0</v>
      </c>
      <c r="J836" t="n">
        <v>0</v>
      </c>
      <c r="K836" t="n">
        <v>0</v>
      </c>
      <c r="L836" t="n">
        <v>0</v>
      </c>
      <c r="M836" t="n">
        <v>0</v>
      </c>
      <c r="N836" t="n">
        <v>0</v>
      </c>
      <c r="O836" t="n">
        <v>0</v>
      </c>
      <c r="P836" t="n">
        <v>0</v>
      </c>
      <c r="Q836" t="n">
        <v>0</v>
      </c>
      <c r="R836" s="2" t="inlineStr"/>
    </row>
    <row r="837" ht="15" customHeight="1">
      <c r="A837" t="inlineStr">
        <is>
          <t>A 60430-2021</t>
        </is>
      </c>
      <c r="B837" s="1" t="n">
        <v>44496</v>
      </c>
      <c r="C837" s="1" t="n">
        <v>45711</v>
      </c>
      <c r="D837" t="inlineStr">
        <is>
          <t>VÄRMLANDS LÄN</t>
        </is>
      </c>
      <c r="E837" t="inlineStr">
        <is>
          <t>TORSBY</t>
        </is>
      </c>
      <c r="G837" t="n">
        <v>1</v>
      </c>
      <c r="H837" t="n">
        <v>0</v>
      </c>
      <c r="I837" t="n">
        <v>0</v>
      </c>
      <c r="J837" t="n">
        <v>0</v>
      </c>
      <c r="K837" t="n">
        <v>0</v>
      </c>
      <c r="L837" t="n">
        <v>0</v>
      </c>
      <c r="M837" t="n">
        <v>0</v>
      </c>
      <c r="N837" t="n">
        <v>0</v>
      </c>
      <c r="O837" t="n">
        <v>0</v>
      </c>
      <c r="P837" t="n">
        <v>0</v>
      </c>
      <c r="Q837" t="n">
        <v>0</v>
      </c>
      <c r="R837" s="2" t="inlineStr"/>
    </row>
    <row r="838" ht="15" customHeight="1">
      <c r="A838" t="inlineStr">
        <is>
          <t>A 60698-2021</t>
        </is>
      </c>
      <c r="B838" s="1" t="n">
        <v>44496</v>
      </c>
      <c r="C838" s="1" t="n">
        <v>45711</v>
      </c>
      <c r="D838" t="inlineStr">
        <is>
          <t>VÄRMLANDS LÄN</t>
        </is>
      </c>
      <c r="E838" t="inlineStr">
        <is>
          <t>TORSBY</t>
        </is>
      </c>
      <c r="G838" t="n">
        <v>1.7</v>
      </c>
      <c r="H838" t="n">
        <v>0</v>
      </c>
      <c r="I838" t="n">
        <v>0</v>
      </c>
      <c r="J838" t="n">
        <v>0</v>
      </c>
      <c r="K838" t="n">
        <v>0</v>
      </c>
      <c r="L838" t="n">
        <v>0</v>
      </c>
      <c r="M838" t="n">
        <v>0</v>
      </c>
      <c r="N838" t="n">
        <v>0</v>
      </c>
      <c r="O838" t="n">
        <v>0</v>
      </c>
      <c r="P838" t="n">
        <v>0</v>
      </c>
      <c r="Q838" t="n">
        <v>0</v>
      </c>
      <c r="R838" s="2" t="inlineStr"/>
    </row>
    <row r="839" ht="15" customHeight="1">
      <c r="A839" t="inlineStr">
        <is>
          <t>A 61231-2021</t>
        </is>
      </c>
      <c r="B839" s="1" t="n">
        <v>44496</v>
      </c>
      <c r="C839" s="1" t="n">
        <v>45711</v>
      </c>
      <c r="D839" t="inlineStr">
        <is>
          <t>VÄRMLANDS LÄN</t>
        </is>
      </c>
      <c r="E839" t="inlineStr">
        <is>
          <t>TORSBY</t>
        </is>
      </c>
      <c r="G839" t="n">
        <v>1.1</v>
      </c>
      <c r="H839" t="n">
        <v>0</v>
      </c>
      <c r="I839" t="n">
        <v>0</v>
      </c>
      <c r="J839" t="n">
        <v>0</v>
      </c>
      <c r="K839" t="n">
        <v>0</v>
      </c>
      <c r="L839" t="n">
        <v>0</v>
      </c>
      <c r="M839" t="n">
        <v>0</v>
      </c>
      <c r="N839" t="n">
        <v>0</v>
      </c>
      <c r="O839" t="n">
        <v>0</v>
      </c>
      <c r="P839" t="n">
        <v>0</v>
      </c>
      <c r="Q839" t="n">
        <v>0</v>
      </c>
      <c r="R839" s="2" t="inlineStr"/>
    </row>
    <row r="840" ht="15" customHeight="1">
      <c r="A840" t="inlineStr">
        <is>
          <t>A 61812-2021</t>
        </is>
      </c>
      <c r="B840" s="1" t="n">
        <v>44501</v>
      </c>
      <c r="C840" s="1" t="n">
        <v>45711</v>
      </c>
      <c r="D840" t="inlineStr">
        <is>
          <t>VÄRMLANDS LÄN</t>
        </is>
      </c>
      <c r="E840" t="inlineStr">
        <is>
          <t>TORSBY</t>
        </is>
      </c>
      <c r="G840" t="n">
        <v>5.3</v>
      </c>
      <c r="H840" t="n">
        <v>0</v>
      </c>
      <c r="I840" t="n">
        <v>0</v>
      </c>
      <c r="J840" t="n">
        <v>0</v>
      </c>
      <c r="K840" t="n">
        <v>0</v>
      </c>
      <c r="L840" t="n">
        <v>0</v>
      </c>
      <c r="M840" t="n">
        <v>0</v>
      </c>
      <c r="N840" t="n">
        <v>0</v>
      </c>
      <c r="O840" t="n">
        <v>0</v>
      </c>
      <c r="P840" t="n">
        <v>0</v>
      </c>
      <c r="Q840" t="n">
        <v>0</v>
      </c>
      <c r="R840" s="2" t="inlineStr"/>
    </row>
    <row r="841" ht="15" customHeight="1">
      <c r="A841" t="inlineStr">
        <is>
          <t>A 61809-2021</t>
        </is>
      </c>
      <c r="B841" s="1" t="n">
        <v>44501</v>
      </c>
      <c r="C841" s="1" t="n">
        <v>45711</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62045-2021</t>
        </is>
      </c>
      <c r="B842" s="1" t="n">
        <v>44502</v>
      </c>
      <c r="C842" s="1" t="n">
        <v>45711</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62039-2021</t>
        </is>
      </c>
      <c r="B843" s="1" t="n">
        <v>44502</v>
      </c>
      <c r="C843" s="1" t="n">
        <v>45711</v>
      </c>
      <c r="D843" t="inlineStr">
        <is>
          <t>VÄRMLANDS LÄN</t>
        </is>
      </c>
      <c r="E843" t="inlineStr">
        <is>
          <t>TORSBY</t>
        </is>
      </c>
      <c r="G843" t="n">
        <v>1.5</v>
      </c>
      <c r="H843" t="n">
        <v>0</v>
      </c>
      <c r="I843" t="n">
        <v>0</v>
      </c>
      <c r="J843" t="n">
        <v>0</v>
      </c>
      <c r="K843" t="n">
        <v>0</v>
      </c>
      <c r="L843" t="n">
        <v>0</v>
      </c>
      <c r="M843" t="n">
        <v>0</v>
      </c>
      <c r="N843" t="n">
        <v>0</v>
      </c>
      <c r="O843" t="n">
        <v>0</v>
      </c>
      <c r="P843" t="n">
        <v>0</v>
      </c>
      <c r="Q843" t="n">
        <v>0</v>
      </c>
      <c r="R843" s="2" t="inlineStr"/>
    </row>
    <row r="844" ht="15" customHeight="1">
      <c r="A844" t="inlineStr">
        <is>
          <t>A 62576-2021</t>
        </is>
      </c>
      <c r="B844" s="1" t="n">
        <v>44502</v>
      </c>
      <c r="C844" s="1" t="n">
        <v>45711</v>
      </c>
      <c r="D844" t="inlineStr">
        <is>
          <t>VÄRMLANDS LÄN</t>
        </is>
      </c>
      <c r="E844" t="inlineStr">
        <is>
          <t>TORSBY</t>
        </is>
      </c>
      <c r="G844" t="n">
        <v>3.3</v>
      </c>
      <c r="H844" t="n">
        <v>0</v>
      </c>
      <c r="I844" t="n">
        <v>0</v>
      </c>
      <c r="J844" t="n">
        <v>0</v>
      </c>
      <c r="K844" t="n">
        <v>0</v>
      </c>
      <c r="L844" t="n">
        <v>0</v>
      </c>
      <c r="M844" t="n">
        <v>0</v>
      </c>
      <c r="N844" t="n">
        <v>0</v>
      </c>
      <c r="O844" t="n">
        <v>0</v>
      </c>
      <c r="P844" t="n">
        <v>0</v>
      </c>
      <c r="Q844" t="n">
        <v>0</v>
      </c>
      <c r="R844" s="2" t="inlineStr"/>
    </row>
    <row r="845" ht="15" customHeight="1">
      <c r="A845" t="inlineStr">
        <is>
          <t>A 62845-2021</t>
        </is>
      </c>
      <c r="B845" s="1" t="n">
        <v>44504</v>
      </c>
      <c r="C845" s="1" t="n">
        <v>45711</v>
      </c>
      <c r="D845" t="inlineStr">
        <is>
          <t>VÄRMLANDS LÄN</t>
        </is>
      </c>
      <c r="E845" t="inlineStr">
        <is>
          <t>TORSBY</t>
        </is>
      </c>
      <c r="G845" t="n">
        <v>4.3</v>
      </c>
      <c r="H845" t="n">
        <v>0</v>
      </c>
      <c r="I845" t="n">
        <v>0</v>
      </c>
      <c r="J845" t="n">
        <v>0</v>
      </c>
      <c r="K845" t="n">
        <v>0</v>
      </c>
      <c r="L845" t="n">
        <v>0</v>
      </c>
      <c r="M845" t="n">
        <v>0</v>
      </c>
      <c r="N845" t="n">
        <v>0</v>
      </c>
      <c r="O845" t="n">
        <v>0</v>
      </c>
      <c r="P845" t="n">
        <v>0</v>
      </c>
      <c r="Q845" t="n">
        <v>0</v>
      </c>
      <c r="R845" s="2" t="inlineStr"/>
    </row>
    <row r="846" ht="15" customHeight="1">
      <c r="A846" t="inlineStr">
        <is>
          <t>A 63251-2021</t>
        </is>
      </c>
      <c r="B846" s="1" t="n">
        <v>44508</v>
      </c>
      <c r="C846" s="1" t="n">
        <v>45711</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63527-2021</t>
        </is>
      </c>
      <c r="B847" s="1" t="n">
        <v>44508</v>
      </c>
      <c r="C847" s="1" t="n">
        <v>45711</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64780-2021</t>
        </is>
      </c>
      <c r="B848" s="1" t="n">
        <v>44512</v>
      </c>
      <c r="C848" s="1" t="n">
        <v>45711</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64902-2021</t>
        </is>
      </c>
      <c r="B849" s="1" t="n">
        <v>44512</v>
      </c>
      <c r="C849" s="1" t="n">
        <v>45711</v>
      </c>
      <c r="D849" t="inlineStr">
        <is>
          <t>VÄRMLANDS LÄN</t>
        </is>
      </c>
      <c r="E849" t="inlineStr">
        <is>
          <t>TORSBY</t>
        </is>
      </c>
      <c r="G849" t="n">
        <v>6.1</v>
      </c>
      <c r="H849" t="n">
        <v>0</v>
      </c>
      <c r="I849" t="n">
        <v>0</v>
      </c>
      <c r="J849" t="n">
        <v>0</v>
      </c>
      <c r="K849" t="n">
        <v>0</v>
      </c>
      <c r="L849" t="n">
        <v>0</v>
      </c>
      <c r="M849" t="n">
        <v>0</v>
      </c>
      <c r="N849" t="n">
        <v>0</v>
      </c>
      <c r="O849" t="n">
        <v>0</v>
      </c>
      <c r="P849" t="n">
        <v>0</v>
      </c>
      <c r="Q849" t="n">
        <v>0</v>
      </c>
      <c r="R849" s="2" t="inlineStr"/>
    </row>
    <row r="850" ht="15" customHeight="1">
      <c r="A850" t="inlineStr">
        <is>
          <t>A 65182-2021</t>
        </is>
      </c>
      <c r="B850" s="1" t="n">
        <v>44515</v>
      </c>
      <c r="C850" s="1" t="n">
        <v>45711</v>
      </c>
      <c r="D850" t="inlineStr">
        <is>
          <t>VÄRMLANDS LÄN</t>
        </is>
      </c>
      <c r="E850" t="inlineStr">
        <is>
          <t>TORSBY</t>
        </is>
      </c>
      <c r="G850" t="n">
        <v>5.9</v>
      </c>
      <c r="H850" t="n">
        <v>0</v>
      </c>
      <c r="I850" t="n">
        <v>0</v>
      </c>
      <c r="J850" t="n">
        <v>0</v>
      </c>
      <c r="K850" t="n">
        <v>0</v>
      </c>
      <c r="L850" t="n">
        <v>0</v>
      </c>
      <c r="M850" t="n">
        <v>0</v>
      </c>
      <c r="N850" t="n">
        <v>0</v>
      </c>
      <c r="O850" t="n">
        <v>0</v>
      </c>
      <c r="P850" t="n">
        <v>0</v>
      </c>
      <c r="Q850" t="n">
        <v>0</v>
      </c>
      <c r="R850" s="2" t="inlineStr"/>
    </row>
    <row r="851" ht="15" customHeight="1">
      <c r="A851" t="inlineStr">
        <is>
          <t>A 65301-2021</t>
        </is>
      </c>
      <c r="B851" s="1" t="n">
        <v>44515</v>
      </c>
      <c r="C851" s="1" t="n">
        <v>45711</v>
      </c>
      <c r="D851" t="inlineStr">
        <is>
          <t>VÄRMLANDS LÄN</t>
        </is>
      </c>
      <c r="E851" t="inlineStr">
        <is>
          <t>TORSBY</t>
        </is>
      </c>
      <c r="G851" t="n">
        <v>2.9</v>
      </c>
      <c r="H851" t="n">
        <v>0</v>
      </c>
      <c r="I851" t="n">
        <v>0</v>
      </c>
      <c r="J851" t="n">
        <v>0</v>
      </c>
      <c r="K851" t="n">
        <v>0</v>
      </c>
      <c r="L851" t="n">
        <v>0</v>
      </c>
      <c r="M851" t="n">
        <v>0</v>
      </c>
      <c r="N851" t="n">
        <v>0</v>
      </c>
      <c r="O851" t="n">
        <v>0</v>
      </c>
      <c r="P851" t="n">
        <v>0</v>
      </c>
      <c r="Q851" t="n">
        <v>0</v>
      </c>
      <c r="R851" s="2" t="inlineStr"/>
    </row>
    <row r="852" ht="15" customHeight="1">
      <c r="A852" t="inlineStr">
        <is>
          <t>A 65537-2021</t>
        </is>
      </c>
      <c r="B852" s="1" t="n">
        <v>44516</v>
      </c>
      <c r="C852" s="1" t="n">
        <v>45711</v>
      </c>
      <c r="D852" t="inlineStr">
        <is>
          <t>VÄRMLANDS LÄN</t>
        </is>
      </c>
      <c r="E852" t="inlineStr">
        <is>
          <t>TORSBY</t>
        </is>
      </c>
      <c r="G852" t="n">
        <v>2.8</v>
      </c>
      <c r="H852" t="n">
        <v>0</v>
      </c>
      <c r="I852" t="n">
        <v>0</v>
      </c>
      <c r="J852" t="n">
        <v>0</v>
      </c>
      <c r="K852" t="n">
        <v>0</v>
      </c>
      <c r="L852" t="n">
        <v>0</v>
      </c>
      <c r="M852" t="n">
        <v>0</v>
      </c>
      <c r="N852" t="n">
        <v>0</v>
      </c>
      <c r="O852" t="n">
        <v>0</v>
      </c>
      <c r="P852" t="n">
        <v>0</v>
      </c>
      <c r="Q852" t="n">
        <v>0</v>
      </c>
      <c r="R852" s="2" t="inlineStr"/>
    </row>
    <row r="853" ht="15" customHeight="1">
      <c r="A853" t="inlineStr">
        <is>
          <t>A 65713-2021</t>
        </is>
      </c>
      <c r="B853" s="1" t="n">
        <v>44516</v>
      </c>
      <c r="C853" s="1" t="n">
        <v>45711</v>
      </c>
      <c r="D853" t="inlineStr">
        <is>
          <t>VÄRMLANDS LÄN</t>
        </is>
      </c>
      <c r="E853" t="inlineStr">
        <is>
          <t>TORSBY</t>
        </is>
      </c>
      <c r="G853" t="n">
        <v>7</v>
      </c>
      <c r="H853" t="n">
        <v>0</v>
      </c>
      <c r="I853" t="n">
        <v>0</v>
      </c>
      <c r="J853" t="n">
        <v>0</v>
      </c>
      <c r="K853" t="n">
        <v>0</v>
      </c>
      <c r="L853" t="n">
        <v>0</v>
      </c>
      <c r="M853" t="n">
        <v>0</v>
      </c>
      <c r="N853" t="n">
        <v>0</v>
      </c>
      <c r="O853" t="n">
        <v>0</v>
      </c>
      <c r="P853" t="n">
        <v>0</v>
      </c>
      <c r="Q853" t="n">
        <v>0</v>
      </c>
      <c r="R853" s="2" t="inlineStr"/>
    </row>
    <row r="854" ht="15" customHeight="1">
      <c r="A854" t="inlineStr">
        <is>
          <t>A 65705-2021</t>
        </is>
      </c>
      <c r="B854" s="1" t="n">
        <v>44516</v>
      </c>
      <c r="C854" s="1" t="n">
        <v>45711</v>
      </c>
      <c r="D854" t="inlineStr">
        <is>
          <t>VÄRMLANDS LÄN</t>
        </is>
      </c>
      <c r="E854" t="inlineStr">
        <is>
          <t>TORSBY</t>
        </is>
      </c>
      <c r="G854" t="n">
        <v>4.5</v>
      </c>
      <c r="H854" t="n">
        <v>0</v>
      </c>
      <c r="I854" t="n">
        <v>0</v>
      </c>
      <c r="J854" t="n">
        <v>0</v>
      </c>
      <c r="K854" t="n">
        <v>0</v>
      </c>
      <c r="L854" t="n">
        <v>0</v>
      </c>
      <c r="M854" t="n">
        <v>0</v>
      </c>
      <c r="N854" t="n">
        <v>0</v>
      </c>
      <c r="O854" t="n">
        <v>0</v>
      </c>
      <c r="P854" t="n">
        <v>0</v>
      </c>
      <c r="Q854" t="n">
        <v>0</v>
      </c>
      <c r="R854" s="2" t="inlineStr"/>
    </row>
    <row r="855" ht="15" customHeight="1">
      <c r="A855" t="inlineStr">
        <is>
          <t>A 65959-2021</t>
        </is>
      </c>
      <c r="B855" s="1" t="n">
        <v>44517</v>
      </c>
      <c r="C855" s="1" t="n">
        <v>45711</v>
      </c>
      <c r="D855" t="inlineStr">
        <is>
          <t>VÄRMLANDS LÄN</t>
        </is>
      </c>
      <c r="E855" t="inlineStr">
        <is>
          <t>TORSBY</t>
        </is>
      </c>
      <c r="G855" t="n">
        <v>3.3</v>
      </c>
      <c r="H855" t="n">
        <v>0</v>
      </c>
      <c r="I855" t="n">
        <v>0</v>
      </c>
      <c r="J855" t="n">
        <v>0</v>
      </c>
      <c r="K855" t="n">
        <v>0</v>
      </c>
      <c r="L855" t="n">
        <v>0</v>
      </c>
      <c r="M855" t="n">
        <v>0</v>
      </c>
      <c r="N855" t="n">
        <v>0</v>
      </c>
      <c r="O855" t="n">
        <v>0</v>
      </c>
      <c r="P855" t="n">
        <v>0</v>
      </c>
      <c r="Q855" t="n">
        <v>0</v>
      </c>
      <c r="R855" s="2" t="inlineStr"/>
    </row>
    <row r="856" ht="15" customHeight="1">
      <c r="A856" t="inlineStr">
        <is>
          <t>A 65998-2021</t>
        </is>
      </c>
      <c r="B856" s="1" t="n">
        <v>44517</v>
      </c>
      <c r="C856" s="1" t="n">
        <v>45711</v>
      </c>
      <c r="D856" t="inlineStr">
        <is>
          <t>VÄRMLANDS LÄN</t>
        </is>
      </c>
      <c r="E856" t="inlineStr">
        <is>
          <t>TORSBY</t>
        </is>
      </c>
      <c r="G856" t="n">
        <v>0.7</v>
      </c>
      <c r="H856" t="n">
        <v>0</v>
      </c>
      <c r="I856" t="n">
        <v>0</v>
      </c>
      <c r="J856" t="n">
        <v>0</v>
      </c>
      <c r="K856" t="n">
        <v>0</v>
      </c>
      <c r="L856" t="n">
        <v>0</v>
      </c>
      <c r="M856" t="n">
        <v>0</v>
      </c>
      <c r="N856" t="n">
        <v>0</v>
      </c>
      <c r="O856" t="n">
        <v>0</v>
      </c>
      <c r="P856" t="n">
        <v>0</v>
      </c>
      <c r="Q856" t="n">
        <v>0</v>
      </c>
      <c r="R856" s="2" t="inlineStr"/>
    </row>
    <row r="857" ht="15" customHeight="1">
      <c r="A857" t="inlineStr">
        <is>
          <t>A 66103-2021</t>
        </is>
      </c>
      <c r="B857" s="1" t="n">
        <v>44517</v>
      </c>
      <c r="C857" s="1" t="n">
        <v>45711</v>
      </c>
      <c r="D857" t="inlineStr">
        <is>
          <t>VÄRMLANDS LÄN</t>
        </is>
      </c>
      <c r="E857" t="inlineStr">
        <is>
          <t>TORSBY</t>
        </is>
      </c>
      <c r="G857" t="n">
        <v>1.6</v>
      </c>
      <c r="H857" t="n">
        <v>0</v>
      </c>
      <c r="I857" t="n">
        <v>0</v>
      </c>
      <c r="J857" t="n">
        <v>0</v>
      </c>
      <c r="K857" t="n">
        <v>0</v>
      </c>
      <c r="L857" t="n">
        <v>0</v>
      </c>
      <c r="M857" t="n">
        <v>0</v>
      </c>
      <c r="N857" t="n">
        <v>0</v>
      </c>
      <c r="O857" t="n">
        <v>0</v>
      </c>
      <c r="P857" t="n">
        <v>0</v>
      </c>
      <c r="Q857" t="n">
        <v>0</v>
      </c>
      <c r="R857" s="2" t="inlineStr"/>
    </row>
    <row r="858" ht="15" customHeight="1">
      <c r="A858" t="inlineStr">
        <is>
          <t>A 66133-2021</t>
        </is>
      </c>
      <c r="B858" s="1" t="n">
        <v>44517</v>
      </c>
      <c r="C858" s="1" t="n">
        <v>45711</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66978-2021</t>
        </is>
      </c>
      <c r="B859" s="1" t="n">
        <v>44522</v>
      </c>
      <c r="C859" s="1" t="n">
        <v>45711</v>
      </c>
      <c r="D859" t="inlineStr">
        <is>
          <t>VÄRMLANDS LÄN</t>
        </is>
      </c>
      <c r="E859" t="inlineStr">
        <is>
          <t>TORSBY</t>
        </is>
      </c>
      <c r="F859" t="inlineStr">
        <is>
          <t>Kommuner</t>
        </is>
      </c>
      <c r="G859" t="n">
        <v>1</v>
      </c>
      <c r="H859" t="n">
        <v>0</v>
      </c>
      <c r="I859" t="n">
        <v>0</v>
      </c>
      <c r="J859" t="n">
        <v>0</v>
      </c>
      <c r="K859" t="n">
        <v>0</v>
      </c>
      <c r="L859" t="n">
        <v>0</v>
      </c>
      <c r="M859" t="n">
        <v>0</v>
      </c>
      <c r="N859" t="n">
        <v>0</v>
      </c>
      <c r="O859" t="n">
        <v>0</v>
      </c>
      <c r="P859" t="n">
        <v>0</v>
      </c>
      <c r="Q859" t="n">
        <v>0</v>
      </c>
      <c r="R859" s="2" t="inlineStr"/>
    </row>
    <row r="860" ht="15" customHeight="1">
      <c r="A860" t="inlineStr">
        <is>
          <t>A 67006-2021</t>
        </is>
      </c>
      <c r="B860" s="1" t="n">
        <v>44522</v>
      </c>
      <c r="C860" s="1" t="n">
        <v>45711</v>
      </c>
      <c r="D860" t="inlineStr">
        <is>
          <t>VÄRMLANDS LÄN</t>
        </is>
      </c>
      <c r="E860" t="inlineStr">
        <is>
          <t>TORSBY</t>
        </is>
      </c>
      <c r="F860" t="inlineStr">
        <is>
          <t>Kommuner</t>
        </is>
      </c>
      <c r="G860" t="n">
        <v>4.4</v>
      </c>
      <c r="H860" t="n">
        <v>0</v>
      </c>
      <c r="I860" t="n">
        <v>0</v>
      </c>
      <c r="J860" t="n">
        <v>0</v>
      </c>
      <c r="K860" t="n">
        <v>0</v>
      </c>
      <c r="L860" t="n">
        <v>0</v>
      </c>
      <c r="M860" t="n">
        <v>0</v>
      </c>
      <c r="N860" t="n">
        <v>0</v>
      </c>
      <c r="O860" t="n">
        <v>0</v>
      </c>
      <c r="P860" t="n">
        <v>0</v>
      </c>
      <c r="Q860" t="n">
        <v>0</v>
      </c>
      <c r="R860" s="2" t="inlineStr"/>
    </row>
    <row r="861" ht="15" customHeight="1">
      <c r="A861" t="inlineStr">
        <is>
          <t>A 67147-2021</t>
        </is>
      </c>
      <c r="B861" s="1" t="n">
        <v>44523</v>
      </c>
      <c r="C861" s="1" t="n">
        <v>45711</v>
      </c>
      <c r="D861" t="inlineStr">
        <is>
          <t>VÄRMLANDS LÄN</t>
        </is>
      </c>
      <c r="E861" t="inlineStr">
        <is>
          <t>TORSBY</t>
        </is>
      </c>
      <c r="G861" t="n">
        <v>1.3</v>
      </c>
      <c r="H861" t="n">
        <v>0</v>
      </c>
      <c r="I861" t="n">
        <v>0</v>
      </c>
      <c r="J861" t="n">
        <v>0</v>
      </c>
      <c r="K861" t="n">
        <v>0</v>
      </c>
      <c r="L861" t="n">
        <v>0</v>
      </c>
      <c r="M861" t="n">
        <v>0</v>
      </c>
      <c r="N861" t="n">
        <v>0</v>
      </c>
      <c r="O861" t="n">
        <v>0</v>
      </c>
      <c r="P861" t="n">
        <v>0</v>
      </c>
      <c r="Q861" t="n">
        <v>0</v>
      </c>
      <c r="R861" s="2" t="inlineStr"/>
    </row>
    <row r="862" ht="15" customHeight="1">
      <c r="A862" t="inlineStr">
        <is>
          <t>A 67172-2021</t>
        </is>
      </c>
      <c r="B862" s="1" t="n">
        <v>44523</v>
      </c>
      <c r="C862" s="1" t="n">
        <v>45711</v>
      </c>
      <c r="D862" t="inlineStr">
        <is>
          <t>VÄRMLANDS LÄN</t>
        </is>
      </c>
      <c r="E862" t="inlineStr">
        <is>
          <t>TORSBY</t>
        </is>
      </c>
      <c r="G862" t="n">
        <v>0.5</v>
      </c>
      <c r="H862" t="n">
        <v>0</v>
      </c>
      <c r="I862" t="n">
        <v>0</v>
      </c>
      <c r="J862" t="n">
        <v>0</v>
      </c>
      <c r="K862" t="n">
        <v>0</v>
      </c>
      <c r="L862" t="n">
        <v>0</v>
      </c>
      <c r="M862" t="n">
        <v>0</v>
      </c>
      <c r="N862" t="n">
        <v>0</v>
      </c>
      <c r="O862" t="n">
        <v>0</v>
      </c>
      <c r="P862" t="n">
        <v>0</v>
      </c>
      <c r="Q862" t="n">
        <v>0</v>
      </c>
      <c r="R862" s="2" t="inlineStr"/>
    </row>
    <row r="863" ht="15" customHeight="1">
      <c r="A863" t="inlineStr">
        <is>
          <t>A 67567-2021</t>
        </is>
      </c>
      <c r="B863" s="1" t="n">
        <v>44524</v>
      </c>
      <c r="C863" s="1" t="n">
        <v>45711</v>
      </c>
      <c r="D863" t="inlineStr">
        <is>
          <t>VÄRMLANDS LÄN</t>
        </is>
      </c>
      <c r="E863" t="inlineStr">
        <is>
          <t>TORSBY</t>
        </is>
      </c>
      <c r="G863" t="n">
        <v>0.8</v>
      </c>
      <c r="H863" t="n">
        <v>0</v>
      </c>
      <c r="I863" t="n">
        <v>0</v>
      </c>
      <c r="J863" t="n">
        <v>0</v>
      </c>
      <c r="K863" t="n">
        <v>0</v>
      </c>
      <c r="L863" t="n">
        <v>0</v>
      </c>
      <c r="M863" t="n">
        <v>0</v>
      </c>
      <c r="N863" t="n">
        <v>0</v>
      </c>
      <c r="O863" t="n">
        <v>0</v>
      </c>
      <c r="P863" t="n">
        <v>0</v>
      </c>
      <c r="Q863" t="n">
        <v>0</v>
      </c>
      <c r="R863" s="2" t="inlineStr"/>
    </row>
    <row r="864" ht="15" customHeight="1">
      <c r="A864" t="inlineStr">
        <is>
          <t>A 67457-2021</t>
        </is>
      </c>
      <c r="B864" s="1" t="n">
        <v>44524</v>
      </c>
      <c r="C864" s="1" t="n">
        <v>45711</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67933-2021</t>
        </is>
      </c>
      <c r="B865" s="1" t="n">
        <v>44525</v>
      </c>
      <c r="C865" s="1" t="n">
        <v>45711</v>
      </c>
      <c r="D865" t="inlineStr">
        <is>
          <t>VÄRMLANDS LÄN</t>
        </is>
      </c>
      <c r="E865" t="inlineStr">
        <is>
          <t>TORSBY</t>
        </is>
      </c>
      <c r="F865" t="inlineStr">
        <is>
          <t>Bergvik skog väst AB</t>
        </is>
      </c>
      <c r="G865" t="n">
        <v>4</v>
      </c>
      <c r="H865" t="n">
        <v>0</v>
      </c>
      <c r="I865" t="n">
        <v>0</v>
      </c>
      <c r="J865" t="n">
        <v>0</v>
      </c>
      <c r="K865" t="n">
        <v>0</v>
      </c>
      <c r="L865" t="n">
        <v>0</v>
      </c>
      <c r="M865" t="n">
        <v>0</v>
      </c>
      <c r="N865" t="n">
        <v>0</v>
      </c>
      <c r="O865" t="n">
        <v>0</v>
      </c>
      <c r="P865" t="n">
        <v>0</v>
      </c>
      <c r="Q865" t="n">
        <v>0</v>
      </c>
      <c r="R865" s="2" t="inlineStr"/>
    </row>
    <row r="866" ht="15" customHeight="1">
      <c r="A866" t="inlineStr">
        <is>
          <t>A 67913-2021</t>
        </is>
      </c>
      <c r="B866" s="1" t="n">
        <v>44525</v>
      </c>
      <c r="C866" s="1" t="n">
        <v>45711</v>
      </c>
      <c r="D866" t="inlineStr">
        <is>
          <t>VÄRMLANDS LÄN</t>
        </is>
      </c>
      <c r="E866" t="inlineStr">
        <is>
          <t>TORSBY</t>
        </is>
      </c>
      <c r="F866" t="inlineStr">
        <is>
          <t>Bergvik skog väst AB</t>
        </is>
      </c>
      <c r="G866" t="n">
        <v>8</v>
      </c>
      <c r="H866" t="n">
        <v>0</v>
      </c>
      <c r="I866" t="n">
        <v>0</v>
      </c>
      <c r="J866" t="n">
        <v>0</v>
      </c>
      <c r="K866" t="n">
        <v>0</v>
      </c>
      <c r="L866" t="n">
        <v>0</v>
      </c>
      <c r="M866" t="n">
        <v>0</v>
      </c>
      <c r="N866" t="n">
        <v>0</v>
      </c>
      <c r="O866" t="n">
        <v>0</v>
      </c>
      <c r="P866" t="n">
        <v>0</v>
      </c>
      <c r="Q866" t="n">
        <v>0</v>
      </c>
      <c r="R866" s="2" t="inlineStr"/>
    </row>
    <row r="867" ht="15" customHeight="1">
      <c r="A867" t="inlineStr">
        <is>
          <t>A 69279-2021</t>
        </is>
      </c>
      <c r="B867" s="1" t="n">
        <v>44526</v>
      </c>
      <c r="C867" s="1" t="n">
        <v>45711</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69265-2021</t>
        </is>
      </c>
      <c r="B868" s="1" t="n">
        <v>44526</v>
      </c>
      <c r="C868" s="1" t="n">
        <v>45711</v>
      </c>
      <c r="D868" t="inlineStr">
        <is>
          <t>VÄRMLANDS LÄN</t>
        </is>
      </c>
      <c r="E868" t="inlineStr">
        <is>
          <t>TORSBY</t>
        </is>
      </c>
      <c r="G868" t="n">
        <v>11.1</v>
      </c>
      <c r="H868" t="n">
        <v>0</v>
      </c>
      <c r="I868" t="n">
        <v>0</v>
      </c>
      <c r="J868" t="n">
        <v>0</v>
      </c>
      <c r="K868" t="n">
        <v>0</v>
      </c>
      <c r="L868" t="n">
        <v>0</v>
      </c>
      <c r="M868" t="n">
        <v>0</v>
      </c>
      <c r="N868" t="n">
        <v>0</v>
      </c>
      <c r="O868" t="n">
        <v>0</v>
      </c>
      <c r="P868" t="n">
        <v>0</v>
      </c>
      <c r="Q868" t="n">
        <v>0</v>
      </c>
      <c r="R868" s="2" t="inlineStr"/>
    </row>
    <row r="869" ht="15" customHeight="1">
      <c r="A869" t="inlineStr">
        <is>
          <t>A 69275-2021</t>
        </is>
      </c>
      <c r="B869" s="1" t="n">
        <v>44526</v>
      </c>
      <c r="C869" s="1" t="n">
        <v>45711</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68153-2021</t>
        </is>
      </c>
      <c r="B870" s="1" t="n">
        <v>44526</v>
      </c>
      <c r="C870" s="1" t="n">
        <v>45711</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69281-2021</t>
        </is>
      </c>
      <c r="B871" s="1" t="n">
        <v>44526</v>
      </c>
      <c r="C871" s="1" t="n">
        <v>45711</v>
      </c>
      <c r="D871" t="inlineStr">
        <is>
          <t>VÄRMLANDS LÄN</t>
        </is>
      </c>
      <c r="E871" t="inlineStr">
        <is>
          <t>TORSBY</t>
        </is>
      </c>
      <c r="G871" t="n">
        <v>7.5</v>
      </c>
      <c r="H871" t="n">
        <v>0</v>
      </c>
      <c r="I871" t="n">
        <v>0</v>
      </c>
      <c r="J871" t="n">
        <v>0</v>
      </c>
      <c r="K871" t="n">
        <v>0</v>
      </c>
      <c r="L871" t="n">
        <v>0</v>
      </c>
      <c r="M871" t="n">
        <v>0</v>
      </c>
      <c r="N871" t="n">
        <v>0</v>
      </c>
      <c r="O871" t="n">
        <v>0</v>
      </c>
      <c r="P871" t="n">
        <v>0</v>
      </c>
      <c r="Q871" t="n">
        <v>0</v>
      </c>
      <c r="R871" s="2" t="inlineStr"/>
    </row>
    <row r="872" ht="15" customHeight="1">
      <c r="A872" t="inlineStr">
        <is>
          <t>A 68266-2021</t>
        </is>
      </c>
      <c r="B872" s="1" t="n">
        <v>44526</v>
      </c>
      <c r="C872" s="1" t="n">
        <v>45711</v>
      </c>
      <c r="D872" t="inlineStr">
        <is>
          <t>VÄRMLANDS LÄN</t>
        </is>
      </c>
      <c r="E872" t="inlineStr">
        <is>
          <t>TORSBY</t>
        </is>
      </c>
      <c r="G872" t="n">
        <v>1.3</v>
      </c>
      <c r="H872" t="n">
        <v>0</v>
      </c>
      <c r="I872" t="n">
        <v>0</v>
      </c>
      <c r="J872" t="n">
        <v>0</v>
      </c>
      <c r="K872" t="n">
        <v>0</v>
      </c>
      <c r="L872" t="n">
        <v>0</v>
      </c>
      <c r="M872" t="n">
        <v>0</v>
      </c>
      <c r="N872" t="n">
        <v>0</v>
      </c>
      <c r="O872" t="n">
        <v>0</v>
      </c>
      <c r="P872" t="n">
        <v>0</v>
      </c>
      <c r="Q872" t="n">
        <v>0</v>
      </c>
      <c r="R872" s="2" t="inlineStr"/>
    </row>
    <row r="873" ht="15" customHeight="1">
      <c r="A873" t="inlineStr">
        <is>
          <t>A 68136-2021</t>
        </is>
      </c>
      <c r="B873" s="1" t="n">
        <v>44526</v>
      </c>
      <c r="C873" s="1" t="n">
        <v>45711</v>
      </c>
      <c r="D873" t="inlineStr">
        <is>
          <t>VÄRMLANDS LÄN</t>
        </is>
      </c>
      <c r="E873" t="inlineStr">
        <is>
          <t>TORSBY</t>
        </is>
      </c>
      <c r="G873" t="n">
        <v>2.9</v>
      </c>
      <c r="H873" t="n">
        <v>0</v>
      </c>
      <c r="I873" t="n">
        <v>0</v>
      </c>
      <c r="J873" t="n">
        <v>0</v>
      </c>
      <c r="K873" t="n">
        <v>0</v>
      </c>
      <c r="L873" t="n">
        <v>0</v>
      </c>
      <c r="M873" t="n">
        <v>0</v>
      </c>
      <c r="N873" t="n">
        <v>0</v>
      </c>
      <c r="O873" t="n">
        <v>0</v>
      </c>
      <c r="P873" t="n">
        <v>0</v>
      </c>
      <c r="Q873" t="n">
        <v>0</v>
      </c>
      <c r="R873" s="2" t="inlineStr"/>
    </row>
    <row r="874" ht="15" customHeight="1">
      <c r="A874" t="inlineStr">
        <is>
          <t>A 68650-2021</t>
        </is>
      </c>
      <c r="B874" s="1" t="n">
        <v>44529</v>
      </c>
      <c r="C874" s="1" t="n">
        <v>45711</v>
      </c>
      <c r="D874" t="inlineStr">
        <is>
          <t>VÄRMLANDS LÄN</t>
        </is>
      </c>
      <c r="E874" t="inlineStr">
        <is>
          <t>TORSBY</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68850-2021</t>
        </is>
      </c>
      <c r="B875" s="1" t="n">
        <v>44530</v>
      </c>
      <c r="C875" s="1" t="n">
        <v>45711</v>
      </c>
      <c r="D875" t="inlineStr">
        <is>
          <t>VÄRMLANDS LÄN</t>
        </is>
      </c>
      <c r="E875" t="inlineStr">
        <is>
          <t>TORSBY</t>
        </is>
      </c>
      <c r="G875" t="n">
        <v>13.1</v>
      </c>
      <c r="H875" t="n">
        <v>0</v>
      </c>
      <c r="I875" t="n">
        <v>0</v>
      </c>
      <c r="J875" t="n">
        <v>0</v>
      </c>
      <c r="K875" t="n">
        <v>0</v>
      </c>
      <c r="L875" t="n">
        <v>0</v>
      </c>
      <c r="M875" t="n">
        <v>0</v>
      </c>
      <c r="N875" t="n">
        <v>0</v>
      </c>
      <c r="O875" t="n">
        <v>0</v>
      </c>
      <c r="P875" t="n">
        <v>0</v>
      </c>
      <c r="Q875" t="n">
        <v>0</v>
      </c>
      <c r="R875" s="2" t="inlineStr"/>
    </row>
    <row r="876" ht="15" customHeight="1">
      <c r="A876" t="inlineStr">
        <is>
          <t>A 68855-2021</t>
        </is>
      </c>
      <c r="B876" s="1" t="n">
        <v>44530</v>
      </c>
      <c r="C876" s="1" t="n">
        <v>45711</v>
      </c>
      <c r="D876" t="inlineStr">
        <is>
          <t>VÄRMLANDS LÄN</t>
        </is>
      </c>
      <c r="E876" t="inlineStr">
        <is>
          <t>TORSBY</t>
        </is>
      </c>
      <c r="G876" t="n">
        <v>3.1</v>
      </c>
      <c r="H876" t="n">
        <v>0</v>
      </c>
      <c r="I876" t="n">
        <v>0</v>
      </c>
      <c r="J876" t="n">
        <v>0</v>
      </c>
      <c r="K876" t="n">
        <v>0</v>
      </c>
      <c r="L876" t="n">
        <v>0</v>
      </c>
      <c r="M876" t="n">
        <v>0</v>
      </c>
      <c r="N876" t="n">
        <v>0</v>
      </c>
      <c r="O876" t="n">
        <v>0</v>
      </c>
      <c r="P876" t="n">
        <v>0</v>
      </c>
      <c r="Q876" t="n">
        <v>0</v>
      </c>
      <c r="R876" s="2" t="inlineStr"/>
    </row>
    <row r="877" ht="15" customHeight="1">
      <c r="A877" t="inlineStr">
        <is>
          <t>A 69026-2021</t>
        </is>
      </c>
      <c r="B877" s="1" t="n">
        <v>44530</v>
      </c>
      <c r="C877" s="1" t="n">
        <v>45711</v>
      </c>
      <c r="D877" t="inlineStr">
        <is>
          <t>VÄRMLANDS LÄN</t>
        </is>
      </c>
      <c r="E877" t="inlineStr">
        <is>
          <t>TORSBY</t>
        </is>
      </c>
      <c r="F877" t="inlineStr">
        <is>
          <t>Bergvik skog väst AB</t>
        </is>
      </c>
      <c r="G877" t="n">
        <v>11.3</v>
      </c>
      <c r="H877" t="n">
        <v>0</v>
      </c>
      <c r="I877" t="n">
        <v>0</v>
      </c>
      <c r="J877" t="n">
        <v>0</v>
      </c>
      <c r="K877" t="n">
        <v>0</v>
      </c>
      <c r="L877" t="n">
        <v>0</v>
      </c>
      <c r="M877" t="n">
        <v>0</v>
      </c>
      <c r="N877" t="n">
        <v>0</v>
      </c>
      <c r="O877" t="n">
        <v>0</v>
      </c>
      <c r="P877" t="n">
        <v>0</v>
      </c>
      <c r="Q877" t="n">
        <v>0</v>
      </c>
      <c r="R877" s="2" t="inlineStr"/>
    </row>
    <row r="878" ht="15" customHeight="1">
      <c r="A878" t="inlineStr">
        <is>
          <t>A 69086-2021</t>
        </is>
      </c>
      <c r="B878" s="1" t="n">
        <v>44530</v>
      </c>
      <c r="C878" s="1" t="n">
        <v>45711</v>
      </c>
      <c r="D878" t="inlineStr">
        <is>
          <t>VÄRMLANDS LÄN</t>
        </is>
      </c>
      <c r="E878" t="inlineStr">
        <is>
          <t>TORSBY</t>
        </is>
      </c>
      <c r="F878" t="inlineStr">
        <is>
          <t>Bergvik skog väst AB</t>
        </is>
      </c>
      <c r="G878" t="n">
        <v>3.3</v>
      </c>
      <c r="H878" t="n">
        <v>0</v>
      </c>
      <c r="I878" t="n">
        <v>0</v>
      </c>
      <c r="J878" t="n">
        <v>0</v>
      </c>
      <c r="K878" t="n">
        <v>0</v>
      </c>
      <c r="L878" t="n">
        <v>0</v>
      </c>
      <c r="M878" t="n">
        <v>0</v>
      </c>
      <c r="N878" t="n">
        <v>0</v>
      </c>
      <c r="O878" t="n">
        <v>0</v>
      </c>
      <c r="P878" t="n">
        <v>0</v>
      </c>
      <c r="Q878" t="n">
        <v>0</v>
      </c>
      <c r="R878" s="2" t="inlineStr"/>
    </row>
    <row r="879" ht="15" customHeight="1">
      <c r="A879" t="inlineStr">
        <is>
          <t>A 69877-2021</t>
        </is>
      </c>
      <c r="B879" s="1" t="n">
        <v>44532</v>
      </c>
      <c r="C879" s="1" t="n">
        <v>45711</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69878-2021</t>
        </is>
      </c>
      <c r="B880" s="1" t="n">
        <v>44532</v>
      </c>
      <c r="C880" s="1" t="n">
        <v>45711</v>
      </c>
      <c r="D880" t="inlineStr">
        <is>
          <t>VÄRMLANDS LÄN</t>
        </is>
      </c>
      <c r="E880" t="inlineStr">
        <is>
          <t>TORSBY</t>
        </is>
      </c>
      <c r="G880" t="n">
        <v>0.6</v>
      </c>
      <c r="H880" t="n">
        <v>0</v>
      </c>
      <c r="I880" t="n">
        <v>0</v>
      </c>
      <c r="J880" t="n">
        <v>0</v>
      </c>
      <c r="K880" t="n">
        <v>0</v>
      </c>
      <c r="L880" t="n">
        <v>0</v>
      </c>
      <c r="M880" t="n">
        <v>0</v>
      </c>
      <c r="N880" t="n">
        <v>0</v>
      </c>
      <c r="O880" t="n">
        <v>0</v>
      </c>
      <c r="P880" t="n">
        <v>0</v>
      </c>
      <c r="Q880" t="n">
        <v>0</v>
      </c>
      <c r="R880" s="2" t="inlineStr"/>
    </row>
    <row r="881" ht="15" customHeight="1">
      <c r="A881" t="inlineStr">
        <is>
          <t>A 70166-2021</t>
        </is>
      </c>
      <c r="B881" s="1" t="n">
        <v>44533</v>
      </c>
      <c r="C881" s="1" t="n">
        <v>45711</v>
      </c>
      <c r="D881" t="inlineStr">
        <is>
          <t>VÄRMLANDS LÄN</t>
        </is>
      </c>
      <c r="E881" t="inlineStr">
        <is>
          <t>TORSBY</t>
        </is>
      </c>
      <c r="F881" t="inlineStr">
        <is>
          <t>Kommuner</t>
        </is>
      </c>
      <c r="G881" t="n">
        <v>1.1</v>
      </c>
      <c r="H881" t="n">
        <v>0</v>
      </c>
      <c r="I881" t="n">
        <v>0</v>
      </c>
      <c r="J881" t="n">
        <v>0</v>
      </c>
      <c r="K881" t="n">
        <v>0</v>
      </c>
      <c r="L881" t="n">
        <v>0</v>
      </c>
      <c r="M881" t="n">
        <v>0</v>
      </c>
      <c r="N881" t="n">
        <v>0</v>
      </c>
      <c r="O881" t="n">
        <v>0</v>
      </c>
      <c r="P881" t="n">
        <v>0</v>
      </c>
      <c r="Q881" t="n">
        <v>0</v>
      </c>
      <c r="R881" s="2" t="inlineStr"/>
    </row>
    <row r="882" ht="15" customHeight="1">
      <c r="A882" t="inlineStr">
        <is>
          <t>A 69974-2021</t>
        </is>
      </c>
      <c r="B882" s="1" t="n">
        <v>44533</v>
      </c>
      <c r="C882" s="1" t="n">
        <v>45711</v>
      </c>
      <c r="D882" t="inlineStr">
        <is>
          <t>VÄRMLANDS LÄN</t>
        </is>
      </c>
      <c r="E882" t="inlineStr">
        <is>
          <t>TORSBY</t>
        </is>
      </c>
      <c r="G882" t="n">
        <v>1.8</v>
      </c>
      <c r="H882" t="n">
        <v>0</v>
      </c>
      <c r="I882" t="n">
        <v>0</v>
      </c>
      <c r="J882" t="n">
        <v>0</v>
      </c>
      <c r="K882" t="n">
        <v>0</v>
      </c>
      <c r="L882" t="n">
        <v>0</v>
      </c>
      <c r="M882" t="n">
        <v>0</v>
      </c>
      <c r="N882" t="n">
        <v>0</v>
      </c>
      <c r="O882" t="n">
        <v>0</v>
      </c>
      <c r="P882" t="n">
        <v>0</v>
      </c>
      <c r="Q882" t="n">
        <v>0</v>
      </c>
      <c r="R882" s="2" t="inlineStr"/>
    </row>
    <row r="883" ht="15" customHeight="1">
      <c r="A883" t="inlineStr">
        <is>
          <t>A 70241-2021</t>
        </is>
      </c>
      <c r="B883" s="1" t="n">
        <v>44536</v>
      </c>
      <c r="C883" s="1" t="n">
        <v>45711</v>
      </c>
      <c r="D883" t="inlineStr">
        <is>
          <t>VÄRMLANDS LÄN</t>
        </is>
      </c>
      <c r="E883" t="inlineStr">
        <is>
          <t>TORSBY</t>
        </is>
      </c>
      <c r="F883" t="inlineStr">
        <is>
          <t>Bergvik skog väst AB</t>
        </is>
      </c>
      <c r="G883" t="n">
        <v>0.4</v>
      </c>
      <c r="H883" t="n">
        <v>0</v>
      </c>
      <c r="I883" t="n">
        <v>0</v>
      </c>
      <c r="J883" t="n">
        <v>0</v>
      </c>
      <c r="K883" t="n">
        <v>0</v>
      </c>
      <c r="L883" t="n">
        <v>0</v>
      </c>
      <c r="M883" t="n">
        <v>0</v>
      </c>
      <c r="N883" t="n">
        <v>0</v>
      </c>
      <c r="O883" t="n">
        <v>0</v>
      </c>
      <c r="P883" t="n">
        <v>0</v>
      </c>
      <c r="Q883" t="n">
        <v>0</v>
      </c>
      <c r="R883" s="2" t="inlineStr"/>
    </row>
    <row r="884" ht="15" customHeight="1">
      <c r="A884" t="inlineStr">
        <is>
          <t>A 70253-2021</t>
        </is>
      </c>
      <c r="B884" s="1" t="n">
        <v>44536</v>
      </c>
      <c r="C884" s="1" t="n">
        <v>45711</v>
      </c>
      <c r="D884" t="inlineStr">
        <is>
          <t>VÄRMLANDS LÄN</t>
        </is>
      </c>
      <c r="E884" t="inlineStr">
        <is>
          <t>TORSBY</t>
        </is>
      </c>
      <c r="G884" t="n">
        <v>4.3</v>
      </c>
      <c r="H884" t="n">
        <v>0</v>
      </c>
      <c r="I884" t="n">
        <v>0</v>
      </c>
      <c r="J884" t="n">
        <v>0</v>
      </c>
      <c r="K884" t="n">
        <v>0</v>
      </c>
      <c r="L884" t="n">
        <v>0</v>
      </c>
      <c r="M884" t="n">
        <v>0</v>
      </c>
      <c r="N884" t="n">
        <v>0</v>
      </c>
      <c r="O884" t="n">
        <v>0</v>
      </c>
      <c r="P884" t="n">
        <v>0</v>
      </c>
      <c r="Q884" t="n">
        <v>0</v>
      </c>
      <c r="R884" s="2" t="inlineStr"/>
    </row>
    <row r="885" ht="15" customHeight="1">
      <c r="A885" t="inlineStr">
        <is>
          <t>A 70658-2021</t>
        </is>
      </c>
      <c r="B885" s="1" t="n">
        <v>44537</v>
      </c>
      <c r="C885" s="1" t="n">
        <v>45711</v>
      </c>
      <c r="D885" t="inlineStr">
        <is>
          <t>VÄRMLANDS LÄN</t>
        </is>
      </c>
      <c r="E885" t="inlineStr">
        <is>
          <t>TORSBY</t>
        </is>
      </c>
      <c r="G885" t="n">
        <v>1.9</v>
      </c>
      <c r="H885" t="n">
        <v>0</v>
      </c>
      <c r="I885" t="n">
        <v>0</v>
      </c>
      <c r="J885" t="n">
        <v>0</v>
      </c>
      <c r="K885" t="n">
        <v>0</v>
      </c>
      <c r="L885" t="n">
        <v>0</v>
      </c>
      <c r="M885" t="n">
        <v>0</v>
      </c>
      <c r="N885" t="n">
        <v>0</v>
      </c>
      <c r="O885" t="n">
        <v>0</v>
      </c>
      <c r="P885" t="n">
        <v>0</v>
      </c>
      <c r="Q885" t="n">
        <v>0</v>
      </c>
      <c r="R885" s="2" t="inlineStr"/>
    </row>
    <row r="886" ht="15" customHeight="1">
      <c r="A886" t="inlineStr">
        <is>
          <t>A 70787-2021</t>
        </is>
      </c>
      <c r="B886" s="1" t="n">
        <v>44537</v>
      </c>
      <c r="C886" s="1" t="n">
        <v>45711</v>
      </c>
      <c r="D886" t="inlineStr">
        <is>
          <t>VÄRMLANDS LÄN</t>
        </is>
      </c>
      <c r="E886" t="inlineStr">
        <is>
          <t>TORSBY</t>
        </is>
      </c>
      <c r="G886" t="n">
        <v>1</v>
      </c>
      <c r="H886" t="n">
        <v>0</v>
      </c>
      <c r="I886" t="n">
        <v>0</v>
      </c>
      <c r="J886" t="n">
        <v>0</v>
      </c>
      <c r="K886" t="n">
        <v>0</v>
      </c>
      <c r="L886" t="n">
        <v>0</v>
      </c>
      <c r="M886" t="n">
        <v>0</v>
      </c>
      <c r="N886" t="n">
        <v>0</v>
      </c>
      <c r="O886" t="n">
        <v>0</v>
      </c>
      <c r="P886" t="n">
        <v>0</v>
      </c>
      <c r="Q886" t="n">
        <v>0</v>
      </c>
      <c r="R886" s="2" t="inlineStr"/>
    </row>
    <row r="887" ht="15" customHeight="1">
      <c r="A887" t="inlineStr">
        <is>
          <t>A 70775-2021</t>
        </is>
      </c>
      <c r="B887" s="1" t="n">
        <v>44537</v>
      </c>
      <c r="C887" s="1" t="n">
        <v>45711</v>
      </c>
      <c r="D887" t="inlineStr">
        <is>
          <t>VÄRMLANDS LÄN</t>
        </is>
      </c>
      <c r="E887" t="inlineStr">
        <is>
          <t>TORSBY</t>
        </is>
      </c>
      <c r="G887" t="n">
        <v>0.3</v>
      </c>
      <c r="H887" t="n">
        <v>0</v>
      </c>
      <c r="I887" t="n">
        <v>0</v>
      </c>
      <c r="J887" t="n">
        <v>0</v>
      </c>
      <c r="K887" t="n">
        <v>0</v>
      </c>
      <c r="L887" t="n">
        <v>0</v>
      </c>
      <c r="M887" t="n">
        <v>0</v>
      </c>
      <c r="N887" t="n">
        <v>0</v>
      </c>
      <c r="O887" t="n">
        <v>0</v>
      </c>
      <c r="P887" t="n">
        <v>0</v>
      </c>
      <c r="Q887" t="n">
        <v>0</v>
      </c>
      <c r="R887" s="2" t="inlineStr"/>
    </row>
    <row r="888" ht="15" customHeight="1">
      <c r="A888" t="inlineStr">
        <is>
          <t>A 70785-2021</t>
        </is>
      </c>
      <c r="B888" s="1" t="n">
        <v>44537</v>
      </c>
      <c r="C888" s="1" t="n">
        <v>45711</v>
      </c>
      <c r="D888" t="inlineStr">
        <is>
          <t>VÄRMLANDS LÄN</t>
        </is>
      </c>
      <c r="E888" t="inlineStr">
        <is>
          <t>TORSBY</t>
        </is>
      </c>
      <c r="G888" t="n">
        <v>2.9</v>
      </c>
      <c r="H888" t="n">
        <v>0</v>
      </c>
      <c r="I888" t="n">
        <v>0</v>
      </c>
      <c r="J888" t="n">
        <v>0</v>
      </c>
      <c r="K888" t="n">
        <v>0</v>
      </c>
      <c r="L888" t="n">
        <v>0</v>
      </c>
      <c r="M888" t="n">
        <v>0</v>
      </c>
      <c r="N888" t="n">
        <v>0</v>
      </c>
      <c r="O888" t="n">
        <v>0</v>
      </c>
      <c r="P888" t="n">
        <v>0</v>
      </c>
      <c r="Q888" t="n">
        <v>0</v>
      </c>
      <c r="R888" s="2" t="inlineStr"/>
    </row>
    <row r="889" ht="15" customHeight="1">
      <c r="A889" t="inlineStr">
        <is>
          <t>A 70978-2021</t>
        </is>
      </c>
      <c r="B889" s="1" t="n">
        <v>44537</v>
      </c>
      <c r="C889" s="1" t="n">
        <v>45711</v>
      </c>
      <c r="D889" t="inlineStr">
        <is>
          <t>VÄRMLANDS LÄN</t>
        </is>
      </c>
      <c r="E889" t="inlineStr">
        <is>
          <t>TORSBY</t>
        </is>
      </c>
      <c r="G889" t="n">
        <v>12.6</v>
      </c>
      <c r="H889" t="n">
        <v>0</v>
      </c>
      <c r="I889" t="n">
        <v>0</v>
      </c>
      <c r="J889" t="n">
        <v>0</v>
      </c>
      <c r="K889" t="n">
        <v>0</v>
      </c>
      <c r="L889" t="n">
        <v>0</v>
      </c>
      <c r="M889" t="n">
        <v>0</v>
      </c>
      <c r="N889" t="n">
        <v>0</v>
      </c>
      <c r="O889" t="n">
        <v>0</v>
      </c>
      <c r="P889" t="n">
        <v>0</v>
      </c>
      <c r="Q889" t="n">
        <v>0</v>
      </c>
      <c r="R889" s="2" t="inlineStr"/>
    </row>
    <row r="890" ht="15" customHeight="1">
      <c r="A890" t="inlineStr">
        <is>
          <t>A 70926-2021</t>
        </is>
      </c>
      <c r="B890" s="1" t="n">
        <v>44538</v>
      </c>
      <c r="C890" s="1" t="n">
        <v>45711</v>
      </c>
      <c r="D890" t="inlineStr">
        <is>
          <t>VÄRMLANDS LÄN</t>
        </is>
      </c>
      <c r="E890" t="inlineStr">
        <is>
          <t>TORSBY</t>
        </is>
      </c>
      <c r="G890" t="n">
        <v>6.5</v>
      </c>
      <c r="H890" t="n">
        <v>0</v>
      </c>
      <c r="I890" t="n">
        <v>0</v>
      </c>
      <c r="J890" t="n">
        <v>0</v>
      </c>
      <c r="K890" t="n">
        <v>0</v>
      </c>
      <c r="L890" t="n">
        <v>0</v>
      </c>
      <c r="M890" t="n">
        <v>0</v>
      </c>
      <c r="N890" t="n">
        <v>0</v>
      </c>
      <c r="O890" t="n">
        <v>0</v>
      </c>
      <c r="P890" t="n">
        <v>0</v>
      </c>
      <c r="Q890" t="n">
        <v>0</v>
      </c>
      <c r="R890" s="2" t="inlineStr"/>
    </row>
    <row r="891" ht="15" customHeight="1">
      <c r="A891" t="inlineStr">
        <is>
          <t>A 70924-2021</t>
        </is>
      </c>
      <c r="B891" s="1" t="n">
        <v>44538</v>
      </c>
      <c r="C891" s="1" t="n">
        <v>45711</v>
      </c>
      <c r="D891" t="inlineStr">
        <is>
          <t>VÄRMLANDS LÄN</t>
        </is>
      </c>
      <c r="E891" t="inlineStr">
        <is>
          <t>TORSBY</t>
        </is>
      </c>
      <c r="G891" t="n">
        <v>3.8</v>
      </c>
      <c r="H891" t="n">
        <v>0</v>
      </c>
      <c r="I891" t="n">
        <v>0</v>
      </c>
      <c r="J891" t="n">
        <v>0</v>
      </c>
      <c r="K891" t="n">
        <v>0</v>
      </c>
      <c r="L891" t="n">
        <v>0</v>
      </c>
      <c r="M891" t="n">
        <v>0</v>
      </c>
      <c r="N891" t="n">
        <v>0</v>
      </c>
      <c r="O891" t="n">
        <v>0</v>
      </c>
      <c r="P891" t="n">
        <v>0</v>
      </c>
      <c r="Q891" t="n">
        <v>0</v>
      </c>
      <c r="R891" s="2" t="inlineStr"/>
    </row>
    <row r="892" ht="15" customHeight="1">
      <c r="A892" t="inlineStr">
        <is>
          <t>A 71255-2021</t>
        </is>
      </c>
      <c r="B892" s="1" t="n">
        <v>44538</v>
      </c>
      <c r="C892" s="1" t="n">
        <v>45711</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71084-2021</t>
        </is>
      </c>
      <c r="B893" s="1" t="n">
        <v>44539</v>
      </c>
      <c r="C893" s="1" t="n">
        <v>45711</v>
      </c>
      <c r="D893" t="inlineStr">
        <is>
          <t>VÄRMLANDS LÄN</t>
        </is>
      </c>
      <c r="E893" t="inlineStr">
        <is>
          <t>TORSBY</t>
        </is>
      </c>
      <c r="G893" t="n">
        <v>1.8</v>
      </c>
      <c r="H893" t="n">
        <v>0</v>
      </c>
      <c r="I893" t="n">
        <v>0</v>
      </c>
      <c r="J893" t="n">
        <v>0</v>
      </c>
      <c r="K893" t="n">
        <v>0</v>
      </c>
      <c r="L893" t="n">
        <v>0</v>
      </c>
      <c r="M893" t="n">
        <v>0</v>
      </c>
      <c r="N893" t="n">
        <v>0</v>
      </c>
      <c r="O893" t="n">
        <v>0</v>
      </c>
      <c r="P893" t="n">
        <v>0</v>
      </c>
      <c r="Q893" t="n">
        <v>0</v>
      </c>
      <c r="R893" s="2" t="inlineStr"/>
    </row>
    <row r="894" ht="15" customHeight="1">
      <c r="A894" t="inlineStr">
        <is>
          <t>A 71469-2021</t>
        </is>
      </c>
      <c r="B894" s="1" t="n">
        <v>44540</v>
      </c>
      <c r="C894" s="1" t="n">
        <v>45711</v>
      </c>
      <c r="D894" t="inlineStr">
        <is>
          <t>VÄRMLANDS LÄN</t>
        </is>
      </c>
      <c r="E894" t="inlineStr">
        <is>
          <t>TORSBY</t>
        </is>
      </c>
      <c r="F894" t="inlineStr">
        <is>
          <t>Övriga Aktiebolag</t>
        </is>
      </c>
      <c r="G894" t="n">
        <v>4.1</v>
      </c>
      <c r="H894" t="n">
        <v>0</v>
      </c>
      <c r="I894" t="n">
        <v>0</v>
      </c>
      <c r="J894" t="n">
        <v>0</v>
      </c>
      <c r="K894" t="n">
        <v>0</v>
      </c>
      <c r="L894" t="n">
        <v>0</v>
      </c>
      <c r="M894" t="n">
        <v>0</v>
      </c>
      <c r="N894" t="n">
        <v>0</v>
      </c>
      <c r="O894" t="n">
        <v>0</v>
      </c>
      <c r="P894" t="n">
        <v>0</v>
      </c>
      <c r="Q894" t="n">
        <v>0</v>
      </c>
      <c r="R894" s="2" t="inlineStr"/>
    </row>
    <row r="895" ht="15" customHeight="1">
      <c r="A895" t="inlineStr">
        <is>
          <t>A 71679-2021</t>
        </is>
      </c>
      <c r="B895" s="1" t="n">
        <v>44543</v>
      </c>
      <c r="C895" s="1" t="n">
        <v>45711</v>
      </c>
      <c r="D895" t="inlineStr">
        <is>
          <t>VÄRMLANDS LÄN</t>
        </is>
      </c>
      <c r="E895" t="inlineStr">
        <is>
          <t>TORSBY</t>
        </is>
      </c>
      <c r="G895" t="n">
        <v>2.3</v>
      </c>
      <c r="H895" t="n">
        <v>0</v>
      </c>
      <c r="I895" t="n">
        <v>0</v>
      </c>
      <c r="J895" t="n">
        <v>0</v>
      </c>
      <c r="K895" t="n">
        <v>0</v>
      </c>
      <c r="L895" t="n">
        <v>0</v>
      </c>
      <c r="M895" t="n">
        <v>0</v>
      </c>
      <c r="N895" t="n">
        <v>0</v>
      </c>
      <c r="O895" t="n">
        <v>0</v>
      </c>
      <c r="P895" t="n">
        <v>0</v>
      </c>
      <c r="Q895" t="n">
        <v>0</v>
      </c>
      <c r="R895" s="2" t="inlineStr"/>
    </row>
    <row r="896" ht="15" customHeight="1">
      <c r="A896" t="inlineStr">
        <is>
          <t>A 71990-2021</t>
        </is>
      </c>
      <c r="B896" s="1" t="n">
        <v>44544</v>
      </c>
      <c r="C896" s="1" t="n">
        <v>45711</v>
      </c>
      <c r="D896" t="inlineStr">
        <is>
          <t>VÄRMLANDS LÄN</t>
        </is>
      </c>
      <c r="E896" t="inlineStr">
        <is>
          <t>TORSBY</t>
        </is>
      </c>
      <c r="G896" t="n">
        <v>4.6</v>
      </c>
      <c r="H896" t="n">
        <v>0</v>
      </c>
      <c r="I896" t="n">
        <v>0</v>
      </c>
      <c r="J896" t="n">
        <v>0</v>
      </c>
      <c r="K896" t="n">
        <v>0</v>
      </c>
      <c r="L896" t="n">
        <v>0</v>
      </c>
      <c r="M896" t="n">
        <v>0</v>
      </c>
      <c r="N896" t="n">
        <v>0</v>
      </c>
      <c r="O896" t="n">
        <v>0</v>
      </c>
      <c r="P896" t="n">
        <v>0</v>
      </c>
      <c r="Q896" t="n">
        <v>0</v>
      </c>
      <c r="R896" s="2" t="inlineStr"/>
    </row>
    <row r="897" ht="15" customHeight="1">
      <c r="A897" t="inlineStr">
        <is>
          <t>A 72200-2021</t>
        </is>
      </c>
      <c r="B897" s="1" t="n">
        <v>44544</v>
      </c>
      <c r="C897" s="1" t="n">
        <v>45711</v>
      </c>
      <c r="D897" t="inlineStr">
        <is>
          <t>VÄRMLANDS LÄN</t>
        </is>
      </c>
      <c r="E897" t="inlineStr">
        <is>
          <t>TORSBY</t>
        </is>
      </c>
      <c r="G897" t="n">
        <v>3.3</v>
      </c>
      <c r="H897" t="n">
        <v>0</v>
      </c>
      <c r="I897" t="n">
        <v>0</v>
      </c>
      <c r="J897" t="n">
        <v>0</v>
      </c>
      <c r="K897" t="n">
        <v>0</v>
      </c>
      <c r="L897" t="n">
        <v>0</v>
      </c>
      <c r="M897" t="n">
        <v>0</v>
      </c>
      <c r="N897" t="n">
        <v>0</v>
      </c>
      <c r="O897" t="n">
        <v>0</v>
      </c>
      <c r="P897" t="n">
        <v>0</v>
      </c>
      <c r="Q897" t="n">
        <v>0</v>
      </c>
      <c r="R897" s="2" t="inlineStr"/>
    </row>
    <row r="898" ht="15" customHeight="1">
      <c r="A898" t="inlineStr">
        <is>
          <t>A 72250-2021</t>
        </is>
      </c>
      <c r="B898" s="1" t="n">
        <v>44544</v>
      </c>
      <c r="C898" s="1" t="n">
        <v>45711</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73055-2021</t>
        </is>
      </c>
      <c r="B899" s="1" t="n">
        <v>44550</v>
      </c>
      <c r="C899" s="1" t="n">
        <v>45711</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73324-2021</t>
        </is>
      </c>
      <c r="B900" s="1" t="n">
        <v>44550</v>
      </c>
      <c r="C900" s="1" t="n">
        <v>45711</v>
      </c>
      <c r="D900" t="inlineStr">
        <is>
          <t>VÄRMLANDS LÄN</t>
        </is>
      </c>
      <c r="E900" t="inlineStr">
        <is>
          <t>TORSBY</t>
        </is>
      </c>
      <c r="G900" t="n">
        <v>9.9</v>
      </c>
      <c r="H900" t="n">
        <v>0</v>
      </c>
      <c r="I900" t="n">
        <v>0</v>
      </c>
      <c r="J900" t="n">
        <v>0</v>
      </c>
      <c r="K900" t="n">
        <v>0</v>
      </c>
      <c r="L900" t="n">
        <v>0</v>
      </c>
      <c r="M900" t="n">
        <v>0</v>
      </c>
      <c r="N900" t="n">
        <v>0</v>
      </c>
      <c r="O900" t="n">
        <v>0</v>
      </c>
      <c r="P900" t="n">
        <v>0</v>
      </c>
      <c r="Q900" t="n">
        <v>0</v>
      </c>
      <c r="R900" s="2" t="inlineStr"/>
    </row>
    <row r="901" ht="15" customHeight="1">
      <c r="A901" t="inlineStr">
        <is>
          <t>A 73165-2021</t>
        </is>
      </c>
      <c r="B901" s="1" t="n">
        <v>44550</v>
      </c>
      <c r="C901" s="1" t="n">
        <v>45711</v>
      </c>
      <c r="D901" t="inlineStr">
        <is>
          <t>VÄRMLANDS LÄN</t>
        </is>
      </c>
      <c r="E901" t="inlineStr">
        <is>
          <t>TORSBY</t>
        </is>
      </c>
      <c r="G901" t="n">
        <v>1.8</v>
      </c>
      <c r="H901" t="n">
        <v>0</v>
      </c>
      <c r="I901" t="n">
        <v>0</v>
      </c>
      <c r="J901" t="n">
        <v>0</v>
      </c>
      <c r="K901" t="n">
        <v>0</v>
      </c>
      <c r="L901" t="n">
        <v>0</v>
      </c>
      <c r="M901" t="n">
        <v>0</v>
      </c>
      <c r="N901" t="n">
        <v>0</v>
      </c>
      <c r="O901" t="n">
        <v>0</v>
      </c>
      <c r="P901" t="n">
        <v>0</v>
      </c>
      <c r="Q901" t="n">
        <v>0</v>
      </c>
      <c r="R901" s="2" t="inlineStr"/>
    </row>
    <row r="902" ht="15" customHeight="1">
      <c r="A902" t="inlineStr">
        <is>
          <t>A 73442-2021</t>
        </is>
      </c>
      <c r="B902" s="1" t="n">
        <v>44551</v>
      </c>
      <c r="C902" s="1" t="n">
        <v>45711</v>
      </c>
      <c r="D902" t="inlineStr">
        <is>
          <t>VÄRMLANDS LÄN</t>
        </is>
      </c>
      <c r="E902" t="inlineStr">
        <is>
          <t>TORSBY</t>
        </is>
      </c>
      <c r="F902" t="inlineStr">
        <is>
          <t>Bergvik skog väst AB</t>
        </is>
      </c>
      <c r="G902" t="n">
        <v>4.1</v>
      </c>
      <c r="H902" t="n">
        <v>0</v>
      </c>
      <c r="I902" t="n">
        <v>0</v>
      </c>
      <c r="J902" t="n">
        <v>0</v>
      </c>
      <c r="K902" t="n">
        <v>0</v>
      </c>
      <c r="L902" t="n">
        <v>0</v>
      </c>
      <c r="M902" t="n">
        <v>0</v>
      </c>
      <c r="N902" t="n">
        <v>0</v>
      </c>
      <c r="O902" t="n">
        <v>0</v>
      </c>
      <c r="P902" t="n">
        <v>0</v>
      </c>
      <c r="Q902" t="n">
        <v>0</v>
      </c>
      <c r="R902" s="2" t="inlineStr"/>
    </row>
    <row r="903" ht="15" customHeight="1">
      <c r="A903" t="inlineStr">
        <is>
          <t>A 73553-2021</t>
        </is>
      </c>
      <c r="B903" s="1" t="n">
        <v>44551</v>
      </c>
      <c r="C903" s="1" t="n">
        <v>45711</v>
      </c>
      <c r="D903" t="inlineStr">
        <is>
          <t>VÄRMLANDS LÄN</t>
        </is>
      </c>
      <c r="E903" t="inlineStr">
        <is>
          <t>TORSBY</t>
        </is>
      </c>
      <c r="G903" t="n">
        <v>5.1</v>
      </c>
      <c r="H903" t="n">
        <v>0</v>
      </c>
      <c r="I903" t="n">
        <v>0</v>
      </c>
      <c r="J903" t="n">
        <v>0</v>
      </c>
      <c r="K903" t="n">
        <v>0</v>
      </c>
      <c r="L903" t="n">
        <v>0</v>
      </c>
      <c r="M903" t="n">
        <v>0</v>
      </c>
      <c r="N903" t="n">
        <v>0</v>
      </c>
      <c r="O903" t="n">
        <v>0</v>
      </c>
      <c r="P903" t="n">
        <v>0</v>
      </c>
      <c r="Q903" t="n">
        <v>0</v>
      </c>
      <c r="R903" s="2" t="inlineStr"/>
    </row>
    <row r="904" ht="15" customHeight="1">
      <c r="A904" t="inlineStr">
        <is>
          <t>A 73521-2021</t>
        </is>
      </c>
      <c r="B904" s="1" t="n">
        <v>44551</v>
      </c>
      <c r="C904" s="1" t="n">
        <v>45711</v>
      </c>
      <c r="D904" t="inlineStr">
        <is>
          <t>VÄRMLANDS LÄN</t>
        </is>
      </c>
      <c r="E904" t="inlineStr">
        <is>
          <t>TORSBY</t>
        </is>
      </c>
      <c r="G904" t="n">
        <v>2.3</v>
      </c>
      <c r="H904" t="n">
        <v>0</v>
      </c>
      <c r="I904" t="n">
        <v>0</v>
      </c>
      <c r="J904" t="n">
        <v>0</v>
      </c>
      <c r="K904" t="n">
        <v>0</v>
      </c>
      <c r="L904" t="n">
        <v>0</v>
      </c>
      <c r="M904" t="n">
        <v>0</v>
      </c>
      <c r="N904" t="n">
        <v>0</v>
      </c>
      <c r="O904" t="n">
        <v>0</v>
      </c>
      <c r="P904" t="n">
        <v>0</v>
      </c>
      <c r="Q904" t="n">
        <v>0</v>
      </c>
      <c r="R904" s="2" t="inlineStr"/>
    </row>
    <row r="905" ht="15" customHeight="1">
      <c r="A905" t="inlineStr">
        <is>
          <t>A 73882-2021</t>
        </is>
      </c>
      <c r="B905" s="1" t="n">
        <v>44553</v>
      </c>
      <c r="C905" s="1" t="n">
        <v>45711</v>
      </c>
      <c r="D905" t="inlineStr">
        <is>
          <t>VÄRMLANDS LÄN</t>
        </is>
      </c>
      <c r="E905" t="inlineStr">
        <is>
          <t>TORSBY</t>
        </is>
      </c>
      <c r="F905" t="inlineStr">
        <is>
          <t>Kyrkan</t>
        </is>
      </c>
      <c r="G905" t="n">
        <v>0.5</v>
      </c>
      <c r="H905" t="n">
        <v>0</v>
      </c>
      <c r="I905" t="n">
        <v>0</v>
      </c>
      <c r="J905" t="n">
        <v>0</v>
      </c>
      <c r="K905" t="n">
        <v>0</v>
      </c>
      <c r="L905" t="n">
        <v>0</v>
      </c>
      <c r="M905" t="n">
        <v>0</v>
      </c>
      <c r="N905" t="n">
        <v>0</v>
      </c>
      <c r="O905" t="n">
        <v>0</v>
      </c>
      <c r="P905" t="n">
        <v>0</v>
      </c>
      <c r="Q905" t="n">
        <v>0</v>
      </c>
      <c r="R905" s="2" t="inlineStr"/>
    </row>
    <row r="906" ht="15" customHeight="1">
      <c r="A906" t="inlineStr">
        <is>
          <t>A 73874-2021</t>
        </is>
      </c>
      <c r="B906" s="1" t="n">
        <v>44553</v>
      </c>
      <c r="C906" s="1" t="n">
        <v>45711</v>
      </c>
      <c r="D906" t="inlineStr">
        <is>
          <t>VÄRMLANDS LÄN</t>
        </is>
      </c>
      <c r="E906" t="inlineStr">
        <is>
          <t>TORSBY</t>
        </is>
      </c>
      <c r="G906" t="n">
        <v>6.6</v>
      </c>
      <c r="H906" t="n">
        <v>0</v>
      </c>
      <c r="I906" t="n">
        <v>0</v>
      </c>
      <c r="J906" t="n">
        <v>0</v>
      </c>
      <c r="K906" t="n">
        <v>0</v>
      </c>
      <c r="L906" t="n">
        <v>0</v>
      </c>
      <c r="M906" t="n">
        <v>0</v>
      </c>
      <c r="N906" t="n">
        <v>0</v>
      </c>
      <c r="O906" t="n">
        <v>0</v>
      </c>
      <c r="P906" t="n">
        <v>0</v>
      </c>
      <c r="Q906" t="n">
        <v>0</v>
      </c>
      <c r="R906" s="2" t="inlineStr"/>
    </row>
    <row r="907" ht="15" customHeight="1">
      <c r="A907" t="inlineStr">
        <is>
          <t>A 74012-2021</t>
        </is>
      </c>
      <c r="B907" s="1" t="n">
        <v>44553</v>
      </c>
      <c r="C907" s="1" t="n">
        <v>45711</v>
      </c>
      <c r="D907" t="inlineStr">
        <is>
          <t>VÄRMLANDS LÄN</t>
        </is>
      </c>
      <c r="E907" t="inlineStr">
        <is>
          <t>TORSBY</t>
        </is>
      </c>
      <c r="G907" t="n">
        <v>1.8</v>
      </c>
      <c r="H907" t="n">
        <v>0</v>
      </c>
      <c r="I907" t="n">
        <v>0</v>
      </c>
      <c r="J907" t="n">
        <v>0</v>
      </c>
      <c r="K907" t="n">
        <v>0</v>
      </c>
      <c r="L907" t="n">
        <v>0</v>
      </c>
      <c r="M907" t="n">
        <v>0</v>
      </c>
      <c r="N907" t="n">
        <v>0</v>
      </c>
      <c r="O907" t="n">
        <v>0</v>
      </c>
      <c r="P907" t="n">
        <v>0</v>
      </c>
      <c r="Q907" t="n">
        <v>0</v>
      </c>
      <c r="R907" s="2" t="inlineStr"/>
    </row>
    <row r="908" ht="15" customHeight="1">
      <c r="A908" t="inlineStr">
        <is>
          <t>A 74079-2021</t>
        </is>
      </c>
      <c r="B908" s="1" t="n">
        <v>44557</v>
      </c>
      <c r="C908" s="1" t="n">
        <v>45711</v>
      </c>
      <c r="D908" t="inlineStr">
        <is>
          <t>VÄRMLANDS LÄN</t>
        </is>
      </c>
      <c r="E908" t="inlineStr">
        <is>
          <t>TORSBY</t>
        </is>
      </c>
      <c r="G908" t="n">
        <v>1.2</v>
      </c>
      <c r="H908" t="n">
        <v>0</v>
      </c>
      <c r="I908" t="n">
        <v>0</v>
      </c>
      <c r="J908" t="n">
        <v>0</v>
      </c>
      <c r="K908" t="n">
        <v>0</v>
      </c>
      <c r="L908" t="n">
        <v>0</v>
      </c>
      <c r="M908" t="n">
        <v>0</v>
      </c>
      <c r="N908" t="n">
        <v>0</v>
      </c>
      <c r="O908" t="n">
        <v>0</v>
      </c>
      <c r="P908" t="n">
        <v>0</v>
      </c>
      <c r="Q908" t="n">
        <v>0</v>
      </c>
      <c r="R908" s="2" t="inlineStr"/>
    </row>
    <row r="909" ht="15" customHeight="1">
      <c r="A909" t="inlineStr">
        <is>
          <t>A 74375-2021</t>
        </is>
      </c>
      <c r="B909" s="1" t="n">
        <v>44559</v>
      </c>
      <c r="C909" s="1" t="n">
        <v>45711</v>
      </c>
      <c r="D909" t="inlineStr">
        <is>
          <t>VÄRMLANDS LÄN</t>
        </is>
      </c>
      <c r="E909" t="inlineStr">
        <is>
          <t>TORSBY</t>
        </is>
      </c>
      <c r="G909" t="n">
        <v>2.4</v>
      </c>
      <c r="H909" t="n">
        <v>0</v>
      </c>
      <c r="I909" t="n">
        <v>0</v>
      </c>
      <c r="J909" t="n">
        <v>0</v>
      </c>
      <c r="K909" t="n">
        <v>0</v>
      </c>
      <c r="L909" t="n">
        <v>0</v>
      </c>
      <c r="M909" t="n">
        <v>0</v>
      </c>
      <c r="N909" t="n">
        <v>0</v>
      </c>
      <c r="O909" t="n">
        <v>0</v>
      </c>
      <c r="P909" t="n">
        <v>0</v>
      </c>
      <c r="Q909" t="n">
        <v>0</v>
      </c>
      <c r="R909" s="2" t="inlineStr"/>
    </row>
    <row r="910" ht="15" customHeight="1">
      <c r="A910" t="inlineStr">
        <is>
          <t>A 74374-2021</t>
        </is>
      </c>
      <c r="B910" s="1" t="n">
        <v>44559</v>
      </c>
      <c r="C910" s="1" t="n">
        <v>45711</v>
      </c>
      <c r="D910" t="inlineStr">
        <is>
          <t>VÄRMLANDS LÄN</t>
        </is>
      </c>
      <c r="E910" t="inlineStr">
        <is>
          <t>TORSBY</t>
        </is>
      </c>
      <c r="G910" t="n">
        <v>4.8</v>
      </c>
      <c r="H910" t="n">
        <v>0</v>
      </c>
      <c r="I910" t="n">
        <v>0</v>
      </c>
      <c r="J910" t="n">
        <v>0</v>
      </c>
      <c r="K910" t="n">
        <v>0</v>
      </c>
      <c r="L910" t="n">
        <v>0</v>
      </c>
      <c r="M910" t="n">
        <v>0</v>
      </c>
      <c r="N910" t="n">
        <v>0</v>
      </c>
      <c r="O910" t="n">
        <v>0</v>
      </c>
      <c r="P910" t="n">
        <v>0</v>
      </c>
      <c r="Q910" t="n">
        <v>0</v>
      </c>
      <c r="R910" s="2" t="inlineStr"/>
    </row>
    <row r="911" ht="15" customHeight="1">
      <c r="A911" t="inlineStr">
        <is>
          <t>A 74351-2021</t>
        </is>
      </c>
      <c r="B911" s="1" t="n">
        <v>44559</v>
      </c>
      <c r="C911" s="1" t="n">
        <v>45711</v>
      </c>
      <c r="D911" t="inlineStr">
        <is>
          <t>VÄRMLANDS LÄN</t>
        </is>
      </c>
      <c r="E911" t="inlineStr">
        <is>
          <t>TORSBY</t>
        </is>
      </c>
      <c r="F911" t="inlineStr">
        <is>
          <t>Bergvik skog väst AB</t>
        </is>
      </c>
      <c r="G911" t="n">
        <v>9.1</v>
      </c>
      <c r="H911" t="n">
        <v>0</v>
      </c>
      <c r="I911" t="n">
        <v>0</v>
      </c>
      <c r="J911" t="n">
        <v>0</v>
      </c>
      <c r="K911" t="n">
        <v>0</v>
      </c>
      <c r="L911" t="n">
        <v>0</v>
      </c>
      <c r="M911" t="n">
        <v>0</v>
      </c>
      <c r="N911" t="n">
        <v>0</v>
      </c>
      <c r="O911" t="n">
        <v>0</v>
      </c>
      <c r="P911" t="n">
        <v>0</v>
      </c>
      <c r="Q911" t="n">
        <v>0</v>
      </c>
      <c r="R911" s="2" t="inlineStr"/>
    </row>
    <row r="912" ht="15" customHeight="1">
      <c r="A912" t="inlineStr">
        <is>
          <t>A 361-2022</t>
        </is>
      </c>
      <c r="B912" s="1" t="n">
        <v>44565</v>
      </c>
      <c r="C912" s="1" t="n">
        <v>45711</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739-2022</t>
        </is>
      </c>
      <c r="B913" s="1" t="n">
        <v>44568</v>
      </c>
      <c r="C913" s="1" t="n">
        <v>45711</v>
      </c>
      <c r="D913" t="inlineStr">
        <is>
          <t>VÄRMLANDS LÄN</t>
        </is>
      </c>
      <c r="E913" t="inlineStr">
        <is>
          <t>TORSBY</t>
        </is>
      </c>
      <c r="G913" t="n">
        <v>3.3</v>
      </c>
      <c r="H913" t="n">
        <v>0</v>
      </c>
      <c r="I913" t="n">
        <v>0</v>
      </c>
      <c r="J913" t="n">
        <v>0</v>
      </c>
      <c r="K913" t="n">
        <v>0</v>
      </c>
      <c r="L913" t="n">
        <v>0</v>
      </c>
      <c r="M913" t="n">
        <v>0</v>
      </c>
      <c r="N913" t="n">
        <v>0</v>
      </c>
      <c r="O913" t="n">
        <v>0</v>
      </c>
      <c r="P913" t="n">
        <v>0</v>
      </c>
      <c r="Q913" t="n">
        <v>0</v>
      </c>
      <c r="R913" s="2" t="inlineStr"/>
    </row>
    <row r="914" ht="15" customHeight="1">
      <c r="A914" t="inlineStr">
        <is>
          <t>A 997-2022</t>
        </is>
      </c>
      <c r="B914" s="1" t="n">
        <v>44571</v>
      </c>
      <c r="C914" s="1" t="n">
        <v>45711</v>
      </c>
      <c r="D914" t="inlineStr">
        <is>
          <t>VÄRMLANDS LÄN</t>
        </is>
      </c>
      <c r="E914" t="inlineStr">
        <is>
          <t>TORSBY</t>
        </is>
      </c>
      <c r="G914" t="n">
        <v>0.9</v>
      </c>
      <c r="H914" t="n">
        <v>0</v>
      </c>
      <c r="I914" t="n">
        <v>0</v>
      </c>
      <c r="J914" t="n">
        <v>0</v>
      </c>
      <c r="K914" t="n">
        <v>0</v>
      </c>
      <c r="L914" t="n">
        <v>0</v>
      </c>
      <c r="M914" t="n">
        <v>0</v>
      </c>
      <c r="N914" t="n">
        <v>0</v>
      </c>
      <c r="O914" t="n">
        <v>0</v>
      </c>
      <c r="P914" t="n">
        <v>0</v>
      </c>
      <c r="Q914" t="n">
        <v>0</v>
      </c>
      <c r="R914" s="2" t="inlineStr"/>
    </row>
    <row r="915" ht="15" customHeight="1">
      <c r="A915" t="inlineStr">
        <is>
          <t>A 1839-2022</t>
        </is>
      </c>
      <c r="B915" s="1" t="n">
        <v>44574</v>
      </c>
      <c r="C915" s="1" t="n">
        <v>45711</v>
      </c>
      <c r="D915" t="inlineStr">
        <is>
          <t>VÄRMLANDS LÄN</t>
        </is>
      </c>
      <c r="E915" t="inlineStr">
        <is>
          <t>TORSBY</t>
        </is>
      </c>
      <c r="G915" t="n">
        <v>5.3</v>
      </c>
      <c r="H915" t="n">
        <v>0</v>
      </c>
      <c r="I915" t="n">
        <v>0</v>
      </c>
      <c r="J915" t="n">
        <v>0</v>
      </c>
      <c r="K915" t="n">
        <v>0</v>
      </c>
      <c r="L915" t="n">
        <v>0</v>
      </c>
      <c r="M915" t="n">
        <v>0</v>
      </c>
      <c r="N915" t="n">
        <v>0</v>
      </c>
      <c r="O915" t="n">
        <v>0</v>
      </c>
      <c r="P915" t="n">
        <v>0</v>
      </c>
      <c r="Q915" t="n">
        <v>0</v>
      </c>
      <c r="R915" s="2" t="inlineStr"/>
    </row>
    <row r="916" ht="15" customHeight="1">
      <c r="A916" t="inlineStr">
        <is>
          <t>A 1911-2022</t>
        </is>
      </c>
      <c r="B916" s="1" t="n">
        <v>44575</v>
      </c>
      <c r="C916" s="1" t="n">
        <v>45711</v>
      </c>
      <c r="D916" t="inlineStr">
        <is>
          <t>VÄRMLANDS LÄN</t>
        </is>
      </c>
      <c r="E916" t="inlineStr">
        <is>
          <t>TORSBY</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2414-2022</t>
        </is>
      </c>
      <c r="B917" s="1" t="n">
        <v>44579</v>
      </c>
      <c r="C917" s="1" t="n">
        <v>45711</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2421-2022</t>
        </is>
      </c>
      <c r="B918" s="1" t="n">
        <v>44579</v>
      </c>
      <c r="C918" s="1" t="n">
        <v>45711</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2699-2022</t>
        </is>
      </c>
      <c r="B919" s="1" t="n">
        <v>44580</v>
      </c>
      <c r="C919" s="1" t="n">
        <v>45711</v>
      </c>
      <c r="D919" t="inlineStr">
        <is>
          <t>VÄRMLANDS LÄN</t>
        </is>
      </c>
      <c r="E919" t="inlineStr">
        <is>
          <t>TORSBY</t>
        </is>
      </c>
      <c r="G919" t="n">
        <v>0.4</v>
      </c>
      <c r="H919" t="n">
        <v>0</v>
      </c>
      <c r="I919" t="n">
        <v>0</v>
      </c>
      <c r="J919" t="n">
        <v>0</v>
      </c>
      <c r="K919" t="n">
        <v>0</v>
      </c>
      <c r="L919" t="n">
        <v>0</v>
      </c>
      <c r="M919" t="n">
        <v>0</v>
      </c>
      <c r="N919" t="n">
        <v>0</v>
      </c>
      <c r="O919" t="n">
        <v>0</v>
      </c>
      <c r="P919" t="n">
        <v>0</v>
      </c>
      <c r="Q919" t="n">
        <v>0</v>
      </c>
      <c r="R919" s="2" t="inlineStr"/>
    </row>
    <row r="920" ht="15" customHeight="1">
      <c r="A920" t="inlineStr">
        <is>
          <t>A 3071-2022</t>
        </is>
      </c>
      <c r="B920" s="1" t="n">
        <v>44582</v>
      </c>
      <c r="C920" s="1" t="n">
        <v>45711</v>
      </c>
      <c r="D920" t="inlineStr">
        <is>
          <t>VÄRMLANDS LÄN</t>
        </is>
      </c>
      <c r="E920" t="inlineStr">
        <is>
          <t>TORSBY</t>
        </is>
      </c>
      <c r="G920" t="n">
        <v>7.9</v>
      </c>
      <c r="H920" t="n">
        <v>0</v>
      </c>
      <c r="I920" t="n">
        <v>0</v>
      </c>
      <c r="J920" t="n">
        <v>0</v>
      </c>
      <c r="K920" t="n">
        <v>0</v>
      </c>
      <c r="L920" t="n">
        <v>0</v>
      </c>
      <c r="M920" t="n">
        <v>0</v>
      </c>
      <c r="N920" t="n">
        <v>0</v>
      </c>
      <c r="O920" t="n">
        <v>0</v>
      </c>
      <c r="P920" t="n">
        <v>0</v>
      </c>
      <c r="Q920" t="n">
        <v>0</v>
      </c>
      <c r="R920" s="2" t="inlineStr"/>
    </row>
    <row r="921" ht="15" customHeight="1">
      <c r="A921" t="inlineStr">
        <is>
          <t>A 3369-2022</t>
        </is>
      </c>
      <c r="B921" s="1" t="n">
        <v>44585</v>
      </c>
      <c r="C921" s="1" t="n">
        <v>45711</v>
      </c>
      <c r="D921" t="inlineStr">
        <is>
          <t>VÄRMLANDS LÄN</t>
        </is>
      </c>
      <c r="E921" t="inlineStr">
        <is>
          <t>TORSBY</t>
        </is>
      </c>
      <c r="G921" t="n">
        <v>1</v>
      </c>
      <c r="H921" t="n">
        <v>0</v>
      </c>
      <c r="I921" t="n">
        <v>0</v>
      </c>
      <c r="J921" t="n">
        <v>0</v>
      </c>
      <c r="K921" t="n">
        <v>0</v>
      </c>
      <c r="L921" t="n">
        <v>0</v>
      </c>
      <c r="M921" t="n">
        <v>0</v>
      </c>
      <c r="N921" t="n">
        <v>0</v>
      </c>
      <c r="O921" t="n">
        <v>0</v>
      </c>
      <c r="P921" t="n">
        <v>0</v>
      </c>
      <c r="Q921" t="n">
        <v>0</v>
      </c>
      <c r="R921" s="2" t="inlineStr"/>
    </row>
    <row r="922" ht="15" customHeight="1">
      <c r="A922" t="inlineStr">
        <is>
          <t>A 3385-2022</t>
        </is>
      </c>
      <c r="B922" s="1" t="n">
        <v>44585</v>
      </c>
      <c r="C922" s="1" t="n">
        <v>45711</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3397-2022</t>
        </is>
      </c>
      <c r="B923" s="1" t="n">
        <v>44585</v>
      </c>
      <c r="C923" s="1" t="n">
        <v>45711</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3387-2022</t>
        </is>
      </c>
      <c r="B924" s="1" t="n">
        <v>44585</v>
      </c>
      <c r="C924" s="1" t="n">
        <v>45711</v>
      </c>
      <c r="D924" t="inlineStr">
        <is>
          <t>VÄRMLANDS LÄN</t>
        </is>
      </c>
      <c r="E924" t="inlineStr">
        <is>
          <t>TORSBY</t>
        </is>
      </c>
      <c r="G924" t="n">
        <v>4.8</v>
      </c>
      <c r="H924" t="n">
        <v>0</v>
      </c>
      <c r="I924" t="n">
        <v>0</v>
      </c>
      <c r="J924" t="n">
        <v>0</v>
      </c>
      <c r="K924" t="n">
        <v>0</v>
      </c>
      <c r="L924" t="n">
        <v>0</v>
      </c>
      <c r="M924" t="n">
        <v>0</v>
      </c>
      <c r="N924" t="n">
        <v>0</v>
      </c>
      <c r="O924" t="n">
        <v>0</v>
      </c>
      <c r="P924" t="n">
        <v>0</v>
      </c>
      <c r="Q924" t="n">
        <v>0</v>
      </c>
      <c r="R924" s="2" t="inlineStr"/>
    </row>
    <row r="925" ht="15" customHeight="1">
      <c r="A925" t="inlineStr">
        <is>
          <t>A 3382-2022</t>
        </is>
      </c>
      <c r="B925" s="1" t="n">
        <v>44585</v>
      </c>
      <c r="C925" s="1" t="n">
        <v>45711</v>
      </c>
      <c r="D925" t="inlineStr">
        <is>
          <t>VÄRMLANDS LÄN</t>
        </is>
      </c>
      <c r="E925" t="inlineStr">
        <is>
          <t>TORSBY</t>
        </is>
      </c>
      <c r="G925" t="n">
        <v>0.6</v>
      </c>
      <c r="H925" t="n">
        <v>0</v>
      </c>
      <c r="I925" t="n">
        <v>0</v>
      </c>
      <c r="J925" t="n">
        <v>0</v>
      </c>
      <c r="K925" t="n">
        <v>0</v>
      </c>
      <c r="L925" t="n">
        <v>0</v>
      </c>
      <c r="M925" t="n">
        <v>0</v>
      </c>
      <c r="N925" t="n">
        <v>0</v>
      </c>
      <c r="O925" t="n">
        <v>0</v>
      </c>
      <c r="P925" t="n">
        <v>0</v>
      </c>
      <c r="Q925" t="n">
        <v>0</v>
      </c>
      <c r="R925" s="2" t="inlineStr"/>
    </row>
    <row r="926" ht="15" customHeight="1">
      <c r="A926" t="inlineStr">
        <is>
          <t>A 3390-2022</t>
        </is>
      </c>
      <c r="B926" s="1" t="n">
        <v>44585</v>
      </c>
      <c r="C926" s="1" t="n">
        <v>45711</v>
      </c>
      <c r="D926" t="inlineStr">
        <is>
          <t>VÄRMLANDS LÄN</t>
        </is>
      </c>
      <c r="E926" t="inlineStr">
        <is>
          <t>TORSBY</t>
        </is>
      </c>
      <c r="G926" t="n">
        <v>4.3</v>
      </c>
      <c r="H926" t="n">
        <v>0</v>
      </c>
      <c r="I926" t="n">
        <v>0</v>
      </c>
      <c r="J926" t="n">
        <v>0</v>
      </c>
      <c r="K926" t="n">
        <v>0</v>
      </c>
      <c r="L926" t="n">
        <v>0</v>
      </c>
      <c r="M926" t="n">
        <v>0</v>
      </c>
      <c r="N926" t="n">
        <v>0</v>
      </c>
      <c r="O926" t="n">
        <v>0</v>
      </c>
      <c r="P926" t="n">
        <v>0</v>
      </c>
      <c r="Q926" t="n">
        <v>0</v>
      </c>
      <c r="R926" s="2" t="inlineStr"/>
    </row>
    <row r="927" ht="15" customHeight="1">
      <c r="A927" t="inlineStr">
        <is>
          <t>A 3393-2022</t>
        </is>
      </c>
      <c r="B927" s="1" t="n">
        <v>44585</v>
      </c>
      <c r="C927" s="1" t="n">
        <v>45711</v>
      </c>
      <c r="D927" t="inlineStr">
        <is>
          <t>VÄRMLANDS LÄN</t>
        </is>
      </c>
      <c r="E927" t="inlineStr">
        <is>
          <t>TORSBY</t>
        </is>
      </c>
      <c r="G927" t="n">
        <v>3.1</v>
      </c>
      <c r="H927" t="n">
        <v>0</v>
      </c>
      <c r="I927" t="n">
        <v>0</v>
      </c>
      <c r="J927" t="n">
        <v>0</v>
      </c>
      <c r="K927" t="n">
        <v>0</v>
      </c>
      <c r="L927" t="n">
        <v>0</v>
      </c>
      <c r="M927" t="n">
        <v>0</v>
      </c>
      <c r="N927" t="n">
        <v>0</v>
      </c>
      <c r="O927" t="n">
        <v>0</v>
      </c>
      <c r="P927" t="n">
        <v>0</v>
      </c>
      <c r="Q927" t="n">
        <v>0</v>
      </c>
      <c r="R927" s="2" t="inlineStr"/>
    </row>
    <row r="928" ht="15" customHeight="1">
      <c r="A928" t="inlineStr">
        <is>
          <t>A 3749-2022</t>
        </is>
      </c>
      <c r="B928" s="1" t="n">
        <v>44586</v>
      </c>
      <c r="C928" s="1" t="n">
        <v>45711</v>
      </c>
      <c r="D928" t="inlineStr">
        <is>
          <t>VÄRMLANDS LÄN</t>
        </is>
      </c>
      <c r="E928" t="inlineStr">
        <is>
          <t>TORSBY</t>
        </is>
      </c>
      <c r="G928" t="n">
        <v>6.3</v>
      </c>
      <c r="H928" t="n">
        <v>0</v>
      </c>
      <c r="I928" t="n">
        <v>0</v>
      </c>
      <c r="J928" t="n">
        <v>0</v>
      </c>
      <c r="K928" t="n">
        <v>0</v>
      </c>
      <c r="L928" t="n">
        <v>0</v>
      </c>
      <c r="M928" t="n">
        <v>0</v>
      </c>
      <c r="N928" t="n">
        <v>0</v>
      </c>
      <c r="O928" t="n">
        <v>0</v>
      </c>
      <c r="P928" t="n">
        <v>0</v>
      </c>
      <c r="Q928" t="n">
        <v>0</v>
      </c>
      <c r="R928" s="2" t="inlineStr"/>
    </row>
    <row r="929" ht="15" customHeight="1">
      <c r="A929" t="inlineStr">
        <is>
          <t>A 3841-2022</t>
        </is>
      </c>
      <c r="B929" s="1" t="n">
        <v>44587</v>
      </c>
      <c r="C929" s="1" t="n">
        <v>45711</v>
      </c>
      <c r="D929" t="inlineStr">
        <is>
          <t>VÄRMLANDS LÄN</t>
        </is>
      </c>
      <c r="E929" t="inlineStr">
        <is>
          <t>TORSBY</t>
        </is>
      </c>
      <c r="G929" t="n">
        <v>6.4</v>
      </c>
      <c r="H929" t="n">
        <v>0</v>
      </c>
      <c r="I929" t="n">
        <v>0</v>
      </c>
      <c r="J929" t="n">
        <v>0</v>
      </c>
      <c r="K929" t="n">
        <v>0</v>
      </c>
      <c r="L929" t="n">
        <v>0</v>
      </c>
      <c r="M929" t="n">
        <v>0</v>
      </c>
      <c r="N929" t="n">
        <v>0</v>
      </c>
      <c r="O929" t="n">
        <v>0</v>
      </c>
      <c r="P929" t="n">
        <v>0</v>
      </c>
      <c r="Q929" t="n">
        <v>0</v>
      </c>
      <c r="R929" s="2" t="inlineStr"/>
    </row>
    <row r="930" ht="15" customHeight="1">
      <c r="A930" t="inlineStr">
        <is>
          <t>A 3887-2022</t>
        </is>
      </c>
      <c r="B930" s="1" t="n">
        <v>44587</v>
      </c>
      <c r="C930" s="1" t="n">
        <v>45711</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4172-2022</t>
        </is>
      </c>
      <c r="B931" s="1" t="n">
        <v>44588</v>
      </c>
      <c r="C931" s="1" t="n">
        <v>45711</v>
      </c>
      <c r="D931" t="inlineStr">
        <is>
          <t>VÄRMLANDS LÄN</t>
        </is>
      </c>
      <c r="E931" t="inlineStr">
        <is>
          <t>TORSBY</t>
        </is>
      </c>
      <c r="G931" t="n">
        <v>1.4</v>
      </c>
      <c r="H931" t="n">
        <v>0</v>
      </c>
      <c r="I931" t="n">
        <v>0</v>
      </c>
      <c r="J931" t="n">
        <v>0</v>
      </c>
      <c r="K931" t="n">
        <v>0</v>
      </c>
      <c r="L931" t="n">
        <v>0</v>
      </c>
      <c r="M931" t="n">
        <v>0</v>
      </c>
      <c r="N931" t="n">
        <v>0</v>
      </c>
      <c r="O931" t="n">
        <v>0</v>
      </c>
      <c r="P931" t="n">
        <v>0</v>
      </c>
      <c r="Q931" t="n">
        <v>0</v>
      </c>
      <c r="R931" s="2" t="inlineStr"/>
    </row>
    <row r="932" ht="15" customHeight="1">
      <c r="A932" t="inlineStr">
        <is>
          <t>A 4557-2022</t>
        </is>
      </c>
      <c r="B932" s="1" t="n">
        <v>44591</v>
      </c>
      <c r="C932" s="1" t="n">
        <v>45711</v>
      </c>
      <c r="D932" t="inlineStr">
        <is>
          <t>VÄRMLANDS LÄN</t>
        </is>
      </c>
      <c r="E932" t="inlineStr">
        <is>
          <t>TORSBY</t>
        </is>
      </c>
      <c r="G932" t="n">
        <v>2.7</v>
      </c>
      <c r="H932" t="n">
        <v>0</v>
      </c>
      <c r="I932" t="n">
        <v>0</v>
      </c>
      <c r="J932" t="n">
        <v>0</v>
      </c>
      <c r="K932" t="n">
        <v>0</v>
      </c>
      <c r="L932" t="n">
        <v>0</v>
      </c>
      <c r="M932" t="n">
        <v>0</v>
      </c>
      <c r="N932" t="n">
        <v>0</v>
      </c>
      <c r="O932" t="n">
        <v>0</v>
      </c>
      <c r="P932" t="n">
        <v>0</v>
      </c>
      <c r="Q932" t="n">
        <v>0</v>
      </c>
      <c r="R932" s="2" t="inlineStr"/>
    </row>
    <row r="933" ht="15" customHeight="1">
      <c r="A933" t="inlineStr">
        <is>
          <t>A 4640-2022</t>
        </is>
      </c>
      <c r="B933" s="1" t="n">
        <v>44592</v>
      </c>
      <c r="C933" s="1" t="n">
        <v>45711</v>
      </c>
      <c r="D933" t="inlineStr">
        <is>
          <t>VÄRMLANDS LÄN</t>
        </is>
      </c>
      <c r="E933" t="inlineStr">
        <is>
          <t>TORSBY</t>
        </is>
      </c>
      <c r="G933" t="n">
        <v>9</v>
      </c>
      <c r="H933" t="n">
        <v>0</v>
      </c>
      <c r="I933" t="n">
        <v>0</v>
      </c>
      <c r="J933" t="n">
        <v>0</v>
      </c>
      <c r="K933" t="n">
        <v>0</v>
      </c>
      <c r="L933" t="n">
        <v>0</v>
      </c>
      <c r="M933" t="n">
        <v>0</v>
      </c>
      <c r="N933" t="n">
        <v>0</v>
      </c>
      <c r="O933" t="n">
        <v>0</v>
      </c>
      <c r="P933" t="n">
        <v>0</v>
      </c>
      <c r="Q933" t="n">
        <v>0</v>
      </c>
      <c r="R933" s="2" t="inlineStr"/>
    </row>
    <row r="934" ht="15" customHeight="1">
      <c r="A934" t="inlineStr">
        <is>
          <t>A 4967-2022</t>
        </is>
      </c>
      <c r="B934" s="1" t="n">
        <v>44593</v>
      </c>
      <c r="C934" s="1" t="n">
        <v>45711</v>
      </c>
      <c r="D934" t="inlineStr">
        <is>
          <t>VÄRMLANDS LÄN</t>
        </is>
      </c>
      <c r="E934" t="inlineStr">
        <is>
          <t>TORSBY</t>
        </is>
      </c>
      <c r="G934" t="n">
        <v>1.6</v>
      </c>
      <c r="H934" t="n">
        <v>0</v>
      </c>
      <c r="I934" t="n">
        <v>0</v>
      </c>
      <c r="J934" t="n">
        <v>0</v>
      </c>
      <c r="K934" t="n">
        <v>0</v>
      </c>
      <c r="L934" t="n">
        <v>0</v>
      </c>
      <c r="M934" t="n">
        <v>0</v>
      </c>
      <c r="N934" t="n">
        <v>0</v>
      </c>
      <c r="O934" t="n">
        <v>0</v>
      </c>
      <c r="P934" t="n">
        <v>0</v>
      </c>
      <c r="Q934" t="n">
        <v>0</v>
      </c>
      <c r="R934" s="2" t="inlineStr"/>
    </row>
    <row r="935" ht="15" customHeight="1">
      <c r="A935" t="inlineStr">
        <is>
          <t>A 4960-2022</t>
        </is>
      </c>
      <c r="B935" s="1" t="n">
        <v>44593</v>
      </c>
      <c r="C935" s="1" t="n">
        <v>45711</v>
      </c>
      <c r="D935" t="inlineStr">
        <is>
          <t>VÄRMLANDS LÄN</t>
        </is>
      </c>
      <c r="E935" t="inlineStr">
        <is>
          <t>TORSBY</t>
        </is>
      </c>
      <c r="G935" t="n">
        <v>4.8</v>
      </c>
      <c r="H935" t="n">
        <v>0</v>
      </c>
      <c r="I935" t="n">
        <v>0</v>
      </c>
      <c r="J935" t="n">
        <v>0</v>
      </c>
      <c r="K935" t="n">
        <v>0</v>
      </c>
      <c r="L935" t="n">
        <v>0</v>
      </c>
      <c r="M935" t="n">
        <v>0</v>
      </c>
      <c r="N935" t="n">
        <v>0</v>
      </c>
      <c r="O935" t="n">
        <v>0</v>
      </c>
      <c r="P935" t="n">
        <v>0</v>
      </c>
      <c r="Q935" t="n">
        <v>0</v>
      </c>
      <c r="R935" s="2" t="inlineStr"/>
    </row>
    <row r="936" ht="15" customHeight="1">
      <c r="A936" t="inlineStr">
        <is>
          <t>A 5040-2022</t>
        </is>
      </c>
      <c r="B936" s="1" t="n">
        <v>44593</v>
      </c>
      <c r="C936" s="1" t="n">
        <v>45711</v>
      </c>
      <c r="D936" t="inlineStr">
        <is>
          <t>VÄRMLANDS LÄN</t>
        </is>
      </c>
      <c r="E936" t="inlineStr">
        <is>
          <t>TORSBY</t>
        </is>
      </c>
      <c r="G936" t="n">
        <v>1.7</v>
      </c>
      <c r="H936" t="n">
        <v>0</v>
      </c>
      <c r="I936" t="n">
        <v>0</v>
      </c>
      <c r="J936" t="n">
        <v>0</v>
      </c>
      <c r="K936" t="n">
        <v>0</v>
      </c>
      <c r="L936" t="n">
        <v>0</v>
      </c>
      <c r="M936" t="n">
        <v>0</v>
      </c>
      <c r="N936" t="n">
        <v>0</v>
      </c>
      <c r="O936" t="n">
        <v>0</v>
      </c>
      <c r="P936" t="n">
        <v>0</v>
      </c>
      <c r="Q936" t="n">
        <v>0</v>
      </c>
      <c r="R936" s="2" t="inlineStr"/>
    </row>
    <row r="937" ht="15" customHeight="1">
      <c r="A937" t="inlineStr">
        <is>
          <t>A 5015-2022</t>
        </is>
      </c>
      <c r="B937" s="1" t="n">
        <v>44593</v>
      </c>
      <c r="C937" s="1" t="n">
        <v>45711</v>
      </c>
      <c r="D937" t="inlineStr">
        <is>
          <t>VÄRMLANDS LÄN</t>
        </is>
      </c>
      <c r="E937" t="inlineStr">
        <is>
          <t>TORSBY</t>
        </is>
      </c>
      <c r="G937" t="n">
        <v>1</v>
      </c>
      <c r="H937" t="n">
        <v>0</v>
      </c>
      <c r="I937" t="n">
        <v>0</v>
      </c>
      <c r="J937" t="n">
        <v>0</v>
      </c>
      <c r="K937" t="n">
        <v>0</v>
      </c>
      <c r="L937" t="n">
        <v>0</v>
      </c>
      <c r="M937" t="n">
        <v>0</v>
      </c>
      <c r="N937" t="n">
        <v>0</v>
      </c>
      <c r="O937" t="n">
        <v>0</v>
      </c>
      <c r="P937" t="n">
        <v>0</v>
      </c>
      <c r="Q937" t="n">
        <v>0</v>
      </c>
      <c r="R937" s="2" t="inlineStr"/>
    </row>
    <row r="938" ht="15" customHeight="1">
      <c r="A938" t="inlineStr">
        <is>
          <t>A 5289-2022</t>
        </is>
      </c>
      <c r="B938" s="1" t="n">
        <v>44594</v>
      </c>
      <c r="C938" s="1" t="n">
        <v>45711</v>
      </c>
      <c r="D938" t="inlineStr">
        <is>
          <t>VÄRMLANDS LÄN</t>
        </is>
      </c>
      <c r="E938" t="inlineStr">
        <is>
          <t>TORSBY</t>
        </is>
      </c>
      <c r="G938" t="n">
        <v>0.8</v>
      </c>
      <c r="H938" t="n">
        <v>0</v>
      </c>
      <c r="I938" t="n">
        <v>0</v>
      </c>
      <c r="J938" t="n">
        <v>0</v>
      </c>
      <c r="K938" t="n">
        <v>0</v>
      </c>
      <c r="L938" t="n">
        <v>0</v>
      </c>
      <c r="M938" t="n">
        <v>0</v>
      </c>
      <c r="N938" t="n">
        <v>0</v>
      </c>
      <c r="O938" t="n">
        <v>0</v>
      </c>
      <c r="P938" t="n">
        <v>0</v>
      </c>
      <c r="Q938" t="n">
        <v>0</v>
      </c>
      <c r="R938" s="2" t="inlineStr"/>
    </row>
    <row r="939" ht="15" customHeight="1">
      <c r="A939" t="inlineStr">
        <is>
          <t>A 6438-2022</t>
        </is>
      </c>
      <c r="B939" s="1" t="n">
        <v>44601</v>
      </c>
      <c r="C939" s="1" t="n">
        <v>45711</v>
      </c>
      <c r="D939" t="inlineStr">
        <is>
          <t>VÄRMLANDS LÄN</t>
        </is>
      </c>
      <c r="E939" t="inlineStr">
        <is>
          <t>TORSBY</t>
        </is>
      </c>
      <c r="G939" t="n">
        <v>2.9</v>
      </c>
      <c r="H939" t="n">
        <v>0</v>
      </c>
      <c r="I939" t="n">
        <v>0</v>
      </c>
      <c r="J939" t="n">
        <v>0</v>
      </c>
      <c r="K939" t="n">
        <v>0</v>
      </c>
      <c r="L939" t="n">
        <v>0</v>
      </c>
      <c r="M939" t="n">
        <v>0</v>
      </c>
      <c r="N939" t="n">
        <v>0</v>
      </c>
      <c r="O939" t="n">
        <v>0</v>
      </c>
      <c r="P939" t="n">
        <v>0</v>
      </c>
      <c r="Q939" t="n">
        <v>0</v>
      </c>
      <c r="R939" s="2" t="inlineStr"/>
    </row>
    <row r="940" ht="15" customHeight="1">
      <c r="A940" t="inlineStr">
        <is>
          <t>A 7091-2022</t>
        </is>
      </c>
      <c r="B940" s="1" t="n">
        <v>44603</v>
      </c>
      <c r="C940" s="1" t="n">
        <v>45711</v>
      </c>
      <c r="D940" t="inlineStr">
        <is>
          <t>VÄRMLANDS LÄN</t>
        </is>
      </c>
      <c r="E940" t="inlineStr">
        <is>
          <t>TORSBY</t>
        </is>
      </c>
      <c r="G940" t="n">
        <v>2.1</v>
      </c>
      <c r="H940" t="n">
        <v>0</v>
      </c>
      <c r="I940" t="n">
        <v>0</v>
      </c>
      <c r="J940" t="n">
        <v>0</v>
      </c>
      <c r="K940" t="n">
        <v>0</v>
      </c>
      <c r="L940" t="n">
        <v>0</v>
      </c>
      <c r="M940" t="n">
        <v>0</v>
      </c>
      <c r="N940" t="n">
        <v>0</v>
      </c>
      <c r="O940" t="n">
        <v>0</v>
      </c>
      <c r="P940" t="n">
        <v>0</v>
      </c>
      <c r="Q940" t="n">
        <v>0</v>
      </c>
      <c r="R940" s="2" t="inlineStr"/>
    </row>
    <row r="941" ht="15" customHeight="1">
      <c r="A941" t="inlineStr">
        <is>
          <t>A 7069-2022</t>
        </is>
      </c>
      <c r="B941" s="1" t="n">
        <v>44603</v>
      </c>
      <c r="C941" s="1" t="n">
        <v>45711</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7544-2022</t>
        </is>
      </c>
      <c r="B942" s="1" t="n">
        <v>44607</v>
      </c>
      <c r="C942" s="1" t="n">
        <v>45711</v>
      </c>
      <c r="D942" t="inlineStr">
        <is>
          <t>VÄRMLANDS LÄN</t>
        </is>
      </c>
      <c r="E942" t="inlineStr">
        <is>
          <t>TORSBY</t>
        </is>
      </c>
      <c r="G942" t="n">
        <v>1.8</v>
      </c>
      <c r="H942" t="n">
        <v>0</v>
      </c>
      <c r="I942" t="n">
        <v>0</v>
      </c>
      <c r="J942" t="n">
        <v>0</v>
      </c>
      <c r="K942" t="n">
        <v>0</v>
      </c>
      <c r="L942" t="n">
        <v>0</v>
      </c>
      <c r="M942" t="n">
        <v>0</v>
      </c>
      <c r="N942" t="n">
        <v>0</v>
      </c>
      <c r="O942" t="n">
        <v>0</v>
      </c>
      <c r="P942" t="n">
        <v>0</v>
      </c>
      <c r="Q942" t="n">
        <v>0</v>
      </c>
      <c r="R942" s="2" t="inlineStr"/>
    </row>
    <row r="943" ht="15" customHeight="1">
      <c r="A943" t="inlineStr">
        <is>
          <t>A 7543-2022</t>
        </is>
      </c>
      <c r="B943" s="1" t="n">
        <v>44607</v>
      </c>
      <c r="C943" s="1" t="n">
        <v>45711</v>
      </c>
      <c r="D943" t="inlineStr">
        <is>
          <t>VÄRMLANDS LÄN</t>
        </is>
      </c>
      <c r="E943" t="inlineStr">
        <is>
          <t>TORSBY</t>
        </is>
      </c>
      <c r="G943" t="n">
        <v>0.5</v>
      </c>
      <c r="H943" t="n">
        <v>0</v>
      </c>
      <c r="I943" t="n">
        <v>0</v>
      </c>
      <c r="J943" t="n">
        <v>0</v>
      </c>
      <c r="K943" t="n">
        <v>0</v>
      </c>
      <c r="L943" t="n">
        <v>0</v>
      </c>
      <c r="M943" t="n">
        <v>0</v>
      </c>
      <c r="N943" t="n">
        <v>0</v>
      </c>
      <c r="O943" t="n">
        <v>0</v>
      </c>
      <c r="P943" t="n">
        <v>0</v>
      </c>
      <c r="Q943" t="n">
        <v>0</v>
      </c>
      <c r="R943" s="2" t="inlineStr"/>
    </row>
    <row r="944" ht="15" customHeight="1">
      <c r="A944" t="inlineStr">
        <is>
          <t>A 7921-2022</t>
        </is>
      </c>
      <c r="B944" s="1" t="n">
        <v>44608</v>
      </c>
      <c r="C944" s="1" t="n">
        <v>45711</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8048-2022</t>
        </is>
      </c>
      <c r="B945" s="1" t="n">
        <v>44609</v>
      </c>
      <c r="C945" s="1" t="n">
        <v>45711</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8054-2022</t>
        </is>
      </c>
      <c r="B946" s="1" t="n">
        <v>44609</v>
      </c>
      <c r="C946" s="1" t="n">
        <v>45711</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8033-2022</t>
        </is>
      </c>
      <c r="B947" s="1" t="n">
        <v>44609</v>
      </c>
      <c r="C947" s="1" t="n">
        <v>45711</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8739-2022</t>
        </is>
      </c>
      <c r="B948" s="1" t="n">
        <v>44615</v>
      </c>
      <c r="C948" s="1" t="n">
        <v>45711</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9057-2022</t>
        </is>
      </c>
      <c r="B949" s="1" t="n">
        <v>44615</v>
      </c>
      <c r="C949" s="1" t="n">
        <v>45711</v>
      </c>
      <c r="D949" t="inlineStr">
        <is>
          <t>VÄRMLANDS LÄN</t>
        </is>
      </c>
      <c r="E949" t="inlineStr">
        <is>
          <t>TORSBY</t>
        </is>
      </c>
      <c r="G949" t="n">
        <v>2.9</v>
      </c>
      <c r="H949" t="n">
        <v>0</v>
      </c>
      <c r="I949" t="n">
        <v>0</v>
      </c>
      <c r="J949" t="n">
        <v>0</v>
      </c>
      <c r="K949" t="n">
        <v>0</v>
      </c>
      <c r="L949" t="n">
        <v>0</v>
      </c>
      <c r="M949" t="n">
        <v>0</v>
      </c>
      <c r="N949" t="n">
        <v>0</v>
      </c>
      <c r="O949" t="n">
        <v>0</v>
      </c>
      <c r="P949" t="n">
        <v>0</v>
      </c>
      <c r="Q949" t="n">
        <v>0</v>
      </c>
      <c r="R949" s="2" t="inlineStr"/>
    </row>
    <row r="950" ht="15" customHeight="1">
      <c r="A950" t="inlineStr">
        <is>
          <t>A 10608-2022</t>
        </is>
      </c>
      <c r="B950" s="1" t="n">
        <v>44624</v>
      </c>
      <c r="C950" s="1" t="n">
        <v>45711</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11050-2022</t>
        </is>
      </c>
      <c r="B951" s="1" t="n">
        <v>44628</v>
      </c>
      <c r="C951" s="1" t="n">
        <v>45711</v>
      </c>
      <c r="D951" t="inlineStr">
        <is>
          <t>VÄRMLANDS LÄN</t>
        </is>
      </c>
      <c r="E951" t="inlineStr">
        <is>
          <t>TORSBY</t>
        </is>
      </c>
      <c r="G951" t="n">
        <v>4.9</v>
      </c>
      <c r="H951" t="n">
        <v>0</v>
      </c>
      <c r="I951" t="n">
        <v>0</v>
      </c>
      <c r="J951" t="n">
        <v>0</v>
      </c>
      <c r="K951" t="n">
        <v>0</v>
      </c>
      <c r="L951" t="n">
        <v>0</v>
      </c>
      <c r="M951" t="n">
        <v>0</v>
      </c>
      <c r="N951" t="n">
        <v>0</v>
      </c>
      <c r="O951" t="n">
        <v>0</v>
      </c>
      <c r="P951" t="n">
        <v>0</v>
      </c>
      <c r="Q951" t="n">
        <v>0</v>
      </c>
      <c r="R951" s="2" t="inlineStr"/>
    </row>
    <row r="952" ht="15" customHeight="1">
      <c r="A952" t="inlineStr">
        <is>
          <t>A 11447-2022</t>
        </is>
      </c>
      <c r="B952" s="1" t="n">
        <v>44630</v>
      </c>
      <c r="C952" s="1" t="n">
        <v>45711</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11665-2022</t>
        </is>
      </c>
      <c r="B953" s="1" t="n">
        <v>44632</v>
      </c>
      <c r="C953" s="1" t="n">
        <v>45711</v>
      </c>
      <c r="D953" t="inlineStr">
        <is>
          <t>VÄRMLANDS LÄN</t>
        </is>
      </c>
      <c r="E953" t="inlineStr">
        <is>
          <t>TORSBY</t>
        </is>
      </c>
      <c r="G953" t="n">
        <v>4.1</v>
      </c>
      <c r="H953" t="n">
        <v>0</v>
      </c>
      <c r="I953" t="n">
        <v>0</v>
      </c>
      <c r="J953" t="n">
        <v>0</v>
      </c>
      <c r="K953" t="n">
        <v>0</v>
      </c>
      <c r="L953" t="n">
        <v>0</v>
      </c>
      <c r="M953" t="n">
        <v>0</v>
      </c>
      <c r="N953" t="n">
        <v>0</v>
      </c>
      <c r="O953" t="n">
        <v>0</v>
      </c>
      <c r="P953" t="n">
        <v>0</v>
      </c>
      <c r="Q953" t="n">
        <v>0</v>
      </c>
      <c r="R953" s="2" t="inlineStr"/>
    </row>
    <row r="954" ht="15" customHeight="1">
      <c r="A954" t="inlineStr">
        <is>
          <t>A 11667-2022</t>
        </is>
      </c>
      <c r="B954" s="1" t="n">
        <v>44632</v>
      </c>
      <c r="C954" s="1" t="n">
        <v>45711</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11664-2022</t>
        </is>
      </c>
      <c r="B955" s="1" t="n">
        <v>44632</v>
      </c>
      <c r="C955" s="1" t="n">
        <v>45711</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11666-2022</t>
        </is>
      </c>
      <c r="B956" s="1" t="n">
        <v>44632</v>
      </c>
      <c r="C956" s="1" t="n">
        <v>45711</v>
      </c>
      <c r="D956" t="inlineStr">
        <is>
          <t>VÄRMLANDS LÄN</t>
        </is>
      </c>
      <c r="E956" t="inlineStr">
        <is>
          <t>TORSBY</t>
        </is>
      </c>
      <c r="G956" t="n">
        <v>3.6</v>
      </c>
      <c r="H956" t="n">
        <v>0</v>
      </c>
      <c r="I956" t="n">
        <v>0</v>
      </c>
      <c r="J956" t="n">
        <v>0</v>
      </c>
      <c r="K956" t="n">
        <v>0</v>
      </c>
      <c r="L956" t="n">
        <v>0</v>
      </c>
      <c r="M956" t="n">
        <v>0</v>
      </c>
      <c r="N956" t="n">
        <v>0</v>
      </c>
      <c r="O956" t="n">
        <v>0</v>
      </c>
      <c r="P956" t="n">
        <v>0</v>
      </c>
      <c r="Q956" t="n">
        <v>0</v>
      </c>
      <c r="R956" s="2" t="inlineStr"/>
    </row>
    <row r="957" ht="15" customHeight="1">
      <c r="A957" t="inlineStr">
        <is>
          <t>A 11922-2022</t>
        </is>
      </c>
      <c r="B957" s="1" t="n">
        <v>44635</v>
      </c>
      <c r="C957" s="1" t="n">
        <v>45711</v>
      </c>
      <c r="D957" t="inlineStr">
        <is>
          <t>VÄRMLANDS LÄN</t>
        </is>
      </c>
      <c r="E957" t="inlineStr">
        <is>
          <t>TORSBY</t>
        </is>
      </c>
      <c r="G957" t="n">
        <v>2.6</v>
      </c>
      <c r="H957" t="n">
        <v>0</v>
      </c>
      <c r="I957" t="n">
        <v>0</v>
      </c>
      <c r="J957" t="n">
        <v>0</v>
      </c>
      <c r="K957" t="n">
        <v>0</v>
      </c>
      <c r="L957" t="n">
        <v>0</v>
      </c>
      <c r="M957" t="n">
        <v>0</v>
      </c>
      <c r="N957" t="n">
        <v>0</v>
      </c>
      <c r="O957" t="n">
        <v>0</v>
      </c>
      <c r="P957" t="n">
        <v>0</v>
      </c>
      <c r="Q957" t="n">
        <v>0</v>
      </c>
      <c r="R957" s="2" t="inlineStr"/>
    </row>
    <row r="958" ht="15" customHeight="1">
      <c r="A958" t="inlineStr">
        <is>
          <t>A 11918-2022</t>
        </is>
      </c>
      <c r="B958" s="1" t="n">
        <v>44635</v>
      </c>
      <c r="C958" s="1" t="n">
        <v>45711</v>
      </c>
      <c r="D958" t="inlineStr">
        <is>
          <t>VÄRMLANDS LÄN</t>
        </is>
      </c>
      <c r="E958" t="inlineStr">
        <is>
          <t>TORSBY</t>
        </is>
      </c>
      <c r="G958" t="n">
        <v>6.4</v>
      </c>
      <c r="H958" t="n">
        <v>0</v>
      </c>
      <c r="I958" t="n">
        <v>0</v>
      </c>
      <c r="J958" t="n">
        <v>0</v>
      </c>
      <c r="K958" t="n">
        <v>0</v>
      </c>
      <c r="L958" t="n">
        <v>0</v>
      </c>
      <c r="M958" t="n">
        <v>0</v>
      </c>
      <c r="N958" t="n">
        <v>0</v>
      </c>
      <c r="O958" t="n">
        <v>0</v>
      </c>
      <c r="P958" t="n">
        <v>0</v>
      </c>
      <c r="Q958" t="n">
        <v>0</v>
      </c>
      <c r="R958" s="2" t="inlineStr"/>
    </row>
    <row r="959" ht="15" customHeight="1">
      <c r="A959" t="inlineStr">
        <is>
          <t>A 12310-2022</t>
        </is>
      </c>
      <c r="B959" s="1" t="n">
        <v>44636</v>
      </c>
      <c r="C959" s="1" t="n">
        <v>45711</v>
      </c>
      <c r="D959" t="inlineStr">
        <is>
          <t>VÄRMLANDS LÄN</t>
        </is>
      </c>
      <c r="E959" t="inlineStr">
        <is>
          <t>TORSBY</t>
        </is>
      </c>
      <c r="G959" t="n">
        <v>7.2</v>
      </c>
      <c r="H959" t="n">
        <v>0</v>
      </c>
      <c r="I959" t="n">
        <v>0</v>
      </c>
      <c r="J959" t="n">
        <v>0</v>
      </c>
      <c r="K959" t="n">
        <v>0</v>
      </c>
      <c r="L959" t="n">
        <v>0</v>
      </c>
      <c r="M959" t="n">
        <v>0</v>
      </c>
      <c r="N959" t="n">
        <v>0</v>
      </c>
      <c r="O959" t="n">
        <v>0</v>
      </c>
      <c r="P959" t="n">
        <v>0</v>
      </c>
      <c r="Q959" t="n">
        <v>0</v>
      </c>
      <c r="R959" s="2" t="inlineStr"/>
    </row>
    <row r="960" ht="15" customHeight="1">
      <c r="A960" t="inlineStr">
        <is>
          <t>A 12365-2022</t>
        </is>
      </c>
      <c r="B960" s="1" t="n">
        <v>44637</v>
      </c>
      <c r="C960" s="1" t="n">
        <v>45711</v>
      </c>
      <c r="D960" t="inlineStr">
        <is>
          <t>VÄRMLANDS LÄN</t>
        </is>
      </c>
      <c r="E960" t="inlineStr">
        <is>
          <t>TORSBY</t>
        </is>
      </c>
      <c r="G960" t="n">
        <v>3.5</v>
      </c>
      <c r="H960" t="n">
        <v>0</v>
      </c>
      <c r="I960" t="n">
        <v>0</v>
      </c>
      <c r="J960" t="n">
        <v>0</v>
      </c>
      <c r="K960" t="n">
        <v>0</v>
      </c>
      <c r="L960" t="n">
        <v>0</v>
      </c>
      <c r="M960" t="n">
        <v>0</v>
      </c>
      <c r="N960" t="n">
        <v>0</v>
      </c>
      <c r="O960" t="n">
        <v>0</v>
      </c>
      <c r="P960" t="n">
        <v>0</v>
      </c>
      <c r="Q960" t="n">
        <v>0</v>
      </c>
      <c r="R960" s="2" t="inlineStr"/>
    </row>
    <row r="961" ht="15" customHeight="1">
      <c r="A961" t="inlineStr">
        <is>
          <t>A 13207-2022</t>
        </is>
      </c>
      <c r="B961" s="1" t="n">
        <v>44644</v>
      </c>
      <c r="C961" s="1" t="n">
        <v>45711</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13698-2022</t>
        </is>
      </c>
      <c r="B962" s="1" t="n">
        <v>44648</v>
      </c>
      <c r="C962" s="1" t="n">
        <v>45711</v>
      </c>
      <c r="D962" t="inlineStr">
        <is>
          <t>VÄRMLANDS LÄN</t>
        </is>
      </c>
      <c r="E962" t="inlineStr">
        <is>
          <t>TORSBY</t>
        </is>
      </c>
      <c r="G962" t="n">
        <v>0.5</v>
      </c>
      <c r="H962" t="n">
        <v>0</v>
      </c>
      <c r="I962" t="n">
        <v>0</v>
      </c>
      <c r="J962" t="n">
        <v>0</v>
      </c>
      <c r="K962" t="n">
        <v>0</v>
      </c>
      <c r="L962" t="n">
        <v>0</v>
      </c>
      <c r="M962" t="n">
        <v>0</v>
      </c>
      <c r="N962" t="n">
        <v>0</v>
      </c>
      <c r="O962" t="n">
        <v>0</v>
      </c>
      <c r="P962" t="n">
        <v>0</v>
      </c>
      <c r="Q962" t="n">
        <v>0</v>
      </c>
      <c r="R962" s="2" t="inlineStr"/>
    </row>
    <row r="963" ht="15" customHeight="1">
      <c r="A963" t="inlineStr">
        <is>
          <t>A 13896-2022</t>
        </is>
      </c>
      <c r="B963" s="1" t="n">
        <v>44650</v>
      </c>
      <c r="C963" s="1" t="n">
        <v>45711</v>
      </c>
      <c r="D963" t="inlineStr">
        <is>
          <t>VÄRMLANDS LÄN</t>
        </is>
      </c>
      <c r="E963" t="inlineStr">
        <is>
          <t>TORSBY</t>
        </is>
      </c>
      <c r="G963" t="n">
        <v>3.2</v>
      </c>
      <c r="H963" t="n">
        <v>0</v>
      </c>
      <c r="I963" t="n">
        <v>0</v>
      </c>
      <c r="J963" t="n">
        <v>0</v>
      </c>
      <c r="K963" t="n">
        <v>0</v>
      </c>
      <c r="L963" t="n">
        <v>0</v>
      </c>
      <c r="M963" t="n">
        <v>0</v>
      </c>
      <c r="N963" t="n">
        <v>0</v>
      </c>
      <c r="O963" t="n">
        <v>0</v>
      </c>
      <c r="P963" t="n">
        <v>0</v>
      </c>
      <c r="Q963" t="n">
        <v>0</v>
      </c>
      <c r="R963" s="2" t="inlineStr"/>
    </row>
    <row r="964" ht="15" customHeight="1">
      <c r="A964" t="inlineStr">
        <is>
          <t>A 14145-2022</t>
        </is>
      </c>
      <c r="B964" s="1" t="n">
        <v>44651</v>
      </c>
      <c r="C964" s="1" t="n">
        <v>45711</v>
      </c>
      <c r="D964" t="inlineStr">
        <is>
          <t>VÄRMLANDS LÄN</t>
        </is>
      </c>
      <c r="E964" t="inlineStr">
        <is>
          <t>TORSBY</t>
        </is>
      </c>
      <c r="G964" t="n">
        <v>2</v>
      </c>
      <c r="H964" t="n">
        <v>0</v>
      </c>
      <c r="I964" t="n">
        <v>0</v>
      </c>
      <c r="J964" t="n">
        <v>0</v>
      </c>
      <c r="K964" t="n">
        <v>0</v>
      </c>
      <c r="L964" t="n">
        <v>0</v>
      </c>
      <c r="M964" t="n">
        <v>0</v>
      </c>
      <c r="N964" t="n">
        <v>0</v>
      </c>
      <c r="O964" t="n">
        <v>0</v>
      </c>
      <c r="P964" t="n">
        <v>0</v>
      </c>
      <c r="Q964" t="n">
        <v>0</v>
      </c>
      <c r="R964" s="2" t="inlineStr"/>
    </row>
    <row r="965" ht="15" customHeight="1">
      <c r="A965" t="inlineStr">
        <is>
          <t>A 14168-2022</t>
        </is>
      </c>
      <c r="B965" s="1" t="n">
        <v>44651</v>
      </c>
      <c r="C965" s="1" t="n">
        <v>45711</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14320-2022</t>
        </is>
      </c>
      <c r="B966" s="1" t="n">
        <v>44652</v>
      </c>
      <c r="C966" s="1" t="n">
        <v>45711</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15461-2022</t>
        </is>
      </c>
      <c r="B967" s="1" t="n">
        <v>44661</v>
      </c>
      <c r="C967" s="1" t="n">
        <v>45711</v>
      </c>
      <c r="D967" t="inlineStr">
        <is>
          <t>VÄRMLANDS LÄN</t>
        </is>
      </c>
      <c r="E967" t="inlineStr">
        <is>
          <t>TORSBY</t>
        </is>
      </c>
      <c r="G967" t="n">
        <v>13.1</v>
      </c>
      <c r="H967" t="n">
        <v>0</v>
      </c>
      <c r="I967" t="n">
        <v>0</v>
      </c>
      <c r="J967" t="n">
        <v>0</v>
      </c>
      <c r="K967" t="n">
        <v>0</v>
      </c>
      <c r="L967" t="n">
        <v>0</v>
      </c>
      <c r="M967" t="n">
        <v>0</v>
      </c>
      <c r="N967" t="n">
        <v>0</v>
      </c>
      <c r="O967" t="n">
        <v>0</v>
      </c>
      <c r="P967" t="n">
        <v>0</v>
      </c>
      <c r="Q967" t="n">
        <v>0</v>
      </c>
      <c r="R967" s="2" t="inlineStr"/>
    </row>
    <row r="968" ht="15" customHeight="1">
      <c r="A968" t="inlineStr">
        <is>
          <t>A 15460-2022</t>
        </is>
      </c>
      <c r="B968" s="1" t="n">
        <v>44661</v>
      </c>
      <c r="C968" s="1" t="n">
        <v>45711</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16080-2022</t>
        </is>
      </c>
      <c r="B969" s="1" t="n">
        <v>44665</v>
      </c>
      <c r="C969" s="1" t="n">
        <v>45711</v>
      </c>
      <c r="D969" t="inlineStr">
        <is>
          <t>VÄRMLANDS LÄN</t>
        </is>
      </c>
      <c r="E969" t="inlineStr">
        <is>
          <t>TORSBY</t>
        </is>
      </c>
      <c r="G969" t="n">
        <v>1.3</v>
      </c>
      <c r="H969" t="n">
        <v>0</v>
      </c>
      <c r="I969" t="n">
        <v>0</v>
      </c>
      <c r="J969" t="n">
        <v>0</v>
      </c>
      <c r="K969" t="n">
        <v>0</v>
      </c>
      <c r="L969" t="n">
        <v>0</v>
      </c>
      <c r="M969" t="n">
        <v>0</v>
      </c>
      <c r="N969" t="n">
        <v>0</v>
      </c>
      <c r="O969" t="n">
        <v>0</v>
      </c>
      <c r="P969" t="n">
        <v>0</v>
      </c>
      <c r="Q969" t="n">
        <v>0</v>
      </c>
      <c r="R969" s="2" t="inlineStr"/>
    </row>
    <row r="970" ht="15" customHeight="1">
      <c r="A970" t="inlineStr">
        <is>
          <t>A 16010-2022</t>
        </is>
      </c>
      <c r="B970" s="1" t="n">
        <v>44665</v>
      </c>
      <c r="C970" s="1" t="n">
        <v>45711</v>
      </c>
      <c r="D970" t="inlineStr">
        <is>
          <t>VÄRMLANDS LÄN</t>
        </is>
      </c>
      <c r="E970" t="inlineStr">
        <is>
          <t>TORSBY</t>
        </is>
      </c>
      <c r="F970" t="inlineStr">
        <is>
          <t>Bergvik skog väst AB</t>
        </is>
      </c>
      <c r="G970" t="n">
        <v>18.7</v>
      </c>
      <c r="H970" t="n">
        <v>0</v>
      </c>
      <c r="I970" t="n">
        <v>0</v>
      </c>
      <c r="J970" t="n">
        <v>0</v>
      </c>
      <c r="K970" t="n">
        <v>0</v>
      </c>
      <c r="L970" t="n">
        <v>0</v>
      </c>
      <c r="M970" t="n">
        <v>0</v>
      </c>
      <c r="N970" t="n">
        <v>0</v>
      </c>
      <c r="O970" t="n">
        <v>0</v>
      </c>
      <c r="P970" t="n">
        <v>0</v>
      </c>
      <c r="Q970" t="n">
        <v>0</v>
      </c>
      <c r="R970" s="2" t="inlineStr"/>
    </row>
    <row r="971" ht="15" customHeight="1">
      <c r="A971" t="inlineStr">
        <is>
          <t>A 16425-2022</t>
        </is>
      </c>
      <c r="B971" s="1" t="n">
        <v>44671</v>
      </c>
      <c r="C971" s="1" t="n">
        <v>45711</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16498-2022</t>
        </is>
      </c>
      <c r="B972" s="1" t="n">
        <v>44671</v>
      </c>
      <c r="C972" s="1" t="n">
        <v>45711</v>
      </c>
      <c r="D972" t="inlineStr">
        <is>
          <t>VÄRMLANDS LÄN</t>
        </is>
      </c>
      <c r="E972" t="inlineStr">
        <is>
          <t>TORSBY</t>
        </is>
      </c>
      <c r="F972" t="inlineStr">
        <is>
          <t>Kommuner</t>
        </is>
      </c>
      <c r="G972" t="n">
        <v>1</v>
      </c>
      <c r="H972" t="n">
        <v>0</v>
      </c>
      <c r="I972" t="n">
        <v>0</v>
      </c>
      <c r="J972" t="n">
        <v>0</v>
      </c>
      <c r="K972" t="n">
        <v>0</v>
      </c>
      <c r="L972" t="n">
        <v>0</v>
      </c>
      <c r="M972" t="n">
        <v>0</v>
      </c>
      <c r="N972" t="n">
        <v>0</v>
      </c>
      <c r="O972" t="n">
        <v>0</v>
      </c>
      <c r="P972" t="n">
        <v>0</v>
      </c>
      <c r="Q972" t="n">
        <v>0</v>
      </c>
      <c r="R972" s="2" t="inlineStr"/>
    </row>
    <row r="973" ht="15" customHeight="1">
      <c r="A973" t="inlineStr">
        <is>
          <t>A 17765-2022</t>
        </is>
      </c>
      <c r="B973" s="1" t="n">
        <v>44681</v>
      </c>
      <c r="C973" s="1" t="n">
        <v>45711</v>
      </c>
      <c r="D973" t="inlineStr">
        <is>
          <t>VÄRMLANDS LÄN</t>
        </is>
      </c>
      <c r="E973" t="inlineStr">
        <is>
          <t>TORSBY</t>
        </is>
      </c>
      <c r="G973" t="n">
        <v>1.2</v>
      </c>
      <c r="H973" t="n">
        <v>0</v>
      </c>
      <c r="I973" t="n">
        <v>0</v>
      </c>
      <c r="J973" t="n">
        <v>0</v>
      </c>
      <c r="K973" t="n">
        <v>0</v>
      </c>
      <c r="L973" t="n">
        <v>0</v>
      </c>
      <c r="M973" t="n">
        <v>0</v>
      </c>
      <c r="N973" t="n">
        <v>0</v>
      </c>
      <c r="O973" t="n">
        <v>0</v>
      </c>
      <c r="P973" t="n">
        <v>0</v>
      </c>
      <c r="Q973" t="n">
        <v>0</v>
      </c>
      <c r="R973" s="2" t="inlineStr"/>
    </row>
    <row r="974" ht="15" customHeight="1">
      <c r="A974" t="inlineStr">
        <is>
          <t>A 18101-2022</t>
        </is>
      </c>
      <c r="B974" s="1" t="n">
        <v>44684</v>
      </c>
      <c r="C974" s="1" t="n">
        <v>45711</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18105-2022</t>
        </is>
      </c>
      <c r="B975" s="1" t="n">
        <v>44684</v>
      </c>
      <c r="C975" s="1" t="n">
        <v>45711</v>
      </c>
      <c r="D975" t="inlineStr">
        <is>
          <t>VÄRMLANDS LÄN</t>
        </is>
      </c>
      <c r="E975" t="inlineStr">
        <is>
          <t>TORSBY</t>
        </is>
      </c>
      <c r="G975" t="n">
        <v>2.1</v>
      </c>
      <c r="H975" t="n">
        <v>0</v>
      </c>
      <c r="I975" t="n">
        <v>0</v>
      </c>
      <c r="J975" t="n">
        <v>0</v>
      </c>
      <c r="K975" t="n">
        <v>0</v>
      </c>
      <c r="L975" t="n">
        <v>0</v>
      </c>
      <c r="M975" t="n">
        <v>0</v>
      </c>
      <c r="N975" t="n">
        <v>0</v>
      </c>
      <c r="O975" t="n">
        <v>0</v>
      </c>
      <c r="P975" t="n">
        <v>0</v>
      </c>
      <c r="Q975" t="n">
        <v>0</v>
      </c>
      <c r="R975" s="2" t="inlineStr"/>
    </row>
    <row r="976" ht="15" customHeight="1">
      <c r="A976" t="inlineStr">
        <is>
          <t>A 18099-2022</t>
        </is>
      </c>
      <c r="B976" s="1" t="n">
        <v>44684</v>
      </c>
      <c r="C976" s="1" t="n">
        <v>45711</v>
      </c>
      <c r="D976" t="inlineStr">
        <is>
          <t>VÄRMLANDS LÄN</t>
        </is>
      </c>
      <c r="E976" t="inlineStr">
        <is>
          <t>TORSBY</t>
        </is>
      </c>
      <c r="G976" t="n">
        <v>0.7</v>
      </c>
      <c r="H976" t="n">
        <v>0</v>
      </c>
      <c r="I976" t="n">
        <v>0</v>
      </c>
      <c r="J976" t="n">
        <v>0</v>
      </c>
      <c r="K976" t="n">
        <v>0</v>
      </c>
      <c r="L976" t="n">
        <v>0</v>
      </c>
      <c r="M976" t="n">
        <v>0</v>
      </c>
      <c r="N976" t="n">
        <v>0</v>
      </c>
      <c r="O976" t="n">
        <v>0</v>
      </c>
      <c r="P976" t="n">
        <v>0</v>
      </c>
      <c r="Q976" t="n">
        <v>0</v>
      </c>
      <c r="R976" s="2" t="inlineStr"/>
    </row>
    <row r="977" ht="15" customHeight="1">
      <c r="A977" t="inlineStr">
        <is>
          <t>A 18347-2022</t>
        </is>
      </c>
      <c r="B977" s="1" t="n">
        <v>44685</v>
      </c>
      <c r="C977" s="1" t="n">
        <v>45711</v>
      </c>
      <c r="D977" t="inlineStr">
        <is>
          <t>VÄRMLANDS LÄN</t>
        </is>
      </c>
      <c r="E977" t="inlineStr">
        <is>
          <t>TORSBY</t>
        </is>
      </c>
      <c r="F977" t="inlineStr">
        <is>
          <t>Bergvik skog väst AB</t>
        </is>
      </c>
      <c r="G977" t="n">
        <v>14.6</v>
      </c>
      <c r="H977" t="n">
        <v>0</v>
      </c>
      <c r="I977" t="n">
        <v>0</v>
      </c>
      <c r="J977" t="n">
        <v>0</v>
      </c>
      <c r="K977" t="n">
        <v>0</v>
      </c>
      <c r="L977" t="n">
        <v>0</v>
      </c>
      <c r="M977" t="n">
        <v>0</v>
      </c>
      <c r="N977" t="n">
        <v>0</v>
      </c>
      <c r="O977" t="n">
        <v>0</v>
      </c>
      <c r="P977" t="n">
        <v>0</v>
      </c>
      <c r="Q977" t="n">
        <v>0</v>
      </c>
      <c r="R977" s="2" t="inlineStr"/>
    </row>
    <row r="978" ht="15" customHeight="1">
      <c r="A978" t="inlineStr">
        <is>
          <t>A 18628-2022</t>
        </is>
      </c>
      <c r="B978" s="1" t="n">
        <v>44687</v>
      </c>
      <c r="C978" s="1" t="n">
        <v>45711</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18779-2022</t>
        </is>
      </c>
      <c r="B979" s="1" t="n">
        <v>44689</v>
      </c>
      <c r="C979" s="1" t="n">
        <v>45711</v>
      </c>
      <c r="D979" t="inlineStr">
        <is>
          <t>VÄRMLANDS LÄN</t>
        </is>
      </c>
      <c r="E979" t="inlineStr">
        <is>
          <t>TORSBY</t>
        </is>
      </c>
      <c r="G979" t="n">
        <v>5.1</v>
      </c>
      <c r="H979" t="n">
        <v>0</v>
      </c>
      <c r="I979" t="n">
        <v>0</v>
      </c>
      <c r="J979" t="n">
        <v>0</v>
      </c>
      <c r="K979" t="n">
        <v>0</v>
      </c>
      <c r="L979" t="n">
        <v>0</v>
      </c>
      <c r="M979" t="n">
        <v>0</v>
      </c>
      <c r="N979" t="n">
        <v>0</v>
      </c>
      <c r="O979" t="n">
        <v>0</v>
      </c>
      <c r="P979" t="n">
        <v>0</v>
      </c>
      <c r="Q979" t="n">
        <v>0</v>
      </c>
      <c r="R979" s="2" t="inlineStr"/>
    </row>
    <row r="980" ht="15" customHeight="1">
      <c r="A980" t="inlineStr">
        <is>
          <t>A 18897-2022</t>
        </is>
      </c>
      <c r="B980" s="1" t="n">
        <v>44690</v>
      </c>
      <c r="C980" s="1" t="n">
        <v>45711</v>
      </c>
      <c r="D980" t="inlineStr">
        <is>
          <t>VÄRMLANDS LÄN</t>
        </is>
      </c>
      <c r="E980" t="inlineStr">
        <is>
          <t>TORSBY</t>
        </is>
      </c>
      <c r="F980" t="inlineStr">
        <is>
          <t>Bergvik skog väst AB</t>
        </is>
      </c>
      <c r="G980" t="n">
        <v>12</v>
      </c>
      <c r="H980" t="n">
        <v>0</v>
      </c>
      <c r="I980" t="n">
        <v>0</v>
      </c>
      <c r="J980" t="n">
        <v>0</v>
      </c>
      <c r="K980" t="n">
        <v>0</v>
      </c>
      <c r="L980" t="n">
        <v>0</v>
      </c>
      <c r="M980" t="n">
        <v>0</v>
      </c>
      <c r="N980" t="n">
        <v>0</v>
      </c>
      <c r="O980" t="n">
        <v>0</v>
      </c>
      <c r="P980" t="n">
        <v>0</v>
      </c>
      <c r="Q980" t="n">
        <v>0</v>
      </c>
      <c r="R980" s="2" t="inlineStr"/>
    </row>
    <row r="981" ht="15" customHeight="1">
      <c r="A981" t="inlineStr">
        <is>
          <t>A 18877-2022</t>
        </is>
      </c>
      <c r="B981" s="1" t="n">
        <v>44690</v>
      </c>
      <c r="C981" s="1" t="n">
        <v>45711</v>
      </c>
      <c r="D981" t="inlineStr">
        <is>
          <t>VÄRMLANDS LÄN</t>
        </is>
      </c>
      <c r="E981" t="inlineStr">
        <is>
          <t>TORSBY</t>
        </is>
      </c>
      <c r="G981" t="n">
        <v>3.1</v>
      </c>
      <c r="H981" t="n">
        <v>0</v>
      </c>
      <c r="I981" t="n">
        <v>0</v>
      </c>
      <c r="J981" t="n">
        <v>0</v>
      </c>
      <c r="K981" t="n">
        <v>0</v>
      </c>
      <c r="L981" t="n">
        <v>0</v>
      </c>
      <c r="M981" t="n">
        <v>0</v>
      </c>
      <c r="N981" t="n">
        <v>0</v>
      </c>
      <c r="O981" t="n">
        <v>0</v>
      </c>
      <c r="P981" t="n">
        <v>0</v>
      </c>
      <c r="Q981" t="n">
        <v>0</v>
      </c>
      <c r="R981" s="2" t="inlineStr"/>
    </row>
    <row r="982" ht="15" customHeight="1">
      <c r="A982" t="inlineStr">
        <is>
          <t>A 18903-2022</t>
        </is>
      </c>
      <c r="B982" s="1" t="n">
        <v>44690</v>
      </c>
      <c r="C982" s="1" t="n">
        <v>45711</v>
      </c>
      <c r="D982" t="inlineStr">
        <is>
          <t>VÄRMLANDS LÄN</t>
        </is>
      </c>
      <c r="E982" t="inlineStr">
        <is>
          <t>TORSBY</t>
        </is>
      </c>
      <c r="F982" t="inlineStr">
        <is>
          <t>Bergvik skog väst AB</t>
        </is>
      </c>
      <c r="G982" t="n">
        <v>1.8</v>
      </c>
      <c r="H982" t="n">
        <v>0</v>
      </c>
      <c r="I982" t="n">
        <v>0</v>
      </c>
      <c r="J982" t="n">
        <v>0</v>
      </c>
      <c r="K982" t="n">
        <v>0</v>
      </c>
      <c r="L982" t="n">
        <v>0</v>
      </c>
      <c r="M982" t="n">
        <v>0</v>
      </c>
      <c r="N982" t="n">
        <v>0</v>
      </c>
      <c r="O982" t="n">
        <v>0</v>
      </c>
      <c r="P982" t="n">
        <v>0</v>
      </c>
      <c r="Q982" t="n">
        <v>0</v>
      </c>
      <c r="R982" s="2" t="inlineStr"/>
    </row>
    <row r="983" ht="15" customHeight="1">
      <c r="A983" t="inlineStr">
        <is>
          <t>A 19171-2022</t>
        </is>
      </c>
      <c r="B983" s="1" t="n">
        <v>44691</v>
      </c>
      <c r="C983" s="1" t="n">
        <v>45711</v>
      </c>
      <c r="D983" t="inlineStr">
        <is>
          <t>VÄRMLANDS LÄN</t>
        </is>
      </c>
      <c r="E983" t="inlineStr">
        <is>
          <t>TORSBY</t>
        </is>
      </c>
      <c r="F983" t="inlineStr">
        <is>
          <t>Bergvik skog väst AB</t>
        </is>
      </c>
      <c r="G983" t="n">
        <v>23.3</v>
      </c>
      <c r="H983" t="n">
        <v>0</v>
      </c>
      <c r="I983" t="n">
        <v>0</v>
      </c>
      <c r="J983" t="n">
        <v>0</v>
      </c>
      <c r="K983" t="n">
        <v>0</v>
      </c>
      <c r="L983" t="n">
        <v>0</v>
      </c>
      <c r="M983" t="n">
        <v>0</v>
      </c>
      <c r="N983" t="n">
        <v>0</v>
      </c>
      <c r="O983" t="n">
        <v>0</v>
      </c>
      <c r="P983" t="n">
        <v>0</v>
      </c>
      <c r="Q983" t="n">
        <v>0</v>
      </c>
      <c r="R983" s="2" t="inlineStr"/>
    </row>
    <row r="984" ht="15" customHeight="1">
      <c r="A984" t="inlineStr">
        <is>
          <t>A 19307-2022</t>
        </is>
      </c>
      <c r="B984" s="1" t="n">
        <v>44692</v>
      </c>
      <c r="C984" s="1" t="n">
        <v>45711</v>
      </c>
      <c r="D984" t="inlineStr">
        <is>
          <t>VÄRMLANDS LÄN</t>
        </is>
      </c>
      <c r="E984" t="inlineStr">
        <is>
          <t>TORSBY</t>
        </is>
      </c>
      <c r="G984" t="n">
        <v>3.2</v>
      </c>
      <c r="H984" t="n">
        <v>0</v>
      </c>
      <c r="I984" t="n">
        <v>0</v>
      </c>
      <c r="J984" t="n">
        <v>0</v>
      </c>
      <c r="K984" t="n">
        <v>0</v>
      </c>
      <c r="L984" t="n">
        <v>0</v>
      </c>
      <c r="M984" t="n">
        <v>0</v>
      </c>
      <c r="N984" t="n">
        <v>0</v>
      </c>
      <c r="O984" t="n">
        <v>0</v>
      </c>
      <c r="P984" t="n">
        <v>0</v>
      </c>
      <c r="Q984" t="n">
        <v>0</v>
      </c>
      <c r="R984" s="2" t="inlineStr"/>
    </row>
    <row r="985" ht="15" customHeight="1">
      <c r="A985" t="inlineStr">
        <is>
          <t>A 19489-2022</t>
        </is>
      </c>
      <c r="B985" s="1" t="n">
        <v>44693</v>
      </c>
      <c r="C985" s="1" t="n">
        <v>45711</v>
      </c>
      <c r="D985" t="inlineStr">
        <is>
          <t>VÄRMLANDS LÄN</t>
        </is>
      </c>
      <c r="E985" t="inlineStr">
        <is>
          <t>TORSBY</t>
        </is>
      </c>
      <c r="G985" t="n">
        <v>2.3</v>
      </c>
      <c r="H985" t="n">
        <v>0</v>
      </c>
      <c r="I985" t="n">
        <v>0</v>
      </c>
      <c r="J985" t="n">
        <v>0</v>
      </c>
      <c r="K985" t="n">
        <v>0</v>
      </c>
      <c r="L985" t="n">
        <v>0</v>
      </c>
      <c r="M985" t="n">
        <v>0</v>
      </c>
      <c r="N985" t="n">
        <v>0</v>
      </c>
      <c r="O985" t="n">
        <v>0</v>
      </c>
      <c r="P985" t="n">
        <v>0</v>
      </c>
      <c r="Q985" t="n">
        <v>0</v>
      </c>
      <c r="R985" s="2" t="inlineStr"/>
    </row>
    <row r="986" ht="15" customHeight="1">
      <c r="A986" t="inlineStr">
        <is>
          <t>A 19632-2022</t>
        </is>
      </c>
      <c r="B986" s="1" t="n">
        <v>44694</v>
      </c>
      <c r="C986" s="1" t="n">
        <v>45711</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19614-2022</t>
        </is>
      </c>
      <c r="B987" s="1" t="n">
        <v>44694</v>
      </c>
      <c r="C987" s="1" t="n">
        <v>45711</v>
      </c>
      <c r="D987" t="inlineStr">
        <is>
          <t>VÄRMLANDS LÄN</t>
        </is>
      </c>
      <c r="E987" t="inlineStr">
        <is>
          <t>TORSBY</t>
        </is>
      </c>
      <c r="G987" t="n">
        <v>1.8</v>
      </c>
      <c r="H987" t="n">
        <v>0</v>
      </c>
      <c r="I987" t="n">
        <v>0</v>
      </c>
      <c r="J987" t="n">
        <v>0</v>
      </c>
      <c r="K987" t="n">
        <v>0</v>
      </c>
      <c r="L987" t="n">
        <v>0</v>
      </c>
      <c r="M987" t="n">
        <v>0</v>
      </c>
      <c r="N987" t="n">
        <v>0</v>
      </c>
      <c r="O987" t="n">
        <v>0</v>
      </c>
      <c r="P987" t="n">
        <v>0</v>
      </c>
      <c r="Q987" t="n">
        <v>0</v>
      </c>
      <c r="R987" s="2" t="inlineStr"/>
    </row>
    <row r="988" ht="15" customHeight="1">
      <c r="A988" t="inlineStr">
        <is>
          <t>A 20045-2022</t>
        </is>
      </c>
      <c r="B988" s="1" t="n">
        <v>44697</v>
      </c>
      <c r="C988" s="1" t="n">
        <v>45711</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20046-2022</t>
        </is>
      </c>
      <c r="B989" s="1" t="n">
        <v>44697</v>
      </c>
      <c r="C989" s="1" t="n">
        <v>45711</v>
      </c>
      <c r="D989" t="inlineStr">
        <is>
          <t>VÄRMLANDS LÄN</t>
        </is>
      </c>
      <c r="E989" t="inlineStr">
        <is>
          <t>TORSBY</t>
        </is>
      </c>
      <c r="G989" t="n">
        <v>1.7</v>
      </c>
      <c r="H989" t="n">
        <v>0</v>
      </c>
      <c r="I989" t="n">
        <v>0</v>
      </c>
      <c r="J989" t="n">
        <v>0</v>
      </c>
      <c r="K989" t="n">
        <v>0</v>
      </c>
      <c r="L989" t="n">
        <v>0</v>
      </c>
      <c r="M989" t="n">
        <v>0</v>
      </c>
      <c r="N989" t="n">
        <v>0</v>
      </c>
      <c r="O989" t="n">
        <v>0</v>
      </c>
      <c r="P989" t="n">
        <v>0</v>
      </c>
      <c r="Q989" t="n">
        <v>0</v>
      </c>
      <c r="R989" s="2" t="inlineStr"/>
    </row>
    <row r="990" ht="15" customHeight="1">
      <c r="A990" t="inlineStr">
        <is>
          <t>A 20009-2022</t>
        </is>
      </c>
      <c r="B990" s="1" t="n">
        <v>44697</v>
      </c>
      <c r="C990" s="1" t="n">
        <v>45711</v>
      </c>
      <c r="D990" t="inlineStr">
        <is>
          <t>VÄRMLANDS LÄN</t>
        </is>
      </c>
      <c r="E990" t="inlineStr">
        <is>
          <t>TORSBY</t>
        </is>
      </c>
      <c r="G990" t="n">
        <v>14.4</v>
      </c>
      <c r="H990" t="n">
        <v>0</v>
      </c>
      <c r="I990" t="n">
        <v>0</v>
      </c>
      <c r="J990" t="n">
        <v>0</v>
      </c>
      <c r="K990" t="n">
        <v>0</v>
      </c>
      <c r="L990" t="n">
        <v>0</v>
      </c>
      <c r="M990" t="n">
        <v>0</v>
      </c>
      <c r="N990" t="n">
        <v>0</v>
      </c>
      <c r="O990" t="n">
        <v>0</v>
      </c>
      <c r="P990" t="n">
        <v>0</v>
      </c>
      <c r="Q990" t="n">
        <v>0</v>
      </c>
      <c r="R990" s="2" t="inlineStr"/>
    </row>
    <row r="991" ht="15" customHeight="1">
      <c r="A991" t="inlineStr">
        <is>
          <t>A 20168-2022</t>
        </is>
      </c>
      <c r="B991" s="1" t="n">
        <v>44698</v>
      </c>
      <c r="C991" s="1" t="n">
        <v>45711</v>
      </c>
      <c r="D991" t="inlineStr">
        <is>
          <t>VÄRMLANDS LÄN</t>
        </is>
      </c>
      <c r="E991" t="inlineStr">
        <is>
          <t>TORSBY</t>
        </is>
      </c>
      <c r="G991" t="n">
        <v>6.6</v>
      </c>
      <c r="H991" t="n">
        <v>0</v>
      </c>
      <c r="I991" t="n">
        <v>0</v>
      </c>
      <c r="J991" t="n">
        <v>0</v>
      </c>
      <c r="K991" t="n">
        <v>0</v>
      </c>
      <c r="L991" t="n">
        <v>0</v>
      </c>
      <c r="M991" t="n">
        <v>0</v>
      </c>
      <c r="N991" t="n">
        <v>0</v>
      </c>
      <c r="O991" t="n">
        <v>0</v>
      </c>
      <c r="P991" t="n">
        <v>0</v>
      </c>
      <c r="Q991" t="n">
        <v>0</v>
      </c>
      <c r="R991" s="2" t="inlineStr"/>
    </row>
    <row r="992" ht="15" customHeight="1">
      <c r="A992" t="inlineStr">
        <is>
          <t>A 20175-2022</t>
        </is>
      </c>
      <c r="B992" s="1" t="n">
        <v>44698</v>
      </c>
      <c r="C992" s="1" t="n">
        <v>45711</v>
      </c>
      <c r="D992" t="inlineStr">
        <is>
          <t>VÄRMLANDS LÄN</t>
        </is>
      </c>
      <c r="E992" t="inlineStr">
        <is>
          <t>TORSBY</t>
        </is>
      </c>
      <c r="G992" t="n">
        <v>2.8</v>
      </c>
      <c r="H992" t="n">
        <v>0</v>
      </c>
      <c r="I992" t="n">
        <v>0</v>
      </c>
      <c r="J992" t="n">
        <v>0</v>
      </c>
      <c r="K992" t="n">
        <v>0</v>
      </c>
      <c r="L992" t="n">
        <v>0</v>
      </c>
      <c r="M992" t="n">
        <v>0</v>
      </c>
      <c r="N992" t="n">
        <v>0</v>
      </c>
      <c r="O992" t="n">
        <v>0</v>
      </c>
      <c r="P992" t="n">
        <v>0</v>
      </c>
      <c r="Q992" t="n">
        <v>0</v>
      </c>
      <c r="R992" s="2" t="inlineStr"/>
    </row>
    <row r="993" ht="15" customHeight="1">
      <c r="A993" t="inlineStr">
        <is>
          <t>A 20174-2022</t>
        </is>
      </c>
      <c r="B993" s="1" t="n">
        <v>44698</v>
      </c>
      <c r="C993" s="1" t="n">
        <v>45711</v>
      </c>
      <c r="D993" t="inlineStr">
        <is>
          <t>VÄRMLANDS LÄN</t>
        </is>
      </c>
      <c r="E993" t="inlineStr">
        <is>
          <t>TORSBY</t>
        </is>
      </c>
      <c r="G993" t="n">
        <v>4.4</v>
      </c>
      <c r="H993" t="n">
        <v>0</v>
      </c>
      <c r="I993" t="n">
        <v>0</v>
      </c>
      <c r="J993" t="n">
        <v>0</v>
      </c>
      <c r="K993" t="n">
        <v>0</v>
      </c>
      <c r="L993" t="n">
        <v>0</v>
      </c>
      <c r="M993" t="n">
        <v>0</v>
      </c>
      <c r="N993" t="n">
        <v>0</v>
      </c>
      <c r="O993" t="n">
        <v>0</v>
      </c>
      <c r="P993" t="n">
        <v>0</v>
      </c>
      <c r="Q993" t="n">
        <v>0</v>
      </c>
      <c r="R993" s="2" t="inlineStr"/>
    </row>
    <row r="994" ht="15" customHeight="1">
      <c r="A994" t="inlineStr">
        <is>
          <t>A 20382-2022</t>
        </is>
      </c>
      <c r="B994" s="1" t="n">
        <v>44699</v>
      </c>
      <c r="C994" s="1" t="n">
        <v>45711</v>
      </c>
      <c r="D994" t="inlineStr">
        <is>
          <t>VÄRMLANDS LÄN</t>
        </is>
      </c>
      <c r="E994" t="inlineStr">
        <is>
          <t>TORSBY</t>
        </is>
      </c>
      <c r="G994" t="n">
        <v>14.3</v>
      </c>
      <c r="H994" t="n">
        <v>0</v>
      </c>
      <c r="I994" t="n">
        <v>0</v>
      </c>
      <c r="J994" t="n">
        <v>0</v>
      </c>
      <c r="K994" t="n">
        <v>0</v>
      </c>
      <c r="L994" t="n">
        <v>0</v>
      </c>
      <c r="M994" t="n">
        <v>0</v>
      </c>
      <c r="N994" t="n">
        <v>0</v>
      </c>
      <c r="O994" t="n">
        <v>0</v>
      </c>
      <c r="P994" t="n">
        <v>0</v>
      </c>
      <c r="Q994" t="n">
        <v>0</v>
      </c>
      <c r="R994" s="2" t="inlineStr"/>
    </row>
    <row r="995" ht="15" customHeight="1">
      <c r="A995" t="inlineStr">
        <is>
          <t>A 20819-2022</t>
        </is>
      </c>
      <c r="B995" s="1" t="n">
        <v>44699</v>
      </c>
      <c r="C995" s="1" t="n">
        <v>45711</v>
      </c>
      <c r="D995" t="inlineStr">
        <is>
          <t>VÄRMLANDS LÄN</t>
        </is>
      </c>
      <c r="E995" t="inlineStr">
        <is>
          <t>TORSBY</t>
        </is>
      </c>
      <c r="G995" t="n">
        <v>3.1</v>
      </c>
      <c r="H995" t="n">
        <v>0</v>
      </c>
      <c r="I995" t="n">
        <v>0</v>
      </c>
      <c r="J995" t="n">
        <v>0</v>
      </c>
      <c r="K995" t="n">
        <v>0</v>
      </c>
      <c r="L995" t="n">
        <v>0</v>
      </c>
      <c r="M995" t="n">
        <v>0</v>
      </c>
      <c r="N995" t="n">
        <v>0</v>
      </c>
      <c r="O995" t="n">
        <v>0</v>
      </c>
      <c r="P995" t="n">
        <v>0</v>
      </c>
      <c r="Q995" t="n">
        <v>0</v>
      </c>
      <c r="R995" s="2" t="inlineStr"/>
    </row>
    <row r="996" ht="15" customHeight="1">
      <c r="A996" t="inlineStr">
        <is>
          <t>A 20881-2022</t>
        </is>
      </c>
      <c r="B996" s="1" t="n">
        <v>44701</v>
      </c>
      <c r="C996" s="1" t="n">
        <v>45711</v>
      </c>
      <c r="D996" t="inlineStr">
        <is>
          <t>VÄRMLANDS LÄN</t>
        </is>
      </c>
      <c r="E996" t="inlineStr">
        <is>
          <t>TORSBY</t>
        </is>
      </c>
      <c r="F996" t="inlineStr">
        <is>
          <t>Bergvik skog väst AB</t>
        </is>
      </c>
      <c r="G996" t="n">
        <v>17.2</v>
      </c>
      <c r="H996" t="n">
        <v>0</v>
      </c>
      <c r="I996" t="n">
        <v>0</v>
      </c>
      <c r="J996" t="n">
        <v>0</v>
      </c>
      <c r="K996" t="n">
        <v>0</v>
      </c>
      <c r="L996" t="n">
        <v>0</v>
      </c>
      <c r="M996" t="n">
        <v>0</v>
      </c>
      <c r="N996" t="n">
        <v>0</v>
      </c>
      <c r="O996" t="n">
        <v>0</v>
      </c>
      <c r="P996" t="n">
        <v>0</v>
      </c>
      <c r="Q996" t="n">
        <v>0</v>
      </c>
      <c r="R996" s="2" t="inlineStr"/>
    </row>
    <row r="997" ht="15" customHeight="1">
      <c r="A997" t="inlineStr">
        <is>
          <t>A 20907-2022</t>
        </is>
      </c>
      <c r="B997" s="1" t="n">
        <v>44701</v>
      </c>
      <c r="C997" s="1" t="n">
        <v>45711</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20899-2022</t>
        </is>
      </c>
      <c r="B998" s="1" t="n">
        <v>44701</v>
      </c>
      <c r="C998" s="1" t="n">
        <v>45711</v>
      </c>
      <c r="D998" t="inlineStr">
        <is>
          <t>VÄRMLANDS LÄN</t>
        </is>
      </c>
      <c r="E998" t="inlineStr">
        <is>
          <t>TORSBY</t>
        </is>
      </c>
      <c r="G998" t="n">
        <v>7.2</v>
      </c>
      <c r="H998" t="n">
        <v>0</v>
      </c>
      <c r="I998" t="n">
        <v>0</v>
      </c>
      <c r="J998" t="n">
        <v>0</v>
      </c>
      <c r="K998" t="n">
        <v>0</v>
      </c>
      <c r="L998" t="n">
        <v>0</v>
      </c>
      <c r="M998" t="n">
        <v>0</v>
      </c>
      <c r="N998" t="n">
        <v>0</v>
      </c>
      <c r="O998" t="n">
        <v>0</v>
      </c>
      <c r="P998" t="n">
        <v>0</v>
      </c>
      <c r="Q998" t="n">
        <v>0</v>
      </c>
      <c r="R998" s="2" t="inlineStr"/>
    </row>
    <row r="999" ht="15" customHeight="1">
      <c r="A999" t="inlineStr">
        <is>
          <t>A 21094-2022</t>
        </is>
      </c>
      <c r="B999" s="1" t="n">
        <v>44704</v>
      </c>
      <c r="C999" s="1" t="n">
        <v>45711</v>
      </c>
      <c r="D999" t="inlineStr">
        <is>
          <t>VÄRMLANDS LÄN</t>
        </is>
      </c>
      <c r="E999" t="inlineStr">
        <is>
          <t>TORSBY</t>
        </is>
      </c>
      <c r="G999" t="n">
        <v>2.5</v>
      </c>
      <c r="H999" t="n">
        <v>0</v>
      </c>
      <c r="I999" t="n">
        <v>0</v>
      </c>
      <c r="J999" t="n">
        <v>0</v>
      </c>
      <c r="K999" t="n">
        <v>0</v>
      </c>
      <c r="L999" t="n">
        <v>0</v>
      </c>
      <c r="M999" t="n">
        <v>0</v>
      </c>
      <c r="N999" t="n">
        <v>0</v>
      </c>
      <c r="O999" t="n">
        <v>0</v>
      </c>
      <c r="P999" t="n">
        <v>0</v>
      </c>
      <c r="Q999" t="n">
        <v>0</v>
      </c>
      <c r="R999" s="2" t="inlineStr"/>
    </row>
    <row r="1000" ht="15" customHeight="1">
      <c r="A1000" t="inlineStr">
        <is>
          <t>A 21070-2022</t>
        </is>
      </c>
      <c r="B1000" s="1" t="n">
        <v>44704</v>
      </c>
      <c r="C1000" s="1" t="n">
        <v>45711</v>
      </c>
      <c r="D1000" t="inlineStr">
        <is>
          <t>VÄRMLANDS LÄN</t>
        </is>
      </c>
      <c r="E1000" t="inlineStr">
        <is>
          <t>TORSBY</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21089-2022</t>
        </is>
      </c>
      <c r="B1001" s="1" t="n">
        <v>44704</v>
      </c>
      <c r="C1001" s="1" t="n">
        <v>45711</v>
      </c>
      <c r="D1001" t="inlineStr">
        <is>
          <t>VÄRMLANDS LÄN</t>
        </is>
      </c>
      <c r="E1001" t="inlineStr">
        <is>
          <t>TORSBY</t>
        </is>
      </c>
      <c r="G1001" t="n">
        <v>13.4</v>
      </c>
      <c r="H1001" t="n">
        <v>0</v>
      </c>
      <c r="I1001" t="n">
        <v>0</v>
      </c>
      <c r="J1001" t="n">
        <v>0</v>
      </c>
      <c r="K1001" t="n">
        <v>0</v>
      </c>
      <c r="L1001" t="n">
        <v>0</v>
      </c>
      <c r="M1001" t="n">
        <v>0</v>
      </c>
      <c r="N1001" t="n">
        <v>0</v>
      </c>
      <c r="O1001" t="n">
        <v>0</v>
      </c>
      <c r="P1001" t="n">
        <v>0</v>
      </c>
      <c r="Q1001" t="n">
        <v>0</v>
      </c>
      <c r="R1001" s="2" t="inlineStr"/>
    </row>
    <row r="1002" ht="15" customHeight="1">
      <c r="A1002" t="inlineStr">
        <is>
          <t>A 21516-2022</t>
        </is>
      </c>
      <c r="B1002" s="1" t="n">
        <v>44706</v>
      </c>
      <c r="C1002" s="1" t="n">
        <v>45711</v>
      </c>
      <c r="D1002" t="inlineStr">
        <is>
          <t>VÄRMLANDS LÄN</t>
        </is>
      </c>
      <c r="E1002" t="inlineStr">
        <is>
          <t>TORSBY</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21465-2022</t>
        </is>
      </c>
      <c r="B1003" s="1" t="n">
        <v>44706</v>
      </c>
      <c r="C1003" s="1" t="n">
        <v>45711</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21521-2022</t>
        </is>
      </c>
      <c r="B1004" s="1" t="n">
        <v>44706</v>
      </c>
      <c r="C1004" s="1" t="n">
        <v>45711</v>
      </c>
      <c r="D1004" t="inlineStr">
        <is>
          <t>VÄRMLANDS LÄN</t>
        </is>
      </c>
      <c r="E1004" t="inlineStr">
        <is>
          <t>TORSBY</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22158-2022</t>
        </is>
      </c>
      <c r="B1005" s="1" t="n">
        <v>44708</v>
      </c>
      <c r="C1005" s="1" t="n">
        <v>45711</v>
      </c>
      <c r="D1005" t="inlineStr">
        <is>
          <t>VÄRMLANDS LÄN</t>
        </is>
      </c>
      <c r="E1005" t="inlineStr">
        <is>
          <t>TORSBY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22124-2022</t>
        </is>
      </c>
      <c r="B1006" s="1" t="n">
        <v>44712</v>
      </c>
      <c r="C1006" s="1" t="n">
        <v>45711</v>
      </c>
      <c r="D1006" t="inlineStr">
        <is>
          <t>VÄRMLANDS LÄN</t>
        </is>
      </c>
      <c r="E1006" t="inlineStr">
        <is>
          <t>TORSBY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22635-2022</t>
        </is>
      </c>
      <c r="B1007" s="1" t="n">
        <v>44714</v>
      </c>
      <c r="C1007" s="1" t="n">
        <v>45711</v>
      </c>
      <c r="D1007" t="inlineStr">
        <is>
          <t>VÄRMLANDS LÄN</t>
        </is>
      </c>
      <c r="E1007" t="inlineStr">
        <is>
          <t>TORSBY</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22662-2022</t>
        </is>
      </c>
      <c r="B1008" s="1" t="n">
        <v>44714</v>
      </c>
      <c r="C1008" s="1" t="n">
        <v>45711</v>
      </c>
      <c r="D1008" t="inlineStr">
        <is>
          <t>VÄRMLANDS LÄN</t>
        </is>
      </c>
      <c r="E1008" t="inlineStr">
        <is>
          <t>TORSBY</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22826-2022</t>
        </is>
      </c>
      <c r="B1009" s="1" t="n">
        <v>44714</v>
      </c>
      <c r="C1009" s="1" t="n">
        <v>45711</v>
      </c>
      <c r="D1009" t="inlineStr">
        <is>
          <t>VÄRMLANDS LÄN</t>
        </is>
      </c>
      <c r="E1009" t="inlineStr">
        <is>
          <t>TORSBY</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22823-2022</t>
        </is>
      </c>
      <c r="B1010" s="1" t="n">
        <v>44714</v>
      </c>
      <c r="C1010" s="1" t="n">
        <v>45711</v>
      </c>
      <c r="D1010" t="inlineStr">
        <is>
          <t>VÄRMLANDS LÄN</t>
        </is>
      </c>
      <c r="E1010" t="inlineStr">
        <is>
          <t>TORSBY</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23185-2022</t>
        </is>
      </c>
      <c r="B1011" s="1" t="n">
        <v>44719</v>
      </c>
      <c r="C1011" s="1" t="n">
        <v>45711</v>
      </c>
      <c r="D1011" t="inlineStr">
        <is>
          <t>VÄRMLANDS LÄN</t>
        </is>
      </c>
      <c r="E1011" t="inlineStr">
        <is>
          <t>TORSBY</t>
        </is>
      </c>
      <c r="F1011" t="inlineStr">
        <is>
          <t>Naturvårdsverket</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23011-2022</t>
        </is>
      </c>
      <c r="B1012" s="1" t="n">
        <v>44719</v>
      </c>
      <c r="C1012" s="1" t="n">
        <v>45711</v>
      </c>
      <c r="D1012" t="inlineStr">
        <is>
          <t>VÄRMLANDS LÄN</t>
        </is>
      </c>
      <c r="E1012" t="inlineStr">
        <is>
          <t>TORSBY</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23264-2022</t>
        </is>
      </c>
      <c r="B1013" s="1" t="n">
        <v>44720</v>
      </c>
      <c r="C1013" s="1" t="n">
        <v>45711</v>
      </c>
      <c r="D1013" t="inlineStr">
        <is>
          <t>VÄRMLANDS LÄN</t>
        </is>
      </c>
      <c r="E1013" t="inlineStr">
        <is>
          <t>TORSBY</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23343-2022</t>
        </is>
      </c>
      <c r="B1014" s="1" t="n">
        <v>44720</v>
      </c>
      <c r="C1014" s="1" t="n">
        <v>45711</v>
      </c>
      <c r="D1014" t="inlineStr">
        <is>
          <t>VÄRMLANDS LÄN</t>
        </is>
      </c>
      <c r="E1014" t="inlineStr">
        <is>
          <t>TORSBY</t>
        </is>
      </c>
      <c r="F1014" t="inlineStr">
        <is>
          <t>Bergvik skog väst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23401-2022</t>
        </is>
      </c>
      <c r="B1015" s="1" t="n">
        <v>44720</v>
      </c>
      <c r="C1015" s="1" t="n">
        <v>45711</v>
      </c>
      <c r="D1015" t="inlineStr">
        <is>
          <t>VÄRMLANDS LÄN</t>
        </is>
      </c>
      <c r="E1015" t="inlineStr">
        <is>
          <t>TORSBY</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23405-2022</t>
        </is>
      </c>
      <c r="B1016" s="1" t="n">
        <v>44720</v>
      </c>
      <c r="C1016" s="1" t="n">
        <v>45711</v>
      </c>
      <c r="D1016" t="inlineStr">
        <is>
          <t>VÄRMLANDS LÄN</t>
        </is>
      </c>
      <c r="E1016" t="inlineStr">
        <is>
          <t>TORSBY</t>
        </is>
      </c>
      <c r="F1016" t="inlineStr">
        <is>
          <t>Bergvik skog väst AB</t>
        </is>
      </c>
      <c r="G1016" t="n">
        <v>9.1</v>
      </c>
      <c r="H1016" t="n">
        <v>0</v>
      </c>
      <c r="I1016" t="n">
        <v>0</v>
      </c>
      <c r="J1016" t="n">
        <v>0</v>
      </c>
      <c r="K1016" t="n">
        <v>0</v>
      </c>
      <c r="L1016" t="n">
        <v>0</v>
      </c>
      <c r="M1016" t="n">
        <v>0</v>
      </c>
      <c r="N1016" t="n">
        <v>0</v>
      </c>
      <c r="O1016" t="n">
        <v>0</v>
      </c>
      <c r="P1016" t="n">
        <v>0</v>
      </c>
      <c r="Q1016" t="n">
        <v>0</v>
      </c>
      <c r="R1016" s="2" t="inlineStr"/>
    </row>
    <row r="1017" ht="15" customHeight="1">
      <c r="A1017" t="inlineStr">
        <is>
          <t>A 23803-2022</t>
        </is>
      </c>
      <c r="B1017" s="1" t="n">
        <v>44720</v>
      </c>
      <c r="C1017" s="1" t="n">
        <v>45711</v>
      </c>
      <c r="D1017" t="inlineStr">
        <is>
          <t>VÄRMLANDS LÄN</t>
        </is>
      </c>
      <c r="E1017" t="inlineStr">
        <is>
          <t>TORSBY</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23804-2022</t>
        </is>
      </c>
      <c r="B1018" s="1" t="n">
        <v>44722</v>
      </c>
      <c r="C1018" s="1" t="n">
        <v>45711</v>
      </c>
      <c r="D1018" t="inlineStr">
        <is>
          <t>VÄRMLANDS LÄN</t>
        </is>
      </c>
      <c r="E1018" t="inlineStr">
        <is>
          <t>TORSBY</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23823-2022</t>
        </is>
      </c>
      <c r="B1019" s="1" t="n">
        <v>44722</v>
      </c>
      <c r="C1019" s="1" t="n">
        <v>45711</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23735-2022</t>
        </is>
      </c>
      <c r="B1020" s="1" t="n">
        <v>44722</v>
      </c>
      <c r="C1020" s="1" t="n">
        <v>45711</v>
      </c>
      <c r="D1020" t="inlineStr">
        <is>
          <t>VÄRMLANDS LÄN</t>
        </is>
      </c>
      <c r="E1020" t="inlineStr">
        <is>
          <t>TORSBY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23818-2022</t>
        </is>
      </c>
      <c r="B1021" s="1" t="n">
        <v>44722</v>
      </c>
      <c r="C1021" s="1" t="n">
        <v>45711</v>
      </c>
      <c r="D1021" t="inlineStr">
        <is>
          <t>VÄRMLANDS LÄN</t>
        </is>
      </c>
      <c r="E1021" t="inlineStr">
        <is>
          <t>TORSBY</t>
        </is>
      </c>
      <c r="G1021" t="n">
        <v>23.5</v>
      </c>
      <c r="H1021" t="n">
        <v>0</v>
      </c>
      <c r="I1021" t="n">
        <v>0</v>
      </c>
      <c r="J1021" t="n">
        <v>0</v>
      </c>
      <c r="K1021" t="n">
        <v>0</v>
      </c>
      <c r="L1021" t="n">
        <v>0</v>
      </c>
      <c r="M1021" t="n">
        <v>0</v>
      </c>
      <c r="N1021" t="n">
        <v>0</v>
      </c>
      <c r="O1021" t="n">
        <v>0</v>
      </c>
      <c r="P1021" t="n">
        <v>0</v>
      </c>
      <c r="Q1021" t="n">
        <v>0</v>
      </c>
      <c r="R1021" s="2" t="inlineStr"/>
    </row>
    <row r="1022" ht="15" customHeight="1">
      <c r="A1022" t="inlineStr">
        <is>
          <t>A 23732-2022</t>
        </is>
      </c>
      <c r="B1022" s="1" t="n">
        <v>44722</v>
      </c>
      <c r="C1022" s="1" t="n">
        <v>45711</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23746-2022</t>
        </is>
      </c>
      <c r="B1023" s="1" t="n">
        <v>44722</v>
      </c>
      <c r="C1023" s="1" t="n">
        <v>45711</v>
      </c>
      <c r="D1023" t="inlineStr">
        <is>
          <t>VÄRMLANDS LÄN</t>
        </is>
      </c>
      <c r="E1023" t="inlineStr">
        <is>
          <t>TORSBY</t>
        </is>
      </c>
      <c r="F1023" t="inlineStr">
        <is>
          <t>Bergvik skog väst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23851-2022</t>
        </is>
      </c>
      <c r="B1024" s="1" t="n">
        <v>44722</v>
      </c>
      <c r="C1024" s="1" t="n">
        <v>45711</v>
      </c>
      <c r="D1024" t="inlineStr">
        <is>
          <t>VÄRMLANDS LÄN</t>
        </is>
      </c>
      <c r="E1024" t="inlineStr">
        <is>
          <t>TORSBY</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24960-2022</t>
        </is>
      </c>
      <c r="B1025" s="1" t="n">
        <v>44728</v>
      </c>
      <c r="C1025" s="1" t="n">
        <v>45711</v>
      </c>
      <c r="D1025" t="inlineStr">
        <is>
          <t>VÄRMLANDS LÄN</t>
        </is>
      </c>
      <c r="E1025" t="inlineStr">
        <is>
          <t>TORSBY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25537-2022</t>
        </is>
      </c>
      <c r="B1026" s="1" t="n">
        <v>44732</v>
      </c>
      <c r="C1026" s="1" t="n">
        <v>45711</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26686-2022</t>
        </is>
      </c>
      <c r="B1027" s="1" t="n">
        <v>44739</v>
      </c>
      <c r="C1027" s="1" t="n">
        <v>45711</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26842-2022</t>
        </is>
      </c>
      <c r="B1028" s="1" t="n">
        <v>44740</v>
      </c>
      <c r="C1028" s="1" t="n">
        <v>45711</v>
      </c>
      <c r="D1028" t="inlineStr">
        <is>
          <t>VÄRMLANDS LÄN</t>
        </is>
      </c>
      <c r="E1028" t="inlineStr">
        <is>
          <t>TORSBY</t>
        </is>
      </c>
      <c r="F1028" t="inlineStr">
        <is>
          <t>Bergvik skog väst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26988-2022</t>
        </is>
      </c>
      <c r="B1029" s="1" t="n">
        <v>44740</v>
      </c>
      <c r="C1029" s="1" t="n">
        <v>45711</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27223-2022</t>
        </is>
      </c>
      <c r="B1030" s="1" t="n">
        <v>44741</v>
      </c>
      <c r="C1030" s="1" t="n">
        <v>45711</v>
      </c>
      <c r="D1030" t="inlineStr">
        <is>
          <t>VÄRMLANDS LÄN</t>
        </is>
      </c>
      <c r="E1030" t="inlineStr">
        <is>
          <t>TORSBY</t>
        </is>
      </c>
      <c r="F1030" t="inlineStr">
        <is>
          <t>Bergvik skog väst AB</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27686-2022</t>
        </is>
      </c>
      <c r="B1031" s="1" t="n">
        <v>44743</v>
      </c>
      <c r="C1031" s="1" t="n">
        <v>45711</v>
      </c>
      <c r="D1031" t="inlineStr">
        <is>
          <t>VÄRMLANDS LÄN</t>
        </is>
      </c>
      <c r="E1031" t="inlineStr">
        <is>
          <t>TORSBY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28008-2022</t>
        </is>
      </c>
      <c r="B1032" s="1" t="n">
        <v>44746</v>
      </c>
      <c r="C1032" s="1" t="n">
        <v>45711</v>
      </c>
      <c r="D1032" t="inlineStr">
        <is>
          <t>VÄRMLANDS LÄN</t>
        </is>
      </c>
      <c r="E1032" t="inlineStr">
        <is>
          <t>TORSBY</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28016-2022</t>
        </is>
      </c>
      <c r="B1033" s="1" t="n">
        <v>44746</v>
      </c>
      <c r="C1033" s="1" t="n">
        <v>45711</v>
      </c>
      <c r="D1033" t="inlineStr">
        <is>
          <t>VÄRMLANDS LÄN</t>
        </is>
      </c>
      <c r="E1033" t="inlineStr">
        <is>
          <t>TORSBY</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28113-2022</t>
        </is>
      </c>
      <c r="B1034" s="1" t="n">
        <v>44746</v>
      </c>
      <c r="C1034" s="1" t="n">
        <v>45711</v>
      </c>
      <c r="D1034" t="inlineStr">
        <is>
          <t>VÄRMLANDS LÄN</t>
        </is>
      </c>
      <c r="E1034" t="inlineStr">
        <is>
          <t>TORSBY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28172-2022</t>
        </is>
      </c>
      <c r="B1035" s="1" t="n">
        <v>44746</v>
      </c>
      <c r="C1035" s="1" t="n">
        <v>45711</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28471-2022</t>
        </is>
      </c>
      <c r="B1036" s="1" t="n">
        <v>44747</v>
      </c>
      <c r="C1036" s="1" t="n">
        <v>45711</v>
      </c>
      <c r="D1036" t="inlineStr">
        <is>
          <t>VÄRMLANDS LÄN</t>
        </is>
      </c>
      <c r="E1036" t="inlineStr">
        <is>
          <t>TORSBY</t>
        </is>
      </c>
      <c r="F1036" t="inlineStr">
        <is>
          <t>Bergvik skog väst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28955-2022</t>
        </is>
      </c>
      <c r="B1037" s="1" t="n">
        <v>44749</v>
      </c>
      <c r="C1037" s="1" t="n">
        <v>45711</v>
      </c>
      <c r="D1037" t="inlineStr">
        <is>
          <t>VÄRMLANDS LÄN</t>
        </is>
      </c>
      <c r="E1037" t="inlineStr">
        <is>
          <t>TORSBY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29142-2022</t>
        </is>
      </c>
      <c r="B1038" s="1" t="n">
        <v>44750</v>
      </c>
      <c r="C1038" s="1" t="n">
        <v>45711</v>
      </c>
      <c r="D1038" t="inlineStr">
        <is>
          <t>VÄRMLANDS LÄN</t>
        </is>
      </c>
      <c r="E1038" t="inlineStr">
        <is>
          <t>TORSBY</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29509-2022</t>
        </is>
      </c>
      <c r="B1039" s="1" t="n">
        <v>44753</v>
      </c>
      <c r="C1039" s="1" t="n">
        <v>45711</v>
      </c>
      <c r="D1039" t="inlineStr">
        <is>
          <t>VÄRMLANDS LÄN</t>
        </is>
      </c>
      <c r="E1039" t="inlineStr">
        <is>
          <t>TORSBY</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29596-2022</t>
        </is>
      </c>
      <c r="B1040" s="1" t="n">
        <v>44754</v>
      </c>
      <c r="C1040" s="1" t="n">
        <v>45711</v>
      </c>
      <c r="D1040" t="inlineStr">
        <is>
          <t>VÄRMLANDS LÄN</t>
        </is>
      </c>
      <c r="E1040" t="inlineStr">
        <is>
          <t>TORSBY</t>
        </is>
      </c>
      <c r="F1040" t="inlineStr">
        <is>
          <t>Bergvik skog väst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29717-2022</t>
        </is>
      </c>
      <c r="B1041" s="1" t="n">
        <v>44755</v>
      </c>
      <c r="C1041" s="1" t="n">
        <v>45711</v>
      </c>
      <c r="D1041" t="inlineStr">
        <is>
          <t>VÄRMLANDS LÄN</t>
        </is>
      </c>
      <c r="E1041" t="inlineStr">
        <is>
          <t>TORSBY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29720-2022</t>
        </is>
      </c>
      <c r="B1042" s="1" t="n">
        <v>44755</v>
      </c>
      <c r="C1042" s="1" t="n">
        <v>45711</v>
      </c>
      <c r="D1042" t="inlineStr">
        <is>
          <t>VÄRMLANDS LÄN</t>
        </is>
      </c>
      <c r="E1042" t="inlineStr">
        <is>
          <t>TORSBY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29721-2022</t>
        </is>
      </c>
      <c r="B1043" s="1" t="n">
        <v>44755</v>
      </c>
      <c r="C1043" s="1" t="n">
        <v>45711</v>
      </c>
      <c r="D1043" t="inlineStr">
        <is>
          <t>VÄRMLANDS LÄN</t>
        </is>
      </c>
      <c r="E1043" t="inlineStr">
        <is>
          <t>TORSBY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29901-2022</t>
        </is>
      </c>
      <c r="B1044" s="1" t="n">
        <v>44756</v>
      </c>
      <c r="C1044" s="1" t="n">
        <v>45711</v>
      </c>
      <c r="D1044" t="inlineStr">
        <is>
          <t>VÄRMLANDS LÄN</t>
        </is>
      </c>
      <c r="E1044" t="inlineStr">
        <is>
          <t>TORSBY</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29908-2022</t>
        </is>
      </c>
      <c r="B1045" s="1" t="n">
        <v>44756</v>
      </c>
      <c r="C1045" s="1" t="n">
        <v>45711</v>
      </c>
      <c r="D1045" t="inlineStr">
        <is>
          <t>VÄRMLANDS LÄN</t>
        </is>
      </c>
      <c r="E1045" t="inlineStr">
        <is>
          <t>TORSBY</t>
        </is>
      </c>
      <c r="F1045" t="inlineStr">
        <is>
          <t>Kommuner</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29921-2022</t>
        </is>
      </c>
      <c r="B1046" s="1" t="n">
        <v>44756</v>
      </c>
      <c r="C1046" s="1" t="n">
        <v>45711</v>
      </c>
      <c r="D1046" t="inlineStr">
        <is>
          <t>VÄRMLANDS LÄN</t>
        </is>
      </c>
      <c r="E1046" t="inlineStr">
        <is>
          <t>TORSBY</t>
        </is>
      </c>
      <c r="F1046" t="inlineStr">
        <is>
          <t>Kommuner</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29990-2022</t>
        </is>
      </c>
      <c r="B1047" s="1" t="n">
        <v>44756</v>
      </c>
      <c r="C1047" s="1" t="n">
        <v>45711</v>
      </c>
      <c r="D1047" t="inlineStr">
        <is>
          <t>VÄRMLANDS LÄN</t>
        </is>
      </c>
      <c r="E1047" t="inlineStr">
        <is>
          <t>TORSBY</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30326-2022</t>
        </is>
      </c>
      <c r="B1048" s="1" t="n">
        <v>44760</v>
      </c>
      <c r="C1048" s="1" t="n">
        <v>45711</v>
      </c>
      <c r="D1048" t="inlineStr">
        <is>
          <t>VÄRMLANDS LÄN</t>
        </is>
      </c>
      <c r="E1048" t="inlineStr">
        <is>
          <t>TORSBY</t>
        </is>
      </c>
      <c r="F1048" t="inlineStr">
        <is>
          <t>Kommuner</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30612-2022</t>
        </is>
      </c>
      <c r="B1049" s="1" t="n">
        <v>44763</v>
      </c>
      <c r="C1049" s="1" t="n">
        <v>45711</v>
      </c>
      <c r="D1049" t="inlineStr">
        <is>
          <t>VÄRMLANDS LÄN</t>
        </is>
      </c>
      <c r="E1049" t="inlineStr">
        <is>
          <t>TORSBY</t>
        </is>
      </c>
      <c r="F1049" t="inlineStr">
        <is>
          <t>Kommuner</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32003-2022</t>
        </is>
      </c>
      <c r="B1050" s="1" t="n">
        <v>44778</v>
      </c>
      <c r="C1050" s="1" t="n">
        <v>45711</v>
      </c>
      <c r="D1050" t="inlineStr">
        <is>
          <t>VÄRMLANDS LÄN</t>
        </is>
      </c>
      <c r="E1050" t="inlineStr">
        <is>
          <t>TORSBY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32438-2022</t>
        </is>
      </c>
      <c r="B1051" s="1" t="n">
        <v>44782</v>
      </c>
      <c r="C1051" s="1" t="n">
        <v>45711</v>
      </c>
      <c r="D1051" t="inlineStr">
        <is>
          <t>VÄRMLANDS LÄN</t>
        </is>
      </c>
      <c r="E1051" t="inlineStr">
        <is>
          <t>TORSBY</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32444-2022</t>
        </is>
      </c>
      <c r="B1052" s="1" t="n">
        <v>44782</v>
      </c>
      <c r="C1052" s="1" t="n">
        <v>45711</v>
      </c>
      <c r="D1052" t="inlineStr">
        <is>
          <t>VÄRMLANDS LÄN</t>
        </is>
      </c>
      <c r="E1052" t="inlineStr">
        <is>
          <t>TORSBY</t>
        </is>
      </c>
      <c r="F1052" t="inlineStr">
        <is>
          <t>Bergvik skog väst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32400-2022</t>
        </is>
      </c>
      <c r="B1053" s="1" t="n">
        <v>44782</v>
      </c>
      <c r="C1053" s="1" t="n">
        <v>45711</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32496-2022</t>
        </is>
      </c>
      <c r="B1054" s="1" t="n">
        <v>44782</v>
      </c>
      <c r="C1054" s="1" t="n">
        <v>45711</v>
      </c>
      <c r="D1054" t="inlineStr">
        <is>
          <t>VÄRMLANDS LÄN</t>
        </is>
      </c>
      <c r="E1054" t="inlineStr">
        <is>
          <t>TORSBY</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33069-2022</t>
        </is>
      </c>
      <c r="B1055" s="1" t="n">
        <v>44785</v>
      </c>
      <c r="C1055" s="1" t="n">
        <v>45711</v>
      </c>
      <c r="D1055" t="inlineStr">
        <is>
          <t>VÄRMLANDS LÄN</t>
        </is>
      </c>
      <c r="E1055" t="inlineStr">
        <is>
          <t>TORSBY</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33181-2022</t>
        </is>
      </c>
      <c r="B1056" s="1" t="n">
        <v>44785</v>
      </c>
      <c r="C1056" s="1" t="n">
        <v>45711</v>
      </c>
      <c r="D1056" t="inlineStr">
        <is>
          <t>VÄRMLANDS LÄN</t>
        </is>
      </c>
      <c r="E1056" t="inlineStr">
        <is>
          <t>TORSBY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33254-2022</t>
        </is>
      </c>
      <c r="B1057" s="1" t="n">
        <v>44787</v>
      </c>
      <c r="C1057" s="1" t="n">
        <v>45711</v>
      </c>
      <c r="D1057" t="inlineStr">
        <is>
          <t>VÄRMLANDS LÄN</t>
        </is>
      </c>
      <c r="E1057" t="inlineStr">
        <is>
          <t>TORSBY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33251-2022</t>
        </is>
      </c>
      <c r="B1058" s="1" t="n">
        <v>44787</v>
      </c>
      <c r="C1058" s="1" t="n">
        <v>45711</v>
      </c>
      <c r="D1058" t="inlineStr">
        <is>
          <t>VÄRMLANDS LÄN</t>
        </is>
      </c>
      <c r="E1058" t="inlineStr">
        <is>
          <t>TORSBY</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33579-2022</t>
        </is>
      </c>
      <c r="B1059" s="1" t="n">
        <v>44789</v>
      </c>
      <c r="C1059" s="1" t="n">
        <v>45711</v>
      </c>
      <c r="D1059" t="inlineStr">
        <is>
          <t>VÄRMLANDS LÄN</t>
        </is>
      </c>
      <c r="E1059" t="inlineStr">
        <is>
          <t>TORSBY</t>
        </is>
      </c>
      <c r="F1059" t="inlineStr">
        <is>
          <t>Bergvik skog väst AB</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33802-2022</t>
        </is>
      </c>
      <c r="B1060" s="1" t="n">
        <v>44790</v>
      </c>
      <c r="C1060" s="1" t="n">
        <v>45711</v>
      </c>
      <c r="D1060" t="inlineStr">
        <is>
          <t>VÄRMLANDS LÄN</t>
        </is>
      </c>
      <c r="E1060" t="inlineStr">
        <is>
          <t>TORSBY</t>
        </is>
      </c>
      <c r="F1060" t="inlineStr">
        <is>
          <t>Bergvik skog väst AB</t>
        </is>
      </c>
      <c r="G1060" t="n">
        <v>20.4</v>
      </c>
      <c r="H1060" t="n">
        <v>0</v>
      </c>
      <c r="I1060" t="n">
        <v>0</v>
      </c>
      <c r="J1060" t="n">
        <v>0</v>
      </c>
      <c r="K1060" t="n">
        <v>0</v>
      </c>
      <c r="L1060" t="n">
        <v>0</v>
      </c>
      <c r="M1060" t="n">
        <v>0</v>
      </c>
      <c r="N1060" t="n">
        <v>0</v>
      </c>
      <c r="O1060" t="n">
        <v>0</v>
      </c>
      <c r="P1060" t="n">
        <v>0</v>
      </c>
      <c r="Q1060" t="n">
        <v>0</v>
      </c>
      <c r="R1060" s="2" t="inlineStr"/>
    </row>
    <row r="1061" ht="15" customHeight="1">
      <c r="A1061" t="inlineStr">
        <is>
          <t>A 33960-2022</t>
        </is>
      </c>
      <c r="B1061" s="1" t="n">
        <v>44790</v>
      </c>
      <c r="C1061" s="1" t="n">
        <v>45711</v>
      </c>
      <c r="D1061" t="inlineStr">
        <is>
          <t>VÄRMLANDS LÄN</t>
        </is>
      </c>
      <c r="E1061" t="inlineStr">
        <is>
          <t>TORSBY</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33958-2022</t>
        </is>
      </c>
      <c r="B1062" s="1" t="n">
        <v>44790</v>
      </c>
      <c r="C1062" s="1" t="n">
        <v>45711</v>
      </c>
      <c r="D1062" t="inlineStr">
        <is>
          <t>VÄRMLANDS LÄN</t>
        </is>
      </c>
      <c r="E1062" t="inlineStr">
        <is>
          <t>TORSBY</t>
        </is>
      </c>
      <c r="G1062" t="n">
        <v>13.2</v>
      </c>
      <c r="H1062" t="n">
        <v>0</v>
      </c>
      <c r="I1062" t="n">
        <v>0</v>
      </c>
      <c r="J1062" t="n">
        <v>0</v>
      </c>
      <c r="K1062" t="n">
        <v>0</v>
      </c>
      <c r="L1062" t="n">
        <v>0</v>
      </c>
      <c r="M1062" t="n">
        <v>0</v>
      </c>
      <c r="N1062" t="n">
        <v>0</v>
      </c>
      <c r="O1062" t="n">
        <v>0</v>
      </c>
      <c r="P1062" t="n">
        <v>0</v>
      </c>
      <c r="Q1062" t="n">
        <v>0</v>
      </c>
      <c r="R1062" s="2" t="inlineStr"/>
    </row>
    <row r="1063" ht="15" customHeight="1">
      <c r="A1063" t="inlineStr">
        <is>
          <t>A 33943-2022</t>
        </is>
      </c>
      <c r="B1063" s="1" t="n">
        <v>44790</v>
      </c>
      <c r="C1063" s="1" t="n">
        <v>45711</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33959-2022</t>
        </is>
      </c>
      <c r="B1064" s="1" t="n">
        <v>44790</v>
      </c>
      <c r="C1064" s="1" t="n">
        <v>45711</v>
      </c>
      <c r="D1064" t="inlineStr">
        <is>
          <t>VÄRMLANDS LÄN</t>
        </is>
      </c>
      <c r="E1064" t="inlineStr">
        <is>
          <t>TORSBY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34371-2022</t>
        </is>
      </c>
      <c r="B1065" s="1" t="n">
        <v>44792</v>
      </c>
      <c r="C1065" s="1" t="n">
        <v>45711</v>
      </c>
      <c r="D1065" t="inlineStr">
        <is>
          <t>VÄRMLANDS LÄN</t>
        </is>
      </c>
      <c r="E1065" t="inlineStr">
        <is>
          <t>TORSBY</t>
        </is>
      </c>
      <c r="F1065" t="inlineStr">
        <is>
          <t>Bergvik skog väst AB</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34378-2022</t>
        </is>
      </c>
      <c r="B1066" s="1" t="n">
        <v>44792</v>
      </c>
      <c r="C1066" s="1" t="n">
        <v>45711</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34434-2022</t>
        </is>
      </c>
      <c r="B1067" s="1" t="n">
        <v>44792</v>
      </c>
      <c r="C1067" s="1" t="n">
        <v>45711</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34440-2022</t>
        </is>
      </c>
      <c r="B1068" s="1" t="n">
        <v>44792</v>
      </c>
      <c r="C1068" s="1" t="n">
        <v>45711</v>
      </c>
      <c r="D1068" t="inlineStr">
        <is>
          <t>VÄRMLANDS LÄN</t>
        </is>
      </c>
      <c r="E1068" t="inlineStr">
        <is>
          <t>TORSBY</t>
        </is>
      </c>
      <c r="F1068" t="inlineStr">
        <is>
          <t>Bergvik skog väst AB</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34581-2022</t>
        </is>
      </c>
      <c r="B1069" s="1" t="n">
        <v>44792</v>
      </c>
      <c r="C1069" s="1" t="n">
        <v>45711</v>
      </c>
      <c r="D1069" t="inlineStr">
        <is>
          <t>VÄRMLANDS LÄN</t>
        </is>
      </c>
      <c r="E1069" t="inlineStr">
        <is>
          <t>TORSBY</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34568-2022</t>
        </is>
      </c>
      <c r="B1070" s="1" t="n">
        <v>44795</v>
      </c>
      <c r="C1070" s="1" t="n">
        <v>45711</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34662-2022</t>
        </is>
      </c>
      <c r="B1071" s="1" t="n">
        <v>44795</v>
      </c>
      <c r="C1071" s="1" t="n">
        <v>45711</v>
      </c>
      <c r="D1071" t="inlineStr">
        <is>
          <t>VÄRMLANDS LÄN</t>
        </is>
      </c>
      <c r="E1071" t="inlineStr">
        <is>
          <t>TORSBY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34667-2022</t>
        </is>
      </c>
      <c r="B1072" s="1" t="n">
        <v>44795</v>
      </c>
      <c r="C1072" s="1" t="n">
        <v>45711</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34655-2022</t>
        </is>
      </c>
      <c r="B1073" s="1" t="n">
        <v>44795</v>
      </c>
      <c r="C1073" s="1" t="n">
        <v>45711</v>
      </c>
      <c r="D1073" t="inlineStr">
        <is>
          <t>VÄRMLANDS LÄN</t>
        </is>
      </c>
      <c r="E1073" t="inlineStr">
        <is>
          <t>TORSBY</t>
        </is>
      </c>
      <c r="G1073" t="n">
        <v>12.8</v>
      </c>
      <c r="H1073" t="n">
        <v>0</v>
      </c>
      <c r="I1073" t="n">
        <v>0</v>
      </c>
      <c r="J1073" t="n">
        <v>0</v>
      </c>
      <c r="K1073" t="n">
        <v>0</v>
      </c>
      <c r="L1073" t="n">
        <v>0</v>
      </c>
      <c r="M1073" t="n">
        <v>0</v>
      </c>
      <c r="N1073" t="n">
        <v>0</v>
      </c>
      <c r="O1073" t="n">
        <v>0</v>
      </c>
      <c r="P1073" t="n">
        <v>0</v>
      </c>
      <c r="Q1073" t="n">
        <v>0</v>
      </c>
      <c r="R1073" s="2" t="inlineStr"/>
    </row>
    <row r="1074" ht="15" customHeight="1">
      <c r="A1074" t="inlineStr">
        <is>
          <t>A 34908-2022</t>
        </is>
      </c>
      <c r="B1074" s="1" t="n">
        <v>44796</v>
      </c>
      <c r="C1074" s="1" t="n">
        <v>45711</v>
      </c>
      <c r="D1074" t="inlineStr">
        <is>
          <t>VÄRMLANDS LÄN</t>
        </is>
      </c>
      <c r="E1074" t="inlineStr">
        <is>
          <t>TORSBY</t>
        </is>
      </c>
      <c r="F1074" t="inlineStr">
        <is>
          <t>Bergvik skog väst AB</t>
        </is>
      </c>
      <c r="G1074" t="n">
        <v>33.4</v>
      </c>
      <c r="H1074" t="n">
        <v>0</v>
      </c>
      <c r="I1074" t="n">
        <v>0</v>
      </c>
      <c r="J1074" t="n">
        <v>0</v>
      </c>
      <c r="K1074" t="n">
        <v>0</v>
      </c>
      <c r="L1074" t="n">
        <v>0</v>
      </c>
      <c r="M1074" t="n">
        <v>0</v>
      </c>
      <c r="N1074" t="n">
        <v>0</v>
      </c>
      <c r="O1074" t="n">
        <v>0</v>
      </c>
      <c r="P1074" t="n">
        <v>0</v>
      </c>
      <c r="Q1074" t="n">
        <v>0</v>
      </c>
      <c r="R1074" s="2" t="inlineStr"/>
    </row>
    <row r="1075" ht="15" customHeight="1">
      <c r="A1075" t="inlineStr">
        <is>
          <t>A 35134-2022</t>
        </is>
      </c>
      <c r="B1075" s="1" t="n">
        <v>44797</v>
      </c>
      <c r="C1075" s="1" t="n">
        <v>45711</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35132-2022</t>
        </is>
      </c>
      <c r="B1076" s="1" t="n">
        <v>44797</v>
      </c>
      <c r="C1076" s="1" t="n">
        <v>45711</v>
      </c>
      <c r="D1076" t="inlineStr">
        <is>
          <t>VÄRMLANDS LÄN</t>
        </is>
      </c>
      <c r="E1076" t="inlineStr">
        <is>
          <t>TORSBY</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35606-2022</t>
        </is>
      </c>
      <c r="B1077" s="1" t="n">
        <v>44799</v>
      </c>
      <c r="C1077" s="1" t="n">
        <v>45711</v>
      </c>
      <c r="D1077" t="inlineStr">
        <is>
          <t>VÄRMLANDS LÄN</t>
        </is>
      </c>
      <c r="E1077" t="inlineStr">
        <is>
          <t>TORSBY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35595-2022</t>
        </is>
      </c>
      <c r="B1078" s="1" t="n">
        <v>44799</v>
      </c>
      <c r="C1078" s="1" t="n">
        <v>45711</v>
      </c>
      <c r="D1078" t="inlineStr">
        <is>
          <t>VÄRMLANDS LÄN</t>
        </is>
      </c>
      <c r="E1078" t="inlineStr">
        <is>
          <t>TORSBY</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35724-2022</t>
        </is>
      </c>
      <c r="B1079" s="1" t="n">
        <v>44799</v>
      </c>
      <c r="C1079" s="1" t="n">
        <v>45711</v>
      </c>
      <c r="D1079" t="inlineStr">
        <is>
          <t>VÄRMLANDS LÄN</t>
        </is>
      </c>
      <c r="E1079" t="inlineStr">
        <is>
          <t>TORSBY</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35711-2022</t>
        </is>
      </c>
      <c r="B1080" s="1" t="n">
        <v>44799</v>
      </c>
      <c r="C1080" s="1" t="n">
        <v>45711</v>
      </c>
      <c r="D1080" t="inlineStr">
        <is>
          <t>VÄRMLANDS LÄN</t>
        </is>
      </c>
      <c r="E1080" t="inlineStr">
        <is>
          <t>TORSBY</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35851-2022</t>
        </is>
      </c>
      <c r="B1081" s="1" t="n">
        <v>44802</v>
      </c>
      <c r="C1081" s="1" t="n">
        <v>45711</v>
      </c>
      <c r="D1081" t="inlineStr">
        <is>
          <t>VÄRMLANDS LÄN</t>
        </is>
      </c>
      <c r="E1081" t="inlineStr">
        <is>
          <t>TORSBY</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36290-2022</t>
        </is>
      </c>
      <c r="B1082" s="1" t="n">
        <v>44803</v>
      </c>
      <c r="C1082" s="1" t="n">
        <v>45711</v>
      </c>
      <c r="D1082" t="inlineStr">
        <is>
          <t>VÄRMLANDS LÄN</t>
        </is>
      </c>
      <c r="E1082" t="inlineStr">
        <is>
          <t>TORSBY</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36318-2022</t>
        </is>
      </c>
      <c r="B1083" s="1" t="n">
        <v>44803</v>
      </c>
      <c r="C1083" s="1" t="n">
        <v>45711</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36514-2022</t>
        </is>
      </c>
      <c r="B1084" s="1" t="n">
        <v>44804</v>
      </c>
      <c r="C1084" s="1" t="n">
        <v>45711</v>
      </c>
      <c r="D1084" t="inlineStr">
        <is>
          <t>VÄRMLANDS LÄN</t>
        </is>
      </c>
      <c r="E1084" t="inlineStr">
        <is>
          <t>TORSBY</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36547-2022</t>
        </is>
      </c>
      <c r="B1085" s="1" t="n">
        <v>44804</v>
      </c>
      <c r="C1085" s="1" t="n">
        <v>45711</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36545-2022</t>
        </is>
      </c>
      <c r="B1086" s="1" t="n">
        <v>44804</v>
      </c>
      <c r="C1086" s="1" t="n">
        <v>45711</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36527-2022</t>
        </is>
      </c>
      <c r="B1087" s="1" t="n">
        <v>44804</v>
      </c>
      <c r="C1087" s="1" t="n">
        <v>45711</v>
      </c>
      <c r="D1087" t="inlineStr">
        <is>
          <t>VÄRMLANDS LÄN</t>
        </is>
      </c>
      <c r="E1087" t="inlineStr">
        <is>
          <t>TORSBY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36537-2022</t>
        </is>
      </c>
      <c r="B1088" s="1" t="n">
        <v>44804</v>
      </c>
      <c r="C1088" s="1" t="n">
        <v>45711</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36582-2022</t>
        </is>
      </c>
      <c r="B1089" s="1" t="n">
        <v>44804</v>
      </c>
      <c r="C1089" s="1" t="n">
        <v>45711</v>
      </c>
      <c r="D1089" t="inlineStr">
        <is>
          <t>VÄRMLANDS LÄN</t>
        </is>
      </c>
      <c r="E1089" t="inlineStr">
        <is>
          <t>TORSBY</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36562-2022</t>
        </is>
      </c>
      <c r="B1090" s="1" t="n">
        <v>44804</v>
      </c>
      <c r="C1090" s="1" t="n">
        <v>45711</v>
      </c>
      <c r="D1090" t="inlineStr">
        <is>
          <t>VÄRMLANDS LÄN</t>
        </is>
      </c>
      <c r="E1090" t="inlineStr">
        <is>
          <t>TORSBY</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36572-2022</t>
        </is>
      </c>
      <c r="B1091" s="1" t="n">
        <v>44804</v>
      </c>
      <c r="C1091" s="1" t="n">
        <v>45711</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36587-2022</t>
        </is>
      </c>
      <c r="B1092" s="1" t="n">
        <v>44804</v>
      </c>
      <c r="C1092" s="1" t="n">
        <v>45711</v>
      </c>
      <c r="D1092" t="inlineStr">
        <is>
          <t>VÄRMLANDS LÄN</t>
        </is>
      </c>
      <c r="E1092" t="inlineStr">
        <is>
          <t>TORSBY</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37148-2022</t>
        </is>
      </c>
      <c r="B1093" s="1" t="n">
        <v>44806</v>
      </c>
      <c r="C1093" s="1" t="n">
        <v>45711</v>
      </c>
      <c r="D1093" t="inlineStr">
        <is>
          <t>VÄRMLANDS LÄN</t>
        </is>
      </c>
      <c r="E1093" t="inlineStr">
        <is>
          <t>TORSBY</t>
        </is>
      </c>
      <c r="F1093" t="inlineStr">
        <is>
          <t>Kommuner</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37279-2022</t>
        </is>
      </c>
      <c r="B1094" s="1" t="n">
        <v>44807</v>
      </c>
      <c r="C1094" s="1" t="n">
        <v>45711</v>
      </c>
      <c r="D1094" t="inlineStr">
        <is>
          <t>VÄRMLANDS LÄN</t>
        </is>
      </c>
      <c r="E1094" t="inlineStr">
        <is>
          <t>TORSBY</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37401-2022</t>
        </is>
      </c>
      <c r="B1095" s="1" t="n">
        <v>44809</v>
      </c>
      <c r="C1095" s="1" t="n">
        <v>45711</v>
      </c>
      <c r="D1095" t="inlineStr">
        <is>
          <t>VÄRMLANDS LÄN</t>
        </is>
      </c>
      <c r="E1095" t="inlineStr">
        <is>
          <t>TORSBY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37449-2022</t>
        </is>
      </c>
      <c r="B1096" s="1" t="n">
        <v>44809</v>
      </c>
      <c r="C1096" s="1" t="n">
        <v>45711</v>
      </c>
      <c r="D1096" t="inlineStr">
        <is>
          <t>VÄRMLANDS LÄN</t>
        </is>
      </c>
      <c r="E1096" t="inlineStr">
        <is>
          <t>TORSBY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37340-2022</t>
        </is>
      </c>
      <c r="B1097" s="1" t="n">
        <v>44809</v>
      </c>
      <c r="C1097" s="1" t="n">
        <v>45711</v>
      </c>
      <c r="D1097" t="inlineStr">
        <is>
          <t>VÄRMLANDS LÄN</t>
        </is>
      </c>
      <c r="E1097" t="inlineStr">
        <is>
          <t>TORSBY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37752-2022</t>
        </is>
      </c>
      <c r="B1098" s="1" t="n">
        <v>44810</v>
      </c>
      <c r="C1098" s="1" t="n">
        <v>45711</v>
      </c>
      <c r="D1098" t="inlineStr">
        <is>
          <t>VÄRMLANDS LÄN</t>
        </is>
      </c>
      <c r="E1098" t="inlineStr">
        <is>
          <t>TORSBY</t>
        </is>
      </c>
      <c r="F1098" t="inlineStr">
        <is>
          <t>Kyrkan</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37814-2022</t>
        </is>
      </c>
      <c r="B1099" s="1" t="n">
        <v>44810</v>
      </c>
      <c r="C1099" s="1" t="n">
        <v>45711</v>
      </c>
      <c r="D1099" t="inlineStr">
        <is>
          <t>VÄRMLANDS LÄN</t>
        </is>
      </c>
      <c r="E1099" t="inlineStr">
        <is>
          <t>TORSBY</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37754-2022</t>
        </is>
      </c>
      <c r="B1100" s="1" t="n">
        <v>44810</v>
      </c>
      <c r="C1100" s="1" t="n">
        <v>45711</v>
      </c>
      <c r="D1100" t="inlineStr">
        <is>
          <t>VÄRMLANDS LÄN</t>
        </is>
      </c>
      <c r="E1100" t="inlineStr">
        <is>
          <t>TORSBY</t>
        </is>
      </c>
      <c r="F1100" t="inlineStr">
        <is>
          <t>Kyrkan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37913-2022</t>
        </is>
      </c>
      <c r="B1101" s="1" t="n">
        <v>44811</v>
      </c>
      <c r="C1101" s="1" t="n">
        <v>45711</v>
      </c>
      <c r="D1101" t="inlineStr">
        <is>
          <t>VÄRMLANDS LÄN</t>
        </is>
      </c>
      <c r="E1101" t="inlineStr">
        <is>
          <t>TORSBY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37929-2022</t>
        </is>
      </c>
      <c r="B1102" s="1" t="n">
        <v>44811</v>
      </c>
      <c r="C1102" s="1" t="n">
        <v>45711</v>
      </c>
      <c r="D1102" t="inlineStr">
        <is>
          <t>VÄRMLANDS LÄN</t>
        </is>
      </c>
      <c r="E1102" t="inlineStr">
        <is>
          <t>TORSBY</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37917-2022</t>
        </is>
      </c>
      <c r="B1103" s="1" t="n">
        <v>44811</v>
      </c>
      <c r="C1103" s="1" t="n">
        <v>45711</v>
      </c>
      <c r="D1103" t="inlineStr">
        <is>
          <t>VÄRMLANDS LÄN</t>
        </is>
      </c>
      <c r="E1103" t="inlineStr">
        <is>
          <t>TORSBY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37937-2022</t>
        </is>
      </c>
      <c r="B1104" s="1" t="n">
        <v>44811</v>
      </c>
      <c r="C1104" s="1" t="n">
        <v>45711</v>
      </c>
      <c r="D1104" t="inlineStr">
        <is>
          <t>VÄRMLANDS LÄN</t>
        </is>
      </c>
      <c r="E1104" t="inlineStr">
        <is>
          <t>TORSBY</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37985-2022</t>
        </is>
      </c>
      <c r="B1105" s="1" t="n">
        <v>44811</v>
      </c>
      <c r="C1105" s="1" t="n">
        <v>45711</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38033-2022</t>
        </is>
      </c>
      <c r="B1106" s="1" t="n">
        <v>44811</v>
      </c>
      <c r="C1106" s="1" t="n">
        <v>45711</v>
      </c>
      <c r="D1106" t="inlineStr">
        <is>
          <t>VÄRMLANDS LÄN</t>
        </is>
      </c>
      <c r="E1106" t="inlineStr">
        <is>
          <t>TORSBY</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38200-2022</t>
        </is>
      </c>
      <c r="B1107" s="1" t="n">
        <v>44812</v>
      </c>
      <c r="C1107" s="1" t="n">
        <v>45711</v>
      </c>
      <c r="D1107" t="inlineStr">
        <is>
          <t>VÄRMLANDS LÄN</t>
        </is>
      </c>
      <c r="E1107" t="inlineStr">
        <is>
          <t>TORSBY</t>
        </is>
      </c>
      <c r="F1107" t="inlineStr">
        <is>
          <t>Bergvik skog väst AB</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38179-2022</t>
        </is>
      </c>
      <c r="B1108" s="1" t="n">
        <v>44812</v>
      </c>
      <c r="C1108" s="1" t="n">
        <v>45711</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38378-2022</t>
        </is>
      </c>
      <c r="B1109" s="1" t="n">
        <v>44812</v>
      </c>
      <c r="C1109" s="1" t="n">
        <v>45711</v>
      </c>
      <c r="D1109" t="inlineStr">
        <is>
          <t>VÄRMLANDS LÄN</t>
        </is>
      </c>
      <c r="E1109" t="inlineStr">
        <is>
          <t>TORSBY</t>
        </is>
      </c>
      <c r="F1109" t="inlineStr">
        <is>
          <t>Bergvik skog väst AB</t>
        </is>
      </c>
      <c r="G1109" t="n">
        <v>8.6</v>
      </c>
      <c r="H1109" t="n">
        <v>0</v>
      </c>
      <c r="I1109" t="n">
        <v>0</v>
      </c>
      <c r="J1109" t="n">
        <v>0</v>
      </c>
      <c r="K1109" t="n">
        <v>0</v>
      </c>
      <c r="L1109" t="n">
        <v>0</v>
      </c>
      <c r="M1109" t="n">
        <v>0</v>
      </c>
      <c r="N1109" t="n">
        <v>0</v>
      </c>
      <c r="O1109" t="n">
        <v>0</v>
      </c>
      <c r="P1109" t="n">
        <v>0</v>
      </c>
      <c r="Q1109" t="n">
        <v>0</v>
      </c>
      <c r="R1109" s="2" t="inlineStr"/>
    </row>
    <row r="1110" ht="15" customHeight="1">
      <c r="A1110" t="inlineStr">
        <is>
          <t>A 38486-2022</t>
        </is>
      </c>
      <c r="B1110" s="1" t="n">
        <v>44813</v>
      </c>
      <c r="C1110" s="1" t="n">
        <v>45711</v>
      </c>
      <c r="D1110" t="inlineStr">
        <is>
          <t>VÄRMLANDS LÄN</t>
        </is>
      </c>
      <c r="E1110" t="inlineStr">
        <is>
          <t>TORSBY</t>
        </is>
      </c>
      <c r="F1110" t="inlineStr">
        <is>
          <t>Bergvik skog väst AB</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38699-2022</t>
        </is>
      </c>
      <c r="B1111" s="1" t="n">
        <v>44814</v>
      </c>
      <c r="C1111" s="1" t="n">
        <v>45711</v>
      </c>
      <c r="D1111" t="inlineStr">
        <is>
          <t>VÄRMLANDS LÄN</t>
        </is>
      </c>
      <c r="E1111" t="inlineStr">
        <is>
          <t>TORSBY</t>
        </is>
      </c>
      <c r="F1111" t="inlineStr">
        <is>
          <t>Bergvik skog väst AB</t>
        </is>
      </c>
      <c r="G1111" t="n">
        <v>22.6</v>
      </c>
      <c r="H1111" t="n">
        <v>0</v>
      </c>
      <c r="I1111" t="n">
        <v>0</v>
      </c>
      <c r="J1111" t="n">
        <v>0</v>
      </c>
      <c r="K1111" t="n">
        <v>0</v>
      </c>
      <c r="L1111" t="n">
        <v>0</v>
      </c>
      <c r="M1111" t="n">
        <v>0</v>
      </c>
      <c r="N1111" t="n">
        <v>0</v>
      </c>
      <c r="O1111" t="n">
        <v>0</v>
      </c>
      <c r="P1111" t="n">
        <v>0</v>
      </c>
      <c r="Q1111" t="n">
        <v>0</v>
      </c>
      <c r="R1111" s="2" t="inlineStr"/>
    </row>
    <row r="1112" ht="15" customHeight="1">
      <c r="A1112" t="inlineStr">
        <is>
          <t>A 38882-2022</t>
        </is>
      </c>
      <c r="B1112" s="1" t="n">
        <v>44816</v>
      </c>
      <c r="C1112" s="1" t="n">
        <v>45711</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38914-2022</t>
        </is>
      </c>
      <c r="B1113" s="1" t="n">
        <v>44816</v>
      </c>
      <c r="C1113" s="1" t="n">
        <v>45711</v>
      </c>
      <c r="D1113" t="inlineStr">
        <is>
          <t>VÄRMLANDS LÄN</t>
        </is>
      </c>
      <c r="E1113" t="inlineStr">
        <is>
          <t>TORSBY</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39069-2022</t>
        </is>
      </c>
      <c r="B1114" s="1" t="n">
        <v>44816</v>
      </c>
      <c r="C1114" s="1" t="n">
        <v>45711</v>
      </c>
      <c r="D1114" t="inlineStr">
        <is>
          <t>VÄRMLANDS LÄN</t>
        </is>
      </c>
      <c r="E1114" t="inlineStr">
        <is>
          <t>TORSBY</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39186-2022</t>
        </is>
      </c>
      <c r="B1115" s="1" t="n">
        <v>44817</v>
      </c>
      <c r="C1115" s="1" t="n">
        <v>45711</v>
      </c>
      <c r="D1115" t="inlineStr">
        <is>
          <t>VÄRMLANDS LÄN</t>
        </is>
      </c>
      <c r="E1115" t="inlineStr">
        <is>
          <t>TORSBY</t>
        </is>
      </c>
      <c r="F1115" t="inlineStr">
        <is>
          <t>Bergvik skog väst AB</t>
        </is>
      </c>
      <c r="G1115" t="n">
        <v>20.3</v>
      </c>
      <c r="H1115" t="n">
        <v>0</v>
      </c>
      <c r="I1115" t="n">
        <v>0</v>
      </c>
      <c r="J1115" t="n">
        <v>0</v>
      </c>
      <c r="K1115" t="n">
        <v>0</v>
      </c>
      <c r="L1115" t="n">
        <v>0</v>
      </c>
      <c r="M1115" t="n">
        <v>0</v>
      </c>
      <c r="N1115" t="n">
        <v>0</v>
      </c>
      <c r="O1115" t="n">
        <v>0</v>
      </c>
      <c r="P1115" t="n">
        <v>0</v>
      </c>
      <c r="Q1115" t="n">
        <v>0</v>
      </c>
      <c r="R1115" s="2" t="inlineStr"/>
    </row>
    <row r="1116" ht="15" customHeight="1">
      <c r="A1116" t="inlineStr">
        <is>
          <t>A 39216-2022</t>
        </is>
      </c>
      <c r="B1116" s="1" t="n">
        <v>44817</v>
      </c>
      <c r="C1116" s="1" t="n">
        <v>45711</v>
      </c>
      <c r="D1116" t="inlineStr">
        <is>
          <t>VÄRMLANDS LÄN</t>
        </is>
      </c>
      <c r="E1116" t="inlineStr">
        <is>
          <t>TORSBY</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39215-2022</t>
        </is>
      </c>
      <c r="B1117" s="1" t="n">
        <v>44817</v>
      </c>
      <c r="C1117" s="1" t="n">
        <v>45711</v>
      </c>
      <c r="D1117" t="inlineStr">
        <is>
          <t>VÄRMLANDS LÄN</t>
        </is>
      </c>
      <c r="E1117" t="inlineStr">
        <is>
          <t>TORSBY</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39221-2022</t>
        </is>
      </c>
      <c r="B1118" s="1" t="n">
        <v>44817</v>
      </c>
      <c r="C1118" s="1" t="n">
        <v>45711</v>
      </c>
      <c r="D1118" t="inlineStr">
        <is>
          <t>VÄRMLANDS LÄN</t>
        </is>
      </c>
      <c r="E1118" t="inlineStr">
        <is>
          <t>TORSBY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39217-2022</t>
        </is>
      </c>
      <c r="B1119" s="1" t="n">
        <v>44817</v>
      </c>
      <c r="C1119" s="1" t="n">
        <v>45711</v>
      </c>
      <c r="D1119" t="inlineStr">
        <is>
          <t>VÄRMLANDS LÄN</t>
        </is>
      </c>
      <c r="E1119" t="inlineStr">
        <is>
          <t>TORSBY</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39781-2022</t>
        </is>
      </c>
      <c r="B1120" s="1" t="n">
        <v>44819</v>
      </c>
      <c r="C1120" s="1" t="n">
        <v>45711</v>
      </c>
      <c r="D1120" t="inlineStr">
        <is>
          <t>VÄRMLANDS LÄN</t>
        </is>
      </c>
      <c r="E1120" t="inlineStr">
        <is>
          <t>TORSBY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39780-2022</t>
        </is>
      </c>
      <c r="B1121" s="1" t="n">
        <v>44819</v>
      </c>
      <c r="C1121" s="1" t="n">
        <v>45711</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40009-2022</t>
        </is>
      </c>
      <c r="B1122" s="1" t="n">
        <v>44820</v>
      </c>
      <c r="C1122" s="1" t="n">
        <v>45711</v>
      </c>
      <c r="D1122" t="inlineStr">
        <is>
          <t>VÄRMLANDS LÄN</t>
        </is>
      </c>
      <c r="E1122" t="inlineStr">
        <is>
          <t>TORSBY</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40036-2022</t>
        </is>
      </c>
      <c r="B1123" s="1" t="n">
        <v>44820</v>
      </c>
      <c r="C1123" s="1" t="n">
        <v>45711</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40221-2022</t>
        </is>
      </c>
      <c r="B1124" s="1" t="n">
        <v>44820</v>
      </c>
      <c r="C1124" s="1" t="n">
        <v>45711</v>
      </c>
      <c r="D1124" t="inlineStr">
        <is>
          <t>VÄRMLANDS LÄN</t>
        </is>
      </c>
      <c r="E1124" t="inlineStr">
        <is>
          <t>TORSBY</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40353-2022</t>
        </is>
      </c>
      <c r="B1125" s="1" t="n">
        <v>44823</v>
      </c>
      <c r="C1125" s="1" t="n">
        <v>45711</v>
      </c>
      <c r="D1125" t="inlineStr">
        <is>
          <t>VÄRMLANDS LÄN</t>
        </is>
      </c>
      <c r="E1125" t="inlineStr">
        <is>
          <t>TORSBY</t>
        </is>
      </c>
      <c r="F1125" t="inlineStr">
        <is>
          <t>Bergvik skog väst AB</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41264-2022</t>
        </is>
      </c>
      <c r="B1126" s="1" t="n">
        <v>44823</v>
      </c>
      <c r="C1126" s="1" t="n">
        <v>45711</v>
      </c>
      <c r="D1126" t="inlineStr">
        <is>
          <t>VÄRMLANDS LÄN</t>
        </is>
      </c>
      <c r="E1126" t="inlineStr">
        <is>
          <t>TORSBY</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41295-2022</t>
        </is>
      </c>
      <c r="B1127" s="1" t="n">
        <v>44823</v>
      </c>
      <c r="C1127" s="1" t="n">
        <v>45711</v>
      </c>
      <c r="D1127" t="inlineStr">
        <is>
          <t>VÄRMLANDS LÄN</t>
        </is>
      </c>
      <c r="E1127" t="inlineStr">
        <is>
          <t>TORSBY</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40718-2022</t>
        </is>
      </c>
      <c r="B1128" s="1" t="n">
        <v>44824</v>
      </c>
      <c r="C1128" s="1" t="n">
        <v>45711</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40788-2022</t>
        </is>
      </c>
      <c r="B1129" s="1" t="n">
        <v>44824</v>
      </c>
      <c r="C1129" s="1" t="n">
        <v>45711</v>
      </c>
      <c r="D1129" t="inlineStr">
        <is>
          <t>VÄRMLANDS LÄN</t>
        </is>
      </c>
      <c r="E1129" t="inlineStr">
        <is>
          <t>TORSBY</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40997-2022</t>
        </is>
      </c>
      <c r="B1130" s="1" t="n">
        <v>44825</v>
      </c>
      <c r="C1130" s="1" t="n">
        <v>45711</v>
      </c>
      <c r="D1130" t="inlineStr">
        <is>
          <t>VÄRMLANDS LÄN</t>
        </is>
      </c>
      <c r="E1130" t="inlineStr">
        <is>
          <t>TORSBY</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41065-2022</t>
        </is>
      </c>
      <c r="B1131" s="1" t="n">
        <v>44825</v>
      </c>
      <c r="C1131" s="1" t="n">
        <v>45711</v>
      </c>
      <c r="D1131" t="inlineStr">
        <is>
          <t>VÄRMLANDS LÄN</t>
        </is>
      </c>
      <c r="E1131" t="inlineStr">
        <is>
          <t>TORSBY</t>
        </is>
      </c>
      <c r="F1131" t="inlineStr">
        <is>
          <t>Kommuner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41130-2022</t>
        </is>
      </c>
      <c r="B1132" s="1" t="n">
        <v>44825</v>
      </c>
      <c r="C1132" s="1" t="n">
        <v>45711</v>
      </c>
      <c r="D1132" t="inlineStr">
        <is>
          <t>VÄRMLANDS LÄN</t>
        </is>
      </c>
      <c r="E1132" t="inlineStr">
        <is>
          <t>TORSBY</t>
        </is>
      </c>
      <c r="F1132" t="inlineStr">
        <is>
          <t>Kyrkan</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41315-2022</t>
        </is>
      </c>
      <c r="B1133" s="1" t="n">
        <v>44826</v>
      </c>
      <c r="C1133" s="1" t="n">
        <v>45711</v>
      </c>
      <c r="D1133" t="inlineStr">
        <is>
          <t>VÄRMLANDS LÄN</t>
        </is>
      </c>
      <c r="E1133" t="inlineStr">
        <is>
          <t>TORSBY</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41322-2022</t>
        </is>
      </c>
      <c r="B1134" s="1" t="n">
        <v>44826</v>
      </c>
      <c r="C1134" s="1" t="n">
        <v>45711</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41781-2022</t>
        </is>
      </c>
      <c r="B1135" s="1" t="n">
        <v>44827</v>
      </c>
      <c r="C1135" s="1" t="n">
        <v>45711</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41675-2022</t>
        </is>
      </c>
      <c r="B1136" s="1" t="n">
        <v>44827</v>
      </c>
      <c r="C1136" s="1" t="n">
        <v>45711</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41590-2022</t>
        </is>
      </c>
      <c r="B1137" s="1" t="n">
        <v>44827</v>
      </c>
      <c r="C1137" s="1" t="n">
        <v>45711</v>
      </c>
      <c r="D1137" t="inlineStr">
        <is>
          <t>VÄRMLANDS LÄN</t>
        </is>
      </c>
      <c r="E1137" t="inlineStr">
        <is>
          <t>TORSBY</t>
        </is>
      </c>
      <c r="F1137" t="inlineStr">
        <is>
          <t>Bergvik skog väst AB</t>
        </is>
      </c>
      <c r="G1137" t="n">
        <v>42.5</v>
      </c>
      <c r="H1137" t="n">
        <v>0</v>
      </c>
      <c r="I1137" t="n">
        <v>0</v>
      </c>
      <c r="J1137" t="n">
        <v>0</v>
      </c>
      <c r="K1137" t="n">
        <v>0</v>
      </c>
      <c r="L1137" t="n">
        <v>0</v>
      </c>
      <c r="M1137" t="n">
        <v>0</v>
      </c>
      <c r="N1137" t="n">
        <v>0</v>
      </c>
      <c r="O1137" t="n">
        <v>0</v>
      </c>
      <c r="P1137" t="n">
        <v>0</v>
      </c>
      <c r="Q1137" t="n">
        <v>0</v>
      </c>
      <c r="R1137" s="2" t="inlineStr"/>
    </row>
    <row r="1138" ht="15" customHeight="1">
      <c r="A1138" t="inlineStr">
        <is>
          <t>A 41995-2022</t>
        </is>
      </c>
      <c r="B1138" s="1" t="n">
        <v>44830</v>
      </c>
      <c r="C1138" s="1" t="n">
        <v>45711</v>
      </c>
      <c r="D1138" t="inlineStr">
        <is>
          <t>VÄRMLANDS LÄN</t>
        </is>
      </c>
      <c r="E1138" t="inlineStr">
        <is>
          <t>TORSBY</t>
        </is>
      </c>
      <c r="F1138" t="inlineStr">
        <is>
          <t>Bergvik skog väst AB</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42588-2022</t>
        </is>
      </c>
      <c r="B1139" s="1" t="n">
        <v>44831</v>
      </c>
      <c r="C1139" s="1" t="n">
        <v>45711</v>
      </c>
      <c r="D1139" t="inlineStr">
        <is>
          <t>VÄRMLANDS LÄN</t>
        </is>
      </c>
      <c r="E1139" t="inlineStr">
        <is>
          <t>TORSBY</t>
        </is>
      </c>
      <c r="F1139" t="inlineStr">
        <is>
          <t>Bergvik skog väst AB</t>
        </is>
      </c>
      <c r="G1139" t="n">
        <v>41.4</v>
      </c>
      <c r="H1139" t="n">
        <v>0</v>
      </c>
      <c r="I1139" t="n">
        <v>0</v>
      </c>
      <c r="J1139" t="n">
        <v>0</v>
      </c>
      <c r="K1139" t="n">
        <v>0</v>
      </c>
      <c r="L1139" t="n">
        <v>0</v>
      </c>
      <c r="M1139" t="n">
        <v>0</v>
      </c>
      <c r="N1139" t="n">
        <v>0</v>
      </c>
      <c r="O1139" t="n">
        <v>0</v>
      </c>
      <c r="P1139" t="n">
        <v>0</v>
      </c>
      <c r="Q1139" t="n">
        <v>0</v>
      </c>
      <c r="R1139" s="2" t="inlineStr"/>
    </row>
    <row r="1140" ht="15" customHeight="1">
      <c r="A1140" t="inlineStr">
        <is>
          <t>A 42784-2022</t>
        </is>
      </c>
      <c r="B1140" s="1" t="n">
        <v>44832</v>
      </c>
      <c r="C1140" s="1" t="n">
        <v>45711</v>
      </c>
      <c r="D1140" t="inlineStr">
        <is>
          <t>VÄRMLANDS LÄN</t>
        </is>
      </c>
      <c r="E1140" t="inlineStr">
        <is>
          <t>TORSBY</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42701-2022</t>
        </is>
      </c>
      <c r="B1141" s="1" t="n">
        <v>44832</v>
      </c>
      <c r="C1141" s="1" t="n">
        <v>45711</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43022-2022</t>
        </is>
      </c>
      <c r="B1142" s="1" t="n">
        <v>44833</v>
      </c>
      <c r="C1142" s="1" t="n">
        <v>45711</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43111-2022</t>
        </is>
      </c>
      <c r="B1143" s="1" t="n">
        <v>44833</v>
      </c>
      <c r="C1143" s="1" t="n">
        <v>45711</v>
      </c>
      <c r="D1143" t="inlineStr">
        <is>
          <t>VÄRMLANDS LÄN</t>
        </is>
      </c>
      <c r="E1143" t="inlineStr">
        <is>
          <t>TORSBY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43248-2022</t>
        </is>
      </c>
      <c r="B1144" s="1" t="n">
        <v>44834</v>
      </c>
      <c r="C1144" s="1" t="n">
        <v>45711</v>
      </c>
      <c r="D1144" t="inlineStr">
        <is>
          <t>VÄRMLANDS LÄN</t>
        </is>
      </c>
      <c r="E1144" t="inlineStr">
        <is>
          <t>TORSBY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43289-2022</t>
        </is>
      </c>
      <c r="B1145" s="1" t="n">
        <v>44834</v>
      </c>
      <c r="C1145" s="1" t="n">
        <v>45711</v>
      </c>
      <c r="D1145" t="inlineStr">
        <is>
          <t>VÄRMLANDS LÄN</t>
        </is>
      </c>
      <c r="E1145" t="inlineStr">
        <is>
          <t>TORSBY</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43465-2022</t>
        </is>
      </c>
      <c r="B1146" s="1" t="n">
        <v>44836</v>
      </c>
      <c r="C1146" s="1" t="n">
        <v>45711</v>
      </c>
      <c r="D1146" t="inlineStr">
        <is>
          <t>VÄRMLANDS LÄN</t>
        </is>
      </c>
      <c r="E1146" t="inlineStr">
        <is>
          <t>TORSBY</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43943-2022</t>
        </is>
      </c>
      <c r="B1147" s="1" t="n">
        <v>44838</v>
      </c>
      <c r="C1147" s="1" t="n">
        <v>45711</v>
      </c>
      <c r="D1147" t="inlineStr">
        <is>
          <t>VÄRMLANDS LÄN</t>
        </is>
      </c>
      <c r="E1147" t="inlineStr">
        <is>
          <t>TORSBY</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43989-2022</t>
        </is>
      </c>
      <c r="B1148" s="1" t="n">
        <v>44838</v>
      </c>
      <c r="C1148" s="1" t="n">
        <v>45711</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44214-2022</t>
        </is>
      </c>
      <c r="B1149" s="1" t="n">
        <v>44838</v>
      </c>
      <c r="C1149" s="1" t="n">
        <v>45711</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44340-2022</t>
        </is>
      </c>
      <c r="B1150" s="1" t="n">
        <v>44838</v>
      </c>
      <c r="C1150" s="1" t="n">
        <v>45711</v>
      </c>
      <c r="D1150" t="inlineStr">
        <is>
          <t>VÄRMLANDS LÄN</t>
        </is>
      </c>
      <c r="E1150" t="inlineStr">
        <is>
          <t>TORSBY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44170-2022</t>
        </is>
      </c>
      <c r="B1151" s="1" t="n">
        <v>44838</v>
      </c>
      <c r="C1151" s="1" t="n">
        <v>45711</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44149-2022</t>
        </is>
      </c>
      <c r="B1152" s="1" t="n">
        <v>44839</v>
      </c>
      <c r="C1152" s="1" t="n">
        <v>45711</v>
      </c>
      <c r="D1152" t="inlineStr">
        <is>
          <t>VÄRMLANDS LÄN</t>
        </is>
      </c>
      <c r="E1152" t="inlineStr">
        <is>
          <t>TORSBY</t>
        </is>
      </c>
      <c r="F1152" t="inlineStr">
        <is>
          <t>Bergvik skog väst AB</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44196-2022</t>
        </is>
      </c>
      <c r="B1153" s="1" t="n">
        <v>44839</v>
      </c>
      <c r="C1153" s="1" t="n">
        <v>45711</v>
      </c>
      <c r="D1153" t="inlineStr">
        <is>
          <t>VÄRMLANDS LÄN</t>
        </is>
      </c>
      <c r="E1153" t="inlineStr">
        <is>
          <t>TORSBY</t>
        </is>
      </c>
      <c r="F1153" t="inlineStr">
        <is>
          <t>Bergvik skog väst AB</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44327-2022</t>
        </is>
      </c>
      <c r="B1154" s="1" t="n">
        <v>44839</v>
      </c>
      <c r="C1154" s="1" t="n">
        <v>45711</v>
      </c>
      <c r="D1154" t="inlineStr">
        <is>
          <t>VÄRMLANDS LÄN</t>
        </is>
      </c>
      <c r="E1154" t="inlineStr">
        <is>
          <t>TORSBY</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44841-2022</t>
        </is>
      </c>
      <c r="B1155" s="1" t="n">
        <v>44839</v>
      </c>
      <c r="C1155" s="1" t="n">
        <v>45711</v>
      </c>
      <c r="D1155" t="inlineStr">
        <is>
          <t>VÄRMLANDS LÄN</t>
        </is>
      </c>
      <c r="E1155" t="inlineStr">
        <is>
          <t>TORSBY</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44879-2022</t>
        </is>
      </c>
      <c r="B1156" s="1" t="n">
        <v>44839</v>
      </c>
      <c r="C1156" s="1" t="n">
        <v>45711</v>
      </c>
      <c r="D1156" t="inlineStr">
        <is>
          <t>VÄRMLANDS LÄN</t>
        </is>
      </c>
      <c r="E1156" t="inlineStr">
        <is>
          <t>TORSBY</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44498-2022</t>
        </is>
      </c>
      <c r="B1157" s="1" t="n">
        <v>44840</v>
      </c>
      <c r="C1157" s="1" t="n">
        <v>45711</v>
      </c>
      <c r="D1157" t="inlineStr">
        <is>
          <t>VÄRMLANDS LÄN</t>
        </is>
      </c>
      <c r="E1157" t="inlineStr">
        <is>
          <t>TORSBY</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44516-2022</t>
        </is>
      </c>
      <c r="B1158" s="1" t="n">
        <v>44840</v>
      </c>
      <c r="C1158" s="1" t="n">
        <v>45711</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44517-2022</t>
        </is>
      </c>
      <c r="B1159" s="1" t="n">
        <v>44840</v>
      </c>
      <c r="C1159" s="1" t="n">
        <v>45711</v>
      </c>
      <c r="D1159" t="inlineStr">
        <is>
          <t>VÄRMLANDS LÄN</t>
        </is>
      </c>
      <c r="E1159" t="inlineStr">
        <is>
          <t>TORSBY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44532-2022</t>
        </is>
      </c>
      <c r="B1160" s="1" t="n">
        <v>44840</v>
      </c>
      <c r="C1160" s="1" t="n">
        <v>45711</v>
      </c>
      <c r="D1160" t="inlineStr">
        <is>
          <t>VÄRMLANDS LÄN</t>
        </is>
      </c>
      <c r="E1160" t="inlineStr">
        <is>
          <t>TORSBY</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44708-2022</t>
        </is>
      </c>
      <c r="B1161" s="1" t="n">
        <v>44840</v>
      </c>
      <c r="C1161" s="1" t="n">
        <v>45711</v>
      </c>
      <c r="D1161" t="inlineStr">
        <is>
          <t>VÄRMLANDS LÄN</t>
        </is>
      </c>
      <c r="E1161" t="inlineStr">
        <is>
          <t>TORSBY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45056-2022</t>
        </is>
      </c>
      <c r="B1162" s="1" t="n">
        <v>44841</v>
      </c>
      <c r="C1162" s="1" t="n">
        <v>45711</v>
      </c>
      <c r="D1162" t="inlineStr">
        <is>
          <t>VÄRMLANDS LÄN</t>
        </is>
      </c>
      <c r="E1162" t="inlineStr">
        <is>
          <t>TORSBY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45303-2022</t>
        </is>
      </c>
      <c r="B1163" s="1" t="n">
        <v>44844</v>
      </c>
      <c r="C1163" s="1" t="n">
        <v>45711</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45368-2022</t>
        </is>
      </c>
      <c r="B1164" s="1" t="n">
        <v>44844</v>
      </c>
      <c r="C1164" s="1" t="n">
        <v>45711</v>
      </c>
      <c r="D1164" t="inlineStr">
        <is>
          <t>VÄRMLANDS LÄN</t>
        </is>
      </c>
      <c r="E1164" t="inlineStr">
        <is>
          <t>TORSBY</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45328-2022</t>
        </is>
      </c>
      <c r="B1165" s="1" t="n">
        <v>44844</v>
      </c>
      <c r="C1165" s="1" t="n">
        <v>45711</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45325-2022</t>
        </is>
      </c>
      <c r="B1166" s="1" t="n">
        <v>44844</v>
      </c>
      <c r="C1166" s="1" t="n">
        <v>45711</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45369-2022</t>
        </is>
      </c>
      <c r="B1167" s="1" t="n">
        <v>44844</v>
      </c>
      <c r="C1167" s="1" t="n">
        <v>45711</v>
      </c>
      <c r="D1167" t="inlineStr">
        <is>
          <t>VÄRMLANDS LÄN</t>
        </is>
      </c>
      <c r="E1167" t="inlineStr">
        <is>
          <t>TORSBY</t>
        </is>
      </c>
      <c r="F1167" t="inlineStr">
        <is>
          <t>Bergvik skog väst AB</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45809-2022</t>
        </is>
      </c>
      <c r="B1168" s="1" t="n">
        <v>44844</v>
      </c>
      <c r="C1168" s="1" t="n">
        <v>45711</v>
      </c>
      <c r="D1168" t="inlineStr">
        <is>
          <t>VÄRMLANDS LÄN</t>
        </is>
      </c>
      <c r="E1168" t="inlineStr">
        <is>
          <t>TORSBY</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45666-2022</t>
        </is>
      </c>
      <c r="B1169" s="1" t="n">
        <v>44845</v>
      </c>
      <c r="C1169" s="1" t="n">
        <v>45711</v>
      </c>
      <c r="D1169" t="inlineStr">
        <is>
          <t>VÄRMLANDS LÄN</t>
        </is>
      </c>
      <c r="E1169" t="inlineStr">
        <is>
          <t>TORSBY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46551-2022</t>
        </is>
      </c>
      <c r="B1170" s="1" t="n">
        <v>44848</v>
      </c>
      <c r="C1170" s="1" t="n">
        <v>45711</v>
      </c>
      <c r="D1170" t="inlineStr">
        <is>
          <t>VÄRMLANDS LÄN</t>
        </is>
      </c>
      <c r="E1170" t="inlineStr">
        <is>
          <t>TORSBY</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47167-2022</t>
        </is>
      </c>
      <c r="B1171" s="1" t="n">
        <v>44852</v>
      </c>
      <c r="C1171" s="1" t="n">
        <v>45711</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47141-2022</t>
        </is>
      </c>
      <c r="B1172" s="1" t="n">
        <v>44852</v>
      </c>
      <c r="C1172" s="1" t="n">
        <v>45711</v>
      </c>
      <c r="D1172" t="inlineStr">
        <is>
          <t>VÄRMLANDS LÄN</t>
        </is>
      </c>
      <c r="E1172" t="inlineStr">
        <is>
          <t>TORSBY</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47206-2022</t>
        </is>
      </c>
      <c r="B1173" s="1" t="n">
        <v>44852</v>
      </c>
      <c r="C1173" s="1" t="n">
        <v>45711</v>
      </c>
      <c r="D1173" t="inlineStr">
        <is>
          <t>VÄRMLANDS LÄN</t>
        </is>
      </c>
      <c r="E1173" t="inlineStr">
        <is>
          <t>TORSBY</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47466-2022</t>
        </is>
      </c>
      <c r="B1174" s="1" t="n">
        <v>44852</v>
      </c>
      <c r="C1174" s="1" t="n">
        <v>45711</v>
      </c>
      <c r="D1174" t="inlineStr">
        <is>
          <t>VÄRMLANDS LÄN</t>
        </is>
      </c>
      <c r="E1174" t="inlineStr">
        <is>
          <t>TORSBY</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48328-2022</t>
        </is>
      </c>
      <c r="B1175" s="1" t="n">
        <v>44853</v>
      </c>
      <c r="C1175" s="1" t="n">
        <v>45711</v>
      </c>
      <c r="D1175" t="inlineStr">
        <is>
          <t>VÄRMLANDS LÄN</t>
        </is>
      </c>
      <c r="E1175" t="inlineStr">
        <is>
          <t>TORSBY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48356-2022</t>
        </is>
      </c>
      <c r="B1176" s="1" t="n">
        <v>44853</v>
      </c>
      <c r="C1176" s="1" t="n">
        <v>45711</v>
      </c>
      <c r="D1176" t="inlineStr">
        <is>
          <t>VÄRMLANDS LÄN</t>
        </is>
      </c>
      <c r="E1176" t="inlineStr">
        <is>
          <t>TORSBY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48320-2022</t>
        </is>
      </c>
      <c r="B1177" s="1" t="n">
        <v>44853</v>
      </c>
      <c r="C1177" s="1" t="n">
        <v>45711</v>
      </c>
      <c r="D1177" t="inlineStr">
        <is>
          <t>VÄRMLANDS LÄN</t>
        </is>
      </c>
      <c r="E1177" t="inlineStr">
        <is>
          <t>TORSBY</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47694-2022</t>
        </is>
      </c>
      <c r="B1178" s="1" t="n">
        <v>44854</v>
      </c>
      <c r="C1178" s="1" t="n">
        <v>45711</v>
      </c>
      <c r="D1178" t="inlineStr">
        <is>
          <t>VÄRMLANDS LÄN</t>
        </is>
      </c>
      <c r="E1178" t="inlineStr">
        <is>
          <t>TORSBY</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48239-2022</t>
        </is>
      </c>
      <c r="B1179" s="1" t="n">
        <v>44858</v>
      </c>
      <c r="C1179" s="1" t="n">
        <v>45711</v>
      </c>
      <c r="D1179" t="inlineStr">
        <is>
          <t>VÄRMLANDS LÄN</t>
        </is>
      </c>
      <c r="E1179" t="inlineStr">
        <is>
          <t>TORSBY</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48712-2022</t>
        </is>
      </c>
      <c r="B1180" s="1" t="n">
        <v>44859</v>
      </c>
      <c r="C1180" s="1" t="n">
        <v>45711</v>
      </c>
      <c r="D1180" t="inlineStr">
        <is>
          <t>VÄRMLANDS LÄN</t>
        </is>
      </c>
      <c r="E1180" t="inlineStr">
        <is>
          <t>TORSBY</t>
        </is>
      </c>
      <c r="F1180" t="inlineStr">
        <is>
          <t>Bergvik skog väst AB</t>
        </is>
      </c>
      <c r="G1180" t="n">
        <v>22.7</v>
      </c>
      <c r="H1180" t="n">
        <v>0</v>
      </c>
      <c r="I1180" t="n">
        <v>0</v>
      </c>
      <c r="J1180" t="n">
        <v>0</v>
      </c>
      <c r="K1180" t="n">
        <v>0</v>
      </c>
      <c r="L1180" t="n">
        <v>0</v>
      </c>
      <c r="M1180" t="n">
        <v>0</v>
      </c>
      <c r="N1180" t="n">
        <v>0</v>
      </c>
      <c r="O1180" t="n">
        <v>0</v>
      </c>
      <c r="P1180" t="n">
        <v>0</v>
      </c>
      <c r="Q1180" t="n">
        <v>0</v>
      </c>
      <c r="R1180" s="2" t="inlineStr"/>
    </row>
    <row r="1181" ht="15" customHeight="1">
      <c r="A1181" t="inlineStr">
        <is>
          <t>A 49699-2022</t>
        </is>
      </c>
      <c r="B1181" s="1" t="n">
        <v>44859</v>
      </c>
      <c r="C1181" s="1" t="n">
        <v>45711</v>
      </c>
      <c r="D1181" t="inlineStr">
        <is>
          <t>VÄRMLANDS LÄN</t>
        </is>
      </c>
      <c r="E1181" t="inlineStr">
        <is>
          <t>TORSBY</t>
        </is>
      </c>
      <c r="F1181" t="inlineStr">
        <is>
          <t>Kyrkan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49814-2022</t>
        </is>
      </c>
      <c r="B1182" s="1" t="n">
        <v>44859</v>
      </c>
      <c r="C1182" s="1" t="n">
        <v>45711</v>
      </c>
      <c r="D1182" t="inlineStr">
        <is>
          <t>VÄRMLANDS LÄN</t>
        </is>
      </c>
      <c r="E1182" t="inlineStr">
        <is>
          <t>TORSBY</t>
        </is>
      </c>
      <c r="F1182" t="inlineStr">
        <is>
          <t>Kyrkan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49608-2022</t>
        </is>
      </c>
      <c r="B1183" s="1" t="n">
        <v>44859</v>
      </c>
      <c r="C1183" s="1" t="n">
        <v>45711</v>
      </c>
      <c r="D1183" t="inlineStr">
        <is>
          <t>VÄRMLANDS LÄN</t>
        </is>
      </c>
      <c r="E1183" t="inlineStr">
        <is>
          <t>TORSBY</t>
        </is>
      </c>
      <c r="F1183" t="inlineStr">
        <is>
          <t>Kyrkan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49073-2022</t>
        </is>
      </c>
      <c r="B1184" s="1" t="n">
        <v>44860</v>
      </c>
      <c r="C1184" s="1" t="n">
        <v>45711</v>
      </c>
      <c r="D1184" t="inlineStr">
        <is>
          <t>VÄRMLANDS LÄN</t>
        </is>
      </c>
      <c r="E1184" t="inlineStr">
        <is>
          <t>TORSBY</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49206-2022</t>
        </is>
      </c>
      <c r="B1185" s="1" t="n">
        <v>44861</v>
      </c>
      <c r="C1185" s="1" t="n">
        <v>45711</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49346-2022</t>
        </is>
      </c>
      <c r="B1186" s="1" t="n">
        <v>44861</v>
      </c>
      <c r="C1186" s="1" t="n">
        <v>45711</v>
      </c>
      <c r="D1186" t="inlineStr">
        <is>
          <t>VÄRMLANDS LÄN</t>
        </is>
      </c>
      <c r="E1186" t="inlineStr">
        <is>
          <t>TORSBY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50390-2022</t>
        </is>
      </c>
      <c r="B1187" s="1" t="n">
        <v>44861</v>
      </c>
      <c r="C1187" s="1" t="n">
        <v>45711</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49795-2022</t>
        </is>
      </c>
      <c r="B1188" s="1" t="n">
        <v>44862</v>
      </c>
      <c r="C1188" s="1" t="n">
        <v>45711</v>
      </c>
      <c r="D1188" t="inlineStr">
        <is>
          <t>VÄRMLANDS LÄN</t>
        </is>
      </c>
      <c r="E1188" t="inlineStr">
        <is>
          <t>TORSBY</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49810-2022</t>
        </is>
      </c>
      <c r="B1189" s="1" t="n">
        <v>44862</v>
      </c>
      <c r="C1189" s="1" t="n">
        <v>45711</v>
      </c>
      <c r="D1189" t="inlineStr">
        <is>
          <t>VÄRMLANDS LÄN</t>
        </is>
      </c>
      <c r="E1189" t="inlineStr">
        <is>
          <t>TORSBY</t>
        </is>
      </c>
      <c r="F1189" t="inlineStr">
        <is>
          <t>Bergvik skog väst AB</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49957-2022</t>
        </is>
      </c>
      <c r="B1190" s="1" t="n">
        <v>44865</v>
      </c>
      <c r="C1190" s="1" t="n">
        <v>45711</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49983-2022</t>
        </is>
      </c>
      <c r="B1191" s="1" t="n">
        <v>44865</v>
      </c>
      <c r="C1191" s="1" t="n">
        <v>45711</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49970-2022</t>
        </is>
      </c>
      <c r="B1192" s="1" t="n">
        <v>44865</v>
      </c>
      <c r="C1192" s="1" t="n">
        <v>45711</v>
      </c>
      <c r="D1192" t="inlineStr">
        <is>
          <t>VÄRMLANDS LÄN</t>
        </is>
      </c>
      <c r="E1192" t="inlineStr">
        <is>
          <t>TORSBY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49959-2022</t>
        </is>
      </c>
      <c r="B1193" s="1" t="n">
        <v>44865</v>
      </c>
      <c r="C1193" s="1" t="n">
        <v>45711</v>
      </c>
      <c r="D1193" t="inlineStr">
        <is>
          <t>VÄRMLANDS LÄN</t>
        </is>
      </c>
      <c r="E1193" t="inlineStr">
        <is>
          <t>TORSBY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50280-2022</t>
        </is>
      </c>
      <c r="B1194" s="1" t="n">
        <v>44865</v>
      </c>
      <c r="C1194" s="1" t="n">
        <v>45711</v>
      </c>
      <c r="D1194" t="inlineStr">
        <is>
          <t>VÄRMLANDS LÄN</t>
        </is>
      </c>
      <c r="E1194" t="inlineStr">
        <is>
          <t>TORSBY</t>
        </is>
      </c>
      <c r="F1194" t="inlineStr">
        <is>
          <t>Bergvik skog väst AB</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50417-2022</t>
        </is>
      </c>
      <c r="B1195" s="1" t="n">
        <v>44866</v>
      </c>
      <c r="C1195" s="1" t="n">
        <v>45711</v>
      </c>
      <c r="D1195" t="inlineStr">
        <is>
          <t>VÄRMLANDS LÄN</t>
        </is>
      </c>
      <c r="E1195" t="inlineStr">
        <is>
          <t>TORSBY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50436-2022</t>
        </is>
      </c>
      <c r="B1196" s="1" t="n">
        <v>44866</v>
      </c>
      <c r="C1196" s="1" t="n">
        <v>45711</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50434-2022</t>
        </is>
      </c>
      <c r="B1197" s="1" t="n">
        <v>44866</v>
      </c>
      <c r="C1197" s="1" t="n">
        <v>45711</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50953-2022</t>
        </is>
      </c>
      <c r="B1198" s="1" t="n">
        <v>44866</v>
      </c>
      <c r="C1198" s="1" t="n">
        <v>45711</v>
      </c>
      <c r="D1198" t="inlineStr">
        <is>
          <t>VÄRMLANDS LÄN</t>
        </is>
      </c>
      <c r="E1198" t="inlineStr">
        <is>
          <t>TORSBY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50789-2022</t>
        </is>
      </c>
      <c r="B1199" s="1" t="n">
        <v>44867</v>
      </c>
      <c r="C1199" s="1" t="n">
        <v>45711</v>
      </c>
      <c r="D1199" t="inlineStr">
        <is>
          <t>VÄRMLANDS LÄN</t>
        </is>
      </c>
      <c r="E1199" t="inlineStr">
        <is>
          <t>TORSBY</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51124-2022</t>
        </is>
      </c>
      <c r="B1200" s="1" t="n">
        <v>44868</v>
      </c>
      <c r="C1200" s="1" t="n">
        <v>45711</v>
      </c>
      <c r="D1200" t="inlineStr">
        <is>
          <t>VÄRMLANDS LÄN</t>
        </is>
      </c>
      <c r="E1200" t="inlineStr">
        <is>
          <t>TORSBY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51439-2022</t>
        </is>
      </c>
      <c r="B1201" s="1" t="n">
        <v>44869</v>
      </c>
      <c r="C1201" s="1" t="n">
        <v>45711</v>
      </c>
      <c r="D1201" t="inlineStr">
        <is>
          <t>VÄRMLANDS LÄN</t>
        </is>
      </c>
      <c r="E1201" t="inlineStr">
        <is>
          <t>TORSBY</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51490-2022</t>
        </is>
      </c>
      <c r="B1202" s="1" t="n">
        <v>44869</v>
      </c>
      <c r="C1202" s="1" t="n">
        <v>45711</v>
      </c>
      <c r="D1202" t="inlineStr">
        <is>
          <t>VÄRMLANDS LÄN</t>
        </is>
      </c>
      <c r="E1202" t="inlineStr">
        <is>
          <t>TORSBY</t>
        </is>
      </c>
      <c r="F1202" t="inlineStr">
        <is>
          <t>Bergvik skog väst AB</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51489-2022</t>
        </is>
      </c>
      <c r="B1203" s="1" t="n">
        <v>44869</v>
      </c>
      <c r="C1203" s="1" t="n">
        <v>45711</v>
      </c>
      <c r="D1203" t="inlineStr">
        <is>
          <t>VÄRMLANDS LÄN</t>
        </is>
      </c>
      <c r="E1203" t="inlineStr">
        <is>
          <t>TORSBY</t>
        </is>
      </c>
      <c r="F1203" t="inlineStr">
        <is>
          <t>Bergvik skog väst AB</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51847-2022</t>
        </is>
      </c>
      <c r="B1204" s="1" t="n">
        <v>44872</v>
      </c>
      <c r="C1204" s="1" t="n">
        <v>45711</v>
      </c>
      <c r="D1204" t="inlineStr">
        <is>
          <t>VÄRMLANDS LÄN</t>
        </is>
      </c>
      <c r="E1204" t="inlineStr">
        <is>
          <t>TORSBY</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51843-2022</t>
        </is>
      </c>
      <c r="B1205" s="1" t="n">
        <v>44872</v>
      </c>
      <c r="C1205" s="1" t="n">
        <v>45711</v>
      </c>
      <c r="D1205" t="inlineStr">
        <is>
          <t>VÄRMLANDS LÄN</t>
        </is>
      </c>
      <c r="E1205" t="inlineStr">
        <is>
          <t>TORSBY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51911-2022</t>
        </is>
      </c>
      <c r="B1206" s="1" t="n">
        <v>44872</v>
      </c>
      <c r="C1206" s="1" t="n">
        <v>45711</v>
      </c>
      <c r="D1206" t="inlineStr">
        <is>
          <t>VÄRMLANDS LÄN</t>
        </is>
      </c>
      <c r="E1206" t="inlineStr">
        <is>
          <t>TORSBY</t>
        </is>
      </c>
      <c r="F1206" t="inlineStr">
        <is>
          <t>Bergvik skog väst AB</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52921-2022</t>
        </is>
      </c>
      <c r="B1207" s="1" t="n">
        <v>44872</v>
      </c>
      <c r="C1207" s="1" t="n">
        <v>45711</v>
      </c>
      <c r="D1207" t="inlineStr">
        <is>
          <t>VÄRMLANDS LÄN</t>
        </is>
      </c>
      <c r="E1207" t="inlineStr">
        <is>
          <t>TORSBY</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52901-2022</t>
        </is>
      </c>
      <c r="B1208" s="1" t="n">
        <v>44872</v>
      </c>
      <c r="C1208" s="1" t="n">
        <v>45711</v>
      </c>
      <c r="D1208" t="inlineStr">
        <is>
          <t>VÄRMLANDS LÄN</t>
        </is>
      </c>
      <c r="E1208" t="inlineStr">
        <is>
          <t>TORSBY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52286-2022</t>
        </is>
      </c>
      <c r="B1209" s="1" t="n">
        <v>44873</v>
      </c>
      <c r="C1209" s="1" t="n">
        <v>45711</v>
      </c>
      <c r="D1209" t="inlineStr">
        <is>
          <t>VÄRMLANDS LÄN</t>
        </is>
      </c>
      <c r="E1209" t="inlineStr">
        <is>
          <t>TORSBY</t>
        </is>
      </c>
      <c r="F1209" t="inlineStr">
        <is>
          <t>Bergvik skog väst AB</t>
        </is>
      </c>
      <c r="G1209" t="n">
        <v>51.4</v>
      </c>
      <c r="H1209" t="n">
        <v>0</v>
      </c>
      <c r="I1209" t="n">
        <v>0</v>
      </c>
      <c r="J1209" t="n">
        <v>0</v>
      </c>
      <c r="K1209" t="n">
        <v>0</v>
      </c>
      <c r="L1209" t="n">
        <v>0</v>
      </c>
      <c r="M1209" t="n">
        <v>0</v>
      </c>
      <c r="N1209" t="n">
        <v>0</v>
      </c>
      <c r="O1209" t="n">
        <v>0</v>
      </c>
      <c r="P1209" t="n">
        <v>0</v>
      </c>
      <c r="Q1209" t="n">
        <v>0</v>
      </c>
      <c r="R1209" s="2" t="inlineStr"/>
    </row>
    <row r="1210" ht="15" customHeight="1">
      <c r="A1210" t="inlineStr">
        <is>
          <t>A 52393-2022</t>
        </is>
      </c>
      <c r="B1210" s="1" t="n">
        <v>44874</v>
      </c>
      <c r="C1210" s="1" t="n">
        <v>45711</v>
      </c>
      <c r="D1210" t="inlineStr">
        <is>
          <t>VÄRMLANDS LÄN</t>
        </is>
      </c>
      <c r="E1210" t="inlineStr">
        <is>
          <t>TORSBY</t>
        </is>
      </c>
      <c r="G1210" t="n">
        <v>9.800000000000001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52546-2022</t>
        </is>
      </c>
      <c r="B1211" s="1" t="n">
        <v>44874</v>
      </c>
      <c r="C1211" s="1" t="n">
        <v>45711</v>
      </c>
      <c r="D1211" t="inlineStr">
        <is>
          <t>VÄRMLANDS LÄN</t>
        </is>
      </c>
      <c r="E1211" t="inlineStr">
        <is>
          <t>TORSBY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52386-2022</t>
        </is>
      </c>
      <c r="B1212" s="1" t="n">
        <v>44874</v>
      </c>
      <c r="C1212" s="1" t="n">
        <v>45711</v>
      </c>
      <c r="D1212" t="inlineStr">
        <is>
          <t>VÄRMLANDS LÄN</t>
        </is>
      </c>
      <c r="E1212" t="inlineStr">
        <is>
          <t>TORSBY</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52543-2022</t>
        </is>
      </c>
      <c r="B1213" s="1" t="n">
        <v>44874</v>
      </c>
      <c r="C1213" s="1" t="n">
        <v>45711</v>
      </c>
      <c r="D1213" t="inlineStr">
        <is>
          <t>VÄRMLANDS LÄN</t>
        </is>
      </c>
      <c r="E1213" t="inlineStr">
        <is>
          <t>TORSBY</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52447-2022</t>
        </is>
      </c>
      <c r="B1214" s="1" t="n">
        <v>44874</v>
      </c>
      <c r="C1214" s="1" t="n">
        <v>45711</v>
      </c>
      <c r="D1214" t="inlineStr">
        <is>
          <t>VÄRMLANDS LÄN</t>
        </is>
      </c>
      <c r="E1214" t="inlineStr">
        <is>
          <t>TORSBY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52483-2022</t>
        </is>
      </c>
      <c r="B1215" s="1" t="n">
        <v>44874</v>
      </c>
      <c r="C1215" s="1" t="n">
        <v>45711</v>
      </c>
      <c r="D1215" t="inlineStr">
        <is>
          <t>VÄRMLANDS LÄN</t>
        </is>
      </c>
      <c r="E1215" t="inlineStr">
        <is>
          <t>TORSBY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52913-2022</t>
        </is>
      </c>
      <c r="B1216" s="1" t="n">
        <v>44875</v>
      </c>
      <c r="C1216" s="1" t="n">
        <v>45711</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52919-2022</t>
        </is>
      </c>
      <c r="B1217" s="1" t="n">
        <v>44875</v>
      </c>
      <c r="C1217" s="1" t="n">
        <v>45711</v>
      </c>
      <c r="D1217" t="inlineStr">
        <is>
          <t>VÄRMLANDS LÄN</t>
        </is>
      </c>
      <c r="E1217" t="inlineStr">
        <is>
          <t>TORSBY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53044-2022</t>
        </is>
      </c>
      <c r="B1218" s="1" t="n">
        <v>44876</v>
      </c>
      <c r="C1218" s="1" t="n">
        <v>45711</v>
      </c>
      <c r="D1218" t="inlineStr">
        <is>
          <t>VÄRMLANDS LÄN</t>
        </is>
      </c>
      <c r="E1218" t="inlineStr">
        <is>
          <t>TORSBY</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53076-2022</t>
        </is>
      </c>
      <c r="B1219" s="1" t="n">
        <v>44876</v>
      </c>
      <c r="C1219" s="1" t="n">
        <v>45711</v>
      </c>
      <c r="D1219" t="inlineStr">
        <is>
          <t>VÄRMLANDS LÄN</t>
        </is>
      </c>
      <c r="E1219" t="inlineStr">
        <is>
          <t>TORSBY</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53988-2022</t>
        </is>
      </c>
      <c r="B1220" s="1" t="n">
        <v>44876</v>
      </c>
      <c r="C1220" s="1" t="n">
        <v>45711</v>
      </c>
      <c r="D1220" t="inlineStr">
        <is>
          <t>VÄRMLANDS LÄN</t>
        </is>
      </c>
      <c r="E1220" t="inlineStr">
        <is>
          <t>TORSBY</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53381-2022</t>
        </is>
      </c>
      <c r="B1221" s="1" t="n">
        <v>44879</v>
      </c>
      <c r="C1221" s="1" t="n">
        <v>45711</v>
      </c>
      <c r="D1221" t="inlineStr">
        <is>
          <t>VÄRMLANDS LÄN</t>
        </is>
      </c>
      <c r="E1221" t="inlineStr">
        <is>
          <t>TORSBY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53492-2022</t>
        </is>
      </c>
      <c r="B1222" s="1" t="n">
        <v>44879</v>
      </c>
      <c r="C1222" s="1" t="n">
        <v>45711</v>
      </c>
      <c r="D1222" t="inlineStr">
        <is>
          <t>VÄRMLANDS LÄN</t>
        </is>
      </c>
      <c r="E1222" t="inlineStr">
        <is>
          <t>TORSBY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53781-2022</t>
        </is>
      </c>
      <c r="B1223" s="1" t="n">
        <v>44880</v>
      </c>
      <c r="C1223" s="1" t="n">
        <v>45711</v>
      </c>
      <c r="D1223" t="inlineStr">
        <is>
          <t>VÄRMLANDS LÄN</t>
        </is>
      </c>
      <c r="E1223" t="inlineStr">
        <is>
          <t>TORSBY</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53906-2022</t>
        </is>
      </c>
      <c r="B1224" s="1" t="n">
        <v>44880</v>
      </c>
      <c r="C1224" s="1" t="n">
        <v>45711</v>
      </c>
      <c r="D1224" t="inlineStr">
        <is>
          <t>VÄRMLANDS LÄN</t>
        </is>
      </c>
      <c r="E1224" t="inlineStr">
        <is>
          <t>TORSBY</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54452-2022</t>
        </is>
      </c>
      <c r="B1225" s="1" t="n">
        <v>44880</v>
      </c>
      <c r="C1225" s="1" t="n">
        <v>45711</v>
      </c>
      <c r="D1225" t="inlineStr">
        <is>
          <t>VÄRMLANDS LÄN</t>
        </is>
      </c>
      <c r="E1225" t="inlineStr">
        <is>
          <t>TORSBY</t>
        </is>
      </c>
      <c r="F1225" t="inlineStr">
        <is>
          <t>Kyrkan</t>
        </is>
      </c>
      <c r="G1225" t="n">
        <v>10.6</v>
      </c>
      <c r="H1225" t="n">
        <v>0</v>
      </c>
      <c r="I1225" t="n">
        <v>0</v>
      </c>
      <c r="J1225" t="n">
        <v>0</v>
      </c>
      <c r="K1225" t="n">
        <v>0</v>
      </c>
      <c r="L1225" t="n">
        <v>0</v>
      </c>
      <c r="M1225" t="n">
        <v>0</v>
      </c>
      <c r="N1225" t="n">
        <v>0</v>
      </c>
      <c r="O1225" t="n">
        <v>0</v>
      </c>
      <c r="P1225" t="n">
        <v>0</v>
      </c>
      <c r="Q1225" t="n">
        <v>0</v>
      </c>
      <c r="R1225" s="2" t="inlineStr"/>
    </row>
    <row r="1226" ht="15" customHeight="1">
      <c r="A1226" t="inlineStr">
        <is>
          <t>A 54028-2022</t>
        </is>
      </c>
      <c r="B1226" s="1" t="n">
        <v>44881</v>
      </c>
      <c r="C1226" s="1" t="n">
        <v>45711</v>
      </c>
      <c r="D1226" t="inlineStr">
        <is>
          <t>VÄRMLANDS LÄN</t>
        </is>
      </c>
      <c r="E1226" t="inlineStr">
        <is>
          <t>TORSBY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54143-2022</t>
        </is>
      </c>
      <c r="B1227" s="1" t="n">
        <v>44881</v>
      </c>
      <c r="C1227" s="1" t="n">
        <v>45711</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54160-2022</t>
        </is>
      </c>
      <c r="B1228" s="1" t="n">
        <v>44881</v>
      </c>
      <c r="C1228" s="1" t="n">
        <v>45711</v>
      </c>
      <c r="D1228" t="inlineStr">
        <is>
          <t>VÄRMLANDS LÄN</t>
        </is>
      </c>
      <c r="E1228" t="inlineStr">
        <is>
          <t>TORSBY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54811-2022</t>
        </is>
      </c>
      <c r="B1229" s="1" t="n">
        <v>44883</v>
      </c>
      <c r="C1229" s="1" t="n">
        <v>45711</v>
      </c>
      <c r="D1229" t="inlineStr">
        <is>
          <t>VÄRMLANDS LÄN</t>
        </is>
      </c>
      <c r="E1229" t="inlineStr">
        <is>
          <t>TORSBY</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54865-2022</t>
        </is>
      </c>
      <c r="B1230" s="1" t="n">
        <v>44884</v>
      </c>
      <c r="C1230" s="1" t="n">
        <v>45711</v>
      </c>
      <c r="D1230" t="inlineStr">
        <is>
          <t>VÄRMLANDS LÄN</t>
        </is>
      </c>
      <c r="E1230" t="inlineStr">
        <is>
          <t>TORSBY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54885-2022</t>
        </is>
      </c>
      <c r="B1231" s="1" t="n">
        <v>44886</v>
      </c>
      <c r="C1231" s="1" t="n">
        <v>45711</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55068-2022</t>
        </is>
      </c>
      <c r="B1232" s="1" t="n">
        <v>44886</v>
      </c>
      <c r="C1232" s="1" t="n">
        <v>45711</v>
      </c>
      <c r="D1232" t="inlineStr">
        <is>
          <t>VÄRMLANDS LÄN</t>
        </is>
      </c>
      <c r="E1232" t="inlineStr">
        <is>
          <t>TORSBY</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55092-2022</t>
        </is>
      </c>
      <c r="B1233" s="1" t="n">
        <v>44886</v>
      </c>
      <c r="C1233" s="1" t="n">
        <v>45711</v>
      </c>
      <c r="D1233" t="inlineStr">
        <is>
          <t>VÄRMLANDS LÄN</t>
        </is>
      </c>
      <c r="E1233" t="inlineStr">
        <is>
          <t>TORSBY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55104-2022</t>
        </is>
      </c>
      <c r="B1234" s="1" t="n">
        <v>44886</v>
      </c>
      <c r="C1234" s="1" t="n">
        <v>45711</v>
      </c>
      <c r="D1234" t="inlineStr">
        <is>
          <t>VÄRMLANDS LÄN</t>
        </is>
      </c>
      <c r="E1234" t="inlineStr">
        <is>
          <t>TORSBY</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55428-2022</t>
        </is>
      </c>
      <c r="B1235" s="1" t="n">
        <v>44887</v>
      </c>
      <c r="C1235" s="1" t="n">
        <v>45711</v>
      </c>
      <c r="D1235" t="inlineStr">
        <is>
          <t>VÄRMLANDS LÄN</t>
        </is>
      </c>
      <c r="E1235" t="inlineStr">
        <is>
          <t>TORSBY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55475-2022</t>
        </is>
      </c>
      <c r="B1236" s="1" t="n">
        <v>44887</v>
      </c>
      <c r="C1236" s="1" t="n">
        <v>45711</v>
      </c>
      <c r="D1236" t="inlineStr">
        <is>
          <t>VÄRMLANDS LÄN</t>
        </is>
      </c>
      <c r="E1236" t="inlineStr">
        <is>
          <t>TORSBY</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55436-2022</t>
        </is>
      </c>
      <c r="B1237" s="1" t="n">
        <v>44887</v>
      </c>
      <c r="C1237" s="1" t="n">
        <v>45711</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55575-2022</t>
        </is>
      </c>
      <c r="B1238" s="1" t="n">
        <v>44888</v>
      </c>
      <c r="C1238" s="1" t="n">
        <v>45711</v>
      </c>
      <c r="D1238" t="inlineStr">
        <is>
          <t>VÄRMLANDS LÄN</t>
        </is>
      </c>
      <c r="E1238" t="inlineStr">
        <is>
          <t>TORSBY</t>
        </is>
      </c>
      <c r="F1238" t="inlineStr">
        <is>
          <t>Bergvik skog väst AB</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55981-2022</t>
        </is>
      </c>
      <c r="B1239" s="1" t="n">
        <v>44889</v>
      </c>
      <c r="C1239" s="1" t="n">
        <v>45711</v>
      </c>
      <c r="D1239" t="inlineStr">
        <is>
          <t>VÄRMLANDS LÄN</t>
        </is>
      </c>
      <c r="E1239" t="inlineStr">
        <is>
          <t>TORSBY</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55939-2022</t>
        </is>
      </c>
      <c r="B1240" s="1" t="n">
        <v>44889</v>
      </c>
      <c r="C1240" s="1" t="n">
        <v>45711</v>
      </c>
      <c r="D1240" t="inlineStr">
        <is>
          <t>VÄRMLANDS LÄN</t>
        </is>
      </c>
      <c r="E1240" t="inlineStr">
        <is>
          <t>TORSBY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55947-2022</t>
        </is>
      </c>
      <c r="B1241" s="1" t="n">
        <v>44889</v>
      </c>
      <c r="C1241" s="1" t="n">
        <v>45711</v>
      </c>
      <c r="D1241" t="inlineStr">
        <is>
          <t>VÄRMLANDS LÄN</t>
        </is>
      </c>
      <c r="E1241" t="inlineStr">
        <is>
          <t>TORSBY</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56281-2022</t>
        </is>
      </c>
      <c r="B1242" s="1" t="n">
        <v>44890</v>
      </c>
      <c r="C1242" s="1" t="n">
        <v>45711</v>
      </c>
      <c r="D1242" t="inlineStr">
        <is>
          <t>VÄRMLANDS LÄN</t>
        </is>
      </c>
      <c r="E1242" t="inlineStr">
        <is>
          <t>TORSBY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56361-2022</t>
        </is>
      </c>
      <c r="B1243" s="1" t="n">
        <v>44890</v>
      </c>
      <c r="C1243" s="1" t="n">
        <v>45711</v>
      </c>
      <c r="D1243" t="inlineStr">
        <is>
          <t>VÄRMLANDS LÄN</t>
        </is>
      </c>
      <c r="E1243" t="inlineStr">
        <is>
          <t>TORSBY</t>
        </is>
      </c>
      <c r="F1243" t="inlineStr">
        <is>
          <t>Bergvik skog väst AB</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56432-2022</t>
        </is>
      </c>
      <c r="B1244" s="1" t="n">
        <v>44891</v>
      </c>
      <c r="C1244" s="1" t="n">
        <v>45711</v>
      </c>
      <c r="D1244" t="inlineStr">
        <is>
          <t>VÄRMLANDS LÄN</t>
        </is>
      </c>
      <c r="E1244" t="inlineStr">
        <is>
          <t>TORSBY</t>
        </is>
      </c>
      <c r="F1244" t="inlineStr">
        <is>
          <t>Bergvik skog väst AB</t>
        </is>
      </c>
      <c r="G1244" t="n">
        <v>37.4</v>
      </c>
      <c r="H1244" t="n">
        <v>0</v>
      </c>
      <c r="I1244" t="n">
        <v>0</v>
      </c>
      <c r="J1244" t="n">
        <v>0</v>
      </c>
      <c r="K1244" t="n">
        <v>0</v>
      </c>
      <c r="L1244" t="n">
        <v>0</v>
      </c>
      <c r="M1244" t="n">
        <v>0</v>
      </c>
      <c r="N1244" t="n">
        <v>0</v>
      </c>
      <c r="O1244" t="n">
        <v>0</v>
      </c>
      <c r="P1244" t="n">
        <v>0</v>
      </c>
      <c r="Q1244" t="n">
        <v>0</v>
      </c>
      <c r="R1244" s="2" t="inlineStr"/>
    </row>
    <row r="1245" ht="15" customHeight="1">
      <c r="A1245" t="inlineStr">
        <is>
          <t>A 56434-2022</t>
        </is>
      </c>
      <c r="B1245" s="1" t="n">
        <v>44891</v>
      </c>
      <c r="C1245" s="1" t="n">
        <v>45711</v>
      </c>
      <c r="D1245" t="inlineStr">
        <is>
          <t>VÄRMLANDS LÄN</t>
        </is>
      </c>
      <c r="E1245" t="inlineStr">
        <is>
          <t>TORSBY</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56473-2022</t>
        </is>
      </c>
      <c r="B1246" s="1" t="n">
        <v>44893</v>
      </c>
      <c r="C1246" s="1" t="n">
        <v>45711</v>
      </c>
      <c r="D1246" t="inlineStr">
        <is>
          <t>VÄRMLANDS LÄN</t>
        </is>
      </c>
      <c r="E1246" t="inlineStr">
        <is>
          <t>TORSBY</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57072-2022</t>
        </is>
      </c>
      <c r="B1247" s="1" t="n">
        <v>44895</v>
      </c>
      <c r="C1247" s="1" t="n">
        <v>45711</v>
      </c>
      <c r="D1247" t="inlineStr">
        <is>
          <t>VÄRMLANDS LÄN</t>
        </is>
      </c>
      <c r="E1247" t="inlineStr">
        <is>
          <t>TORSBY</t>
        </is>
      </c>
      <c r="F1247" t="inlineStr">
        <is>
          <t>Övriga statliga verk och myndigheter</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57176-2022</t>
        </is>
      </c>
      <c r="B1248" s="1" t="n">
        <v>44895</v>
      </c>
      <c r="C1248" s="1" t="n">
        <v>45711</v>
      </c>
      <c r="D1248" t="inlineStr">
        <is>
          <t>VÄRMLANDS LÄN</t>
        </is>
      </c>
      <c r="E1248" t="inlineStr">
        <is>
          <t>TORSBY</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57071-2022</t>
        </is>
      </c>
      <c r="B1249" s="1" t="n">
        <v>44895</v>
      </c>
      <c r="C1249" s="1" t="n">
        <v>45711</v>
      </c>
      <c r="D1249" t="inlineStr">
        <is>
          <t>VÄRMLANDS LÄN</t>
        </is>
      </c>
      <c r="E1249" t="inlineStr">
        <is>
          <t>TORSBY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57172-2022</t>
        </is>
      </c>
      <c r="B1250" s="1" t="n">
        <v>44895</v>
      </c>
      <c r="C1250" s="1" t="n">
        <v>45711</v>
      </c>
      <c r="D1250" t="inlineStr">
        <is>
          <t>VÄRMLANDS LÄN</t>
        </is>
      </c>
      <c r="E1250" t="inlineStr">
        <is>
          <t>TORSBY</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57408-2022</t>
        </is>
      </c>
      <c r="B1251" s="1" t="n">
        <v>44896</v>
      </c>
      <c r="C1251" s="1" t="n">
        <v>45711</v>
      </c>
      <c r="D1251" t="inlineStr">
        <is>
          <t>VÄRMLANDS LÄN</t>
        </is>
      </c>
      <c r="E1251" t="inlineStr">
        <is>
          <t>TORSBY</t>
        </is>
      </c>
      <c r="F1251" t="inlineStr">
        <is>
          <t>Bergvik skog väst AB</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57418-2022</t>
        </is>
      </c>
      <c r="B1252" s="1" t="n">
        <v>44896</v>
      </c>
      <c r="C1252" s="1" t="n">
        <v>45711</v>
      </c>
      <c r="D1252" t="inlineStr">
        <is>
          <t>VÄRMLANDS LÄN</t>
        </is>
      </c>
      <c r="E1252" t="inlineStr">
        <is>
          <t>TORSBY</t>
        </is>
      </c>
      <c r="F1252" t="inlineStr">
        <is>
          <t>Bergvik skog väst AB</t>
        </is>
      </c>
      <c r="G1252" t="n">
        <v>21.8</v>
      </c>
      <c r="H1252" t="n">
        <v>0</v>
      </c>
      <c r="I1252" t="n">
        <v>0</v>
      </c>
      <c r="J1252" t="n">
        <v>0</v>
      </c>
      <c r="K1252" t="n">
        <v>0</v>
      </c>
      <c r="L1252" t="n">
        <v>0</v>
      </c>
      <c r="M1252" t="n">
        <v>0</v>
      </c>
      <c r="N1252" t="n">
        <v>0</v>
      </c>
      <c r="O1252" t="n">
        <v>0</v>
      </c>
      <c r="P1252" t="n">
        <v>0</v>
      </c>
      <c r="Q1252" t="n">
        <v>0</v>
      </c>
      <c r="R1252" s="2" t="inlineStr"/>
    </row>
    <row r="1253" ht="15" customHeight="1">
      <c r="A1253" t="inlineStr">
        <is>
          <t>A 57393-2022</t>
        </is>
      </c>
      <c r="B1253" s="1" t="n">
        <v>44896</v>
      </c>
      <c r="C1253" s="1" t="n">
        <v>45711</v>
      </c>
      <c r="D1253" t="inlineStr">
        <is>
          <t>VÄRMLANDS LÄN</t>
        </is>
      </c>
      <c r="E1253" t="inlineStr">
        <is>
          <t>TORSBY</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57452-2022</t>
        </is>
      </c>
      <c r="B1254" s="1" t="n">
        <v>44896</v>
      </c>
      <c r="C1254" s="1" t="n">
        <v>45711</v>
      </c>
      <c r="D1254" t="inlineStr">
        <is>
          <t>VÄRMLANDS LÄN</t>
        </is>
      </c>
      <c r="E1254" t="inlineStr">
        <is>
          <t>TORSBY</t>
        </is>
      </c>
      <c r="F1254" t="inlineStr">
        <is>
          <t>Bergvik skog väst AB</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57708-2022</t>
        </is>
      </c>
      <c r="B1255" s="1" t="n">
        <v>44897</v>
      </c>
      <c r="C1255" s="1" t="n">
        <v>45711</v>
      </c>
      <c r="D1255" t="inlineStr">
        <is>
          <t>VÄRMLANDS LÄN</t>
        </is>
      </c>
      <c r="E1255" t="inlineStr">
        <is>
          <t>TORSBY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57726-2022</t>
        </is>
      </c>
      <c r="B1256" s="1" t="n">
        <v>44897</v>
      </c>
      <c r="C1256" s="1" t="n">
        <v>45711</v>
      </c>
      <c r="D1256" t="inlineStr">
        <is>
          <t>VÄRMLANDS LÄN</t>
        </is>
      </c>
      <c r="E1256" t="inlineStr">
        <is>
          <t>TORSBY</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57721-2022</t>
        </is>
      </c>
      <c r="B1257" s="1" t="n">
        <v>44897</v>
      </c>
      <c r="C1257" s="1" t="n">
        <v>45711</v>
      </c>
      <c r="D1257" t="inlineStr">
        <is>
          <t>VÄRMLANDS LÄN</t>
        </is>
      </c>
      <c r="E1257" t="inlineStr">
        <is>
          <t>TORSBY</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57867-2022</t>
        </is>
      </c>
      <c r="B1258" s="1" t="n">
        <v>44899</v>
      </c>
      <c r="C1258" s="1" t="n">
        <v>45711</v>
      </c>
      <c r="D1258" t="inlineStr">
        <is>
          <t>VÄRMLANDS LÄN</t>
        </is>
      </c>
      <c r="E1258" t="inlineStr">
        <is>
          <t>TORSBY</t>
        </is>
      </c>
      <c r="F1258" t="inlineStr">
        <is>
          <t>Bergvik skog väst AB</t>
        </is>
      </c>
      <c r="G1258" t="n">
        <v>21.8</v>
      </c>
      <c r="H1258" t="n">
        <v>0</v>
      </c>
      <c r="I1258" t="n">
        <v>0</v>
      </c>
      <c r="J1258" t="n">
        <v>0</v>
      </c>
      <c r="K1258" t="n">
        <v>0</v>
      </c>
      <c r="L1258" t="n">
        <v>0</v>
      </c>
      <c r="M1258" t="n">
        <v>0</v>
      </c>
      <c r="N1258" t="n">
        <v>0</v>
      </c>
      <c r="O1258" t="n">
        <v>0</v>
      </c>
      <c r="P1258" t="n">
        <v>0</v>
      </c>
      <c r="Q1258" t="n">
        <v>0</v>
      </c>
      <c r="R1258" s="2" t="inlineStr"/>
    </row>
    <row r="1259" ht="15" customHeight="1">
      <c r="A1259" t="inlineStr">
        <is>
          <t>A 57937-2022</t>
        </is>
      </c>
      <c r="B1259" s="1" t="n">
        <v>44900</v>
      </c>
      <c r="C1259" s="1" t="n">
        <v>45711</v>
      </c>
      <c r="D1259" t="inlineStr">
        <is>
          <t>VÄRMLANDS LÄN</t>
        </is>
      </c>
      <c r="E1259" t="inlineStr">
        <is>
          <t>TORSBY</t>
        </is>
      </c>
      <c r="F1259" t="inlineStr">
        <is>
          <t>Bergvik skog väst AB</t>
        </is>
      </c>
      <c r="G1259" t="n">
        <v>14.2</v>
      </c>
      <c r="H1259" t="n">
        <v>0</v>
      </c>
      <c r="I1259" t="n">
        <v>0</v>
      </c>
      <c r="J1259" t="n">
        <v>0</v>
      </c>
      <c r="K1259" t="n">
        <v>0</v>
      </c>
      <c r="L1259" t="n">
        <v>0</v>
      </c>
      <c r="M1259" t="n">
        <v>0</v>
      </c>
      <c r="N1259" t="n">
        <v>0</v>
      </c>
      <c r="O1259" t="n">
        <v>0</v>
      </c>
      <c r="P1259" t="n">
        <v>0</v>
      </c>
      <c r="Q1259" t="n">
        <v>0</v>
      </c>
      <c r="R1259" s="2" t="inlineStr"/>
    </row>
    <row r="1260" ht="15" customHeight="1">
      <c r="A1260" t="inlineStr">
        <is>
          <t>A 58225-2022</t>
        </is>
      </c>
      <c r="B1260" s="1" t="n">
        <v>44901</v>
      </c>
      <c r="C1260" s="1" t="n">
        <v>45711</v>
      </c>
      <c r="D1260" t="inlineStr">
        <is>
          <t>VÄRMLANDS LÄN</t>
        </is>
      </c>
      <c r="E1260" t="inlineStr">
        <is>
          <t>TORSBY</t>
        </is>
      </c>
      <c r="G1260" t="n">
        <v>11.7</v>
      </c>
      <c r="H1260" t="n">
        <v>0</v>
      </c>
      <c r="I1260" t="n">
        <v>0</v>
      </c>
      <c r="J1260" t="n">
        <v>0</v>
      </c>
      <c r="K1260" t="n">
        <v>0</v>
      </c>
      <c r="L1260" t="n">
        <v>0</v>
      </c>
      <c r="M1260" t="n">
        <v>0</v>
      </c>
      <c r="N1260" t="n">
        <v>0</v>
      </c>
      <c r="O1260" t="n">
        <v>0</v>
      </c>
      <c r="P1260" t="n">
        <v>0</v>
      </c>
      <c r="Q1260" t="n">
        <v>0</v>
      </c>
      <c r="R1260" s="2" t="inlineStr"/>
    </row>
    <row r="1261" ht="15" customHeight="1">
      <c r="A1261" t="inlineStr">
        <is>
          <t>A 58276-2022</t>
        </is>
      </c>
      <c r="B1261" s="1" t="n">
        <v>44901</v>
      </c>
      <c r="C1261" s="1" t="n">
        <v>45711</v>
      </c>
      <c r="D1261" t="inlineStr">
        <is>
          <t>VÄRMLANDS LÄN</t>
        </is>
      </c>
      <c r="E1261" t="inlineStr">
        <is>
          <t>TORSBY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58956-2022</t>
        </is>
      </c>
      <c r="B1262" s="1" t="n">
        <v>44903</v>
      </c>
      <c r="C1262" s="1" t="n">
        <v>45711</v>
      </c>
      <c r="D1262" t="inlineStr">
        <is>
          <t>VÄRMLANDS LÄN</t>
        </is>
      </c>
      <c r="E1262" t="inlineStr">
        <is>
          <t>TORSBY</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58869-2022</t>
        </is>
      </c>
      <c r="B1263" s="1" t="n">
        <v>44903</v>
      </c>
      <c r="C1263" s="1" t="n">
        <v>45711</v>
      </c>
      <c r="D1263" t="inlineStr">
        <is>
          <t>VÄRMLANDS LÄN</t>
        </is>
      </c>
      <c r="E1263" t="inlineStr">
        <is>
          <t>TORSBY</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58951-2022</t>
        </is>
      </c>
      <c r="B1264" s="1" t="n">
        <v>44903</v>
      </c>
      <c r="C1264" s="1" t="n">
        <v>45711</v>
      </c>
      <c r="D1264" t="inlineStr">
        <is>
          <t>VÄRMLANDS LÄN</t>
        </is>
      </c>
      <c r="E1264" t="inlineStr">
        <is>
          <t>TORSBY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59097-2022</t>
        </is>
      </c>
      <c r="B1265" s="1" t="n">
        <v>44904</v>
      </c>
      <c r="C1265" s="1" t="n">
        <v>45711</v>
      </c>
      <c r="D1265" t="inlineStr">
        <is>
          <t>VÄRMLANDS LÄN</t>
        </is>
      </c>
      <c r="E1265" t="inlineStr">
        <is>
          <t>TORSBY</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59096-2022</t>
        </is>
      </c>
      <c r="B1266" s="1" t="n">
        <v>44904</v>
      </c>
      <c r="C1266" s="1" t="n">
        <v>45711</v>
      </c>
      <c r="D1266" t="inlineStr">
        <is>
          <t>VÄRMLANDS LÄN</t>
        </is>
      </c>
      <c r="E1266" t="inlineStr">
        <is>
          <t>TORSBY</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59778-2022</t>
        </is>
      </c>
      <c r="B1267" s="1" t="n">
        <v>44908</v>
      </c>
      <c r="C1267" s="1" t="n">
        <v>45711</v>
      </c>
      <c r="D1267" t="inlineStr">
        <is>
          <t>VÄRMLANDS LÄN</t>
        </is>
      </c>
      <c r="E1267" t="inlineStr">
        <is>
          <t>TORSBY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60240-2022</t>
        </is>
      </c>
      <c r="B1268" s="1" t="n">
        <v>44910</v>
      </c>
      <c r="C1268" s="1" t="n">
        <v>45711</v>
      </c>
      <c r="D1268" t="inlineStr">
        <is>
          <t>VÄRMLANDS LÄN</t>
        </is>
      </c>
      <c r="E1268" t="inlineStr">
        <is>
          <t>TORSBY</t>
        </is>
      </c>
      <c r="F1268" t="inlineStr">
        <is>
          <t>Bergvik skog väst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61432-2022</t>
        </is>
      </c>
      <c r="B1269" s="1" t="n">
        <v>44910</v>
      </c>
      <c r="C1269" s="1" t="n">
        <v>45711</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61428-2022</t>
        </is>
      </c>
      <c r="B1270" s="1" t="n">
        <v>44910</v>
      </c>
      <c r="C1270" s="1" t="n">
        <v>45711</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60737-2022</t>
        </is>
      </c>
      <c r="B1271" s="1" t="n">
        <v>44913</v>
      </c>
      <c r="C1271" s="1" t="n">
        <v>45711</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60823-2022</t>
        </is>
      </c>
      <c r="B1272" s="1" t="n">
        <v>44914</v>
      </c>
      <c r="C1272" s="1" t="n">
        <v>45711</v>
      </c>
      <c r="D1272" t="inlineStr">
        <is>
          <t>VÄRMLANDS LÄN</t>
        </is>
      </c>
      <c r="E1272" t="inlineStr">
        <is>
          <t>TORSBY</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61128-2022</t>
        </is>
      </c>
      <c r="B1273" s="1" t="n">
        <v>44915</v>
      </c>
      <c r="C1273" s="1" t="n">
        <v>45711</v>
      </c>
      <c r="D1273" t="inlineStr">
        <is>
          <t>VÄRMLANDS LÄN</t>
        </is>
      </c>
      <c r="E1273" t="inlineStr">
        <is>
          <t>TORSBY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61151-2022</t>
        </is>
      </c>
      <c r="B1274" s="1" t="n">
        <v>44915</v>
      </c>
      <c r="C1274" s="1" t="n">
        <v>45711</v>
      </c>
      <c r="D1274" t="inlineStr">
        <is>
          <t>VÄRMLANDS LÄN</t>
        </is>
      </c>
      <c r="E1274" t="inlineStr">
        <is>
          <t>TORSBY</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61286-2022</t>
        </is>
      </c>
      <c r="B1275" s="1" t="n">
        <v>44915</v>
      </c>
      <c r="C1275" s="1" t="n">
        <v>45711</v>
      </c>
      <c r="D1275" t="inlineStr">
        <is>
          <t>VÄRMLANDS LÄN</t>
        </is>
      </c>
      <c r="E1275" t="inlineStr">
        <is>
          <t>TORSBY</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61321-2022</t>
        </is>
      </c>
      <c r="B1276" s="1" t="n">
        <v>44915</v>
      </c>
      <c r="C1276" s="1" t="n">
        <v>45711</v>
      </c>
      <c r="D1276" t="inlineStr">
        <is>
          <t>VÄRMLANDS LÄN</t>
        </is>
      </c>
      <c r="E1276" t="inlineStr">
        <is>
          <t>TORSBY</t>
        </is>
      </c>
      <c r="G1276" t="n">
        <v>13.3</v>
      </c>
      <c r="H1276" t="n">
        <v>0</v>
      </c>
      <c r="I1276" t="n">
        <v>0</v>
      </c>
      <c r="J1276" t="n">
        <v>0</v>
      </c>
      <c r="K1276" t="n">
        <v>0</v>
      </c>
      <c r="L1276" t="n">
        <v>0</v>
      </c>
      <c r="M1276" t="n">
        <v>0</v>
      </c>
      <c r="N1276" t="n">
        <v>0</v>
      </c>
      <c r="O1276" t="n">
        <v>0</v>
      </c>
      <c r="P1276" t="n">
        <v>0</v>
      </c>
      <c r="Q1276" t="n">
        <v>0</v>
      </c>
      <c r="R1276" s="2" t="inlineStr"/>
    </row>
    <row r="1277" ht="15" customHeight="1">
      <c r="A1277" t="inlineStr">
        <is>
          <t>A 61138-2022</t>
        </is>
      </c>
      <c r="B1277" s="1" t="n">
        <v>44915</v>
      </c>
      <c r="C1277" s="1" t="n">
        <v>45711</v>
      </c>
      <c r="D1277" t="inlineStr">
        <is>
          <t>VÄRMLANDS LÄN</t>
        </is>
      </c>
      <c r="E1277" t="inlineStr">
        <is>
          <t>TORSBY</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61143-2022</t>
        </is>
      </c>
      <c r="B1278" s="1" t="n">
        <v>44915</v>
      </c>
      <c r="C1278" s="1" t="n">
        <v>45711</v>
      </c>
      <c r="D1278" t="inlineStr">
        <is>
          <t>VÄRMLANDS LÄN</t>
        </is>
      </c>
      <c r="E1278" t="inlineStr">
        <is>
          <t>TORSBY</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61290-2022</t>
        </is>
      </c>
      <c r="B1279" s="1" t="n">
        <v>44915</v>
      </c>
      <c r="C1279" s="1" t="n">
        <v>45711</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61367-2022</t>
        </is>
      </c>
      <c r="B1280" s="1" t="n">
        <v>44915</v>
      </c>
      <c r="C1280" s="1" t="n">
        <v>45711</v>
      </c>
      <c r="D1280" t="inlineStr">
        <is>
          <t>VÄRMLANDS LÄN</t>
        </is>
      </c>
      <c r="E1280" t="inlineStr">
        <is>
          <t>TORSBY</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61135-2022</t>
        </is>
      </c>
      <c r="B1281" s="1" t="n">
        <v>44915</v>
      </c>
      <c r="C1281" s="1" t="n">
        <v>45711</v>
      </c>
      <c r="D1281" t="inlineStr">
        <is>
          <t>VÄRMLANDS LÄN</t>
        </is>
      </c>
      <c r="E1281" t="inlineStr">
        <is>
          <t>TORSBY</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61510-2022</t>
        </is>
      </c>
      <c r="B1282" s="1" t="n">
        <v>44916</v>
      </c>
      <c r="C1282" s="1" t="n">
        <v>45711</v>
      </c>
      <c r="D1282" t="inlineStr">
        <is>
          <t>VÄRMLANDS LÄN</t>
        </is>
      </c>
      <c r="E1282" t="inlineStr">
        <is>
          <t>TORSBY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62006-2022</t>
        </is>
      </c>
      <c r="B1283" s="1" t="n">
        <v>44918</v>
      </c>
      <c r="C1283" s="1" t="n">
        <v>45711</v>
      </c>
      <c r="D1283" t="inlineStr">
        <is>
          <t>VÄRMLANDS LÄN</t>
        </is>
      </c>
      <c r="E1283" t="inlineStr">
        <is>
          <t>TORSBY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80-2023</t>
        </is>
      </c>
      <c r="B1284" s="1" t="n">
        <v>44918</v>
      </c>
      <c r="C1284" s="1" t="n">
        <v>45711</v>
      </c>
      <c r="D1284" t="inlineStr">
        <is>
          <t>VÄRMLANDS LÄN</t>
        </is>
      </c>
      <c r="E1284" t="inlineStr">
        <is>
          <t>TORSBY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345-2023</t>
        </is>
      </c>
      <c r="B1285" s="1" t="n">
        <v>44923</v>
      </c>
      <c r="C1285" s="1" t="n">
        <v>45711</v>
      </c>
      <c r="D1285" t="inlineStr">
        <is>
          <t>VÄRMLANDS LÄN</t>
        </is>
      </c>
      <c r="E1285" t="inlineStr">
        <is>
          <t>TORSBY</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363-2023</t>
        </is>
      </c>
      <c r="B1286" s="1" t="n">
        <v>44923</v>
      </c>
      <c r="C1286" s="1" t="n">
        <v>45711</v>
      </c>
      <c r="D1286" t="inlineStr">
        <is>
          <t>VÄRMLANDS LÄN</t>
        </is>
      </c>
      <c r="E1286" t="inlineStr">
        <is>
          <t>TORSBY</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62574-2022</t>
        </is>
      </c>
      <c r="B1287" s="1" t="n">
        <v>44924</v>
      </c>
      <c r="C1287" s="1" t="n">
        <v>45711</v>
      </c>
      <c r="D1287" t="inlineStr">
        <is>
          <t>VÄRMLANDS LÄN</t>
        </is>
      </c>
      <c r="E1287" t="inlineStr">
        <is>
          <t>TORSBY</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522-2023</t>
        </is>
      </c>
      <c r="B1288" s="1" t="n">
        <v>44930</v>
      </c>
      <c r="C1288" s="1" t="n">
        <v>45711</v>
      </c>
      <c r="D1288" t="inlineStr">
        <is>
          <t>VÄRMLANDS LÄN</t>
        </is>
      </c>
      <c r="E1288" t="inlineStr">
        <is>
          <t>TORSBY</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1003-2023</t>
        </is>
      </c>
      <c r="B1289" s="1" t="n">
        <v>44935</v>
      </c>
      <c r="C1289" s="1" t="n">
        <v>45711</v>
      </c>
      <c r="D1289" t="inlineStr">
        <is>
          <t>VÄRMLANDS LÄN</t>
        </is>
      </c>
      <c r="E1289" t="inlineStr">
        <is>
          <t>TORSBY</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1120-2023</t>
        </is>
      </c>
      <c r="B1290" s="1" t="n">
        <v>44935</v>
      </c>
      <c r="C1290" s="1" t="n">
        <v>45711</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1166-2023</t>
        </is>
      </c>
      <c r="B1291" s="1" t="n">
        <v>44935</v>
      </c>
      <c r="C1291" s="1" t="n">
        <v>45711</v>
      </c>
      <c r="D1291" t="inlineStr">
        <is>
          <t>VÄRMLANDS LÄN</t>
        </is>
      </c>
      <c r="E1291" t="inlineStr">
        <is>
          <t>TORSBY</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1123-2023</t>
        </is>
      </c>
      <c r="B1292" s="1" t="n">
        <v>44935</v>
      </c>
      <c r="C1292" s="1" t="n">
        <v>45711</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1386-2023</t>
        </is>
      </c>
      <c r="B1293" s="1" t="n">
        <v>44936</v>
      </c>
      <c r="C1293" s="1" t="n">
        <v>45711</v>
      </c>
      <c r="D1293" t="inlineStr">
        <is>
          <t>VÄRMLANDS LÄN</t>
        </is>
      </c>
      <c r="E1293" t="inlineStr">
        <is>
          <t>TORSBY</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1947-2023</t>
        </is>
      </c>
      <c r="B1294" s="1" t="n">
        <v>44939</v>
      </c>
      <c r="C1294" s="1" t="n">
        <v>45711</v>
      </c>
      <c r="D1294" t="inlineStr">
        <is>
          <t>VÄRMLANDS LÄN</t>
        </is>
      </c>
      <c r="E1294" t="inlineStr">
        <is>
          <t>TORSBY</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1979-2023</t>
        </is>
      </c>
      <c r="B1295" s="1" t="n">
        <v>44939</v>
      </c>
      <c r="C1295" s="1" t="n">
        <v>45711</v>
      </c>
      <c r="D1295" t="inlineStr">
        <is>
          <t>VÄRMLANDS LÄN</t>
        </is>
      </c>
      <c r="E1295" t="inlineStr">
        <is>
          <t>TORSBY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2471-2023</t>
        </is>
      </c>
      <c r="B1296" s="1" t="n">
        <v>44943</v>
      </c>
      <c r="C1296" s="1" t="n">
        <v>45711</v>
      </c>
      <c r="D1296" t="inlineStr">
        <is>
          <t>VÄRMLANDS LÄN</t>
        </is>
      </c>
      <c r="E1296" t="inlineStr">
        <is>
          <t>TORSBY</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2512-2023</t>
        </is>
      </c>
      <c r="B1297" s="1" t="n">
        <v>44943</v>
      </c>
      <c r="C1297" s="1" t="n">
        <v>45711</v>
      </c>
      <c r="D1297" t="inlineStr">
        <is>
          <t>VÄRMLANDS LÄN</t>
        </is>
      </c>
      <c r="E1297" t="inlineStr">
        <is>
          <t>TORSBY</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3098-2023</t>
        </is>
      </c>
      <c r="B1298" s="1" t="n">
        <v>44946</v>
      </c>
      <c r="C1298" s="1" t="n">
        <v>45711</v>
      </c>
      <c r="D1298" t="inlineStr">
        <is>
          <t>VÄRMLANDS LÄN</t>
        </is>
      </c>
      <c r="E1298" t="inlineStr">
        <is>
          <t>TORSBY</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3103-2023</t>
        </is>
      </c>
      <c r="B1299" s="1" t="n">
        <v>44946</v>
      </c>
      <c r="C1299" s="1" t="n">
        <v>45711</v>
      </c>
      <c r="D1299" t="inlineStr">
        <is>
          <t>VÄRMLANDS LÄN</t>
        </is>
      </c>
      <c r="E1299" t="inlineStr">
        <is>
          <t>TORSBY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3256-2023</t>
        </is>
      </c>
      <c r="B1300" s="1" t="n">
        <v>44948</v>
      </c>
      <c r="C1300" s="1" t="n">
        <v>45711</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3421-2023</t>
        </is>
      </c>
      <c r="B1301" s="1" t="n">
        <v>44949</v>
      </c>
      <c r="C1301" s="1" t="n">
        <v>45711</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3489-2023</t>
        </is>
      </c>
      <c r="B1302" s="1" t="n">
        <v>44949</v>
      </c>
      <c r="C1302" s="1" t="n">
        <v>45711</v>
      </c>
      <c r="D1302" t="inlineStr">
        <is>
          <t>VÄRMLANDS LÄN</t>
        </is>
      </c>
      <c r="E1302" t="inlineStr">
        <is>
          <t>TORSBY</t>
        </is>
      </c>
      <c r="F1302" t="inlineStr">
        <is>
          <t>Kommuner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3491-2023</t>
        </is>
      </c>
      <c r="B1303" s="1" t="n">
        <v>44949</v>
      </c>
      <c r="C1303" s="1" t="n">
        <v>45711</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3542-2023</t>
        </is>
      </c>
      <c r="B1304" s="1" t="n">
        <v>44950</v>
      </c>
      <c r="C1304" s="1" t="n">
        <v>45711</v>
      </c>
      <c r="D1304" t="inlineStr">
        <is>
          <t>VÄRMLANDS LÄN</t>
        </is>
      </c>
      <c r="E1304" t="inlineStr">
        <is>
          <t>TORSBY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3666-2023</t>
        </is>
      </c>
      <c r="B1305" s="1" t="n">
        <v>44950</v>
      </c>
      <c r="C1305" s="1" t="n">
        <v>45711</v>
      </c>
      <c r="D1305" t="inlineStr">
        <is>
          <t>VÄRMLANDS LÄN</t>
        </is>
      </c>
      <c r="E1305" t="inlineStr">
        <is>
          <t>TORSBY</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3670-2023</t>
        </is>
      </c>
      <c r="B1306" s="1" t="n">
        <v>44950</v>
      </c>
      <c r="C1306" s="1" t="n">
        <v>45711</v>
      </c>
      <c r="D1306" t="inlineStr">
        <is>
          <t>VÄRMLANDS LÄN</t>
        </is>
      </c>
      <c r="E1306" t="inlineStr">
        <is>
          <t>TORSBY</t>
        </is>
      </c>
      <c r="G1306" t="n">
        <v>15.4</v>
      </c>
      <c r="H1306" t="n">
        <v>0</v>
      </c>
      <c r="I1306" t="n">
        <v>0</v>
      </c>
      <c r="J1306" t="n">
        <v>0</v>
      </c>
      <c r="K1306" t="n">
        <v>0</v>
      </c>
      <c r="L1306" t="n">
        <v>0</v>
      </c>
      <c r="M1306" t="n">
        <v>0</v>
      </c>
      <c r="N1306" t="n">
        <v>0</v>
      </c>
      <c r="O1306" t="n">
        <v>0</v>
      </c>
      <c r="P1306" t="n">
        <v>0</v>
      </c>
      <c r="Q1306" t="n">
        <v>0</v>
      </c>
      <c r="R1306" s="2" t="inlineStr"/>
    </row>
    <row r="1307" ht="15" customHeight="1">
      <c r="A1307" t="inlineStr">
        <is>
          <t>A 3667-2023</t>
        </is>
      </c>
      <c r="B1307" s="1" t="n">
        <v>44950</v>
      </c>
      <c r="C1307" s="1" t="n">
        <v>45711</v>
      </c>
      <c r="D1307" t="inlineStr">
        <is>
          <t>VÄRMLANDS LÄN</t>
        </is>
      </c>
      <c r="E1307" t="inlineStr">
        <is>
          <t>TORSBY</t>
        </is>
      </c>
      <c r="G1307" t="n">
        <v>21.2</v>
      </c>
      <c r="H1307" t="n">
        <v>0</v>
      </c>
      <c r="I1307" t="n">
        <v>0</v>
      </c>
      <c r="J1307" t="n">
        <v>0</v>
      </c>
      <c r="K1307" t="n">
        <v>0</v>
      </c>
      <c r="L1307" t="n">
        <v>0</v>
      </c>
      <c r="M1307" t="n">
        <v>0</v>
      </c>
      <c r="N1307" t="n">
        <v>0</v>
      </c>
      <c r="O1307" t="n">
        <v>0</v>
      </c>
      <c r="P1307" t="n">
        <v>0</v>
      </c>
      <c r="Q1307" t="n">
        <v>0</v>
      </c>
      <c r="R1307" s="2" t="inlineStr"/>
    </row>
    <row r="1308" ht="15" customHeight="1">
      <c r="A1308" t="inlineStr">
        <is>
          <t>A 3672-2023</t>
        </is>
      </c>
      <c r="B1308" s="1" t="n">
        <v>44950</v>
      </c>
      <c r="C1308" s="1" t="n">
        <v>45711</v>
      </c>
      <c r="D1308" t="inlineStr">
        <is>
          <t>VÄRMLANDS LÄN</t>
        </is>
      </c>
      <c r="E1308" t="inlineStr">
        <is>
          <t>TORSBY</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3881-2023</t>
        </is>
      </c>
      <c r="B1309" s="1" t="n">
        <v>44951</v>
      </c>
      <c r="C1309" s="1" t="n">
        <v>45711</v>
      </c>
      <c r="D1309" t="inlineStr">
        <is>
          <t>VÄRMLANDS LÄN</t>
        </is>
      </c>
      <c r="E1309" t="inlineStr">
        <is>
          <t>TORSBY</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4250-2023</t>
        </is>
      </c>
      <c r="B1310" s="1" t="n">
        <v>44953</v>
      </c>
      <c r="C1310" s="1" t="n">
        <v>45711</v>
      </c>
      <c r="D1310" t="inlineStr">
        <is>
          <t>VÄRMLANDS LÄN</t>
        </is>
      </c>
      <c r="E1310" t="inlineStr">
        <is>
          <t>TORSBY</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4236-2023</t>
        </is>
      </c>
      <c r="B1311" s="1" t="n">
        <v>44953</v>
      </c>
      <c r="C1311" s="1" t="n">
        <v>45711</v>
      </c>
      <c r="D1311" t="inlineStr">
        <is>
          <t>VÄRMLANDS LÄN</t>
        </is>
      </c>
      <c r="E1311" t="inlineStr">
        <is>
          <t>TORSBY</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4433-2023</t>
        </is>
      </c>
      <c r="B1312" s="1" t="n">
        <v>44956</v>
      </c>
      <c r="C1312" s="1" t="n">
        <v>45711</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4510-2023</t>
        </is>
      </c>
      <c r="B1313" s="1" t="n">
        <v>44956</v>
      </c>
      <c r="C1313" s="1" t="n">
        <v>45711</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4568-2023</t>
        </is>
      </c>
      <c r="B1314" s="1" t="n">
        <v>44956</v>
      </c>
      <c r="C1314" s="1" t="n">
        <v>45711</v>
      </c>
      <c r="D1314" t="inlineStr">
        <is>
          <t>VÄRMLANDS LÄN</t>
        </is>
      </c>
      <c r="E1314" t="inlineStr">
        <is>
          <t>TORSBY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4585-2023</t>
        </is>
      </c>
      <c r="B1315" s="1" t="n">
        <v>44956</v>
      </c>
      <c r="C1315" s="1" t="n">
        <v>45711</v>
      </c>
      <c r="D1315" t="inlineStr">
        <is>
          <t>VÄRMLANDS LÄN</t>
        </is>
      </c>
      <c r="E1315" t="inlineStr">
        <is>
          <t>TORSBY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4707-2023</t>
        </is>
      </c>
      <c r="B1316" s="1" t="n">
        <v>44957</v>
      </c>
      <c r="C1316" s="1" t="n">
        <v>45711</v>
      </c>
      <c r="D1316" t="inlineStr">
        <is>
          <t>VÄRMLANDS LÄN</t>
        </is>
      </c>
      <c r="E1316" t="inlineStr">
        <is>
          <t>TORSBY</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5216-2023</t>
        </is>
      </c>
      <c r="B1317" s="1" t="n">
        <v>44959</v>
      </c>
      <c r="C1317" s="1" t="n">
        <v>45711</v>
      </c>
      <c r="D1317" t="inlineStr">
        <is>
          <t>VÄRMLANDS LÄN</t>
        </is>
      </c>
      <c r="E1317" t="inlineStr">
        <is>
          <t>TORSBY</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5492-2023</t>
        </is>
      </c>
      <c r="B1318" s="1" t="n">
        <v>44959</v>
      </c>
      <c r="C1318" s="1" t="n">
        <v>45711</v>
      </c>
      <c r="D1318" t="inlineStr">
        <is>
          <t>VÄRMLANDS LÄN</t>
        </is>
      </c>
      <c r="E1318" t="inlineStr">
        <is>
          <t>TORSBY</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6708-2023</t>
        </is>
      </c>
      <c r="B1319" s="1" t="n">
        <v>44960</v>
      </c>
      <c r="C1319" s="1" t="n">
        <v>45711</v>
      </c>
      <c r="D1319" t="inlineStr">
        <is>
          <t>VÄRMLANDS LÄN</t>
        </is>
      </c>
      <c r="E1319" t="inlineStr">
        <is>
          <t>TORSBY</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6702-2023</t>
        </is>
      </c>
      <c r="B1320" s="1" t="n">
        <v>44960</v>
      </c>
      <c r="C1320" s="1" t="n">
        <v>45711</v>
      </c>
      <c r="D1320" t="inlineStr">
        <is>
          <t>VÄRMLANDS LÄN</t>
        </is>
      </c>
      <c r="E1320" t="inlineStr">
        <is>
          <t>TORSBY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6715-2023</t>
        </is>
      </c>
      <c r="B1321" s="1" t="n">
        <v>44960</v>
      </c>
      <c r="C1321" s="1" t="n">
        <v>45711</v>
      </c>
      <c r="D1321" t="inlineStr">
        <is>
          <t>VÄRMLANDS LÄN</t>
        </is>
      </c>
      <c r="E1321" t="inlineStr">
        <is>
          <t>TORSBY</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6711-2023</t>
        </is>
      </c>
      <c r="B1322" s="1" t="n">
        <v>44960</v>
      </c>
      <c r="C1322" s="1" t="n">
        <v>45711</v>
      </c>
      <c r="D1322" t="inlineStr">
        <is>
          <t>VÄRMLANDS LÄN</t>
        </is>
      </c>
      <c r="E1322" t="inlineStr">
        <is>
          <t>TORSBY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6713-2023</t>
        </is>
      </c>
      <c r="B1323" s="1" t="n">
        <v>44960</v>
      </c>
      <c r="C1323" s="1" t="n">
        <v>45711</v>
      </c>
      <c r="D1323" t="inlineStr">
        <is>
          <t>VÄRMLANDS LÄN</t>
        </is>
      </c>
      <c r="E1323" t="inlineStr">
        <is>
          <t>TORSBY</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5830-2023</t>
        </is>
      </c>
      <c r="B1324" s="1" t="n">
        <v>44963</v>
      </c>
      <c r="C1324" s="1" t="n">
        <v>45711</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5763-2023</t>
        </is>
      </c>
      <c r="B1325" s="1" t="n">
        <v>44963</v>
      </c>
      <c r="C1325" s="1" t="n">
        <v>45711</v>
      </c>
      <c r="D1325" t="inlineStr">
        <is>
          <t>VÄRMLANDS LÄN</t>
        </is>
      </c>
      <c r="E1325" t="inlineStr">
        <is>
          <t>TORSBY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6863-2023</t>
        </is>
      </c>
      <c r="B1326" s="1" t="n">
        <v>44964</v>
      </c>
      <c r="C1326" s="1" t="n">
        <v>45711</v>
      </c>
      <c r="D1326" t="inlineStr">
        <is>
          <t>VÄRMLANDS LÄN</t>
        </is>
      </c>
      <c r="E1326" t="inlineStr">
        <is>
          <t>TORSBY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7283-2023</t>
        </is>
      </c>
      <c r="B1327" s="1" t="n">
        <v>44970</v>
      </c>
      <c r="C1327" s="1" t="n">
        <v>45711</v>
      </c>
      <c r="D1327" t="inlineStr">
        <is>
          <t>VÄRMLANDS LÄN</t>
        </is>
      </c>
      <c r="E1327" t="inlineStr">
        <is>
          <t>TORSBY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7127-2023</t>
        </is>
      </c>
      <c r="B1328" s="1" t="n">
        <v>44970</v>
      </c>
      <c r="C1328" s="1" t="n">
        <v>45711</v>
      </c>
      <c r="D1328" t="inlineStr">
        <is>
          <t>VÄRMLANDS LÄN</t>
        </is>
      </c>
      <c r="E1328" t="inlineStr">
        <is>
          <t>TORSBY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7133-2023</t>
        </is>
      </c>
      <c r="B1329" s="1" t="n">
        <v>44970</v>
      </c>
      <c r="C1329" s="1" t="n">
        <v>45711</v>
      </c>
      <c r="D1329" t="inlineStr">
        <is>
          <t>VÄRMLANDS LÄN</t>
        </is>
      </c>
      <c r="E1329" t="inlineStr">
        <is>
          <t>TORSBY</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7405-2023</t>
        </is>
      </c>
      <c r="B1330" s="1" t="n">
        <v>44971</v>
      </c>
      <c r="C1330" s="1" t="n">
        <v>45711</v>
      </c>
      <c r="D1330" t="inlineStr">
        <is>
          <t>VÄRMLANDS LÄN</t>
        </is>
      </c>
      <c r="E1330" t="inlineStr">
        <is>
          <t>TORSBY</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8194-2023</t>
        </is>
      </c>
      <c r="B1331" s="1" t="n">
        <v>44971</v>
      </c>
      <c r="C1331" s="1" t="n">
        <v>45711</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8192-2023</t>
        </is>
      </c>
      <c r="B1332" s="1" t="n">
        <v>44971</v>
      </c>
      <c r="C1332" s="1" t="n">
        <v>45711</v>
      </c>
      <c r="D1332" t="inlineStr">
        <is>
          <t>VÄRMLANDS LÄN</t>
        </is>
      </c>
      <c r="E1332" t="inlineStr">
        <is>
          <t>TORSBY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7745-2023</t>
        </is>
      </c>
      <c r="B1333" s="1" t="n">
        <v>44973</v>
      </c>
      <c r="C1333" s="1" t="n">
        <v>45711</v>
      </c>
      <c r="D1333" t="inlineStr">
        <is>
          <t>VÄRMLANDS LÄN</t>
        </is>
      </c>
      <c r="E1333" t="inlineStr">
        <is>
          <t>TORSBY</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7753-2023</t>
        </is>
      </c>
      <c r="B1334" s="1" t="n">
        <v>44973</v>
      </c>
      <c r="C1334" s="1" t="n">
        <v>45711</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8016-2023</t>
        </is>
      </c>
      <c r="B1335" s="1" t="n">
        <v>44973</v>
      </c>
      <c r="C1335" s="1" t="n">
        <v>45711</v>
      </c>
      <c r="D1335" t="inlineStr">
        <is>
          <t>VÄRMLANDS LÄN</t>
        </is>
      </c>
      <c r="E1335" t="inlineStr">
        <is>
          <t>TORSBY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8910-2023</t>
        </is>
      </c>
      <c r="B1336" s="1" t="n">
        <v>44973</v>
      </c>
      <c r="C1336" s="1" t="n">
        <v>45711</v>
      </c>
      <c r="D1336" t="inlineStr">
        <is>
          <t>VÄRMLANDS LÄN</t>
        </is>
      </c>
      <c r="E1336" t="inlineStr">
        <is>
          <t>TORSBY</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8012-2023</t>
        </is>
      </c>
      <c r="B1337" s="1" t="n">
        <v>44973</v>
      </c>
      <c r="C1337" s="1" t="n">
        <v>45711</v>
      </c>
      <c r="D1337" t="inlineStr">
        <is>
          <t>VÄRMLANDS LÄN</t>
        </is>
      </c>
      <c r="E1337" t="inlineStr">
        <is>
          <t>TORSBY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8284-2023</t>
        </is>
      </c>
      <c r="B1338" s="1" t="n">
        <v>44974</v>
      </c>
      <c r="C1338" s="1" t="n">
        <v>45711</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8281-2023</t>
        </is>
      </c>
      <c r="B1339" s="1" t="n">
        <v>44974</v>
      </c>
      <c r="C1339" s="1" t="n">
        <v>45711</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8287-2023</t>
        </is>
      </c>
      <c r="B1340" s="1" t="n">
        <v>44974</v>
      </c>
      <c r="C1340" s="1" t="n">
        <v>45711</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8931-2023</t>
        </is>
      </c>
      <c r="B1341" s="1" t="n">
        <v>44974</v>
      </c>
      <c r="C1341" s="1" t="n">
        <v>45711</v>
      </c>
      <c r="D1341" t="inlineStr">
        <is>
          <t>VÄRMLANDS LÄN</t>
        </is>
      </c>
      <c r="E1341" t="inlineStr">
        <is>
          <t>TORSBY</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8928-2023</t>
        </is>
      </c>
      <c r="B1342" s="1" t="n">
        <v>44974</v>
      </c>
      <c r="C1342" s="1" t="n">
        <v>45711</v>
      </c>
      <c r="D1342" t="inlineStr">
        <is>
          <t>VÄRMLANDS LÄN</t>
        </is>
      </c>
      <c r="E1342" t="inlineStr">
        <is>
          <t>TORSBY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8447-2023</t>
        </is>
      </c>
      <c r="B1343" s="1" t="n">
        <v>44977</v>
      </c>
      <c r="C1343" s="1" t="n">
        <v>45711</v>
      </c>
      <c r="D1343" t="inlineStr">
        <is>
          <t>VÄRMLANDS LÄN</t>
        </is>
      </c>
      <c r="E1343" t="inlineStr">
        <is>
          <t>TORSBY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9453-2023</t>
        </is>
      </c>
      <c r="B1344" s="1" t="n">
        <v>44977</v>
      </c>
      <c r="C1344" s="1" t="n">
        <v>45711</v>
      </c>
      <c r="D1344" t="inlineStr">
        <is>
          <t>VÄRMLANDS LÄN</t>
        </is>
      </c>
      <c r="E1344" t="inlineStr">
        <is>
          <t>TORSBY</t>
        </is>
      </c>
      <c r="F1344" t="inlineStr">
        <is>
          <t>Kyrkan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8819-2023</t>
        </is>
      </c>
      <c r="B1345" s="1" t="n">
        <v>44978</v>
      </c>
      <c r="C1345" s="1" t="n">
        <v>45711</v>
      </c>
      <c r="D1345" t="inlineStr">
        <is>
          <t>VÄRMLANDS LÄN</t>
        </is>
      </c>
      <c r="E1345" t="inlineStr">
        <is>
          <t>TORSBY</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9067-2023</t>
        </is>
      </c>
      <c r="B1346" s="1" t="n">
        <v>44979</v>
      </c>
      <c r="C1346" s="1" t="n">
        <v>45711</v>
      </c>
      <c r="D1346" t="inlineStr">
        <is>
          <t>VÄRMLANDS LÄN</t>
        </is>
      </c>
      <c r="E1346" t="inlineStr">
        <is>
          <t>TORSBY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9056-2023</t>
        </is>
      </c>
      <c r="B1347" s="1" t="n">
        <v>44979</v>
      </c>
      <c r="C1347" s="1" t="n">
        <v>45711</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10027-2023</t>
        </is>
      </c>
      <c r="B1348" s="1" t="n">
        <v>44979</v>
      </c>
      <c r="C1348" s="1" t="n">
        <v>45711</v>
      </c>
      <c r="D1348" t="inlineStr">
        <is>
          <t>VÄRMLANDS LÄN</t>
        </is>
      </c>
      <c r="E1348" t="inlineStr">
        <is>
          <t>TORSBY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10033-2023</t>
        </is>
      </c>
      <c r="B1349" s="1" t="n">
        <v>44979</v>
      </c>
      <c r="C1349" s="1" t="n">
        <v>45711</v>
      </c>
      <c r="D1349" t="inlineStr">
        <is>
          <t>VÄRMLANDS LÄN</t>
        </is>
      </c>
      <c r="E1349" t="inlineStr">
        <is>
          <t>TORSBY</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10024-2023</t>
        </is>
      </c>
      <c r="B1350" s="1" t="n">
        <v>44979</v>
      </c>
      <c r="C1350" s="1" t="n">
        <v>45711</v>
      </c>
      <c r="D1350" t="inlineStr">
        <is>
          <t>VÄRMLANDS LÄN</t>
        </is>
      </c>
      <c r="E1350" t="inlineStr">
        <is>
          <t>TORSBY</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9327-2023</t>
        </is>
      </c>
      <c r="B1351" s="1" t="n">
        <v>44980</v>
      </c>
      <c r="C1351" s="1" t="n">
        <v>45711</v>
      </c>
      <c r="D1351" t="inlineStr">
        <is>
          <t>VÄRMLANDS LÄN</t>
        </is>
      </c>
      <c r="E1351" t="inlineStr">
        <is>
          <t>TORSBY</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10479-2023</t>
        </is>
      </c>
      <c r="B1352" s="1" t="n">
        <v>44981</v>
      </c>
      <c r="C1352" s="1" t="n">
        <v>45711</v>
      </c>
      <c r="D1352" t="inlineStr">
        <is>
          <t>VÄRMLANDS LÄN</t>
        </is>
      </c>
      <c r="E1352" t="inlineStr">
        <is>
          <t>TORSBY</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10473-2023</t>
        </is>
      </c>
      <c r="B1353" s="1" t="n">
        <v>44981</v>
      </c>
      <c r="C1353" s="1" t="n">
        <v>45711</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10471-2023</t>
        </is>
      </c>
      <c r="B1354" s="1" t="n">
        <v>44981</v>
      </c>
      <c r="C1354" s="1" t="n">
        <v>45711</v>
      </c>
      <c r="D1354" t="inlineStr">
        <is>
          <t>VÄRMLANDS LÄN</t>
        </is>
      </c>
      <c r="E1354" t="inlineStr">
        <is>
          <t>TORSBY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9575-2023</t>
        </is>
      </c>
      <c r="B1355" s="1" t="n">
        <v>44982</v>
      </c>
      <c r="C1355" s="1" t="n">
        <v>45711</v>
      </c>
      <c r="D1355" t="inlineStr">
        <is>
          <t>VÄRMLANDS LÄN</t>
        </is>
      </c>
      <c r="E1355" t="inlineStr">
        <is>
          <t>TORSBY</t>
        </is>
      </c>
      <c r="F1355" t="inlineStr">
        <is>
          <t>Övriga statliga verk och myndigheter</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9574-2023</t>
        </is>
      </c>
      <c r="B1356" s="1" t="n">
        <v>44982</v>
      </c>
      <c r="C1356" s="1" t="n">
        <v>45711</v>
      </c>
      <c r="D1356" t="inlineStr">
        <is>
          <t>VÄRMLANDS LÄN</t>
        </is>
      </c>
      <c r="E1356" t="inlineStr">
        <is>
          <t>TORSBY</t>
        </is>
      </c>
      <c r="F1356" t="inlineStr">
        <is>
          <t>Övriga statliga verk och myndigheter</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9578-2023</t>
        </is>
      </c>
      <c r="B1357" s="1" t="n">
        <v>44982</v>
      </c>
      <c r="C1357" s="1" t="n">
        <v>45711</v>
      </c>
      <c r="D1357" t="inlineStr">
        <is>
          <t>VÄRMLANDS LÄN</t>
        </is>
      </c>
      <c r="E1357" t="inlineStr">
        <is>
          <t>TORSBY</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10888-2023</t>
        </is>
      </c>
      <c r="B1358" s="1" t="n">
        <v>44985</v>
      </c>
      <c r="C1358" s="1" t="n">
        <v>45711</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10155-2023</t>
        </is>
      </c>
      <c r="B1359" s="1" t="n">
        <v>44986</v>
      </c>
      <c r="C1359" s="1" t="n">
        <v>45711</v>
      </c>
      <c r="D1359" t="inlineStr">
        <is>
          <t>VÄRMLANDS LÄN</t>
        </is>
      </c>
      <c r="E1359" t="inlineStr">
        <is>
          <t>TORSBY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10218-2023</t>
        </is>
      </c>
      <c r="B1360" s="1" t="n">
        <v>44986</v>
      </c>
      <c r="C1360" s="1" t="n">
        <v>45711</v>
      </c>
      <c r="D1360" t="inlineStr">
        <is>
          <t>VÄRMLANDS LÄN</t>
        </is>
      </c>
      <c r="E1360" t="inlineStr">
        <is>
          <t>TORSBY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10228-2023</t>
        </is>
      </c>
      <c r="B1361" s="1" t="n">
        <v>44986</v>
      </c>
      <c r="C1361" s="1" t="n">
        <v>45711</v>
      </c>
      <c r="D1361" t="inlineStr">
        <is>
          <t>VÄRMLANDS LÄN</t>
        </is>
      </c>
      <c r="E1361" t="inlineStr">
        <is>
          <t>TORSBY</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10662-2023</t>
        </is>
      </c>
      <c r="B1362" s="1" t="n">
        <v>44988</v>
      </c>
      <c r="C1362" s="1" t="n">
        <v>45711</v>
      </c>
      <c r="D1362" t="inlineStr">
        <is>
          <t>VÄRMLANDS LÄN</t>
        </is>
      </c>
      <c r="E1362" t="inlineStr">
        <is>
          <t>TORSBY</t>
        </is>
      </c>
      <c r="G1362" t="n">
        <v>9.9</v>
      </c>
      <c r="H1362" t="n">
        <v>0</v>
      </c>
      <c r="I1362" t="n">
        <v>0</v>
      </c>
      <c r="J1362" t="n">
        <v>0</v>
      </c>
      <c r="K1362" t="n">
        <v>0</v>
      </c>
      <c r="L1362" t="n">
        <v>0</v>
      </c>
      <c r="M1362" t="n">
        <v>0</v>
      </c>
      <c r="N1362" t="n">
        <v>0</v>
      </c>
      <c r="O1362" t="n">
        <v>0</v>
      </c>
      <c r="P1362" t="n">
        <v>0</v>
      </c>
      <c r="Q1362" t="n">
        <v>0</v>
      </c>
      <c r="R1362" s="2" t="inlineStr"/>
    </row>
    <row r="1363" ht="15" customHeight="1">
      <c r="A1363" t="inlineStr">
        <is>
          <t>A 10583-2023</t>
        </is>
      </c>
      <c r="B1363" s="1" t="n">
        <v>44988</v>
      </c>
      <c r="C1363" s="1" t="n">
        <v>45711</v>
      </c>
      <c r="D1363" t="inlineStr">
        <is>
          <t>VÄRMLANDS LÄN</t>
        </is>
      </c>
      <c r="E1363" t="inlineStr">
        <is>
          <t>TORSBY</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10666-2023</t>
        </is>
      </c>
      <c r="B1364" s="1" t="n">
        <v>44988</v>
      </c>
      <c r="C1364" s="1" t="n">
        <v>45711</v>
      </c>
      <c r="D1364" t="inlineStr">
        <is>
          <t>VÄRMLANDS LÄN</t>
        </is>
      </c>
      <c r="E1364" t="inlineStr">
        <is>
          <t>TORSBY</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10698-2023</t>
        </is>
      </c>
      <c r="B1365" s="1" t="n">
        <v>44988</v>
      </c>
      <c r="C1365" s="1" t="n">
        <v>45711</v>
      </c>
      <c r="D1365" t="inlineStr">
        <is>
          <t>VÄRMLANDS LÄN</t>
        </is>
      </c>
      <c r="E1365" t="inlineStr">
        <is>
          <t>TORSBY</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11364-2023</t>
        </is>
      </c>
      <c r="B1366" s="1" t="n">
        <v>44993</v>
      </c>
      <c r="C1366" s="1" t="n">
        <v>45711</v>
      </c>
      <c r="D1366" t="inlineStr">
        <is>
          <t>VÄRMLANDS LÄN</t>
        </is>
      </c>
      <c r="E1366" t="inlineStr">
        <is>
          <t>TORSBY</t>
        </is>
      </c>
      <c r="G1366" t="n">
        <v>31.9</v>
      </c>
      <c r="H1366" t="n">
        <v>0</v>
      </c>
      <c r="I1366" t="n">
        <v>0</v>
      </c>
      <c r="J1366" t="n">
        <v>0</v>
      </c>
      <c r="K1366" t="n">
        <v>0</v>
      </c>
      <c r="L1366" t="n">
        <v>0</v>
      </c>
      <c r="M1366" t="n">
        <v>0</v>
      </c>
      <c r="N1366" t="n">
        <v>0</v>
      </c>
      <c r="O1366" t="n">
        <v>0</v>
      </c>
      <c r="P1366" t="n">
        <v>0</v>
      </c>
      <c r="Q1366" t="n">
        <v>0</v>
      </c>
      <c r="R1366" s="2" t="inlineStr"/>
    </row>
    <row r="1367" ht="15" customHeight="1">
      <c r="A1367" t="inlineStr">
        <is>
          <t>A 11366-2023</t>
        </is>
      </c>
      <c r="B1367" s="1" t="n">
        <v>44993</v>
      </c>
      <c r="C1367" s="1" t="n">
        <v>45711</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12441-2023</t>
        </is>
      </c>
      <c r="B1368" s="1" t="n">
        <v>44999</v>
      </c>
      <c r="C1368" s="1" t="n">
        <v>45711</v>
      </c>
      <c r="D1368" t="inlineStr">
        <is>
          <t>VÄRMLANDS LÄN</t>
        </is>
      </c>
      <c r="E1368" t="inlineStr">
        <is>
          <t>TORSBY</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12453-2023</t>
        </is>
      </c>
      <c r="B1369" s="1" t="n">
        <v>44999</v>
      </c>
      <c r="C1369" s="1" t="n">
        <v>45711</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12458-2023</t>
        </is>
      </c>
      <c r="B1370" s="1" t="n">
        <v>44999</v>
      </c>
      <c r="C1370" s="1" t="n">
        <v>45711</v>
      </c>
      <c r="D1370" t="inlineStr">
        <is>
          <t>VÄRMLANDS LÄN</t>
        </is>
      </c>
      <c r="E1370" t="inlineStr">
        <is>
          <t>TORSBY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12467-2023</t>
        </is>
      </c>
      <c r="B1371" s="1" t="n">
        <v>44999</v>
      </c>
      <c r="C1371" s="1" t="n">
        <v>45711</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12689-2023</t>
        </is>
      </c>
      <c r="B1372" s="1" t="n">
        <v>45000</v>
      </c>
      <c r="C1372" s="1" t="n">
        <v>45711</v>
      </c>
      <c r="D1372" t="inlineStr">
        <is>
          <t>VÄRMLANDS LÄN</t>
        </is>
      </c>
      <c r="E1372" t="inlineStr">
        <is>
          <t>TORSBY</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12637-2023</t>
        </is>
      </c>
      <c r="B1373" s="1" t="n">
        <v>45000</v>
      </c>
      <c r="C1373" s="1" t="n">
        <v>45711</v>
      </c>
      <c r="D1373" t="inlineStr">
        <is>
          <t>VÄRMLANDS LÄN</t>
        </is>
      </c>
      <c r="E1373" t="inlineStr">
        <is>
          <t>TORSBY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12670-2023</t>
        </is>
      </c>
      <c r="B1374" s="1" t="n">
        <v>45000</v>
      </c>
      <c r="C1374" s="1" t="n">
        <v>45711</v>
      </c>
      <c r="D1374" t="inlineStr">
        <is>
          <t>VÄRMLANDS LÄN</t>
        </is>
      </c>
      <c r="E1374" t="inlineStr">
        <is>
          <t>TORSBY</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12933-2023</t>
        </is>
      </c>
      <c r="B1375" s="1" t="n">
        <v>45001</v>
      </c>
      <c r="C1375" s="1" t="n">
        <v>45711</v>
      </c>
      <c r="D1375" t="inlineStr">
        <is>
          <t>VÄRMLANDS LÄN</t>
        </is>
      </c>
      <c r="E1375" t="inlineStr">
        <is>
          <t>TORSBY</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13054-2023</t>
        </is>
      </c>
      <c r="B1376" s="1" t="n">
        <v>45001</v>
      </c>
      <c r="C1376" s="1" t="n">
        <v>45711</v>
      </c>
      <c r="D1376" t="inlineStr">
        <is>
          <t>VÄRMLANDS LÄN</t>
        </is>
      </c>
      <c r="E1376" t="inlineStr">
        <is>
          <t>TORSBY</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13048-2023</t>
        </is>
      </c>
      <c r="B1377" s="1" t="n">
        <v>45001</v>
      </c>
      <c r="C1377" s="1" t="n">
        <v>45711</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12968-2023</t>
        </is>
      </c>
      <c r="B1378" s="1" t="n">
        <v>45001</v>
      </c>
      <c r="C1378" s="1" t="n">
        <v>45711</v>
      </c>
      <c r="D1378" t="inlineStr">
        <is>
          <t>VÄRMLANDS LÄN</t>
        </is>
      </c>
      <c r="E1378" t="inlineStr">
        <is>
          <t>TORSBY</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13791-2023</t>
        </is>
      </c>
      <c r="B1379" s="1" t="n">
        <v>45005</v>
      </c>
      <c r="C1379" s="1" t="n">
        <v>45711</v>
      </c>
      <c r="D1379" t="inlineStr">
        <is>
          <t>VÄRMLANDS LÄN</t>
        </is>
      </c>
      <c r="E1379" t="inlineStr">
        <is>
          <t>TORSBY</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13561-2023</t>
        </is>
      </c>
      <c r="B1380" s="1" t="n">
        <v>45006</v>
      </c>
      <c r="C1380" s="1" t="n">
        <v>45711</v>
      </c>
      <c r="D1380" t="inlineStr">
        <is>
          <t>VÄRMLANDS LÄN</t>
        </is>
      </c>
      <c r="E1380" t="inlineStr">
        <is>
          <t>TORSBY</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13586-2023</t>
        </is>
      </c>
      <c r="B1381" s="1" t="n">
        <v>45006</v>
      </c>
      <c r="C1381" s="1" t="n">
        <v>45711</v>
      </c>
      <c r="D1381" t="inlineStr">
        <is>
          <t>VÄRMLANDS LÄN</t>
        </is>
      </c>
      <c r="E1381" t="inlineStr">
        <is>
          <t>TORSBY</t>
        </is>
      </c>
      <c r="F1381" t="inlineStr">
        <is>
          <t>Kommuner</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13785-2023</t>
        </is>
      </c>
      <c r="B1382" s="1" t="n">
        <v>45007</v>
      </c>
      <c r="C1382" s="1" t="n">
        <v>45711</v>
      </c>
      <c r="D1382" t="inlineStr">
        <is>
          <t>VÄRMLANDS LÄN</t>
        </is>
      </c>
      <c r="E1382" t="inlineStr">
        <is>
          <t>TORSBY</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13723-2023</t>
        </is>
      </c>
      <c r="B1383" s="1" t="n">
        <v>45007</v>
      </c>
      <c r="C1383" s="1" t="n">
        <v>45711</v>
      </c>
      <c r="D1383" t="inlineStr">
        <is>
          <t>VÄRMLANDS LÄN</t>
        </is>
      </c>
      <c r="E1383" t="inlineStr">
        <is>
          <t>TORSBY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14293-2023</t>
        </is>
      </c>
      <c r="B1384" s="1" t="n">
        <v>45011</v>
      </c>
      <c r="C1384" s="1" t="n">
        <v>45711</v>
      </c>
      <c r="D1384" t="inlineStr">
        <is>
          <t>VÄRMLANDS LÄN</t>
        </is>
      </c>
      <c r="E1384" t="inlineStr">
        <is>
          <t>TORSBY</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14304-2023</t>
        </is>
      </c>
      <c r="B1385" s="1" t="n">
        <v>45011</v>
      </c>
      <c r="C1385" s="1" t="n">
        <v>45711</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14303-2023</t>
        </is>
      </c>
      <c r="B1386" s="1" t="n">
        <v>45011</v>
      </c>
      <c r="C1386" s="1" t="n">
        <v>45711</v>
      </c>
      <c r="D1386" t="inlineStr">
        <is>
          <t>VÄRMLANDS LÄN</t>
        </is>
      </c>
      <c r="E1386" t="inlineStr">
        <is>
          <t>TORSBY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14292-2023</t>
        </is>
      </c>
      <c r="B1387" s="1" t="n">
        <v>45011</v>
      </c>
      <c r="C1387" s="1" t="n">
        <v>45711</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14592-2023</t>
        </is>
      </c>
      <c r="B1388" s="1" t="n">
        <v>45013</v>
      </c>
      <c r="C1388" s="1" t="n">
        <v>45711</v>
      </c>
      <c r="D1388" t="inlineStr">
        <is>
          <t>VÄRMLANDS LÄN</t>
        </is>
      </c>
      <c r="E1388" t="inlineStr">
        <is>
          <t>TORSBY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14581-2023</t>
        </is>
      </c>
      <c r="B1389" s="1" t="n">
        <v>45013</v>
      </c>
      <c r="C1389" s="1" t="n">
        <v>45711</v>
      </c>
      <c r="D1389" t="inlineStr">
        <is>
          <t>VÄRMLANDS LÄN</t>
        </is>
      </c>
      <c r="E1389" t="inlineStr">
        <is>
          <t>TORSBY</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14624-2023</t>
        </is>
      </c>
      <c r="B1390" s="1" t="n">
        <v>45013</v>
      </c>
      <c r="C1390" s="1" t="n">
        <v>45711</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14709-2023</t>
        </is>
      </c>
      <c r="B1391" s="1" t="n">
        <v>45014</v>
      </c>
      <c r="C1391" s="1" t="n">
        <v>45711</v>
      </c>
      <c r="D1391" t="inlineStr">
        <is>
          <t>VÄRMLANDS LÄN</t>
        </is>
      </c>
      <c r="E1391" t="inlineStr">
        <is>
          <t>TORSBY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14945-2023</t>
        </is>
      </c>
      <c r="B1392" s="1" t="n">
        <v>45014</v>
      </c>
      <c r="C1392" s="1" t="n">
        <v>45711</v>
      </c>
      <c r="D1392" t="inlineStr">
        <is>
          <t>VÄRMLANDS LÄN</t>
        </is>
      </c>
      <c r="E1392" t="inlineStr">
        <is>
          <t>TORSBY</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14917-2023</t>
        </is>
      </c>
      <c r="B1393" s="1" t="n">
        <v>45015</v>
      </c>
      <c r="C1393" s="1" t="n">
        <v>45711</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15085-2023</t>
        </is>
      </c>
      <c r="B1394" s="1" t="n">
        <v>45016</v>
      </c>
      <c r="C1394" s="1" t="n">
        <v>45711</v>
      </c>
      <c r="D1394" t="inlineStr">
        <is>
          <t>VÄRMLANDS LÄN</t>
        </is>
      </c>
      <c r="E1394" t="inlineStr">
        <is>
          <t>TORSBY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15087-2023</t>
        </is>
      </c>
      <c r="B1395" s="1" t="n">
        <v>45016</v>
      </c>
      <c r="C1395" s="1" t="n">
        <v>45711</v>
      </c>
      <c r="D1395" t="inlineStr">
        <is>
          <t>VÄRMLANDS LÄN</t>
        </is>
      </c>
      <c r="E1395" t="inlineStr">
        <is>
          <t>TORSBY</t>
        </is>
      </c>
      <c r="F1395" t="inlineStr">
        <is>
          <t>Bergvik skog väst AB</t>
        </is>
      </c>
      <c r="G1395" t="n">
        <v>11.4</v>
      </c>
      <c r="H1395" t="n">
        <v>0</v>
      </c>
      <c r="I1395" t="n">
        <v>0</v>
      </c>
      <c r="J1395" t="n">
        <v>0</v>
      </c>
      <c r="K1395" t="n">
        <v>0</v>
      </c>
      <c r="L1395" t="n">
        <v>0</v>
      </c>
      <c r="M1395" t="n">
        <v>0</v>
      </c>
      <c r="N1395" t="n">
        <v>0</v>
      </c>
      <c r="O1395" t="n">
        <v>0</v>
      </c>
      <c r="P1395" t="n">
        <v>0</v>
      </c>
      <c r="Q1395" t="n">
        <v>0</v>
      </c>
      <c r="R1395" s="2" t="inlineStr"/>
    </row>
    <row r="1396" ht="15" customHeight="1">
      <c r="A1396" t="inlineStr">
        <is>
          <t>A 15413-2023</t>
        </is>
      </c>
      <c r="B1396" s="1" t="n">
        <v>45019</v>
      </c>
      <c r="C1396" s="1" t="n">
        <v>45711</v>
      </c>
      <c r="D1396" t="inlineStr">
        <is>
          <t>VÄRMLANDS LÄN</t>
        </is>
      </c>
      <c r="E1396" t="inlineStr">
        <is>
          <t>TORSBY</t>
        </is>
      </c>
      <c r="G1396" t="n">
        <v>17.1</v>
      </c>
      <c r="H1396" t="n">
        <v>0</v>
      </c>
      <c r="I1396" t="n">
        <v>0</v>
      </c>
      <c r="J1396" t="n">
        <v>0</v>
      </c>
      <c r="K1396" t="n">
        <v>0</v>
      </c>
      <c r="L1396" t="n">
        <v>0</v>
      </c>
      <c r="M1396" t="n">
        <v>0</v>
      </c>
      <c r="N1396" t="n">
        <v>0</v>
      </c>
      <c r="O1396" t="n">
        <v>0</v>
      </c>
      <c r="P1396" t="n">
        <v>0</v>
      </c>
      <c r="Q1396" t="n">
        <v>0</v>
      </c>
      <c r="R1396" s="2" t="inlineStr"/>
    </row>
    <row r="1397" ht="15" customHeight="1">
      <c r="A1397" t="inlineStr">
        <is>
          <t>A 15450-2023</t>
        </is>
      </c>
      <c r="B1397" s="1" t="n">
        <v>45020</v>
      </c>
      <c r="C1397" s="1" t="n">
        <v>45711</v>
      </c>
      <c r="D1397" t="inlineStr">
        <is>
          <t>VÄRMLANDS LÄN</t>
        </is>
      </c>
      <c r="E1397" t="inlineStr">
        <is>
          <t>TORSBY</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15488-2023</t>
        </is>
      </c>
      <c r="B1398" s="1" t="n">
        <v>45020</v>
      </c>
      <c r="C1398" s="1" t="n">
        <v>45711</v>
      </c>
      <c r="D1398" t="inlineStr">
        <is>
          <t>VÄRMLANDS LÄN</t>
        </is>
      </c>
      <c r="E1398" t="inlineStr">
        <is>
          <t>TORSBY</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15773-2023</t>
        </is>
      </c>
      <c r="B1399" s="1" t="n">
        <v>45021</v>
      </c>
      <c r="C1399" s="1" t="n">
        <v>45711</v>
      </c>
      <c r="D1399" t="inlineStr">
        <is>
          <t>VÄRMLANDS LÄN</t>
        </is>
      </c>
      <c r="E1399" t="inlineStr">
        <is>
          <t>TORSBY</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16093-2023</t>
        </is>
      </c>
      <c r="B1400" s="1" t="n">
        <v>45021</v>
      </c>
      <c r="C1400" s="1" t="n">
        <v>45711</v>
      </c>
      <c r="D1400" t="inlineStr">
        <is>
          <t>VÄRMLANDS LÄN</t>
        </is>
      </c>
      <c r="E1400" t="inlineStr">
        <is>
          <t>TORSBY</t>
        </is>
      </c>
      <c r="F1400" t="inlineStr">
        <is>
          <t>Övriga statliga verk och myndigheter</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16121-2023</t>
        </is>
      </c>
      <c r="B1401" s="1" t="n">
        <v>45022</v>
      </c>
      <c r="C1401" s="1" t="n">
        <v>45711</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16416-2023</t>
        </is>
      </c>
      <c r="B1402" s="1" t="n">
        <v>45022</v>
      </c>
      <c r="C1402" s="1" t="n">
        <v>45711</v>
      </c>
      <c r="D1402" t="inlineStr">
        <is>
          <t>VÄRMLANDS LÄN</t>
        </is>
      </c>
      <c r="E1402" t="inlineStr">
        <is>
          <t>TORSBY</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16433-2023</t>
        </is>
      </c>
      <c r="B1403" s="1" t="n">
        <v>45022</v>
      </c>
      <c r="C1403" s="1" t="n">
        <v>45711</v>
      </c>
      <c r="D1403" t="inlineStr">
        <is>
          <t>VÄRMLANDS LÄN</t>
        </is>
      </c>
      <c r="E1403" t="inlineStr">
        <is>
          <t>TORSBY</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16427-2023</t>
        </is>
      </c>
      <c r="B1404" s="1" t="n">
        <v>45022</v>
      </c>
      <c r="C1404" s="1" t="n">
        <v>45711</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15992-2023</t>
        </is>
      </c>
      <c r="B1405" s="1" t="n">
        <v>45023</v>
      </c>
      <c r="C1405" s="1" t="n">
        <v>45711</v>
      </c>
      <c r="D1405" t="inlineStr">
        <is>
          <t>VÄRMLANDS LÄN</t>
        </is>
      </c>
      <c r="E1405" t="inlineStr">
        <is>
          <t>TORSBY</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16044-2023</t>
        </is>
      </c>
      <c r="B1406" s="1" t="n">
        <v>45027</v>
      </c>
      <c r="C1406" s="1" t="n">
        <v>45711</v>
      </c>
      <c r="D1406" t="inlineStr">
        <is>
          <t>VÄRMLANDS LÄN</t>
        </is>
      </c>
      <c r="E1406" t="inlineStr">
        <is>
          <t>TORSBY</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16309-2023</t>
        </is>
      </c>
      <c r="B1407" s="1" t="n">
        <v>45028</v>
      </c>
      <c r="C1407" s="1" t="n">
        <v>45711</v>
      </c>
      <c r="D1407" t="inlineStr">
        <is>
          <t>VÄRMLANDS LÄN</t>
        </is>
      </c>
      <c r="E1407" t="inlineStr">
        <is>
          <t>TORSBY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16313-2023</t>
        </is>
      </c>
      <c r="B1408" s="1" t="n">
        <v>45028</v>
      </c>
      <c r="C1408" s="1" t="n">
        <v>45711</v>
      </c>
      <c r="D1408" t="inlineStr">
        <is>
          <t>VÄRMLANDS LÄN</t>
        </is>
      </c>
      <c r="E1408" t="inlineStr">
        <is>
          <t>TORSBY</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16317-2023</t>
        </is>
      </c>
      <c r="B1409" s="1" t="n">
        <v>45028</v>
      </c>
      <c r="C1409" s="1" t="n">
        <v>45711</v>
      </c>
      <c r="D1409" t="inlineStr">
        <is>
          <t>VÄRMLANDS LÄN</t>
        </is>
      </c>
      <c r="E1409" t="inlineStr">
        <is>
          <t>TORSBY</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16919-2023</t>
        </is>
      </c>
      <c r="B1410" s="1" t="n">
        <v>45033</v>
      </c>
      <c r="C1410" s="1" t="n">
        <v>45711</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16945-2023</t>
        </is>
      </c>
      <c r="B1411" s="1" t="n">
        <v>45033</v>
      </c>
      <c r="C1411" s="1" t="n">
        <v>45711</v>
      </c>
      <c r="D1411" t="inlineStr">
        <is>
          <t>VÄRMLANDS LÄN</t>
        </is>
      </c>
      <c r="E1411" t="inlineStr">
        <is>
          <t>TORSBY</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16943-2023</t>
        </is>
      </c>
      <c r="B1412" s="1" t="n">
        <v>45033</v>
      </c>
      <c r="C1412" s="1" t="n">
        <v>45711</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17184-2023</t>
        </is>
      </c>
      <c r="B1413" s="1" t="n">
        <v>45034</v>
      </c>
      <c r="C1413" s="1" t="n">
        <v>45711</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17188-2023</t>
        </is>
      </c>
      <c r="B1414" s="1" t="n">
        <v>45034</v>
      </c>
      <c r="C1414" s="1" t="n">
        <v>45711</v>
      </c>
      <c r="D1414" t="inlineStr">
        <is>
          <t>VÄRMLANDS LÄN</t>
        </is>
      </c>
      <c r="E1414" t="inlineStr">
        <is>
          <t>TORSBY</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17554-2023</t>
        </is>
      </c>
      <c r="B1415" s="1" t="n">
        <v>45034</v>
      </c>
      <c r="C1415" s="1" t="n">
        <v>45711</v>
      </c>
      <c r="D1415" t="inlineStr">
        <is>
          <t>VÄRMLANDS LÄN</t>
        </is>
      </c>
      <c r="E1415" t="inlineStr">
        <is>
          <t>TORSBY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17300-2023</t>
        </is>
      </c>
      <c r="B1416" s="1" t="n">
        <v>45035</v>
      </c>
      <c r="C1416" s="1" t="n">
        <v>45711</v>
      </c>
      <c r="D1416" t="inlineStr">
        <is>
          <t>VÄRMLANDS LÄN</t>
        </is>
      </c>
      <c r="E1416" t="inlineStr">
        <is>
          <t>TORSBY</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17322-2023</t>
        </is>
      </c>
      <c r="B1417" s="1" t="n">
        <v>45035</v>
      </c>
      <c r="C1417" s="1" t="n">
        <v>45711</v>
      </c>
      <c r="D1417" t="inlineStr">
        <is>
          <t>VÄRMLANDS LÄN</t>
        </is>
      </c>
      <c r="E1417" t="inlineStr">
        <is>
          <t>TORSBY</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17328-2023</t>
        </is>
      </c>
      <c r="B1418" s="1" t="n">
        <v>45035</v>
      </c>
      <c r="C1418" s="1" t="n">
        <v>45711</v>
      </c>
      <c r="D1418" t="inlineStr">
        <is>
          <t>VÄRMLANDS LÄN</t>
        </is>
      </c>
      <c r="E1418" t="inlineStr">
        <is>
          <t>TORSBY</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17548-2023</t>
        </is>
      </c>
      <c r="B1419" s="1" t="n">
        <v>45036</v>
      </c>
      <c r="C1419" s="1" t="n">
        <v>45711</v>
      </c>
      <c r="D1419" t="inlineStr">
        <is>
          <t>VÄRMLANDS LÄN</t>
        </is>
      </c>
      <c r="E1419" t="inlineStr">
        <is>
          <t>TORSBY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17488-2023</t>
        </is>
      </c>
      <c r="B1420" s="1" t="n">
        <v>45036</v>
      </c>
      <c r="C1420" s="1" t="n">
        <v>45711</v>
      </c>
      <c r="D1420" t="inlineStr">
        <is>
          <t>VÄRMLANDS LÄN</t>
        </is>
      </c>
      <c r="E1420" t="inlineStr">
        <is>
          <t>TORSBY</t>
        </is>
      </c>
      <c r="G1420" t="n">
        <v>15.6</v>
      </c>
      <c r="H1420" t="n">
        <v>0</v>
      </c>
      <c r="I1420" t="n">
        <v>0</v>
      </c>
      <c r="J1420" t="n">
        <v>0</v>
      </c>
      <c r="K1420" t="n">
        <v>0</v>
      </c>
      <c r="L1420" t="n">
        <v>0</v>
      </c>
      <c r="M1420" t="n">
        <v>0</v>
      </c>
      <c r="N1420" t="n">
        <v>0</v>
      </c>
      <c r="O1420" t="n">
        <v>0</v>
      </c>
      <c r="P1420" t="n">
        <v>0</v>
      </c>
      <c r="Q1420" t="n">
        <v>0</v>
      </c>
      <c r="R1420" s="2" t="inlineStr"/>
    </row>
    <row r="1421" ht="15" customHeight="1">
      <c r="A1421" t="inlineStr">
        <is>
          <t>A 17546-2023</t>
        </is>
      </c>
      <c r="B1421" s="1" t="n">
        <v>45036</v>
      </c>
      <c r="C1421" s="1" t="n">
        <v>45711</v>
      </c>
      <c r="D1421" t="inlineStr">
        <is>
          <t>VÄRMLANDS LÄN</t>
        </is>
      </c>
      <c r="E1421" t="inlineStr">
        <is>
          <t>TORSBY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17898-2023</t>
        </is>
      </c>
      <c r="B1422" s="1" t="n">
        <v>45039</v>
      </c>
      <c r="C1422" s="1" t="n">
        <v>45711</v>
      </c>
      <c r="D1422" t="inlineStr">
        <is>
          <t>VÄRMLANDS LÄN</t>
        </is>
      </c>
      <c r="E1422" t="inlineStr">
        <is>
          <t>TORSBY</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17897-2023</t>
        </is>
      </c>
      <c r="B1423" s="1" t="n">
        <v>45039</v>
      </c>
      <c r="C1423" s="1" t="n">
        <v>45711</v>
      </c>
      <c r="D1423" t="inlineStr">
        <is>
          <t>VÄRMLANDS LÄN</t>
        </is>
      </c>
      <c r="E1423" t="inlineStr">
        <is>
          <t>TORSBY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18244-2023</t>
        </is>
      </c>
      <c r="B1424" s="1" t="n">
        <v>45041</v>
      </c>
      <c r="C1424" s="1" t="n">
        <v>45711</v>
      </c>
      <c r="D1424" t="inlineStr">
        <is>
          <t>VÄRMLANDS LÄN</t>
        </is>
      </c>
      <c r="E1424" t="inlineStr">
        <is>
          <t>TORSBY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18338-2023</t>
        </is>
      </c>
      <c r="B1425" s="1" t="n">
        <v>45041</v>
      </c>
      <c r="C1425" s="1" t="n">
        <v>45711</v>
      </c>
      <c r="D1425" t="inlineStr">
        <is>
          <t>VÄRMLANDS LÄN</t>
        </is>
      </c>
      <c r="E1425" t="inlineStr">
        <is>
          <t>TORSBY</t>
        </is>
      </c>
      <c r="F1425" t="inlineStr">
        <is>
          <t>Bergvik skog väst AB</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18544-2023</t>
        </is>
      </c>
      <c r="B1426" s="1" t="n">
        <v>45041</v>
      </c>
      <c r="C1426" s="1" t="n">
        <v>45711</v>
      </c>
      <c r="D1426" t="inlineStr">
        <is>
          <t>VÄRMLANDS LÄN</t>
        </is>
      </c>
      <c r="E1426" t="inlineStr">
        <is>
          <t>TORSBY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18411-2023</t>
        </is>
      </c>
      <c r="B1427" s="1" t="n">
        <v>45042</v>
      </c>
      <c r="C1427" s="1" t="n">
        <v>45711</v>
      </c>
      <c r="D1427" t="inlineStr">
        <is>
          <t>VÄRMLANDS LÄN</t>
        </is>
      </c>
      <c r="E1427" t="inlineStr">
        <is>
          <t>TORSBY</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18621-2023</t>
        </is>
      </c>
      <c r="B1428" s="1" t="n">
        <v>45043</v>
      </c>
      <c r="C1428" s="1" t="n">
        <v>45711</v>
      </c>
      <c r="D1428" t="inlineStr">
        <is>
          <t>VÄRMLANDS LÄN</t>
        </is>
      </c>
      <c r="E1428" t="inlineStr">
        <is>
          <t>TORSBY</t>
        </is>
      </c>
      <c r="F1428" t="inlineStr">
        <is>
          <t>Bergvik skog väst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18675-2023</t>
        </is>
      </c>
      <c r="B1429" s="1" t="n">
        <v>45043</v>
      </c>
      <c r="C1429" s="1" t="n">
        <v>45711</v>
      </c>
      <c r="D1429" t="inlineStr">
        <is>
          <t>VÄRMLANDS LÄN</t>
        </is>
      </c>
      <c r="E1429" t="inlineStr">
        <is>
          <t>TORSBY</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18876-2023</t>
        </is>
      </c>
      <c r="B1430" s="1" t="n">
        <v>45044</v>
      </c>
      <c r="C1430" s="1" t="n">
        <v>45711</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19042-2023</t>
        </is>
      </c>
      <c r="B1431" s="1" t="n">
        <v>45047</v>
      </c>
      <c r="C1431" s="1" t="n">
        <v>45711</v>
      </c>
      <c r="D1431" t="inlineStr">
        <is>
          <t>VÄRMLANDS LÄN</t>
        </is>
      </c>
      <c r="E1431" t="inlineStr">
        <is>
          <t>TORSBY</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19527-2023</t>
        </is>
      </c>
      <c r="B1432" s="1" t="n">
        <v>45050</v>
      </c>
      <c r="C1432" s="1" t="n">
        <v>45711</v>
      </c>
      <c r="D1432" t="inlineStr">
        <is>
          <t>VÄRMLANDS LÄN</t>
        </is>
      </c>
      <c r="E1432" t="inlineStr">
        <is>
          <t>TORSBY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19675-2023</t>
        </is>
      </c>
      <c r="B1433" s="1" t="n">
        <v>45051</v>
      </c>
      <c r="C1433" s="1" t="n">
        <v>45711</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19714-2023</t>
        </is>
      </c>
      <c r="B1434" s="1" t="n">
        <v>45051</v>
      </c>
      <c r="C1434" s="1" t="n">
        <v>45711</v>
      </c>
      <c r="D1434" t="inlineStr">
        <is>
          <t>VÄRMLANDS LÄN</t>
        </is>
      </c>
      <c r="E1434" t="inlineStr">
        <is>
          <t>TORSBY</t>
        </is>
      </c>
      <c r="G1434" t="n">
        <v>9.1</v>
      </c>
      <c r="H1434" t="n">
        <v>0</v>
      </c>
      <c r="I1434" t="n">
        <v>0</v>
      </c>
      <c r="J1434" t="n">
        <v>0</v>
      </c>
      <c r="K1434" t="n">
        <v>0</v>
      </c>
      <c r="L1434" t="n">
        <v>0</v>
      </c>
      <c r="M1434" t="n">
        <v>0</v>
      </c>
      <c r="N1434" t="n">
        <v>0</v>
      </c>
      <c r="O1434" t="n">
        <v>0</v>
      </c>
      <c r="P1434" t="n">
        <v>0</v>
      </c>
      <c r="Q1434" t="n">
        <v>0</v>
      </c>
      <c r="R1434" s="2" t="inlineStr"/>
    </row>
    <row r="1435" ht="15" customHeight="1">
      <c r="A1435" t="inlineStr">
        <is>
          <t>A 19998-2023</t>
        </is>
      </c>
      <c r="B1435" s="1" t="n">
        <v>45054</v>
      </c>
      <c r="C1435" s="1" t="n">
        <v>45711</v>
      </c>
      <c r="D1435" t="inlineStr">
        <is>
          <t>VÄRMLANDS LÄN</t>
        </is>
      </c>
      <c r="E1435" t="inlineStr">
        <is>
          <t>TORSBY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20130-2023</t>
        </is>
      </c>
      <c r="B1436" s="1" t="n">
        <v>45055</v>
      </c>
      <c r="C1436" s="1" t="n">
        <v>45711</v>
      </c>
      <c r="D1436" t="inlineStr">
        <is>
          <t>VÄRMLANDS LÄN</t>
        </is>
      </c>
      <c r="E1436" t="inlineStr">
        <is>
          <t>TORSBY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20107-2023</t>
        </is>
      </c>
      <c r="B1437" s="1" t="n">
        <v>45055</v>
      </c>
      <c r="C1437" s="1" t="n">
        <v>45711</v>
      </c>
      <c r="D1437" t="inlineStr">
        <is>
          <t>VÄRMLANDS LÄN</t>
        </is>
      </c>
      <c r="E1437" t="inlineStr">
        <is>
          <t>TORSBY</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20120-2023</t>
        </is>
      </c>
      <c r="B1438" s="1" t="n">
        <v>45055</v>
      </c>
      <c r="C1438" s="1" t="n">
        <v>45711</v>
      </c>
      <c r="D1438" t="inlineStr">
        <is>
          <t>VÄRMLANDS LÄN</t>
        </is>
      </c>
      <c r="E1438" t="inlineStr">
        <is>
          <t>TORSBY</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20127-2023</t>
        </is>
      </c>
      <c r="B1439" s="1" t="n">
        <v>45055</v>
      </c>
      <c r="C1439" s="1" t="n">
        <v>45711</v>
      </c>
      <c r="D1439" t="inlineStr">
        <is>
          <t>VÄRMLANDS LÄN</t>
        </is>
      </c>
      <c r="E1439" t="inlineStr">
        <is>
          <t>TORSBY</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20805-2023</t>
        </is>
      </c>
      <c r="B1440" s="1" t="n">
        <v>45055</v>
      </c>
      <c r="C1440" s="1" t="n">
        <v>45711</v>
      </c>
      <c r="D1440" t="inlineStr">
        <is>
          <t>VÄRMLANDS LÄN</t>
        </is>
      </c>
      <c r="E1440" t="inlineStr">
        <is>
          <t>TORSBY</t>
        </is>
      </c>
      <c r="G1440" t="n">
        <v>11.2</v>
      </c>
      <c r="H1440" t="n">
        <v>0</v>
      </c>
      <c r="I1440" t="n">
        <v>0</v>
      </c>
      <c r="J1440" t="n">
        <v>0</v>
      </c>
      <c r="K1440" t="n">
        <v>0</v>
      </c>
      <c r="L1440" t="n">
        <v>0</v>
      </c>
      <c r="M1440" t="n">
        <v>0</v>
      </c>
      <c r="N1440" t="n">
        <v>0</v>
      </c>
      <c r="O1440" t="n">
        <v>0</v>
      </c>
      <c r="P1440" t="n">
        <v>0</v>
      </c>
      <c r="Q1440" t="n">
        <v>0</v>
      </c>
      <c r="R1440" s="2" t="inlineStr"/>
    </row>
    <row r="1441" ht="15" customHeight="1">
      <c r="A1441" t="inlineStr">
        <is>
          <t>A 20293-2023</t>
        </is>
      </c>
      <c r="B1441" s="1" t="n">
        <v>45056</v>
      </c>
      <c r="C1441" s="1" t="n">
        <v>45711</v>
      </c>
      <c r="D1441" t="inlineStr">
        <is>
          <t>VÄRMLANDS LÄN</t>
        </is>
      </c>
      <c r="E1441" t="inlineStr">
        <is>
          <t>TORSBY</t>
        </is>
      </c>
      <c r="F1441" t="inlineStr">
        <is>
          <t>Kyrkan</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20321-2023</t>
        </is>
      </c>
      <c r="B1442" s="1" t="n">
        <v>45056</v>
      </c>
      <c r="C1442" s="1" t="n">
        <v>45711</v>
      </c>
      <c r="D1442" t="inlineStr">
        <is>
          <t>VÄRMLANDS LÄN</t>
        </is>
      </c>
      <c r="E1442" t="inlineStr">
        <is>
          <t>TORSBY</t>
        </is>
      </c>
      <c r="F1442" t="inlineStr">
        <is>
          <t>Kyrkan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20393-2023</t>
        </is>
      </c>
      <c r="B1443" s="1" t="n">
        <v>45056</v>
      </c>
      <c r="C1443" s="1" t="n">
        <v>45711</v>
      </c>
      <c r="D1443" t="inlineStr">
        <is>
          <t>VÄRMLANDS LÄN</t>
        </is>
      </c>
      <c r="E1443" t="inlineStr">
        <is>
          <t>TORSBY</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20298-2023</t>
        </is>
      </c>
      <c r="B1444" s="1" t="n">
        <v>45056</v>
      </c>
      <c r="C1444" s="1" t="n">
        <v>45711</v>
      </c>
      <c r="D1444" t="inlineStr">
        <is>
          <t>VÄRMLANDS LÄN</t>
        </is>
      </c>
      <c r="E1444" t="inlineStr">
        <is>
          <t>TORSBY</t>
        </is>
      </c>
      <c r="F1444" t="inlineStr">
        <is>
          <t>Kyrkan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20847-2023</t>
        </is>
      </c>
      <c r="B1445" s="1" t="n">
        <v>45056</v>
      </c>
      <c r="C1445" s="1" t="n">
        <v>45711</v>
      </c>
      <c r="D1445" t="inlineStr">
        <is>
          <t>VÄRMLANDS LÄN</t>
        </is>
      </c>
      <c r="E1445" t="inlineStr">
        <is>
          <t>TORSBY</t>
        </is>
      </c>
      <c r="G1445" t="n">
        <v>13.9</v>
      </c>
      <c r="H1445" t="n">
        <v>0</v>
      </c>
      <c r="I1445" t="n">
        <v>0</v>
      </c>
      <c r="J1445" t="n">
        <v>0</v>
      </c>
      <c r="K1445" t="n">
        <v>0</v>
      </c>
      <c r="L1445" t="n">
        <v>0</v>
      </c>
      <c r="M1445" t="n">
        <v>0</v>
      </c>
      <c r="N1445" t="n">
        <v>0</v>
      </c>
      <c r="O1445" t="n">
        <v>0</v>
      </c>
      <c r="P1445" t="n">
        <v>0</v>
      </c>
      <c r="Q1445" t="n">
        <v>0</v>
      </c>
      <c r="R1445" s="2" t="inlineStr"/>
    </row>
    <row r="1446" ht="15" customHeight="1">
      <c r="A1446" t="inlineStr">
        <is>
          <t>A 20528-2023</t>
        </is>
      </c>
      <c r="B1446" s="1" t="n">
        <v>45057</v>
      </c>
      <c r="C1446" s="1" t="n">
        <v>45711</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20757-2023</t>
        </is>
      </c>
      <c r="B1447" s="1" t="n">
        <v>45058</v>
      </c>
      <c r="C1447" s="1" t="n">
        <v>45711</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20831-2023</t>
        </is>
      </c>
      <c r="B1448" s="1" t="n">
        <v>45058</v>
      </c>
      <c r="C1448" s="1" t="n">
        <v>45711</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20648-2023</t>
        </is>
      </c>
      <c r="B1449" s="1" t="n">
        <v>45058</v>
      </c>
      <c r="C1449" s="1" t="n">
        <v>45711</v>
      </c>
      <c r="D1449" t="inlineStr">
        <is>
          <t>VÄRMLANDS LÄN</t>
        </is>
      </c>
      <c r="E1449" t="inlineStr">
        <is>
          <t>TORSBY</t>
        </is>
      </c>
      <c r="F1449" t="inlineStr">
        <is>
          <t>Kyrkan</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20740-2023</t>
        </is>
      </c>
      <c r="B1450" s="1" t="n">
        <v>45058</v>
      </c>
      <c r="C1450" s="1" t="n">
        <v>45711</v>
      </c>
      <c r="D1450" t="inlineStr">
        <is>
          <t>VÄRMLANDS LÄN</t>
        </is>
      </c>
      <c r="E1450" t="inlineStr">
        <is>
          <t>TORSBY</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20737-2023</t>
        </is>
      </c>
      <c r="B1451" s="1" t="n">
        <v>45058</v>
      </c>
      <c r="C1451" s="1" t="n">
        <v>45711</v>
      </c>
      <c r="D1451" t="inlineStr">
        <is>
          <t>VÄRMLANDS LÄN</t>
        </is>
      </c>
      <c r="E1451" t="inlineStr">
        <is>
          <t>TORSBY</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20829-2023</t>
        </is>
      </c>
      <c r="B1452" s="1" t="n">
        <v>45058</v>
      </c>
      <c r="C1452" s="1" t="n">
        <v>45711</v>
      </c>
      <c r="D1452" t="inlineStr">
        <is>
          <t>VÄRMLANDS LÄN</t>
        </is>
      </c>
      <c r="E1452" t="inlineStr">
        <is>
          <t>TORSBY</t>
        </is>
      </c>
      <c r="F1452" t="inlineStr">
        <is>
          <t>Bergvik skog väst AB</t>
        </is>
      </c>
      <c r="G1452" t="n">
        <v>12.2</v>
      </c>
      <c r="H1452" t="n">
        <v>0</v>
      </c>
      <c r="I1452" t="n">
        <v>0</v>
      </c>
      <c r="J1452" t="n">
        <v>0</v>
      </c>
      <c r="K1452" t="n">
        <v>0</v>
      </c>
      <c r="L1452" t="n">
        <v>0</v>
      </c>
      <c r="M1452" t="n">
        <v>0</v>
      </c>
      <c r="N1452" t="n">
        <v>0</v>
      </c>
      <c r="O1452" t="n">
        <v>0</v>
      </c>
      <c r="P1452" t="n">
        <v>0</v>
      </c>
      <c r="Q1452" t="n">
        <v>0</v>
      </c>
      <c r="R1452" s="2" t="inlineStr"/>
    </row>
    <row r="1453" ht="15" customHeight="1">
      <c r="A1453" t="inlineStr">
        <is>
          <t>A 20830-2023</t>
        </is>
      </c>
      <c r="B1453" s="1" t="n">
        <v>45058</v>
      </c>
      <c r="C1453" s="1" t="n">
        <v>45711</v>
      </c>
      <c r="D1453" t="inlineStr">
        <is>
          <t>VÄRMLANDS LÄN</t>
        </is>
      </c>
      <c r="E1453" t="inlineStr">
        <is>
          <t>TORSBY</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20679-2023</t>
        </is>
      </c>
      <c r="B1454" s="1" t="n">
        <v>45058</v>
      </c>
      <c r="C1454" s="1" t="n">
        <v>45711</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20721-2023</t>
        </is>
      </c>
      <c r="B1455" s="1" t="n">
        <v>45058</v>
      </c>
      <c r="C1455" s="1" t="n">
        <v>45711</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20733-2023</t>
        </is>
      </c>
      <c r="B1456" s="1" t="n">
        <v>45058</v>
      </c>
      <c r="C1456" s="1" t="n">
        <v>45711</v>
      </c>
      <c r="D1456" t="inlineStr">
        <is>
          <t>VÄRMLANDS LÄN</t>
        </is>
      </c>
      <c r="E1456" t="inlineStr">
        <is>
          <t>TORSBY</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20745-2023</t>
        </is>
      </c>
      <c r="B1457" s="1" t="n">
        <v>45058</v>
      </c>
      <c r="C1457" s="1" t="n">
        <v>45711</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21258-2023</t>
        </is>
      </c>
      <c r="B1458" s="1" t="n">
        <v>45058</v>
      </c>
      <c r="C1458" s="1" t="n">
        <v>45711</v>
      </c>
      <c r="D1458" t="inlineStr">
        <is>
          <t>VÄRMLANDS LÄN</t>
        </is>
      </c>
      <c r="E1458" t="inlineStr">
        <is>
          <t>TORSBY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21255-2023</t>
        </is>
      </c>
      <c r="B1459" s="1" t="n">
        <v>45058</v>
      </c>
      <c r="C1459" s="1" t="n">
        <v>45711</v>
      </c>
      <c r="D1459" t="inlineStr">
        <is>
          <t>VÄRMLANDS LÄN</t>
        </is>
      </c>
      <c r="E1459" t="inlineStr">
        <is>
          <t>TORSBY</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20898-2023</t>
        </is>
      </c>
      <c r="B1460" s="1" t="n">
        <v>45059</v>
      </c>
      <c r="C1460" s="1" t="n">
        <v>45711</v>
      </c>
      <c r="D1460" t="inlineStr">
        <is>
          <t>VÄRMLANDS LÄN</t>
        </is>
      </c>
      <c r="E1460" t="inlineStr">
        <is>
          <t>TORSBY</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21076-2023</t>
        </is>
      </c>
      <c r="B1461" s="1" t="n">
        <v>45061</v>
      </c>
      <c r="C1461" s="1" t="n">
        <v>45711</v>
      </c>
      <c r="D1461" t="inlineStr">
        <is>
          <t>VÄRMLANDS LÄN</t>
        </is>
      </c>
      <c r="E1461" t="inlineStr">
        <is>
          <t>TORSBY</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21033-2023</t>
        </is>
      </c>
      <c r="B1462" s="1" t="n">
        <v>45061</v>
      </c>
      <c r="C1462" s="1" t="n">
        <v>45711</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21078-2023</t>
        </is>
      </c>
      <c r="B1463" s="1" t="n">
        <v>45061</v>
      </c>
      <c r="C1463" s="1" t="n">
        <v>45711</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21158-2023</t>
        </is>
      </c>
      <c r="B1464" s="1" t="n">
        <v>45062</v>
      </c>
      <c r="C1464" s="1" t="n">
        <v>45711</v>
      </c>
      <c r="D1464" t="inlineStr">
        <is>
          <t>VÄRMLANDS LÄN</t>
        </is>
      </c>
      <c r="E1464" t="inlineStr">
        <is>
          <t>TORSBY</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21189-2023</t>
        </is>
      </c>
      <c r="B1465" s="1" t="n">
        <v>45062</v>
      </c>
      <c r="C1465" s="1" t="n">
        <v>45711</v>
      </c>
      <c r="D1465" t="inlineStr">
        <is>
          <t>VÄRMLANDS LÄN</t>
        </is>
      </c>
      <c r="E1465" t="inlineStr">
        <is>
          <t>TORSBY</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21154-2023</t>
        </is>
      </c>
      <c r="B1466" s="1" t="n">
        <v>45062</v>
      </c>
      <c r="C1466" s="1" t="n">
        <v>45711</v>
      </c>
      <c r="D1466" t="inlineStr">
        <is>
          <t>VÄRMLANDS LÄN</t>
        </is>
      </c>
      <c r="E1466" t="inlineStr">
        <is>
          <t>TORSBY</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21409-2023</t>
        </is>
      </c>
      <c r="B1467" s="1" t="n">
        <v>45063</v>
      </c>
      <c r="C1467" s="1" t="n">
        <v>45711</v>
      </c>
      <c r="D1467" t="inlineStr">
        <is>
          <t>VÄRMLANDS LÄN</t>
        </is>
      </c>
      <c r="E1467" t="inlineStr">
        <is>
          <t>TORSBY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21365-2023</t>
        </is>
      </c>
      <c r="B1468" s="1" t="n">
        <v>45063</v>
      </c>
      <c r="C1468" s="1" t="n">
        <v>45711</v>
      </c>
      <c r="D1468" t="inlineStr">
        <is>
          <t>VÄRMLANDS LÄN</t>
        </is>
      </c>
      <c r="E1468" t="inlineStr">
        <is>
          <t>TORSBY</t>
        </is>
      </c>
      <c r="F1468" t="inlineStr">
        <is>
          <t>Kyrkan</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21390-2023</t>
        </is>
      </c>
      <c r="B1469" s="1" t="n">
        <v>45063</v>
      </c>
      <c r="C1469" s="1" t="n">
        <v>45711</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21411-2023</t>
        </is>
      </c>
      <c r="B1470" s="1" t="n">
        <v>45063</v>
      </c>
      <c r="C1470" s="1" t="n">
        <v>45711</v>
      </c>
      <c r="D1470" t="inlineStr">
        <is>
          <t>VÄRMLANDS LÄN</t>
        </is>
      </c>
      <c r="E1470" t="inlineStr">
        <is>
          <t>TORSBY</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21786-2023</t>
        </is>
      </c>
      <c r="B1471" s="1" t="n">
        <v>45066</v>
      </c>
      <c r="C1471" s="1" t="n">
        <v>45711</v>
      </c>
      <c r="D1471" t="inlineStr">
        <is>
          <t>VÄRMLANDS LÄN</t>
        </is>
      </c>
      <c r="E1471" t="inlineStr">
        <is>
          <t>TORSBY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21790-2023</t>
        </is>
      </c>
      <c r="B1472" s="1" t="n">
        <v>45067</v>
      </c>
      <c r="C1472" s="1" t="n">
        <v>45711</v>
      </c>
      <c r="D1472" t="inlineStr">
        <is>
          <t>VÄRMLANDS LÄN</t>
        </is>
      </c>
      <c r="E1472" t="inlineStr">
        <is>
          <t>TORSBY</t>
        </is>
      </c>
      <c r="F1472" t="inlineStr">
        <is>
          <t>Övriga statliga verk och myndigheter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21839-2023</t>
        </is>
      </c>
      <c r="B1473" s="1" t="n">
        <v>45068</v>
      </c>
      <c r="C1473" s="1" t="n">
        <v>45711</v>
      </c>
      <c r="D1473" t="inlineStr">
        <is>
          <t>VÄRMLANDS LÄN</t>
        </is>
      </c>
      <c r="E1473" t="inlineStr">
        <is>
          <t>TORSBY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21847-2023</t>
        </is>
      </c>
      <c r="B1474" s="1" t="n">
        <v>45068</v>
      </c>
      <c r="C1474" s="1" t="n">
        <v>45711</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21988-2023</t>
        </is>
      </c>
      <c r="B1475" s="1" t="n">
        <v>45068</v>
      </c>
      <c r="C1475" s="1" t="n">
        <v>45711</v>
      </c>
      <c r="D1475" t="inlineStr">
        <is>
          <t>VÄRMLANDS LÄN</t>
        </is>
      </c>
      <c r="E1475" t="inlineStr">
        <is>
          <t>TORSBY</t>
        </is>
      </c>
      <c r="F1475" t="inlineStr">
        <is>
          <t>Bergvik skog väst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21912-2023</t>
        </is>
      </c>
      <c r="B1476" s="1" t="n">
        <v>45068</v>
      </c>
      <c r="C1476" s="1" t="n">
        <v>45711</v>
      </c>
      <c r="D1476" t="inlineStr">
        <is>
          <t>VÄRMLANDS LÄN</t>
        </is>
      </c>
      <c r="E1476" t="inlineStr">
        <is>
          <t>TORSBY</t>
        </is>
      </c>
      <c r="F1476" t="inlineStr">
        <is>
          <t>Bergvik skog väst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22089-2023</t>
        </is>
      </c>
      <c r="B1477" s="1" t="n">
        <v>45069</v>
      </c>
      <c r="C1477" s="1" t="n">
        <v>45711</v>
      </c>
      <c r="D1477" t="inlineStr">
        <is>
          <t>VÄRMLANDS LÄN</t>
        </is>
      </c>
      <c r="E1477" t="inlineStr">
        <is>
          <t>TORSBY</t>
        </is>
      </c>
      <c r="G1477" t="n">
        <v>9.5</v>
      </c>
      <c r="H1477" t="n">
        <v>0</v>
      </c>
      <c r="I1477" t="n">
        <v>0</v>
      </c>
      <c r="J1477" t="n">
        <v>0</v>
      </c>
      <c r="K1477" t="n">
        <v>0</v>
      </c>
      <c r="L1477" t="n">
        <v>0</v>
      </c>
      <c r="M1477" t="n">
        <v>0</v>
      </c>
      <c r="N1477" t="n">
        <v>0</v>
      </c>
      <c r="O1477" t="n">
        <v>0</v>
      </c>
      <c r="P1477" t="n">
        <v>0</v>
      </c>
      <c r="Q1477" t="n">
        <v>0</v>
      </c>
      <c r="R1477" s="2" t="inlineStr"/>
    </row>
    <row r="1478" ht="15" customHeight="1">
      <c r="A1478" t="inlineStr">
        <is>
          <t>A 22030-2023</t>
        </is>
      </c>
      <c r="B1478" s="1" t="n">
        <v>45069</v>
      </c>
      <c r="C1478" s="1" t="n">
        <v>45711</v>
      </c>
      <c r="D1478" t="inlineStr">
        <is>
          <t>VÄRMLANDS LÄN</t>
        </is>
      </c>
      <c r="E1478" t="inlineStr">
        <is>
          <t>TORSBY</t>
        </is>
      </c>
      <c r="F1478" t="inlineStr">
        <is>
          <t>Bergvik skog väst AB</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22038-2023</t>
        </is>
      </c>
      <c r="B1479" s="1" t="n">
        <v>45069</v>
      </c>
      <c r="C1479" s="1" t="n">
        <v>45711</v>
      </c>
      <c r="D1479" t="inlineStr">
        <is>
          <t>VÄRMLANDS LÄN</t>
        </is>
      </c>
      <c r="E1479" t="inlineStr">
        <is>
          <t>TORSBY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22033-2023</t>
        </is>
      </c>
      <c r="B1480" s="1" t="n">
        <v>45069</v>
      </c>
      <c r="C1480" s="1" t="n">
        <v>45711</v>
      </c>
      <c r="D1480" t="inlineStr">
        <is>
          <t>VÄRMLANDS LÄN</t>
        </is>
      </c>
      <c r="E1480" t="inlineStr">
        <is>
          <t>TORSBY</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22386-2023</t>
        </is>
      </c>
      <c r="B1481" s="1" t="n">
        <v>45070</v>
      </c>
      <c r="C1481" s="1" t="n">
        <v>45711</v>
      </c>
      <c r="D1481" t="inlineStr">
        <is>
          <t>VÄRMLANDS LÄN</t>
        </is>
      </c>
      <c r="E1481" t="inlineStr">
        <is>
          <t>TORSBY</t>
        </is>
      </c>
      <c r="F1481" t="inlineStr">
        <is>
          <t>Bergvik skog väst AB</t>
        </is>
      </c>
      <c r="G1481" t="n">
        <v>11.1</v>
      </c>
      <c r="H1481" t="n">
        <v>0</v>
      </c>
      <c r="I1481" t="n">
        <v>0</v>
      </c>
      <c r="J1481" t="n">
        <v>0</v>
      </c>
      <c r="K1481" t="n">
        <v>0</v>
      </c>
      <c r="L1481" t="n">
        <v>0</v>
      </c>
      <c r="M1481" t="n">
        <v>0</v>
      </c>
      <c r="N1481" t="n">
        <v>0</v>
      </c>
      <c r="O1481" t="n">
        <v>0</v>
      </c>
      <c r="P1481" t="n">
        <v>0</v>
      </c>
      <c r="Q1481" t="n">
        <v>0</v>
      </c>
      <c r="R1481" s="2" t="inlineStr"/>
    </row>
    <row r="1482" ht="15" customHeight="1">
      <c r="A1482" t="inlineStr">
        <is>
          <t>A 22301-2023</t>
        </is>
      </c>
      <c r="B1482" s="1" t="n">
        <v>45070</v>
      </c>
      <c r="C1482" s="1" t="n">
        <v>45711</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23073-2023</t>
        </is>
      </c>
      <c r="B1483" s="1" t="n">
        <v>45070</v>
      </c>
      <c r="C1483" s="1" t="n">
        <v>45711</v>
      </c>
      <c r="D1483" t="inlineStr">
        <is>
          <t>VÄRMLANDS LÄN</t>
        </is>
      </c>
      <c r="E1483" t="inlineStr">
        <is>
          <t>TORSBY</t>
        </is>
      </c>
      <c r="G1483" t="n">
        <v>15.1</v>
      </c>
      <c r="H1483" t="n">
        <v>0</v>
      </c>
      <c r="I1483" t="n">
        <v>0</v>
      </c>
      <c r="J1483" t="n">
        <v>0</v>
      </c>
      <c r="K1483" t="n">
        <v>0</v>
      </c>
      <c r="L1483" t="n">
        <v>0</v>
      </c>
      <c r="M1483" t="n">
        <v>0</v>
      </c>
      <c r="N1483" t="n">
        <v>0</v>
      </c>
      <c r="O1483" t="n">
        <v>0</v>
      </c>
      <c r="P1483" t="n">
        <v>0</v>
      </c>
      <c r="Q1483" t="n">
        <v>0</v>
      </c>
      <c r="R1483" s="2" t="inlineStr"/>
    </row>
    <row r="1484" ht="15" customHeight="1">
      <c r="A1484" t="inlineStr">
        <is>
          <t>A 22920-2023</t>
        </is>
      </c>
      <c r="B1484" s="1" t="n">
        <v>45070</v>
      </c>
      <c r="C1484" s="1" t="n">
        <v>45711</v>
      </c>
      <c r="D1484" t="inlineStr">
        <is>
          <t>VÄRMLANDS LÄN</t>
        </is>
      </c>
      <c r="E1484" t="inlineStr">
        <is>
          <t>TORSBY</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22494-2023</t>
        </is>
      </c>
      <c r="B1485" s="1" t="n">
        <v>45071</v>
      </c>
      <c r="C1485" s="1" t="n">
        <v>45711</v>
      </c>
      <c r="D1485" t="inlineStr">
        <is>
          <t>VÄRMLANDS LÄN</t>
        </is>
      </c>
      <c r="E1485" t="inlineStr">
        <is>
          <t>TORSBY</t>
        </is>
      </c>
      <c r="F1485" t="inlineStr">
        <is>
          <t>Bergvik skog väst AB</t>
        </is>
      </c>
      <c r="G1485" t="n">
        <v>25.7</v>
      </c>
      <c r="H1485" t="n">
        <v>0</v>
      </c>
      <c r="I1485" t="n">
        <v>0</v>
      </c>
      <c r="J1485" t="n">
        <v>0</v>
      </c>
      <c r="K1485" t="n">
        <v>0</v>
      </c>
      <c r="L1485" t="n">
        <v>0</v>
      </c>
      <c r="M1485" t="n">
        <v>0</v>
      </c>
      <c r="N1485" t="n">
        <v>0</v>
      </c>
      <c r="O1485" t="n">
        <v>0</v>
      </c>
      <c r="P1485" t="n">
        <v>0</v>
      </c>
      <c r="Q1485" t="n">
        <v>0</v>
      </c>
      <c r="R1485" s="2" t="inlineStr"/>
    </row>
    <row r="1486" ht="15" customHeight="1">
      <c r="A1486" t="inlineStr">
        <is>
          <t>A 22524-2023</t>
        </is>
      </c>
      <c r="B1486" s="1" t="n">
        <v>45071</v>
      </c>
      <c r="C1486" s="1" t="n">
        <v>45711</v>
      </c>
      <c r="D1486" t="inlineStr">
        <is>
          <t>VÄRMLANDS LÄN</t>
        </is>
      </c>
      <c r="E1486" t="inlineStr">
        <is>
          <t>TORSBY</t>
        </is>
      </c>
      <c r="F1486" t="inlineStr">
        <is>
          <t>Bergvik skog väst AB</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22587-2023</t>
        </is>
      </c>
      <c r="B1487" s="1" t="n">
        <v>45071</v>
      </c>
      <c r="C1487" s="1" t="n">
        <v>45711</v>
      </c>
      <c r="D1487" t="inlineStr">
        <is>
          <t>VÄRMLANDS LÄN</t>
        </is>
      </c>
      <c r="E1487" t="inlineStr">
        <is>
          <t>TORSBY</t>
        </is>
      </c>
      <c r="F1487" t="inlineStr">
        <is>
          <t>Bergvik skog väst AB</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22618-2023</t>
        </is>
      </c>
      <c r="B1488" s="1" t="n">
        <v>45071</v>
      </c>
      <c r="C1488" s="1" t="n">
        <v>45711</v>
      </c>
      <c r="D1488" t="inlineStr">
        <is>
          <t>VÄRMLANDS LÄN</t>
        </is>
      </c>
      <c r="E1488" t="inlineStr">
        <is>
          <t>TORSBY</t>
        </is>
      </c>
      <c r="F1488" t="inlineStr">
        <is>
          <t>Bergvik skog väst AB</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22655-2023</t>
        </is>
      </c>
      <c r="B1489" s="1" t="n">
        <v>45071</v>
      </c>
      <c r="C1489" s="1" t="n">
        <v>45711</v>
      </c>
      <c r="D1489" t="inlineStr">
        <is>
          <t>VÄRMLANDS LÄN</t>
        </is>
      </c>
      <c r="E1489" t="inlineStr">
        <is>
          <t>TORSBY</t>
        </is>
      </c>
      <c r="F1489" t="inlineStr">
        <is>
          <t>Bergvik skog väst AB</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22705-2023</t>
        </is>
      </c>
      <c r="B1490" s="1" t="n">
        <v>45071</v>
      </c>
      <c r="C1490" s="1" t="n">
        <v>45711</v>
      </c>
      <c r="D1490" t="inlineStr">
        <is>
          <t>VÄRMLANDS LÄN</t>
        </is>
      </c>
      <c r="E1490" t="inlineStr">
        <is>
          <t>TORSBY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22687-2023</t>
        </is>
      </c>
      <c r="B1491" s="1" t="n">
        <v>45071</v>
      </c>
      <c r="C1491" s="1" t="n">
        <v>45711</v>
      </c>
      <c r="D1491" t="inlineStr">
        <is>
          <t>VÄRMLANDS LÄN</t>
        </is>
      </c>
      <c r="E1491" t="inlineStr">
        <is>
          <t>TORSBY</t>
        </is>
      </c>
      <c r="F1491" t="inlineStr">
        <is>
          <t>Bergvik skog väst AB</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22634-2023</t>
        </is>
      </c>
      <c r="B1492" s="1" t="n">
        <v>45071</v>
      </c>
      <c r="C1492" s="1" t="n">
        <v>45711</v>
      </c>
      <c r="D1492" t="inlineStr">
        <is>
          <t>VÄRMLANDS LÄN</t>
        </is>
      </c>
      <c r="E1492" t="inlineStr">
        <is>
          <t>TORSBY</t>
        </is>
      </c>
      <c r="F1492" t="inlineStr">
        <is>
          <t>Bergvik skog väst AB</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22675-2023</t>
        </is>
      </c>
      <c r="B1493" s="1" t="n">
        <v>45071</v>
      </c>
      <c r="C1493" s="1" t="n">
        <v>45711</v>
      </c>
      <c r="D1493" t="inlineStr">
        <is>
          <t>VÄRMLANDS LÄN</t>
        </is>
      </c>
      <c r="E1493" t="inlineStr">
        <is>
          <t>TORSBY</t>
        </is>
      </c>
      <c r="F1493" t="inlineStr">
        <is>
          <t>Bergvik skog väst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22702-2023</t>
        </is>
      </c>
      <c r="B1494" s="1" t="n">
        <v>45071</v>
      </c>
      <c r="C1494" s="1" t="n">
        <v>45711</v>
      </c>
      <c r="D1494" t="inlineStr">
        <is>
          <t>VÄRMLANDS LÄN</t>
        </is>
      </c>
      <c r="E1494" t="inlineStr">
        <is>
          <t>TORSBY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22939-2023</t>
        </is>
      </c>
      <c r="B1495" s="1" t="n">
        <v>45072</v>
      </c>
      <c r="C1495" s="1" t="n">
        <v>45711</v>
      </c>
      <c r="D1495" t="inlineStr">
        <is>
          <t>VÄRMLANDS LÄN</t>
        </is>
      </c>
      <c r="E1495" t="inlineStr">
        <is>
          <t>TORSBY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22943-2023</t>
        </is>
      </c>
      <c r="B1496" s="1" t="n">
        <v>45072</v>
      </c>
      <c r="C1496" s="1" t="n">
        <v>45711</v>
      </c>
      <c r="D1496" t="inlineStr">
        <is>
          <t>VÄRMLANDS LÄN</t>
        </is>
      </c>
      <c r="E1496" t="inlineStr">
        <is>
          <t>TORSBY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23572-2023</t>
        </is>
      </c>
      <c r="B1497" s="1" t="n">
        <v>45077</v>
      </c>
      <c r="C1497" s="1" t="n">
        <v>45711</v>
      </c>
      <c r="D1497" t="inlineStr">
        <is>
          <t>VÄRMLANDS LÄN</t>
        </is>
      </c>
      <c r="E1497" t="inlineStr">
        <is>
          <t>TORSBY</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23624-2023</t>
        </is>
      </c>
      <c r="B1498" s="1" t="n">
        <v>45077</v>
      </c>
      <c r="C1498" s="1" t="n">
        <v>45711</v>
      </c>
      <c r="D1498" t="inlineStr">
        <is>
          <t>VÄRMLANDS LÄN</t>
        </is>
      </c>
      <c r="E1498" t="inlineStr">
        <is>
          <t>TORSBY</t>
        </is>
      </c>
      <c r="F1498" t="inlineStr">
        <is>
          <t>Bergvik skog väst AB</t>
        </is>
      </c>
      <c r="G1498" t="n">
        <v>27.9</v>
      </c>
      <c r="H1498" t="n">
        <v>0</v>
      </c>
      <c r="I1498" t="n">
        <v>0</v>
      </c>
      <c r="J1498" t="n">
        <v>0</v>
      </c>
      <c r="K1498" t="n">
        <v>0</v>
      </c>
      <c r="L1498" t="n">
        <v>0</v>
      </c>
      <c r="M1498" t="n">
        <v>0</v>
      </c>
      <c r="N1498" t="n">
        <v>0</v>
      </c>
      <c r="O1498" t="n">
        <v>0</v>
      </c>
      <c r="P1498" t="n">
        <v>0</v>
      </c>
      <c r="Q1498" t="n">
        <v>0</v>
      </c>
      <c r="R1498" s="2" t="inlineStr"/>
    </row>
    <row r="1499" ht="15" customHeight="1">
      <c r="A1499" t="inlineStr">
        <is>
          <t>A 23894-2023</t>
        </is>
      </c>
      <c r="B1499" s="1" t="n">
        <v>45078</v>
      </c>
      <c r="C1499" s="1" t="n">
        <v>45711</v>
      </c>
      <c r="D1499" t="inlineStr">
        <is>
          <t>VÄRMLANDS LÄN</t>
        </is>
      </c>
      <c r="E1499" t="inlineStr">
        <is>
          <t>TORSBY</t>
        </is>
      </c>
      <c r="F1499" t="inlineStr">
        <is>
          <t>Bergvik skog väst AB</t>
        </is>
      </c>
      <c r="G1499" t="n">
        <v>14.9</v>
      </c>
      <c r="H1499" t="n">
        <v>0</v>
      </c>
      <c r="I1499" t="n">
        <v>0</v>
      </c>
      <c r="J1499" t="n">
        <v>0</v>
      </c>
      <c r="K1499" t="n">
        <v>0</v>
      </c>
      <c r="L1499" t="n">
        <v>0</v>
      </c>
      <c r="M1499" t="n">
        <v>0</v>
      </c>
      <c r="N1499" t="n">
        <v>0</v>
      </c>
      <c r="O1499" t="n">
        <v>0</v>
      </c>
      <c r="P1499" t="n">
        <v>0</v>
      </c>
      <c r="Q1499" t="n">
        <v>0</v>
      </c>
      <c r="R1499" s="2" t="inlineStr"/>
    </row>
    <row r="1500" ht="15" customHeight="1">
      <c r="A1500" t="inlineStr">
        <is>
          <t>A 23912-2023</t>
        </is>
      </c>
      <c r="B1500" s="1" t="n">
        <v>45078</v>
      </c>
      <c r="C1500" s="1" t="n">
        <v>45711</v>
      </c>
      <c r="D1500" t="inlineStr">
        <is>
          <t>VÄRMLANDS LÄN</t>
        </is>
      </c>
      <c r="E1500" t="inlineStr">
        <is>
          <t>TORSBY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24244-2023</t>
        </is>
      </c>
      <c r="B1501" s="1" t="n">
        <v>45079</v>
      </c>
      <c r="C1501" s="1" t="n">
        <v>45711</v>
      </c>
      <c r="D1501" t="inlineStr">
        <is>
          <t>VÄRMLANDS LÄN</t>
        </is>
      </c>
      <c r="E1501" t="inlineStr">
        <is>
          <t>TORSBY</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24170-2023</t>
        </is>
      </c>
      <c r="B1502" s="1" t="n">
        <v>45079</v>
      </c>
      <c r="C1502" s="1" t="n">
        <v>45711</v>
      </c>
      <c r="D1502" t="inlineStr">
        <is>
          <t>VÄRMLANDS LÄN</t>
        </is>
      </c>
      <c r="E1502" t="inlineStr">
        <is>
          <t>TORSBY</t>
        </is>
      </c>
      <c r="F1502" t="inlineStr">
        <is>
          <t>Bergvik skog väst AB</t>
        </is>
      </c>
      <c r="G1502" t="n">
        <v>8.300000000000001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24101-2023</t>
        </is>
      </c>
      <c r="B1503" s="1" t="n">
        <v>45079</v>
      </c>
      <c r="C1503" s="1" t="n">
        <v>45711</v>
      </c>
      <c r="D1503" t="inlineStr">
        <is>
          <t>VÄRMLANDS LÄN</t>
        </is>
      </c>
      <c r="E1503" t="inlineStr">
        <is>
          <t>TORSBY</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24196-2023</t>
        </is>
      </c>
      <c r="B1504" s="1" t="n">
        <v>45079</v>
      </c>
      <c r="C1504" s="1" t="n">
        <v>45711</v>
      </c>
      <c r="D1504" t="inlineStr">
        <is>
          <t>VÄRMLANDS LÄN</t>
        </is>
      </c>
      <c r="E1504" t="inlineStr">
        <is>
          <t>TORSBY</t>
        </is>
      </c>
      <c r="F1504" t="inlineStr">
        <is>
          <t>Bergvik skog väst AB</t>
        </is>
      </c>
      <c r="G1504" t="n">
        <v>10.6</v>
      </c>
      <c r="H1504" t="n">
        <v>0</v>
      </c>
      <c r="I1504" t="n">
        <v>0</v>
      </c>
      <c r="J1504" t="n">
        <v>0</v>
      </c>
      <c r="K1504" t="n">
        <v>0</v>
      </c>
      <c r="L1504" t="n">
        <v>0</v>
      </c>
      <c r="M1504" t="n">
        <v>0</v>
      </c>
      <c r="N1504" t="n">
        <v>0</v>
      </c>
      <c r="O1504" t="n">
        <v>0</v>
      </c>
      <c r="P1504" t="n">
        <v>0</v>
      </c>
      <c r="Q1504" t="n">
        <v>0</v>
      </c>
      <c r="R1504" s="2" t="inlineStr"/>
    </row>
    <row r="1505" ht="15" customHeight="1">
      <c r="A1505" t="inlineStr">
        <is>
          <t>A 24518-2023</t>
        </is>
      </c>
      <c r="B1505" s="1" t="n">
        <v>45082</v>
      </c>
      <c r="C1505" s="1" t="n">
        <v>45711</v>
      </c>
      <c r="D1505" t="inlineStr">
        <is>
          <t>VÄRMLANDS LÄN</t>
        </is>
      </c>
      <c r="E1505" t="inlineStr">
        <is>
          <t>TORSBY</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24696-2023</t>
        </is>
      </c>
      <c r="B1506" s="1" t="n">
        <v>45084</v>
      </c>
      <c r="C1506" s="1" t="n">
        <v>45711</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24639-2023</t>
        </is>
      </c>
      <c r="B1507" s="1" t="n">
        <v>45084</v>
      </c>
      <c r="C1507" s="1" t="n">
        <v>45711</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24643-2023</t>
        </is>
      </c>
      <c r="B1508" s="1" t="n">
        <v>45084</v>
      </c>
      <c r="C1508" s="1" t="n">
        <v>45711</v>
      </c>
      <c r="D1508" t="inlineStr">
        <is>
          <t>VÄRMLANDS LÄN</t>
        </is>
      </c>
      <c r="E1508" t="inlineStr">
        <is>
          <t>TORSBY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24703-2023</t>
        </is>
      </c>
      <c r="B1509" s="1" t="n">
        <v>45084</v>
      </c>
      <c r="C1509" s="1" t="n">
        <v>45711</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24849-2023</t>
        </is>
      </c>
      <c r="B1510" s="1" t="n">
        <v>45085</v>
      </c>
      <c r="C1510" s="1" t="n">
        <v>45711</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24896-2023</t>
        </is>
      </c>
      <c r="B1511" s="1" t="n">
        <v>45085</v>
      </c>
      <c r="C1511" s="1" t="n">
        <v>45711</v>
      </c>
      <c r="D1511" t="inlineStr">
        <is>
          <t>VÄRMLANDS LÄN</t>
        </is>
      </c>
      <c r="E1511" t="inlineStr">
        <is>
          <t>TORSBY</t>
        </is>
      </c>
      <c r="F1511" t="inlineStr">
        <is>
          <t>Bergvik skog väst AB</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24876-2023</t>
        </is>
      </c>
      <c r="B1512" s="1" t="n">
        <v>45085</v>
      </c>
      <c r="C1512" s="1" t="n">
        <v>45711</v>
      </c>
      <c r="D1512" t="inlineStr">
        <is>
          <t>VÄRMLANDS LÄN</t>
        </is>
      </c>
      <c r="E1512" t="inlineStr">
        <is>
          <t>TORSBY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24909-2023</t>
        </is>
      </c>
      <c r="B1513" s="1" t="n">
        <v>45085</v>
      </c>
      <c r="C1513" s="1" t="n">
        <v>45711</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24897-2023</t>
        </is>
      </c>
      <c r="B1514" s="1" t="n">
        <v>45085</v>
      </c>
      <c r="C1514" s="1" t="n">
        <v>45711</v>
      </c>
      <c r="D1514" t="inlineStr">
        <is>
          <t>VÄRMLANDS LÄN</t>
        </is>
      </c>
      <c r="E1514" t="inlineStr">
        <is>
          <t>TORSBY</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24847-2023</t>
        </is>
      </c>
      <c r="B1515" s="1" t="n">
        <v>45085</v>
      </c>
      <c r="C1515" s="1" t="n">
        <v>45711</v>
      </c>
      <c r="D1515" t="inlineStr">
        <is>
          <t>VÄRMLANDS LÄN</t>
        </is>
      </c>
      <c r="E1515" t="inlineStr">
        <is>
          <t>TORSBY</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24965-2023</t>
        </is>
      </c>
      <c r="B1516" s="1" t="n">
        <v>45085</v>
      </c>
      <c r="C1516" s="1" t="n">
        <v>45711</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24969-2023</t>
        </is>
      </c>
      <c r="B1517" s="1" t="n">
        <v>45085</v>
      </c>
      <c r="C1517" s="1" t="n">
        <v>45711</v>
      </c>
      <c r="D1517" t="inlineStr">
        <is>
          <t>VÄRMLANDS LÄN</t>
        </is>
      </c>
      <c r="E1517" t="inlineStr">
        <is>
          <t>TORSBY</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25001-2023</t>
        </is>
      </c>
      <c r="B1518" s="1" t="n">
        <v>45085</v>
      </c>
      <c r="C1518" s="1" t="n">
        <v>45711</v>
      </c>
      <c r="D1518" t="inlineStr">
        <is>
          <t>VÄRMLANDS LÄN</t>
        </is>
      </c>
      <c r="E1518" t="inlineStr">
        <is>
          <t>TORSBY</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25068-2023</t>
        </is>
      </c>
      <c r="B1519" s="1" t="n">
        <v>45085</v>
      </c>
      <c r="C1519" s="1" t="n">
        <v>45711</v>
      </c>
      <c r="D1519" t="inlineStr">
        <is>
          <t>VÄRMLANDS LÄN</t>
        </is>
      </c>
      <c r="E1519" t="inlineStr">
        <is>
          <t>TORSBY</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25163-2023</t>
        </is>
      </c>
      <c r="B1520" s="1" t="n">
        <v>45086</v>
      </c>
      <c r="C1520" s="1" t="n">
        <v>45711</v>
      </c>
      <c r="D1520" t="inlineStr">
        <is>
          <t>VÄRMLANDS LÄN</t>
        </is>
      </c>
      <c r="E1520" t="inlineStr">
        <is>
          <t>TORSBY</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25088-2023</t>
        </is>
      </c>
      <c r="B1521" s="1" t="n">
        <v>45086</v>
      </c>
      <c r="C1521" s="1" t="n">
        <v>45711</v>
      </c>
      <c r="D1521" t="inlineStr">
        <is>
          <t>VÄRMLANDS LÄN</t>
        </is>
      </c>
      <c r="E1521" t="inlineStr">
        <is>
          <t>TORSBY</t>
        </is>
      </c>
      <c r="F1521" t="inlineStr">
        <is>
          <t>Bergvik skog väst AB</t>
        </is>
      </c>
      <c r="G1521" t="n">
        <v>13.9</v>
      </c>
      <c r="H1521" t="n">
        <v>0</v>
      </c>
      <c r="I1521" t="n">
        <v>0</v>
      </c>
      <c r="J1521" t="n">
        <v>0</v>
      </c>
      <c r="K1521" t="n">
        <v>0</v>
      </c>
      <c r="L1521" t="n">
        <v>0</v>
      </c>
      <c r="M1521" t="n">
        <v>0</v>
      </c>
      <c r="N1521" t="n">
        <v>0</v>
      </c>
      <c r="O1521" t="n">
        <v>0</v>
      </c>
      <c r="P1521" t="n">
        <v>0</v>
      </c>
      <c r="Q1521" t="n">
        <v>0</v>
      </c>
      <c r="R1521" s="2" t="inlineStr"/>
    </row>
    <row r="1522" ht="15" customHeight="1">
      <c r="A1522" t="inlineStr">
        <is>
          <t>A 25090-2023</t>
        </is>
      </c>
      <c r="B1522" s="1" t="n">
        <v>45086</v>
      </c>
      <c r="C1522" s="1" t="n">
        <v>45711</v>
      </c>
      <c r="D1522" t="inlineStr">
        <is>
          <t>VÄRMLANDS LÄN</t>
        </is>
      </c>
      <c r="E1522" t="inlineStr">
        <is>
          <t>TORSBY</t>
        </is>
      </c>
      <c r="F1522" t="inlineStr">
        <is>
          <t>Bergvik skog väst AB</t>
        </is>
      </c>
      <c r="G1522" t="n">
        <v>8.1</v>
      </c>
      <c r="H1522" t="n">
        <v>0</v>
      </c>
      <c r="I1522" t="n">
        <v>0</v>
      </c>
      <c r="J1522" t="n">
        <v>0</v>
      </c>
      <c r="K1522" t="n">
        <v>0</v>
      </c>
      <c r="L1522" t="n">
        <v>0</v>
      </c>
      <c r="M1522" t="n">
        <v>0</v>
      </c>
      <c r="N1522" t="n">
        <v>0</v>
      </c>
      <c r="O1522" t="n">
        <v>0</v>
      </c>
      <c r="P1522" t="n">
        <v>0</v>
      </c>
      <c r="Q1522" t="n">
        <v>0</v>
      </c>
      <c r="R1522" s="2" t="inlineStr"/>
    </row>
    <row r="1523" ht="15" customHeight="1">
      <c r="A1523" t="inlineStr">
        <is>
          <t>A 25261-2023</t>
        </is>
      </c>
      <c r="B1523" s="1" t="n">
        <v>45086</v>
      </c>
      <c r="C1523" s="1" t="n">
        <v>45711</v>
      </c>
      <c r="D1523" t="inlineStr">
        <is>
          <t>VÄRMLANDS LÄN</t>
        </is>
      </c>
      <c r="E1523" t="inlineStr">
        <is>
          <t>TORSBY</t>
        </is>
      </c>
      <c r="F1523" t="inlineStr">
        <is>
          <t>Bergvik skog väst AB</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25344-2023</t>
        </is>
      </c>
      <c r="B1524" s="1" t="n">
        <v>45087</v>
      </c>
      <c r="C1524" s="1" t="n">
        <v>45711</v>
      </c>
      <c r="D1524" t="inlineStr">
        <is>
          <t>VÄRMLANDS LÄN</t>
        </is>
      </c>
      <c r="E1524" t="inlineStr">
        <is>
          <t>TORSBY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25579-2023</t>
        </is>
      </c>
      <c r="B1525" s="1" t="n">
        <v>45089</v>
      </c>
      <c r="C1525" s="1" t="n">
        <v>45711</v>
      </c>
      <c r="D1525" t="inlineStr">
        <is>
          <t>VÄRMLANDS LÄN</t>
        </is>
      </c>
      <c r="E1525" t="inlineStr">
        <is>
          <t>TORSBY</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26466-2023</t>
        </is>
      </c>
      <c r="B1526" s="1" t="n">
        <v>45089</v>
      </c>
      <c r="C1526" s="1" t="n">
        <v>45711</v>
      </c>
      <c r="D1526" t="inlineStr">
        <is>
          <t>VÄRMLANDS LÄN</t>
        </is>
      </c>
      <c r="E1526" t="inlineStr">
        <is>
          <t>TORSBY</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26340-2023</t>
        </is>
      </c>
      <c r="B1527" s="1" t="n">
        <v>45091</v>
      </c>
      <c r="C1527" s="1" t="n">
        <v>45711</v>
      </c>
      <c r="D1527" t="inlineStr">
        <is>
          <t>VÄRMLANDS LÄN</t>
        </is>
      </c>
      <c r="E1527" t="inlineStr">
        <is>
          <t>TORSBY</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26343-2023</t>
        </is>
      </c>
      <c r="B1528" s="1" t="n">
        <v>45091</v>
      </c>
      <c r="C1528" s="1" t="n">
        <v>45711</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26327-2023</t>
        </is>
      </c>
      <c r="B1529" s="1" t="n">
        <v>45091</v>
      </c>
      <c r="C1529" s="1" t="n">
        <v>45711</v>
      </c>
      <c r="D1529" t="inlineStr">
        <is>
          <t>VÄRMLANDS LÄN</t>
        </is>
      </c>
      <c r="E1529" t="inlineStr">
        <is>
          <t>TORSBY</t>
        </is>
      </c>
      <c r="F1529" t="inlineStr">
        <is>
          <t>Bergvik skog väst AB</t>
        </is>
      </c>
      <c r="G1529" t="n">
        <v>33.4</v>
      </c>
      <c r="H1529" t="n">
        <v>0</v>
      </c>
      <c r="I1529" t="n">
        <v>0</v>
      </c>
      <c r="J1529" t="n">
        <v>0</v>
      </c>
      <c r="K1529" t="n">
        <v>0</v>
      </c>
      <c r="L1529" t="n">
        <v>0</v>
      </c>
      <c r="M1529" t="n">
        <v>0</v>
      </c>
      <c r="N1529" t="n">
        <v>0</v>
      </c>
      <c r="O1529" t="n">
        <v>0</v>
      </c>
      <c r="P1529" t="n">
        <v>0</v>
      </c>
      <c r="Q1529" t="n">
        <v>0</v>
      </c>
      <c r="R1529" s="2" t="inlineStr"/>
    </row>
    <row r="1530" ht="15" customHeight="1">
      <c r="A1530" t="inlineStr">
        <is>
          <t>A 26080-2023</t>
        </is>
      </c>
      <c r="B1530" s="1" t="n">
        <v>45091</v>
      </c>
      <c r="C1530" s="1" t="n">
        <v>45711</v>
      </c>
      <c r="D1530" t="inlineStr">
        <is>
          <t>VÄRMLANDS LÄN</t>
        </is>
      </c>
      <c r="E1530" t="inlineStr">
        <is>
          <t>TORSBY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26092-2023</t>
        </is>
      </c>
      <c r="B1531" s="1" t="n">
        <v>45091</v>
      </c>
      <c r="C1531" s="1" t="n">
        <v>45711</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26979-2023</t>
        </is>
      </c>
      <c r="B1532" s="1" t="n">
        <v>45091</v>
      </c>
      <c r="C1532" s="1" t="n">
        <v>45711</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26376-2023</t>
        </is>
      </c>
      <c r="B1533" s="1" t="n">
        <v>45092</v>
      </c>
      <c r="C1533" s="1" t="n">
        <v>45711</v>
      </c>
      <c r="D1533" t="inlineStr">
        <is>
          <t>VÄRMLANDS LÄN</t>
        </is>
      </c>
      <c r="E1533" t="inlineStr">
        <is>
          <t>TORSBY</t>
        </is>
      </c>
      <c r="G1533" t="n">
        <v>9.6</v>
      </c>
      <c r="H1533" t="n">
        <v>0</v>
      </c>
      <c r="I1533" t="n">
        <v>0</v>
      </c>
      <c r="J1533" t="n">
        <v>0</v>
      </c>
      <c r="K1533" t="n">
        <v>0</v>
      </c>
      <c r="L1533" t="n">
        <v>0</v>
      </c>
      <c r="M1533" t="n">
        <v>0</v>
      </c>
      <c r="N1533" t="n">
        <v>0</v>
      </c>
      <c r="O1533" t="n">
        <v>0</v>
      </c>
      <c r="P1533" t="n">
        <v>0</v>
      </c>
      <c r="Q1533" t="n">
        <v>0</v>
      </c>
      <c r="R1533" s="2" t="inlineStr"/>
    </row>
    <row r="1534" ht="15" customHeight="1">
      <c r="A1534" t="inlineStr">
        <is>
          <t>A 26616-2023</t>
        </is>
      </c>
      <c r="B1534" s="1" t="n">
        <v>45092</v>
      </c>
      <c r="C1534" s="1" t="n">
        <v>45711</v>
      </c>
      <c r="D1534" t="inlineStr">
        <is>
          <t>VÄRMLANDS LÄN</t>
        </is>
      </c>
      <c r="E1534" t="inlineStr">
        <is>
          <t>TORSBY</t>
        </is>
      </c>
      <c r="F1534" t="inlineStr">
        <is>
          <t>Bergvik skog väst AB</t>
        </is>
      </c>
      <c r="G1534" t="n">
        <v>30.3</v>
      </c>
      <c r="H1534" t="n">
        <v>0</v>
      </c>
      <c r="I1534" t="n">
        <v>0</v>
      </c>
      <c r="J1534" t="n">
        <v>0</v>
      </c>
      <c r="K1534" t="n">
        <v>0</v>
      </c>
      <c r="L1534" t="n">
        <v>0</v>
      </c>
      <c r="M1534" t="n">
        <v>0</v>
      </c>
      <c r="N1534" t="n">
        <v>0</v>
      </c>
      <c r="O1534" t="n">
        <v>0</v>
      </c>
      <c r="P1534" t="n">
        <v>0</v>
      </c>
      <c r="Q1534" t="n">
        <v>0</v>
      </c>
      <c r="R1534" s="2" t="inlineStr"/>
    </row>
    <row r="1535" ht="15" customHeight="1">
      <c r="A1535" t="inlineStr">
        <is>
          <t>A 26814-2023</t>
        </is>
      </c>
      <c r="B1535" s="1" t="n">
        <v>45093</v>
      </c>
      <c r="C1535" s="1" t="n">
        <v>45711</v>
      </c>
      <c r="D1535" t="inlineStr">
        <is>
          <t>VÄRMLANDS LÄN</t>
        </is>
      </c>
      <c r="E1535" t="inlineStr">
        <is>
          <t>TORSBY</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26753-2023</t>
        </is>
      </c>
      <c r="B1536" s="1" t="n">
        <v>45093</v>
      </c>
      <c r="C1536" s="1" t="n">
        <v>45711</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26855-2023</t>
        </is>
      </c>
      <c r="B1537" s="1" t="n">
        <v>45093</v>
      </c>
      <c r="C1537" s="1" t="n">
        <v>45711</v>
      </c>
      <c r="D1537" t="inlineStr">
        <is>
          <t>VÄRMLANDS LÄN</t>
        </is>
      </c>
      <c r="E1537" t="inlineStr">
        <is>
          <t>TORSBY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27195-2023</t>
        </is>
      </c>
      <c r="B1538" s="1" t="n">
        <v>45096</v>
      </c>
      <c r="C1538" s="1" t="n">
        <v>45711</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27332-2023</t>
        </is>
      </c>
      <c r="B1539" s="1" t="n">
        <v>45096</v>
      </c>
      <c r="C1539" s="1" t="n">
        <v>45711</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27472-2023</t>
        </is>
      </c>
      <c r="B1540" s="1" t="n">
        <v>45097</v>
      </c>
      <c r="C1540" s="1" t="n">
        <v>45711</v>
      </c>
      <c r="D1540" t="inlineStr">
        <is>
          <t>VÄRMLANDS LÄN</t>
        </is>
      </c>
      <c r="E1540" t="inlineStr">
        <is>
          <t>TORSBY</t>
        </is>
      </c>
      <c r="F1540" t="inlineStr">
        <is>
          <t>Övriga Aktiebolag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27594-2023</t>
        </is>
      </c>
      <c r="B1541" s="1" t="n">
        <v>45097</v>
      </c>
      <c r="C1541" s="1" t="n">
        <v>45711</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27458-2023</t>
        </is>
      </c>
      <c r="B1542" s="1" t="n">
        <v>45097</v>
      </c>
      <c r="C1542" s="1" t="n">
        <v>45711</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27787-2023</t>
        </is>
      </c>
      <c r="B1543" s="1" t="n">
        <v>45098</v>
      </c>
      <c r="C1543" s="1" t="n">
        <v>45711</v>
      </c>
      <c r="D1543" t="inlineStr">
        <is>
          <t>VÄRMLANDS LÄN</t>
        </is>
      </c>
      <c r="E1543" t="inlineStr">
        <is>
          <t>TORSBY</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27837-2023</t>
        </is>
      </c>
      <c r="B1544" s="1" t="n">
        <v>45098</v>
      </c>
      <c r="C1544" s="1" t="n">
        <v>45711</v>
      </c>
      <c r="D1544" t="inlineStr">
        <is>
          <t>VÄRMLANDS LÄN</t>
        </is>
      </c>
      <c r="E1544" t="inlineStr">
        <is>
          <t>TORSBY</t>
        </is>
      </c>
      <c r="F1544" t="inlineStr">
        <is>
          <t>Bergvik skog väst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27851-2023</t>
        </is>
      </c>
      <c r="B1545" s="1" t="n">
        <v>45098</v>
      </c>
      <c r="C1545" s="1" t="n">
        <v>45711</v>
      </c>
      <c r="D1545" t="inlineStr">
        <is>
          <t>VÄRMLANDS LÄN</t>
        </is>
      </c>
      <c r="E1545" t="inlineStr">
        <is>
          <t>TORSBY</t>
        </is>
      </c>
      <c r="F1545" t="inlineStr">
        <is>
          <t>Bergvik skog väst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27920-2023</t>
        </is>
      </c>
      <c r="B1546" s="1" t="n">
        <v>45098</v>
      </c>
      <c r="C1546" s="1" t="n">
        <v>45711</v>
      </c>
      <c r="D1546" t="inlineStr">
        <is>
          <t>VÄRMLANDS LÄN</t>
        </is>
      </c>
      <c r="E1546" t="inlineStr">
        <is>
          <t>TORSBY</t>
        </is>
      </c>
      <c r="F1546" t="inlineStr">
        <is>
          <t>Kyrkan</t>
        </is>
      </c>
      <c r="G1546" t="n">
        <v>14.7</v>
      </c>
      <c r="H1546" t="n">
        <v>0</v>
      </c>
      <c r="I1546" t="n">
        <v>0</v>
      </c>
      <c r="J1546" t="n">
        <v>0</v>
      </c>
      <c r="K1546" t="n">
        <v>0</v>
      </c>
      <c r="L1546" t="n">
        <v>0</v>
      </c>
      <c r="M1546" t="n">
        <v>0</v>
      </c>
      <c r="N1546" t="n">
        <v>0</v>
      </c>
      <c r="O1546" t="n">
        <v>0</v>
      </c>
      <c r="P1546" t="n">
        <v>0</v>
      </c>
      <c r="Q1546" t="n">
        <v>0</v>
      </c>
      <c r="R1546" s="2" t="inlineStr"/>
    </row>
    <row r="1547" ht="15" customHeight="1">
      <c r="A1547" t="inlineStr">
        <is>
          <t>A 28045-2023</t>
        </is>
      </c>
      <c r="B1547" s="1" t="n">
        <v>45099</v>
      </c>
      <c r="C1547" s="1" t="n">
        <v>45711</v>
      </c>
      <c r="D1547" t="inlineStr">
        <is>
          <t>VÄRMLANDS LÄN</t>
        </is>
      </c>
      <c r="E1547" t="inlineStr">
        <is>
          <t>TORSBY</t>
        </is>
      </c>
      <c r="F1547" t="inlineStr">
        <is>
          <t>Bergvik skog väst AB</t>
        </is>
      </c>
      <c r="G1547" t="n">
        <v>11.5</v>
      </c>
      <c r="H1547" t="n">
        <v>0</v>
      </c>
      <c r="I1547" t="n">
        <v>0</v>
      </c>
      <c r="J1547" t="n">
        <v>0</v>
      </c>
      <c r="K1547" t="n">
        <v>0</v>
      </c>
      <c r="L1547" t="n">
        <v>0</v>
      </c>
      <c r="M1547" t="n">
        <v>0</v>
      </c>
      <c r="N1547" t="n">
        <v>0</v>
      </c>
      <c r="O1547" t="n">
        <v>0</v>
      </c>
      <c r="P1547" t="n">
        <v>0</v>
      </c>
      <c r="Q1547" t="n">
        <v>0</v>
      </c>
      <c r="R1547" s="2" t="inlineStr"/>
    </row>
    <row r="1548" ht="15" customHeight="1">
      <c r="A1548" t="inlineStr">
        <is>
          <t>A 28074-2023</t>
        </is>
      </c>
      <c r="B1548" s="1" t="n">
        <v>45099</v>
      </c>
      <c r="C1548" s="1" t="n">
        <v>45711</v>
      </c>
      <c r="D1548" t="inlineStr">
        <is>
          <t>VÄRMLANDS LÄN</t>
        </is>
      </c>
      <c r="E1548" t="inlineStr">
        <is>
          <t>TORSBY</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28092-2023</t>
        </is>
      </c>
      <c r="B1549" s="1" t="n">
        <v>45099</v>
      </c>
      <c r="C1549" s="1" t="n">
        <v>45711</v>
      </c>
      <c r="D1549" t="inlineStr">
        <is>
          <t>VÄRMLANDS LÄN</t>
        </is>
      </c>
      <c r="E1549" t="inlineStr">
        <is>
          <t>TORSBY</t>
        </is>
      </c>
      <c r="F1549" t="inlineStr">
        <is>
          <t>Bergvik skog väst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28251-2023</t>
        </is>
      </c>
      <c r="B1550" s="1" t="n">
        <v>45099</v>
      </c>
      <c r="C1550" s="1" t="n">
        <v>45711</v>
      </c>
      <c r="D1550" t="inlineStr">
        <is>
          <t>VÄRMLANDS LÄN</t>
        </is>
      </c>
      <c r="E1550" t="inlineStr">
        <is>
          <t>TORSBY</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30142-2023</t>
        </is>
      </c>
      <c r="B1551" s="1" t="n">
        <v>45099</v>
      </c>
      <c r="C1551" s="1" t="n">
        <v>45711</v>
      </c>
      <c r="D1551" t="inlineStr">
        <is>
          <t>VÄRMLANDS LÄN</t>
        </is>
      </c>
      <c r="E1551" t="inlineStr">
        <is>
          <t>TORSBY</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30148-2023</t>
        </is>
      </c>
      <c r="B1552" s="1" t="n">
        <v>45099</v>
      </c>
      <c r="C1552" s="1" t="n">
        <v>45711</v>
      </c>
      <c r="D1552" t="inlineStr">
        <is>
          <t>VÄRMLANDS LÄN</t>
        </is>
      </c>
      <c r="E1552" t="inlineStr">
        <is>
          <t>TORSBY</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30151-2023</t>
        </is>
      </c>
      <c r="B1553" s="1" t="n">
        <v>45099</v>
      </c>
      <c r="C1553" s="1" t="n">
        <v>45711</v>
      </c>
      <c r="D1553" t="inlineStr">
        <is>
          <t>VÄRMLANDS LÄN</t>
        </is>
      </c>
      <c r="E1553" t="inlineStr">
        <is>
          <t>TORSBY</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28598-2023</t>
        </is>
      </c>
      <c r="B1554" s="1" t="n">
        <v>45103</v>
      </c>
      <c r="C1554" s="1" t="n">
        <v>45711</v>
      </c>
      <c r="D1554" t="inlineStr">
        <is>
          <t>VÄRMLANDS LÄN</t>
        </is>
      </c>
      <c r="E1554" t="inlineStr">
        <is>
          <t>TORSBY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28652-2023</t>
        </is>
      </c>
      <c r="B1555" s="1" t="n">
        <v>45103</v>
      </c>
      <c r="C1555" s="1" t="n">
        <v>45711</v>
      </c>
      <c r="D1555" t="inlineStr">
        <is>
          <t>VÄRMLANDS LÄN</t>
        </is>
      </c>
      <c r="E1555" t="inlineStr">
        <is>
          <t>TORSBY</t>
        </is>
      </c>
      <c r="F1555" t="inlineStr">
        <is>
          <t>Bergvik skog väst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28818-2023</t>
        </is>
      </c>
      <c r="B1556" s="1" t="n">
        <v>45104</v>
      </c>
      <c r="C1556" s="1" t="n">
        <v>45711</v>
      </c>
      <c r="D1556" t="inlineStr">
        <is>
          <t>VÄRMLANDS LÄN</t>
        </is>
      </c>
      <c r="E1556" t="inlineStr">
        <is>
          <t>TORSBY</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28869-2023</t>
        </is>
      </c>
      <c r="B1557" s="1" t="n">
        <v>45104</v>
      </c>
      <c r="C1557" s="1" t="n">
        <v>45711</v>
      </c>
      <c r="D1557" t="inlineStr">
        <is>
          <t>VÄRMLANDS LÄN</t>
        </is>
      </c>
      <c r="E1557" t="inlineStr">
        <is>
          <t>TORSBY</t>
        </is>
      </c>
      <c r="F1557" t="inlineStr">
        <is>
          <t>Bergvik skog väst AB</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28948-2023</t>
        </is>
      </c>
      <c r="B1558" s="1" t="n">
        <v>45104</v>
      </c>
      <c r="C1558" s="1" t="n">
        <v>45711</v>
      </c>
      <c r="D1558" t="inlineStr">
        <is>
          <t>VÄRMLANDS LÄN</t>
        </is>
      </c>
      <c r="E1558" t="inlineStr">
        <is>
          <t>TORSBY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28814-2023</t>
        </is>
      </c>
      <c r="B1559" s="1" t="n">
        <v>45104</v>
      </c>
      <c r="C1559" s="1" t="n">
        <v>45711</v>
      </c>
      <c r="D1559" t="inlineStr">
        <is>
          <t>VÄRMLANDS LÄN</t>
        </is>
      </c>
      <c r="E1559" t="inlineStr">
        <is>
          <t>TORSBY</t>
        </is>
      </c>
      <c r="G1559" t="n">
        <v>14.3</v>
      </c>
      <c r="H1559" t="n">
        <v>0</v>
      </c>
      <c r="I1559" t="n">
        <v>0</v>
      </c>
      <c r="J1559" t="n">
        <v>0</v>
      </c>
      <c r="K1559" t="n">
        <v>0</v>
      </c>
      <c r="L1559" t="n">
        <v>0</v>
      </c>
      <c r="M1559" t="n">
        <v>0</v>
      </c>
      <c r="N1559" t="n">
        <v>0</v>
      </c>
      <c r="O1559" t="n">
        <v>0</v>
      </c>
      <c r="P1559" t="n">
        <v>0</v>
      </c>
      <c r="Q1559" t="n">
        <v>0</v>
      </c>
      <c r="R1559" s="2" t="inlineStr"/>
    </row>
    <row r="1560" ht="15" customHeight="1">
      <c r="A1560" t="inlineStr">
        <is>
          <t>A 29043-2023</t>
        </is>
      </c>
      <c r="B1560" s="1" t="n">
        <v>45104</v>
      </c>
      <c r="C1560" s="1" t="n">
        <v>45711</v>
      </c>
      <c r="D1560" t="inlineStr">
        <is>
          <t>VÄRMLANDS LÄN</t>
        </is>
      </c>
      <c r="E1560" t="inlineStr">
        <is>
          <t>TORSBY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29042-2023</t>
        </is>
      </c>
      <c r="B1561" s="1" t="n">
        <v>45104</v>
      </c>
      <c r="C1561" s="1" t="n">
        <v>45711</v>
      </c>
      <c r="D1561" t="inlineStr">
        <is>
          <t>VÄRMLANDS LÄN</t>
        </is>
      </c>
      <c r="E1561" t="inlineStr">
        <is>
          <t>TORSBY</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29137-2023</t>
        </is>
      </c>
      <c r="B1562" s="1" t="n">
        <v>45105</v>
      </c>
      <c r="C1562" s="1" t="n">
        <v>45711</v>
      </c>
      <c r="D1562" t="inlineStr">
        <is>
          <t>VÄRMLANDS LÄN</t>
        </is>
      </c>
      <c r="E1562" t="inlineStr">
        <is>
          <t>TORSBY</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29256-2023</t>
        </is>
      </c>
      <c r="B1563" s="1" t="n">
        <v>45105</v>
      </c>
      <c r="C1563" s="1" t="n">
        <v>45711</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29506-2023</t>
        </is>
      </c>
      <c r="B1564" s="1" t="n">
        <v>45106</v>
      </c>
      <c r="C1564" s="1" t="n">
        <v>45711</v>
      </c>
      <c r="D1564" t="inlineStr">
        <is>
          <t>VÄRMLANDS LÄN</t>
        </is>
      </c>
      <c r="E1564" t="inlineStr">
        <is>
          <t>TORSBY</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29581-2023</t>
        </is>
      </c>
      <c r="B1565" s="1" t="n">
        <v>45106</v>
      </c>
      <c r="C1565" s="1" t="n">
        <v>45711</v>
      </c>
      <c r="D1565" t="inlineStr">
        <is>
          <t>VÄRMLANDS LÄN</t>
        </is>
      </c>
      <c r="E1565" t="inlineStr">
        <is>
          <t>TORSBY</t>
        </is>
      </c>
      <c r="F1565" t="inlineStr">
        <is>
          <t>Bergvik skog väst AB</t>
        </is>
      </c>
      <c r="G1565" t="n">
        <v>11.8</v>
      </c>
      <c r="H1565" t="n">
        <v>0</v>
      </c>
      <c r="I1565" t="n">
        <v>0</v>
      </c>
      <c r="J1565" t="n">
        <v>0</v>
      </c>
      <c r="K1565" t="n">
        <v>0</v>
      </c>
      <c r="L1565" t="n">
        <v>0</v>
      </c>
      <c r="M1565" t="n">
        <v>0</v>
      </c>
      <c r="N1565" t="n">
        <v>0</v>
      </c>
      <c r="O1565" t="n">
        <v>0</v>
      </c>
      <c r="P1565" t="n">
        <v>0</v>
      </c>
      <c r="Q1565" t="n">
        <v>0</v>
      </c>
      <c r="R1565" s="2" t="inlineStr"/>
    </row>
    <row r="1566" ht="15" customHeight="1">
      <c r="A1566" t="inlineStr">
        <is>
          <t>A 29594-2023</t>
        </is>
      </c>
      <c r="B1566" s="1" t="n">
        <v>45107</v>
      </c>
      <c r="C1566" s="1" t="n">
        <v>45711</v>
      </c>
      <c r="D1566" t="inlineStr">
        <is>
          <t>VÄRMLANDS LÄN</t>
        </is>
      </c>
      <c r="E1566" t="inlineStr">
        <is>
          <t>TORSBY</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29545-2023</t>
        </is>
      </c>
      <c r="B1567" s="1" t="n">
        <v>45106</v>
      </c>
      <c r="C1567" s="1" t="n">
        <v>45711</v>
      </c>
      <c r="D1567" t="inlineStr">
        <is>
          <t>VÄRMLANDS LÄN</t>
        </is>
      </c>
      <c r="E1567" t="inlineStr">
        <is>
          <t>TORSBY</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31858-2023</t>
        </is>
      </c>
      <c r="B1568" s="1" t="n">
        <v>45106</v>
      </c>
      <c r="C1568" s="1" t="n">
        <v>45711</v>
      </c>
      <c r="D1568" t="inlineStr">
        <is>
          <t>VÄRMLANDS LÄN</t>
        </is>
      </c>
      <c r="E1568" t="inlineStr">
        <is>
          <t>TORSBY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29792-2023</t>
        </is>
      </c>
      <c r="B1569" s="1" t="n">
        <v>45107</v>
      </c>
      <c r="C1569" s="1" t="n">
        <v>45711</v>
      </c>
      <c r="D1569" t="inlineStr">
        <is>
          <t>VÄRMLANDS LÄN</t>
        </is>
      </c>
      <c r="E1569" t="inlineStr">
        <is>
          <t>TORSBY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29796-2023</t>
        </is>
      </c>
      <c r="B1570" s="1" t="n">
        <v>45107</v>
      </c>
      <c r="C1570" s="1" t="n">
        <v>45711</v>
      </c>
      <c r="D1570" t="inlineStr">
        <is>
          <t>VÄRMLANDS LÄN</t>
        </is>
      </c>
      <c r="E1570" t="inlineStr">
        <is>
          <t>TORSBY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29795-2023</t>
        </is>
      </c>
      <c r="B1571" s="1" t="n">
        <v>45107</v>
      </c>
      <c r="C1571" s="1" t="n">
        <v>45711</v>
      </c>
      <c r="D1571" t="inlineStr">
        <is>
          <t>VÄRMLANDS LÄN</t>
        </is>
      </c>
      <c r="E1571" t="inlineStr">
        <is>
          <t>TORSBY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31936-2023</t>
        </is>
      </c>
      <c r="B1572" s="1" t="n">
        <v>45107</v>
      </c>
      <c r="C1572" s="1" t="n">
        <v>45711</v>
      </c>
      <c r="D1572" t="inlineStr">
        <is>
          <t>VÄRMLANDS LÄN</t>
        </is>
      </c>
      <c r="E1572" t="inlineStr">
        <is>
          <t>TORSBY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30208-2023</t>
        </is>
      </c>
      <c r="B1573" s="1" t="n">
        <v>45110</v>
      </c>
      <c r="C1573" s="1" t="n">
        <v>45711</v>
      </c>
      <c r="D1573" t="inlineStr">
        <is>
          <t>VÄRMLANDS LÄN</t>
        </is>
      </c>
      <c r="E1573" t="inlineStr">
        <is>
          <t>TORSBY</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30213-2023</t>
        </is>
      </c>
      <c r="B1574" s="1" t="n">
        <v>45110</v>
      </c>
      <c r="C1574" s="1" t="n">
        <v>45711</v>
      </c>
      <c r="D1574" t="inlineStr">
        <is>
          <t>VÄRMLANDS LÄN</t>
        </is>
      </c>
      <c r="E1574" t="inlineStr">
        <is>
          <t>TORSBY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30267-2023</t>
        </is>
      </c>
      <c r="B1575" s="1" t="n">
        <v>45110</v>
      </c>
      <c r="C1575" s="1" t="n">
        <v>45711</v>
      </c>
      <c r="D1575" t="inlineStr">
        <is>
          <t>VÄRMLANDS LÄN</t>
        </is>
      </c>
      <c r="E1575" t="inlineStr">
        <is>
          <t>TORSBY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30104-2023</t>
        </is>
      </c>
      <c r="B1576" s="1" t="n">
        <v>45110</v>
      </c>
      <c r="C1576" s="1" t="n">
        <v>45711</v>
      </c>
      <c r="D1576" t="inlineStr">
        <is>
          <t>VÄRMLANDS LÄN</t>
        </is>
      </c>
      <c r="E1576" t="inlineStr">
        <is>
          <t>TORSBY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32332-2023</t>
        </is>
      </c>
      <c r="B1577" s="1" t="n">
        <v>45110</v>
      </c>
      <c r="C1577" s="1" t="n">
        <v>45711</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30160-2023</t>
        </is>
      </c>
      <c r="B1578" s="1" t="n">
        <v>45110</v>
      </c>
      <c r="C1578" s="1" t="n">
        <v>45711</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30269-2023</t>
        </is>
      </c>
      <c r="B1579" s="1" t="n">
        <v>45110</v>
      </c>
      <c r="C1579" s="1" t="n">
        <v>45711</v>
      </c>
      <c r="D1579" t="inlineStr">
        <is>
          <t>VÄRMLANDS LÄN</t>
        </is>
      </c>
      <c r="E1579" t="inlineStr">
        <is>
          <t>TORSBY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30110-2023</t>
        </is>
      </c>
      <c r="B1580" s="1" t="n">
        <v>45110</v>
      </c>
      <c r="C1580" s="1" t="n">
        <v>45711</v>
      </c>
      <c r="D1580" t="inlineStr">
        <is>
          <t>VÄRMLANDS LÄN</t>
        </is>
      </c>
      <c r="E1580" t="inlineStr">
        <is>
          <t>TORSBY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30530-2023</t>
        </is>
      </c>
      <c r="B1581" s="1" t="n">
        <v>45111</v>
      </c>
      <c r="C1581" s="1" t="n">
        <v>45711</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30455-2023</t>
        </is>
      </c>
      <c r="B1582" s="1" t="n">
        <v>45111</v>
      </c>
      <c r="C1582" s="1" t="n">
        <v>45711</v>
      </c>
      <c r="D1582" t="inlineStr">
        <is>
          <t>VÄRMLANDS LÄN</t>
        </is>
      </c>
      <c r="E1582" t="inlineStr">
        <is>
          <t>TORSBY</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30370-2023</t>
        </is>
      </c>
      <c r="B1583" s="1" t="n">
        <v>45111</v>
      </c>
      <c r="C1583" s="1" t="n">
        <v>45711</v>
      </c>
      <c r="D1583" t="inlineStr">
        <is>
          <t>VÄRMLANDS LÄN</t>
        </is>
      </c>
      <c r="E1583" t="inlineStr">
        <is>
          <t>TORSBY</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30531-2023</t>
        </is>
      </c>
      <c r="B1584" s="1" t="n">
        <v>45111</v>
      </c>
      <c r="C1584" s="1" t="n">
        <v>45711</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30344-2023</t>
        </is>
      </c>
      <c r="B1585" s="1" t="n">
        <v>45111</v>
      </c>
      <c r="C1585" s="1" t="n">
        <v>45711</v>
      </c>
      <c r="D1585" t="inlineStr">
        <is>
          <t>VÄRMLANDS LÄN</t>
        </is>
      </c>
      <c r="E1585" t="inlineStr">
        <is>
          <t>TORSBY</t>
        </is>
      </c>
      <c r="F1585" t="inlineStr">
        <is>
          <t>Bergvik skog väst AB</t>
        </is>
      </c>
      <c r="G1585" t="n">
        <v>9.4</v>
      </c>
      <c r="H1585" t="n">
        <v>0</v>
      </c>
      <c r="I1585" t="n">
        <v>0</v>
      </c>
      <c r="J1585" t="n">
        <v>0</v>
      </c>
      <c r="K1585" t="n">
        <v>0</v>
      </c>
      <c r="L1585" t="n">
        <v>0</v>
      </c>
      <c r="M1585" t="n">
        <v>0</v>
      </c>
      <c r="N1585" t="n">
        <v>0</v>
      </c>
      <c r="O1585" t="n">
        <v>0</v>
      </c>
      <c r="P1585" t="n">
        <v>0</v>
      </c>
      <c r="Q1585" t="n">
        <v>0</v>
      </c>
      <c r="R1585" s="2" t="inlineStr"/>
    </row>
    <row r="1586" ht="15" customHeight="1">
      <c r="A1586" t="inlineStr">
        <is>
          <t>A 30670-2023</t>
        </is>
      </c>
      <c r="B1586" s="1" t="n">
        <v>45112</v>
      </c>
      <c r="C1586" s="1" t="n">
        <v>45711</v>
      </c>
      <c r="D1586" t="inlineStr">
        <is>
          <t>VÄRMLANDS LÄN</t>
        </is>
      </c>
      <c r="E1586" t="inlineStr">
        <is>
          <t>TORSBY</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30624-2023</t>
        </is>
      </c>
      <c r="B1587" s="1" t="n">
        <v>45112</v>
      </c>
      <c r="C1587" s="1" t="n">
        <v>45711</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30741-2023</t>
        </is>
      </c>
      <c r="B1588" s="1" t="n">
        <v>45112</v>
      </c>
      <c r="C1588" s="1" t="n">
        <v>45711</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31052-2023</t>
        </is>
      </c>
      <c r="B1589" s="1" t="n">
        <v>45113</v>
      </c>
      <c r="C1589" s="1" t="n">
        <v>45711</v>
      </c>
      <c r="D1589" t="inlineStr">
        <is>
          <t>VÄRMLANDS LÄN</t>
        </is>
      </c>
      <c r="E1589" t="inlineStr">
        <is>
          <t>TORSBY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31112-2023</t>
        </is>
      </c>
      <c r="B1590" s="1" t="n">
        <v>45113</v>
      </c>
      <c r="C1590" s="1" t="n">
        <v>45711</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31465-2023</t>
        </is>
      </c>
      <c r="B1591" s="1" t="n">
        <v>45114</v>
      </c>
      <c r="C1591" s="1" t="n">
        <v>45711</v>
      </c>
      <c r="D1591" t="inlineStr">
        <is>
          <t>VÄRMLANDS LÄN</t>
        </is>
      </c>
      <c r="E1591" t="inlineStr">
        <is>
          <t>TORSBY</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31547-2023</t>
        </is>
      </c>
      <c r="B1592" s="1" t="n">
        <v>45117</v>
      </c>
      <c r="C1592" s="1" t="n">
        <v>45711</v>
      </c>
      <c r="D1592" t="inlineStr">
        <is>
          <t>VÄRMLANDS LÄN</t>
        </is>
      </c>
      <c r="E1592" t="inlineStr">
        <is>
          <t>TORSBY</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31548-2023</t>
        </is>
      </c>
      <c r="B1593" s="1" t="n">
        <v>45117</v>
      </c>
      <c r="C1593" s="1" t="n">
        <v>45711</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33741-2023</t>
        </is>
      </c>
      <c r="B1594" s="1" t="n">
        <v>45119</v>
      </c>
      <c r="C1594" s="1" t="n">
        <v>45711</v>
      </c>
      <c r="D1594" t="inlineStr">
        <is>
          <t>VÄRMLANDS LÄN</t>
        </is>
      </c>
      <c r="E1594" t="inlineStr">
        <is>
          <t>TORSBY</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33738-2023</t>
        </is>
      </c>
      <c r="B1595" s="1" t="n">
        <v>45119</v>
      </c>
      <c r="C1595" s="1" t="n">
        <v>45711</v>
      </c>
      <c r="D1595" t="inlineStr">
        <is>
          <t>VÄRMLANDS LÄN</t>
        </is>
      </c>
      <c r="E1595" t="inlineStr">
        <is>
          <t>TORSBY</t>
        </is>
      </c>
      <c r="F1595" t="inlineStr">
        <is>
          <t>Övriga Aktiebolag</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33740-2023</t>
        </is>
      </c>
      <c r="B1596" s="1" t="n">
        <v>45119</v>
      </c>
      <c r="C1596" s="1" t="n">
        <v>45711</v>
      </c>
      <c r="D1596" t="inlineStr">
        <is>
          <t>VÄRMLANDS LÄN</t>
        </is>
      </c>
      <c r="E1596" t="inlineStr">
        <is>
          <t>TORSBY</t>
        </is>
      </c>
      <c r="F1596" t="inlineStr">
        <is>
          <t>Övriga Aktiebolag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33782-2023</t>
        </is>
      </c>
      <c r="B1597" s="1" t="n">
        <v>45120</v>
      </c>
      <c r="C1597" s="1" t="n">
        <v>45711</v>
      </c>
      <c r="D1597" t="inlineStr">
        <is>
          <t>VÄRMLANDS LÄN</t>
        </is>
      </c>
      <c r="E1597" t="inlineStr">
        <is>
          <t>TORSBY</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32576-2023</t>
        </is>
      </c>
      <c r="B1598" s="1" t="n">
        <v>45121</v>
      </c>
      <c r="C1598" s="1" t="n">
        <v>45711</v>
      </c>
      <c r="D1598" t="inlineStr">
        <is>
          <t>VÄRMLANDS LÄN</t>
        </is>
      </c>
      <c r="E1598" t="inlineStr">
        <is>
          <t>TORSBY</t>
        </is>
      </c>
      <c r="F1598" t="inlineStr">
        <is>
          <t>Bergvik skog väst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32584-2023</t>
        </is>
      </c>
      <c r="B1599" s="1" t="n">
        <v>45121</v>
      </c>
      <c r="C1599" s="1" t="n">
        <v>45711</v>
      </c>
      <c r="D1599" t="inlineStr">
        <is>
          <t>VÄRMLANDS LÄN</t>
        </is>
      </c>
      <c r="E1599" t="inlineStr">
        <is>
          <t>TORSBY</t>
        </is>
      </c>
      <c r="F1599" t="inlineStr">
        <is>
          <t>Bergvik skog väst AB</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32805-2023</t>
        </is>
      </c>
      <c r="B1600" s="1" t="n">
        <v>45124</v>
      </c>
      <c r="C1600" s="1" t="n">
        <v>45711</v>
      </c>
      <c r="D1600" t="inlineStr">
        <is>
          <t>VÄRMLANDS LÄN</t>
        </is>
      </c>
      <c r="E1600" t="inlineStr">
        <is>
          <t>TORSBY</t>
        </is>
      </c>
      <c r="F1600" t="inlineStr">
        <is>
          <t>Bergvik skog väst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32819-2023</t>
        </is>
      </c>
      <c r="B1601" s="1" t="n">
        <v>45124</v>
      </c>
      <c r="C1601" s="1" t="n">
        <v>45711</v>
      </c>
      <c r="D1601" t="inlineStr">
        <is>
          <t>VÄRMLANDS LÄN</t>
        </is>
      </c>
      <c r="E1601" t="inlineStr">
        <is>
          <t>TORSBY</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32787-2023</t>
        </is>
      </c>
      <c r="B1602" s="1" t="n">
        <v>45124</v>
      </c>
      <c r="C1602" s="1" t="n">
        <v>45711</v>
      </c>
      <c r="D1602" t="inlineStr">
        <is>
          <t>VÄRMLANDS LÄN</t>
        </is>
      </c>
      <c r="E1602" t="inlineStr">
        <is>
          <t>TORSBY</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32815-2023</t>
        </is>
      </c>
      <c r="B1603" s="1" t="n">
        <v>45124</v>
      </c>
      <c r="C1603" s="1" t="n">
        <v>45711</v>
      </c>
      <c r="D1603" t="inlineStr">
        <is>
          <t>VÄRMLANDS LÄN</t>
        </is>
      </c>
      <c r="E1603" t="inlineStr">
        <is>
          <t>TORSBY</t>
        </is>
      </c>
      <c r="F1603" t="inlineStr">
        <is>
          <t>Bergvik skog väst AB</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33758-2023</t>
        </is>
      </c>
      <c r="B1604" s="1" t="n">
        <v>45125</v>
      </c>
      <c r="C1604" s="1" t="n">
        <v>45711</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33072-2023</t>
        </is>
      </c>
      <c r="B1605" s="1" t="n">
        <v>45126</v>
      </c>
      <c r="C1605" s="1" t="n">
        <v>45711</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34097-2023</t>
        </is>
      </c>
      <c r="B1606" s="1" t="n">
        <v>45126</v>
      </c>
      <c r="C1606" s="1" t="n">
        <v>45711</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34104-2023</t>
        </is>
      </c>
      <c r="B1607" s="1" t="n">
        <v>45126</v>
      </c>
      <c r="C1607" s="1" t="n">
        <v>45711</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34105-2023</t>
        </is>
      </c>
      <c r="B1608" s="1" t="n">
        <v>45126</v>
      </c>
      <c r="C1608" s="1" t="n">
        <v>45711</v>
      </c>
      <c r="D1608" t="inlineStr">
        <is>
          <t>VÄRMLANDS LÄN</t>
        </is>
      </c>
      <c r="E1608" t="inlineStr">
        <is>
          <t>TORSBY</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33263-2023</t>
        </is>
      </c>
      <c r="B1609" s="1" t="n">
        <v>45127</v>
      </c>
      <c r="C1609" s="1" t="n">
        <v>45711</v>
      </c>
      <c r="D1609" t="inlineStr">
        <is>
          <t>VÄRMLANDS LÄN</t>
        </is>
      </c>
      <c r="E1609" t="inlineStr">
        <is>
          <t>TORSBY</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33249-2023</t>
        </is>
      </c>
      <c r="B1610" s="1" t="n">
        <v>45127</v>
      </c>
      <c r="C1610" s="1" t="n">
        <v>45711</v>
      </c>
      <c r="D1610" t="inlineStr">
        <is>
          <t>VÄRMLANDS LÄN</t>
        </is>
      </c>
      <c r="E1610" t="inlineStr">
        <is>
          <t>TORSBY</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33253-2023</t>
        </is>
      </c>
      <c r="B1611" s="1" t="n">
        <v>45127</v>
      </c>
      <c r="C1611" s="1" t="n">
        <v>45711</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33264-2023</t>
        </is>
      </c>
      <c r="B1612" s="1" t="n">
        <v>45127</v>
      </c>
      <c r="C1612" s="1" t="n">
        <v>45711</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33268-2023</t>
        </is>
      </c>
      <c r="B1613" s="1" t="n">
        <v>45127</v>
      </c>
      <c r="C1613" s="1" t="n">
        <v>45711</v>
      </c>
      <c r="D1613" t="inlineStr">
        <is>
          <t>VÄRMLANDS LÄN</t>
        </is>
      </c>
      <c r="E1613" t="inlineStr">
        <is>
          <t>TORSBY</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33574-2023</t>
        </is>
      </c>
      <c r="B1614" s="1" t="n">
        <v>45131</v>
      </c>
      <c r="C1614" s="1" t="n">
        <v>45711</v>
      </c>
      <c r="D1614" t="inlineStr">
        <is>
          <t>VÄRMLANDS LÄN</t>
        </is>
      </c>
      <c r="E1614" t="inlineStr">
        <is>
          <t>TORSBY</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33645-2023</t>
        </is>
      </c>
      <c r="B1615" s="1" t="n">
        <v>45132</v>
      </c>
      <c r="C1615" s="1" t="n">
        <v>45711</v>
      </c>
      <c r="D1615" t="inlineStr">
        <is>
          <t>VÄRMLANDS LÄN</t>
        </is>
      </c>
      <c r="E1615" t="inlineStr">
        <is>
          <t>TORSBY</t>
        </is>
      </c>
      <c r="F1615" t="inlineStr">
        <is>
          <t>Bergvik skog väst AB</t>
        </is>
      </c>
      <c r="G1615" t="n">
        <v>12.4</v>
      </c>
      <c r="H1615" t="n">
        <v>0</v>
      </c>
      <c r="I1615" t="n">
        <v>0</v>
      </c>
      <c r="J1615" t="n">
        <v>0</v>
      </c>
      <c r="K1615" t="n">
        <v>0</v>
      </c>
      <c r="L1615" t="n">
        <v>0</v>
      </c>
      <c r="M1615" t="n">
        <v>0</v>
      </c>
      <c r="N1615" t="n">
        <v>0</v>
      </c>
      <c r="O1615" t="n">
        <v>0</v>
      </c>
      <c r="P1615" t="n">
        <v>0</v>
      </c>
      <c r="Q1615" t="n">
        <v>0</v>
      </c>
      <c r="R1615" s="2" t="inlineStr"/>
    </row>
    <row r="1616" ht="15" customHeight="1">
      <c r="A1616" t="inlineStr">
        <is>
          <t>A 33656-2023</t>
        </is>
      </c>
      <c r="B1616" s="1" t="n">
        <v>45132</v>
      </c>
      <c r="C1616" s="1" t="n">
        <v>45711</v>
      </c>
      <c r="D1616" t="inlineStr">
        <is>
          <t>VÄRMLANDS LÄN</t>
        </is>
      </c>
      <c r="E1616" t="inlineStr">
        <is>
          <t>TORSBY</t>
        </is>
      </c>
      <c r="F1616" t="inlineStr">
        <is>
          <t>Bergvik skog väst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33813-2023</t>
        </is>
      </c>
      <c r="B1617" s="1" t="n">
        <v>45133</v>
      </c>
      <c r="C1617" s="1" t="n">
        <v>45711</v>
      </c>
      <c r="D1617" t="inlineStr">
        <is>
          <t>VÄRMLANDS LÄN</t>
        </is>
      </c>
      <c r="E1617" t="inlineStr">
        <is>
          <t>TORSBY</t>
        </is>
      </c>
      <c r="F1617" t="inlineStr">
        <is>
          <t>Bergvik skog väst AB</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33839-2023</t>
        </is>
      </c>
      <c r="B1618" s="1" t="n">
        <v>45133</v>
      </c>
      <c r="C1618" s="1" t="n">
        <v>45711</v>
      </c>
      <c r="D1618" t="inlineStr">
        <is>
          <t>VÄRMLANDS LÄN</t>
        </is>
      </c>
      <c r="E1618" t="inlineStr">
        <is>
          <t>TORSBY</t>
        </is>
      </c>
      <c r="F1618" t="inlineStr">
        <is>
          <t>Bergvik skog väst AB</t>
        </is>
      </c>
      <c r="G1618" t="n">
        <v>8.5</v>
      </c>
      <c r="H1618" t="n">
        <v>0</v>
      </c>
      <c r="I1618" t="n">
        <v>0</v>
      </c>
      <c r="J1618" t="n">
        <v>0</v>
      </c>
      <c r="K1618" t="n">
        <v>0</v>
      </c>
      <c r="L1618" t="n">
        <v>0</v>
      </c>
      <c r="M1618" t="n">
        <v>0</v>
      </c>
      <c r="N1618" t="n">
        <v>0</v>
      </c>
      <c r="O1618" t="n">
        <v>0</v>
      </c>
      <c r="P1618" t="n">
        <v>0</v>
      </c>
      <c r="Q1618" t="n">
        <v>0</v>
      </c>
      <c r="R1618" s="2" t="inlineStr"/>
    </row>
    <row r="1619" ht="15" customHeight="1">
      <c r="A1619" t="inlineStr">
        <is>
          <t>A 33848-2023</t>
        </is>
      </c>
      <c r="B1619" s="1" t="n">
        <v>45133</v>
      </c>
      <c r="C1619" s="1" t="n">
        <v>45711</v>
      </c>
      <c r="D1619" t="inlineStr">
        <is>
          <t>VÄRMLANDS LÄN</t>
        </is>
      </c>
      <c r="E1619" t="inlineStr">
        <is>
          <t>TORSBY</t>
        </is>
      </c>
      <c r="F1619" t="inlineStr">
        <is>
          <t>Bergvik skog väst AB</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34405-2023</t>
        </is>
      </c>
      <c r="B1620" s="1" t="n">
        <v>45139</v>
      </c>
      <c r="C1620" s="1" t="n">
        <v>45711</v>
      </c>
      <c r="D1620" t="inlineStr">
        <is>
          <t>VÄRMLANDS LÄN</t>
        </is>
      </c>
      <c r="E1620" t="inlineStr">
        <is>
          <t>TORSBY</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34427-2023</t>
        </is>
      </c>
      <c r="B1621" s="1" t="n">
        <v>45139</v>
      </c>
      <c r="C1621" s="1" t="n">
        <v>45711</v>
      </c>
      <c r="D1621" t="inlineStr">
        <is>
          <t>VÄRMLANDS LÄN</t>
        </is>
      </c>
      <c r="E1621" t="inlineStr">
        <is>
          <t>TORSBY</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34469-2023</t>
        </is>
      </c>
      <c r="B1622" s="1" t="n">
        <v>45139</v>
      </c>
      <c r="C1622" s="1" t="n">
        <v>45711</v>
      </c>
      <c r="D1622" t="inlineStr">
        <is>
          <t>VÄRMLANDS LÄN</t>
        </is>
      </c>
      <c r="E1622" t="inlineStr">
        <is>
          <t>TORSBY</t>
        </is>
      </c>
      <c r="F1622" t="inlineStr">
        <is>
          <t>Bergvik skog väst AB</t>
        </is>
      </c>
      <c r="G1622" t="n">
        <v>13.2</v>
      </c>
      <c r="H1622" t="n">
        <v>0</v>
      </c>
      <c r="I1622" t="n">
        <v>0</v>
      </c>
      <c r="J1622" t="n">
        <v>0</v>
      </c>
      <c r="K1622" t="n">
        <v>0</v>
      </c>
      <c r="L1622" t="n">
        <v>0</v>
      </c>
      <c r="M1622" t="n">
        <v>0</v>
      </c>
      <c r="N1622" t="n">
        <v>0</v>
      </c>
      <c r="O1622" t="n">
        <v>0</v>
      </c>
      <c r="P1622" t="n">
        <v>0</v>
      </c>
      <c r="Q1622" t="n">
        <v>0</v>
      </c>
      <c r="R1622" s="2" t="inlineStr"/>
    </row>
    <row r="1623" ht="15" customHeight="1">
      <c r="A1623" t="inlineStr">
        <is>
          <t>A 34430-2023</t>
        </is>
      </c>
      <c r="B1623" s="1" t="n">
        <v>45139</v>
      </c>
      <c r="C1623" s="1" t="n">
        <v>45711</v>
      </c>
      <c r="D1623" t="inlineStr">
        <is>
          <t>VÄRMLANDS LÄN</t>
        </is>
      </c>
      <c r="E1623" t="inlineStr">
        <is>
          <t>TORSBY</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34658-2023</t>
        </is>
      </c>
      <c r="B1624" s="1" t="n">
        <v>45140</v>
      </c>
      <c r="C1624" s="1" t="n">
        <v>45711</v>
      </c>
      <c r="D1624" t="inlineStr">
        <is>
          <t>VÄRMLANDS LÄN</t>
        </is>
      </c>
      <c r="E1624" t="inlineStr">
        <is>
          <t>TORSBY</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34955-2023</t>
        </is>
      </c>
      <c r="B1625" s="1" t="n">
        <v>45142</v>
      </c>
      <c r="C1625" s="1" t="n">
        <v>45711</v>
      </c>
      <c r="D1625" t="inlineStr">
        <is>
          <t>VÄRMLANDS LÄN</t>
        </is>
      </c>
      <c r="E1625" t="inlineStr">
        <is>
          <t>TORSBY</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35055-2023</t>
        </is>
      </c>
      <c r="B1626" s="1" t="n">
        <v>45145</v>
      </c>
      <c r="C1626" s="1" t="n">
        <v>45711</v>
      </c>
      <c r="D1626" t="inlineStr">
        <is>
          <t>VÄRMLANDS LÄN</t>
        </is>
      </c>
      <c r="E1626" t="inlineStr">
        <is>
          <t>TORSBY</t>
        </is>
      </c>
      <c r="F1626" t="inlineStr">
        <is>
          <t>Bergvik skog väst AB</t>
        </is>
      </c>
      <c r="G1626" t="n">
        <v>16.4</v>
      </c>
      <c r="H1626" t="n">
        <v>0</v>
      </c>
      <c r="I1626" t="n">
        <v>0</v>
      </c>
      <c r="J1626" t="n">
        <v>0</v>
      </c>
      <c r="K1626" t="n">
        <v>0</v>
      </c>
      <c r="L1626" t="n">
        <v>0</v>
      </c>
      <c r="M1626" t="n">
        <v>0</v>
      </c>
      <c r="N1626" t="n">
        <v>0</v>
      </c>
      <c r="O1626" t="n">
        <v>0</v>
      </c>
      <c r="P1626" t="n">
        <v>0</v>
      </c>
      <c r="Q1626" t="n">
        <v>0</v>
      </c>
      <c r="R1626" s="2" t="inlineStr"/>
    </row>
    <row r="1627" ht="15" customHeight="1">
      <c r="A1627" t="inlineStr">
        <is>
          <t>A 35057-2023</t>
        </is>
      </c>
      <c r="B1627" s="1" t="n">
        <v>45145</v>
      </c>
      <c r="C1627" s="1" t="n">
        <v>45711</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35186-2023</t>
        </is>
      </c>
      <c r="B1628" s="1" t="n">
        <v>45145</v>
      </c>
      <c r="C1628" s="1" t="n">
        <v>45711</v>
      </c>
      <c r="D1628" t="inlineStr">
        <is>
          <t>VÄRMLANDS LÄN</t>
        </is>
      </c>
      <c r="E1628" t="inlineStr">
        <is>
          <t>TORSBY</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35115-2023</t>
        </is>
      </c>
      <c r="B1629" s="1" t="n">
        <v>45145</v>
      </c>
      <c r="C1629" s="1" t="n">
        <v>45711</v>
      </c>
      <c r="D1629" t="inlineStr">
        <is>
          <t>VÄRMLANDS LÄN</t>
        </is>
      </c>
      <c r="E1629" t="inlineStr">
        <is>
          <t>TORSBY</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35120-2023</t>
        </is>
      </c>
      <c r="B1630" s="1" t="n">
        <v>45145</v>
      </c>
      <c r="C1630" s="1" t="n">
        <v>45711</v>
      </c>
      <c r="D1630" t="inlineStr">
        <is>
          <t>VÄRMLANDS LÄN</t>
        </is>
      </c>
      <c r="E1630" t="inlineStr">
        <is>
          <t>TORSBY</t>
        </is>
      </c>
      <c r="G1630" t="n">
        <v>16.9</v>
      </c>
      <c r="H1630" t="n">
        <v>0</v>
      </c>
      <c r="I1630" t="n">
        <v>0</v>
      </c>
      <c r="J1630" t="n">
        <v>0</v>
      </c>
      <c r="K1630" t="n">
        <v>0</v>
      </c>
      <c r="L1630" t="n">
        <v>0</v>
      </c>
      <c r="M1630" t="n">
        <v>0</v>
      </c>
      <c r="N1630" t="n">
        <v>0</v>
      </c>
      <c r="O1630" t="n">
        <v>0</v>
      </c>
      <c r="P1630" t="n">
        <v>0</v>
      </c>
      <c r="Q1630" t="n">
        <v>0</v>
      </c>
      <c r="R1630" s="2" t="inlineStr"/>
    </row>
    <row r="1631" ht="15" customHeight="1">
      <c r="A1631" t="inlineStr">
        <is>
          <t>A 35415-2023</t>
        </is>
      </c>
      <c r="B1631" s="1" t="n">
        <v>45146</v>
      </c>
      <c r="C1631" s="1" t="n">
        <v>45711</v>
      </c>
      <c r="D1631" t="inlineStr">
        <is>
          <t>VÄRMLANDS LÄN</t>
        </is>
      </c>
      <c r="E1631" t="inlineStr">
        <is>
          <t>TORSBY</t>
        </is>
      </c>
      <c r="F1631" t="inlineStr">
        <is>
          <t>Bergvik skog väst AB</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35629-2023</t>
        </is>
      </c>
      <c r="B1632" s="1" t="n">
        <v>45147</v>
      </c>
      <c r="C1632" s="1" t="n">
        <v>45711</v>
      </c>
      <c r="D1632" t="inlineStr">
        <is>
          <t>VÄRMLANDS LÄN</t>
        </is>
      </c>
      <c r="E1632" t="inlineStr">
        <is>
          <t>TORSBY</t>
        </is>
      </c>
      <c r="G1632" t="n">
        <v>10.3</v>
      </c>
      <c r="H1632" t="n">
        <v>0</v>
      </c>
      <c r="I1632" t="n">
        <v>0</v>
      </c>
      <c r="J1632" t="n">
        <v>0</v>
      </c>
      <c r="K1632" t="n">
        <v>0</v>
      </c>
      <c r="L1632" t="n">
        <v>0</v>
      </c>
      <c r="M1632" t="n">
        <v>0</v>
      </c>
      <c r="N1632" t="n">
        <v>0</v>
      </c>
      <c r="O1632" t="n">
        <v>0</v>
      </c>
      <c r="P1632" t="n">
        <v>0</v>
      </c>
      <c r="Q1632" t="n">
        <v>0</v>
      </c>
      <c r="R1632" s="2" t="inlineStr"/>
    </row>
    <row r="1633" ht="15" customHeight="1">
      <c r="A1633" t="inlineStr">
        <is>
          <t>A 35674-2023</t>
        </is>
      </c>
      <c r="B1633" s="1" t="n">
        <v>45147</v>
      </c>
      <c r="C1633" s="1" t="n">
        <v>45711</v>
      </c>
      <c r="D1633" t="inlineStr">
        <is>
          <t>VÄRMLANDS LÄN</t>
        </is>
      </c>
      <c r="E1633" t="inlineStr">
        <is>
          <t>TORSBY</t>
        </is>
      </c>
      <c r="G1633" t="n">
        <v>25.4</v>
      </c>
      <c r="H1633" t="n">
        <v>0</v>
      </c>
      <c r="I1633" t="n">
        <v>0</v>
      </c>
      <c r="J1633" t="n">
        <v>0</v>
      </c>
      <c r="K1633" t="n">
        <v>0</v>
      </c>
      <c r="L1633" t="n">
        <v>0</v>
      </c>
      <c r="M1633" t="n">
        <v>0</v>
      </c>
      <c r="N1633" t="n">
        <v>0</v>
      </c>
      <c r="O1633" t="n">
        <v>0</v>
      </c>
      <c r="P1633" t="n">
        <v>0</v>
      </c>
      <c r="Q1633" t="n">
        <v>0</v>
      </c>
      <c r="R1633" s="2" t="inlineStr"/>
    </row>
    <row r="1634" ht="15" customHeight="1">
      <c r="A1634" t="inlineStr">
        <is>
          <t>A 35553-2023</t>
        </is>
      </c>
      <c r="B1634" s="1" t="n">
        <v>45147</v>
      </c>
      <c r="C1634" s="1" t="n">
        <v>45711</v>
      </c>
      <c r="D1634" t="inlineStr">
        <is>
          <t>VÄRMLANDS LÄN</t>
        </is>
      </c>
      <c r="E1634" t="inlineStr">
        <is>
          <t>TORSBY</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35934-2023</t>
        </is>
      </c>
      <c r="B1635" s="1" t="n">
        <v>45148</v>
      </c>
      <c r="C1635" s="1" t="n">
        <v>45711</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35938-2023</t>
        </is>
      </c>
      <c r="B1636" s="1" t="n">
        <v>45148</v>
      </c>
      <c r="C1636" s="1" t="n">
        <v>45711</v>
      </c>
      <c r="D1636" t="inlineStr">
        <is>
          <t>VÄRMLANDS LÄN</t>
        </is>
      </c>
      <c r="E1636" t="inlineStr">
        <is>
          <t>TORSBY</t>
        </is>
      </c>
      <c r="F1636" t="inlineStr">
        <is>
          <t>Bergvik skog väst AB</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36043-2023</t>
        </is>
      </c>
      <c r="B1637" s="1" t="n">
        <v>45148</v>
      </c>
      <c r="C1637" s="1" t="n">
        <v>45711</v>
      </c>
      <c r="D1637" t="inlineStr">
        <is>
          <t>VÄRMLANDS LÄN</t>
        </is>
      </c>
      <c r="E1637" t="inlineStr">
        <is>
          <t>TORSBY</t>
        </is>
      </c>
      <c r="G1637" t="n">
        <v>10.5</v>
      </c>
      <c r="H1637" t="n">
        <v>0</v>
      </c>
      <c r="I1637" t="n">
        <v>0</v>
      </c>
      <c r="J1637" t="n">
        <v>0</v>
      </c>
      <c r="K1637" t="n">
        <v>0</v>
      </c>
      <c r="L1637" t="n">
        <v>0</v>
      </c>
      <c r="M1637" t="n">
        <v>0</v>
      </c>
      <c r="N1637" t="n">
        <v>0</v>
      </c>
      <c r="O1637" t="n">
        <v>0</v>
      </c>
      <c r="P1637" t="n">
        <v>0</v>
      </c>
      <c r="Q1637" t="n">
        <v>0</v>
      </c>
      <c r="R1637" s="2" t="inlineStr"/>
    </row>
    <row r="1638" ht="15" customHeight="1">
      <c r="A1638" t="inlineStr">
        <is>
          <t>A 36050-2023</t>
        </is>
      </c>
      <c r="B1638" s="1" t="n">
        <v>45149</v>
      </c>
      <c r="C1638" s="1" t="n">
        <v>45711</v>
      </c>
      <c r="D1638" t="inlineStr">
        <is>
          <t>VÄRMLANDS LÄN</t>
        </is>
      </c>
      <c r="E1638" t="inlineStr">
        <is>
          <t>TORSBY</t>
        </is>
      </c>
      <c r="F1638" t="inlineStr">
        <is>
          <t>Kommuner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36062-2023</t>
        </is>
      </c>
      <c r="B1639" s="1" t="n">
        <v>45149</v>
      </c>
      <c r="C1639" s="1" t="n">
        <v>45711</v>
      </c>
      <c r="D1639" t="inlineStr">
        <is>
          <t>VÄRMLANDS LÄN</t>
        </is>
      </c>
      <c r="E1639" t="inlineStr">
        <is>
          <t>TORSBY</t>
        </is>
      </c>
      <c r="F1639" t="inlineStr">
        <is>
          <t>Bergvik skog väst AB</t>
        </is>
      </c>
      <c r="G1639" t="n">
        <v>21.3</v>
      </c>
      <c r="H1639" t="n">
        <v>0</v>
      </c>
      <c r="I1639" t="n">
        <v>0</v>
      </c>
      <c r="J1639" t="n">
        <v>0</v>
      </c>
      <c r="K1639" t="n">
        <v>0</v>
      </c>
      <c r="L1639" t="n">
        <v>0</v>
      </c>
      <c r="M1639" t="n">
        <v>0</v>
      </c>
      <c r="N1639" t="n">
        <v>0</v>
      </c>
      <c r="O1639" t="n">
        <v>0</v>
      </c>
      <c r="P1639" t="n">
        <v>0</v>
      </c>
      <c r="Q1639" t="n">
        <v>0</v>
      </c>
      <c r="R1639" s="2" t="inlineStr"/>
    </row>
    <row r="1640" ht="15" customHeight="1">
      <c r="A1640" t="inlineStr">
        <is>
          <t>A 36239-2023</t>
        </is>
      </c>
      <c r="B1640" s="1" t="n">
        <v>45150</v>
      </c>
      <c r="C1640" s="1" t="n">
        <v>45711</v>
      </c>
      <c r="D1640" t="inlineStr">
        <is>
          <t>VÄRMLANDS LÄN</t>
        </is>
      </c>
      <c r="E1640" t="inlineStr">
        <is>
          <t>TORSBY</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36462-2023</t>
        </is>
      </c>
      <c r="B1641" s="1" t="n">
        <v>45152</v>
      </c>
      <c r="C1641" s="1" t="n">
        <v>45711</v>
      </c>
      <c r="D1641" t="inlineStr">
        <is>
          <t>VÄRMLANDS LÄN</t>
        </is>
      </c>
      <c r="E1641" t="inlineStr">
        <is>
          <t>TORSBY</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36582-2023</t>
        </is>
      </c>
      <c r="B1642" s="1" t="n">
        <v>45153</v>
      </c>
      <c r="C1642" s="1" t="n">
        <v>45711</v>
      </c>
      <c r="D1642" t="inlineStr">
        <is>
          <t>VÄRMLANDS LÄN</t>
        </is>
      </c>
      <c r="E1642" t="inlineStr">
        <is>
          <t>TORSBY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36598-2023</t>
        </is>
      </c>
      <c r="B1643" s="1" t="n">
        <v>45153</v>
      </c>
      <c r="C1643" s="1" t="n">
        <v>45711</v>
      </c>
      <c r="D1643" t="inlineStr">
        <is>
          <t>VÄRMLANDS LÄN</t>
        </is>
      </c>
      <c r="E1643" t="inlineStr">
        <is>
          <t>TORSBY</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36552-2023</t>
        </is>
      </c>
      <c r="B1644" s="1" t="n">
        <v>45153</v>
      </c>
      <c r="C1644" s="1" t="n">
        <v>45711</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36674-2023</t>
        </is>
      </c>
      <c r="B1645" s="1" t="n">
        <v>45153</v>
      </c>
      <c r="C1645" s="1" t="n">
        <v>45711</v>
      </c>
      <c r="D1645" t="inlineStr">
        <is>
          <t>VÄRMLANDS LÄN</t>
        </is>
      </c>
      <c r="E1645" t="inlineStr">
        <is>
          <t>TORSBY</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36736-2023</t>
        </is>
      </c>
      <c r="B1646" s="1" t="n">
        <v>45153</v>
      </c>
      <c r="C1646" s="1" t="n">
        <v>45711</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36729-2023</t>
        </is>
      </c>
      <c r="B1647" s="1" t="n">
        <v>45153</v>
      </c>
      <c r="C1647" s="1" t="n">
        <v>45711</v>
      </c>
      <c r="D1647" t="inlineStr">
        <is>
          <t>VÄRMLANDS LÄN</t>
        </is>
      </c>
      <c r="E1647" t="inlineStr">
        <is>
          <t>TORSBY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36827-2023</t>
        </is>
      </c>
      <c r="B1648" s="1" t="n">
        <v>45154</v>
      </c>
      <c r="C1648" s="1" t="n">
        <v>45711</v>
      </c>
      <c r="D1648" t="inlineStr">
        <is>
          <t>VÄRMLANDS LÄN</t>
        </is>
      </c>
      <c r="E1648" t="inlineStr">
        <is>
          <t>TORSBY</t>
        </is>
      </c>
      <c r="F1648" t="inlineStr">
        <is>
          <t>Bergvik skog väst AB</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36897-2023</t>
        </is>
      </c>
      <c r="B1649" s="1" t="n">
        <v>45154</v>
      </c>
      <c r="C1649" s="1" t="n">
        <v>45711</v>
      </c>
      <c r="D1649" t="inlineStr">
        <is>
          <t>VÄRMLANDS LÄN</t>
        </is>
      </c>
      <c r="E1649" t="inlineStr">
        <is>
          <t>TORSBY</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36947-2023</t>
        </is>
      </c>
      <c r="B1650" s="1" t="n">
        <v>45154</v>
      </c>
      <c r="C1650" s="1" t="n">
        <v>45711</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37081-2023</t>
        </is>
      </c>
      <c r="B1651" s="1" t="n">
        <v>45155</v>
      </c>
      <c r="C1651" s="1" t="n">
        <v>45711</v>
      </c>
      <c r="D1651" t="inlineStr">
        <is>
          <t>VÄRMLANDS LÄN</t>
        </is>
      </c>
      <c r="E1651" t="inlineStr">
        <is>
          <t>TORSBY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37188-2023</t>
        </is>
      </c>
      <c r="B1652" s="1" t="n">
        <v>45155</v>
      </c>
      <c r="C1652" s="1" t="n">
        <v>45711</v>
      </c>
      <c r="D1652" t="inlineStr">
        <is>
          <t>VÄRMLANDS LÄN</t>
        </is>
      </c>
      <c r="E1652" t="inlineStr">
        <is>
          <t>TORSBY</t>
        </is>
      </c>
      <c r="F1652" t="inlineStr">
        <is>
          <t>Bergvik skog väst AB</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37346-2023</t>
        </is>
      </c>
      <c r="B1653" s="1" t="n">
        <v>45156</v>
      </c>
      <c r="C1653" s="1" t="n">
        <v>45711</v>
      </c>
      <c r="D1653" t="inlineStr">
        <is>
          <t>VÄRMLANDS LÄN</t>
        </is>
      </c>
      <c r="E1653" t="inlineStr">
        <is>
          <t>TORSBY</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37357-2023</t>
        </is>
      </c>
      <c r="B1654" s="1" t="n">
        <v>45156</v>
      </c>
      <c r="C1654" s="1" t="n">
        <v>45711</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37305-2023</t>
        </is>
      </c>
      <c r="B1655" s="1" t="n">
        <v>45156</v>
      </c>
      <c r="C1655" s="1" t="n">
        <v>45711</v>
      </c>
      <c r="D1655" t="inlineStr">
        <is>
          <t>VÄRMLANDS LÄN</t>
        </is>
      </c>
      <c r="E1655" t="inlineStr">
        <is>
          <t>TORSBY</t>
        </is>
      </c>
      <c r="F1655" t="inlineStr">
        <is>
          <t>Bergvik skog väst AB</t>
        </is>
      </c>
      <c r="G1655" t="n">
        <v>28.8</v>
      </c>
      <c r="H1655" t="n">
        <v>0</v>
      </c>
      <c r="I1655" t="n">
        <v>0</v>
      </c>
      <c r="J1655" t="n">
        <v>0</v>
      </c>
      <c r="K1655" t="n">
        <v>0</v>
      </c>
      <c r="L1655" t="n">
        <v>0</v>
      </c>
      <c r="M1655" t="n">
        <v>0</v>
      </c>
      <c r="N1655" t="n">
        <v>0</v>
      </c>
      <c r="O1655" t="n">
        <v>0</v>
      </c>
      <c r="P1655" t="n">
        <v>0</v>
      </c>
      <c r="Q1655" t="n">
        <v>0</v>
      </c>
      <c r="R1655" s="2" t="inlineStr"/>
    </row>
    <row r="1656" ht="15" customHeight="1">
      <c r="A1656" t="inlineStr">
        <is>
          <t>A 37314-2023</t>
        </is>
      </c>
      <c r="B1656" s="1" t="n">
        <v>45156</v>
      </c>
      <c r="C1656" s="1" t="n">
        <v>45711</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37359-2023</t>
        </is>
      </c>
      <c r="B1657" s="1" t="n">
        <v>45156</v>
      </c>
      <c r="C1657" s="1" t="n">
        <v>45711</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37705-2023</t>
        </is>
      </c>
      <c r="B1658" s="1" t="n">
        <v>45159</v>
      </c>
      <c r="C1658" s="1" t="n">
        <v>45711</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37604-2023</t>
        </is>
      </c>
      <c r="B1659" s="1" t="n">
        <v>45159</v>
      </c>
      <c r="C1659" s="1" t="n">
        <v>45711</v>
      </c>
      <c r="D1659" t="inlineStr">
        <is>
          <t>VÄRMLANDS LÄN</t>
        </is>
      </c>
      <c r="E1659" t="inlineStr">
        <is>
          <t>TORSBY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37623-2023</t>
        </is>
      </c>
      <c r="B1660" s="1" t="n">
        <v>45159</v>
      </c>
      <c r="C1660" s="1" t="n">
        <v>45711</v>
      </c>
      <c r="D1660" t="inlineStr">
        <is>
          <t>VÄRMLANDS LÄN</t>
        </is>
      </c>
      <c r="E1660" t="inlineStr">
        <is>
          <t>TORSBY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37822-2023</t>
        </is>
      </c>
      <c r="B1661" s="1" t="n">
        <v>45160</v>
      </c>
      <c r="C1661" s="1" t="n">
        <v>45711</v>
      </c>
      <c r="D1661" t="inlineStr">
        <is>
          <t>VÄRMLANDS LÄN</t>
        </is>
      </c>
      <c r="E1661" t="inlineStr">
        <is>
          <t>TORSBY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38085-2023</t>
        </is>
      </c>
      <c r="B1662" s="1" t="n">
        <v>45160</v>
      </c>
      <c r="C1662" s="1" t="n">
        <v>45711</v>
      </c>
      <c r="D1662" t="inlineStr">
        <is>
          <t>VÄRMLANDS LÄN</t>
        </is>
      </c>
      <c r="E1662" t="inlineStr">
        <is>
          <t>TORSBY</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37936-2023</t>
        </is>
      </c>
      <c r="B1663" s="1" t="n">
        <v>45160</v>
      </c>
      <c r="C1663" s="1" t="n">
        <v>45711</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38084-2023</t>
        </is>
      </c>
      <c r="B1664" s="1" t="n">
        <v>45160</v>
      </c>
      <c r="C1664" s="1" t="n">
        <v>45711</v>
      </c>
      <c r="D1664" t="inlineStr">
        <is>
          <t>VÄRMLANDS LÄN</t>
        </is>
      </c>
      <c r="E1664" t="inlineStr">
        <is>
          <t>TORSBY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38044-2023</t>
        </is>
      </c>
      <c r="B1665" s="1" t="n">
        <v>45160</v>
      </c>
      <c r="C1665" s="1" t="n">
        <v>45711</v>
      </c>
      <c r="D1665" t="inlineStr">
        <is>
          <t>VÄRMLANDS LÄN</t>
        </is>
      </c>
      <c r="E1665" t="inlineStr">
        <is>
          <t>TORSBY</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38086-2023</t>
        </is>
      </c>
      <c r="B1666" s="1" t="n">
        <v>45160</v>
      </c>
      <c r="C1666" s="1" t="n">
        <v>45711</v>
      </c>
      <c r="D1666" t="inlineStr">
        <is>
          <t>VÄRMLANDS LÄN</t>
        </is>
      </c>
      <c r="E1666" t="inlineStr">
        <is>
          <t>TORSBY</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38252-2023</t>
        </is>
      </c>
      <c r="B1667" s="1" t="n">
        <v>45161</v>
      </c>
      <c r="C1667" s="1" t="n">
        <v>45711</v>
      </c>
      <c r="D1667" t="inlineStr">
        <is>
          <t>VÄRMLANDS LÄN</t>
        </is>
      </c>
      <c r="E1667" t="inlineStr">
        <is>
          <t>TORSBY</t>
        </is>
      </c>
      <c r="G1667" t="n">
        <v>9.6</v>
      </c>
      <c r="H1667" t="n">
        <v>0</v>
      </c>
      <c r="I1667" t="n">
        <v>0</v>
      </c>
      <c r="J1667" t="n">
        <v>0</v>
      </c>
      <c r="K1667" t="n">
        <v>0</v>
      </c>
      <c r="L1667" t="n">
        <v>0</v>
      </c>
      <c r="M1667" t="n">
        <v>0</v>
      </c>
      <c r="N1667" t="n">
        <v>0</v>
      </c>
      <c r="O1667" t="n">
        <v>0</v>
      </c>
      <c r="P1667" t="n">
        <v>0</v>
      </c>
      <c r="Q1667" t="n">
        <v>0</v>
      </c>
      <c r="R1667" s="2" t="inlineStr"/>
    </row>
    <row r="1668" ht="15" customHeight="1">
      <c r="A1668" t="inlineStr">
        <is>
          <t>A 38232-2023</t>
        </is>
      </c>
      <c r="B1668" s="1" t="n">
        <v>45161</v>
      </c>
      <c r="C1668" s="1" t="n">
        <v>45711</v>
      </c>
      <c r="D1668" t="inlineStr">
        <is>
          <t>VÄRMLANDS LÄN</t>
        </is>
      </c>
      <c r="E1668" t="inlineStr">
        <is>
          <t>TORSBY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38257-2023</t>
        </is>
      </c>
      <c r="B1669" s="1" t="n">
        <v>45161</v>
      </c>
      <c r="C1669" s="1" t="n">
        <v>45711</v>
      </c>
      <c r="D1669" t="inlineStr">
        <is>
          <t>VÄRMLANDS LÄN</t>
        </is>
      </c>
      <c r="E1669" t="inlineStr">
        <is>
          <t>TORSBY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38263-2023</t>
        </is>
      </c>
      <c r="B1670" s="1" t="n">
        <v>45161</v>
      </c>
      <c r="C1670" s="1" t="n">
        <v>45711</v>
      </c>
      <c r="D1670" t="inlineStr">
        <is>
          <t>VÄRMLANDS LÄN</t>
        </is>
      </c>
      <c r="E1670" t="inlineStr">
        <is>
          <t>TORSBY</t>
        </is>
      </c>
      <c r="F1670" t="inlineStr">
        <is>
          <t>Kyrkan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38286-2023</t>
        </is>
      </c>
      <c r="B1671" s="1" t="n">
        <v>45161</v>
      </c>
      <c r="C1671" s="1" t="n">
        <v>45711</v>
      </c>
      <c r="D1671" t="inlineStr">
        <is>
          <t>VÄRMLANDS LÄN</t>
        </is>
      </c>
      <c r="E1671" t="inlineStr">
        <is>
          <t>TORSBY</t>
        </is>
      </c>
      <c r="F1671" t="inlineStr">
        <is>
          <t>Kyrkan</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38541-2023</t>
        </is>
      </c>
      <c r="B1672" s="1" t="n">
        <v>45162</v>
      </c>
      <c r="C1672" s="1" t="n">
        <v>45711</v>
      </c>
      <c r="D1672" t="inlineStr">
        <is>
          <t>VÄRMLANDS LÄN</t>
        </is>
      </c>
      <c r="E1672" t="inlineStr">
        <is>
          <t>TORSBY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38641-2023</t>
        </is>
      </c>
      <c r="B1673" s="1" t="n">
        <v>45162</v>
      </c>
      <c r="C1673" s="1" t="n">
        <v>45711</v>
      </c>
      <c r="D1673" t="inlineStr">
        <is>
          <t>VÄRMLANDS LÄN</t>
        </is>
      </c>
      <c r="E1673" t="inlineStr">
        <is>
          <t>TORSBY</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38637-2023</t>
        </is>
      </c>
      <c r="B1674" s="1" t="n">
        <v>45162</v>
      </c>
      <c r="C1674" s="1" t="n">
        <v>45711</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38668-2023</t>
        </is>
      </c>
      <c r="B1675" s="1" t="n">
        <v>45162</v>
      </c>
      <c r="C1675" s="1" t="n">
        <v>45711</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39408-2023</t>
        </is>
      </c>
      <c r="B1676" s="1" t="n">
        <v>45163</v>
      </c>
      <c r="C1676" s="1" t="n">
        <v>45711</v>
      </c>
      <c r="D1676" t="inlineStr">
        <is>
          <t>VÄRMLANDS LÄN</t>
        </is>
      </c>
      <c r="E1676" t="inlineStr">
        <is>
          <t>TORSBY</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38991-2023</t>
        </is>
      </c>
      <c r="B1677" s="1" t="n">
        <v>45163</v>
      </c>
      <c r="C1677" s="1" t="n">
        <v>45711</v>
      </c>
      <c r="D1677" t="inlineStr">
        <is>
          <t>VÄRMLANDS LÄN</t>
        </is>
      </c>
      <c r="E1677" t="inlineStr">
        <is>
          <t>TORSBY</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38722-2023</t>
        </is>
      </c>
      <c r="B1678" s="1" t="n">
        <v>45163</v>
      </c>
      <c r="C1678" s="1" t="n">
        <v>45711</v>
      </c>
      <c r="D1678" t="inlineStr">
        <is>
          <t>VÄRMLANDS LÄN</t>
        </is>
      </c>
      <c r="E1678" t="inlineStr">
        <is>
          <t>TORSBY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38979-2023</t>
        </is>
      </c>
      <c r="B1679" s="1" t="n">
        <v>45163</v>
      </c>
      <c r="C1679" s="1" t="n">
        <v>45711</v>
      </c>
      <c r="D1679" t="inlineStr">
        <is>
          <t>VÄRMLANDS LÄN</t>
        </is>
      </c>
      <c r="E1679" t="inlineStr">
        <is>
          <t>TORSBY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39131-2023</t>
        </is>
      </c>
      <c r="B1680" s="1" t="n">
        <v>45165</v>
      </c>
      <c r="C1680" s="1" t="n">
        <v>45711</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39134-2023</t>
        </is>
      </c>
      <c r="B1681" s="1" t="n">
        <v>45165</v>
      </c>
      <c r="C1681" s="1" t="n">
        <v>45711</v>
      </c>
      <c r="D1681" t="inlineStr">
        <is>
          <t>VÄRMLANDS LÄN</t>
        </is>
      </c>
      <c r="E1681" t="inlineStr">
        <is>
          <t>TORSBY</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39390-2023</t>
        </is>
      </c>
      <c r="B1682" s="1" t="n">
        <v>45166</v>
      </c>
      <c r="C1682" s="1" t="n">
        <v>45711</v>
      </c>
      <c r="D1682" t="inlineStr">
        <is>
          <t>VÄRMLANDS LÄN</t>
        </is>
      </c>
      <c r="E1682" t="inlineStr">
        <is>
          <t>TORSBY</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39339-2023</t>
        </is>
      </c>
      <c r="B1683" s="1" t="n">
        <v>45166</v>
      </c>
      <c r="C1683" s="1" t="n">
        <v>45711</v>
      </c>
      <c r="D1683" t="inlineStr">
        <is>
          <t>VÄRMLANDS LÄN</t>
        </is>
      </c>
      <c r="E1683" t="inlineStr">
        <is>
          <t>TORSBY</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39374-2023</t>
        </is>
      </c>
      <c r="B1684" s="1" t="n">
        <v>45166</v>
      </c>
      <c r="C1684" s="1" t="n">
        <v>45711</v>
      </c>
      <c r="D1684" t="inlineStr">
        <is>
          <t>VÄRMLANDS LÄN</t>
        </is>
      </c>
      <c r="E1684" t="inlineStr">
        <is>
          <t>TORSBY</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39677-2023</t>
        </is>
      </c>
      <c r="B1685" s="1" t="n">
        <v>45166</v>
      </c>
      <c r="C1685" s="1" t="n">
        <v>45711</v>
      </c>
      <c r="D1685" t="inlineStr">
        <is>
          <t>VÄRMLANDS LÄN</t>
        </is>
      </c>
      <c r="E1685" t="inlineStr">
        <is>
          <t>TORSBY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39648-2023</t>
        </is>
      </c>
      <c r="B1686" s="1" t="n">
        <v>45167</v>
      </c>
      <c r="C1686" s="1" t="n">
        <v>45711</v>
      </c>
      <c r="D1686" t="inlineStr">
        <is>
          <t>VÄRMLANDS LÄN</t>
        </is>
      </c>
      <c r="E1686" t="inlineStr">
        <is>
          <t>TORSBY</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39732-2023</t>
        </is>
      </c>
      <c r="B1687" s="1" t="n">
        <v>45167</v>
      </c>
      <c r="C1687" s="1" t="n">
        <v>45711</v>
      </c>
      <c r="D1687" t="inlineStr">
        <is>
          <t>VÄRMLANDS LÄN</t>
        </is>
      </c>
      <c r="E1687" t="inlineStr">
        <is>
          <t>TORSBY</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39921-2023</t>
        </is>
      </c>
      <c r="B1688" s="1" t="n">
        <v>45168</v>
      </c>
      <c r="C1688" s="1" t="n">
        <v>45711</v>
      </c>
      <c r="D1688" t="inlineStr">
        <is>
          <t>VÄRMLANDS LÄN</t>
        </is>
      </c>
      <c r="E1688" t="inlineStr">
        <is>
          <t>TORSBY</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39910-2023</t>
        </is>
      </c>
      <c r="B1689" s="1" t="n">
        <v>45168</v>
      </c>
      <c r="C1689" s="1" t="n">
        <v>45711</v>
      </c>
      <c r="D1689" t="inlineStr">
        <is>
          <t>VÄRMLANDS LÄN</t>
        </is>
      </c>
      <c r="E1689" t="inlineStr">
        <is>
          <t>TORSBY</t>
        </is>
      </c>
      <c r="F1689" t="inlineStr">
        <is>
          <t>Kyrkan</t>
        </is>
      </c>
      <c r="G1689" t="n">
        <v>11.6</v>
      </c>
      <c r="H1689" t="n">
        <v>0</v>
      </c>
      <c r="I1689" t="n">
        <v>0</v>
      </c>
      <c r="J1689" t="n">
        <v>0</v>
      </c>
      <c r="K1689" t="n">
        <v>0</v>
      </c>
      <c r="L1689" t="n">
        <v>0</v>
      </c>
      <c r="M1689" t="n">
        <v>0</v>
      </c>
      <c r="N1689" t="n">
        <v>0</v>
      </c>
      <c r="O1689" t="n">
        <v>0</v>
      </c>
      <c r="P1689" t="n">
        <v>0</v>
      </c>
      <c r="Q1689" t="n">
        <v>0</v>
      </c>
      <c r="R1689" s="2" t="inlineStr"/>
    </row>
    <row r="1690" ht="15" customHeight="1">
      <c r="A1690" t="inlineStr">
        <is>
          <t>A 40007-2023</t>
        </is>
      </c>
      <c r="B1690" s="1" t="n">
        <v>45168</v>
      </c>
      <c r="C1690" s="1" t="n">
        <v>45711</v>
      </c>
      <c r="D1690" t="inlineStr">
        <is>
          <t>VÄRMLANDS LÄN</t>
        </is>
      </c>
      <c r="E1690" t="inlineStr">
        <is>
          <t>TORSBY</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39969-2023</t>
        </is>
      </c>
      <c r="B1691" s="1" t="n">
        <v>45168</v>
      </c>
      <c r="C1691" s="1" t="n">
        <v>45711</v>
      </c>
      <c r="D1691" t="inlineStr">
        <is>
          <t>VÄRMLANDS LÄN</t>
        </is>
      </c>
      <c r="E1691" t="inlineStr">
        <is>
          <t>TORSBY</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40207-2023</t>
        </is>
      </c>
      <c r="B1692" s="1" t="n">
        <v>45169</v>
      </c>
      <c r="C1692" s="1" t="n">
        <v>45711</v>
      </c>
      <c r="D1692" t="inlineStr">
        <is>
          <t>VÄRMLANDS LÄN</t>
        </is>
      </c>
      <c r="E1692" t="inlineStr">
        <is>
          <t>TORSBY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40228-2023</t>
        </is>
      </c>
      <c r="B1693" s="1" t="n">
        <v>45169</v>
      </c>
      <c r="C1693" s="1" t="n">
        <v>45711</v>
      </c>
      <c r="D1693" t="inlineStr">
        <is>
          <t>VÄRMLANDS LÄN</t>
        </is>
      </c>
      <c r="E1693" t="inlineStr">
        <is>
          <t>TORSBY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40222-2023</t>
        </is>
      </c>
      <c r="B1694" s="1" t="n">
        <v>45169</v>
      </c>
      <c r="C1694" s="1" t="n">
        <v>45711</v>
      </c>
      <c r="D1694" t="inlineStr">
        <is>
          <t>VÄRMLANDS LÄN</t>
        </is>
      </c>
      <c r="E1694" t="inlineStr">
        <is>
          <t>TORSBY</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40468-2023</t>
        </is>
      </c>
      <c r="B1695" s="1" t="n">
        <v>45170</v>
      </c>
      <c r="C1695" s="1" t="n">
        <v>45711</v>
      </c>
      <c r="D1695" t="inlineStr">
        <is>
          <t>VÄRMLANDS LÄN</t>
        </is>
      </c>
      <c r="E1695" t="inlineStr">
        <is>
          <t>TORSBY</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40512-2023</t>
        </is>
      </c>
      <c r="B1696" s="1" t="n">
        <v>45170</v>
      </c>
      <c r="C1696" s="1" t="n">
        <v>45711</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40470-2023</t>
        </is>
      </c>
      <c r="B1697" s="1" t="n">
        <v>45170</v>
      </c>
      <c r="C1697" s="1" t="n">
        <v>45711</v>
      </c>
      <c r="D1697" t="inlineStr">
        <is>
          <t>VÄRMLANDS LÄN</t>
        </is>
      </c>
      <c r="E1697" t="inlineStr">
        <is>
          <t>TORSBY</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40538-2023</t>
        </is>
      </c>
      <c r="B1698" s="1" t="n">
        <v>45170</v>
      </c>
      <c r="C1698" s="1" t="n">
        <v>45711</v>
      </c>
      <c r="D1698" t="inlineStr">
        <is>
          <t>VÄRMLANDS LÄN</t>
        </is>
      </c>
      <c r="E1698" t="inlineStr">
        <is>
          <t>TORSBY</t>
        </is>
      </c>
      <c r="F1698" t="inlineStr">
        <is>
          <t>Bergvik skog väst AB</t>
        </is>
      </c>
      <c r="G1698" t="n">
        <v>31.4</v>
      </c>
      <c r="H1698" t="n">
        <v>0</v>
      </c>
      <c r="I1698" t="n">
        <v>0</v>
      </c>
      <c r="J1698" t="n">
        <v>0</v>
      </c>
      <c r="K1698" t="n">
        <v>0</v>
      </c>
      <c r="L1698" t="n">
        <v>0</v>
      </c>
      <c r="M1698" t="n">
        <v>0</v>
      </c>
      <c r="N1698" t="n">
        <v>0</v>
      </c>
      <c r="O1698" t="n">
        <v>0</v>
      </c>
      <c r="P1698" t="n">
        <v>0</v>
      </c>
      <c r="Q1698" t="n">
        <v>0</v>
      </c>
      <c r="R1698" s="2" t="inlineStr"/>
    </row>
    <row r="1699" ht="15" customHeight="1">
      <c r="A1699" t="inlineStr">
        <is>
          <t>A 41469-2023</t>
        </is>
      </c>
      <c r="B1699" s="1" t="n">
        <v>45170</v>
      </c>
      <c r="C1699" s="1" t="n">
        <v>45711</v>
      </c>
      <c r="D1699" t="inlineStr">
        <is>
          <t>VÄRMLANDS LÄN</t>
        </is>
      </c>
      <c r="E1699" t="inlineStr">
        <is>
          <t>TORSBY</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40858-2023</t>
        </is>
      </c>
      <c r="B1700" s="1" t="n">
        <v>45173</v>
      </c>
      <c r="C1700" s="1" t="n">
        <v>45711</v>
      </c>
      <c r="D1700" t="inlineStr">
        <is>
          <t>VÄRMLANDS LÄN</t>
        </is>
      </c>
      <c r="E1700" t="inlineStr">
        <is>
          <t>TORSBY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40971-2023</t>
        </is>
      </c>
      <c r="B1701" s="1" t="n">
        <v>45173</v>
      </c>
      <c r="C1701" s="1" t="n">
        <v>45711</v>
      </c>
      <c r="D1701" t="inlineStr">
        <is>
          <t>VÄRMLANDS LÄN</t>
        </is>
      </c>
      <c r="E1701" t="inlineStr">
        <is>
          <t>TORSBY</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41096-2023</t>
        </is>
      </c>
      <c r="B1702" s="1" t="n">
        <v>45173</v>
      </c>
      <c r="C1702" s="1" t="n">
        <v>45711</v>
      </c>
      <c r="D1702" t="inlineStr">
        <is>
          <t>VÄRMLANDS LÄN</t>
        </is>
      </c>
      <c r="E1702" t="inlineStr">
        <is>
          <t>TORSBY</t>
        </is>
      </c>
      <c r="F1702" t="inlineStr">
        <is>
          <t>Bergvik skog väst AB</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41056-2023</t>
        </is>
      </c>
      <c r="B1703" s="1" t="n">
        <v>45173</v>
      </c>
      <c r="C1703" s="1" t="n">
        <v>45711</v>
      </c>
      <c r="D1703" t="inlineStr">
        <is>
          <t>VÄRMLANDS LÄN</t>
        </is>
      </c>
      <c r="E1703" t="inlineStr">
        <is>
          <t>TORSBY</t>
        </is>
      </c>
      <c r="F1703" t="inlineStr">
        <is>
          <t>Bergvik skog väst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41022-2023</t>
        </is>
      </c>
      <c r="B1704" s="1" t="n">
        <v>45173</v>
      </c>
      <c r="C1704" s="1" t="n">
        <v>45711</v>
      </c>
      <c r="D1704" t="inlineStr">
        <is>
          <t>VÄRMLANDS LÄN</t>
        </is>
      </c>
      <c r="E1704" t="inlineStr">
        <is>
          <t>TORSBY</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41050-2023</t>
        </is>
      </c>
      <c r="B1705" s="1" t="n">
        <v>45173</v>
      </c>
      <c r="C1705" s="1" t="n">
        <v>45711</v>
      </c>
      <c r="D1705" t="inlineStr">
        <is>
          <t>VÄRMLANDS LÄN</t>
        </is>
      </c>
      <c r="E1705" t="inlineStr">
        <is>
          <t>TORSBY</t>
        </is>
      </c>
      <c r="F1705" t="inlineStr">
        <is>
          <t>Bergvik skog väst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41059-2023</t>
        </is>
      </c>
      <c r="B1706" s="1" t="n">
        <v>45173</v>
      </c>
      <c r="C1706" s="1" t="n">
        <v>45711</v>
      </c>
      <c r="D1706" t="inlineStr">
        <is>
          <t>VÄRMLANDS LÄN</t>
        </is>
      </c>
      <c r="E1706" t="inlineStr">
        <is>
          <t>TORSBY</t>
        </is>
      </c>
      <c r="F1706" t="inlineStr">
        <is>
          <t>Bergvik skog väst AB</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41156-2023</t>
        </is>
      </c>
      <c r="B1707" s="1" t="n">
        <v>45174</v>
      </c>
      <c r="C1707" s="1" t="n">
        <v>45711</v>
      </c>
      <c r="D1707" t="inlineStr">
        <is>
          <t>VÄRMLANDS LÄN</t>
        </is>
      </c>
      <c r="E1707" t="inlineStr">
        <is>
          <t>TORSBY</t>
        </is>
      </c>
      <c r="F1707" t="inlineStr">
        <is>
          <t>Kyrkan</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41160-2023</t>
        </is>
      </c>
      <c r="B1708" s="1" t="n">
        <v>45174</v>
      </c>
      <c r="C1708" s="1" t="n">
        <v>45711</v>
      </c>
      <c r="D1708" t="inlineStr">
        <is>
          <t>VÄRMLANDS LÄN</t>
        </is>
      </c>
      <c r="E1708" t="inlineStr">
        <is>
          <t>TORSBY</t>
        </is>
      </c>
      <c r="F1708" t="inlineStr">
        <is>
          <t>Kyrkan</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41246-2023</t>
        </is>
      </c>
      <c r="B1709" s="1" t="n">
        <v>45174</v>
      </c>
      <c r="C1709" s="1" t="n">
        <v>45711</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41270-2023</t>
        </is>
      </c>
      <c r="B1710" s="1" t="n">
        <v>45174</v>
      </c>
      <c r="C1710" s="1" t="n">
        <v>45711</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42069-2023</t>
        </is>
      </c>
      <c r="B1711" s="1" t="n">
        <v>45174</v>
      </c>
      <c r="C1711" s="1" t="n">
        <v>45711</v>
      </c>
      <c r="D1711" t="inlineStr">
        <is>
          <t>VÄRMLANDS LÄN</t>
        </is>
      </c>
      <c r="E1711" t="inlineStr">
        <is>
          <t>TORSBY</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42060-2023</t>
        </is>
      </c>
      <c r="B1712" s="1" t="n">
        <v>45174</v>
      </c>
      <c r="C1712" s="1" t="n">
        <v>45711</v>
      </c>
      <c r="D1712" t="inlineStr">
        <is>
          <t>VÄRMLANDS LÄN</t>
        </is>
      </c>
      <c r="E1712" t="inlineStr">
        <is>
          <t>TORSBY</t>
        </is>
      </c>
      <c r="G1712" t="n">
        <v>9.6</v>
      </c>
      <c r="H1712" t="n">
        <v>0</v>
      </c>
      <c r="I1712" t="n">
        <v>0</v>
      </c>
      <c r="J1712" t="n">
        <v>0</v>
      </c>
      <c r="K1712" t="n">
        <v>0</v>
      </c>
      <c r="L1712" t="n">
        <v>0</v>
      </c>
      <c r="M1712" t="n">
        <v>0</v>
      </c>
      <c r="N1712" t="n">
        <v>0</v>
      </c>
      <c r="O1712" t="n">
        <v>0</v>
      </c>
      <c r="P1712" t="n">
        <v>0</v>
      </c>
      <c r="Q1712" t="n">
        <v>0</v>
      </c>
      <c r="R1712" s="2" t="inlineStr"/>
    </row>
    <row r="1713" ht="15" customHeight="1">
      <c r="A1713" t="inlineStr">
        <is>
          <t>A 41488-2023</t>
        </is>
      </c>
      <c r="B1713" s="1" t="n">
        <v>45175</v>
      </c>
      <c r="C1713" s="1" t="n">
        <v>45711</v>
      </c>
      <c r="D1713" t="inlineStr">
        <is>
          <t>VÄRMLANDS LÄN</t>
        </is>
      </c>
      <c r="E1713" t="inlineStr">
        <is>
          <t>TORSBY</t>
        </is>
      </c>
      <c r="F1713" t="inlineStr">
        <is>
          <t>Kyrkan</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41438-2023</t>
        </is>
      </c>
      <c r="B1714" s="1" t="n">
        <v>45175</v>
      </c>
      <c r="C1714" s="1" t="n">
        <v>45711</v>
      </c>
      <c r="D1714" t="inlineStr">
        <is>
          <t>VÄRMLANDS LÄN</t>
        </is>
      </c>
      <c r="E1714" t="inlineStr">
        <is>
          <t>TORSBY</t>
        </is>
      </c>
      <c r="F1714" t="inlineStr">
        <is>
          <t>Kyrkan</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41431-2023</t>
        </is>
      </c>
      <c r="B1715" s="1" t="n">
        <v>45175</v>
      </c>
      <c r="C1715" s="1" t="n">
        <v>45711</v>
      </c>
      <c r="D1715" t="inlineStr">
        <is>
          <t>VÄRMLANDS LÄN</t>
        </is>
      </c>
      <c r="E1715" t="inlineStr">
        <is>
          <t>TORSBY</t>
        </is>
      </c>
      <c r="F1715" t="inlineStr">
        <is>
          <t>Bergvik skog väst AB</t>
        </is>
      </c>
      <c r="G1715" t="n">
        <v>14.7</v>
      </c>
      <c r="H1715" t="n">
        <v>0</v>
      </c>
      <c r="I1715" t="n">
        <v>0</v>
      </c>
      <c r="J1715" t="n">
        <v>0</v>
      </c>
      <c r="K1715" t="n">
        <v>0</v>
      </c>
      <c r="L1715" t="n">
        <v>0</v>
      </c>
      <c r="M1715" t="n">
        <v>0</v>
      </c>
      <c r="N1715" t="n">
        <v>0</v>
      </c>
      <c r="O1715" t="n">
        <v>0</v>
      </c>
      <c r="P1715" t="n">
        <v>0</v>
      </c>
      <c r="Q1715" t="n">
        <v>0</v>
      </c>
      <c r="R1715" s="2" t="inlineStr"/>
    </row>
    <row r="1716" ht="15" customHeight="1">
      <c r="A1716" t="inlineStr">
        <is>
          <t>A 41867-2023</t>
        </is>
      </c>
      <c r="B1716" s="1" t="n">
        <v>45176</v>
      </c>
      <c r="C1716" s="1" t="n">
        <v>45711</v>
      </c>
      <c r="D1716" t="inlineStr">
        <is>
          <t>VÄRMLANDS LÄN</t>
        </is>
      </c>
      <c r="E1716" t="inlineStr">
        <is>
          <t>TORSBY</t>
        </is>
      </c>
      <c r="F1716" t="inlineStr">
        <is>
          <t>Bergvik skog väst AB</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41833-2023</t>
        </is>
      </c>
      <c r="B1717" s="1" t="n">
        <v>45176</v>
      </c>
      <c r="C1717" s="1" t="n">
        <v>45711</v>
      </c>
      <c r="D1717" t="inlineStr">
        <is>
          <t>VÄRMLANDS LÄN</t>
        </is>
      </c>
      <c r="E1717" t="inlineStr">
        <is>
          <t>TORSBY</t>
        </is>
      </c>
      <c r="F1717" t="inlineStr">
        <is>
          <t>Bergvik skog väst AB</t>
        </is>
      </c>
      <c r="G1717" t="n">
        <v>21.7</v>
      </c>
      <c r="H1717" t="n">
        <v>0</v>
      </c>
      <c r="I1717" t="n">
        <v>0</v>
      </c>
      <c r="J1717" t="n">
        <v>0</v>
      </c>
      <c r="K1717" t="n">
        <v>0</v>
      </c>
      <c r="L1717" t="n">
        <v>0</v>
      </c>
      <c r="M1717" t="n">
        <v>0</v>
      </c>
      <c r="N1717" t="n">
        <v>0</v>
      </c>
      <c r="O1717" t="n">
        <v>0</v>
      </c>
      <c r="P1717" t="n">
        <v>0</v>
      </c>
      <c r="Q1717" t="n">
        <v>0</v>
      </c>
      <c r="R1717" s="2" t="inlineStr"/>
    </row>
    <row r="1718" ht="15" customHeight="1">
      <c r="A1718" t="inlineStr">
        <is>
          <t>A 41841-2023</t>
        </is>
      </c>
      <c r="B1718" s="1" t="n">
        <v>45176</v>
      </c>
      <c r="C1718" s="1" t="n">
        <v>45711</v>
      </c>
      <c r="D1718" t="inlineStr">
        <is>
          <t>VÄRMLANDS LÄN</t>
        </is>
      </c>
      <c r="E1718" t="inlineStr">
        <is>
          <t>TORSBY</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41885-2023</t>
        </is>
      </c>
      <c r="B1719" s="1" t="n">
        <v>45176</v>
      </c>
      <c r="C1719" s="1" t="n">
        <v>45711</v>
      </c>
      <c r="D1719" t="inlineStr">
        <is>
          <t>VÄRMLANDS LÄN</t>
        </is>
      </c>
      <c r="E1719" t="inlineStr">
        <is>
          <t>TORSBY</t>
        </is>
      </c>
      <c r="F1719" t="inlineStr">
        <is>
          <t>Bergvik skog väst AB</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41843-2023</t>
        </is>
      </c>
      <c r="B1720" s="1" t="n">
        <v>45176</v>
      </c>
      <c r="C1720" s="1" t="n">
        <v>45711</v>
      </c>
      <c r="D1720" t="inlineStr">
        <is>
          <t>VÄRMLANDS LÄN</t>
        </is>
      </c>
      <c r="E1720" t="inlineStr">
        <is>
          <t>TORSBY</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41868-2023</t>
        </is>
      </c>
      <c r="B1721" s="1" t="n">
        <v>45176</v>
      </c>
      <c r="C1721" s="1" t="n">
        <v>45711</v>
      </c>
      <c r="D1721" t="inlineStr">
        <is>
          <t>VÄRMLANDS LÄN</t>
        </is>
      </c>
      <c r="E1721" t="inlineStr">
        <is>
          <t>TORSBY</t>
        </is>
      </c>
      <c r="F1721" t="inlineStr">
        <is>
          <t>Bergvik skog väst AB</t>
        </is>
      </c>
      <c r="G1721" t="n">
        <v>11.6</v>
      </c>
      <c r="H1721" t="n">
        <v>0</v>
      </c>
      <c r="I1721" t="n">
        <v>0</v>
      </c>
      <c r="J1721" t="n">
        <v>0</v>
      </c>
      <c r="K1721" t="n">
        <v>0</v>
      </c>
      <c r="L1721" t="n">
        <v>0</v>
      </c>
      <c r="M1721" t="n">
        <v>0</v>
      </c>
      <c r="N1721" t="n">
        <v>0</v>
      </c>
      <c r="O1721" t="n">
        <v>0</v>
      </c>
      <c r="P1721" t="n">
        <v>0</v>
      </c>
      <c r="Q1721" t="n">
        <v>0</v>
      </c>
      <c r="R1721" s="2" t="inlineStr"/>
    </row>
    <row r="1722" ht="15" customHeight="1">
      <c r="A1722" t="inlineStr">
        <is>
          <t>A 42062-2023</t>
        </is>
      </c>
      <c r="B1722" s="1" t="n">
        <v>45177</v>
      </c>
      <c r="C1722" s="1" t="n">
        <v>45711</v>
      </c>
      <c r="D1722" t="inlineStr">
        <is>
          <t>VÄRMLANDS LÄN</t>
        </is>
      </c>
      <c r="E1722" t="inlineStr">
        <is>
          <t>TORSBY</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42245-2023</t>
        </is>
      </c>
      <c r="B1723" s="1" t="n">
        <v>45180</v>
      </c>
      <c r="C1723" s="1" t="n">
        <v>45711</v>
      </c>
      <c r="D1723" t="inlineStr">
        <is>
          <t>VÄRMLANDS LÄN</t>
        </is>
      </c>
      <c r="E1723" t="inlineStr">
        <is>
          <t>TORSBY</t>
        </is>
      </c>
      <c r="F1723" t="inlineStr">
        <is>
          <t>Bergvik skog väst AB</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42473-2023</t>
        </is>
      </c>
      <c r="B1724" s="1" t="n">
        <v>45180</v>
      </c>
      <c r="C1724" s="1" t="n">
        <v>45711</v>
      </c>
      <c r="D1724" t="inlineStr">
        <is>
          <t>VÄRMLANDS LÄN</t>
        </is>
      </c>
      <c r="E1724" t="inlineStr">
        <is>
          <t>TORSBY</t>
        </is>
      </c>
      <c r="F1724" t="inlineStr">
        <is>
          <t>Bergvik skog väst AB</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42403-2023</t>
        </is>
      </c>
      <c r="B1725" s="1" t="n">
        <v>45180</v>
      </c>
      <c r="C1725" s="1" t="n">
        <v>45711</v>
      </c>
      <c r="D1725" t="inlineStr">
        <is>
          <t>VÄRMLANDS LÄN</t>
        </is>
      </c>
      <c r="E1725" t="inlineStr">
        <is>
          <t>TORSBY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42420-2023</t>
        </is>
      </c>
      <c r="B1726" s="1" t="n">
        <v>45180</v>
      </c>
      <c r="C1726" s="1" t="n">
        <v>45711</v>
      </c>
      <c r="D1726" t="inlineStr">
        <is>
          <t>VÄRMLANDS LÄN</t>
        </is>
      </c>
      <c r="E1726" t="inlineStr">
        <is>
          <t>TORSBY</t>
        </is>
      </c>
      <c r="F1726" t="inlineStr">
        <is>
          <t>Bergvik skog väst AB</t>
        </is>
      </c>
      <c r="G1726" t="n">
        <v>19.9</v>
      </c>
      <c r="H1726" t="n">
        <v>0</v>
      </c>
      <c r="I1726" t="n">
        <v>0</v>
      </c>
      <c r="J1726" t="n">
        <v>0</v>
      </c>
      <c r="K1726" t="n">
        <v>0</v>
      </c>
      <c r="L1726" t="n">
        <v>0</v>
      </c>
      <c r="M1726" t="n">
        <v>0</v>
      </c>
      <c r="N1726" t="n">
        <v>0</v>
      </c>
      <c r="O1726" t="n">
        <v>0</v>
      </c>
      <c r="P1726" t="n">
        <v>0</v>
      </c>
      <c r="Q1726" t="n">
        <v>0</v>
      </c>
      <c r="R1726" s="2" t="inlineStr"/>
    </row>
    <row r="1727" ht="15" customHeight="1">
      <c r="A1727" t="inlineStr">
        <is>
          <t>A 43532-2023</t>
        </is>
      </c>
      <c r="B1727" s="1" t="n">
        <v>45181</v>
      </c>
      <c r="C1727" s="1" t="n">
        <v>45711</v>
      </c>
      <c r="D1727" t="inlineStr">
        <is>
          <t>VÄRMLANDS LÄN</t>
        </is>
      </c>
      <c r="E1727" t="inlineStr">
        <is>
          <t>TORSBY</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43529-2023</t>
        </is>
      </c>
      <c r="B1728" s="1" t="n">
        <v>45181</v>
      </c>
      <c r="C1728" s="1" t="n">
        <v>45711</v>
      </c>
      <c r="D1728" t="inlineStr">
        <is>
          <t>VÄRMLANDS LÄN</t>
        </is>
      </c>
      <c r="E1728" t="inlineStr">
        <is>
          <t>TORSBY</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43527-2023</t>
        </is>
      </c>
      <c r="B1729" s="1" t="n">
        <v>45181</v>
      </c>
      <c r="C1729" s="1" t="n">
        <v>45711</v>
      </c>
      <c r="D1729" t="inlineStr">
        <is>
          <t>VÄRMLANDS LÄN</t>
        </is>
      </c>
      <c r="E1729" t="inlineStr">
        <is>
          <t>TORSBY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43536-2023</t>
        </is>
      </c>
      <c r="B1730" s="1" t="n">
        <v>45181</v>
      </c>
      <c r="C1730" s="1" t="n">
        <v>45711</v>
      </c>
      <c r="D1730" t="inlineStr">
        <is>
          <t>VÄRMLANDS LÄN</t>
        </is>
      </c>
      <c r="E1730" t="inlineStr">
        <is>
          <t>TORSBY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43528-2023</t>
        </is>
      </c>
      <c r="B1731" s="1" t="n">
        <v>45181</v>
      </c>
      <c r="C1731" s="1" t="n">
        <v>45711</v>
      </c>
      <c r="D1731" t="inlineStr">
        <is>
          <t>VÄRMLANDS LÄN</t>
        </is>
      </c>
      <c r="E1731" t="inlineStr">
        <is>
          <t>TORSBY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42645-2023</t>
        </is>
      </c>
      <c r="B1732" s="1" t="n">
        <v>45181</v>
      </c>
      <c r="C1732" s="1" t="n">
        <v>45711</v>
      </c>
      <c r="D1732" t="inlineStr">
        <is>
          <t>VÄRMLANDS LÄN</t>
        </is>
      </c>
      <c r="E1732" t="inlineStr">
        <is>
          <t>TORSBY</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42652-2023</t>
        </is>
      </c>
      <c r="B1733" s="1" t="n">
        <v>45181</v>
      </c>
      <c r="C1733" s="1" t="n">
        <v>45711</v>
      </c>
      <c r="D1733" t="inlineStr">
        <is>
          <t>VÄRMLANDS LÄN</t>
        </is>
      </c>
      <c r="E1733" t="inlineStr">
        <is>
          <t>TORSBY</t>
        </is>
      </c>
      <c r="F1733" t="inlineStr">
        <is>
          <t>Bergvik skog väst AB</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42656-2023</t>
        </is>
      </c>
      <c r="B1734" s="1" t="n">
        <v>45181</v>
      </c>
      <c r="C1734" s="1" t="n">
        <v>45711</v>
      </c>
      <c r="D1734" t="inlineStr">
        <is>
          <t>VÄRMLANDS LÄN</t>
        </is>
      </c>
      <c r="E1734" t="inlineStr">
        <is>
          <t>TORSBY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42581-2023</t>
        </is>
      </c>
      <c r="B1735" s="1" t="n">
        <v>45181</v>
      </c>
      <c r="C1735" s="1" t="n">
        <v>45711</v>
      </c>
      <c r="D1735" t="inlineStr">
        <is>
          <t>VÄRMLANDS LÄN</t>
        </is>
      </c>
      <c r="E1735" t="inlineStr">
        <is>
          <t>TORSBY</t>
        </is>
      </c>
      <c r="G1735" t="n">
        <v>17.6</v>
      </c>
      <c r="H1735" t="n">
        <v>0</v>
      </c>
      <c r="I1735" t="n">
        <v>0</v>
      </c>
      <c r="J1735" t="n">
        <v>0</v>
      </c>
      <c r="K1735" t="n">
        <v>0</v>
      </c>
      <c r="L1735" t="n">
        <v>0</v>
      </c>
      <c r="M1735" t="n">
        <v>0</v>
      </c>
      <c r="N1735" t="n">
        <v>0</v>
      </c>
      <c r="O1735" t="n">
        <v>0</v>
      </c>
      <c r="P1735" t="n">
        <v>0</v>
      </c>
      <c r="Q1735" t="n">
        <v>0</v>
      </c>
      <c r="R1735" s="2" t="inlineStr"/>
    </row>
    <row r="1736" ht="15" customHeight="1">
      <c r="A1736" t="inlineStr">
        <is>
          <t>A 42613-2023</t>
        </is>
      </c>
      <c r="B1736" s="1" t="n">
        <v>45181</v>
      </c>
      <c r="C1736" s="1" t="n">
        <v>45711</v>
      </c>
      <c r="D1736" t="inlineStr">
        <is>
          <t>VÄRMLANDS LÄN</t>
        </is>
      </c>
      <c r="E1736" t="inlineStr">
        <is>
          <t>TORSBY</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42635-2023</t>
        </is>
      </c>
      <c r="B1737" s="1" t="n">
        <v>45181</v>
      </c>
      <c r="C1737" s="1" t="n">
        <v>45711</v>
      </c>
      <c r="D1737" t="inlineStr">
        <is>
          <t>VÄRMLANDS LÄN</t>
        </is>
      </c>
      <c r="E1737" t="inlineStr">
        <is>
          <t>TORSBY</t>
        </is>
      </c>
      <c r="G1737" t="n">
        <v>16.1</v>
      </c>
      <c r="H1737" t="n">
        <v>0</v>
      </c>
      <c r="I1737" t="n">
        <v>0</v>
      </c>
      <c r="J1737" t="n">
        <v>0</v>
      </c>
      <c r="K1737" t="n">
        <v>0</v>
      </c>
      <c r="L1737" t="n">
        <v>0</v>
      </c>
      <c r="M1737" t="n">
        <v>0</v>
      </c>
      <c r="N1737" t="n">
        <v>0</v>
      </c>
      <c r="O1737" t="n">
        <v>0</v>
      </c>
      <c r="P1737" t="n">
        <v>0</v>
      </c>
      <c r="Q1737" t="n">
        <v>0</v>
      </c>
      <c r="R1737" s="2" t="inlineStr"/>
    </row>
    <row r="1738" ht="15" customHeight="1">
      <c r="A1738" t="inlineStr">
        <is>
          <t>A 42658-2023</t>
        </is>
      </c>
      <c r="B1738" s="1" t="n">
        <v>45181</v>
      </c>
      <c r="C1738" s="1" t="n">
        <v>45711</v>
      </c>
      <c r="D1738" t="inlineStr">
        <is>
          <t>VÄRMLANDS LÄN</t>
        </is>
      </c>
      <c r="E1738" t="inlineStr">
        <is>
          <t>TORSBY</t>
        </is>
      </c>
      <c r="F1738" t="inlineStr">
        <is>
          <t>Bergvik skog väst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42710-2023</t>
        </is>
      </c>
      <c r="B1739" s="1" t="n">
        <v>45181</v>
      </c>
      <c r="C1739" s="1" t="n">
        <v>45711</v>
      </c>
      <c r="D1739" t="inlineStr">
        <is>
          <t>VÄRMLANDS LÄN</t>
        </is>
      </c>
      <c r="E1739" t="inlineStr">
        <is>
          <t>TORSBY</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42632-2023</t>
        </is>
      </c>
      <c r="B1740" s="1" t="n">
        <v>45181</v>
      </c>
      <c r="C1740" s="1" t="n">
        <v>45711</v>
      </c>
      <c r="D1740" t="inlineStr">
        <is>
          <t>VÄRMLANDS LÄN</t>
        </is>
      </c>
      <c r="E1740" t="inlineStr">
        <is>
          <t>TORSBY</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42944-2023</t>
        </is>
      </c>
      <c r="B1741" s="1" t="n">
        <v>45182</v>
      </c>
      <c r="C1741" s="1" t="n">
        <v>45711</v>
      </c>
      <c r="D1741" t="inlineStr">
        <is>
          <t>VÄRMLANDS LÄN</t>
        </is>
      </c>
      <c r="E1741" t="inlineStr">
        <is>
          <t>TORSBY</t>
        </is>
      </c>
      <c r="F1741" t="inlineStr">
        <is>
          <t>Bergvik skog väst AB</t>
        </is>
      </c>
      <c r="G1741" t="n">
        <v>9.800000000000001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43084-2023</t>
        </is>
      </c>
      <c r="B1742" s="1" t="n">
        <v>45182</v>
      </c>
      <c r="C1742" s="1" t="n">
        <v>45711</v>
      </c>
      <c r="D1742" t="inlineStr">
        <is>
          <t>VÄRMLANDS LÄN</t>
        </is>
      </c>
      <c r="E1742" t="inlineStr">
        <is>
          <t>TORSBY</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44083-2023</t>
        </is>
      </c>
      <c r="B1743" s="1" t="n">
        <v>45182</v>
      </c>
      <c r="C1743" s="1" t="n">
        <v>45711</v>
      </c>
      <c r="D1743" t="inlineStr">
        <is>
          <t>VÄRMLANDS LÄN</t>
        </is>
      </c>
      <c r="E1743" t="inlineStr">
        <is>
          <t>TORSBY</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44094-2023</t>
        </is>
      </c>
      <c r="B1744" s="1" t="n">
        <v>45182</v>
      </c>
      <c r="C1744" s="1" t="n">
        <v>45711</v>
      </c>
      <c r="D1744" t="inlineStr">
        <is>
          <t>VÄRMLANDS LÄN</t>
        </is>
      </c>
      <c r="E1744" t="inlineStr">
        <is>
          <t>TORSBY</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43179-2023</t>
        </is>
      </c>
      <c r="B1745" s="1" t="n">
        <v>45183</v>
      </c>
      <c r="C1745" s="1" t="n">
        <v>45711</v>
      </c>
      <c r="D1745" t="inlineStr">
        <is>
          <t>VÄRMLANDS LÄN</t>
        </is>
      </c>
      <c r="E1745" t="inlineStr">
        <is>
          <t>TORSBY</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43361-2023</t>
        </is>
      </c>
      <c r="B1746" s="1" t="n">
        <v>45183</v>
      </c>
      <c r="C1746" s="1" t="n">
        <v>45711</v>
      </c>
      <c r="D1746" t="inlineStr">
        <is>
          <t>VÄRMLANDS LÄN</t>
        </is>
      </c>
      <c r="E1746" t="inlineStr">
        <is>
          <t>TORSBY</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43540-2023</t>
        </is>
      </c>
      <c r="B1747" s="1" t="n">
        <v>45184</v>
      </c>
      <c r="C1747" s="1" t="n">
        <v>45711</v>
      </c>
      <c r="D1747" t="inlineStr">
        <is>
          <t>VÄRMLANDS LÄN</t>
        </is>
      </c>
      <c r="E1747" t="inlineStr">
        <is>
          <t>TORSBY</t>
        </is>
      </c>
      <c r="F1747" t="inlineStr">
        <is>
          <t>Bergvik skog väst AB</t>
        </is>
      </c>
      <c r="G1747" t="n">
        <v>11.3</v>
      </c>
      <c r="H1747" t="n">
        <v>0</v>
      </c>
      <c r="I1747" t="n">
        <v>0</v>
      </c>
      <c r="J1747" t="n">
        <v>0</v>
      </c>
      <c r="K1747" t="n">
        <v>0</v>
      </c>
      <c r="L1747" t="n">
        <v>0</v>
      </c>
      <c r="M1747" t="n">
        <v>0</v>
      </c>
      <c r="N1747" t="n">
        <v>0</v>
      </c>
      <c r="O1747" t="n">
        <v>0</v>
      </c>
      <c r="P1747" t="n">
        <v>0</v>
      </c>
      <c r="Q1747" t="n">
        <v>0</v>
      </c>
      <c r="R1747" s="2" t="inlineStr"/>
    </row>
    <row r="1748" ht="15" customHeight="1">
      <c r="A1748" t="inlineStr">
        <is>
          <t>A 43562-2023</t>
        </is>
      </c>
      <c r="B1748" s="1" t="n">
        <v>45184</v>
      </c>
      <c r="C1748" s="1" t="n">
        <v>45711</v>
      </c>
      <c r="D1748" t="inlineStr">
        <is>
          <t>VÄRMLANDS LÄN</t>
        </is>
      </c>
      <c r="E1748" t="inlineStr">
        <is>
          <t>TORSBY</t>
        </is>
      </c>
      <c r="F1748" t="inlineStr">
        <is>
          <t>Kommuner</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43599-2023</t>
        </is>
      </c>
      <c r="B1749" s="1" t="n">
        <v>45184</v>
      </c>
      <c r="C1749" s="1" t="n">
        <v>45711</v>
      </c>
      <c r="D1749" t="inlineStr">
        <is>
          <t>VÄRMLANDS LÄN</t>
        </is>
      </c>
      <c r="E1749" t="inlineStr">
        <is>
          <t>TORSBY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43663-2023</t>
        </is>
      </c>
      <c r="B1750" s="1" t="n">
        <v>45187</v>
      </c>
      <c r="C1750" s="1" t="n">
        <v>45711</v>
      </c>
      <c r="D1750" t="inlineStr">
        <is>
          <t>VÄRMLANDS LÄN</t>
        </is>
      </c>
      <c r="E1750" t="inlineStr">
        <is>
          <t>TORSBY</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43670-2023</t>
        </is>
      </c>
      <c r="B1751" s="1" t="n">
        <v>45187</v>
      </c>
      <c r="C1751" s="1" t="n">
        <v>45711</v>
      </c>
      <c r="D1751" t="inlineStr">
        <is>
          <t>VÄRMLANDS LÄN</t>
        </is>
      </c>
      <c r="E1751" t="inlineStr">
        <is>
          <t>TORSBY</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44047-2023</t>
        </is>
      </c>
      <c r="B1752" s="1" t="n">
        <v>45188</v>
      </c>
      <c r="C1752" s="1" t="n">
        <v>45711</v>
      </c>
      <c r="D1752" t="inlineStr">
        <is>
          <t>VÄRMLANDS LÄN</t>
        </is>
      </c>
      <c r="E1752" t="inlineStr">
        <is>
          <t>TORSBY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44150-2023</t>
        </is>
      </c>
      <c r="B1753" s="1" t="n">
        <v>45188</v>
      </c>
      <c r="C1753" s="1" t="n">
        <v>45711</v>
      </c>
      <c r="D1753" t="inlineStr">
        <is>
          <t>VÄRMLANDS LÄN</t>
        </is>
      </c>
      <c r="E1753" t="inlineStr">
        <is>
          <t>TORSBY</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44044-2023</t>
        </is>
      </c>
      <c r="B1754" s="1" t="n">
        <v>45188</v>
      </c>
      <c r="C1754" s="1" t="n">
        <v>45711</v>
      </c>
      <c r="D1754" t="inlineStr">
        <is>
          <t>VÄRMLANDS LÄN</t>
        </is>
      </c>
      <c r="E1754" t="inlineStr">
        <is>
          <t>TORSBY</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44127-2023</t>
        </is>
      </c>
      <c r="B1755" s="1" t="n">
        <v>45188</v>
      </c>
      <c r="C1755" s="1" t="n">
        <v>45711</v>
      </c>
      <c r="D1755" t="inlineStr">
        <is>
          <t>VÄRMLANDS LÄN</t>
        </is>
      </c>
      <c r="E1755" t="inlineStr">
        <is>
          <t>TORSBY</t>
        </is>
      </c>
      <c r="F1755" t="inlineStr">
        <is>
          <t>Bergvik skog väst AB</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44262-2023</t>
        </is>
      </c>
      <c r="B1756" s="1" t="n">
        <v>45188</v>
      </c>
      <c r="C1756" s="1" t="n">
        <v>45711</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44113-2023</t>
        </is>
      </c>
      <c r="B1757" s="1" t="n">
        <v>45188</v>
      </c>
      <c r="C1757" s="1" t="n">
        <v>45711</v>
      </c>
      <c r="D1757" t="inlineStr">
        <is>
          <t>VÄRMLANDS LÄN</t>
        </is>
      </c>
      <c r="E1757" t="inlineStr">
        <is>
          <t>TORSBY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44424-2023</t>
        </is>
      </c>
      <c r="B1758" s="1" t="n">
        <v>45189</v>
      </c>
      <c r="C1758" s="1" t="n">
        <v>45711</v>
      </c>
      <c r="D1758" t="inlineStr">
        <is>
          <t>VÄRMLANDS LÄN</t>
        </is>
      </c>
      <c r="E1758" t="inlineStr">
        <is>
          <t>TORSBY</t>
        </is>
      </c>
      <c r="F1758" t="inlineStr">
        <is>
          <t>Kyrkan</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44497-2023</t>
        </is>
      </c>
      <c r="B1759" s="1" t="n">
        <v>45189</v>
      </c>
      <c r="C1759" s="1" t="n">
        <v>45711</v>
      </c>
      <c r="D1759" t="inlineStr">
        <is>
          <t>VÄRMLANDS LÄN</t>
        </is>
      </c>
      <c r="E1759" t="inlineStr">
        <is>
          <t>TORSBY</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44562-2023</t>
        </is>
      </c>
      <c r="B1760" s="1" t="n">
        <v>45189</v>
      </c>
      <c r="C1760" s="1" t="n">
        <v>45711</v>
      </c>
      <c r="D1760" t="inlineStr">
        <is>
          <t>VÄRMLANDS LÄN</t>
        </is>
      </c>
      <c r="E1760" t="inlineStr">
        <is>
          <t>TORSBY</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44641-2023</t>
        </is>
      </c>
      <c r="B1761" s="1" t="n">
        <v>45189</v>
      </c>
      <c r="C1761" s="1" t="n">
        <v>45711</v>
      </c>
      <c r="D1761" t="inlineStr">
        <is>
          <t>VÄRMLANDS LÄN</t>
        </is>
      </c>
      <c r="E1761" t="inlineStr">
        <is>
          <t>TORSBY</t>
        </is>
      </c>
      <c r="F1761" t="inlineStr">
        <is>
          <t>Bergvik skog väst AB</t>
        </is>
      </c>
      <c r="G1761" t="n">
        <v>20.3</v>
      </c>
      <c r="H1761" t="n">
        <v>0</v>
      </c>
      <c r="I1761" t="n">
        <v>0</v>
      </c>
      <c r="J1761" t="n">
        <v>0</v>
      </c>
      <c r="K1761" t="n">
        <v>0</v>
      </c>
      <c r="L1761" t="n">
        <v>0</v>
      </c>
      <c r="M1761" t="n">
        <v>0</v>
      </c>
      <c r="N1761" t="n">
        <v>0</v>
      </c>
      <c r="O1761" t="n">
        <v>0</v>
      </c>
      <c r="P1761" t="n">
        <v>0</v>
      </c>
      <c r="Q1761" t="n">
        <v>0</v>
      </c>
      <c r="R1761" s="2" t="inlineStr"/>
    </row>
    <row r="1762" ht="15" customHeight="1">
      <c r="A1762" t="inlineStr">
        <is>
          <t>A 44645-2023</t>
        </is>
      </c>
      <c r="B1762" s="1" t="n">
        <v>45189</v>
      </c>
      <c r="C1762" s="1" t="n">
        <v>45711</v>
      </c>
      <c r="D1762" t="inlineStr">
        <is>
          <t>VÄRMLANDS LÄN</t>
        </is>
      </c>
      <c r="E1762" t="inlineStr">
        <is>
          <t>TORSBY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44670-2023</t>
        </is>
      </c>
      <c r="B1763" s="1" t="n">
        <v>45189</v>
      </c>
      <c r="C1763" s="1" t="n">
        <v>45711</v>
      </c>
      <c r="D1763" t="inlineStr">
        <is>
          <t>VÄRMLANDS LÄN</t>
        </is>
      </c>
      <c r="E1763" t="inlineStr">
        <is>
          <t>TORSBY</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44710-2023</t>
        </is>
      </c>
      <c r="B1764" s="1" t="n">
        <v>45190</v>
      </c>
      <c r="C1764" s="1" t="n">
        <v>45711</v>
      </c>
      <c r="D1764" t="inlineStr">
        <is>
          <t>VÄRMLANDS LÄN</t>
        </is>
      </c>
      <c r="E1764" t="inlineStr">
        <is>
          <t>TORSBY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44730-2023</t>
        </is>
      </c>
      <c r="B1765" s="1" t="n">
        <v>45190</v>
      </c>
      <c r="C1765" s="1" t="n">
        <v>45711</v>
      </c>
      <c r="D1765" t="inlineStr">
        <is>
          <t>VÄRMLANDS LÄN</t>
        </is>
      </c>
      <c r="E1765" t="inlineStr">
        <is>
          <t>TORSBY</t>
        </is>
      </c>
      <c r="G1765" t="n">
        <v>10.7</v>
      </c>
      <c r="H1765" t="n">
        <v>0</v>
      </c>
      <c r="I1765" t="n">
        <v>0</v>
      </c>
      <c r="J1765" t="n">
        <v>0</v>
      </c>
      <c r="K1765" t="n">
        <v>0</v>
      </c>
      <c r="L1765" t="n">
        <v>0</v>
      </c>
      <c r="M1765" t="n">
        <v>0</v>
      </c>
      <c r="N1765" t="n">
        <v>0</v>
      </c>
      <c r="O1765" t="n">
        <v>0</v>
      </c>
      <c r="P1765" t="n">
        <v>0</v>
      </c>
      <c r="Q1765" t="n">
        <v>0</v>
      </c>
      <c r="R1765" s="2" t="inlineStr"/>
    </row>
    <row r="1766" ht="15" customHeight="1">
      <c r="A1766" t="inlineStr">
        <is>
          <t>A 45224-2023</t>
        </is>
      </c>
      <c r="B1766" s="1" t="n">
        <v>45191</v>
      </c>
      <c r="C1766" s="1" t="n">
        <v>45711</v>
      </c>
      <c r="D1766" t="inlineStr">
        <is>
          <t>VÄRMLANDS LÄN</t>
        </is>
      </c>
      <c r="E1766" t="inlineStr">
        <is>
          <t>TORSBY</t>
        </is>
      </c>
      <c r="F1766" t="inlineStr">
        <is>
          <t>Bergvik skog väst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45041-2023</t>
        </is>
      </c>
      <c r="B1767" s="1" t="n">
        <v>45191</v>
      </c>
      <c r="C1767" s="1" t="n">
        <v>45711</v>
      </c>
      <c r="D1767" t="inlineStr">
        <is>
          <t>VÄRMLANDS LÄN</t>
        </is>
      </c>
      <c r="E1767" t="inlineStr">
        <is>
          <t>TORSBY</t>
        </is>
      </c>
      <c r="F1767" t="inlineStr">
        <is>
          <t>Kyrkan</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45152-2023</t>
        </is>
      </c>
      <c r="B1768" s="1" t="n">
        <v>45191</v>
      </c>
      <c r="C1768" s="1" t="n">
        <v>45711</v>
      </c>
      <c r="D1768" t="inlineStr">
        <is>
          <t>VÄRMLANDS LÄN</t>
        </is>
      </c>
      <c r="E1768" t="inlineStr">
        <is>
          <t>TORSBY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45169-2023</t>
        </is>
      </c>
      <c r="B1769" s="1" t="n">
        <v>45191</v>
      </c>
      <c r="C1769" s="1" t="n">
        <v>45711</v>
      </c>
      <c r="D1769" t="inlineStr">
        <is>
          <t>VÄRMLANDS LÄN</t>
        </is>
      </c>
      <c r="E1769" t="inlineStr">
        <is>
          <t>TORSBY</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45231-2023</t>
        </is>
      </c>
      <c r="B1770" s="1" t="n">
        <v>45191</v>
      </c>
      <c r="C1770" s="1" t="n">
        <v>45711</v>
      </c>
      <c r="D1770" t="inlineStr">
        <is>
          <t>VÄRMLANDS LÄN</t>
        </is>
      </c>
      <c r="E1770" t="inlineStr">
        <is>
          <t>TORSBY</t>
        </is>
      </c>
      <c r="F1770" t="inlineStr">
        <is>
          <t>Bergvik skog väst AB</t>
        </is>
      </c>
      <c r="G1770" t="n">
        <v>7.8</v>
      </c>
      <c r="H1770" t="n">
        <v>0</v>
      </c>
      <c r="I1770" t="n">
        <v>0</v>
      </c>
      <c r="J1770" t="n">
        <v>0</v>
      </c>
      <c r="K1770" t="n">
        <v>0</v>
      </c>
      <c r="L1770" t="n">
        <v>0</v>
      </c>
      <c r="M1770" t="n">
        <v>0</v>
      </c>
      <c r="N1770" t="n">
        <v>0</v>
      </c>
      <c r="O1770" t="n">
        <v>0</v>
      </c>
      <c r="P1770" t="n">
        <v>0</v>
      </c>
      <c r="Q1770" t="n">
        <v>0</v>
      </c>
      <c r="R1770" s="2" t="inlineStr"/>
    </row>
    <row r="1771" ht="15" customHeight="1">
      <c r="A1771" t="inlineStr">
        <is>
          <t>A 45228-2023</t>
        </is>
      </c>
      <c r="B1771" s="1" t="n">
        <v>45191</v>
      </c>
      <c r="C1771" s="1" t="n">
        <v>45711</v>
      </c>
      <c r="D1771" t="inlineStr">
        <is>
          <t>VÄRMLANDS LÄN</t>
        </is>
      </c>
      <c r="E1771" t="inlineStr">
        <is>
          <t>TORSBY</t>
        </is>
      </c>
      <c r="F1771" t="inlineStr">
        <is>
          <t>Bergvik skog väst AB</t>
        </is>
      </c>
      <c r="G1771" t="n">
        <v>26.8</v>
      </c>
      <c r="H1771" t="n">
        <v>0</v>
      </c>
      <c r="I1771" t="n">
        <v>0</v>
      </c>
      <c r="J1771" t="n">
        <v>0</v>
      </c>
      <c r="K1771" t="n">
        <v>0</v>
      </c>
      <c r="L1771" t="n">
        <v>0</v>
      </c>
      <c r="M1771" t="n">
        <v>0</v>
      </c>
      <c r="N1771" t="n">
        <v>0</v>
      </c>
      <c r="O1771" t="n">
        <v>0</v>
      </c>
      <c r="P1771" t="n">
        <v>0</v>
      </c>
      <c r="Q1771" t="n">
        <v>0</v>
      </c>
      <c r="R1771" s="2" t="inlineStr"/>
    </row>
    <row r="1772" ht="15" customHeight="1">
      <c r="A1772" t="inlineStr">
        <is>
          <t>A 45587-2023</t>
        </is>
      </c>
      <c r="B1772" s="1" t="n">
        <v>45194</v>
      </c>
      <c r="C1772" s="1" t="n">
        <v>45711</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45399-2023</t>
        </is>
      </c>
      <c r="B1773" s="1" t="n">
        <v>45194</v>
      </c>
      <c r="C1773" s="1" t="n">
        <v>45711</v>
      </c>
      <c r="D1773" t="inlineStr">
        <is>
          <t>VÄRMLANDS LÄN</t>
        </is>
      </c>
      <c r="E1773" t="inlineStr">
        <is>
          <t>TORSBY</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45563-2023</t>
        </is>
      </c>
      <c r="B1774" s="1" t="n">
        <v>45194</v>
      </c>
      <c r="C1774" s="1" t="n">
        <v>45711</v>
      </c>
      <c r="D1774" t="inlineStr">
        <is>
          <t>VÄRMLANDS LÄN</t>
        </is>
      </c>
      <c r="E1774" t="inlineStr">
        <is>
          <t>TORSBY</t>
        </is>
      </c>
      <c r="F1774" t="inlineStr">
        <is>
          <t>Bergvik skog väst AB</t>
        </is>
      </c>
      <c r="G1774" t="n">
        <v>22.6</v>
      </c>
      <c r="H1774" t="n">
        <v>0</v>
      </c>
      <c r="I1774" t="n">
        <v>0</v>
      </c>
      <c r="J1774" t="n">
        <v>0</v>
      </c>
      <c r="K1774" t="n">
        <v>0</v>
      </c>
      <c r="L1774" t="n">
        <v>0</v>
      </c>
      <c r="M1774" t="n">
        <v>0</v>
      </c>
      <c r="N1774" t="n">
        <v>0</v>
      </c>
      <c r="O1774" t="n">
        <v>0</v>
      </c>
      <c r="P1774" t="n">
        <v>0</v>
      </c>
      <c r="Q1774" t="n">
        <v>0</v>
      </c>
      <c r="R1774" s="2" t="inlineStr"/>
    </row>
    <row r="1775" ht="15" customHeight="1">
      <c r="A1775" t="inlineStr">
        <is>
          <t>A 45765-2023</t>
        </is>
      </c>
      <c r="B1775" s="1" t="n">
        <v>45195</v>
      </c>
      <c r="C1775" s="1" t="n">
        <v>45711</v>
      </c>
      <c r="D1775" t="inlineStr">
        <is>
          <t>VÄRMLANDS LÄN</t>
        </is>
      </c>
      <c r="E1775" t="inlineStr">
        <is>
          <t>TORSBY</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45872-2023</t>
        </is>
      </c>
      <c r="B1776" s="1" t="n">
        <v>45195</v>
      </c>
      <c r="C1776" s="1" t="n">
        <v>45711</v>
      </c>
      <c r="D1776" t="inlineStr">
        <is>
          <t>VÄRMLANDS LÄN</t>
        </is>
      </c>
      <c r="E1776" t="inlineStr">
        <is>
          <t>TORSBY</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45775-2023</t>
        </is>
      </c>
      <c r="B1777" s="1" t="n">
        <v>45195</v>
      </c>
      <c r="C1777" s="1" t="n">
        <v>45711</v>
      </c>
      <c r="D1777" t="inlineStr">
        <is>
          <t>VÄRMLANDS LÄN</t>
        </is>
      </c>
      <c r="E1777" t="inlineStr">
        <is>
          <t>TORSBY</t>
        </is>
      </c>
      <c r="F1777" t="inlineStr">
        <is>
          <t>Bergvik skog väst AB</t>
        </is>
      </c>
      <c r="G1777" t="n">
        <v>34.2</v>
      </c>
      <c r="H1777" t="n">
        <v>0</v>
      </c>
      <c r="I1777" t="n">
        <v>0</v>
      </c>
      <c r="J1777" t="n">
        <v>0</v>
      </c>
      <c r="K1777" t="n">
        <v>0</v>
      </c>
      <c r="L1777" t="n">
        <v>0</v>
      </c>
      <c r="M1777" t="n">
        <v>0</v>
      </c>
      <c r="N1777" t="n">
        <v>0</v>
      </c>
      <c r="O1777" t="n">
        <v>0</v>
      </c>
      <c r="P1777" t="n">
        <v>0</v>
      </c>
      <c r="Q1777" t="n">
        <v>0</v>
      </c>
      <c r="R1777" s="2" t="inlineStr"/>
    </row>
    <row r="1778" ht="15" customHeight="1">
      <c r="A1778" t="inlineStr">
        <is>
          <t>A 46003-2023</t>
        </is>
      </c>
      <c r="B1778" s="1" t="n">
        <v>45196</v>
      </c>
      <c r="C1778" s="1" t="n">
        <v>45711</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46048-2023</t>
        </is>
      </c>
      <c r="B1779" s="1" t="n">
        <v>45196</v>
      </c>
      <c r="C1779" s="1" t="n">
        <v>45711</v>
      </c>
      <c r="D1779" t="inlineStr">
        <is>
          <t>VÄRMLANDS LÄN</t>
        </is>
      </c>
      <c r="E1779" t="inlineStr">
        <is>
          <t>TORSBY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46001-2023</t>
        </is>
      </c>
      <c r="B1780" s="1" t="n">
        <v>45196</v>
      </c>
      <c r="C1780" s="1" t="n">
        <v>45711</v>
      </c>
      <c r="D1780" t="inlineStr">
        <is>
          <t>VÄRMLANDS LÄN</t>
        </is>
      </c>
      <c r="E1780" t="inlineStr">
        <is>
          <t>TORSBY</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46202-2023</t>
        </is>
      </c>
      <c r="B1781" s="1" t="n">
        <v>45196</v>
      </c>
      <c r="C1781" s="1" t="n">
        <v>45711</v>
      </c>
      <c r="D1781" t="inlineStr">
        <is>
          <t>VÄRMLANDS LÄN</t>
        </is>
      </c>
      <c r="E1781" t="inlineStr">
        <is>
          <t>TORSBY</t>
        </is>
      </c>
      <c r="F1781" t="inlineStr">
        <is>
          <t>Bergvik skog väst AB</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46233-2023</t>
        </is>
      </c>
      <c r="B1782" s="1" t="n">
        <v>45196</v>
      </c>
      <c r="C1782" s="1" t="n">
        <v>45711</v>
      </c>
      <c r="D1782" t="inlineStr">
        <is>
          <t>VÄRMLANDS LÄN</t>
        </is>
      </c>
      <c r="E1782" t="inlineStr">
        <is>
          <t>TORSBY</t>
        </is>
      </c>
      <c r="F1782" t="inlineStr">
        <is>
          <t>Kyrkan</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46127-2023</t>
        </is>
      </c>
      <c r="B1783" s="1" t="n">
        <v>45196</v>
      </c>
      <c r="C1783" s="1" t="n">
        <v>45711</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46199-2023</t>
        </is>
      </c>
      <c r="B1784" s="1" t="n">
        <v>45196</v>
      </c>
      <c r="C1784" s="1" t="n">
        <v>45711</v>
      </c>
      <c r="D1784" t="inlineStr">
        <is>
          <t>VÄRMLANDS LÄN</t>
        </is>
      </c>
      <c r="E1784" t="inlineStr">
        <is>
          <t>TORSBY</t>
        </is>
      </c>
      <c r="F1784" t="inlineStr">
        <is>
          <t>Bergvik skog väst AB</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46220-2023</t>
        </is>
      </c>
      <c r="B1785" s="1" t="n">
        <v>45196</v>
      </c>
      <c r="C1785" s="1" t="n">
        <v>45711</v>
      </c>
      <c r="D1785" t="inlineStr">
        <is>
          <t>VÄRMLANDS LÄN</t>
        </is>
      </c>
      <c r="E1785" t="inlineStr">
        <is>
          <t>TORSBY</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46156-2023</t>
        </is>
      </c>
      <c r="B1786" s="1" t="n">
        <v>45196</v>
      </c>
      <c r="C1786" s="1" t="n">
        <v>45711</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46180-2023</t>
        </is>
      </c>
      <c r="B1787" s="1" t="n">
        <v>45196</v>
      </c>
      <c r="C1787" s="1" t="n">
        <v>45711</v>
      </c>
      <c r="D1787" t="inlineStr">
        <is>
          <t>VÄRMLANDS LÄN</t>
        </is>
      </c>
      <c r="E1787" t="inlineStr">
        <is>
          <t>TORSBY</t>
        </is>
      </c>
      <c r="F1787" t="inlineStr">
        <is>
          <t>Bergvik skog väst AB</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46195-2023</t>
        </is>
      </c>
      <c r="B1788" s="1" t="n">
        <v>45196</v>
      </c>
      <c r="C1788" s="1" t="n">
        <v>45711</v>
      </c>
      <c r="D1788" t="inlineStr">
        <is>
          <t>VÄRMLANDS LÄN</t>
        </is>
      </c>
      <c r="E1788" t="inlineStr">
        <is>
          <t>TORSBY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46221-2023</t>
        </is>
      </c>
      <c r="B1789" s="1" t="n">
        <v>45196</v>
      </c>
      <c r="C1789" s="1" t="n">
        <v>45711</v>
      </c>
      <c r="D1789" t="inlineStr">
        <is>
          <t>VÄRMLANDS LÄN</t>
        </is>
      </c>
      <c r="E1789" t="inlineStr">
        <is>
          <t>TORSBY</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47227-2023</t>
        </is>
      </c>
      <c r="B1790" s="1" t="n">
        <v>45196</v>
      </c>
      <c r="C1790" s="1" t="n">
        <v>45711</v>
      </c>
      <c r="D1790" t="inlineStr">
        <is>
          <t>VÄRMLANDS LÄN</t>
        </is>
      </c>
      <c r="E1790" t="inlineStr">
        <is>
          <t>TORSBY</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46424-2023</t>
        </is>
      </c>
      <c r="B1791" s="1" t="n">
        <v>45197</v>
      </c>
      <c r="C1791" s="1" t="n">
        <v>45711</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46449-2023</t>
        </is>
      </c>
      <c r="B1792" s="1" t="n">
        <v>45197</v>
      </c>
      <c r="C1792" s="1" t="n">
        <v>45711</v>
      </c>
      <c r="D1792" t="inlineStr">
        <is>
          <t>VÄRMLANDS LÄN</t>
        </is>
      </c>
      <c r="E1792" t="inlineStr">
        <is>
          <t>TORSBY</t>
        </is>
      </c>
      <c r="F1792" t="inlineStr">
        <is>
          <t>Bergvik skog väst AB</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46509-2023</t>
        </is>
      </c>
      <c r="B1793" s="1" t="n">
        <v>45197</v>
      </c>
      <c r="C1793" s="1" t="n">
        <v>45711</v>
      </c>
      <c r="D1793" t="inlineStr">
        <is>
          <t>VÄRMLANDS LÄN</t>
        </is>
      </c>
      <c r="E1793" t="inlineStr">
        <is>
          <t>TORSBY</t>
        </is>
      </c>
      <c r="F1793" t="inlineStr">
        <is>
          <t>Bergvik skog väst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46489-2023</t>
        </is>
      </c>
      <c r="B1794" s="1" t="n">
        <v>45197</v>
      </c>
      <c r="C1794" s="1" t="n">
        <v>45711</v>
      </c>
      <c r="D1794" t="inlineStr">
        <is>
          <t>VÄRMLANDS LÄN</t>
        </is>
      </c>
      <c r="E1794" t="inlineStr">
        <is>
          <t>TORSBY</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47119-2023</t>
        </is>
      </c>
      <c r="B1795" s="1" t="n">
        <v>45201</v>
      </c>
      <c r="C1795" s="1" t="n">
        <v>45711</v>
      </c>
      <c r="D1795" t="inlineStr">
        <is>
          <t>VÄRMLANDS LÄN</t>
        </is>
      </c>
      <c r="E1795" t="inlineStr">
        <is>
          <t>TORSBY</t>
        </is>
      </c>
      <c r="F1795" t="inlineStr">
        <is>
          <t>Bergvik skog väst AB</t>
        </is>
      </c>
      <c r="G1795" t="n">
        <v>18.7</v>
      </c>
      <c r="H1795" t="n">
        <v>0</v>
      </c>
      <c r="I1795" t="n">
        <v>0</v>
      </c>
      <c r="J1795" t="n">
        <v>0</v>
      </c>
      <c r="K1795" t="n">
        <v>0</v>
      </c>
      <c r="L1795" t="n">
        <v>0</v>
      </c>
      <c r="M1795" t="n">
        <v>0</v>
      </c>
      <c r="N1795" t="n">
        <v>0</v>
      </c>
      <c r="O1795" t="n">
        <v>0</v>
      </c>
      <c r="P1795" t="n">
        <v>0</v>
      </c>
      <c r="Q1795" t="n">
        <v>0</v>
      </c>
      <c r="R1795" s="2" t="inlineStr"/>
    </row>
    <row r="1796" ht="15" customHeight="1">
      <c r="A1796" t="inlineStr">
        <is>
          <t>A 46880-2023</t>
        </is>
      </c>
      <c r="B1796" s="1" t="n">
        <v>45201</v>
      </c>
      <c r="C1796" s="1" t="n">
        <v>45711</v>
      </c>
      <c r="D1796" t="inlineStr">
        <is>
          <t>VÄRMLANDS LÄN</t>
        </is>
      </c>
      <c r="E1796" t="inlineStr">
        <is>
          <t>TORSBY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46938-2023</t>
        </is>
      </c>
      <c r="B1797" s="1" t="n">
        <v>45201</v>
      </c>
      <c r="C1797" s="1" t="n">
        <v>45711</v>
      </c>
      <c r="D1797" t="inlineStr">
        <is>
          <t>VÄRMLANDS LÄN</t>
        </is>
      </c>
      <c r="E1797" t="inlineStr">
        <is>
          <t>TORSBY</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47077-2023</t>
        </is>
      </c>
      <c r="B1798" s="1" t="n">
        <v>45201</v>
      </c>
      <c r="C1798" s="1" t="n">
        <v>45711</v>
      </c>
      <c r="D1798" t="inlineStr">
        <is>
          <t>VÄRMLANDS LÄN</t>
        </is>
      </c>
      <c r="E1798" t="inlineStr">
        <is>
          <t>TORSBY</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47275-2023</t>
        </is>
      </c>
      <c r="B1799" s="1" t="n">
        <v>45202</v>
      </c>
      <c r="C1799" s="1" t="n">
        <v>45711</v>
      </c>
      <c r="D1799" t="inlineStr">
        <is>
          <t>VÄRMLANDS LÄN</t>
        </is>
      </c>
      <c r="E1799" t="inlineStr">
        <is>
          <t>TORSBY</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47241-2023</t>
        </is>
      </c>
      <c r="B1800" s="1" t="n">
        <v>45202</v>
      </c>
      <c r="C1800" s="1" t="n">
        <v>45711</v>
      </c>
      <c r="D1800" t="inlineStr">
        <is>
          <t>VÄRMLANDS LÄN</t>
        </is>
      </c>
      <c r="E1800" t="inlineStr">
        <is>
          <t>TORSBY</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47355-2023</t>
        </is>
      </c>
      <c r="B1801" s="1" t="n">
        <v>45202</v>
      </c>
      <c r="C1801" s="1" t="n">
        <v>45711</v>
      </c>
      <c r="D1801" t="inlineStr">
        <is>
          <t>VÄRMLANDS LÄN</t>
        </is>
      </c>
      <c r="E1801" t="inlineStr">
        <is>
          <t>TORSBY</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47401-2023</t>
        </is>
      </c>
      <c r="B1802" s="1" t="n">
        <v>45202</v>
      </c>
      <c r="C1802" s="1" t="n">
        <v>45711</v>
      </c>
      <c r="D1802" t="inlineStr">
        <is>
          <t>VÄRMLANDS LÄN</t>
        </is>
      </c>
      <c r="E1802" t="inlineStr">
        <is>
          <t>TORSBY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47737-2023</t>
        </is>
      </c>
      <c r="B1803" s="1" t="n">
        <v>45203</v>
      </c>
      <c r="C1803" s="1" t="n">
        <v>45711</v>
      </c>
      <c r="D1803" t="inlineStr">
        <is>
          <t>VÄRMLANDS LÄN</t>
        </is>
      </c>
      <c r="E1803" t="inlineStr">
        <is>
          <t>TORSBY</t>
        </is>
      </c>
      <c r="F1803" t="inlineStr">
        <is>
          <t>Bergvik skog väst AB</t>
        </is>
      </c>
      <c r="G1803" t="n">
        <v>24.4</v>
      </c>
      <c r="H1803" t="n">
        <v>0</v>
      </c>
      <c r="I1803" t="n">
        <v>0</v>
      </c>
      <c r="J1803" t="n">
        <v>0</v>
      </c>
      <c r="K1803" t="n">
        <v>0</v>
      </c>
      <c r="L1803" t="n">
        <v>0</v>
      </c>
      <c r="M1803" t="n">
        <v>0</v>
      </c>
      <c r="N1803" t="n">
        <v>0</v>
      </c>
      <c r="O1803" t="n">
        <v>0</v>
      </c>
      <c r="P1803" t="n">
        <v>0</v>
      </c>
      <c r="Q1803" t="n">
        <v>0</v>
      </c>
      <c r="R1803" s="2" t="inlineStr"/>
    </row>
    <row r="1804" ht="15" customHeight="1">
      <c r="A1804" t="inlineStr">
        <is>
          <t>A 47615-2023</t>
        </is>
      </c>
      <c r="B1804" s="1" t="n">
        <v>45203</v>
      </c>
      <c r="C1804" s="1" t="n">
        <v>45711</v>
      </c>
      <c r="D1804" t="inlineStr">
        <is>
          <t>VÄRMLANDS LÄN</t>
        </is>
      </c>
      <c r="E1804" t="inlineStr">
        <is>
          <t>TORSBY</t>
        </is>
      </c>
      <c r="F1804" t="inlineStr">
        <is>
          <t>Bergvik skog väst AB</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47730-2023</t>
        </is>
      </c>
      <c r="B1805" s="1" t="n">
        <v>45203</v>
      </c>
      <c r="C1805" s="1" t="n">
        <v>45711</v>
      </c>
      <c r="D1805" t="inlineStr">
        <is>
          <t>VÄRMLANDS LÄN</t>
        </is>
      </c>
      <c r="E1805" t="inlineStr">
        <is>
          <t>TORSBY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47734-2023</t>
        </is>
      </c>
      <c r="B1806" s="1" t="n">
        <v>45203</v>
      </c>
      <c r="C1806" s="1" t="n">
        <v>45711</v>
      </c>
      <c r="D1806" t="inlineStr">
        <is>
          <t>VÄRMLANDS LÄN</t>
        </is>
      </c>
      <c r="E1806" t="inlineStr">
        <is>
          <t>TORSBY</t>
        </is>
      </c>
      <c r="F1806" t="inlineStr">
        <is>
          <t>Bergvik skog väst AB</t>
        </is>
      </c>
      <c r="G1806" t="n">
        <v>23.3</v>
      </c>
      <c r="H1806" t="n">
        <v>0</v>
      </c>
      <c r="I1806" t="n">
        <v>0</v>
      </c>
      <c r="J1806" t="n">
        <v>0</v>
      </c>
      <c r="K1806" t="n">
        <v>0</v>
      </c>
      <c r="L1806" t="n">
        <v>0</v>
      </c>
      <c r="M1806" t="n">
        <v>0</v>
      </c>
      <c r="N1806" t="n">
        <v>0</v>
      </c>
      <c r="O1806" t="n">
        <v>0</v>
      </c>
      <c r="P1806" t="n">
        <v>0</v>
      </c>
      <c r="Q1806" t="n">
        <v>0</v>
      </c>
      <c r="R1806" s="2" t="inlineStr"/>
    </row>
    <row r="1807" ht="15" customHeight="1">
      <c r="A1807" t="inlineStr">
        <is>
          <t>A 48724-2023</t>
        </is>
      </c>
      <c r="B1807" s="1" t="n">
        <v>45203</v>
      </c>
      <c r="C1807" s="1" t="n">
        <v>45711</v>
      </c>
      <c r="D1807" t="inlineStr">
        <is>
          <t>VÄRMLANDS LÄN</t>
        </is>
      </c>
      <c r="E1807" t="inlineStr">
        <is>
          <t>TORSBY</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47842-2023</t>
        </is>
      </c>
      <c r="B1808" s="1" t="n">
        <v>45204</v>
      </c>
      <c r="C1808" s="1" t="n">
        <v>45711</v>
      </c>
      <c r="D1808" t="inlineStr">
        <is>
          <t>VÄRMLANDS LÄN</t>
        </is>
      </c>
      <c r="E1808" t="inlineStr">
        <is>
          <t>TORSBY</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48106-2023</t>
        </is>
      </c>
      <c r="B1809" s="1" t="n">
        <v>45205</v>
      </c>
      <c r="C1809" s="1" t="n">
        <v>45711</v>
      </c>
      <c r="D1809" t="inlineStr">
        <is>
          <t>VÄRMLANDS LÄN</t>
        </is>
      </c>
      <c r="E1809" t="inlineStr">
        <is>
          <t>TORSBY</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48145-2023</t>
        </is>
      </c>
      <c r="B1810" s="1" t="n">
        <v>45205</v>
      </c>
      <c r="C1810" s="1" t="n">
        <v>45711</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48236-2023</t>
        </is>
      </c>
      <c r="B1811" s="1" t="n">
        <v>45205</v>
      </c>
      <c r="C1811" s="1" t="n">
        <v>45711</v>
      </c>
      <c r="D1811" t="inlineStr">
        <is>
          <t>VÄRMLANDS LÄN</t>
        </is>
      </c>
      <c r="E1811" t="inlineStr">
        <is>
          <t>TORSBY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48155-2023</t>
        </is>
      </c>
      <c r="B1812" s="1" t="n">
        <v>45205</v>
      </c>
      <c r="C1812" s="1" t="n">
        <v>45711</v>
      </c>
      <c r="D1812" t="inlineStr">
        <is>
          <t>VÄRMLANDS LÄN</t>
        </is>
      </c>
      <c r="E1812" t="inlineStr">
        <is>
          <t>TORSBY</t>
        </is>
      </c>
      <c r="F1812" t="inlineStr">
        <is>
          <t>Kyrkan</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48170-2023</t>
        </is>
      </c>
      <c r="B1813" s="1" t="n">
        <v>45205</v>
      </c>
      <c r="C1813" s="1" t="n">
        <v>45711</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48324-2023</t>
        </is>
      </c>
      <c r="B1814" s="1" t="n">
        <v>45205</v>
      </c>
      <c r="C1814" s="1" t="n">
        <v>45711</v>
      </c>
      <c r="D1814" t="inlineStr">
        <is>
          <t>VÄRMLANDS LÄN</t>
        </is>
      </c>
      <c r="E1814" t="inlineStr">
        <is>
          <t>TORSBY</t>
        </is>
      </c>
      <c r="F1814" t="inlineStr">
        <is>
          <t>Bergvik skog väst AB</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48381-2023</t>
        </is>
      </c>
      <c r="B1815" s="1" t="n">
        <v>45205</v>
      </c>
      <c r="C1815" s="1" t="n">
        <v>45711</v>
      </c>
      <c r="D1815" t="inlineStr">
        <is>
          <t>VÄRMLANDS LÄN</t>
        </is>
      </c>
      <c r="E1815" t="inlineStr">
        <is>
          <t>TORSBY</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48384-2023</t>
        </is>
      </c>
      <c r="B1816" s="1" t="n">
        <v>45205</v>
      </c>
      <c r="C1816" s="1" t="n">
        <v>45711</v>
      </c>
      <c r="D1816" t="inlineStr">
        <is>
          <t>VÄRMLANDS LÄN</t>
        </is>
      </c>
      <c r="E1816" t="inlineStr">
        <is>
          <t>TORSBY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48383-2023</t>
        </is>
      </c>
      <c r="B1817" s="1" t="n">
        <v>45205</v>
      </c>
      <c r="C1817" s="1" t="n">
        <v>45711</v>
      </c>
      <c r="D1817" t="inlineStr">
        <is>
          <t>VÄRMLANDS LÄN</t>
        </is>
      </c>
      <c r="E1817" t="inlineStr">
        <is>
          <t>TORSBY</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48456-2023</t>
        </is>
      </c>
      <c r="B1818" s="1" t="n">
        <v>45206</v>
      </c>
      <c r="C1818" s="1" t="n">
        <v>45711</v>
      </c>
      <c r="D1818" t="inlineStr">
        <is>
          <t>VÄRMLANDS LÄN</t>
        </is>
      </c>
      <c r="E1818" t="inlineStr">
        <is>
          <t>TORSBY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48625-2023</t>
        </is>
      </c>
      <c r="B1819" s="1" t="n">
        <v>45208</v>
      </c>
      <c r="C1819" s="1" t="n">
        <v>45711</v>
      </c>
      <c r="D1819" t="inlineStr">
        <is>
          <t>VÄRMLANDS LÄN</t>
        </is>
      </c>
      <c r="E1819" t="inlineStr">
        <is>
          <t>TORSBY</t>
        </is>
      </c>
      <c r="F1819" t="inlineStr">
        <is>
          <t>Bergvik skog väst AB</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48727-2023</t>
        </is>
      </c>
      <c r="B1820" s="1" t="n">
        <v>45208</v>
      </c>
      <c r="C1820" s="1" t="n">
        <v>45711</v>
      </c>
      <c r="D1820" t="inlineStr">
        <is>
          <t>VÄRMLANDS LÄN</t>
        </is>
      </c>
      <c r="E1820" t="inlineStr">
        <is>
          <t>TORSBY</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48753-2023</t>
        </is>
      </c>
      <c r="B1821" s="1" t="n">
        <v>45208</v>
      </c>
      <c r="C1821" s="1" t="n">
        <v>45711</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48762-2023</t>
        </is>
      </c>
      <c r="B1822" s="1" t="n">
        <v>45208</v>
      </c>
      <c r="C1822" s="1" t="n">
        <v>45711</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49717-2023</t>
        </is>
      </c>
      <c r="B1823" s="1" t="n">
        <v>45208</v>
      </c>
      <c r="C1823" s="1" t="n">
        <v>45711</v>
      </c>
      <c r="D1823" t="inlineStr">
        <is>
          <t>VÄRMLANDS LÄN</t>
        </is>
      </c>
      <c r="E1823" t="inlineStr">
        <is>
          <t>TORSBY</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50166-2023</t>
        </is>
      </c>
      <c r="B1824" s="1" t="n">
        <v>45208</v>
      </c>
      <c r="C1824" s="1" t="n">
        <v>45711</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50149-2023</t>
        </is>
      </c>
      <c r="B1825" s="1" t="n">
        <v>45208</v>
      </c>
      <c r="C1825" s="1" t="n">
        <v>45711</v>
      </c>
      <c r="D1825" t="inlineStr">
        <is>
          <t>VÄRMLANDS LÄN</t>
        </is>
      </c>
      <c r="E1825" t="inlineStr">
        <is>
          <t>TORSBY</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48805-2023</t>
        </is>
      </c>
      <c r="B1826" s="1" t="n">
        <v>45209</v>
      </c>
      <c r="C1826" s="1" t="n">
        <v>45711</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48842-2023</t>
        </is>
      </c>
      <c r="B1827" s="1" t="n">
        <v>45209</v>
      </c>
      <c r="C1827" s="1" t="n">
        <v>45711</v>
      </c>
      <c r="D1827" t="inlineStr">
        <is>
          <t>VÄRMLANDS LÄN</t>
        </is>
      </c>
      <c r="E1827" t="inlineStr">
        <is>
          <t>TORSBY</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49170-2023</t>
        </is>
      </c>
      <c r="B1828" s="1" t="n">
        <v>45210</v>
      </c>
      <c r="C1828" s="1" t="n">
        <v>45711</v>
      </c>
      <c r="D1828" t="inlineStr">
        <is>
          <t>VÄRMLANDS LÄN</t>
        </is>
      </c>
      <c r="E1828" t="inlineStr">
        <is>
          <t>TORSBY</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49179-2023</t>
        </is>
      </c>
      <c r="B1829" s="1" t="n">
        <v>45210</v>
      </c>
      <c r="C1829" s="1" t="n">
        <v>45711</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49296-2023</t>
        </is>
      </c>
      <c r="B1830" s="1" t="n">
        <v>45210</v>
      </c>
      <c r="C1830" s="1" t="n">
        <v>45711</v>
      </c>
      <c r="D1830" t="inlineStr">
        <is>
          <t>VÄRMLANDS LÄN</t>
        </is>
      </c>
      <c r="E1830" t="inlineStr">
        <is>
          <t>TORSBY</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51079-2023</t>
        </is>
      </c>
      <c r="B1831" s="1" t="n">
        <v>45211</v>
      </c>
      <c r="C1831" s="1" t="n">
        <v>45711</v>
      </c>
      <c r="D1831" t="inlineStr">
        <is>
          <t>VÄRMLANDS LÄN</t>
        </is>
      </c>
      <c r="E1831" t="inlineStr">
        <is>
          <t>TORSBY</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49755-2023</t>
        </is>
      </c>
      <c r="B1832" s="1" t="n">
        <v>45212</v>
      </c>
      <c r="C1832" s="1" t="n">
        <v>45711</v>
      </c>
      <c r="D1832" t="inlineStr">
        <is>
          <t>VÄRMLANDS LÄN</t>
        </is>
      </c>
      <c r="E1832" t="inlineStr">
        <is>
          <t>TORSBY</t>
        </is>
      </c>
      <c r="F1832" t="inlineStr">
        <is>
          <t>Bergvik skog väst AB</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49777-2023</t>
        </is>
      </c>
      <c r="B1833" s="1" t="n">
        <v>45212</v>
      </c>
      <c r="C1833" s="1" t="n">
        <v>45711</v>
      </c>
      <c r="D1833" t="inlineStr">
        <is>
          <t>VÄRMLANDS LÄN</t>
        </is>
      </c>
      <c r="E1833" t="inlineStr">
        <is>
          <t>TORSBY</t>
        </is>
      </c>
      <c r="G1833" t="n">
        <v>8.800000000000001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49815-2023</t>
        </is>
      </c>
      <c r="B1834" s="1" t="n">
        <v>45212</v>
      </c>
      <c r="C1834" s="1" t="n">
        <v>45711</v>
      </c>
      <c r="D1834" t="inlineStr">
        <is>
          <t>VÄRMLANDS LÄN</t>
        </is>
      </c>
      <c r="E1834" t="inlineStr">
        <is>
          <t>TORSBY</t>
        </is>
      </c>
      <c r="F1834" t="inlineStr">
        <is>
          <t>Bergvik skog väst AB</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49745-2023</t>
        </is>
      </c>
      <c r="B1835" s="1" t="n">
        <v>45212</v>
      </c>
      <c r="C1835" s="1" t="n">
        <v>45711</v>
      </c>
      <c r="D1835" t="inlineStr">
        <is>
          <t>VÄRMLANDS LÄN</t>
        </is>
      </c>
      <c r="E1835" t="inlineStr">
        <is>
          <t>TORSBY</t>
        </is>
      </c>
      <c r="F1835" t="inlineStr">
        <is>
          <t>Bergvik skog väst AB</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51144-2023</t>
        </is>
      </c>
      <c r="B1836" s="1" t="n">
        <v>45212</v>
      </c>
      <c r="C1836" s="1" t="n">
        <v>45711</v>
      </c>
      <c r="D1836" t="inlineStr">
        <is>
          <t>VÄRMLANDS LÄN</t>
        </is>
      </c>
      <c r="E1836" t="inlineStr">
        <is>
          <t>TORSBY</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49982-2023</t>
        </is>
      </c>
      <c r="B1837" s="1" t="n">
        <v>45215</v>
      </c>
      <c r="C1837" s="1" t="n">
        <v>45711</v>
      </c>
      <c r="D1837" t="inlineStr">
        <is>
          <t>VÄRMLANDS LÄN</t>
        </is>
      </c>
      <c r="E1837" t="inlineStr">
        <is>
          <t>TORSBY</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50147-2023</t>
        </is>
      </c>
      <c r="B1838" s="1" t="n">
        <v>45215</v>
      </c>
      <c r="C1838" s="1" t="n">
        <v>45711</v>
      </c>
      <c r="D1838" t="inlineStr">
        <is>
          <t>VÄRMLANDS LÄN</t>
        </is>
      </c>
      <c r="E1838" t="inlineStr">
        <is>
          <t>TORSBY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50138-2023</t>
        </is>
      </c>
      <c r="B1839" s="1" t="n">
        <v>45215</v>
      </c>
      <c r="C1839" s="1" t="n">
        <v>45711</v>
      </c>
      <c r="D1839" t="inlineStr">
        <is>
          <t>VÄRMLANDS LÄN</t>
        </is>
      </c>
      <c r="E1839" t="inlineStr">
        <is>
          <t>TORSBY</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50144-2023</t>
        </is>
      </c>
      <c r="B1840" s="1" t="n">
        <v>45215</v>
      </c>
      <c r="C1840" s="1" t="n">
        <v>45711</v>
      </c>
      <c r="D1840" t="inlineStr">
        <is>
          <t>VÄRMLANDS LÄN</t>
        </is>
      </c>
      <c r="E1840" t="inlineStr">
        <is>
          <t>TORSBY</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50171-2023</t>
        </is>
      </c>
      <c r="B1841" s="1" t="n">
        <v>45215</v>
      </c>
      <c r="C1841" s="1" t="n">
        <v>45711</v>
      </c>
      <c r="D1841" t="inlineStr">
        <is>
          <t>VÄRMLANDS LÄN</t>
        </is>
      </c>
      <c r="E1841" t="inlineStr">
        <is>
          <t>TORSBY</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50445-2023</t>
        </is>
      </c>
      <c r="B1842" s="1" t="n">
        <v>45216</v>
      </c>
      <c r="C1842" s="1" t="n">
        <v>45711</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50429-2023</t>
        </is>
      </c>
      <c r="B1843" s="1" t="n">
        <v>45216</v>
      </c>
      <c r="C1843" s="1" t="n">
        <v>45711</v>
      </c>
      <c r="D1843" t="inlineStr">
        <is>
          <t>VÄRMLANDS LÄN</t>
        </is>
      </c>
      <c r="E1843" t="inlineStr">
        <is>
          <t>TORSBY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50439-2023</t>
        </is>
      </c>
      <c r="B1844" s="1" t="n">
        <v>45216</v>
      </c>
      <c r="C1844" s="1" t="n">
        <v>45711</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50660-2023</t>
        </is>
      </c>
      <c r="B1845" s="1" t="n">
        <v>45217</v>
      </c>
      <c r="C1845" s="1" t="n">
        <v>45711</v>
      </c>
      <c r="D1845" t="inlineStr">
        <is>
          <t>VÄRMLANDS LÄN</t>
        </is>
      </c>
      <c r="E1845" t="inlineStr">
        <is>
          <t>TORSBY</t>
        </is>
      </c>
      <c r="F1845" t="inlineStr">
        <is>
          <t>Bergvik skog väst AB</t>
        </is>
      </c>
      <c r="G1845" t="n">
        <v>26.5</v>
      </c>
      <c r="H1845" t="n">
        <v>0</v>
      </c>
      <c r="I1845" t="n">
        <v>0</v>
      </c>
      <c r="J1845" t="n">
        <v>0</v>
      </c>
      <c r="K1845" t="n">
        <v>0</v>
      </c>
      <c r="L1845" t="n">
        <v>0</v>
      </c>
      <c r="M1845" t="n">
        <v>0</v>
      </c>
      <c r="N1845" t="n">
        <v>0</v>
      </c>
      <c r="O1845" t="n">
        <v>0</v>
      </c>
      <c r="P1845" t="n">
        <v>0</v>
      </c>
      <c r="Q1845" t="n">
        <v>0</v>
      </c>
      <c r="R1845" s="2" t="inlineStr"/>
    </row>
    <row r="1846" ht="15" customHeight="1">
      <c r="A1846" t="inlineStr">
        <is>
          <t>A 50523-2023</t>
        </is>
      </c>
      <c r="B1846" s="1" t="n">
        <v>45217</v>
      </c>
      <c r="C1846" s="1" t="n">
        <v>45711</v>
      </c>
      <c r="D1846" t="inlineStr">
        <is>
          <t>VÄRMLANDS LÄN</t>
        </is>
      </c>
      <c r="E1846" t="inlineStr">
        <is>
          <t>TORSBY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50608-2023</t>
        </is>
      </c>
      <c r="B1847" s="1" t="n">
        <v>45217</v>
      </c>
      <c r="C1847" s="1" t="n">
        <v>45711</v>
      </c>
      <c r="D1847" t="inlineStr">
        <is>
          <t>VÄRMLANDS LÄN</t>
        </is>
      </c>
      <c r="E1847" t="inlineStr">
        <is>
          <t>TORSBY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50680-2023</t>
        </is>
      </c>
      <c r="B1848" s="1" t="n">
        <v>45217</v>
      </c>
      <c r="C1848" s="1" t="n">
        <v>45711</v>
      </c>
      <c r="D1848" t="inlineStr">
        <is>
          <t>VÄRMLANDS LÄN</t>
        </is>
      </c>
      <c r="E1848" t="inlineStr">
        <is>
          <t>TORSBY</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50852-2023</t>
        </is>
      </c>
      <c r="B1849" s="1" t="n">
        <v>45218</v>
      </c>
      <c r="C1849" s="1" t="n">
        <v>45711</v>
      </c>
      <c r="D1849" t="inlineStr">
        <is>
          <t>VÄRMLANDS LÄN</t>
        </is>
      </c>
      <c r="E1849" t="inlineStr">
        <is>
          <t>TORSBY</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50973-2023</t>
        </is>
      </c>
      <c r="B1850" s="1" t="n">
        <v>45218</v>
      </c>
      <c r="C1850" s="1" t="n">
        <v>45711</v>
      </c>
      <c r="D1850" t="inlineStr">
        <is>
          <t>VÄRMLANDS LÄN</t>
        </is>
      </c>
      <c r="E1850" t="inlineStr">
        <is>
          <t>TORSBY</t>
        </is>
      </c>
      <c r="G1850" t="n">
        <v>10.7</v>
      </c>
      <c r="H1850" t="n">
        <v>0</v>
      </c>
      <c r="I1850" t="n">
        <v>0</v>
      </c>
      <c r="J1850" t="n">
        <v>0</v>
      </c>
      <c r="K1850" t="n">
        <v>0</v>
      </c>
      <c r="L1850" t="n">
        <v>0</v>
      </c>
      <c r="M1850" t="n">
        <v>0</v>
      </c>
      <c r="N1850" t="n">
        <v>0</v>
      </c>
      <c r="O1850" t="n">
        <v>0</v>
      </c>
      <c r="P1850" t="n">
        <v>0</v>
      </c>
      <c r="Q1850" t="n">
        <v>0</v>
      </c>
      <c r="R1850" s="2" t="inlineStr"/>
    </row>
    <row r="1851" ht="15" customHeight="1">
      <c r="A1851" t="inlineStr">
        <is>
          <t>A 51199-2023</t>
        </is>
      </c>
      <c r="B1851" s="1" t="n">
        <v>45219</v>
      </c>
      <c r="C1851" s="1" t="n">
        <v>45711</v>
      </c>
      <c r="D1851" t="inlineStr">
        <is>
          <t>VÄRMLANDS LÄN</t>
        </is>
      </c>
      <c r="E1851" t="inlineStr">
        <is>
          <t>TORSBY</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51215-2023</t>
        </is>
      </c>
      <c r="B1852" s="1" t="n">
        <v>45219</v>
      </c>
      <c r="C1852" s="1" t="n">
        <v>45711</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51343-2023</t>
        </is>
      </c>
      <c r="B1853" s="1" t="n">
        <v>45219</v>
      </c>
      <c r="C1853" s="1" t="n">
        <v>45711</v>
      </c>
      <c r="D1853" t="inlineStr">
        <is>
          <t>VÄRMLANDS LÄN</t>
        </is>
      </c>
      <c r="E1853" t="inlineStr">
        <is>
          <t>TORSBY</t>
        </is>
      </c>
      <c r="F1853" t="inlineStr">
        <is>
          <t>Bergvik skog väst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51386-2023</t>
        </is>
      </c>
      <c r="B1854" s="1" t="n">
        <v>45219</v>
      </c>
      <c r="C1854" s="1" t="n">
        <v>45711</v>
      </c>
      <c r="D1854" t="inlineStr">
        <is>
          <t>VÄRMLANDS LÄN</t>
        </is>
      </c>
      <c r="E1854" t="inlineStr">
        <is>
          <t>TORSBY</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51309-2023</t>
        </is>
      </c>
      <c r="B1855" s="1" t="n">
        <v>45219</v>
      </c>
      <c r="C1855" s="1" t="n">
        <v>45711</v>
      </c>
      <c r="D1855" t="inlineStr">
        <is>
          <t>VÄRMLANDS LÄN</t>
        </is>
      </c>
      <c r="E1855" t="inlineStr">
        <is>
          <t>TORSBY</t>
        </is>
      </c>
      <c r="F1855" t="inlineStr">
        <is>
          <t>Bergvik skog väst AB</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51751-2023</t>
        </is>
      </c>
      <c r="B1856" s="1" t="n">
        <v>45222</v>
      </c>
      <c r="C1856" s="1" t="n">
        <v>45711</v>
      </c>
      <c r="D1856" t="inlineStr">
        <is>
          <t>VÄRMLANDS LÄN</t>
        </is>
      </c>
      <c r="E1856" t="inlineStr">
        <is>
          <t>TORSBY</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51788-2023</t>
        </is>
      </c>
      <c r="B1857" s="1" t="n">
        <v>45222</v>
      </c>
      <c r="C1857" s="1" t="n">
        <v>45711</v>
      </c>
      <c r="D1857" t="inlineStr">
        <is>
          <t>VÄRMLANDS LÄN</t>
        </is>
      </c>
      <c r="E1857" t="inlineStr">
        <is>
          <t>TORSBY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51753-2023</t>
        </is>
      </c>
      <c r="B1858" s="1" t="n">
        <v>45222</v>
      </c>
      <c r="C1858" s="1" t="n">
        <v>45711</v>
      </c>
      <c r="D1858" t="inlineStr">
        <is>
          <t>VÄRMLANDS LÄN</t>
        </is>
      </c>
      <c r="E1858" t="inlineStr">
        <is>
          <t>TORSBY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52078-2023</t>
        </is>
      </c>
      <c r="B1859" s="1" t="n">
        <v>45223</v>
      </c>
      <c r="C1859" s="1" t="n">
        <v>45711</v>
      </c>
      <c r="D1859" t="inlineStr">
        <is>
          <t>VÄRMLANDS LÄN</t>
        </is>
      </c>
      <c r="E1859" t="inlineStr">
        <is>
          <t>TORSBY</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52050-2023</t>
        </is>
      </c>
      <c r="B1860" s="1" t="n">
        <v>45223</v>
      </c>
      <c r="C1860" s="1" t="n">
        <v>45711</v>
      </c>
      <c r="D1860" t="inlineStr">
        <is>
          <t>VÄRMLANDS LÄN</t>
        </is>
      </c>
      <c r="E1860" t="inlineStr">
        <is>
          <t>TORSBY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52067-2023</t>
        </is>
      </c>
      <c r="B1861" s="1" t="n">
        <v>45223</v>
      </c>
      <c r="C1861" s="1" t="n">
        <v>45711</v>
      </c>
      <c r="D1861" t="inlineStr">
        <is>
          <t>VÄRMLANDS LÄN</t>
        </is>
      </c>
      <c r="E1861" t="inlineStr">
        <is>
          <t>TORSBY</t>
        </is>
      </c>
      <c r="F1861" t="inlineStr">
        <is>
          <t>Bergvik skog väst AB</t>
        </is>
      </c>
      <c r="G1861" t="n">
        <v>40.4</v>
      </c>
      <c r="H1861" t="n">
        <v>0</v>
      </c>
      <c r="I1861" t="n">
        <v>0</v>
      </c>
      <c r="J1861" t="n">
        <v>0</v>
      </c>
      <c r="K1861" t="n">
        <v>0</v>
      </c>
      <c r="L1861" t="n">
        <v>0</v>
      </c>
      <c r="M1861" t="n">
        <v>0</v>
      </c>
      <c r="N1861" t="n">
        <v>0</v>
      </c>
      <c r="O1861" t="n">
        <v>0</v>
      </c>
      <c r="P1861" t="n">
        <v>0</v>
      </c>
      <c r="Q1861" t="n">
        <v>0</v>
      </c>
      <c r="R1861" s="2" t="inlineStr"/>
    </row>
    <row r="1862" ht="15" customHeight="1">
      <c r="A1862" t="inlineStr">
        <is>
          <t>A 53499-2023</t>
        </is>
      </c>
      <c r="B1862" s="1" t="n">
        <v>45223</v>
      </c>
      <c r="C1862" s="1" t="n">
        <v>45711</v>
      </c>
      <c r="D1862" t="inlineStr">
        <is>
          <t>VÄRMLANDS LÄN</t>
        </is>
      </c>
      <c r="E1862" t="inlineStr">
        <is>
          <t>TORSBY</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52275-2023</t>
        </is>
      </c>
      <c r="B1863" s="1" t="n">
        <v>45224</v>
      </c>
      <c r="C1863" s="1" t="n">
        <v>45711</v>
      </c>
      <c r="D1863" t="inlineStr">
        <is>
          <t>VÄRMLANDS LÄN</t>
        </is>
      </c>
      <c r="E1863" t="inlineStr">
        <is>
          <t>TORSBY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52385-2023</t>
        </is>
      </c>
      <c r="B1864" s="1" t="n">
        <v>45224</v>
      </c>
      <c r="C1864" s="1" t="n">
        <v>45711</v>
      </c>
      <c r="D1864" t="inlineStr">
        <is>
          <t>VÄRMLANDS LÄN</t>
        </is>
      </c>
      <c r="E1864" t="inlineStr">
        <is>
          <t>TORSBY</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53652-2023</t>
        </is>
      </c>
      <c r="B1865" s="1" t="n">
        <v>45224</v>
      </c>
      <c r="C1865" s="1" t="n">
        <v>45711</v>
      </c>
      <c r="D1865" t="inlineStr">
        <is>
          <t>VÄRMLANDS LÄN</t>
        </is>
      </c>
      <c r="E1865" t="inlineStr">
        <is>
          <t>TORSBY</t>
        </is>
      </c>
      <c r="F1865" t="inlineStr">
        <is>
          <t>Övriga statliga verk och myndigheter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52541-2023</t>
        </is>
      </c>
      <c r="B1866" s="1" t="n">
        <v>45225</v>
      </c>
      <c r="C1866" s="1" t="n">
        <v>45711</v>
      </c>
      <c r="D1866" t="inlineStr">
        <is>
          <t>VÄRMLANDS LÄN</t>
        </is>
      </c>
      <c r="E1866" t="inlineStr">
        <is>
          <t>TORSBY</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52580-2023</t>
        </is>
      </c>
      <c r="B1867" s="1" t="n">
        <v>45225</v>
      </c>
      <c r="C1867" s="1" t="n">
        <v>45711</v>
      </c>
      <c r="D1867" t="inlineStr">
        <is>
          <t>VÄRMLANDS LÄN</t>
        </is>
      </c>
      <c r="E1867" t="inlineStr">
        <is>
          <t>TORSBY</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52555-2023</t>
        </is>
      </c>
      <c r="B1868" s="1" t="n">
        <v>45225</v>
      </c>
      <c r="C1868" s="1" t="n">
        <v>45711</v>
      </c>
      <c r="D1868" t="inlineStr">
        <is>
          <t>VÄRMLANDS LÄN</t>
        </is>
      </c>
      <c r="E1868" t="inlineStr">
        <is>
          <t>TORSBY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52532-2023</t>
        </is>
      </c>
      <c r="B1869" s="1" t="n">
        <v>45225</v>
      </c>
      <c r="C1869" s="1" t="n">
        <v>45711</v>
      </c>
      <c r="D1869" t="inlineStr">
        <is>
          <t>VÄRMLANDS LÄN</t>
        </is>
      </c>
      <c r="E1869" t="inlineStr">
        <is>
          <t>TORSBY</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52591-2023</t>
        </is>
      </c>
      <c r="B1870" s="1" t="n">
        <v>45225</v>
      </c>
      <c r="C1870" s="1" t="n">
        <v>45711</v>
      </c>
      <c r="D1870" t="inlineStr">
        <is>
          <t>VÄRMLANDS LÄN</t>
        </is>
      </c>
      <c r="E1870" t="inlineStr">
        <is>
          <t>TORSBY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52984-2023</t>
        </is>
      </c>
      <c r="B1871" s="1" t="n">
        <v>45226</v>
      </c>
      <c r="C1871" s="1" t="n">
        <v>45711</v>
      </c>
      <c r="D1871" t="inlineStr">
        <is>
          <t>VÄRMLANDS LÄN</t>
        </is>
      </c>
      <c r="E1871" t="inlineStr">
        <is>
          <t>TORSBY</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52982-2023</t>
        </is>
      </c>
      <c r="B1872" s="1" t="n">
        <v>45226</v>
      </c>
      <c r="C1872" s="1" t="n">
        <v>45711</v>
      </c>
      <c r="D1872" t="inlineStr">
        <is>
          <t>VÄRMLANDS LÄN</t>
        </is>
      </c>
      <c r="E1872" t="inlineStr">
        <is>
          <t>TORSBY</t>
        </is>
      </c>
      <c r="G1872" t="n">
        <v>35.5</v>
      </c>
      <c r="H1872" t="n">
        <v>0</v>
      </c>
      <c r="I1872" t="n">
        <v>0</v>
      </c>
      <c r="J1872" t="n">
        <v>0</v>
      </c>
      <c r="K1872" t="n">
        <v>0</v>
      </c>
      <c r="L1872" t="n">
        <v>0</v>
      </c>
      <c r="M1872" t="n">
        <v>0</v>
      </c>
      <c r="N1872" t="n">
        <v>0</v>
      </c>
      <c r="O1872" t="n">
        <v>0</v>
      </c>
      <c r="P1872" t="n">
        <v>0</v>
      </c>
      <c r="Q1872" t="n">
        <v>0</v>
      </c>
      <c r="R1872" s="2" t="inlineStr"/>
    </row>
    <row r="1873" ht="15" customHeight="1">
      <c r="A1873" t="inlineStr">
        <is>
          <t>A 52810-2023</t>
        </is>
      </c>
      <c r="B1873" s="1" t="n">
        <v>45226</v>
      </c>
      <c r="C1873" s="1" t="n">
        <v>45711</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53103-2023</t>
        </is>
      </c>
      <c r="B1874" s="1" t="n">
        <v>45228</v>
      </c>
      <c r="C1874" s="1" t="n">
        <v>45711</v>
      </c>
      <c r="D1874" t="inlineStr">
        <is>
          <t>VÄRMLANDS LÄN</t>
        </is>
      </c>
      <c r="E1874" t="inlineStr">
        <is>
          <t>TORSBY</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53116-2023</t>
        </is>
      </c>
      <c r="B1875" s="1" t="n">
        <v>45228</v>
      </c>
      <c r="C1875" s="1" t="n">
        <v>45711</v>
      </c>
      <c r="D1875" t="inlineStr">
        <is>
          <t>VÄRMLANDS LÄN</t>
        </is>
      </c>
      <c r="E1875" t="inlineStr">
        <is>
          <t>TORSBY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53346-2023</t>
        </is>
      </c>
      <c r="B1876" s="1" t="n">
        <v>45229</v>
      </c>
      <c r="C1876" s="1" t="n">
        <v>45711</v>
      </c>
      <c r="D1876" t="inlineStr">
        <is>
          <t>VÄRMLANDS LÄN</t>
        </is>
      </c>
      <c r="E1876" t="inlineStr">
        <is>
          <t>TORSBY</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54879-2023</t>
        </is>
      </c>
      <c r="B1877" s="1" t="n">
        <v>45229</v>
      </c>
      <c r="C1877" s="1" t="n">
        <v>45711</v>
      </c>
      <c r="D1877" t="inlineStr">
        <is>
          <t>VÄRMLANDS LÄN</t>
        </is>
      </c>
      <c r="E1877" t="inlineStr">
        <is>
          <t>TORSBY</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54822-2023</t>
        </is>
      </c>
      <c r="B1878" s="1" t="n">
        <v>45229</v>
      </c>
      <c r="C1878" s="1" t="n">
        <v>45711</v>
      </c>
      <c r="D1878" t="inlineStr">
        <is>
          <t>VÄRMLANDS LÄN</t>
        </is>
      </c>
      <c r="E1878" t="inlineStr">
        <is>
          <t>TORSBY</t>
        </is>
      </c>
      <c r="F1878" t="inlineStr">
        <is>
          <t>Övriga Aktiebolag</t>
        </is>
      </c>
      <c r="G1878" t="n">
        <v>9</v>
      </c>
      <c r="H1878" t="n">
        <v>0</v>
      </c>
      <c r="I1878" t="n">
        <v>0</v>
      </c>
      <c r="J1878" t="n">
        <v>0</v>
      </c>
      <c r="K1878" t="n">
        <v>0</v>
      </c>
      <c r="L1878" t="n">
        <v>0</v>
      </c>
      <c r="M1878" t="n">
        <v>0</v>
      </c>
      <c r="N1878" t="n">
        <v>0</v>
      </c>
      <c r="O1878" t="n">
        <v>0</v>
      </c>
      <c r="P1878" t="n">
        <v>0</v>
      </c>
      <c r="Q1878" t="n">
        <v>0</v>
      </c>
      <c r="R1878" s="2" t="inlineStr"/>
    </row>
    <row r="1879" ht="15" customHeight="1">
      <c r="A1879" t="inlineStr">
        <is>
          <t>A 53557-2023</t>
        </is>
      </c>
      <c r="B1879" s="1" t="n">
        <v>45230</v>
      </c>
      <c r="C1879" s="1" t="n">
        <v>45711</v>
      </c>
      <c r="D1879" t="inlineStr">
        <is>
          <t>VÄRMLANDS LÄN</t>
        </is>
      </c>
      <c r="E1879" t="inlineStr">
        <is>
          <t>TORSBY</t>
        </is>
      </c>
      <c r="F1879" t="inlineStr">
        <is>
          <t>Bergvik skog väst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53495-2023</t>
        </is>
      </c>
      <c r="B1880" s="1" t="n">
        <v>45230</v>
      </c>
      <c r="C1880" s="1" t="n">
        <v>45711</v>
      </c>
      <c r="D1880" t="inlineStr">
        <is>
          <t>VÄRMLANDS LÄN</t>
        </is>
      </c>
      <c r="E1880" t="inlineStr">
        <is>
          <t>TORSBY</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53794-2023</t>
        </is>
      </c>
      <c r="B1881" s="1" t="n">
        <v>45231</v>
      </c>
      <c r="C1881" s="1" t="n">
        <v>45711</v>
      </c>
      <c r="D1881" t="inlineStr">
        <is>
          <t>VÄRMLANDS LÄN</t>
        </is>
      </c>
      <c r="E1881" t="inlineStr">
        <is>
          <t>TORSBY</t>
        </is>
      </c>
      <c r="G1881" t="n">
        <v>17.3</v>
      </c>
      <c r="H1881" t="n">
        <v>0</v>
      </c>
      <c r="I1881" t="n">
        <v>0</v>
      </c>
      <c r="J1881" t="n">
        <v>0</v>
      </c>
      <c r="K1881" t="n">
        <v>0</v>
      </c>
      <c r="L1881" t="n">
        <v>0</v>
      </c>
      <c r="M1881" t="n">
        <v>0</v>
      </c>
      <c r="N1881" t="n">
        <v>0</v>
      </c>
      <c r="O1881" t="n">
        <v>0</v>
      </c>
      <c r="P1881" t="n">
        <v>0</v>
      </c>
      <c r="Q1881" t="n">
        <v>0</v>
      </c>
      <c r="R1881" s="2" t="inlineStr"/>
    </row>
    <row r="1882" ht="15" customHeight="1">
      <c r="A1882" t="inlineStr">
        <is>
          <t>A 53921-2023</t>
        </is>
      </c>
      <c r="B1882" s="1" t="n">
        <v>45231</v>
      </c>
      <c r="C1882" s="1" t="n">
        <v>45711</v>
      </c>
      <c r="D1882" t="inlineStr">
        <is>
          <t>VÄRMLANDS LÄN</t>
        </is>
      </c>
      <c r="E1882" t="inlineStr">
        <is>
          <t>TORSBY</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53945-2023</t>
        </is>
      </c>
      <c r="B1883" s="1" t="n">
        <v>45231</v>
      </c>
      <c r="C1883" s="1" t="n">
        <v>45711</v>
      </c>
      <c r="D1883" t="inlineStr">
        <is>
          <t>VÄRMLANDS LÄN</t>
        </is>
      </c>
      <c r="E1883" t="inlineStr">
        <is>
          <t>TORSBY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53922-2023</t>
        </is>
      </c>
      <c r="B1884" s="1" t="n">
        <v>45231</v>
      </c>
      <c r="C1884" s="1" t="n">
        <v>45711</v>
      </c>
      <c r="D1884" t="inlineStr">
        <is>
          <t>VÄRMLANDS LÄN</t>
        </is>
      </c>
      <c r="E1884" t="inlineStr">
        <is>
          <t>TORSBY</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54162-2023</t>
        </is>
      </c>
      <c r="B1885" s="1" t="n">
        <v>45232</v>
      </c>
      <c r="C1885" s="1" t="n">
        <v>45711</v>
      </c>
      <c r="D1885" t="inlineStr">
        <is>
          <t>VÄRMLANDS LÄN</t>
        </is>
      </c>
      <c r="E1885" t="inlineStr">
        <is>
          <t>TORSBY</t>
        </is>
      </c>
      <c r="F1885" t="inlineStr">
        <is>
          <t>Bergvik skog väst AB</t>
        </is>
      </c>
      <c r="G1885" t="n">
        <v>8.4</v>
      </c>
      <c r="H1885" t="n">
        <v>0</v>
      </c>
      <c r="I1885" t="n">
        <v>0</v>
      </c>
      <c r="J1885" t="n">
        <v>0</v>
      </c>
      <c r="K1885" t="n">
        <v>0</v>
      </c>
      <c r="L1885" t="n">
        <v>0</v>
      </c>
      <c r="M1885" t="n">
        <v>0</v>
      </c>
      <c r="N1885" t="n">
        <v>0</v>
      </c>
      <c r="O1885" t="n">
        <v>0</v>
      </c>
      <c r="P1885" t="n">
        <v>0</v>
      </c>
      <c r="Q1885" t="n">
        <v>0</v>
      </c>
      <c r="R1885" s="2" t="inlineStr"/>
    </row>
    <row r="1886" ht="15" customHeight="1">
      <c r="A1886" t="inlineStr">
        <is>
          <t>A 54262-2023</t>
        </is>
      </c>
      <c r="B1886" s="1" t="n">
        <v>45232</v>
      </c>
      <c r="C1886" s="1" t="n">
        <v>45711</v>
      </c>
      <c r="D1886" t="inlineStr">
        <is>
          <t>VÄRMLANDS LÄN</t>
        </is>
      </c>
      <c r="E1886" t="inlineStr">
        <is>
          <t>TORSBY</t>
        </is>
      </c>
      <c r="F1886" t="inlineStr">
        <is>
          <t>Bergvik skog väst AB</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54223-2023</t>
        </is>
      </c>
      <c r="B1887" s="1" t="n">
        <v>45232</v>
      </c>
      <c r="C1887" s="1" t="n">
        <v>45711</v>
      </c>
      <c r="D1887" t="inlineStr">
        <is>
          <t>VÄRMLANDS LÄN</t>
        </is>
      </c>
      <c r="E1887" t="inlineStr">
        <is>
          <t>TORSBY</t>
        </is>
      </c>
      <c r="F1887" t="inlineStr">
        <is>
          <t>Bergvik skog väst AB</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54191-2023</t>
        </is>
      </c>
      <c r="B1888" s="1" t="n">
        <v>45232</v>
      </c>
      <c r="C1888" s="1" t="n">
        <v>45711</v>
      </c>
      <c r="D1888" t="inlineStr">
        <is>
          <t>VÄRMLANDS LÄN</t>
        </is>
      </c>
      <c r="E1888" t="inlineStr">
        <is>
          <t>TORSBY</t>
        </is>
      </c>
      <c r="F1888" t="inlineStr">
        <is>
          <t>Bergvik skog väst AB</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54204-2023</t>
        </is>
      </c>
      <c r="B1889" s="1" t="n">
        <v>45232</v>
      </c>
      <c r="C1889" s="1" t="n">
        <v>45711</v>
      </c>
      <c r="D1889" t="inlineStr">
        <is>
          <t>VÄRMLANDS LÄN</t>
        </is>
      </c>
      <c r="E1889" t="inlineStr">
        <is>
          <t>TORSBY</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54556-2023</t>
        </is>
      </c>
      <c r="B1890" s="1" t="n">
        <v>45233</v>
      </c>
      <c r="C1890" s="1" t="n">
        <v>45711</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54551-2023</t>
        </is>
      </c>
      <c r="B1891" s="1" t="n">
        <v>45233</v>
      </c>
      <c r="C1891" s="1" t="n">
        <v>45711</v>
      </c>
      <c r="D1891" t="inlineStr">
        <is>
          <t>VÄRMLANDS LÄN</t>
        </is>
      </c>
      <c r="E1891" t="inlineStr">
        <is>
          <t>TORSBY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54442-2023</t>
        </is>
      </c>
      <c r="B1892" s="1" t="n">
        <v>45233</v>
      </c>
      <c r="C1892" s="1" t="n">
        <v>45711</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54386-2023</t>
        </is>
      </c>
      <c r="B1893" s="1" t="n">
        <v>45233</v>
      </c>
      <c r="C1893" s="1" t="n">
        <v>45711</v>
      </c>
      <c r="D1893" t="inlineStr">
        <is>
          <t>VÄRMLANDS LÄN</t>
        </is>
      </c>
      <c r="E1893" t="inlineStr">
        <is>
          <t>TORSBY</t>
        </is>
      </c>
      <c r="F1893" t="inlineStr">
        <is>
          <t>Bergvik skog väst AB</t>
        </is>
      </c>
      <c r="G1893" t="n">
        <v>12.6</v>
      </c>
      <c r="H1893" t="n">
        <v>0</v>
      </c>
      <c r="I1893" t="n">
        <v>0</v>
      </c>
      <c r="J1893" t="n">
        <v>0</v>
      </c>
      <c r="K1893" t="n">
        <v>0</v>
      </c>
      <c r="L1893" t="n">
        <v>0</v>
      </c>
      <c r="M1893" t="n">
        <v>0</v>
      </c>
      <c r="N1893" t="n">
        <v>0</v>
      </c>
      <c r="O1893" t="n">
        <v>0</v>
      </c>
      <c r="P1893" t="n">
        <v>0</v>
      </c>
      <c r="Q1893" t="n">
        <v>0</v>
      </c>
      <c r="R1893" s="2" t="inlineStr"/>
    </row>
    <row r="1894" ht="15" customHeight="1">
      <c r="A1894" t="inlineStr">
        <is>
          <t>A 54528-2023</t>
        </is>
      </c>
      <c r="B1894" s="1" t="n">
        <v>45233</v>
      </c>
      <c r="C1894" s="1" t="n">
        <v>45711</v>
      </c>
      <c r="D1894" t="inlineStr">
        <is>
          <t>VÄRMLANDS LÄN</t>
        </is>
      </c>
      <c r="E1894" t="inlineStr">
        <is>
          <t>TORSBY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54562-2023</t>
        </is>
      </c>
      <c r="B1895" s="1" t="n">
        <v>45233</v>
      </c>
      <c r="C1895" s="1" t="n">
        <v>45711</v>
      </c>
      <c r="D1895" t="inlineStr">
        <is>
          <t>VÄRMLANDS LÄN</t>
        </is>
      </c>
      <c r="E1895" t="inlineStr">
        <is>
          <t>TORSBY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54532-2023</t>
        </is>
      </c>
      <c r="B1896" s="1" t="n">
        <v>45233</v>
      </c>
      <c r="C1896" s="1" t="n">
        <v>45711</v>
      </c>
      <c r="D1896" t="inlineStr">
        <is>
          <t>VÄRMLANDS LÄN</t>
        </is>
      </c>
      <c r="E1896" t="inlineStr">
        <is>
          <t>TORSBY</t>
        </is>
      </c>
      <c r="F1896" t="inlineStr">
        <is>
          <t>Bergvik skog väst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54525-2023</t>
        </is>
      </c>
      <c r="B1897" s="1" t="n">
        <v>45233</v>
      </c>
      <c r="C1897" s="1" t="n">
        <v>45711</v>
      </c>
      <c r="D1897" t="inlineStr">
        <is>
          <t>VÄRMLANDS LÄN</t>
        </is>
      </c>
      <c r="E1897" t="inlineStr">
        <is>
          <t>TORSBY</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54487-2023</t>
        </is>
      </c>
      <c r="B1898" s="1" t="n">
        <v>45233</v>
      </c>
      <c r="C1898" s="1" t="n">
        <v>45711</v>
      </c>
      <c r="D1898" t="inlineStr">
        <is>
          <t>VÄRMLANDS LÄN</t>
        </is>
      </c>
      <c r="E1898" t="inlineStr">
        <is>
          <t>TORSBY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54409-2023</t>
        </is>
      </c>
      <c r="B1899" s="1" t="n">
        <v>45233</v>
      </c>
      <c r="C1899" s="1" t="n">
        <v>45711</v>
      </c>
      <c r="D1899" t="inlineStr">
        <is>
          <t>VÄRMLANDS LÄN</t>
        </is>
      </c>
      <c r="E1899" t="inlineStr">
        <is>
          <t>TORSBY</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54714-2023</t>
        </is>
      </c>
      <c r="B1900" s="1" t="n">
        <v>45236</v>
      </c>
      <c r="C1900" s="1" t="n">
        <v>45711</v>
      </c>
      <c r="D1900" t="inlineStr">
        <is>
          <t>VÄRMLANDS LÄN</t>
        </is>
      </c>
      <c r="E1900" t="inlineStr">
        <is>
          <t>TORSBY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54766-2023</t>
        </is>
      </c>
      <c r="B1901" s="1" t="n">
        <v>45236</v>
      </c>
      <c r="C1901" s="1" t="n">
        <v>45711</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54777-2023</t>
        </is>
      </c>
      <c r="B1902" s="1" t="n">
        <v>45236</v>
      </c>
      <c r="C1902" s="1" t="n">
        <v>45711</v>
      </c>
      <c r="D1902" t="inlineStr">
        <is>
          <t>VÄRMLANDS LÄN</t>
        </is>
      </c>
      <c r="E1902" t="inlineStr">
        <is>
          <t>TORSBY</t>
        </is>
      </c>
      <c r="F1902" t="inlineStr">
        <is>
          <t>Bergvik skog väst AB</t>
        </is>
      </c>
      <c r="G1902" t="n">
        <v>7.9</v>
      </c>
      <c r="H1902" t="n">
        <v>0</v>
      </c>
      <c r="I1902" t="n">
        <v>0</v>
      </c>
      <c r="J1902" t="n">
        <v>0</v>
      </c>
      <c r="K1902" t="n">
        <v>0</v>
      </c>
      <c r="L1902" t="n">
        <v>0</v>
      </c>
      <c r="M1902" t="n">
        <v>0</v>
      </c>
      <c r="N1902" t="n">
        <v>0</v>
      </c>
      <c r="O1902" t="n">
        <v>0</v>
      </c>
      <c r="P1902" t="n">
        <v>0</v>
      </c>
      <c r="Q1902" t="n">
        <v>0</v>
      </c>
      <c r="R1902" s="2" t="inlineStr"/>
    </row>
    <row r="1903" ht="15" customHeight="1">
      <c r="A1903" t="inlineStr">
        <is>
          <t>A 54876-2023</t>
        </is>
      </c>
      <c r="B1903" s="1" t="n">
        <v>45236</v>
      </c>
      <c r="C1903" s="1" t="n">
        <v>45711</v>
      </c>
      <c r="D1903" t="inlineStr">
        <is>
          <t>VÄRMLANDS LÄN</t>
        </is>
      </c>
      <c r="E1903" t="inlineStr">
        <is>
          <t>TORSBY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54708-2023</t>
        </is>
      </c>
      <c r="B1904" s="1" t="n">
        <v>45236</v>
      </c>
      <c r="C1904" s="1" t="n">
        <v>45711</v>
      </c>
      <c r="D1904" t="inlineStr">
        <is>
          <t>VÄRMLANDS LÄN</t>
        </is>
      </c>
      <c r="E1904" t="inlineStr">
        <is>
          <t>TORSBY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55031-2023</t>
        </is>
      </c>
      <c r="B1905" s="1" t="n">
        <v>45237</v>
      </c>
      <c r="C1905" s="1" t="n">
        <v>45711</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55100-2023</t>
        </is>
      </c>
      <c r="B1906" s="1" t="n">
        <v>45237</v>
      </c>
      <c r="C1906" s="1" t="n">
        <v>45711</v>
      </c>
      <c r="D1906" t="inlineStr">
        <is>
          <t>VÄRMLANDS LÄN</t>
        </is>
      </c>
      <c r="E1906" t="inlineStr">
        <is>
          <t>TORSBY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55401-2023</t>
        </is>
      </c>
      <c r="B1907" s="1" t="n">
        <v>45238</v>
      </c>
      <c r="C1907" s="1" t="n">
        <v>45711</v>
      </c>
      <c r="D1907" t="inlineStr">
        <is>
          <t>VÄRMLANDS LÄN</t>
        </is>
      </c>
      <c r="E1907" t="inlineStr">
        <is>
          <t>TORSBY</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55461-2023</t>
        </is>
      </c>
      <c r="B1908" s="1" t="n">
        <v>45238</v>
      </c>
      <c r="C1908" s="1" t="n">
        <v>45711</v>
      </c>
      <c r="D1908" t="inlineStr">
        <is>
          <t>VÄRMLANDS LÄN</t>
        </is>
      </c>
      <c r="E1908" t="inlineStr">
        <is>
          <t>TORSBY</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55480-2023</t>
        </is>
      </c>
      <c r="B1909" s="1" t="n">
        <v>45238</v>
      </c>
      <c r="C1909" s="1" t="n">
        <v>45711</v>
      </c>
      <c r="D1909" t="inlineStr">
        <is>
          <t>VÄRMLANDS LÄN</t>
        </is>
      </c>
      <c r="E1909" t="inlineStr">
        <is>
          <t>TORSBY</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55485-2023</t>
        </is>
      </c>
      <c r="B1910" s="1" t="n">
        <v>45238</v>
      </c>
      <c r="C1910" s="1" t="n">
        <v>45711</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55478-2023</t>
        </is>
      </c>
      <c r="B1911" s="1" t="n">
        <v>45238</v>
      </c>
      <c r="C1911" s="1" t="n">
        <v>45711</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55522-2023</t>
        </is>
      </c>
      <c r="B1912" s="1" t="n">
        <v>45238</v>
      </c>
      <c r="C1912" s="1" t="n">
        <v>45711</v>
      </c>
      <c r="D1912" t="inlineStr">
        <is>
          <t>VÄRMLANDS LÄN</t>
        </is>
      </c>
      <c r="E1912" t="inlineStr">
        <is>
          <t>TORSBY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55527-2023</t>
        </is>
      </c>
      <c r="B1913" s="1" t="n">
        <v>45238</v>
      </c>
      <c r="C1913" s="1" t="n">
        <v>45711</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56716-2023</t>
        </is>
      </c>
      <c r="B1914" s="1" t="n">
        <v>45238</v>
      </c>
      <c r="C1914" s="1" t="n">
        <v>45711</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56712-2023</t>
        </is>
      </c>
      <c r="B1915" s="1" t="n">
        <v>45238</v>
      </c>
      <c r="C1915" s="1" t="n">
        <v>45711</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55447-2023</t>
        </is>
      </c>
      <c r="B1916" s="1" t="n">
        <v>45238</v>
      </c>
      <c r="C1916" s="1" t="n">
        <v>45711</v>
      </c>
      <c r="D1916" t="inlineStr">
        <is>
          <t>VÄRMLANDS LÄN</t>
        </is>
      </c>
      <c r="E1916" t="inlineStr">
        <is>
          <t>TORSBY</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56714-2023</t>
        </is>
      </c>
      <c r="B1917" s="1" t="n">
        <v>45238</v>
      </c>
      <c r="C1917" s="1" t="n">
        <v>45711</v>
      </c>
      <c r="D1917" t="inlineStr">
        <is>
          <t>VÄRMLANDS LÄN</t>
        </is>
      </c>
      <c r="E1917" t="inlineStr">
        <is>
          <t>TORSBY</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55759-2023</t>
        </is>
      </c>
      <c r="B1918" s="1" t="n">
        <v>45239</v>
      </c>
      <c r="C1918" s="1" t="n">
        <v>45711</v>
      </c>
      <c r="D1918" t="inlineStr">
        <is>
          <t>VÄRMLANDS LÄN</t>
        </is>
      </c>
      <c r="E1918" t="inlineStr">
        <is>
          <t>TORSBY</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57092-2023</t>
        </is>
      </c>
      <c r="B1919" s="1" t="n">
        <v>45239</v>
      </c>
      <c r="C1919" s="1" t="n">
        <v>45711</v>
      </c>
      <c r="D1919" t="inlineStr">
        <is>
          <t>VÄRMLANDS LÄN</t>
        </is>
      </c>
      <c r="E1919" t="inlineStr">
        <is>
          <t>TORSBY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57091-2023</t>
        </is>
      </c>
      <c r="B1920" s="1" t="n">
        <v>45239</v>
      </c>
      <c r="C1920" s="1" t="n">
        <v>45711</v>
      </c>
      <c r="D1920" t="inlineStr">
        <is>
          <t>VÄRMLANDS LÄN</t>
        </is>
      </c>
      <c r="E1920" t="inlineStr">
        <is>
          <t>TORSBY</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56889-2023</t>
        </is>
      </c>
      <c r="B1921" s="1" t="n">
        <v>45239</v>
      </c>
      <c r="C1921" s="1" t="n">
        <v>45711</v>
      </c>
      <c r="D1921" t="inlineStr">
        <is>
          <t>VÄRMLANDS LÄN</t>
        </is>
      </c>
      <c r="E1921" t="inlineStr">
        <is>
          <t>TORSBY</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55727-2023</t>
        </is>
      </c>
      <c r="B1922" s="1" t="n">
        <v>45239</v>
      </c>
      <c r="C1922" s="1" t="n">
        <v>45711</v>
      </c>
      <c r="D1922" t="inlineStr">
        <is>
          <t>VÄRMLANDS LÄN</t>
        </is>
      </c>
      <c r="E1922" t="inlineStr">
        <is>
          <t>TORSBY</t>
        </is>
      </c>
      <c r="F1922" t="inlineStr">
        <is>
          <t>Bergvik skog väst AB</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56164-2023</t>
        </is>
      </c>
      <c r="B1923" s="1" t="n">
        <v>45240</v>
      </c>
      <c r="C1923" s="1" t="n">
        <v>45711</v>
      </c>
      <c r="D1923" t="inlineStr">
        <is>
          <t>VÄRMLANDS LÄN</t>
        </is>
      </c>
      <c r="E1923" t="inlineStr">
        <is>
          <t>TORSBY</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56170-2023</t>
        </is>
      </c>
      <c r="B1924" s="1" t="n">
        <v>45240</v>
      </c>
      <c r="C1924" s="1" t="n">
        <v>45711</v>
      </c>
      <c r="D1924" t="inlineStr">
        <is>
          <t>VÄRMLANDS LÄN</t>
        </is>
      </c>
      <c r="E1924" t="inlineStr">
        <is>
          <t>TORSBY</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56116-2023</t>
        </is>
      </c>
      <c r="B1925" s="1" t="n">
        <v>45240</v>
      </c>
      <c r="C1925" s="1" t="n">
        <v>45711</v>
      </c>
      <c r="D1925" t="inlineStr">
        <is>
          <t>VÄRMLANDS LÄN</t>
        </is>
      </c>
      <c r="E1925" t="inlineStr">
        <is>
          <t>TORSBY</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56021-2023</t>
        </is>
      </c>
      <c r="B1926" s="1" t="n">
        <v>45240</v>
      </c>
      <c r="C1926" s="1" t="n">
        <v>45711</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56426-2023</t>
        </is>
      </c>
      <c r="B1927" s="1" t="n">
        <v>45243</v>
      </c>
      <c r="C1927" s="1" t="n">
        <v>45711</v>
      </c>
      <c r="D1927" t="inlineStr">
        <is>
          <t>VÄRMLANDS LÄN</t>
        </is>
      </c>
      <c r="E1927" t="inlineStr">
        <is>
          <t>TORSBY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56724-2023</t>
        </is>
      </c>
      <c r="B1928" s="1" t="n">
        <v>45244</v>
      </c>
      <c r="C1928" s="1" t="n">
        <v>45711</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56880-2023</t>
        </is>
      </c>
      <c r="B1929" s="1" t="n">
        <v>45244</v>
      </c>
      <c r="C1929" s="1" t="n">
        <v>45711</v>
      </c>
      <c r="D1929" t="inlineStr">
        <is>
          <t>VÄRMLANDS LÄN</t>
        </is>
      </c>
      <c r="E1929" t="inlineStr">
        <is>
          <t>TORSBY</t>
        </is>
      </c>
      <c r="F1929" t="inlineStr">
        <is>
          <t>Övriga Aktiebolag</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56881-2023</t>
        </is>
      </c>
      <c r="B1930" s="1" t="n">
        <v>45244</v>
      </c>
      <c r="C1930" s="1" t="n">
        <v>45711</v>
      </c>
      <c r="D1930" t="inlineStr">
        <is>
          <t>VÄRMLANDS LÄN</t>
        </is>
      </c>
      <c r="E1930" t="inlineStr">
        <is>
          <t>TORSBY</t>
        </is>
      </c>
      <c r="F1930" t="inlineStr">
        <is>
          <t>Övriga Aktiebolag</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56875-2023</t>
        </is>
      </c>
      <c r="B1931" s="1" t="n">
        <v>45244</v>
      </c>
      <c r="C1931" s="1" t="n">
        <v>45711</v>
      </c>
      <c r="D1931" t="inlineStr">
        <is>
          <t>VÄRMLANDS LÄN</t>
        </is>
      </c>
      <c r="E1931" t="inlineStr">
        <is>
          <t>TORSBY</t>
        </is>
      </c>
      <c r="F1931" t="inlineStr">
        <is>
          <t>Övriga Aktiebolag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56811-2023</t>
        </is>
      </c>
      <c r="B1932" s="1" t="n">
        <v>45244</v>
      </c>
      <c r="C1932" s="1" t="n">
        <v>45711</v>
      </c>
      <c r="D1932" t="inlineStr">
        <is>
          <t>VÄRMLANDS LÄN</t>
        </is>
      </c>
      <c r="E1932" t="inlineStr">
        <is>
          <t>TORSBY</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56815-2023</t>
        </is>
      </c>
      <c r="B1933" s="1" t="n">
        <v>45244</v>
      </c>
      <c r="C1933" s="1" t="n">
        <v>45711</v>
      </c>
      <c r="D1933" t="inlineStr">
        <is>
          <t>VÄRMLANDS LÄN</t>
        </is>
      </c>
      <c r="E1933" t="inlineStr">
        <is>
          <t>TORSBY</t>
        </is>
      </c>
      <c r="G1933" t="n">
        <v>9.300000000000001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56902-2023</t>
        </is>
      </c>
      <c r="B1934" s="1" t="n">
        <v>45244</v>
      </c>
      <c r="C1934" s="1" t="n">
        <v>45711</v>
      </c>
      <c r="D1934" t="inlineStr">
        <is>
          <t>VÄRMLANDS LÄN</t>
        </is>
      </c>
      <c r="E1934" t="inlineStr">
        <is>
          <t>TORSBY</t>
        </is>
      </c>
      <c r="G1934" t="n">
        <v>17.4</v>
      </c>
      <c r="H1934" t="n">
        <v>0</v>
      </c>
      <c r="I1934" t="n">
        <v>0</v>
      </c>
      <c r="J1934" t="n">
        <v>0</v>
      </c>
      <c r="K1934" t="n">
        <v>0</v>
      </c>
      <c r="L1934" t="n">
        <v>0</v>
      </c>
      <c r="M1934" t="n">
        <v>0</v>
      </c>
      <c r="N1934" t="n">
        <v>0</v>
      </c>
      <c r="O1934" t="n">
        <v>0</v>
      </c>
      <c r="P1934" t="n">
        <v>0</v>
      </c>
      <c r="Q1934" t="n">
        <v>0</v>
      </c>
      <c r="R1934" s="2" t="inlineStr"/>
    </row>
    <row r="1935" ht="15" customHeight="1">
      <c r="A1935" t="inlineStr">
        <is>
          <t>A 56970-2023</t>
        </is>
      </c>
      <c r="B1935" s="1" t="n">
        <v>45244</v>
      </c>
      <c r="C1935" s="1" t="n">
        <v>45711</v>
      </c>
      <c r="D1935" t="inlineStr">
        <is>
          <t>VÄRMLANDS LÄN</t>
        </is>
      </c>
      <c r="E1935" t="inlineStr">
        <is>
          <t>TORSBY</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57017-2023</t>
        </is>
      </c>
      <c r="B1936" s="1" t="n">
        <v>45244</v>
      </c>
      <c r="C1936" s="1" t="n">
        <v>45711</v>
      </c>
      <c r="D1936" t="inlineStr">
        <is>
          <t>VÄRMLANDS LÄN</t>
        </is>
      </c>
      <c r="E1936" t="inlineStr">
        <is>
          <t>TORSBY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57117-2023</t>
        </is>
      </c>
      <c r="B1937" s="1" t="n">
        <v>45245</v>
      </c>
      <c r="C1937" s="1" t="n">
        <v>45711</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57143-2023</t>
        </is>
      </c>
      <c r="B1938" s="1" t="n">
        <v>45245</v>
      </c>
      <c r="C1938" s="1" t="n">
        <v>45711</v>
      </c>
      <c r="D1938" t="inlineStr">
        <is>
          <t>VÄRMLANDS LÄN</t>
        </is>
      </c>
      <c r="E1938" t="inlineStr">
        <is>
          <t>TORSBY</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57345-2023</t>
        </is>
      </c>
      <c r="B1939" s="1" t="n">
        <v>45245</v>
      </c>
      <c r="C1939" s="1" t="n">
        <v>45711</v>
      </c>
      <c r="D1939" t="inlineStr">
        <is>
          <t>VÄRMLANDS LÄN</t>
        </is>
      </c>
      <c r="E1939" t="inlineStr">
        <is>
          <t>TORSBY</t>
        </is>
      </c>
      <c r="F1939" t="inlineStr">
        <is>
          <t>Bergvik skog väst AB</t>
        </is>
      </c>
      <c r="G1939" t="n">
        <v>14.6</v>
      </c>
      <c r="H1939" t="n">
        <v>0</v>
      </c>
      <c r="I1939" t="n">
        <v>0</v>
      </c>
      <c r="J1939" t="n">
        <v>0</v>
      </c>
      <c r="K1939" t="n">
        <v>0</v>
      </c>
      <c r="L1939" t="n">
        <v>0</v>
      </c>
      <c r="M1939" t="n">
        <v>0</v>
      </c>
      <c r="N1939" t="n">
        <v>0</v>
      </c>
      <c r="O1939" t="n">
        <v>0</v>
      </c>
      <c r="P1939" t="n">
        <v>0</v>
      </c>
      <c r="Q1939" t="n">
        <v>0</v>
      </c>
      <c r="R1939" s="2" t="inlineStr"/>
    </row>
    <row r="1940" ht="15" customHeight="1">
      <c r="A1940" t="inlineStr">
        <is>
          <t>A 57135-2023</t>
        </is>
      </c>
      <c r="B1940" s="1" t="n">
        <v>45245</v>
      </c>
      <c r="C1940" s="1" t="n">
        <v>45711</v>
      </c>
      <c r="D1940" t="inlineStr">
        <is>
          <t>VÄRMLANDS LÄN</t>
        </is>
      </c>
      <c r="E1940" t="inlineStr">
        <is>
          <t>TORSBY</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57216-2023</t>
        </is>
      </c>
      <c r="B1941" s="1" t="n">
        <v>45245</v>
      </c>
      <c r="C1941" s="1" t="n">
        <v>45711</v>
      </c>
      <c r="D1941" t="inlineStr">
        <is>
          <t>VÄRMLANDS LÄN</t>
        </is>
      </c>
      <c r="E1941" t="inlineStr">
        <is>
          <t>TORSBY</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57538-2023</t>
        </is>
      </c>
      <c r="B1942" s="1" t="n">
        <v>45246</v>
      </c>
      <c r="C1942" s="1" t="n">
        <v>45711</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57547-2023</t>
        </is>
      </c>
      <c r="B1943" s="1" t="n">
        <v>45246</v>
      </c>
      <c r="C1943" s="1" t="n">
        <v>45711</v>
      </c>
      <c r="D1943" t="inlineStr">
        <is>
          <t>VÄRMLANDS LÄN</t>
        </is>
      </c>
      <c r="E1943" t="inlineStr">
        <is>
          <t>TORSBY</t>
        </is>
      </c>
      <c r="F1943" t="inlineStr">
        <is>
          <t>Bergvik skog väst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57569-2023</t>
        </is>
      </c>
      <c r="B1944" s="1" t="n">
        <v>45246</v>
      </c>
      <c r="C1944" s="1" t="n">
        <v>45711</v>
      </c>
      <c r="D1944" t="inlineStr">
        <is>
          <t>VÄRMLANDS LÄN</t>
        </is>
      </c>
      <c r="E1944" t="inlineStr">
        <is>
          <t>TORSBY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57647-2023</t>
        </is>
      </c>
      <c r="B1945" s="1" t="n">
        <v>45246</v>
      </c>
      <c r="C1945" s="1" t="n">
        <v>45711</v>
      </c>
      <c r="D1945" t="inlineStr">
        <is>
          <t>VÄRMLANDS LÄN</t>
        </is>
      </c>
      <c r="E1945" t="inlineStr">
        <is>
          <t>TORSBY</t>
        </is>
      </c>
      <c r="G1945" t="n">
        <v>10.3</v>
      </c>
      <c r="H1945" t="n">
        <v>0</v>
      </c>
      <c r="I1945" t="n">
        <v>0</v>
      </c>
      <c r="J1945" t="n">
        <v>0</v>
      </c>
      <c r="K1945" t="n">
        <v>0</v>
      </c>
      <c r="L1945" t="n">
        <v>0</v>
      </c>
      <c r="M1945" t="n">
        <v>0</v>
      </c>
      <c r="N1945" t="n">
        <v>0</v>
      </c>
      <c r="O1945" t="n">
        <v>0</v>
      </c>
      <c r="P1945" t="n">
        <v>0</v>
      </c>
      <c r="Q1945" t="n">
        <v>0</v>
      </c>
      <c r="R1945" s="2" t="inlineStr"/>
    </row>
    <row r="1946" ht="15" customHeight="1">
      <c r="A1946" t="inlineStr">
        <is>
          <t>A 57642-2023</t>
        </is>
      </c>
      <c r="B1946" s="1" t="n">
        <v>45246</v>
      </c>
      <c r="C1946" s="1" t="n">
        <v>45711</v>
      </c>
      <c r="D1946" t="inlineStr">
        <is>
          <t>VÄRMLANDS LÄN</t>
        </is>
      </c>
      <c r="E1946" t="inlineStr">
        <is>
          <t>TORSBY</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57921-2023</t>
        </is>
      </c>
      <c r="B1947" s="1" t="n">
        <v>45247</v>
      </c>
      <c r="C1947" s="1" t="n">
        <v>45711</v>
      </c>
      <c r="D1947" t="inlineStr">
        <is>
          <t>VÄRMLANDS LÄN</t>
        </is>
      </c>
      <c r="E1947" t="inlineStr">
        <is>
          <t>TORSBY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58013-2023</t>
        </is>
      </c>
      <c r="B1948" s="1" t="n">
        <v>45247</v>
      </c>
      <c r="C1948" s="1" t="n">
        <v>45711</v>
      </c>
      <c r="D1948" t="inlineStr">
        <is>
          <t>VÄRMLANDS LÄN</t>
        </is>
      </c>
      <c r="E1948" t="inlineStr">
        <is>
          <t>TORSBY</t>
        </is>
      </c>
      <c r="F1948" t="inlineStr">
        <is>
          <t>Bergvik skog väst AB</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57980-2023</t>
        </is>
      </c>
      <c r="B1949" s="1" t="n">
        <v>45247</v>
      </c>
      <c r="C1949" s="1" t="n">
        <v>45711</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57990-2023</t>
        </is>
      </c>
      <c r="B1950" s="1" t="n">
        <v>45247</v>
      </c>
      <c r="C1950" s="1" t="n">
        <v>45711</v>
      </c>
      <c r="D1950" t="inlineStr">
        <is>
          <t>VÄRMLANDS LÄN</t>
        </is>
      </c>
      <c r="E1950" t="inlineStr">
        <is>
          <t>TORSBY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58037-2023</t>
        </is>
      </c>
      <c r="B1951" s="1" t="n">
        <v>45247</v>
      </c>
      <c r="C1951" s="1" t="n">
        <v>45711</v>
      </c>
      <c r="D1951" t="inlineStr">
        <is>
          <t>VÄRMLANDS LÄN</t>
        </is>
      </c>
      <c r="E1951" t="inlineStr">
        <is>
          <t>TORSBY</t>
        </is>
      </c>
      <c r="F1951" t="inlineStr">
        <is>
          <t>Bergvik skog väst AB</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58600-2023</t>
        </is>
      </c>
      <c r="B1952" s="1" t="n">
        <v>45247</v>
      </c>
      <c r="C1952" s="1" t="n">
        <v>45711</v>
      </c>
      <c r="D1952" t="inlineStr">
        <is>
          <t>VÄRMLANDS LÄN</t>
        </is>
      </c>
      <c r="E1952" t="inlineStr">
        <is>
          <t>TORSBY</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58185-2023</t>
        </is>
      </c>
      <c r="B1953" s="1" t="n">
        <v>45250</v>
      </c>
      <c r="C1953" s="1" t="n">
        <v>45711</v>
      </c>
      <c r="D1953" t="inlineStr">
        <is>
          <t>VÄRMLANDS LÄN</t>
        </is>
      </c>
      <c r="E1953" t="inlineStr">
        <is>
          <t>TORSBY</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58386-2023</t>
        </is>
      </c>
      <c r="B1954" s="1" t="n">
        <v>45250</v>
      </c>
      <c r="C1954" s="1" t="n">
        <v>45711</v>
      </c>
      <c r="D1954" t="inlineStr">
        <is>
          <t>VÄRMLANDS LÄN</t>
        </is>
      </c>
      <c r="E1954" t="inlineStr">
        <is>
          <t>TORSBY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58430-2023</t>
        </is>
      </c>
      <c r="B1955" s="1" t="n">
        <v>45250</v>
      </c>
      <c r="C1955" s="1" t="n">
        <v>45711</v>
      </c>
      <c r="D1955" t="inlineStr">
        <is>
          <t>VÄRMLANDS LÄN</t>
        </is>
      </c>
      <c r="E1955" t="inlineStr">
        <is>
          <t>TORSBY</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58438-2023</t>
        </is>
      </c>
      <c r="B1956" s="1" t="n">
        <v>45250</v>
      </c>
      <c r="C1956" s="1" t="n">
        <v>45711</v>
      </c>
      <c r="D1956" t="inlineStr">
        <is>
          <t>VÄRMLANDS LÄN</t>
        </is>
      </c>
      <c r="E1956" t="inlineStr">
        <is>
          <t>TORSBY</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58394-2023</t>
        </is>
      </c>
      <c r="B1957" s="1" t="n">
        <v>45250</v>
      </c>
      <c r="C1957" s="1" t="n">
        <v>45711</v>
      </c>
      <c r="D1957" t="inlineStr">
        <is>
          <t>VÄRMLANDS LÄN</t>
        </is>
      </c>
      <c r="E1957" t="inlineStr">
        <is>
          <t>TORSBY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58235-2023</t>
        </is>
      </c>
      <c r="B1958" s="1" t="n">
        <v>45250</v>
      </c>
      <c r="C1958" s="1" t="n">
        <v>45711</v>
      </c>
      <c r="D1958" t="inlineStr">
        <is>
          <t>VÄRMLANDS LÄN</t>
        </is>
      </c>
      <c r="E1958" t="inlineStr">
        <is>
          <t>TORSBY</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58429-2023</t>
        </is>
      </c>
      <c r="B1959" s="1" t="n">
        <v>45250</v>
      </c>
      <c r="C1959" s="1" t="n">
        <v>45711</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58378-2023</t>
        </is>
      </c>
      <c r="B1960" s="1" t="n">
        <v>45250</v>
      </c>
      <c r="C1960" s="1" t="n">
        <v>45711</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58383-2023</t>
        </is>
      </c>
      <c r="B1961" s="1" t="n">
        <v>45250</v>
      </c>
      <c r="C1961" s="1" t="n">
        <v>45711</v>
      </c>
      <c r="D1961" t="inlineStr">
        <is>
          <t>VÄRMLANDS LÄN</t>
        </is>
      </c>
      <c r="E1961" t="inlineStr">
        <is>
          <t>TORSBY</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59256-2023</t>
        </is>
      </c>
      <c r="B1962" s="1" t="n">
        <v>45251</v>
      </c>
      <c r="C1962" s="1" t="n">
        <v>45711</v>
      </c>
      <c r="D1962" t="inlineStr">
        <is>
          <t>VÄRMLANDS LÄN</t>
        </is>
      </c>
      <c r="E1962" t="inlineStr">
        <is>
          <t>TORSBY</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59239-2023</t>
        </is>
      </c>
      <c r="B1963" s="1" t="n">
        <v>45253</v>
      </c>
      <c r="C1963" s="1" t="n">
        <v>45711</v>
      </c>
      <c r="D1963" t="inlineStr">
        <is>
          <t>VÄRMLANDS LÄN</t>
        </is>
      </c>
      <c r="E1963" t="inlineStr">
        <is>
          <t>TORSBY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59236-2023</t>
        </is>
      </c>
      <c r="B1964" s="1" t="n">
        <v>45253</v>
      </c>
      <c r="C1964" s="1" t="n">
        <v>45711</v>
      </c>
      <c r="D1964" t="inlineStr">
        <is>
          <t>VÄRMLANDS LÄN</t>
        </is>
      </c>
      <c r="E1964" t="inlineStr">
        <is>
          <t>TORSBY</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59488-2023</t>
        </is>
      </c>
      <c r="B1965" s="1" t="n">
        <v>45254</v>
      </c>
      <c r="C1965" s="1" t="n">
        <v>45711</v>
      </c>
      <c r="D1965" t="inlineStr">
        <is>
          <t>VÄRMLANDS LÄN</t>
        </is>
      </c>
      <c r="E1965" t="inlineStr">
        <is>
          <t>TORSBY</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59781-2023</t>
        </is>
      </c>
      <c r="B1966" s="1" t="n">
        <v>45257</v>
      </c>
      <c r="C1966" s="1" t="n">
        <v>45711</v>
      </c>
      <c r="D1966" t="inlineStr">
        <is>
          <t>VÄRMLANDS LÄN</t>
        </is>
      </c>
      <c r="E1966" t="inlineStr">
        <is>
          <t>TORSBY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59941-2023</t>
        </is>
      </c>
      <c r="B1967" s="1" t="n">
        <v>45257</v>
      </c>
      <c r="C1967" s="1" t="n">
        <v>45711</v>
      </c>
      <c r="D1967" t="inlineStr">
        <is>
          <t>VÄRMLANDS LÄN</t>
        </is>
      </c>
      <c r="E1967" t="inlineStr">
        <is>
          <t>TORSBY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59872-2023</t>
        </is>
      </c>
      <c r="B1968" s="1" t="n">
        <v>45257</v>
      </c>
      <c r="C1968" s="1" t="n">
        <v>45711</v>
      </c>
      <c r="D1968" t="inlineStr">
        <is>
          <t>VÄRMLANDS LÄN</t>
        </is>
      </c>
      <c r="E1968" t="inlineStr">
        <is>
          <t>TORSBY</t>
        </is>
      </c>
      <c r="F1968" t="inlineStr">
        <is>
          <t>Bergvik skog väst AB</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60058-2023</t>
        </is>
      </c>
      <c r="B1969" s="1" t="n">
        <v>45258</v>
      </c>
      <c r="C1969" s="1" t="n">
        <v>45711</v>
      </c>
      <c r="D1969" t="inlineStr">
        <is>
          <t>VÄRMLANDS LÄN</t>
        </is>
      </c>
      <c r="E1969" t="inlineStr">
        <is>
          <t>TORSBY</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60046-2023</t>
        </is>
      </c>
      <c r="B1970" s="1" t="n">
        <v>45258</v>
      </c>
      <c r="C1970" s="1" t="n">
        <v>45711</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60100-2023</t>
        </is>
      </c>
      <c r="B1971" s="1" t="n">
        <v>45258</v>
      </c>
      <c r="C1971" s="1" t="n">
        <v>45711</v>
      </c>
      <c r="D1971" t="inlineStr">
        <is>
          <t>VÄRMLANDS LÄN</t>
        </is>
      </c>
      <c r="E1971" t="inlineStr">
        <is>
          <t>TORSBY</t>
        </is>
      </c>
      <c r="F1971" t="inlineStr">
        <is>
          <t>Bergvik skog väst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60088-2023</t>
        </is>
      </c>
      <c r="B1972" s="1" t="n">
        <v>45258</v>
      </c>
      <c r="C1972" s="1" t="n">
        <v>45711</v>
      </c>
      <c r="D1972" t="inlineStr">
        <is>
          <t>VÄRMLANDS LÄN</t>
        </is>
      </c>
      <c r="E1972" t="inlineStr">
        <is>
          <t>TORSBY</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60133-2023</t>
        </is>
      </c>
      <c r="B1973" s="1" t="n">
        <v>45258</v>
      </c>
      <c r="C1973" s="1" t="n">
        <v>45711</v>
      </c>
      <c r="D1973" t="inlineStr">
        <is>
          <t>VÄRMLANDS LÄN</t>
        </is>
      </c>
      <c r="E1973" t="inlineStr">
        <is>
          <t>TORSBY</t>
        </is>
      </c>
      <c r="F1973" t="inlineStr">
        <is>
          <t>Bergvik skog väst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60314-2023</t>
        </is>
      </c>
      <c r="B1974" s="1" t="n">
        <v>45258</v>
      </c>
      <c r="C1974" s="1" t="n">
        <v>45711</v>
      </c>
      <c r="D1974" t="inlineStr">
        <is>
          <t>VÄRMLANDS LÄN</t>
        </is>
      </c>
      <c r="E1974" t="inlineStr">
        <is>
          <t>TORSBY</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60523-2023</t>
        </is>
      </c>
      <c r="B1975" s="1" t="n">
        <v>45259</v>
      </c>
      <c r="C1975" s="1" t="n">
        <v>45711</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60486-2023</t>
        </is>
      </c>
      <c r="B1976" s="1" t="n">
        <v>45259</v>
      </c>
      <c r="C1976" s="1" t="n">
        <v>45711</v>
      </c>
      <c r="D1976" t="inlineStr">
        <is>
          <t>VÄRMLANDS LÄN</t>
        </is>
      </c>
      <c r="E1976" t="inlineStr">
        <is>
          <t>TORSBY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60525-2023</t>
        </is>
      </c>
      <c r="B1977" s="1" t="n">
        <v>45259</v>
      </c>
      <c r="C1977" s="1" t="n">
        <v>45711</v>
      </c>
      <c r="D1977" t="inlineStr">
        <is>
          <t>VÄRMLANDS LÄN</t>
        </is>
      </c>
      <c r="E1977" t="inlineStr">
        <is>
          <t>TORSBY</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61157-2023</t>
        </is>
      </c>
      <c r="B1978" s="1" t="n">
        <v>45262</v>
      </c>
      <c r="C1978" s="1" t="n">
        <v>45711</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61164-2023</t>
        </is>
      </c>
      <c r="B1979" s="1" t="n">
        <v>45262</v>
      </c>
      <c r="C1979" s="1" t="n">
        <v>45711</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61229-2023</t>
        </is>
      </c>
      <c r="B1980" s="1" t="n">
        <v>45264</v>
      </c>
      <c r="C1980" s="1" t="n">
        <v>45711</v>
      </c>
      <c r="D1980" t="inlineStr">
        <is>
          <t>VÄRMLANDS LÄN</t>
        </is>
      </c>
      <c r="E1980" t="inlineStr">
        <is>
          <t>TORSBY</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61256-2023</t>
        </is>
      </c>
      <c r="B1981" s="1" t="n">
        <v>45264</v>
      </c>
      <c r="C1981" s="1" t="n">
        <v>45711</v>
      </c>
      <c r="D1981" t="inlineStr">
        <is>
          <t>VÄRMLANDS LÄN</t>
        </is>
      </c>
      <c r="E1981" t="inlineStr">
        <is>
          <t>TORSBY</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61370-2023</t>
        </is>
      </c>
      <c r="B1982" s="1" t="n">
        <v>45264</v>
      </c>
      <c r="C1982" s="1" t="n">
        <v>45711</v>
      </c>
      <c r="D1982" t="inlineStr">
        <is>
          <t>VÄRMLANDS LÄN</t>
        </is>
      </c>
      <c r="E1982" t="inlineStr">
        <is>
          <t>TORSBY</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61923-2023</t>
        </is>
      </c>
      <c r="B1983" s="1" t="n">
        <v>45266</v>
      </c>
      <c r="C1983" s="1" t="n">
        <v>45711</v>
      </c>
      <c r="D1983" t="inlineStr">
        <is>
          <t>VÄRMLANDS LÄN</t>
        </is>
      </c>
      <c r="E1983" t="inlineStr">
        <is>
          <t>TORSBY</t>
        </is>
      </c>
      <c r="F1983" t="inlineStr">
        <is>
          <t>Kommuner</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61921-2023</t>
        </is>
      </c>
      <c r="B1984" s="1" t="n">
        <v>45266</v>
      </c>
      <c r="C1984" s="1" t="n">
        <v>45711</v>
      </c>
      <c r="D1984" t="inlineStr">
        <is>
          <t>VÄRMLANDS LÄN</t>
        </is>
      </c>
      <c r="E1984" t="inlineStr">
        <is>
          <t>TORSBY</t>
        </is>
      </c>
      <c r="F1984" t="inlineStr">
        <is>
          <t>Kommuner</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62037-2023</t>
        </is>
      </c>
      <c r="B1985" s="1" t="n">
        <v>45266</v>
      </c>
      <c r="C1985" s="1" t="n">
        <v>45711</v>
      </c>
      <c r="D1985" t="inlineStr">
        <is>
          <t>VÄRMLANDS LÄN</t>
        </is>
      </c>
      <c r="E1985" t="inlineStr">
        <is>
          <t>TORSBY</t>
        </is>
      </c>
      <c r="F1985" t="inlineStr">
        <is>
          <t>Bergvik skog väst AB</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62258-2023</t>
        </is>
      </c>
      <c r="B1986" s="1" t="n">
        <v>45266</v>
      </c>
      <c r="C1986" s="1" t="n">
        <v>45711</v>
      </c>
      <c r="D1986" t="inlineStr">
        <is>
          <t>VÄRMLANDS LÄN</t>
        </is>
      </c>
      <c r="E1986" t="inlineStr">
        <is>
          <t>TORSBY</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62250-2023</t>
        </is>
      </c>
      <c r="B1987" s="1" t="n">
        <v>45266</v>
      </c>
      <c r="C1987" s="1" t="n">
        <v>45711</v>
      </c>
      <c r="D1987" t="inlineStr">
        <is>
          <t>VÄRMLANDS LÄN</t>
        </is>
      </c>
      <c r="E1987" t="inlineStr">
        <is>
          <t>TORSBY</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62274-2023</t>
        </is>
      </c>
      <c r="B1988" s="1" t="n">
        <v>45267</v>
      </c>
      <c r="C1988" s="1" t="n">
        <v>45711</v>
      </c>
      <c r="D1988" t="inlineStr">
        <is>
          <t>VÄRMLANDS LÄN</t>
        </is>
      </c>
      <c r="E1988" t="inlineStr">
        <is>
          <t>TORSBY</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62168-2023</t>
        </is>
      </c>
      <c r="B1989" s="1" t="n">
        <v>45267</v>
      </c>
      <c r="C1989" s="1" t="n">
        <v>45711</v>
      </c>
      <c r="D1989" t="inlineStr">
        <is>
          <t>VÄRMLANDS LÄN</t>
        </is>
      </c>
      <c r="E1989" t="inlineStr">
        <is>
          <t>TORSBY</t>
        </is>
      </c>
      <c r="F1989" t="inlineStr">
        <is>
          <t>Kommuner</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62210-2023</t>
        </is>
      </c>
      <c r="B1990" s="1" t="n">
        <v>45267</v>
      </c>
      <c r="C1990" s="1" t="n">
        <v>45711</v>
      </c>
      <c r="D1990" t="inlineStr">
        <is>
          <t>VÄRMLANDS LÄN</t>
        </is>
      </c>
      <c r="E1990" t="inlineStr">
        <is>
          <t>TORSBY</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62236-2023</t>
        </is>
      </c>
      <c r="B1991" s="1" t="n">
        <v>45267</v>
      </c>
      <c r="C1991" s="1" t="n">
        <v>45711</v>
      </c>
      <c r="D1991" t="inlineStr">
        <is>
          <t>VÄRMLANDS LÄN</t>
        </is>
      </c>
      <c r="E1991" t="inlineStr">
        <is>
          <t>TORSBY</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62240-2023</t>
        </is>
      </c>
      <c r="B1992" s="1" t="n">
        <v>45267</v>
      </c>
      <c r="C1992" s="1" t="n">
        <v>45711</v>
      </c>
      <c r="D1992" t="inlineStr">
        <is>
          <t>VÄRMLANDS LÄN</t>
        </is>
      </c>
      <c r="E1992" t="inlineStr">
        <is>
          <t>TORSBY</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62317-2023</t>
        </is>
      </c>
      <c r="B1993" s="1" t="n">
        <v>45267</v>
      </c>
      <c r="C1993" s="1" t="n">
        <v>45711</v>
      </c>
      <c r="D1993" t="inlineStr">
        <is>
          <t>VÄRMLANDS LÄN</t>
        </is>
      </c>
      <c r="E1993" t="inlineStr">
        <is>
          <t>TORSBY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62507-2023</t>
        </is>
      </c>
      <c r="B1994" s="1" t="n">
        <v>45267</v>
      </c>
      <c r="C1994" s="1" t="n">
        <v>45711</v>
      </c>
      <c r="D1994" t="inlineStr">
        <is>
          <t>VÄRMLANDS LÄN</t>
        </is>
      </c>
      <c r="E1994" t="inlineStr">
        <is>
          <t>TORSBY</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62387-2023</t>
        </is>
      </c>
      <c r="B1995" s="1" t="n">
        <v>45268</v>
      </c>
      <c r="C1995" s="1" t="n">
        <v>45711</v>
      </c>
      <c r="D1995" t="inlineStr">
        <is>
          <t>VÄRMLANDS LÄN</t>
        </is>
      </c>
      <c r="E1995" t="inlineStr">
        <is>
          <t>TORSBY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62445-2023</t>
        </is>
      </c>
      <c r="B1996" s="1" t="n">
        <v>45268</v>
      </c>
      <c r="C1996" s="1" t="n">
        <v>45711</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62510-2023</t>
        </is>
      </c>
      <c r="B1997" s="1" t="n">
        <v>45268</v>
      </c>
      <c r="C1997" s="1" t="n">
        <v>45711</v>
      </c>
      <c r="D1997" t="inlineStr">
        <is>
          <t>VÄRMLANDS LÄN</t>
        </is>
      </c>
      <c r="E1997" t="inlineStr">
        <is>
          <t>TORSBY</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62618-2023</t>
        </is>
      </c>
      <c r="B1998" s="1" t="n">
        <v>45271</v>
      </c>
      <c r="C1998" s="1" t="n">
        <v>45711</v>
      </c>
      <c r="D1998" t="inlineStr">
        <is>
          <t>VÄRMLANDS LÄN</t>
        </is>
      </c>
      <c r="E1998" t="inlineStr">
        <is>
          <t>TORSBY</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62957-2023</t>
        </is>
      </c>
      <c r="B1999" s="1" t="n">
        <v>45271</v>
      </c>
      <c r="C1999" s="1" t="n">
        <v>45711</v>
      </c>
      <c r="D1999" t="inlineStr">
        <is>
          <t>VÄRMLANDS LÄN</t>
        </is>
      </c>
      <c r="E1999" t="inlineStr">
        <is>
          <t>TORSBY</t>
        </is>
      </c>
      <c r="F1999" t="inlineStr">
        <is>
          <t>Övriga statliga verk och myndigheter</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62950-2023</t>
        </is>
      </c>
      <c r="B2000" s="1" t="n">
        <v>45271</v>
      </c>
      <c r="C2000" s="1" t="n">
        <v>45711</v>
      </c>
      <c r="D2000" t="inlineStr">
        <is>
          <t>VÄRMLANDS LÄN</t>
        </is>
      </c>
      <c r="E2000" t="inlineStr">
        <is>
          <t>TORSBY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63030-2023</t>
        </is>
      </c>
      <c r="B2001" s="1" t="n">
        <v>45272</v>
      </c>
      <c r="C2001" s="1" t="n">
        <v>45711</v>
      </c>
      <c r="D2001" t="inlineStr">
        <is>
          <t>VÄRMLANDS LÄN</t>
        </is>
      </c>
      <c r="E2001" t="inlineStr">
        <is>
          <t>TORSBY</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63031-2023</t>
        </is>
      </c>
      <c r="B2002" s="1" t="n">
        <v>45272</v>
      </c>
      <c r="C2002" s="1" t="n">
        <v>45711</v>
      </c>
      <c r="D2002" t="inlineStr">
        <is>
          <t>VÄRMLANDS LÄN</t>
        </is>
      </c>
      <c r="E2002" t="inlineStr">
        <is>
          <t>TORSBY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63028-2023</t>
        </is>
      </c>
      <c r="B2003" s="1" t="n">
        <v>45272</v>
      </c>
      <c r="C2003" s="1" t="n">
        <v>45711</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63032-2023</t>
        </is>
      </c>
      <c r="B2004" s="1" t="n">
        <v>45272</v>
      </c>
      <c r="C2004" s="1" t="n">
        <v>45711</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63177-2023</t>
        </is>
      </c>
      <c r="B2005" s="1" t="n">
        <v>45272</v>
      </c>
      <c r="C2005" s="1" t="n">
        <v>45711</v>
      </c>
      <c r="D2005" t="inlineStr">
        <is>
          <t>VÄRMLANDS LÄN</t>
        </is>
      </c>
      <c r="E2005" t="inlineStr">
        <is>
          <t>TORSBY</t>
        </is>
      </c>
      <c r="G2005" t="n">
        <v>14.9</v>
      </c>
      <c r="H2005" t="n">
        <v>0</v>
      </c>
      <c r="I2005" t="n">
        <v>0</v>
      </c>
      <c r="J2005" t="n">
        <v>0</v>
      </c>
      <c r="K2005" t="n">
        <v>0</v>
      </c>
      <c r="L2005" t="n">
        <v>0</v>
      </c>
      <c r="M2005" t="n">
        <v>0</v>
      </c>
      <c r="N2005" t="n">
        <v>0</v>
      </c>
      <c r="O2005" t="n">
        <v>0</v>
      </c>
      <c r="P2005" t="n">
        <v>0</v>
      </c>
      <c r="Q2005" t="n">
        <v>0</v>
      </c>
      <c r="R2005" s="2" t="inlineStr"/>
    </row>
    <row r="2006" ht="15" customHeight="1">
      <c r="A2006" t="inlineStr">
        <is>
          <t>A 63160-2023</t>
        </is>
      </c>
      <c r="B2006" s="1" t="n">
        <v>45273</v>
      </c>
      <c r="C2006" s="1" t="n">
        <v>45711</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63146-2023</t>
        </is>
      </c>
      <c r="B2007" s="1" t="n">
        <v>45273</v>
      </c>
      <c r="C2007" s="1" t="n">
        <v>45711</v>
      </c>
      <c r="D2007" t="inlineStr">
        <is>
          <t>VÄRMLANDS LÄN</t>
        </is>
      </c>
      <c r="E2007" t="inlineStr">
        <is>
          <t>TORSBY</t>
        </is>
      </c>
      <c r="F2007" t="inlineStr">
        <is>
          <t>Bergvik skog väst AB</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63266-2023</t>
        </is>
      </c>
      <c r="B2008" s="1" t="n">
        <v>45273</v>
      </c>
      <c r="C2008" s="1" t="n">
        <v>45711</v>
      </c>
      <c r="D2008" t="inlineStr">
        <is>
          <t>VÄRMLANDS LÄN</t>
        </is>
      </c>
      <c r="E2008" t="inlineStr">
        <is>
          <t>TORSBY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63083-2023</t>
        </is>
      </c>
      <c r="B2009" s="1" t="n">
        <v>45273</v>
      </c>
      <c r="C2009" s="1" t="n">
        <v>45711</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63244-2023</t>
        </is>
      </c>
      <c r="B2010" s="1" t="n">
        <v>45273</v>
      </c>
      <c r="C2010" s="1" t="n">
        <v>45711</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63158-2023</t>
        </is>
      </c>
      <c r="B2011" s="1" t="n">
        <v>45273</v>
      </c>
      <c r="C2011" s="1" t="n">
        <v>45711</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63363-2023</t>
        </is>
      </c>
      <c r="B2012" s="1" t="n">
        <v>45273</v>
      </c>
      <c r="C2012" s="1" t="n">
        <v>45711</v>
      </c>
      <c r="D2012" t="inlineStr">
        <is>
          <t>VÄRMLANDS LÄN</t>
        </is>
      </c>
      <c r="E2012" t="inlineStr">
        <is>
          <t>TORSBY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63399-2023</t>
        </is>
      </c>
      <c r="B2013" s="1" t="n">
        <v>45274</v>
      </c>
      <c r="C2013" s="1" t="n">
        <v>45711</v>
      </c>
      <c r="D2013" t="inlineStr">
        <is>
          <t>VÄRMLANDS LÄN</t>
        </is>
      </c>
      <c r="E2013" t="inlineStr">
        <is>
          <t>TORSBY</t>
        </is>
      </c>
      <c r="F2013" t="inlineStr">
        <is>
          <t>Bergvik skog väst AB</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63409-2023</t>
        </is>
      </c>
      <c r="B2014" s="1" t="n">
        <v>45274</v>
      </c>
      <c r="C2014" s="1" t="n">
        <v>45711</v>
      </c>
      <c r="D2014" t="inlineStr">
        <is>
          <t>VÄRMLANDS LÄN</t>
        </is>
      </c>
      <c r="E2014" t="inlineStr">
        <is>
          <t>TORSBY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63821-2023</t>
        </is>
      </c>
      <c r="B2015" s="1" t="n">
        <v>45275</v>
      </c>
      <c r="C2015" s="1" t="n">
        <v>45711</v>
      </c>
      <c r="D2015" t="inlineStr">
        <is>
          <t>VÄRMLANDS LÄN</t>
        </is>
      </c>
      <c r="E2015" t="inlineStr">
        <is>
          <t>TORSBY</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63820-2023</t>
        </is>
      </c>
      <c r="B2016" s="1" t="n">
        <v>45278</v>
      </c>
      <c r="C2016" s="1" t="n">
        <v>45711</v>
      </c>
      <c r="D2016" t="inlineStr">
        <is>
          <t>VÄRMLANDS LÄN</t>
        </is>
      </c>
      <c r="E2016" t="inlineStr">
        <is>
          <t>TORSBY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63866-2023</t>
        </is>
      </c>
      <c r="B2017" s="1" t="n">
        <v>45278</v>
      </c>
      <c r="C2017" s="1" t="n">
        <v>45711</v>
      </c>
      <c r="D2017" t="inlineStr">
        <is>
          <t>VÄRMLANDS LÄN</t>
        </is>
      </c>
      <c r="E2017" t="inlineStr">
        <is>
          <t>TORSBY</t>
        </is>
      </c>
      <c r="F2017" t="inlineStr">
        <is>
          <t>Bergvik skog väst AB</t>
        </is>
      </c>
      <c r="G2017" t="n">
        <v>58.2</v>
      </c>
      <c r="H2017" t="n">
        <v>0</v>
      </c>
      <c r="I2017" t="n">
        <v>0</v>
      </c>
      <c r="J2017" t="n">
        <v>0</v>
      </c>
      <c r="K2017" t="n">
        <v>0</v>
      </c>
      <c r="L2017" t="n">
        <v>0</v>
      </c>
      <c r="M2017" t="n">
        <v>0</v>
      </c>
      <c r="N2017" t="n">
        <v>0</v>
      </c>
      <c r="O2017" t="n">
        <v>0</v>
      </c>
      <c r="P2017" t="n">
        <v>0</v>
      </c>
      <c r="Q2017" t="n">
        <v>0</v>
      </c>
      <c r="R2017" s="2" t="inlineStr"/>
    </row>
    <row r="2018" ht="15" customHeight="1">
      <c r="A2018" t="inlineStr">
        <is>
          <t>A 63955-2023</t>
        </is>
      </c>
      <c r="B2018" s="1" t="n">
        <v>45278</v>
      </c>
      <c r="C2018" s="1" t="n">
        <v>45711</v>
      </c>
      <c r="D2018" t="inlineStr">
        <is>
          <t>VÄRMLANDS LÄN</t>
        </is>
      </c>
      <c r="E2018" t="inlineStr">
        <is>
          <t>TORSBY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63967-2023</t>
        </is>
      </c>
      <c r="B2019" s="1" t="n">
        <v>45278</v>
      </c>
      <c r="C2019" s="1" t="n">
        <v>45711</v>
      </c>
      <c r="D2019" t="inlineStr">
        <is>
          <t>VÄRMLANDS LÄN</t>
        </is>
      </c>
      <c r="E2019" t="inlineStr">
        <is>
          <t>TORSBY</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64162-2023</t>
        </is>
      </c>
      <c r="B2020" s="1" t="n">
        <v>45279</v>
      </c>
      <c r="C2020" s="1" t="n">
        <v>45711</v>
      </c>
      <c r="D2020" t="inlineStr">
        <is>
          <t>VÄRMLANDS LÄN</t>
        </is>
      </c>
      <c r="E2020" t="inlineStr">
        <is>
          <t>TORSBY</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64432-2023</t>
        </is>
      </c>
      <c r="B2021" s="1" t="n">
        <v>45280</v>
      </c>
      <c r="C2021" s="1" t="n">
        <v>45711</v>
      </c>
      <c r="D2021" t="inlineStr">
        <is>
          <t>VÄRMLANDS LÄN</t>
        </is>
      </c>
      <c r="E2021" t="inlineStr">
        <is>
          <t>TORSBY</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64389-2023</t>
        </is>
      </c>
      <c r="B2022" s="1" t="n">
        <v>45280</v>
      </c>
      <c r="C2022" s="1" t="n">
        <v>45711</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64454-2023</t>
        </is>
      </c>
      <c r="B2023" s="1" t="n">
        <v>45280</v>
      </c>
      <c r="C2023" s="1" t="n">
        <v>45711</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64395-2023</t>
        </is>
      </c>
      <c r="B2024" s="1" t="n">
        <v>45280</v>
      </c>
      <c r="C2024" s="1" t="n">
        <v>45711</v>
      </c>
      <c r="D2024" t="inlineStr">
        <is>
          <t>VÄRMLANDS LÄN</t>
        </is>
      </c>
      <c r="E2024" t="inlineStr">
        <is>
          <t>TORSBY</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64400-2023</t>
        </is>
      </c>
      <c r="B2025" s="1" t="n">
        <v>45280</v>
      </c>
      <c r="C2025" s="1" t="n">
        <v>45711</v>
      </c>
      <c r="D2025" t="inlineStr">
        <is>
          <t>VÄRMLANDS LÄN</t>
        </is>
      </c>
      <c r="E2025" t="inlineStr">
        <is>
          <t>TORSBY</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64429-2023</t>
        </is>
      </c>
      <c r="B2026" s="1" t="n">
        <v>45280</v>
      </c>
      <c r="C2026" s="1" t="n">
        <v>45711</v>
      </c>
      <c r="D2026" t="inlineStr">
        <is>
          <t>VÄRMLANDS LÄN</t>
        </is>
      </c>
      <c r="E2026" t="inlineStr">
        <is>
          <t>TORSBY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64590-2023</t>
        </is>
      </c>
      <c r="B2027" s="1" t="n">
        <v>45281</v>
      </c>
      <c r="C2027" s="1" t="n">
        <v>45711</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64602-2023</t>
        </is>
      </c>
      <c r="B2028" s="1" t="n">
        <v>45281</v>
      </c>
      <c r="C2028" s="1" t="n">
        <v>45711</v>
      </c>
      <c r="D2028" t="inlineStr">
        <is>
          <t>VÄRMLANDS LÄN</t>
        </is>
      </c>
      <c r="E2028" t="inlineStr">
        <is>
          <t>TORSBY</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64641-2023</t>
        </is>
      </c>
      <c r="B2029" s="1" t="n">
        <v>45281</v>
      </c>
      <c r="C2029" s="1" t="n">
        <v>45711</v>
      </c>
      <c r="D2029" t="inlineStr">
        <is>
          <t>VÄRMLANDS LÄN</t>
        </is>
      </c>
      <c r="E2029" t="inlineStr">
        <is>
          <t>TORSBY</t>
        </is>
      </c>
      <c r="F2029" t="inlineStr">
        <is>
          <t>Bergvik skog väst AB</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64671-2023</t>
        </is>
      </c>
      <c r="B2030" s="1" t="n">
        <v>45281</v>
      </c>
      <c r="C2030" s="1" t="n">
        <v>45711</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64664-2023</t>
        </is>
      </c>
      <c r="B2031" s="1" t="n">
        <v>45281</v>
      </c>
      <c r="C2031" s="1" t="n">
        <v>45711</v>
      </c>
      <c r="D2031" t="inlineStr">
        <is>
          <t>VÄRMLANDS LÄN</t>
        </is>
      </c>
      <c r="E2031" t="inlineStr">
        <is>
          <t>TORSBY</t>
        </is>
      </c>
      <c r="F2031" t="inlineStr">
        <is>
          <t>Bergvik skog väst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64672-2023</t>
        </is>
      </c>
      <c r="B2032" s="1" t="n">
        <v>45281</v>
      </c>
      <c r="C2032" s="1" t="n">
        <v>45711</v>
      </c>
      <c r="D2032" t="inlineStr">
        <is>
          <t>VÄRMLANDS LÄN</t>
        </is>
      </c>
      <c r="E2032" t="inlineStr">
        <is>
          <t>TORSBY</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64640-2023</t>
        </is>
      </c>
      <c r="B2033" s="1" t="n">
        <v>45281</v>
      </c>
      <c r="C2033" s="1" t="n">
        <v>45711</v>
      </c>
      <c r="D2033" t="inlineStr">
        <is>
          <t>VÄRMLANDS LÄN</t>
        </is>
      </c>
      <c r="E2033" t="inlineStr">
        <is>
          <t>TORSBY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65081-2023</t>
        </is>
      </c>
      <c r="B2034" s="1" t="n">
        <v>45288</v>
      </c>
      <c r="C2034" s="1" t="n">
        <v>45711</v>
      </c>
      <c r="D2034" t="inlineStr">
        <is>
          <t>VÄRMLANDS LÄN</t>
        </is>
      </c>
      <c r="E2034" t="inlineStr">
        <is>
          <t>TORSBY</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65134-2023</t>
        </is>
      </c>
      <c r="B2035" s="1" t="n">
        <v>45288</v>
      </c>
      <c r="C2035" s="1" t="n">
        <v>45711</v>
      </c>
      <c r="D2035" t="inlineStr">
        <is>
          <t>VÄRMLANDS LÄN</t>
        </is>
      </c>
      <c r="E2035" t="inlineStr">
        <is>
          <t>TORSBY</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65204-2023</t>
        </is>
      </c>
      <c r="B2036" s="1" t="n">
        <v>45289</v>
      </c>
      <c r="C2036" s="1" t="n">
        <v>45711</v>
      </c>
      <c r="D2036" t="inlineStr">
        <is>
          <t>VÄRMLANDS LÄN</t>
        </is>
      </c>
      <c r="E2036" t="inlineStr">
        <is>
          <t>TORSBY</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173-2024</t>
        </is>
      </c>
      <c r="B2037" s="1" t="n">
        <v>45294</v>
      </c>
      <c r="C2037" s="1" t="n">
        <v>45711</v>
      </c>
      <c r="D2037" t="inlineStr">
        <is>
          <t>VÄRMLANDS LÄN</t>
        </is>
      </c>
      <c r="E2037" t="inlineStr">
        <is>
          <t>TORSBY</t>
        </is>
      </c>
      <c r="F2037" t="inlineStr">
        <is>
          <t>Bergvik skog väst AB</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119-2024</t>
        </is>
      </c>
      <c r="B2038" s="1" t="n">
        <v>45294</v>
      </c>
      <c r="C2038" s="1" t="n">
        <v>45711</v>
      </c>
      <c r="D2038" t="inlineStr">
        <is>
          <t>VÄRMLANDS LÄN</t>
        </is>
      </c>
      <c r="E2038" t="inlineStr">
        <is>
          <t>TORSBY</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144-2024</t>
        </is>
      </c>
      <c r="B2039" s="1" t="n">
        <v>45294</v>
      </c>
      <c r="C2039" s="1" t="n">
        <v>45711</v>
      </c>
      <c r="D2039" t="inlineStr">
        <is>
          <t>VÄRMLANDS LÄN</t>
        </is>
      </c>
      <c r="E2039" t="inlineStr">
        <is>
          <t>TORSBY</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234-2024</t>
        </is>
      </c>
      <c r="B2040" s="1" t="n">
        <v>45294</v>
      </c>
      <c r="C2040" s="1" t="n">
        <v>45711</v>
      </c>
      <c r="D2040" t="inlineStr">
        <is>
          <t>VÄRMLANDS LÄN</t>
        </is>
      </c>
      <c r="E2040" t="inlineStr">
        <is>
          <t>TORSBY</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176-2024</t>
        </is>
      </c>
      <c r="B2041" s="1" t="n">
        <v>45294</v>
      </c>
      <c r="C2041" s="1" t="n">
        <v>45711</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235-2024</t>
        </is>
      </c>
      <c r="B2042" s="1" t="n">
        <v>45294</v>
      </c>
      <c r="C2042" s="1" t="n">
        <v>45711</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236-2024</t>
        </is>
      </c>
      <c r="B2043" s="1" t="n">
        <v>45294</v>
      </c>
      <c r="C2043" s="1" t="n">
        <v>45711</v>
      </c>
      <c r="D2043" t="inlineStr">
        <is>
          <t>VÄRMLANDS LÄN</t>
        </is>
      </c>
      <c r="E2043" t="inlineStr">
        <is>
          <t>TORSBY</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266-2024</t>
        </is>
      </c>
      <c r="B2044" s="1" t="n">
        <v>45295</v>
      </c>
      <c r="C2044" s="1" t="n">
        <v>45711</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276-2024</t>
        </is>
      </c>
      <c r="B2045" s="1" t="n">
        <v>45295</v>
      </c>
      <c r="C2045" s="1" t="n">
        <v>45711</v>
      </c>
      <c r="D2045" t="inlineStr">
        <is>
          <t>VÄRMLANDS LÄN</t>
        </is>
      </c>
      <c r="E2045" t="inlineStr">
        <is>
          <t>TORSBY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324-2024</t>
        </is>
      </c>
      <c r="B2046" s="1" t="n">
        <v>45295</v>
      </c>
      <c r="C2046" s="1" t="n">
        <v>45711</v>
      </c>
      <c r="D2046" t="inlineStr">
        <is>
          <t>VÄRMLANDS LÄN</t>
        </is>
      </c>
      <c r="E2046" t="inlineStr">
        <is>
          <t>TORSBY</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423-2024</t>
        </is>
      </c>
      <c r="B2047" s="1" t="n">
        <v>45296</v>
      </c>
      <c r="C2047" s="1" t="n">
        <v>45711</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502-2024</t>
        </is>
      </c>
      <c r="B2048" s="1" t="n">
        <v>45299</v>
      </c>
      <c r="C2048" s="1" t="n">
        <v>45711</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737-2024</t>
        </is>
      </c>
      <c r="B2049" s="1" t="n">
        <v>45300</v>
      </c>
      <c r="C2049" s="1" t="n">
        <v>45711</v>
      </c>
      <c r="D2049" t="inlineStr">
        <is>
          <t>VÄRMLANDS LÄN</t>
        </is>
      </c>
      <c r="E2049" t="inlineStr">
        <is>
          <t>TORSBY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714-2024</t>
        </is>
      </c>
      <c r="B2050" s="1" t="n">
        <v>45300</v>
      </c>
      <c r="C2050" s="1" t="n">
        <v>45711</v>
      </c>
      <c r="D2050" t="inlineStr">
        <is>
          <t>VÄRMLANDS LÄN</t>
        </is>
      </c>
      <c r="E2050" t="inlineStr">
        <is>
          <t>TORSBY</t>
        </is>
      </c>
      <c r="G2050" t="n">
        <v>18.1</v>
      </c>
      <c r="H2050" t="n">
        <v>0</v>
      </c>
      <c r="I2050" t="n">
        <v>0</v>
      </c>
      <c r="J2050" t="n">
        <v>0</v>
      </c>
      <c r="K2050" t="n">
        <v>0</v>
      </c>
      <c r="L2050" t="n">
        <v>0</v>
      </c>
      <c r="M2050" t="n">
        <v>0</v>
      </c>
      <c r="N2050" t="n">
        <v>0</v>
      </c>
      <c r="O2050" t="n">
        <v>0</v>
      </c>
      <c r="P2050" t="n">
        <v>0</v>
      </c>
      <c r="Q2050" t="n">
        <v>0</v>
      </c>
      <c r="R2050" s="2" t="inlineStr"/>
    </row>
    <row r="2051" ht="15" customHeight="1">
      <c r="A2051" t="inlineStr">
        <is>
          <t>A 731-2024</t>
        </is>
      </c>
      <c r="B2051" s="1" t="n">
        <v>45300</v>
      </c>
      <c r="C2051" s="1" t="n">
        <v>45711</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924-2024</t>
        </is>
      </c>
      <c r="B2052" s="1" t="n">
        <v>45301</v>
      </c>
      <c r="C2052" s="1" t="n">
        <v>45711</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869-2024</t>
        </is>
      </c>
      <c r="B2053" s="1" t="n">
        <v>45301</v>
      </c>
      <c r="C2053" s="1" t="n">
        <v>45711</v>
      </c>
      <c r="D2053" t="inlineStr">
        <is>
          <t>VÄRMLANDS LÄN</t>
        </is>
      </c>
      <c r="E2053" t="inlineStr">
        <is>
          <t>TORSBY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877-2024</t>
        </is>
      </c>
      <c r="B2054" s="1" t="n">
        <v>45301</v>
      </c>
      <c r="C2054" s="1" t="n">
        <v>45711</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1001-2024</t>
        </is>
      </c>
      <c r="B2055" s="1" t="n">
        <v>45301</v>
      </c>
      <c r="C2055" s="1" t="n">
        <v>45711</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894-2024</t>
        </is>
      </c>
      <c r="B2056" s="1" t="n">
        <v>45301</v>
      </c>
      <c r="C2056" s="1" t="n">
        <v>45711</v>
      </c>
      <c r="D2056" t="inlineStr">
        <is>
          <t>VÄRMLANDS LÄN</t>
        </is>
      </c>
      <c r="E2056" t="inlineStr">
        <is>
          <t>TORSBY</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1042-2024</t>
        </is>
      </c>
      <c r="B2057" s="1" t="n">
        <v>45301</v>
      </c>
      <c r="C2057" s="1" t="n">
        <v>45711</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1046-2024</t>
        </is>
      </c>
      <c r="B2058" s="1" t="n">
        <v>45301</v>
      </c>
      <c r="C2058" s="1" t="n">
        <v>45711</v>
      </c>
      <c r="D2058" t="inlineStr">
        <is>
          <t>VÄRMLANDS LÄN</t>
        </is>
      </c>
      <c r="E2058" t="inlineStr">
        <is>
          <t>TORSBY</t>
        </is>
      </c>
      <c r="G2058" t="n">
        <v>17.5</v>
      </c>
      <c r="H2058" t="n">
        <v>0</v>
      </c>
      <c r="I2058" t="n">
        <v>0</v>
      </c>
      <c r="J2058" t="n">
        <v>0</v>
      </c>
      <c r="K2058" t="n">
        <v>0</v>
      </c>
      <c r="L2058" t="n">
        <v>0</v>
      </c>
      <c r="M2058" t="n">
        <v>0</v>
      </c>
      <c r="N2058" t="n">
        <v>0</v>
      </c>
      <c r="O2058" t="n">
        <v>0</v>
      </c>
      <c r="P2058" t="n">
        <v>0</v>
      </c>
      <c r="Q2058" t="n">
        <v>0</v>
      </c>
      <c r="R2058" s="2" t="inlineStr"/>
    </row>
    <row r="2059" ht="15" customHeight="1">
      <c r="A2059" t="inlineStr">
        <is>
          <t>A 1041-2024</t>
        </is>
      </c>
      <c r="B2059" s="1" t="n">
        <v>45301</v>
      </c>
      <c r="C2059" s="1" t="n">
        <v>45711</v>
      </c>
      <c r="D2059" t="inlineStr">
        <is>
          <t>VÄRMLANDS LÄN</t>
        </is>
      </c>
      <c r="E2059" t="inlineStr">
        <is>
          <t>TORSBY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1040-2024</t>
        </is>
      </c>
      <c r="B2060" s="1" t="n">
        <v>45301</v>
      </c>
      <c r="C2060" s="1" t="n">
        <v>45711</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1080-2024</t>
        </is>
      </c>
      <c r="B2061" s="1" t="n">
        <v>45302</v>
      </c>
      <c r="C2061" s="1" t="n">
        <v>45711</v>
      </c>
      <c r="D2061" t="inlineStr">
        <is>
          <t>VÄRMLANDS LÄN</t>
        </is>
      </c>
      <c r="E2061" t="inlineStr">
        <is>
          <t>TORSBY</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1086-2024</t>
        </is>
      </c>
      <c r="B2062" s="1" t="n">
        <v>45302</v>
      </c>
      <c r="C2062" s="1" t="n">
        <v>45711</v>
      </c>
      <c r="D2062" t="inlineStr">
        <is>
          <t>VÄRMLANDS LÄN</t>
        </is>
      </c>
      <c r="E2062" t="inlineStr">
        <is>
          <t>TORSBY</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1091-2024</t>
        </is>
      </c>
      <c r="B2063" s="1" t="n">
        <v>45302</v>
      </c>
      <c r="C2063" s="1" t="n">
        <v>45711</v>
      </c>
      <c r="D2063" t="inlineStr">
        <is>
          <t>VÄRMLANDS LÄN</t>
        </is>
      </c>
      <c r="E2063" t="inlineStr">
        <is>
          <t>TORSBY</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1243-2024</t>
        </is>
      </c>
      <c r="B2064" s="1" t="n">
        <v>45302</v>
      </c>
      <c r="C2064" s="1" t="n">
        <v>45711</v>
      </c>
      <c r="D2064" t="inlineStr">
        <is>
          <t>VÄRMLANDS LÄN</t>
        </is>
      </c>
      <c r="E2064" t="inlineStr">
        <is>
          <t>TORSBY</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1154-2024</t>
        </is>
      </c>
      <c r="B2065" s="1" t="n">
        <v>45302</v>
      </c>
      <c r="C2065" s="1" t="n">
        <v>45711</v>
      </c>
      <c r="D2065" t="inlineStr">
        <is>
          <t>VÄRMLANDS LÄN</t>
        </is>
      </c>
      <c r="E2065" t="inlineStr">
        <is>
          <t>TORSBY</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1090-2024</t>
        </is>
      </c>
      <c r="B2066" s="1" t="n">
        <v>45302</v>
      </c>
      <c r="C2066" s="1" t="n">
        <v>45711</v>
      </c>
      <c r="D2066" t="inlineStr">
        <is>
          <t>VÄRMLANDS LÄN</t>
        </is>
      </c>
      <c r="E2066" t="inlineStr">
        <is>
          <t>TORSBY</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1094-2024</t>
        </is>
      </c>
      <c r="B2067" s="1" t="n">
        <v>45302</v>
      </c>
      <c r="C2067" s="1" t="n">
        <v>45711</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1232-2024</t>
        </is>
      </c>
      <c r="B2068" s="1" t="n">
        <v>45302</v>
      </c>
      <c r="C2068" s="1" t="n">
        <v>45711</v>
      </c>
      <c r="D2068" t="inlineStr">
        <is>
          <t>VÄRMLANDS LÄN</t>
        </is>
      </c>
      <c r="E2068" t="inlineStr">
        <is>
          <t>TORSBY</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1236-2024</t>
        </is>
      </c>
      <c r="B2069" s="1" t="n">
        <v>45302</v>
      </c>
      <c r="C2069" s="1" t="n">
        <v>45711</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1275-2024</t>
        </is>
      </c>
      <c r="B2070" s="1" t="n">
        <v>45302</v>
      </c>
      <c r="C2070" s="1" t="n">
        <v>45711</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1363-2024</t>
        </is>
      </c>
      <c r="B2071" s="1" t="n">
        <v>45303</v>
      </c>
      <c r="C2071" s="1" t="n">
        <v>45711</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1527-2024</t>
        </is>
      </c>
      <c r="B2072" s="1" t="n">
        <v>45306</v>
      </c>
      <c r="C2072" s="1" t="n">
        <v>45711</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1522-2024</t>
        </is>
      </c>
      <c r="B2073" s="1" t="n">
        <v>45306</v>
      </c>
      <c r="C2073" s="1" t="n">
        <v>45711</v>
      </c>
      <c r="D2073" t="inlineStr">
        <is>
          <t>VÄRMLANDS LÄN</t>
        </is>
      </c>
      <c r="E2073" t="inlineStr">
        <is>
          <t>TORSBY</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1547-2024</t>
        </is>
      </c>
      <c r="B2074" s="1" t="n">
        <v>45306</v>
      </c>
      <c r="C2074" s="1" t="n">
        <v>45711</v>
      </c>
      <c r="D2074" t="inlineStr">
        <is>
          <t>VÄRMLANDS LÄN</t>
        </is>
      </c>
      <c r="E2074" t="inlineStr">
        <is>
          <t>TORSBY</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1528-2024</t>
        </is>
      </c>
      <c r="B2075" s="1" t="n">
        <v>45306</v>
      </c>
      <c r="C2075" s="1" t="n">
        <v>45711</v>
      </c>
      <c r="D2075" t="inlineStr">
        <is>
          <t>VÄRMLANDS LÄN</t>
        </is>
      </c>
      <c r="E2075" t="inlineStr">
        <is>
          <t>TORSBY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1637-2024</t>
        </is>
      </c>
      <c r="B2076" s="1" t="n">
        <v>45306</v>
      </c>
      <c r="C2076" s="1" t="n">
        <v>45711</v>
      </c>
      <c r="D2076" t="inlineStr">
        <is>
          <t>VÄRMLANDS LÄN</t>
        </is>
      </c>
      <c r="E2076" t="inlineStr">
        <is>
          <t>TORSBY</t>
        </is>
      </c>
      <c r="G2076" t="n">
        <v>11.9</v>
      </c>
      <c r="H2076" t="n">
        <v>0</v>
      </c>
      <c r="I2076" t="n">
        <v>0</v>
      </c>
      <c r="J2076" t="n">
        <v>0</v>
      </c>
      <c r="K2076" t="n">
        <v>0</v>
      </c>
      <c r="L2076" t="n">
        <v>0</v>
      </c>
      <c r="M2076" t="n">
        <v>0</v>
      </c>
      <c r="N2076" t="n">
        <v>0</v>
      </c>
      <c r="O2076" t="n">
        <v>0</v>
      </c>
      <c r="P2076" t="n">
        <v>0</v>
      </c>
      <c r="Q2076" t="n">
        <v>0</v>
      </c>
      <c r="R2076" s="2" t="inlineStr"/>
    </row>
    <row r="2077" ht="15" customHeight="1">
      <c r="A2077" t="inlineStr">
        <is>
          <t>A 1608-2024</t>
        </is>
      </c>
      <c r="B2077" s="1" t="n">
        <v>45306</v>
      </c>
      <c r="C2077" s="1" t="n">
        <v>45711</v>
      </c>
      <c r="D2077" t="inlineStr">
        <is>
          <t>VÄRMLANDS LÄN</t>
        </is>
      </c>
      <c r="E2077" t="inlineStr">
        <is>
          <t>TORSBY</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1700-2024</t>
        </is>
      </c>
      <c r="B2078" s="1" t="n">
        <v>45307</v>
      </c>
      <c r="C2078" s="1" t="n">
        <v>45711</v>
      </c>
      <c r="D2078" t="inlineStr">
        <is>
          <t>VÄRMLANDS LÄN</t>
        </is>
      </c>
      <c r="E2078" t="inlineStr">
        <is>
          <t>TORSBY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1803-2024</t>
        </is>
      </c>
      <c r="B2079" s="1" t="n">
        <v>45307</v>
      </c>
      <c r="C2079" s="1" t="n">
        <v>45711</v>
      </c>
      <c r="D2079" t="inlineStr">
        <is>
          <t>VÄRMLANDS LÄN</t>
        </is>
      </c>
      <c r="E2079" t="inlineStr">
        <is>
          <t>TORSBY</t>
        </is>
      </c>
      <c r="G2079" t="n">
        <v>12.9</v>
      </c>
      <c r="H2079" t="n">
        <v>0</v>
      </c>
      <c r="I2079" t="n">
        <v>0</v>
      </c>
      <c r="J2079" t="n">
        <v>0</v>
      </c>
      <c r="K2079" t="n">
        <v>0</v>
      </c>
      <c r="L2079" t="n">
        <v>0</v>
      </c>
      <c r="M2079" t="n">
        <v>0</v>
      </c>
      <c r="N2079" t="n">
        <v>0</v>
      </c>
      <c r="O2079" t="n">
        <v>0</v>
      </c>
      <c r="P2079" t="n">
        <v>0</v>
      </c>
      <c r="Q2079" t="n">
        <v>0</v>
      </c>
      <c r="R2079" s="2" t="inlineStr"/>
    </row>
    <row r="2080" ht="15" customHeight="1">
      <c r="A2080" t="inlineStr">
        <is>
          <t>A 1757-2024</t>
        </is>
      </c>
      <c r="B2080" s="1" t="n">
        <v>45307</v>
      </c>
      <c r="C2080" s="1" t="n">
        <v>45711</v>
      </c>
      <c r="D2080" t="inlineStr">
        <is>
          <t>VÄRMLANDS LÄN</t>
        </is>
      </c>
      <c r="E2080" t="inlineStr">
        <is>
          <t>TORSBY</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1970-2024</t>
        </is>
      </c>
      <c r="B2081" s="1" t="n">
        <v>45308</v>
      </c>
      <c r="C2081" s="1" t="n">
        <v>45711</v>
      </c>
      <c r="D2081" t="inlineStr">
        <is>
          <t>VÄRMLANDS LÄN</t>
        </is>
      </c>
      <c r="E2081" t="inlineStr">
        <is>
          <t>TORSBY</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2155-2024</t>
        </is>
      </c>
      <c r="B2082" s="1" t="n">
        <v>45309</v>
      </c>
      <c r="C2082" s="1" t="n">
        <v>45711</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2130-2024</t>
        </is>
      </c>
      <c r="B2083" s="1" t="n">
        <v>45309</v>
      </c>
      <c r="C2083" s="1" t="n">
        <v>45711</v>
      </c>
      <c r="D2083" t="inlineStr">
        <is>
          <t>VÄRMLANDS LÄN</t>
        </is>
      </c>
      <c r="E2083" t="inlineStr">
        <is>
          <t>TORSBY</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2308-2024</t>
        </is>
      </c>
      <c r="B2084" s="1" t="n">
        <v>45310</v>
      </c>
      <c r="C2084" s="1" t="n">
        <v>45711</v>
      </c>
      <c r="D2084" t="inlineStr">
        <is>
          <t>VÄRMLANDS LÄN</t>
        </is>
      </c>
      <c r="E2084" t="inlineStr">
        <is>
          <t>TORSBY</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2328-2024</t>
        </is>
      </c>
      <c r="B2085" s="1" t="n">
        <v>45310</v>
      </c>
      <c r="C2085" s="1" t="n">
        <v>45711</v>
      </c>
      <c r="D2085" t="inlineStr">
        <is>
          <t>VÄRMLANDS LÄN</t>
        </is>
      </c>
      <c r="E2085" t="inlineStr">
        <is>
          <t>TORSBY</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2466-2024</t>
        </is>
      </c>
      <c r="B2086" s="1" t="n">
        <v>45313</v>
      </c>
      <c r="C2086" s="1" t="n">
        <v>45711</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2689-2024</t>
        </is>
      </c>
      <c r="B2087" s="1" t="n">
        <v>45314</v>
      </c>
      <c r="C2087" s="1" t="n">
        <v>45711</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2784-2024</t>
        </is>
      </c>
      <c r="B2088" s="1" t="n">
        <v>45314</v>
      </c>
      <c r="C2088" s="1" t="n">
        <v>45711</v>
      </c>
      <c r="D2088" t="inlineStr">
        <is>
          <t>VÄRMLANDS LÄN</t>
        </is>
      </c>
      <c r="E2088" t="inlineStr">
        <is>
          <t>TORSBY</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2662-2024</t>
        </is>
      </c>
      <c r="B2089" s="1" t="n">
        <v>45314</v>
      </c>
      <c r="C2089" s="1" t="n">
        <v>45711</v>
      </c>
      <c r="D2089" t="inlineStr">
        <is>
          <t>VÄRMLANDS LÄN</t>
        </is>
      </c>
      <c r="E2089" t="inlineStr">
        <is>
          <t>TORSBY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2870-2024</t>
        </is>
      </c>
      <c r="B2090" s="1" t="n">
        <v>45315</v>
      </c>
      <c r="C2090" s="1" t="n">
        <v>45711</v>
      </c>
      <c r="D2090" t="inlineStr">
        <is>
          <t>VÄRMLANDS LÄN</t>
        </is>
      </c>
      <c r="E2090" t="inlineStr">
        <is>
          <t>TORSBY</t>
        </is>
      </c>
      <c r="F2090" t="inlineStr">
        <is>
          <t>Bergvik skog väst AB</t>
        </is>
      </c>
      <c r="G2090" t="n">
        <v>16.6</v>
      </c>
      <c r="H2090" t="n">
        <v>0</v>
      </c>
      <c r="I2090" t="n">
        <v>0</v>
      </c>
      <c r="J2090" t="n">
        <v>0</v>
      </c>
      <c r="K2090" t="n">
        <v>0</v>
      </c>
      <c r="L2090" t="n">
        <v>0</v>
      </c>
      <c r="M2090" t="n">
        <v>0</v>
      </c>
      <c r="N2090" t="n">
        <v>0</v>
      </c>
      <c r="O2090" t="n">
        <v>0</v>
      </c>
      <c r="P2090" t="n">
        <v>0</v>
      </c>
      <c r="Q2090" t="n">
        <v>0</v>
      </c>
      <c r="R2090" s="2" t="inlineStr"/>
    </row>
    <row r="2091" ht="15" customHeight="1">
      <c r="A2091" t="inlineStr">
        <is>
          <t>A 3106-2024</t>
        </is>
      </c>
      <c r="B2091" s="1" t="n">
        <v>45316</v>
      </c>
      <c r="C2091" s="1" t="n">
        <v>45711</v>
      </c>
      <c r="D2091" t="inlineStr">
        <is>
          <t>VÄRMLANDS LÄN</t>
        </is>
      </c>
      <c r="E2091" t="inlineStr">
        <is>
          <t>TORSBY</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3069-2024</t>
        </is>
      </c>
      <c r="B2092" s="1" t="n">
        <v>45316</v>
      </c>
      <c r="C2092" s="1" t="n">
        <v>45711</v>
      </c>
      <c r="D2092" t="inlineStr">
        <is>
          <t>VÄRMLANDS LÄN</t>
        </is>
      </c>
      <c r="E2092" t="inlineStr">
        <is>
          <t>TORSBY</t>
        </is>
      </c>
      <c r="G2092" t="n">
        <v>14.8</v>
      </c>
      <c r="H2092" t="n">
        <v>0</v>
      </c>
      <c r="I2092" t="n">
        <v>0</v>
      </c>
      <c r="J2092" t="n">
        <v>0</v>
      </c>
      <c r="K2092" t="n">
        <v>0</v>
      </c>
      <c r="L2092" t="n">
        <v>0</v>
      </c>
      <c r="M2092" t="n">
        <v>0</v>
      </c>
      <c r="N2092" t="n">
        <v>0</v>
      </c>
      <c r="O2092" t="n">
        <v>0</v>
      </c>
      <c r="P2092" t="n">
        <v>0</v>
      </c>
      <c r="Q2092" t="n">
        <v>0</v>
      </c>
      <c r="R2092" s="2" t="inlineStr"/>
    </row>
    <row r="2093" ht="15" customHeight="1">
      <c r="A2093" t="inlineStr">
        <is>
          <t>A 3326-2024</t>
        </is>
      </c>
      <c r="B2093" s="1" t="n">
        <v>45317</v>
      </c>
      <c r="C2093" s="1" t="n">
        <v>45711</v>
      </c>
      <c r="D2093" t="inlineStr">
        <is>
          <t>VÄRMLANDS LÄN</t>
        </is>
      </c>
      <c r="E2093" t="inlineStr">
        <is>
          <t>TORSBY</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3298-2024</t>
        </is>
      </c>
      <c r="B2094" s="1" t="n">
        <v>45317</v>
      </c>
      <c r="C2094" s="1" t="n">
        <v>45711</v>
      </c>
      <c r="D2094" t="inlineStr">
        <is>
          <t>VÄRMLANDS LÄN</t>
        </is>
      </c>
      <c r="E2094" t="inlineStr">
        <is>
          <t>TORSBY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3331-2024</t>
        </is>
      </c>
      <c r="B2095" s="1" t="n">
        <v>45317</v>
      </c>
      <c r="C2095" s="1" t="n">
        <v>45711</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3591-2024</t>
        </is>
      </c>
      <c r="B2096" s="1" t="n">
        <v>45320</v>
      </c>
      <c r="C2096" s="1" t="n">
        <v>45711</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3479-2024</t>
        </is>
      </c>
      <c r="B2097" s="1" t="n">
        <v>45320</v>
      </c>
      <c r="C2097" s="1" t="n">
        <v>45711</v>
      </c>
      <c r="D2097" t="inlineStr">
        <is>
          <t>VÄRMLANDS LÄN</t>
        </is>
      </c>
      <c r="E2097" t="inlineStr">
        <is>
          <t>TORSBY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3536-2024</t>
        </is>
      </c>
      <c r="B2098" s="1" t="n">
        <v>45320</v>
      </c>
      <c r="C2098" s="1" t="n">
        <v>45711</v>
      </c>
      <c r="D2098" t="inlineStr">
        <is>
          <t>VÄRMLANDS LÄN</t>
        </is>
      </c>
      <c r="E2098" t="inlineStr">
        <is>
          <t>TORSBY</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3590-2024</t>
        </is>
      </c>
      <c r="B2099" s="1" t="n">
        <v>45320</v>
      </c>
      <c r="C2099" s="1" t="n">
        <v>45711</v>
      </c>
      <c r="D2099" t="inlineStr">
        <is>
          <t>VÄRMLANDS LÄN</t>
        </is>
      </c>
      <c r="E2099" t="inlineStr">
        <is>
          <t>TORSBY</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3608-2024</t>
        </is>
      </c>
      <c r="B2100" s="1" t="n">
        <v>45320</v>
      </c>
      <c r="C2100" s="1" t="n">
        <v>45711</v>
      </c>
      <c r="D2100" t="inlineStr">
        <is>
          <t>VÄRMLANDS LÄN</t>
        </is>
      </c>
      <c r="E2100" t="inlineStr">
        <is>
          <t>TORSBY</t>
        </is>
      </c>
      <c r="G2100" t="n">
        <v>20.2</v>
      </c>
      <c r="H2100" t="n">
        <v>0</v>
      </c>
      <c r="I2100" t="n">
        <v>0</v>
      </c>
      <c r="J2100" t="n">
        <v>0</v>
      </c>
      <c r="K2100" t="n">
        <v>0</v>
      </c>
      <c r="L2100" t="n">
        <v>0</v>
      </c>
      <c r="M2100" t="n">
        <v>0</v>
      </c>
      <c r="N2100" t="n">
        <v>0</v>
      </c>
      <c r="O2100" t="n">
        <v>0</v>
      </c>
      <c r="P2100" t="n">
        <v>0</v>
      </c>
      <c r="Q2100" t="n">
        <v>0</v>
      </c>
      <c r="R2100" s="2" t="inlineStr"/>
    </row>
    <row r="2101" ht="15" customHeight="1">
      <c r="A2101" t="inlineStr">
        <is>
          <t>A 3678-2024</t>
        </is>
      </c>
      <c r="B2101" s="1" t="n">
        <v>45321</v>
      </c>
      <c r="C2101" s="1" t="n">
        <v>45711</v>
      </c>
      <c r="D2101" t="inlineStr">
        <is>
          <t>VÄRMLANDS LÄN</t>
        </is>
      </c>
      <c r="E2101" t="inlineStr">
        <is>
          <t>TORSBY</t>
        </is>
      </c>
      <c r="G2101" t="n">
        <v>24.6</v>
      </c>
      <c r="H2101" t="n">
        <v>0</v>
      </c>
      <c r="I2101" t="n">
        <v>0</v>
      </c>
      <c r="J2101" t="n">
        <v>0</v>
      </c>
      <c r="K2101" t="n">
        <v>0</v>
      </c>
      <c r="L2101" t="n">
        <v>0</v>
      </c>
      <c r="M2101" t="n">
        <v>0</v>
      </c>
      <c r="N2101" t="n">
        <v>0</v>
      </c>
      <c r="O2101" t="n">
        <v>0</v>
      </c>
      <c r="P2101" t="n">
        <v>0</v>
      </c>
      <c r="Q2101" t="n">
        <v>0</v>
      </c>
      <c r="R2101" s="2" t="inlineStr"/>
    </row>
    <row r="2102" ht="15" customHeight="1">
      <c r="A2102" t="inlineStr">
        <is>
          <t>A 3672-2024</t>
        </is>
      </c>
      <c r="B2102" s="1" t="n">
        <v>45321</v>
      </c>
      <c r="C2102" s="1" t="n">
        <v>45711</v>
      </c>
      <c r="D2102" t="inlineStr">
        <is>
          <t>VÄRMLANDS LÄN</t>
        </is>
      </c>
      <c r="E2102" t="inlineStr">
        <is>
          <t>TORSBY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3720-2024</t>
        </is>
      </c>
      <c r="B2103" s="1" t="n">
        <v>45321</v>
      </c>
      <c r="C2103" s="1" t="n">
        <v>45711</v>
      </c>
      <c r="D2103" t="inlineStr">
        <is>
          <t>VÄRMLANDS LÄN</t>
        </is>
      </c>
      <c r="E2103" t="inlineStr">
        <is>
          <t>TORSBY</t>
        </is>
      </c>
      <c r="F2103" t="inlineStr">
        <is>
          <t>Bergvik skog väst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3724-2024</t>
        </is>
      </c>
      <c r="B2104" s="1" t="n">
        <v>45321</v>
      </c>
      <c r="C2104" s="1" t="n">
        <v>45711</v>
      </c>
      <c r="D2104" t="inlineStr">
        <is>
          <t>VÄRMLANDS LÄN</t>
        </is>
      </c>
      <c r="E2104" t="inlineStr">
        <is>
          <t>TORSBY</t>
        </is>
      </c>
      <c r="F2104" t="inlineStr">
        <is>
          <t>Bergvik skog väst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3673-2024</t>
        </is>
      </c>
      <c r="B2105" s="1" t="n">
        <v>45321</v>
      </c>
      <c r="C2105" s="1" t="n">
        <v>45711</v>
      </c>
      <c r="D2105" t="inlineStr">
        <is>
          <t>VÄRMLANDS LÄN</t>
        </is>
      </c>
      <c r="E2105" t="inlineStr">
        <is>
          <t>TORSBY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3750-2024</t>
        </is>
      </c>
      <c r="B2106" s="1" t="n">
        <v>45321</v>
      </c>
      <c r="C2106" s="1" t="n">
        <v>45711</v>
      </c>
      <c r="D2106" t="inlineStr">
        <is>
          <t>VÄRMLANDS LÄN</t>
        </is>
      </c>
      <c r="E2106" t="inlineStr">
        <is>
          <t>TORSBY</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3734-2024</t>
        </is>
      </c>
      <c r="B2107" s="1" t="n">
        <v>45321</v>
      </c>
      <c r="C2107" s="1" t="n">
        <v>45711</v>
      </c>
      <c r="D2107" t="inlineStr">
        <is>
          <t>VÄRMLANDS LÄN</t>
        </is>
      </c>
      <c r="E2107" t="inlineStr">
        <is>
          <t>TORSBY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3822-2024</t>
        </is>
      </c>
      <c r="B2108" s="1" t="n">
        <v>45321</v>
      </c>
      <c r="C2108" s="1" t="n">
        <v>45711</v>
      </c>
      <c r="D2108" t="inlineStr">
        <is>
          <t>VÄRMLANDS LÄN</t>
        </is>
      </c>
      <c r="E2108" t="inlineStr">
        <is>
          <t>TORSBY</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3922-2024</t>
        </is>
      </c>
      <c r="B2109" s="1" t="n">
        <v>45322</v>
      </c>
      <c r="C2109" s="1" t="n">
        <v>45711</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4030-2024</t>
        </is>
      </c>
      <c r="B2110" s="1" t="n">
        <v>45323</v>
      </c>
      <c r="C2110" s="1" t="n">
        <v>45711</v>
      </c>
      <c r="D2110" t="inlineStr">
        <is>
          <t>VÄRMLANDS LÄN</t>
        </is>
      </c>
      <c r="E2110" t="inlineStr">
        <is>
          <t>TORSBY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4070-2024</t>
        </is>
      </c>
      <c r="B2111" s="1" t="n">
        <v>45323</v>
      </c>
      <c r="C2111" s="1" t="n">
        <v>45711</v>
      </c>
      <c r="D2111" t="inlineStr">
        <is>
          <t>VÄRMLANDS LÄN</t>
        </is>
      </c>
      <c r="E2111" t="inlineStr">
        <is>
          <t>TORSBY</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4078-2024</t>
        </is>
      </c>
      <c r="B2112" s="1" t="n">
        <v>45323</v>
      </c>
      <c r="C2112" s="1" t="n">
        <v>45711</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4231-2024</t>
        </is>
      </c>
      <c r="B2113" s="1" t="n">
        <v>45324</v>
      </c>
      <c r="C2113" s="1" t="n">
        <v>45711</v>
      </c>
      <c r="D2113" t="inlineStr">
        <is>
          <t>VÄRMLANDS LÄN</t>
        </is>
      </c>
      <c r="E2113" t="inlineStr">
        <is>
          <t>TORSBY</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4219-2024</t>
        </is>
      </c>
      <c r="B2114" s="1" t="n">
        <v>45324</v>
      </c>
      <c r="C2114" s="1" t="n">
        <v>45711</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4908-2024</t>
        </is>
      </c>
      <c r="B2115" s="1" t="n">
        <v>45329</v>
      </c>
      <c r="C2115" s="1" t="n">
        <v>45711</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4918-2024</t>
        </is>
      </c>
      <c r="B2116" s="1" t="n">
        <v>45329</v>
      </c>
      <c r="C2116" s="1" t="n">
        <v>45711</v>
      </c>
      <c r="D2116" t="inlineStr">
        <is>
          <t>VÄRMLANDS LÄN</t>
        </is>
      </c>
      <c r="E2116" t="inlineStr">
        <is>
          <t>TORSBY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4920-2024</t>
        </is>
      </c>
      <c r="B2117" s="1" t="n">
        <v>45329</v>
      </c>
      <c r="C2117" s="1" t="n">
        <v>45711</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4913-2024</t>
        </is>
      </c>
      <c r="B2118" s="1" t="n">
        <v>45329</v>
      </c>
      <c r="C2118" s="1" t="n">
        <v>45711</v>
      </c>
      <c r="D2118" t="inlineStr">
        <is>
          <t>VÄRMLANDS LÄN</t>
        </is>
      </c>
      <c r="E2118" t="inlineStr">
        <is>
          <t>TORSBY</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5115-2024</t>
        </is>
      </c>
      <c r="B2119" s="1" t="n">
        <v>45330</v>
      </c>
      <c r="C2119" s="1" t="n">
        <v>45711</v>
      </c>
      <c r="D2119" t="inlineStr">
        <is>
          <t>VÄRMLANDS LÄN</t>
        </is>
      </c>
      <c r="E2119" t="inlineStr">
        <is>
          <t>TORSBY</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5351-2024</t>
        </is>
      </c>
      <c r="B2120" s="1" t="n">
        <v>45331</v>
      </c>
      <c r="C2120" s="1" t="n">
        <v>45711</v>
      </c>
      <c r="D2120" t="inlineStr">
        <is>
          <t>VÄRMLANDS LÄN</t>
        </is>
      </c>
      <c r="E2120" t="inlineStr">
        <is>
          <t>TORSBY</t>
        </is>
      </c>
      <c r="G2120" t="n">
        <v>8.9</v>
      </c>
      <c r="H2120" t="n">
        <v>0</v>
      </c>
      <c r="I2120" t="n">
        <v>0</v>
      </c>
      <c r="J2120" t="n">
        <v>0</v>
      </c>
      <c r="K2120" t="n">
        <v>0</v>
      </c>
      <c r="L2120" t="n">
        <v>0</v>
      </c>
      <c r="M2120" t="n">
        <v>0</v>
      </c>
      <c r="N2120" t="n">
        <v>0</v>
      </c>
      <c r="O2120" t="n">
        <v>0</v>
      </c>
      <c r="P2120" t="n">
        <v>0</v>
      </c>
      <c r="Q2120" t="n">
        <v>0</v>
      </c>
      <c r="R2120" s="2" t="inlineStr"/>
    </row>
    <row r="2121" ht="15" customHeight="1">
      <c r="A2121" t="inlineStr">
        <is>
          <t>A 5509-2024</t>
        </is>
      </c>
      <c r="B2121" s="1" t="n">
        <v>45334</v>
      </c>
      <c r="C2121" s="1" t="n">
        <v>45711</v>
      </c>
      <c r="D2121" t="inlineStr">
        <is>
          <t>VÄRMLANDS LÄN</t>
        </is>
      </c>
      <c r="E2121" t="inlineStr">
        <is>
          <t>TORSBY</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5814-2024</t>
        </is>
      </c>
      <c r="B2122" s="1" t="n">
        <v>45335</v>
      </c>
      <c r="C2122" s="1" t="n">
        <v>45711</v>
      </c>
      <c r="D2122" t="inlineStr">
        <is>
          <t>VÄRMLANDS LÄN</t>
        </is>
      </c>
      <c r="E2122" t="inlineStr">
        <is>
          <t>TORSBY</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5863-2024</t>
        </is>
      </c>
      <c r="B2123" s="1" t="n">
        <v>45335</v>
      </c>
      <c r="C2123" s="1" t="n">
        <v>45711</v>
      </c>
      <c r="D2123" t="inlineStr">
        <is>
          <t>VÄRMLANDS LÄN</t>
        </is>
      </c>
      <c r="E2123" t="inlineStr">
        <is>
          <t>TORSBY</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5948-2024</t>
        </is>
      </c>
      <c r="B2124" s="1" t="n">
        <v>45336</v>
      </c>
      <c r="C2124" s="1" t="n">
        <v>45711</v>
      </c>
      <c r="D2124" t="inlineStr">
        <is>
          <t>VÄRMLANDS LÄN</t>
        </is>
      </c>
      <c r="E2124" t="inlineStr">
        <is>
          <t>TORSBY</t>
        </is>
      </c>
      <c r="F2124" t="inlineStr">
        <is>
          <t>Bergvik skog väst AB</t>
        </is>
      </c>
      <c r="G2124" t="n">
        <v>9.300000000000001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6013-2024</t>
        </is>
      </c>
      <c r="B2125" s="1" t="n">
        <v>45336</v>
      </c>
      <c r="C2125" s="1" t="n">
        <v>45711</v>
      </c>
      <c r="D2125" t="inlineStr">
        <is>
          <t>VÄRMLANDS LÄN</t>
        </is>
      </c>
      <c r="E2125" t="inlineStr">
        <is>
          <t>TORSBY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6371-2024</t>
        </is>
      </c>
      <c r="B2126" s="1" t="n">
        <v>45338</v>
      </c>
      <c r="C2126" s="1" t="n">
        <v>45711</v>
      </c>
      <c r="D2126" t="inlineStr">
        <is>
          <t>VÄRMLANDS LÄN</t>
        </is>
      </c>
      <c r="E2126" t="inlineStr">
        <is>
          <t>TORSBY</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6648-2024</t>
        </is>
      </c>
      <c r="B2127" s="1" t="n">
        <v>45341</v>
      </c>
      <c r="C2127" s="1" t="n">
        <v>45711</v>
      </c>
      <c r="D2127" t="inlineStr">
        <is>
          <t>VÄRMLANDS LÄN</t>
        </is>
      </c>
      <c r="E2127" t="inlineStr">
        <is>
          <t>TORSBY</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6646-2024</t>
        </is>
      </c>
      <c r="B2128" s="1" t="n">
        <v>45341</v>
      </c>
      <c r="C2128" s="1" t="n">
        <v>45711</v>
      </c>
      <c r="D2128" t="inlineStr">
        <is>
          <t>VÄRMLANDS LÄN</t>
        </is>
      </c>
      <c r="E2128" t="inlineStr">
        <is>
          <t>TORSBY</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6675-2024</t>
        </is>
      </c>
      <c r="B2129" s="1" t="n">
        <v>45341</v>
      </c>
      <c r="C2129" s="1" t="n">
        <v>45711</v>
      </c>
      <c r="D2129" t="inlineStr">
        <is>
          <t>VÄRMLANDS LÄN</t>
        </is>
      </c>
      <c r="E2129" t="inlineStr">
        <is>
          <t>TORSBY</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6828-2024</t>
        </is>
      </c>
      <c r="B2130" s="1" t="n">
        <v>45342</v>
      </c>
      <c r="C2130" s="1" t="n">
        <v>45711</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6943-2024</t>
        </is>
      </c>
      <c r="B2131" s="1" t="n">
        <v>45343</v>
      </c>
      <c r="C2131" s="1" t="n">
        <v>45711</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6942-2024</t>
        </is>
      </c>
      <c r="B2132" s="1" t="n">
        <v>45343</v>
      </c>
      <c r="C2132" s="1" t="n">
        <v>45711</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7221-2024</t>
        </is>
      </c>
      <c r="B2133" s="1" t="n">
        <v>45344</v>
      </c>
      <c r="C2133" s="1" t="n">
        <v>45711</v>
      </c>
      <c r="D2133" t="inlineStr">
        <is>
          <t>VÄRMLANDS LÄN</t>
        </is>
      </c>
      <c r="E2133" t="inlineStr">
        <is>
          <t>TORSBY</t>
        </is>
      </c>
      <c r="G2133" t="n">
        <v>8.1</v>
      </c>
      <c r="H2133" t="n">
        <v>0</v>
      </c>
      <c r="I2133" t="n">
        <v>0</v>
      </c>
      <c r="J2133" t="n">
        <v>0</v>
      </c>
      <c r="K2133" t="n">
        <v>0</v>
      </c>
      <c r="L2133" t="n">
        <v>0</v>
      </c>
      <c r="M2133" t="n">
        <v>0</v>
      </c>
      <c r="N2133" t="n">
        <v>0</v>
      </c>
      <c r="O2133" t="n">
        <v>0</v>
      </c>
      <c r="P2133" t="n">
        <v>0</v>
      </c>
      <c r="Q2133" t="n">
        <v>0</v>
      </c>
      <c r="R2133" s="2" t="inlineStr"/>
    </row>
    <row r="2134" ht="15" customHeight="1">
      <c r="A2134" t="inlineStr">
        <is>
          <t>A 7490-2024</t>
        </is>
      </c>
      <c r="B2134" s="1" t="n">
        <v>45346</v>
      </c>
      <c r="C2134" s="1" t="n">
        <v>45711</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7494-2024</t>
        </is>
      </c>
      <c r="B2135" s="1" t="n">
        <v>45346</v>
      </c>
      <c r="C2135" s="1" t="n">
        <v>45711</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7487-2024</t>
        </is>
      </c>
      <c r="B2136" s="1" t="n">
        <v>45346</v>
      </c>
      <c r="C2136" s="1" t="n">
        <v>45711</v>
      </c>
      <c r="D2136" t="inlineStr">
        <is>
          <t>VÄRMLANDS LÄN</t>
        </is>
      </c>
      <c r="E2136" t="inlineStr">
        <is>
          <t>TORSBY</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7491-2024</t>
        </is>
      </c>
      <c r="B2137" s="1" t="n">
        <v>45346</v>
      </c>
      <c r="C2137" s="1" t="n">
        <v>45711</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7489-2024</t>
        </is>
      </c>
      <c r="B2138" s="1" t="n">
        <v>45346</v>
      </c>
      <c r="C2138" s="1" t="n">
        <v>45711</v>
      </c>
      <c r="D2138" t="inlineStr">
        <is>
          <t>VÄRMLANDS LÄN</t>
        </is>
      </c>
      <c r="E2138" t="inlineStr">
        <is>
          <t>TORSBY</t>
        </is>
      </c>
      <c r="G2138" t="n">
        <v>13.2</v>
      </c>
      <c r="H2138" t="n">
        <v>0</v>
      </c>
      <c r="I2138" t="n">
        <v>0</v>
      </c>
      <c r="J2138" t="n">
        <v>0</v>
      </c>
      <c r="K2138" t="n">
        <v>0</v>
      </c>
      <c r="L2138" t="n">
        <v>0</v>
      </c>
      <c r="M2138" t="n">
        <v>0</v>
      </c>
      <c r="N2138" t="n">
        <v>0</v>
      </c>
      <c r="O2138" t="n">
        <v>0</v>
      </c>
      <c r="P2138" t="n">
        <v>0</v>
      </c>
      <c r="Q2138" t="n">
        <v>0</v>
      </c>
      <c r="R2138" s="2" t="inlineStr"/>
    </row>
    <row r="2139" ht="15" customHeight="1">
      <c r="A2139" t="inlineStr">
        <is>
          <t>A 7493-2024</t>
        </is>
      </c>
      <c r="B2139" s="1" t="n">
        <v>45346</v>
      </c>
      <c r="C2139" s="1" t="n">
        <v>45711</v>
      </c>
      <c r="D2139" t="inlineStr">
        <is>
          <t>VÄRMLANDS LÄN</t>
        </is>
      </c>
      <c r="E2139" t="inlineStr">
        <is>
          <t>TORSBY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7488-2024</t>
        </is>
      </c>
      <c r="B2140" s="1" t="n">
        <v>45346</v>
      </c>
      <c r="C2140" s="1" t="n">
        <v>45711</v>
      </c>
      <c r="D2140" t="inlineStr">
        <is>
          <t>VÄRMLANDS LÄN</t>
        </is>
      </c>
      <c r="E2140" t="inlineStr">
        <is>
          <t>TORSBY</t>
        </is>
      </c>
      <c r="G2140" t="n">
        <v>9.4</v>
      </c>
      <c r="H2140" t="n">
        <v>0</v>
      </c>
      <c r="I2140" t="n">
        <v>0</v>
      </c>
      <c r="J2140" t="n">
        <v>0</v>
      </c>
      <c r="K2140" t="n">
        <v>0</v>
      </c>
      <c r="L2140" t="n">
        <v>0</v>
      </c>
      <c r="M2140" t="n">
        <v>0</v>
      </c>
      <c r="N2140" t="n">
        <v>0</v>
      </c>
      <c r="O2140" t="n">
        <v>0</v>
      </c>
      <c r="P2140" t="n">
        <v>0</v>
      </c>
      <c r="Q2140" t="n">
        <v>0</v>
      </c>
      <c r="R2140" s="2" t="inlineStr"/>
    </row>
    <row r="2141" ht="15" customHeight="1">
      <c r="A2141" t="inlineStr">
        <is>
          <t>A 7500-2024</t>
        </is>
      </c>
      <c r="B2141" s="1" t="n">
        <v>45347</v>
      </c>
      <c r="C2141" s="1" t="n">
        <v>45711</v>
      </c>
      <c r="D2141" t="inlineStr">
        <is>
          <t>VÄRMLANDS LÄN</t>
        </is>
      </c>
      <c r="E2141" t="inlineStr">
        <is>
          <t>TORSBY</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7651-2024</t>
        </is>
      </c>
      <c r="B2142" s="1" t="n">
        <v>45348</v>
      </c>
      <c r="C2142" s="1" t="n">
        <v>45711</v>
      </c>
      <c r="D2142" t="inlineStr">
        <is>
          <t>VÄRMLANDS LÄN</t>
        </is>
      </c>
      <c r="E2142" t="inlineStr">
        <is>
          <t>TORSBY</t>
        </is>
      </c>
      <c r="G2142" t="n">
        <v>9.199999999999999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7636-2024</t>
        </is>
      </c>
      <c r="B2143" s="1" t="n">
        <v>45348</v>
      </c>
      <c r="C2143" s="1" t="n">
        <v>45711</v>
      </c>
      <c r="D2143" t="inlineStr">
        <is>
          <t>VÄRMLANDS LÄN</t>
        </is>
      </c>
      <c r="E2143" t="inlineStr">
        <is>
          <t>TORSBY</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7676-2024</t>
        </is>
      </c>
      <c r="B2144" s="1" t="n">
        <v>45348</v>
      </c>
      <c r="C2144" s="1" t="n">
        <v>45711</v>
      </c>
      <c r="D2144" t="inlineStr">
        <is>
          <t>VÄRMLANDS LÄN</t>
        </is>
      </c>
      <c r="E2144" t="inlineStr">
        <is>
          <t>TORSBY</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7677-2024</t>
        </is>
      </c>
      <c r="B2145" s="1" t="n">
        <v>45348</v>
      </c>
      <c r="C2145" s="1" t="n">
        <v>45711</v>
      </c>
      <c r="D2145" t="inlineStr">
        <is>
          <t>VÄRMLANDS LÄN</t>
        </is>
      </c>
      <c r="E2145" t="inlineStr">
        <is>
          <t>TORSBY</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7757-2024</t>
        </is>
      </c>
      <c r="B2146" s="1" t="n">
        <v>45349</v>
      </c>
      <c r="C2146" s="1" t="n">
        <v>45711</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7927-2024</t>
        </is>
      </c>
      <c r="B2147" s="1" t="n">
        <v>45350</v>
      </c>
      <c r="C2147" s="1" t="n">
        <v>45711</v>
      </c>
      <c r="D2147" t="inlineStr">
        <is>
          <t>VÄRMLANDS LÄN</t>
        </is>
      </c>
      <c r="E2147" t="inlineStr">
        <is>
          <t>TORSBY</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8012-2024</t>
        </is>
      </c>
      <c r="B2148" s="1" t="n">
        <v>45350</v>
      </c>
      <c r="C2148" s="1" t="n">
        <v>45711</v>
      </c>
      <c r="D2148" t="inlineStr">
        <is>
          <t>VÄRMLANDS LÄN</t>
        </is>
      </c>
      <c r="E2148" t="inlineStr">
        <is>
          <t>TORSBY</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8625-2024</t>
        </is>
      </c>
      <c r="B2149" s="1" t="n">
        <v>45355</v>
      </c>
      <c r="C2149" s="1" t="n">
        <v>45711</v>
      </c>
      <c r="D2149" t="inlineStr">
        <is>
          <t>VÄRMLANDS LÄN</t>
        </is>
      </c>
      <c r="E2149" t="inlineStr">
        <is>
          <t>TORSBY</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8728-2024</t>
        </is>
      </c>
      <c r="B2150" s="1" t="n">
        <v>45356</v>
      </c>
      <c r="C2150" s="1" t="n">
        <v>45711</v>
      </c>
      <c r="D2150" t="inlineStr">
        <is>
          <t>VÄRMLANDS LÄN</t>
        </is>
      </c>
      <c r="E2150" t="inlineStr">
        <is>
          <t>TORSBY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8720-2024</t>
        </is>
      </c>
      <c r="B2151" s="1" t="n">
        <v>45356</v>
      </c>
      <c r="C2151" s="1" t="n">
        <v>45711</v>
      </c>
      <c r="D2151" t="inlineStr">
        <is>
          <t>VÄRMLANDS LÄN</t>
        </is>
      </c>
      <c r="E2151" t="inlineStr">
        <is>
          <t>TORSBY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8725-2024</t>
        </is>
      </c>
      <c r="B2152" s="1" t="n">
        <v>45356</v>
      </c>
      <c r="C2152" s="1" t="n">
        <v>45711</v>
      </c>
      <c r="D2152" t="inlineStr">
        <is>
          <t>VÄRMLANDS LÄN</t>
        </is>
      </c>
      <c r="E2152" t="inlineStr">
        <is>
          <t>TORSBY</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8719-2024</t>
        </is>
      </c>
      <c r="B2153" s="1" t="n">
        <v>45356</v>
      </c>
      <c r="C2153" s="1" t="n">
        <v>45711</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9203-2024</t>
        </is>
      </c>
      <c r="B2154" s="1" t="n">
        <v>45358</v>
      </c>
      <c r="C2154" s="1" t="n">
        <v>45711</v>
      </c>
      <c r="D2154" t="inlineStr">
        <is>
          <t>VÄRMLANDS LÄN</t>
        </is>
      </c>
      <c r="E2154" t="inlineStr">
        <is>
          <t>TORSBY</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9381-2024</t>
        </is>
      </c>
      <c r="B2155" s="1" t="n">
        <v>45359</v>
      </c>
      <c r="C2155" s="1" t="n">
        <v>45711</v>
      </c>
      <c r="D2155" t="inlineStr">
        <is>
          <t>VÄRMLANDS LÄN</t>
        </is>
      </c>
      <c r="E2155" t="inlineStr">
        <is>
          <t>TORSBY</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9764-2024</t>
        </is>
      </c>
      <c r="B2156" s="1" t="n">
        <v>45362</v>
      </c>
      <c r="C2156" s="1" t="n">
        <v>45711</v>
      </c>
      <c r="D2156" t="inlineStr">
        <is>
          <t>VÄRMLANDS LÄN</t>
        </is>
      </c>
      <c r="E2156" t="inlineStr">
        <is>
          <t>TORSBY</t>
        </is>
      </c>
      <c r="G2156" t="n">
        <v>10.4</v>
      </c>
      <c r="H2156" t="n">
        <v>0</v>
      </c>
      <c r="I2156" t="n">
        <v>0</v>
      </c>
      <c r="J2156" t="n">
        <v>0</v>
      </c>
      <c r="K2156" t="n">
        <v>0</v>
      </c>
      <c r="L2156" t="n">
        <v>0</v>
      </c>
      <c r="M2156" t="n">
        <v>0</v>
      </c>
      <c r="N2156" t="n">
        <v>0</v>
      </c>
      <c r="O2156" t="n">
        <v>0</v>
      </c>
      <c r="P2156" t="n">
        <v>0</v>
      </c>
      <c r="Q2156" t="n">
        <v>0</v>
      </c>
      <c r="R2156" s="2" t="inlineStr"/>
    </row>
    <row r="2157" ht="15" customHeight="1">
      <c r="A2157" t="inlineStr">
        <is>
          <t>A 9799-2024</t>
        </is>
      </c>
      <c r="B2157" s="1" t="n">
        <v>45362</v>
      </c>
      <c r="C2157" s="1" t="n">
        <v>45711</v>
      </c>
      <c r="D2157" t="inlineStr">
        <is>
          <t>VÄRMLANDS LÄN</t>
        </is>
      </c>
      <c r="E2157" t="inlineStr">
        <is>
          <t>TORSBY</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9793-2024</t>
        </is>
      </c>
      <c r="B2158" s="1" t="n">
        <v>45362</v>
      </c>
      <c r="C2158" s="1" t="n">
        <v>45711</v>
      </c>
      <c r="D2158" t="inlineStr">
        <is>
          <t>VÄRMLANDS LÄN</t>
        </is>
      </c>
      <c r="E2158" t="inlineStr">
        <is>
          <t>TORSBY</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9797-2024</t>
        </is>
      </c>
      <c r="B2159" s="1" t="n">
        <v>45362</v>
      </c>
      <c r="C2159" s="1" t="n">
        <v>45711</v>
      </c>
      <c r="D2159" t="inlineStr">
        <is>
          <t>VÄRMLANDS LÄN</t>
        </is>
      </c>
      <c r="E2159" t="inlineStr">
        <is>
          <t>TORSBY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9902-2024</t>
        </is>
      </c>
      <c r="B2160" s="1" t="n">
        <v>45363</v>
      </c>
      <c r="C2160" s="1" t="n">
        <v>45711</v>
      </c>
      <c r="D2160" t="inlineStr">
        <is>
          <t>VÄRMLANDS LÄN</t>
        </is>
      </c>
      <c r="E2160" t="inlineStr">
        <is>
          <t>TORSBY</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9900-2024</t>
        </is>
      </c>
      <c r="B2161" s="1" t="n">
        <v>45363</v>
      </c>
      <c r="C2161" s="1" t="n">
        <v>45711</v>
      </c>
      <c r="D2161" t="inlineStr">
        <is>
          <t>VÄRMLANDS LÄN</t>
        </is>
      </c>
      <c r="E2161" t="inlineStr">
        <is>
          <t>TORSBY</t>
        </is>
      </c>
      <c r="G2161" t="n">
        <v>13.6</v>
      </c>
      <c r="H2161" t="n">
        <v>0</v>
      </c>
      <c r="I2161" t="n">
        <v>0</v>
      </c>
      <c r="J2161" t="n">
        <v>0</v>
      </c>
      <c r="K2161" t="n">
        <v>0</v>
      </c>
      <c r="L2161" t="n">
        <v>0</v>
      </c>
      <c r="M2161" t="n">
        <v>0</v>
      </c>
      <c r="N2161" t="n">
        <v>0</v>
      </c>
      <c r="O2161" t="n">
        <v>0</v>
      </c>
      <c r="P2161" t="n">
        <v>0</v>
      </c>
      <c r="Q2161" t="n">
        <v>0</v>
      </c>
      <c r="R2161" s="2" t="inlineStr"/>
    </row>
    <row r="2162" ht="15" customHeight="1">
      <c r="A2162" t="inlineStr">
        <is>
          <t>A 9904-2024</t>
        </is>
      </c>
      <c r="B2162" s="1" t="n">
        <v>45363</v>
      </c>
      <c r="C2162" s="1" t="n">
        <v>45711</v>
      </c>
      <c r="D2162" t="inlineStr">
        <is>
          <t>VÄRMLANDS LÄN</t>
        </is>
      </c>
      <c r="E2162" t="inlineStr">
        <is>
          <t>TORSBY</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9908-2024</t>
        </is>
      </c>
      <c r="B2163" s="1" t="n">
        <v>45363</v>
      </c>
      <c r="C2163" s="1" t="n">
        <v>45711</v>
      </c>
      <c r="D2163" t="inlineStr">
        <is>
          <t>VÄRMLANDS LÄN</t>
        </is>
      </c>
      <c r="E2163" t="inlineStr">
        <is>
          <t>TORSBY</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9912-2024</t>
        </is>
      </c>
      <c r="B2164" s="1" t="n">
        <v>45363</v>
      </c>
      <c r="C2164" s="1" t="n">
        <v>45711</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9871-2024</t>
        </is>
      </c>
      <c r="B2165" s="1" t="n">
        <v>45363</v>
      </c>
      <c r="C2165" s="1" t="n">
        <v>45711</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10011-2024</t>
        </is>
      </c>
      <c r="B2166" s="1" t="n">
        <v>45363</v>
      </c>
      <c r="C2166" s="1" t="n">
        <v>45711</v>
      </c>
      <c r="D2166" t="inlineStr">
        <is>
          <t>VÄRMLANDS LÄN</t>
        </is>
      </c>
      <c r="E2166" t="inlineStr">
        <is>
          <t>TORSBY</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10304-2024</t>
        </is>
      </c>
      <c r="B2167" s="1" t="n">
        <v>45365</v>
      </c>
      <c r="C2167" s="1" t="n">
        <v>45711</v>
      </c>
      <c r="D2167" t="inlineStr">
        <is>
          <t>VÄRMLANDS LÄN</t>
        </is>
      </c>
      <c r="E2167" t="inlineStr">
        <is>
          <t>TORSBY</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10372-2024</t>
        </is>
      </c>
      <c r="B2168" s="1" t="n">
        <v>45365</v>
      </c>
      <c r="C2168" s="1" t="n">
        <v>45711</v>
      </c>
      <c r="D2168" t="inlineStr">
        <is>
          <t>VÄRMLANDS LÄN</t>
        </is>
      </c>
      <c r="E2168" t="inlineStr">
        <is>
          <t>TORSBY</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10380-2024</t>
        </is>
      </c>
      <c r="B2169" s="1" t="n">
        <v>45365</v>
      </c>
      <c r="C2169" s="1" t="n">
        <v>45711</v>
      </c>
      <c r="D2169" t="inlineStr">
        <is>
          <t>VÄRMLANDS LÄN</t>
        </is>
      </c>
      <c r="E2169" t="inlineStr">
        <is>
          <t>TORSBY</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10466-2024</t>
        </is>
      </c>
      <c r="B2170" s="1" t="n">
        <v>45366</v>
      </c>
      <c r="C2170" s="1" t="n">
        <v>45711</v>
      </c>
      <c r="D2170" t="inlineStr">
        <is>
          <t>VÄRMLANDS LÄN</t>
        </is>
      </c>
      <c r="E2170" t="inlineStr">
        <is>
          <t>TORSBY</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10589-2024</t>
        </is>
      </c>
      <c r="B2171" s="1" t="n">
        <v>45366</v>
      </c>
      <c r="C2171" s="1" t="n">
        <v>45711</v>
      </c>
      <c r="D2171" t="inlineStr">
        <is>
          <t>VÄRMLANDS LÄN</t>
        </is>
      </c>
      <c r="E2171" t="inlineStr">
        <is>
          <t>TORSBY</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10587-2024</t>
        </is>
      </c>
      <c r="B2172" s="1" t="n">
        <v>45366</v>
      </c>
      <c r="C2172" s="1" t="n">
        <v>45711</v>
      </c>
      <c r="D2172" t="inlineStr">
        <is>
          <t>VÄRMLANDS LÄN</t>
        </is>
      </c>
      <c r="E2172" t="inlineStr">
        <is>
          <t>TORSBY</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10684-2024</t>
        </is>
      </c>
      <c r="B2173" s="1" t="n">
        <v>45369</v>
      </c>
      <c r="C2173" s="1" t="n">
        <v>45711</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10895-2024</t>
        </is>
      </c>
      <c r="B2174" s="1" t="n">
        <v>45370</v>
      </c>
      <c r="C2174" s="1" t="n">
        <v>45711</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11121-2024</t>
        </is>
      </c>
      <c r="B2175" s="1" t="n">
        <v>45371</v>
      </c>
      <c r="C2175" s="1" t="n">
        <v>45711</v>
      </c>
      <c r="D2175" t="inlineStr">
        <is>
          <t>VÄRMLANDS LÄN</t>
        </is>
      </c>
      <c r="E2175" t="inlineStr">
        <is>
          <t>TORSBY</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11153-2024</t>
        </is>
      </c>
      <c r="B2176" s="1" t="n">
        <v>45371</v>
      </c>
      <c r="C2176" s="1" t="n">
        <v>45711</v>
      </c>
      <c r="D2176" t="inlineStr">
        <is>
          <t>VÄRMLANDS LÄN</t>
        </is>
      </c>
      <c r="E2176" t="inlineStr">
        <is>
          <t>TORSBY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11135-2024</t>
        </is>
      </c>
      <c r="B2177" s="1" t="n">
        <v>45371</v>
      </c>
      <c r="C2177" s="1" t="n">
        <v>45711</v>
      </c>
      <c r="D2177" t="inlineStr">
        <is>
          <t>VÄRMLANDS LÄN</t>
        </is>
      </c>
      <c r="E2177" t="inlineStr">
        <is>
          <t>TORSBY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11143-2024</t>
        </is>
      </c>
      <c r="B2178" s="1" t="n">
        <v>45371</v>
      </c>
      <c r="C2178" s="1" t="n">
        <v>45711</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11187-2024</t>
        </is>
      </c>
      <c r="B2179" s="1" t="n">
        <v>45371</v>
      </c>
      <c r="C2179" s="1" t="n">
        <v>45711</v>
      </c>
      <c r="D2179" t="inlineStr">
        <is>
          <t>VÄRMLANDS LÄN</t>
        </is>
      </c>
      <c r="E2179" t="inlineStr">
        <is>
          <t>TORSBY</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11211-2024</t>
        </is>
      </c>
      <c r="B2180" s="1" t="n">
        <v>45371</v>
      </c>
      <c r="C2180" s="1" t="n">
        <v>45711</v>
      </c>
      <c r="D2180" t="inlineStr">
        <is>
          <t>VÄRMLANDS LÄN</t>
        </is>
      </c>
      <c r="E2180" t="inlineStr">
        <is>
          <t>TORSBY</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11227-2024</t>
        </is>
      </c>
      <c r="B2181" s="1" t="n">
        <v>45371</v>
      </c>
      <c r="C2181" s="1" t="n">
        <v>45711</v>
      </c>
      <c r="D2181" t="inlineStr">
        <is>
          <t>VÄRMLANDS LÄN</t>
        </is>
      </c>
      <c r="E2181" t="inlineStr">
        <is>
          <t>TORSBY</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11235-2024</t>
        </is>
      </c>
      <c r="B2182" s="1" t="n">
        <v>45371</v>
      </c>
      <c r="C2182" s="1" t="n">
        <v>45711</v>
      </c>
      <c r="D2182" t="inlineStr">
        <is>
          <t>VÄRMLANDS LÄN</t>
        </is>
      </c>
      <c r="E2182" t="inlineStr">
        <is>
          <t>TORSBY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11214-2024</t>
        </is>
      </c>
      <c r="B2183" s="1" t="n">
        <v>45371</v>
      </c>
      <c r="C2183" s="1" t="n">
        <v>45711</v>
      </c>
      <c r="D2183" t="inlineStr">
        <is>
          <t>VÄRMLANDS LÄN</t>
        </is>
      </c>
      <c r="E2183" t="inlineStr">
        <is>
          <t>TORSBY</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11222-2024</t>
        </is>
      </c>
      <c r="B2184" s="1" t="n">
        <v>45371</v>
      </c>
      <c r="C2184" s="1" t="n">
        <v>45711</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11242-2024</t>
        </is>
      </c>
      <c r="B2185" s="1" t="n">
        <v>45371</v>
      </c>
      <c r="C2185" s="1" t="n">
        <v>45711</v>
      </c>
      <c r="D2185" t="inlineStr">
        <is>
          <t>VÄRMLANDS LÄN</t>
        </is>
      </c>
      <c r="E2185" t="inlineStr">
        <is>
          <t>TORSBY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11253-2024</t>
        </is>
      </c>
      <c r="B2186" s="1" t="n">
        <v>45371</v>
      </c>
      <c r="C2186" s="1" t="n">
        <v>45711</v>
      </c>
      <c r="D2186" t="inlineStr">
        <is>
          <t>VÄRMLANDS LÄN</t>
        </is>
      </c>
      <c r="E2186" t="inlineStr">
        <is>
          <t>TORSBY</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11259-2024</t>
        </is>
      </c>
      <c r="B2187" s="1" t="n">
        <v>45371</v>
      </c>
      <c r="C2187" s="1" t="n">
        <v>45711</v>
      </c>
      <c r="D2187" t="inlineStr">
        <is>
          <t>VÄRMLANDS LÄN</t>
        </is>
      </c>
      <c r="E2187" t="inlineStr">
        <is>
          <t>TORSBY</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11172-2024</t>
        </is>
      </c>
      <c r="B2188" s="1" t="n">
        <v>45371</v>
      </c>
      <c r="C2188" s="1" t="n">
        <v>45711</v>
      </c>
      <c r="D2188" t="inlineStr">
        <is>
          <t>VÄRMLANDS LÄN</t>
        </is>
      </c>
      <c r="E2188" t="inlineStr">
        <is>
          <t>TORSBY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11380-2024</t>
        </is>
      </c>
      <c r="B2189" s="1" t="n">
        <v>45372</v>
      </c>
      <c r="C2189" s="1" t="n">
        <v>45711</v>
      </c>
      <c r="D2189" t="inlineStr">
        <is>
          <t>VÄRMLANDS LÄN</t>
        </is>
      </c>
      <c r="E2189" t="inlineStr">
        <is>
          <t>TORSBY</t>
        </is>
      </c>
      <c r="F2189" t="inlineStr">
        <is>
          <t>Bergvik skog väst AB</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11575-2024</t>
        </is>
      </c>
      <c r="B2190" s="1" t="n">
        <v>45373</v>
      </c>
      <c r="C2190" s="1" t="n">
        <v>45711</v>
      </c>
      <c r="D2190" t="inlineStr">
        <is>
          <t>VÄRMLANDS LÄN</t>
        </is>
      </c>
      <c r="E2190" t="inlineStr">
        <is>
          <t>TORSBY</t>
        </is>
      </c>
      <c r="G2190" t="n">
        <v>14.2</v>
      </c>
      <c r="H2190" t="n">
        <v>0</v>
      </c>
      <c r="I2190" t="n">
        <v>0</v>
      </c>
      <c r="J2190" t="n">
        <v>0</v>
      </c>
      <c r="K2190" t="n">
        <v>0</v>
      </c>
      <c r="L2190" t="n">
        <v>0</v>
      </c>
      <c r="M2190" t="n">
        <v>0</v>
      </c>
      <c r="N2190" t="n">
        <v>0</v>
      </c>
      <c r="O2190" t="n">
        <v>0</v>
      </c>
      <c r="P2190" t="n">
        <v>0</v>
      </c>
      <c r="Q2190" t="n">
        <v>0</v>
      </c>
      <c r="R2190" s="2" t="inlineStr"/>
    </row>
    <row r="2191" ht="15" customHeight="1">
      <c r="A2191" t="inlineStr">
        <is>
          <t>A 11706-2024</t>
        </is>
      </c>
      <c r="B2191" s="1" t="n">
        <v>45373</v>
      </c>
      <c r="C2191" s="1" t="n">
        <v>45711</v>
      </c>
      <c r="D2191" t="inlineStr">
        <is>
          <t>VÄRMLANDS LÄN</t>
        </is>
      </c>
      <c r="E2191" t="inlineStr">
        <is>
          <t>TORSBY</t>
        </is>
      </c>
      <c r="G2191" t="n">
        <v>8.699999999999999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11776-2024</t>
        </is>
      </c>
      <c r="B2192" s="1" t="n">
        <v>45374</v>
      </c>
      <c r="C2192" s="1" t="n">
        <v>45711</v>
      </c>
      <c r="D2192" t="inlineStr">
        <is>
          <t>VÄRMLANDS LÄN</t>
        </is>
      </c>
      <c r="E2192" t="inlineStr">
        <is>
          <t>TORSBY</t>
        </is>
      </c>
      <c r="G2192" t="n">
        <v>8.300000000000001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11814-2024</t>
        </is>
      </c>
      <c r="B2193" s="1" t="n">
        <v>45376</v>
      </c>
      <c r="C2193" s="1" t="n">
        <v>45711</v>
      </c>
      <c r="D2193" t="inlineStr">
        <is>
          <t>VÄRMLANDS LÄN</t>
        </is>
      </c>
      <c r="E2193" t="inlineStr">
        <is>
          <t>TORSBY</t>
        </is>
      </c>
      <c r="F2193" t="inlineStr">
        <is>
          <t>Bergvik skog väst AB</t>
        </is>
      </c>
      <c r="G2193" t="n">
        <v>19.9</v>
      </c>
      <c r="H2193" t="n">
        <v>0</v>
      </c>
      <c r="I2193" t="n">
        <v>0</v>
      </c>
      <c r="J2193" t="n">
        <v>0</v>
      </c>
      <c r="K2193" t="n">
        <v>0</v>
      </c>
      <c r="L2193" t="n">
        <v>0</v>
      </c>
      <c r="M2193" t="n">
        <v>0</v>
      </c>
      <c r="N2193" t="n">
        <v>0</v>
      </c>
      <c r="O2193" t="n">
        <v>0</v>
      </c>
      <c r="P2193" t="n">
        <v>0</v>
      </c>
      <c r="Q2193" t="n">
        <v>0</v>
      </c>
      <c r="R2193" s="2" t="inlineStr"/>
    </row>
    <row r="2194" ht="15" customHeight="1">
      <c r="A2194" t="inlineStr">
        <is>
          <t>A 11850-2024</t>
        </is>
      </c>
      <c r="B2194" s="1" t="n">
        <v>45376</v>
      </c>
      <c r="C2194" s="1" t="n">
        <v>45711</v>
      </c>
      <c r="D2194" t="inlineStr">
        <is>
          <t>VÄRMLANDS LÄN</t>
        </is>
      </c>
      <c r="E2194" t="inlineStr">
        <is>
          <t>TORSBY</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11878-2024</t>
        </is>
      </c>
      <c r="B2195" s="1" t="n">
        <v>45376</v>
      </c>
      <c r="C2195" s="1" t="n">
        <v>45711</v>
      </c>
      <c r="D2195" t="inlineStr">
        <is>
          <t>VÄRMLANDS LÄN</t>
        </is>
      </c>
      <c r="E2195" t="inlineStr">
        <is>
          <t>TORSBY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12104-2024</t>
        </is>
      </c>
      <c r="B2196" s="1" t="n">
        <v>45377</v>
      </c>
      <c r="C2196" s="1" t="n">
        <v>45711</v>
      </c>
      <c r="D2196" t="inlineStr">
        <is>
          <t>VÄRMLANDS LÄN</t>
        </is>
      </c>
      <c r="E2196" t="inlineStr">
        <is>
          <t>TORSBY</t>
        </is>
      </c>
      <c r="F2196" t="inlineStr">
        <is>
          <t>Bergvik skog väst AB</t>
        </is>
      </c>
      <c r="G2196" t="n">
        <v>9.4</v>
      </c>
      <c r="H2196" t="n">
        <v>0</v>
      </c>
      <c r="I2196" t="n">
        <v>0</v>
      </c>
      <c r="J2196" t="n">
        <v>0</v>
      </c>
      <c r="K2196" t="n">
        <v>0</v>
      </c>
      <c r="L2196" t="n">
        <v>0</v>
      </c>
      <c r="M2196" t="n">
        <v>0</v>
      </c>
      <c r="N2196" t="n">
        <v>0</v>
      </c>
      <c r="O2196" t="n">
        <v>0</v>
      </c>
      <c r="P2196" t="n">
        <v>0</v>
      </c>
      <c r="Q2196" t="n">
        <v>0</v>
      </c>
      <c r="R2196" s="2" t="inlineStr"/>
    </row>
    <row r="2197" ht="15" customHeight="1">
      <c r="A2197" t="inlineStr">
        <is>
          <t>A 12107-2024</t>
        </is>
      </c>
      <c r="B2197" s="1" t="n">
        <v>45377</v>
      </c>
      <c r="C2197" s="1" t="n">
        <v>45711</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12051-2024</t>
        </is>
      </c>
      <c r="B2198" s="1" t="n">
        <v>45377</v>
      </c>
      <c r="C2198" s="1" t="n">
        <v>45711</v>
      </c>
      <c r="D2198" t="inlineStr">
        <is>
          <t>VÄRMLANDS LÄN</t>
        </is>
      </c>
      <c r="E2198" t="inlineStr">
        <is>
          <t>TORSBY</t>
        </is>
      </c>
      <c r="F2198" t="inlineStr">
        <is>
          <t>Bergvik skog väst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12509-2024</t>
        </is>
      </c>
      <c r="B2199" s="1" t="n">
        <v>45379</v>
      </c>
      <c r="C2199" s="1" t="n">
        <v>45711</v>
      </c>
      <c r="D2199" t="inlineStr">
        <is>
          <t>VÄRMLANDS LÄN</t>
        </is>
      </c>
      <c r="E2199" t="inlineStr">
        <is>
          <t>TORSBY</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12503-2024</t>
        </is>
      </c>
      <c r="B2200" s="1" t="n">
        <v>45379</v>
      </c>
      <c r="C2200" s="1" t="n">
        <v>45711</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12684-2024</t>
        </is>
      </c>
      <c r="B2201" s="1" t="n">
        <v>45384</v>
      </c>
      <c r="C2201" s="1" t="n">
        <v>45711</v>
      </c>
      <c r="D2201" t="inlineStr">
        <is>
          <t>VÄRMLANDS LÄN</t>
        </is>
      </c>
      <c r="E2201" t="inlineStr">
        <is>
          <t>TORSBY</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12701-2024</t>
        </is>
      </c>
      <c r="B2202" s="1" t="n">
        <v>45384</v>
      </c>
      <c r="C2202" s="1" t="n">
        <v>45711</v>
      </c>
      <c r="D2202" t="inlineStr">
        <is>
          <t>VÄRMLANDS LÄN</t>
        </is>
      </c>
      <c r="E2202" t="inlineStr">
        <is>
          <t>TORSBY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12989-2024</t>
        </is>
      </c>
      <c r="B2203" s="1" t="n">
        <v>45385</v>
      </c>
      <c r="C2203" s="1" t="n">
        <v>45711</v>
      </c>
      <c r="D2203" t="inlineStr">
        <is>
          <t>VÄRMLANDS LÄN</t>
        </is>
      </c>
      <c r="E2203" t="inlineStr">
        <is>
          <t>TORSBY</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13211-2024</t>
        </is>
      </c>
      <c r="B2204" s="1" t="n">
        <v>45386</v>
      </c>
      <c r="C2204" s="1" t="n">
        <v>45711</v>
      </c>
      <c r="D2204" t="inlineStr">
        <is>
          <t>VÄRMLANDS LÄN</t>
        </is>
      </c>
      <c r="E2204" t="inlineStr">
        <is>
          <t>TORSBY</t>
        </is>
      </c>
      <c r="F2204" t="inlineStr">
        <is>
          <t>Bergvik skog väst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13262-2024</t>
        </is>
      </c>
      <c r="B2205" s="1" t="n">
        <v>45386</v>
      </c>
      <c r="C2205" s="1" t="n">
        <v>45711</v>
      </c>
      <c r="D2205" t="inlineStr">
        <is>
          <t>VÄRMLANDS LÄN</t>
        </is>
      </c>
      <c r="E2205" t="inlineStr">
        <is>
          <t>TORSBY</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13186-2024</t>
        </is>
      </c>
      <c r="B2206" s="1" t="n">
        <v>45386</v>
      </c>
      <c r="C2206" s="1" t="n">
        <v>45711</v>
      </c>
      <c r="D2206" t="inlineStr">
        <is>
          <t>VÄRMLANDS LÄN</t>
        </is>
      </c>
      <c r="E2206" t="inlineStr">
        <is>
          <t>TORSBY</t>
        </is>
      </c>
      <c r="F2206" t="inlineStr">
        <is>
          <t>Bergvik skog väst AB</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13206-2024</t>
        </is>
      </c>
      <c r="B2207" s="1" t="n">
        <v>45386</v>
      </c>
      <c r="C2207" s="1" t="n">
        <v>45711</v>
      </c>
      <c r="D2207" t="inlineStr">
        <is>
          <t>VÄRMLANDS LÄN</t>
        </is>
      </c>
      <c r="E2207" t="inlineStr">
        <is>
          <t>TORSBY</t>
        </is>
      </c>
      <c r="F2207" t="inlineStr">
        <is>
          <t>Bergvik skog väst AB</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13435-2024</t>
        </is>
      </c>
      <c r="B2208" s="1" t="n">
        <v>45387</v>
      </c>
      <c r="C2208" s="1" t="n">
        <v>45711</v>
      </c>
      <c r="D2208" t="inlineStr">
        <is>
          <t>VÄRMLANDS LÄN</t>
        </is>
      </c>
      <c r="E2208" t="inlineStr">
        <is>
          <t>TORSBY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13619-2024</t>
        </is>
      </c>
      <c r="B2209" s="1" t="n">
        <v>45390</v>
      </c>
      <c r="C2209" s="1" t="n">
        <v>45711</v>
      </c>
      <c r="D2209" t="inlineStr">
        <is>
          <t>VÄRMLANDS LÄN</t>
        </is>
      </c>
      <c r="E2209" t="inlineStr">
        <is>
          <t>TORSBY</t>
        </is>
      </c>
      <c r="F2209" t="inlineStr">
        <is>
          <t>Bergvik skog väst AB</t>
        </is>
      </c>
      <c r="G2209" t="n">
        <v>25.7</v>
      </c>
      <c r="H2209" t="n">
        <v>0</v>
      </c>
      <c r="I2209" t="n">
        <v>0</v>
      </c>
      <c r="J2209" t="n">
        <v>0</v>
      </c>
      <c r="K2209" t="n">
        <v>0</v>
      </c>
      <c r="L2209" t="n">
        <v>0</v>
      </c>
      <c r="M2209" t="n">
        <v>0</v>
      </c>
      <c r="N2209" t="n">
        <v>0</v>
      </c>
      <c r="O2209" t="n">
        <v>0</v>
      </c>
      <c r="P2209" t="n">
        <v>0</v>
      </c>
      <c r="Q2209" t="n">
        <v>0</v>
      </c>
      <c r="R2209" s="2" t="inlineStr"/>
    </row>
    <row r="2210" ht="15" customHeight="1">
      <c r="A2210" t="inlineStr">
        <is>
          <t>A 13848-2024</t>
        </is>
      </c>
      <c r="B2210" s="1" t="n">
        <v>45390</v>
      </c>
      <c r="C2210" s="1" t="n">
        <v>45711</v>
      </c>
      <c r="D2210" t="inlineStr">
        <is>
          <t>VÄRMLANDS LÄN</t>
        </is>
      </c>
      <c r="E2210" t="inlineStr">
        <is>
          <t>TORSBY</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13847-2024</t>
        </is>
      </c>
      <c r="B2211" s="1" t="n">
        <v>45390</v>
      </c>
      <c r="C2211" s="1" t="n">
        <v>45711</v>
      </c>
      <c r="D2211" t="inlineStr">
        <is>
          <t>VÄRMLANDS LÄN</t>
        </is>
      </c>
      <c r="E2211" t="inlineStr">
        <is>
          <t>TORSBY</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13797-2024</t>
        </is>
      </c>
      <c r="B2212" s="1" t="n">
        <v>45391</v>
      </c>
      <c r="C2212" s="1" t="n">
        <v>45711</v>
      </c>
      <c r="D2212" t="inlineStr">
        <is>
          <t>VÄRMLANDS LÄN</t>
        </is>
      </c>
      <c r="E2212" t="inlineStr">
        <is>
          <t>TORSBY</t>
        </is>
      </c>
      <c r="F2212" t="inlineStr">
        <is>
          <t>Bergvik skog väst AB</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14023-2024</t>
        </is>
      </c>
      <c r="B2213" s="1" t="n">
        <v>45392</v>
      </c>
      <c r="C2213" s="1" t="n">
        <v>45711</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13965-2024</t>
        </is>
      </c>
      <c r="B2214" s="1" t="n">
        <v>45392</v>
      </c>
      <c r="C2214" s="1" t="n">
        <v>45711</v>
      </c>
      <c r="D2214" t="inlineStr">
        <is>
          <t>VÄRMLANDS LÄN</t>
        </is>
      </c>
      <c r="E2214" t="inlineStr">
        <is>
          <t>TORSBY</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14052-2024</t>
        </is>
      </c>
      <c r="B2215" s="1" t="n">
        <v>45392</v>
      </c>
      <c r="C2215" s="1" t="n">
        <v>45711</v>
      </c>
      <c r="D2215" t="inlineStr">
        <is>
          <t>VÄRMLANDS LÄN</t>
        </is>
      </c>
      <c r="E2215" t="inlineStr">
        <is>
          <t>TORSBY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14063-2024</t>
        </is>
      </c>
      <c r="B2216" s="1" t="n">
        <v>45392</v>
      </c>
      <c r="C2216" s="1" t="n">
        <v>45711</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14283-2024</t>
        </is>
      </c>
      <c r="B2217" s="1" t="n">
        <v>45393</v>
      </c>
      <c r="C2217" s="1" t="n">
        <v>45711</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14440-2024</t>
        </is>
      </c>
      <c r="B2218" s="1" t="n">
        <v>45394</v>
      </c>
      <c r="C2218" s="1" t="n">
        <v>45711</v>
      </c>
      <c r="D2218" t="inlineStr">
        <is>
          <t>VÄRMLANDS LÄN</t>
        </is>
      </c>
      <c r="E2218" t="inlineStr">
        <is>
          <t>TORSBY</t>
        </is>
      </c>
      <c r="F2218" t="inlineStr">
        <is>
          <t>Bergvik skog väst AB</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14393-2024</t>
        </is>
      </c>
      <c r="B2219" s="1" t="n">
        <v>45394</v>
      </c>
      <c r="C2219" s="1" t="n">
        <v>45711</v>
      </c>
      <c r="D2219" t="inlineStr">
        <is>
          <t>VÄRMLANDS LÄN</t>
        </is>
      </c>
      <c r="E2219" t="inlineStr">
        <is>
          <t>TORSBY</t>
        </is>
      </c>
      <c r="F2219" t="inlineStr">
        <is>
          <t>Bergvik skog väst AB</t>
        </is>
      </c>
      <c r="G2219" t="n">
        <v>8.699999999999999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14453-2024</t>
        </is>
      </c>
      <c r="B2220" s="1" t="n">
        <v>45394</v>
      </c>
      <c r="C2220" s="1" t="n">
        <v>45711</v>
      </c>
      <c r="D2220" t="inlineStr">
        <is>
          <t>VÄRMLANDS LÄN</t>
        </is>
      </c>
      <c r="E2220" t="inlineStr">
        <is>
          <t>TORSBY</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14730-2024</t>
        </is>
      </c>
      <c r="B2221" s="1" t="n">
        <v>45397</v>
      </c>
      <c r="C2221" s="1" t="n">
        <v>45711</v>
      </c>
      <c r="D2221" t="inlineStr">
        <is>
          <t>VÄRMLANDS LÄN</t>
        </is>
      </c>
      <c r="E2221" t="inlineStr">
        <is>
          <t>TORSBY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14763-2024</t>
        </is>
      </c>
      <c r="B2222" s="1" t="n">
        <v>45397</v>
      </c>
      <c r="C2222" s="1" t="n">
        <v>45711</v>
      </c>
      <c r="D2222" t="inlineStr">
        <is>
          <t>VÄRMLANDS LÄN</t>
        </is>
      </c>
      <c r="E2222" t="inlineStr">
        <is>
          <t>TORSBY</t>
        </is>
      </c>
      <c r="F2222" t="inlineStr">
        <is>
          <t>Bergvik skog väst AB</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14872-2024</t>
        </is>
      </c>
      <c r="B2223" s="1" t="n">
        <v>45398</v>
      </c>
      <c r="C2223" s="1" t="n">
        <v>45711</v>
      </c>
      <c r="D2223" t="inlineStr">
        <is>
          <t>VÄRMLANDS LÄN</t>
        </is>
      </c>
      <c r="E2223" t="inlineStr">
        <is>
          <t>TORSBY</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14831-2024</t>
        </is>
      </c>
      <c r="B2224" s="1" t="n">
        <v>45398</v>
      </c>
      <c r="C2224" s="1" t="n">
        <v>45711</v>
      </c>
      <c r="D2224" t="inlineStr">
        <is>
          <t>VÄRMLANDS LÄN</t>
        </is>
      </c>
      <c r="E2224" t="inlineStr">
        <is>
          <t>TORSBY</t>
        </is>
      </c>
      <c r="F2224" t="inlineStr">
        <is>
          <t>Bergvik skog väst AB</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14949-2024</t>
        </is>
      </c>
      <c r="B2225" s="1" t="n">
        <v>45398</v>
      </c>
      <c r="C2225" s="1" t="n">
        <v>45711</v>
      </c>
      <c r="D2225" t="inlineStr">
        <is>
          <t>VÄRMLANDS LÄN</t>
        </is>
      </c>
      <c r="E2225" t="inlineStr">
        <is>
          <t>TORSBY</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14882-2024</t>
        </is>
      </c>
      <c r="B2226" s="1" t="n">
        <v>45398</v>
      </c>
      <c r="C2226" s="1" t="n">
        <v>45711</v>
      </c>
      <c r="D2226" t="inlineStr">
        <is>
          <t>VÄRMLANDS LÄN</t>
        </is>
      </c>
      <c r="E2226" t="inlineStr">
        <is>
          <t>TORSBY</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14860-2024</t>
        </is>
      </c>
      <c r="B2227" s="1" t="n">
        <v>45398</v>
      </c>
      <c r="C2227" s="1" t="n">
        <v>45711</v>
      </c>
      <c r="D2227" t="inlineStr">
        <is>
          <t>VÄRMLANDS LÄN</t>
        </is>
      </c>
      <c r="E2227" t="inlineStr">
        <is>
          <t>TORSBY</t>
        </is>
      </c>
      <c r="F2227" t="inlineStr">
        <is>
          <t>Kyrkan</t>
        </is>
      </c>
      <c r="G2227" t="n">
        <v>12.2</v>
      </c>
      <c r="H2227" t="n">
        <v>0</v>
      </c>
      <c r="I2227" t="n">
        <v>0</v>
      </c>
      <c r="J2227" t="n">
        <v>0</v>
      </c>
      <c r="K2227" t="n">
        <v>0</v>
      </c>
      <c r="L2227" t="n">
        <v>0</v>
      </c>
      <c r="M2227" t="n">
        <v>0</v>
      </c>
      <c r="N2227" t="n">
        <v>0</v>
      </c>
      <c r="O2227" t="n">
        <v>0</v>
      </c>
      <c r="P2227" t="n">
        <v>0</v>
      </c>
      <c r="Q2227" t="n">
        <v>0</v>
      </c>
      <c r="R2227" s="2" t="inlineStr"/>
    </row>
    <row r="2228" ht="15" customHeight="1">
      <c r="A2228" t="inlineStr">
        <is>
          <t>A 15083-2024</t>
        </is>
      </c>
      <c r="B2228" s="1" t="n">
        <v>45399</v>
      </c>
      <c r="C2228" s="1" t="n">
        <v>45711</v>
      </c>
      <c r="D2228" t="inlineStr">
        <is>
          <t>VÄRMLANDS LÄN</t>
        </is>
      </c>
      <c r="E2228" t="inlineStr">
        <is>
          <t>TORSBY</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15052-2024</t>
        </is>
      </c>
      <c r="B2229" s="1" t="n">
        <v>45399</v>
      </c>
      <c r="C2229" s="1" t="n">
        <v>45711</v>
      </c>
      <c r="D2229" t="inlineStr">
        <is>
          <t>VÄRMLANDS LÄN</t>
        </is>
      </c>
      <c r="E2229" t="inlineStr">
        <is>
          <t>TORSBY</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15064-2024</t>
        </is>
      </c>
      <c r="B2230" s="1" t="n">
        <v>45399</v>
      </c>
      <c r="C2230" s="1" t="n">
        <v>45711</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15101-2024</t>
        </is>
      </c>
      <c r="B2231" s="1" t="n">
        <v>45399</v>
      </c>
      <c r="C2231" s="1" t="n">
        <v>45711</v>
      </c>
      <c r="D2231" t="inlineStr">
        <is>
          <t>VÄRMLANDS LÄN</t>
        </is>
      </c>
      <c r="E2231" t="inlineStr">
        <is>
          <t>TORSBY</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15061-2024</t>
        </is>
      </c>
      <c r="B2232" s="1" t="n">
        <v>45399</v>
      </c>
      <c r="C2232" s="1" t="n">
        <v>45711</v>
      </c>
      <c r="D2232" t="inlineStr">
        <is>
          <t>VÄRMLANDS LÄN</t>
        </is>
      </c>
      <c r="E2232" t="inlineStr">
        <is>
          <t>TORSBY</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15126-2024</t>
        </is>
      </c>
      <c r="B2233" s="1" t="n">
        <v>45399</v>
      </c>
      <c r="C2233" s="1" t="n">
        <v>45711</v>
      </c>
      <c r="D2233" t="inlineStr">
        <is>
          <t>VÄRMLANDS LÄN</t>
        </is>
      </c>
      <c r="E2233" t="inlineStr">
        <is>
          <t>TORSBY</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15127-2024</t>
        </is>
      </c>
      <c r="B2234" s="1" t="n">
        <v>45399</v>
      </c>
      <c r="C2234" s="1" t="n">
        <v>45711</v>
      </c>
      <c r="D2234" t="inlineStr">
        <is>
          <t>VÄRMLANDS LÄN</t>
        </is>
      </c>
      <c r="E2234" t="inlineStr">
        <is>
          <t>TORSBY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15182-2024</t>
        </is>
      </c>
      <c r="B2235" s="1" t="n">
        <v>45400</v>
      </c>
      <c r="C2235" s="1" t="n">
        <v>45711</v>
      </c>
      <c r="D2235" t="inlineStr">
        <is>
          <t>VÄRMLANDS LÄN</t>
        </is>
      </c>
      <c r="E2235" t="inlineStr">
        <is>
          <t>TORSBY</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15180-2024</t>
        </is>
      </c>
      <c r="B2236" s="1" t="n">
        <v>45400</v>
      </c>
      <c r="C2236" s="1" t="n">
        <v>45711</v>
      </c>
      <c r="D2236" t="inlineStr">
        <is>
          <t>VÄRMLANDS LÄN</t>
        </is>
      </c>
      <c r="E2236" t="inlineStr">
        <is>
          <t>TORSBY</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15222-2024</t>
        </is>
      </c>
      <c r="B2237" s="1" t="n">
        <v>45400</v>
      </c>
      <c r="C2237" s="1" t="n">
        <v>45711</v>
      </c>
      <c r="D2237" t="inlineStr">
        <is>
          <t>VÄRMLANDS LÄN</t>
        </is>
      </c>
      <c r="E2237" t="inlineStr">
        <is>
          <t>TORSBY</t>
        </is>
      </c>
      <c r="F2237" t="inlineStr">
        <is>
          <t>Bergvik skog väst AB</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15274-2024</t>
        </is>
      </c>
      <c r="B2238" s="1" t="n">
        <v>45400</v>
      </c>
      <c r="C2238" s="1" t="n">
        <v>45711</v>
      </c>
      <c r="D2238" t="inlineStr">
        <is>
          <t>VÄRMLANDS LÄN</t>
        </is>
      </c>
      <c r="E2238" t="inlineStr">
        <is>
          <t>TORSBY</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15293-2024</t>
        </is>
      </c>
      <c r="B2239" s="1" t="n">
        <v>45400</v>
      </c>
      <c r="C2239" s="1" t="n">
        <v>45711</v>
      </c>
      <c r="D2239" t="inlineStr">
        <is>
          <t>VÄRMLANDS LÄN</t>
        </is>
      </c>
      <c r="E2239" t="inlineStr">
        <is>
          <t>TORSBY</t>
        </is>
      </c>
      <c r="F2239" t="inlineStr">
        <is>
          <t>Bergvik skog väst AB</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15175-2024</t>
        </is>
      </c>
      <c r="B2240" s="1" t="n">
        <v>45400</v>
      </c>
      <c r="C2240" s="1" t="n">
        <v>45711</v>
      </c>
      <c r="D2240" t="inlineStr">
        <is>
          <t>VÄRMLANDS LÄN</t>
        </is>
      </c>
      <c r="E2240" t="inlineStr">
        <is>
          <t>TORSBY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15315-2024</t>
        </is>
      </c>
      <c r="B2241" s="1" t="n">
        <v>45400</v>
      </c>
      <c r="C2241" s="1" t="n">
        <v>45711</v>
      </c>
      <c r="D2241" t="inlineStr">
        <is>
          <t>VÄRMLANDS LÄN</t>
        </is>
      </c>
      <c r="E2241" t="inlineStr">
        <is>
          <t>TORSBY</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15320-2024</t>
        </is>
      </c>
      <c r="B2242" s="1" t="n">
        <v>45400</v>
      </c>
      <c r="C2242" s="1" t="n">
        <v>45711</v>
      </c>
      <c r="D2242" t="inlineStr">
        <is>
          <t>VÄRMLANDS LÄN</t>
        </is>
      </c>
      <c r="E2242" t="inlineStr">
        <is>
          <t>TORSBY</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15425-2024</t>
        </is>
      </c>
      <c r="B2243" s="1" t="n">
        <v>45401</v>
      </c>
      <c r="C2243" s="1" t="n">
        <v>45711</v>
      </c>
      <c r="D2243" t="inlineStr">
        <is>
          <t>VÄRMLANDS LÄN</t>
        </is>
      </c>
      <c r="E2243" t="inlineStr">
        <is>
          <t>TORSBY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15503-2024</t>
        </is>
      </c>
      <c r="B2244" s="1" t="n">
        <v>45401</v>
      </c>
      <c r="C2244" s="1" t="n">
        <v>45711</v>
      </c>
      <c r="D2244" t="inlineStr">
        <is>
          <t>VÄRMLANDS LÄN</t>
        </is>
      </c>
      <c r="E2244" t="inlineStr">
        <is>
          <t>TORSBY</t>
        </is>
      </c>
      <c r="F2244" t="inlineStr">
        <is>
          <t>Bergvik skog väst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15465-2024</t>
        </is>
      </c>
      <c r="B2245" s="1" t="n">
        <v>45401</v>
      </c>
      <c r="C2245" s="1" t="n">
        <v>45711</v>
      </c>
      <c r="D2245" t="inlineStr">
        <is>
          <t>VÄRMLANDS LÄN</t>
        </is>
      </c>
      <c r="E2245" t="inlineStr">
        <is>
          <t>TORSBY</t>
        </is>
      </c>
      <c r="F2245" t="inlineStr">
        <is>
          <t>Bergvik skog väst AB</t>
        </is>
      </c>
      <c r="G2245" t="n">
        <v>24.6</v>
      </c>
      <c r="H2245" t="n">
        <v>0</v>
      </c>
      <c r="I2245" t="n">
        <v>0</v>
      </c>
      <c r="J2245" t="n">
        <v>0</v>
      </c>
      <c r="K2245" t="n">
        <v>0</v>
      </c>
      <c r="L2245" t="n">
        <v>0</v>
      </c>
      <c r="M2245" t="n">
        <v>0</v>
      </c>
      <c r="N2245" t="n">
        <v>0</v>
      </c>
      <c r="O2245" t="n">
        <v>0</v>
      </c>
      <c r="P2245" t="n">
        <v>0</v>
      </c>
      <c r="Q2245" t="n">
        <v>0</v>
      </c>
      <c r="R2245" s="2" t="inlineStr"/>
    </row>
    <row r="2246" ht="15" customHeight="1">
      <c r="A2246" t="inlineStr">
        <is>
          <t>A 15730-2024</t>
        </is>
      </c>
      <c r="B2246" s="1" t="n">
        <v>45404</v>
      </c>
      <c r="C2246" s="1" t="n">
        <v>45711</v>
      </c>
      <c r="D2246" t="inlineStr">
        <is>
          <t>VÄRMLANDS LÄN</t>
        </is>
      </c>
      <c r="E2246" t="inlineStr">
        <is>
          <t>TORSBY</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15758-2024</t>
        </is>
      </c>
      <c r="B2247" s="1" t="n">
        <v>45404</v>
      </c>
      <c r="C2247" s="1" t="n">
        <v>45711</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15943-2024</t>
        </is>
      </c>
      <c r="B2248" s="1" t="n">
        <v>45405</v>
      </c>
      <c r="C2248" s="1" t="n">
        <v>45711</v>
      </c>
      <c r="D2248" t="inlineStr">
        <is>
          <t>VÄRMLANDS LÄN</t>
        </is>
      </c>
      <c r="E2248" t="inlineStr">
        <is>
          <t>TORSBY</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15896-2024</t>
        </is>
      </c>
      <c r="B2249" s="1" t="n">
        <v>45405</v>
      </c>
      <c r="C2249" s="1" t="n">
        <v>45711</v>
      </c>
      <c r="D2249" t="inlineStr">
        <is>
          <t>VÄRMLANDS LÄN</t>
        </is>
      </c>
      <c r="E2249" t="inlineStr">
        <is>
          <t>TORSBY</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15892-2024</t>
        </is>
      </c>
      <c r="B2250" s="1" t="n">
        <v>45405</v>
      </c>
      <c r="C2250" s="1" t="n">
        <v>45711</v>
      </c>
      <c r="D2250" t="inlineStr">
        <is>
          <t>VÄRMLANDS LÄN</t>
        </is>
      </c>
      <c r="E2250" t="inlineStr">
        <is>
          <t>TORSBY</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15899-2024</t>
        </is>
      </c>
      <c r="B2251" s="1" t="n">
        <v>45405</v>
      </c>
      <c r="C2251" s="1" t="n">
        <v>45711</v>
      </c>
      <c r="D2251" t="inlineStr">
        <is>
          <t>VÄRMLANDS LÄN</t>
        </is>
      </c>
      <c r="E2251" t="inlineStr">
        <is>
          <t>TORSBY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15874-2024</t>
        </is>
      </c>
      <c r="B2252" s="1" t="n">
        <v>45405</v>
      </c>
      <c r="C2252" s="1" t="n">
        <v>45711</v>
      </c>
      <c r="D2252" t="inlineStr">
        <is>
          <t>VÄRMLANDS LÄN</t>
        </is>
      </c>
      <c r="E2252" t="inlineStr">
        <is>
          <t>TORSBY</t>
        </is>
      </c>
      <c r="F2252" t="inlineStr">
        <is>
          <t>Bergvik skog väst AB</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16073-2024</t>
        </is>
      </c>
      <c r="B2253" s="1" t="n">
        <v>45406</v>
      </c>
      <c r="C2253" s="1" t="n">
        <v>45711</v>
      </c>
      <c r="D2253" t="inlineStr">
        <is>
          <t>VÄRMLANDS LÄN</t>
        </is>
      </c>
      <c r="E2253" t="inlineStr">
        <is>
          <t>TORSBY</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16369-2024</t>
        </is>
      </c>
      <c r="B2254" s="1" t="n">
        <v>45407</v>
      </c>
      <c r="C2254" s="1" t="n">
        <v>45711</v>
      </c>
      <c r="D2254" t="inlineStr">
        <is>
          <t>VÄRMLANDS LÄN</t>
        </is>
      </c>
      <c r="E2254" t="inlineStr">
        <is>
          <t>TORSBY</t>
        </is>
      </c>
      <c r="F2254" t="inlineStr">
        <is>
          <t>Kommuner</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16517-2024</t>
        </is>
      </c>
      <c r="B2255" s="1" t="n">
        <v>45408</v>
      </c>
      <c r="C2255" s="1" t="n">
        <v>45711</v>
      </c>
      <c r="D2255" t="inlineStr">
        <is>
          <t>VÄRMLANDS LÄN</t>
        </is>
      </c>
      <c r="E2255" t="inlineStr">
        <is>
          <t>TORSBY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16585-2024</t>
        </is>
      </c>
      <c r="B2256" s="1" t="n">
        <v>45408</v>
      </c>
      <c r="C2256" s="1" t="n">
        <v>45711</v>
      </c>
      <c r="D2256" t="inlineStr">
        <is>
          <t>VÄRMLANDS LÄN</t>
        </is>
      </c>
      <c r="E2256" t="inlineStr">
        <is>
          <t>TORSBY</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16654-2024</t>
        </is>
      </c>
      <c r="B2257" s="1" t="n">
        <v>45408</v>
      </c>
      <c r="C2257" s="1" t="n">
        <v>45711</v>
      </c>
      <c r="D2257" t="inlineStr">
        <is>
          <t>VÄRMLANDS LÄN</t>
        </is>
      </c>
      <c r="E2257" t="inlineStr">
        <is>
          <t>TORSBY</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16488-2024</t>
        </is>
      </c>
      <c r="B2258" s="1" t="n">
        <v>45408</v>
      </c>
      <c r="C2258" s="1" t="n">
        <v>45711</v>
      </c>
      <c r="D2258" t="inlineStr">
        <is>
          <t>VÄRMLANDS LÄN</t>
        </is>
      </c>
      <c r="E2258" t="inlineStr">
        <is>
          <t>TORSBY</t>
        </is>
      </c>
      <c r="F2258" t="inlineStr">
        <is>
          <t>Bergvik skog väst AB</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16544-2024</t>
        </is>
      </c>
      <c r="B2259" s="1" t="n">
        <v>45408</v>
      </c>
      <c r="C2259" s="1" t="n">
        <v>45711</v>
      </c>
      <c r="D2259" t="inlineStr">
        <is>
          <t>VÄRMLANDS LÄN</t>
        </is>
      </c>
      <c r="E2259" t="inlineStr">
        <is>
          <t>TORSBY</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16592-2024</t>
        </is>
      </c>
      <c r="B2260" s="1" t="n">
        <v>45408</v>
      </c>
      <c r="C2260" s="1" t="n">
        <v>45711</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16583-2024</t>
        </is>
      </c>
      <c r="B2261" s="1" t="n">
        <v>45408</v>
      </c>
      <c r="C2261" s="1" t="n">
        <v>45711</v>
      </c>
      <c r="D2261" t="inlineStr">
        <is>
          <t>VÄRMLANDS LÄN</t>
        </is>
      </c>
      <c r="E2261" t="inlineStr">
        <is>
          <t>TORSBY</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16591-2024</t>
        </is>
      </c>
      <c r="B2262" s="1" t="n">
        <v>45408</v>
      </c>
      <c r="C2262" s="1" t="n">
        <v>45711</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16586-2024</t>
        </is>
      </c>
      <c r="B2263" s="1" t="n">
        <v>45408</v>
      </c>
      <c r="C2263" s="1" t="n">
        <v>45711</v>
      </c>
      <c r="D2263" t="inlineStr">
        <is>
          <t>VÄRMLANDS LÄN</t>
        </is>
      </c>
      <c r="E2263" t="inlineStr">
        <is>
          <t>TORSBY</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16730-2024</t>
        </is>
      </c>
      <c r="B2264" s="1" t="n">
        <v>45410</v>
      </c>
      <c r="C2264" s="1" t="n">
        <v>45711</v>
      </c>
      <c r="D2264" t="inlineStr">
        <is>
          <t>VÄRMLANDS LÄN</t>
        </is>
      </c>
      <c r="E2264" t="inlineStr">
        <is>
          <t>TORSBY</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16891-2024</t>
        </is>
      </c>
      <c r="B2265" s="1" t="n">
        <v>45411</v>
      </c>
      <c r="C2265" s="1" t="n">
        <v>45711</v>
      </c>
      <c r="D2265" t="inlineStr">
        <is>
          <t>VÄRMLANDS LÄN</t>
        </is>
      </c>
      <c r="E2265" t="inlineStr">
        <is>
          <t>TORSBY</t>
        </is>
      </c>
      <c r="F2265" t="inlineStr">
        <is>
          <t>Bergvik skog väst AB</t>
        </is>
      </c>
      <c r="G2265" t="n">
        <v>8.5</v>
      </c>
      <c r="H2265" t="n">
        <v>0</v>
      </c>
      <c r="I2265" t="n">
        <v>0</v>
      </c>
      <c r="J2265" t="n">
        <v>0</v>
      </c>
      <c r="K2265" t="n">
        <v>0</v>
      </c>
      <c r="L2265" t="n">
        <v>0</v>
      </c>
      <c r="M2265" t="n">
        <v>0</v>
      </c>
      <c r="N2265" t="n">
        <v>0</v>
      </c>
      <c r="O2265" t="n">
        <v>0</v>
      </c>
      <c r="P2265" t="n">
        <v>0</v>
      </c>
      <c r="Q2265" t="n">
        <v>0</v>
      </c>
      <c r="R2265" s="2" t="inlineStr"/>
    </row>
    <row r="2266" ht="15" customHeight="1">
      <c r="A2266" t="inlineStr">
        <is>
          <t>A 16961-2024</t>
        </is>
      </c>
      <c r="B2266" s="1" t="n">
        <v>45412</v>
      </c>
      <c r="C2266" s="1" t="n">
        <v>45711</v>
      </c>
      <c r="D2266" t="inlineStr">
        <is>
          <t>VÄRMLANDS LÄN</t>
        </is>
      </c>
      <c r="E2266" t="inlineStr">
        <is>
          <t>TORSBY</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16841-2024</t>
        </is>
      </c>
      <c r="B2267" s="1" t="n">
        <v>45411</v>
      </c>
      <c r="C2267" s="1" t="n">
        <v>45711</v>
      </c>
      <c r="D2267" t="inlineStr">
        <is>
          <t>VÄRMLANDS LÄN</t>
        </is>
      </c>
      <c r="E2267" t="inlineStr">
        <is>
          <t>TORSBY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16780-2024</t>
        </is>
      </c>
      <c r="B2268" s="1" t="n">
        <v>45411</v>
      </c>
      <c r="C2268" s="1" t="n">
        <v>45711</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16789-2024</t>
        </is>
      </c>
      <c r="B2269" s="1" t="n">
        <v>45411</v>
      </c>
      <c r="C2269" s="1" t="n">
        <v>45711</v>
      </c>
      <c r="D2269" t="inlineStr">
        <is>
          <t>VÄRMLANDS LÄN</t>
        </is>
      </c>
      <c r="E2269" t="inlineStr">
        <is>
          <t>TORSBY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17008-2024</t>
        </is>
      </c>
      <c r="B2270" s="1" t="n">
        <v>45412</v>
      </c>
      <c r="C2270" s="1" t="n">
        <v>45711</v>
      </c>
      <c r="D2270" t="inlineStr">
        <is>
          <t>VÄRMLANDS LÄN</t>
        </is>
      </c>
      <c r="E2270" t="inlineStr">
        <is>
          <t>TORSBY</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17001-2024</t>
        </is>
      </c>
      <c r="B2271" s="1" t="n">
        <v>45412</v>
      </c>
      <c r="C2271" s="1" t="n">
        <v>45711</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17083-2024</t>
        </is>
      </c>
      <c r="B2272" s="1" t="n">
        <v>45412</v>
      </c>
      <c r="C2272" s="1" t="n">
        <v>45711</v>
      </c>
      <c r="D2272" t="inlineStr">
        <is>
          <t>VÄRMLANDS LÄN</t>
        </is>
      </c>
      <c r="E2272" t="inlineStr">
        <is>
          <t>TORSBY</t>
        </is>
      </c>
      <c r="F2272" t="inlineStr">
        <is>
          <t>Bergvik skog väst AB</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17024-2024</t>
        </is>
      </c>
      <c r="B2273" s="1" t="n">
        <v>45412</v>
      </c>
      <c r="C2273" s="1" t="n">
        <v>45711</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17017-2024</t>
        </is>
      </c>
      <c r="B2274" s="1" t="n">
        <v>45412</v>
      </c>
      <c r="C2274" s="1" t="n">
        <v>45711</v>
      </c>
      <c r="D2274" t="inlineStr">
        <is>
          <t>VÄRMLANDS LÄN</t>
        </is>
      </c>
      <c r="E2274" t="inlineStr">
        <is>
          <t>TORSBY</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17047-2024</t>
        </is>
      </c>
      <c r="B2275" s="1" t="n">
        <v>45412</v>
      </c>
      <c r="C2275" s="1" t="n">
        <v>45711</v>
      </c>
      <c r="D2275" t="inlineStr">
        <is>
          <t>VÄRMLANDS LÄN</t>
        </is>
      </c>
      <c r="E2275" t="inlineStr">
        <is>
          <t>TORSBY</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17265-2024</t>
        </is>
      </c>
      <c r="B2276" s="1" t="n">
        <v>45414</v>
      </c>
      <c r="C2276" s="1" t="n">
        <v>45711</v>
      </c>
      <c r="D2276" t="inlineStr">
        <is>
          <t>VÄRMLANDS LÄN</t>
        </is>
      </c>
      <c r="E2276" t="inlineStr">
        <is>
          <t>TORSBY</t>
        </is>
      </c>
      <c r="F2276" t="inlineStr">
        <is>
          <t>Bergvik skog väst AB</t>
        </is>
      </c>
      <c r="G2276" t="n">
        <v>23.9</v>
      </c>
      <c r="H2276" t="n">
        <v>0</v>
      </c>
      <c r="I2276" t="n">
        <v>0</v>
      </c>
      <c r="J2276" t="n">
        <v>0</v>
      </c>
      <c r="K2276" t="n">
        <v>0</v>
      </c>
      <c r="L2276" t="n">
        <v>0</v>
      </c>
      <c r="M2276" t="n">
        <v>0</v>
      </c>
      <c r="N2276" t="n">
        <v>0</v>
      </c>
      <c r="O2276" t="n">
        <v>0</v>
      </c>
      <c r="P2276" t="n">
        <v>0</v>
      </c>
      <c r="Q2276" t="n">
        <v>0</v>
      </c>
      <c r="R2276" s="2" t="inlineStr"/>
    </row>
    <row r="2277" ht="15" customHeight="1">
      <c r="A2277" t="inlineStr">
        <is>
          <t>A 17285-2024</t>
        </is>
      </c>
      <c r="B2277" s="1" t="n">
        <v>45414</v>
      </c>
      <c r="C2277" s="1" t="n">
        <v>45711</v>
      </c>
      <c r="D2277" t="inlineStr">
        <is>
          <t>VÄRMLANDS LÄN</t>
        </is>
      </c>
      <c r="E2277" t="inlineStr">
        <is>
          <t>TORSBY</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17233-2024</t>
        </is>
      </c>
      <c r="B2278" s="1" t="n">
        <v>45414</v>
      </c>
      <c r="C2278" s="1" t="n">
        <v>45711</v>
      </c>
      <c r="D2278" t="inlineStr">
        <is>
          <t>VÄRMLANDS LÄN</t>
        </is>
      </c>
      <c r="E2278" t="inlineStr">
        <is>
          <t>TORSBY</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17390-2024</t>
        </is>
      </c>
      <c r="B2279" s="1" t="n">
        <v>45414</v>
      </c>
      <c r="C2279" s="1" t="n">
        <v>45711</v>
      </c>
      <c r="D2279" t="inlineStr">
        <is>
          <t>VÄRMLANDS LÄN</t>
        </is>
      </c>
      <c r="E2279" t="inlineStr">
        <is>
          <t>TORSBY</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17364-2024</t>
        </is>
      </c>
      <c r="B2280" s="1" t="n">
        <v>45414</v>
      </c>
      <c r="C2280" s="1" t="n">
        <v>45711</v>
      </c>
      <c r="D2280" t="inlineStr">
        <is>
          <t>VÄRMLANDS LÄN</t>
        </is>
      </c>
      <c r="E2280" t="inlineStr">
        <is>
          <t>TORSBY</t>
        </is>
      </c>
      <c r="F2280" t="inlineStr">
        <is>
          <t>Bergvik skog väst AB</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17556-2024</t>
        </is>
      </c>
      <c r="B2281" s="1" t="n">
        <v>45415</v>
      </c>
      <c r="C2281" s="1" t="n">
        <v>45711</v>
      </c>
      <c r="D2281" t="inlineStr">
        <is>
          <t>VÄRMLANDS LÄN</t>
        </is>
      </c>
      <c r="E2281" t="inlineStr">
        <is>
          <t>TORSBY</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17525-2024</t>
        </is>
      </c>
      <c r="B2282" s="1" t="n">
        <v>45415</v>
      </c>
      <c r="C2282" s="1" t="n">
        <v>45711</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17562-2024</t>
        </is>
      </c>
      <c r="B2283" s="1" t="n">
        <v>45415</v>
      </c>
      <c r="C2283" s="1" t="n">
        <v>45711</v>
      </c>
      <c r="D2283" t="inlineStr">
        <is>
          <t>VÄRMLANDS LÄN</t>
        </is>
      </c>
      <c r="E2283" t="inlineStr">
        <is>
          <t>TORSBY</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17450-2024</t>
        </is>
      </c>
      <c r="B2284" s="1" t="n">
        <v>45415</v>
      </c>
      <c r="C2284" s="1" t="n">
        <v>45711</v>
      </c>
      <c r="D2284" t="inlineStr">
        <is>
          <t>VÄRMLANDS LÄN</t>
        </is>
      </c>
      <c r="E2284" t="inlineStr">
        <is>
          <t>TORSBY</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17530-2024</t>
        </is>
      </c>
      <c r="B2285" s="1" t="n">
        <v>45415</v>
      </c>
      <c r="C2285" s="1" t="n">
        <v>45711</v>
      </c>
      <c r="D2285" t="inlineStr">
        <is>
          <t>VÄRMLANDS LÄN</t>
        </is>
      </c>
      <c r="E2285" t="inlineStr">
        <is>
          <t>TORSBY</t>
        </is>
      </c>
      <c r="G2285" t="n">
        <v>11.1</v>
      </c>
      <c r="H2285" t="n">
        <v>0</v>
      </c>
      <c r="I2285" t="n">
        <v>0</v>
      </c>
      <c r="J2285" t="n">
        <v>0</v>
      </c>
      <c r="K2285" t="n">
        <v>0</v>
      </c>
      <c r="L2285" t="n">
        <v>0</v>
      </c>
      <c r="M2285" t="n">
        <v>0</v>
      </c>
      <c r="N2285" t="n">
        <v>0</v>
      </c>
      <c r="O2285" t="n">
        <v>0</v>
      </c>
      <c r="P2285" t="n">
        <v>0</v>
      </c>
      <c r="Q2285" t="n">
        <v>0</v>
      </c>
      <c r="R2285" s="2" t="inlineStr"/>
    </row>
    <row r="2286" ht="15" customHeight="1">
      <c r="A2286" t="inlineStr">
        <is>
          <t>A 17687-2024</t>
        </is>
      </c>
      <c r="B2286" s="1" t="n">
        <v>45418</v>
      </c>
      <c r="C2286" s="1" t="n">
        <v>45711</v>
      </c>
      <c r="D2286" t="inlineStr">
        <is>
          <t>VÄRMLANDS LÄN</t>
        </is>
      </c>
      <c r="E2286" t="inlineStr">
        <is>
          <t>TORSBY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17717-2024</t>
        </is>
      </c>
      <c r="B2287" s="1" t="n">
        <v>45418</v>
      </c>
      <c r="C2287" s="1" t="n">
        <v>45711</v>
      </c>
      <c r="D2287" t="inlineStr">
        <is>
          <t>VÄRMLANDS LÄN</t>
        </is>
      </c>
      <c r="E2287" t="inlineStr">
        <is>
          <t>TORSBY</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17959-2024</t>
        </is>
      </c>
      <c r="B2288" s="1" t="n">
        <v>45419</v>
      </c>
      <c r="C2288" s="1" t="n">
        <v>45711</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17921-2024</t>
        </is>
      </c>
      <c r="B2289" s="1" t="n">
        <v>45419</v>
      </c>
      <c r="C2289" s="1" t="n">
        <v>45711</v>
      </c>
      <c r="D2289" t="inlineStr">
        <is>
          <t>VÄRMLANDS LÄN</t>
        </is>
      </c>
      <c r="E2289" t="inlineStr">
        <is>
          <t>TORSBY</t>
        </is>
      </c>
      <c r="F2289" t="inlineStr">
        <is>
          <t>Bergvik skog väst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17837-2024</t>
        </is>
      </c>
      <c r="B2290" s="1" t="n">
        <v>45419</v>
      </c>
      <c r="C2290" s="1" t="n">
        <v>45711</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17879-2024</t>
        </is>
      </c>
      <c r="B2291" s="1" t="n">
        <v>45419</v>
      </c>
      <c r="C2291" s="1" t="n">
        <v>45711</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17931-2024</t>
        </is>
      </c>
      <c r="B2292" s="1" t="n">
        <v>45419</v>
      </c>
      <c r="C2292" s="1" t="n">
        <v>45711</v>
      </c>
      <c r="D2292" t="inlineStr">
        <is>
          <t>VÄRMLANDS LÄN</t>
        </is>
      </c>
      <c r="E2292" t="inlineStr">
        <is>
          <t>TORSBY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18125-2024</t>
        </is>
      </c>
      <c r="B2293" s="1" t="n">
        <v>45420</v>
      </c>
      <c r="C2293" s="1" t="n">
        <v>45711</v>
      </c>
      <c r="D2293" t="inlineStr">
        <is>
          <t>VÄRMLANDS LÄN</t>
        </is>
      </c>
      <c r="E2293" t="inlineStr">
        <is>
          <t>TORSBY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18155-2024</t>
        </is>
      </c>
      <c r="B2294" s="1" t="n">
        <v>45420</v>
      </c>
      <c r="C2294" s="1" t="n">
        <v>45711</v>
      </c>
      <c r="D2294" t="inlineStr">
        <is>
          <t>VÄRMLANDS LÄN</t>
        </is>
      </c>
      <c r="E2294" t="inlineStr">
        <is>
          <t>TORSBY</t>
        </is>
      </c>
      <c r="F2294" t="inlineStr">
        <is>
          <t>Bergvik skog väst AB</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18339-2024</t>
        </is>
      </c>
      <c r="B2295" s="1" t="n">
        <v>45422</v>
      </c>
      <c r="C2295" s="1" t="n">
        <v>45711</v>
      </c>
      <c r="D2295" t="inlineStr">
        <is>
          <t>VÄRMLANDS LÄN</t>
        </is>
      </c>
      <c r="E2295" t="inlineStr">
        <is>
          <t>TORSBY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18330-2024</t>
        </is>
      </c>
      <c r="B2296" s="1" t="n">
        <v>45422</v>
      </c>
      <c r="C2296" s="1" t="n">
        <v>45711</v>
      </c>
      <c r="D2296" t="inlineStr">
        <is>
          <t>VÄRMLANDS LÄN</t>
        </is>
      </c>
      <c r="E2296" t="inlineStr">
        <is>
          <t>TORSBY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18308-2024</t>
        </is>
      </c>
      <c r="B2297" s="1" t="n">
        <v>45422</v>
      </c>
      <c r="C2297" s="1" t="n">
        <v>45711</v>
      </c>
      <c r="D2297" t="inlineStr">
        <is>
          <t>VÄRMLANDS LÄN</t>
        </is>
      </c>
      <c r="E2297" t="inlineStr">
        <is>
          <t>TORSBY</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18337-2024</t>
        </is>
      </c>
      <c r="B2298" s="1" t="n">
        <v>45422</v>
      </c>
      <c r="C2298" s="1" t="n">
        <v>45711</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18422-2024</t>
        </is>
      </c>
      <c r="B2299" s="1" t="n">
        <v>45425</v>
      </c>
      <c r="C2299" s="1" t="n">
        <v>45711</v>
      </c>
      <c r="D2299" t="inlineStr">
        <is>
          <t>VÄRMLANDS LÄN</t>
        </is>
      </c>
      <c r="E2299" t="inlineStr">
        <is>
          <t>TORSBY</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18682-2024</t>
        </is>
      </c>
      <c r="B2300" s="1" t="n">
        <v>45426</v>
      </c>
      <c r="C2300" s="1" t="n">
        <v>45711</v>
      </c>
      <c r="D2300" t="inlineStr">
        <is>
          <t>VÄRMLANDS LÄN</t>
        </is>
      </c>
      <c r="E2300" t="inlineStr">
        <is>
          <t>TORSBY</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18883-2024</t>
        </is>
      </c>
      <c r="B2301" s="1" t="n">
        <v>45426</v>
      </c>
      <c r="C2301" s="1" t="n">
        <v>45711</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18855-2024</t>
        </is>
      </c>
      <c r="B2302" s="1" t="n">
        <v>45426</v>
      </c>
      <c r="C2302" s="1" t="n">
        <v>45711</v>
      </c>
      <c r="D2302" t="inlineStr">
        <is>
          <t>VÄRMLANDS LÄN</t>
        </is>
      </c>
      <c r="E2302" t="inlineStr">
        <is>
          <t>TORSBY</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18890-2024</t>
        </is>
      </c>
      <c r="B2303" s="1" t="n">
        <v>45427</v>
      </c>
      <c r="C2303" s="1" t="n">
        <v>45711</v>
      </c>
      <c r="D2303" t="inlineStr">
        <is>
          <t>VÄRMLANDS LÄN</t>
        </is>
      </c>
      <c r="E2303" t="inlineStr">
        <is>
          <t>TORSBY</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18953-2024</t>
        </is>
      </c>
      <c r="B2304" s="1" t="n">
        <v>45427</v>
      </c>
      <c r="C2304" s="1" t="n">
        <v>45711</v>
      </c>
      <c r="D2304" t="inlineStr">
        <is>
          <t>VÄRMLANDS LÄN</t>
        </is>
      </c>
      <c r="E2304" t="inlineStr">
        <is>
          <t>TORSBY</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18959-2024</t>
        </is>
      </c>
      <c r="B2305" s="1" t="n">
        <v>45427</v>
      </c>
      <c r="C2305" s="1" t="n">
        <v>45711</v>
      </c>
      <c r="D2305" t="inlineStr">
        <is>
          <t>VÄRMLANDS LÄN</t>
        </is>
      </c>
      <c r="E2305" t="inlineStr">
        <is>
          <t>TORSBY</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18955-2024</t>
        </is>
      </c>
      <c r="B2306" s="1" t="n">
        <v>45427</v>
      </c>
      <c r="C2306" s="1" t="n">
        <v>45711</v>
      </c>
      <c r="D2306" t="inlineStr">
        <is>
          <t>VÄRMLANDS LÄN</t>
        </is>
      </c>
      <c r="E2306" t="inlineStr">
        <is>
          <t>TORSBY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18897-2024</t>
        </is>
      </c>
      <c r="B2307" s="1" t="n">
        <v>45427</v>
      </c>
      <c r="C2307" s="1" t="n">
        <v>45711</v>
      </c>
      <c r="D2307" t="inlineStr">
        <is>
          <t>VÄRMLANDS LÄN</t>
        </is>
      </c>
      <c r="E2307" t="inlineStr">
        <is>
          <t>TORSBY</t>
        </is>
      </c>
      <c r="F2307" t="inlineStr">
        <is>
          <t>Övriga statliga verk och myndigheter</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19029-2024</t>
        </is>
      </c>
      <c r="B2308" s="1" t="n">
        <v>45427</v>
      </c>
      <c r="C2308" s="1" t="n">
        <v>45711</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19136-2024</t>
        </is>
      </c>
      <c r="B2309" s="1" t="n">
        <v>45428</v>
      </c>
      <c r="C2309" s="1" t="n">
        <v>45711</v>
      </c>
      <c r="D2309" t="inlineStr">
        <is>
          <t>VÄRMLANDS LÄN</t>
        </is>
      </c>
      <c r="E2309" t="inlineStr">
        <is>
          <t>TORSBY</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19251-2024</t>
        </is>
      </c>
      <c r="B2310" s="1" t="n">
        <v>45428</v>
      </c>
      <c r="C2310" s="1" t="n">
        <v>45711</v>
      </c>
      <c r="D2310" t="inlineStr">
        <is>
          <t>VÄRMLANDS LÄN</t>
        </is>
      </c>
      <c r="E2310" t="inlineStr">
        <is>
          <t>TORSBY</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19215-2024</t>
        </is>
      </c>
      <c r="B2311" s="1" t="n">
        <v>45428</v>
      </c>
      <c r="C2311" s="1" t="n">
        <v>45711</v>
      </c>
      <c r="D2311" t="inlineStr">
        <is>
          <t>VÄRMLANDS LÄN</t>
        </is>
      </c>
      <c r="E2311" t="inlineStr">
        <is>
          <t>TORSBY</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19665-2024</t>
        </is>
      </c>
      <c r="B2312" s="1" t="n">
        <v>45432</v>
      </c>
      <c r="C2312" s="1" t="n">
        <v>45711</v>
      </c>
      <c r="D2312" t="inlineStr">
        <is>
          <t>VÄRMLANDS LÄN</t>
        </is>
      </c>
      <c r="E2312" t="inlineStr">
        <is>
          <t>TORSBY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19887-2024</t>
        </is>
      </c>
      <c r="B2313" s="1" t="n">
        <v>45433</v>
      </c>
      <c r="C2313" s="1" t="n">
        <v>45711</v>
      </c>
      <c r="D2313" t="inlineStr">
        <is>
          <t>VÄRMLANDS LÄN</t>
        </is>
      </c>
      <c r="E2313" t="inlineStr">
        <is>
          <t>TORSBY</t>
        </is>
      </c>
      <c r="G2313" t="n">
        <v>10.1</v>
      </c>
      <c r="H2313" t="n">
        <v>0</v>
      </c>
      <c r="I2313" t="n">
        <v>0</v>
      </c>
      <c r="J2313" t="n">
        <v>0</v>
      </c>
      <c r="K2313" t="n">
        <v>0</v>
      </c>
      <c r="L2313" t="n">
        <v>0</v>
      </c>
      <c r="M2313" t="n">
        <v>0</v>
      </c>
      <c r="N2313" t="n">
        <v>0</v>
      </c>
      <c r="O2313" t="n">
        <v>0</v>
      </c>
      <c r="P2313" t="n">
        <v>0</v>
      </c>
      <c r="Q2313" t="n">
        <v>0</v>
      </c>
      <c r="R2313" s="2" t="inlineStr"/>
    </row>
    <row r="2314" ht="15" customHeight="1">
      <c r="A2314" t="inlineStr">
        <is>
          <t>A 20440-2024</t>
        </is>
      </c>
      <c r="B2314" s="1" t="n">
        <v>45435</v>
      </c>
      <c r="C2314" s="1" t="n">
        <v>45711</v>
      </c>
      <c r="D2314" t="inlineStr">
        <is>
          <t>VÄRMLANDS LÄN</t>
        </is>
      </c>
      <c r="E2314" t="inlineStr">
        <is>
          <t>TORSBY</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20472-2024</t>
        </is>
      </c>
      <c r="B2315" s="1" t="n">
        <v>45435</v>
      </c>
      <c r="C2315" s="1" t="n">
        <v>45711</v>
      </c>
      <c r="D2315" t="inlineStr">
        <is>
          <t>VÄRMLANDS LÄN</t>
        </is>
      </c>
      <c r="E2315" t="inlineStr">
        <is>
          <t>TORSBY</t>
        </is>
      </c>
      <c r="F2315" t="inlineStr">
        <is>
          <t>Bergvik skog väst AB</t>
        </is>
      </c>
      <c r="G2315" t="n">
        <v>46.1</v>
      </c>
      <c r="H2315" t="n">
        <v>0</v>
      </c>
      <c r="I2315" t="n">
        <v>0</v>
      </c>
      <c r="J2315" t="n">
        <v>0</v>
      </c>
      <c r="K2315" t="n">
        <v>0</v>
      </c>
      <c r="L2315" t="n">
        <v>0</v>
      </c>
      <c r="M2315" t="n">
        <v>0</v>
      </c>
      <c r="N2315" t="n">
        <v>0</v>
      </c>
      <c r="O2315" t="n">
        <v>0</v>
      </c>
      <c r="P2315" t="n">
        <v>0</v>
      </c>
      <c r="Q2315" t="n">
        <v>0</v>
      </c>
      <c r="R2315" s="2" t="inlineStr"/>
    </row>
    <row r="2316" ht="15" customHeight="1">
      <c r="A2316" t="inlineStr">
        <is>
          <t>A 20645-2024</t>
        </is>
      </c>
      <c r="B2316" s="1" t="n">
        <v>45436</v>
      </c>
      <c r="C2316" s="1" t="n">
        <v>45711</v>
      </c>
      <c r="D2316" t="inlineStr">
        <is>
          <t>VÄRMLANDS LÄN</t>
        </is>
      </c>
      <c r="E2316" t="inlineStr">
        <is>
          <t>TORSBY</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20725-2024</t>
        </is>
      </c>
      <c r="B2317" s="1" t="n">
        <v>45436</v>
      </c>
      <c r="C2317" s="1" t="n">
        <v>45711</v>
      </c>
      <c r="D2317" t="inlineStr">
        <is>
          <t>VÄRMLANDS LÄN</t>
        </is>
      </c>
      <c r="E2317" t="inlineStr">
        <is>
          <t>TORSBY</t>
        </is>
      </c>
      <c r="F2317" t="inlineStr">
        <is>
          <t>Bergvik skog väst AB</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20633-2024</t>
        </is>
      </c>
      <c r="B2318" s="1" t="n">
        <v>45436</v>
      </c>
      <c r="C2318" s="1" t="n">
        <v>45711</v>
      </c>
      <c r="D2318" t="inlineStr">
        <is>
          <t>VÄRMLANDS LÄN</t>
        </is>
      </c>
      <c r="E2318" t="inlineStr">
        <is>
          <t>TORSBY</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20537-2024</t>
        </is>
      </c>
      <c r="B2319" s="1" t="n">
        <v>45436</v>
      </c>
      <c r="C2319" s="1" t="n">
        <v>45711</v>
      </c>
      <c r="D2319" t="inlineStr">
        <is>
          <t>VÄRMLANDS LÄN</t>
        </is>
      </c>
      <c r="E2319" t="inlineStr">
        <is>
          <t>TORSBY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20647-2024</t>
        </is>
      </c>
      <c r="B2320" s="1" t="n">
        <v>45436</v>
      </c>
      <c r="C2320" s="1" t="n">
        <v>45711</v>
      </c>
      <c r="D2320" t="inlineStr">
        <is>
          <t>VÄRMLANDS LÄN</t>
        </is>
      </c>
      <c r="E2320" t="inlineStr">
        <is>
          <t>TORSBY</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20872-2024</t>
        </is>
      </c>
      <c r="B2321" s="1" t="n">
        <v>45439</v>
      </c>
      <c r="C2321" s="1" t="n">
        <v>45711</v>
      </c>
      <c r="D2321" t="inlineStr">
        <is>
          <t>VÄRMLANDS LÄN</t>
        </is>
      </c>
      <c r="E2321" t="inlineStr">
        <is>
          <t>TORSBY</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21013-2024</t>
        </is>
      </c>
      <c r="B2322" s="1" t="n">
        <v>45439</v>
      </c>
      <c r="C2322" s="1" t="n">
        <v>45711</v>
      </c>
      <c r="D2322" t="inlineStr">
        <is>
          <t>VÄRMLANDS LÄN</t>
        </is>
      </c>
      <c r="E2322" t="inlineStr">
        <is>
          <t>TORSBY</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20982-2024</t>
        </is>
      </c>
      <c r="B2323" s="1" t="n">
        <v>45439</v>
      </c>
      <c r="C2323" s="1" t="n">
        <v>45711</v>
      </c>
      <c r="D2323" t="inlineStr">
        <is>
          <t>VÄRMLANDS LÄN</t>
        </is>
      </c>
      <c r="E2323" t="inlineStr">
        <is>
          <t>TORSBY</t>
        </is>
      </c>
      <c r="F2323" t="inlineStr">
        <is>
          <t>Bergvik skog väst AB</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20985-2024</t>
        </is>
      </c>
      <c r="B2324" s="1" t="n">
        <v>45439</v>
      </c>
      <c r="C2324" s="1" t="n">
        <v>45711</v>
      </c>
      <c r="D2324" t="inlineStr">
        <is>
          <t>VÄRMLANDS LÄN</t>
        </is>
      </c>
      <c r="E2324" t="inlineStr">
        <is>
          <t>TORSBY</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20968-2024</t>
        </is>
      </c>
      <c r="B2325" s="1" t="n">
        <v>45439</v>
      </c>
      <c r="C2325" s="1" t="n">
        <v>45711</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21280-2024</t>
        </is>
      </c>
      <c r="B2326" s="1" t="n">
        <v>45440</v>
      </c>
      <c r="C2326" s="1" t="n">
        <v>45711</v>
      </c>
      <c r="D2326" t="inlineStr">
        <is>
          <t>VÄRMLANDS LÄN</t>
        </is>
      </c>
      <c r="E2326" t="inlineStr">
        <is>
          <t>TORSBY</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21297-2024</t>
        </is>
      </c>
      <c r="B2327" s="1" t="n">
        <v>45440</v>
      </c>
      <c r="C2327" s="1" t="n">
        <v>45711</v>
      </c>
      <c r="D2327" t="inlineStr">
        <is>
          <t>VÄRMLANDS LÄN</t>
        </is>
      </c>
      <c r="E2327" t="inlineStr">
        <is>
          <t>TORSBY</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21308-2024</t>
        </is>
      </c>
      <c r="B2328" s="1" t="n">
        <v>45440</v>
      </c>
      <c r="C2328" s="1" t="n">
        <v>45711</v>
      </c>
      <c r="D2328" t="inlineStr">
        <is>
          <t>VÄRMLANDS LÄN</t>
        </is>
      </c>
      <c r="E2328" t="inlineStr">
        <is>
          <t>TORSBY</t>
        </is>
      </c>
      <c r="G2328" t="n">
        <v>18.9</v>
      </c>
      <c r="H2328" t="n">
        <v>0</v>
      </c>
      <c r="I2328" t="n">
        <v>0</v>
      </c>
      <c r="J2328" t="n">
        <v>0</v>
      </c>
      <c r="K2328" t="n">
        <v>0</v>
      </c>
      <c r="L2328" t="n">
        <v>0</v>
      </c>
      <c r="M2328" t="n">
        <v>0</v>
      </c>
      <c r="N2328" t="n">
        <v>0</v>
      </c>
      <c r="O2328" t="n">
        <v>0</v>
      </c>
      <c r="P2328" t="n">
        <v>0</v>
      </c>
      <c r="Q2328" t="n">
        <v>0</v>
      </c>
      <c r="R2328" s="2" t="inlineStr"/>
    </row>
    <row r="2329" ht="15" customHeight="1">
      <c r="A2329" t="inlineStr">
        <is>
          <t>A 21518-2024</t>
        </is>
      </c>
      <c r="B2329" s="1" t="n">
        <v>45441</v>
      </c>
      <c r="C2329" s="1" t="n">
        <v>45711</v>
      </c>
      <c r="D2329" t="inlineStr">
        <is>
          <t>VÄRMLANDS LÄN</t>
        </is>
      </c>
      <c r="E2329" t="inlineStr">
        <is>
          <t>TORSBY</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21542-2024</t>
        </is>
      </c>
      <c r="B2330" s="1" t="n">
        <v>45441</v>
      </c>
      <c r="C2330" s="1" t="n">
        <v>45711</v>
      </c>
      <c r="D2330" t="inlineStr">
        <is>
          <t>VÄRMLANDS LÄN</t>
        </is>
      </c>
      <c r="E2330" t="inlineStr">
        <is>
          <t>TORSBY</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21580-2024</t>
        </is>
      </c>
      <c r="B2331" s="1" t="n">
        <v>45441</v>
      </c>
      <c r="C2331" s="1" t="n">
        <v>45711</v>
      </c>
      <c r="D2331" t="inlineStr">
        <is>
          <t>VÄRMLANDS LÄN</t>
        </is>
      </c>
      <c r="E2331" t="inlineStr">
        <is>
          <t>TORSBY</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21586-2024</t>
        </is>
      </c>
      <c r="B2332" s="1" t="n">
        <v>45441</v>
      </c>
      <c r="C2332" s="1" t="n">
        <v>45711</v>
      </c>
      <c r="D2332" t="inlineStr">
        <is>
          <t>VÄRMLANDS LÄN</t>
        </is>
      </c>
      <c r="E2332" t="inlineStr">
        <is>
          <t>TORSBY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21581-2024</t>
        </is>
      </c>
      <c r="B2333" s="1" t="n">
        <v>45441</v>
      </c>
      <c r="C2333" s="1" t="n">
        <v>45711</v>
      </c>
      <c r="D2333" t="inlineStr">
        <is>
          <t>VÄRMLANDS LÄN</t>
        </is>
      </c>
      <c r="E2333" t="inlineStr">
        <is>
          <t>TORSBY</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21585-2024</t>
        </is>
      </c>
      <c r="B2334" s="1" t="n">
        <v>45441</v>
      </c>
      <c r="C2334" s="1" t="n">
        <v>45711</v>
      </c>
      <c r="D2334" t="inlineStr">
        <is>
          <t>VÄRMLANDS LÄN</t>
        </is>
      </c>
      <c r="E2334" t="inlineStr">
        <is>
          <t>TORSBY</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21587-2024</t>
        </is>
      </c>
      <c r="B2335" s="1" t="n">
        <v>45441</v>
      </c>
      <c r="C2335" s="1" t="n">
        <v>45711</v>
      </c>
      <c r="D2335" t="inlineStr">
        <is>
          <t>VÄRMLANDS LÄN</t>
        </is>
      </c>
      <c r="E2335" t="inlineStr">
        <is>
          <t>TORSBY</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21757-2024</t>
        </is>
      </c>
      <c r="B2336" s="1" t="n">
        <v>45442</v>
      </c>
      <c r="C2336" s="1" t="n">
        <v>45711</v>
      </c>
      <c r="D2336" t="inlineStr">
        <is>
          <t>VÄRMLANDS LÄN</t>
        </is>
      </c>
      <c r="E2336" t="inlineStr">
        <is>
          <t>TORSBY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21825-2024</t>
        </is>
      </c>
      <c r="B2337" s="1" t="n">
        <v>45442</v>
      </c>
      <c r="C2337" s="1" t="n">
        <v>45711</v>
      </c>
      <c r="D2337" t="inlineStr">
        <is>
          <t>VÄRMLANDS LÄN</t>
        </is>
      </c>
      <c r="E2337" t="inlineStr">
        <is>
          <t>TORSBY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21829-2024</t>
        </is>
      </c>
      <c r="B2338" s="1" t="n">
        <v>45442</v>
      </c>
      <c r="C2338" s="1" t="n">
        <v>45711</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21744-2024</t>
        </is>
      </c>
      <c r="B2339" s="1" t="n">
        <v>45442</v>
      </c>
      <c r="C2339" s="1" t="n">
        <v>45711</v>
      </c>
      <c r="D2339" t="inlineStr">
        <is>
          <t>VÄRMLANDS LÄN</t>
        </is>
      </c>
      <c r="E2339" t="inlineStr">
        <is>
          <t>TORSBY</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21828-2024</t>
        </is>
      </c>
      <c r="B2340" s="1" t="n">
        <v>45442</v>
      </c>
      <c r="C2340" s="1" t="n">
        <v>45711</v>
      </c>
      <c r="D2340" t="inlineStr">
        <is>
          <t>VÄRMLANDS LÄN</t>
        </is>
      </c>
      <c r="E2340" t="inlineStr">
        <is>
          <t>TORSBY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21930-2024</t>
        </is>
      </c>
      <c r="B2341" s="1" t="n">
        <v>45443</v>
      </c>
      <c r="C2341" s="1" t="n">
        <v>45711</v>
      </c>
      <c r="D2341" t="inlineStr">
        <is>
          <t>VÄRMLANDS LÄN</t>
        </is>
      </c>
      <c r="E2341" t="inlineStr">
        <is>
          <t>TORSBY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22216-2024</t>
        </is>
      </c>
      <c r="B2342" s="1" t="n">
        <v>45446</v>
      </c>
      <c r="C2342" s="1" t="n">
        <v>45711</v>
      </c>
      <c r="D2342" t="inlineStr">
        <is>
          <t>VÄRMLANDS LÄN</t>
        </is>
      </c>
      <c r="E2342" t="inlineStr">
        <is>
          <t>TORSBY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22483-2024</t>
        </is>
      </c>
      <c r="B2343" s="1" t="n">
        <v>45446</v>
      </c>
      <c r="C2343" s="1" t="n">
        <v>45711</v>
      </c>
      <c r="D2343" t="inlineStr">
        <is>
          <t>VÄRMLANDS LÄN</t>
        </is>
      </c>
      <c r="E2343" t="inlineStr">
        <is>
          <t>TORSBY</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22421-2024</t>
        </is>
      </c>
      <c r="B2344" s="1" t="n">
        <v>45446</v>
      </c>
      <c r="C2344" s="1" t="n">
        <v>45711</v>
      </c>
      <c r="D2344" t="inlineStr">
        <is>
          <t>VÄRMLANDS LÄN</t>
        </is>
      </c>
      <c r="E2344" t="inlineStr">
        <is>
          <t>TORSBY</t>
        </is>
      </c>
      <c r="G2344" t="n">
        <v>8.9</v>
      </c>
      <c r="H2344" t="n">
        <v>0</v>
      </c>
      <c r="I2344" t="n">
        <v>0</v>
      </c>
      <c r="J2344" t="n">
        <v>0</v>
      </c>
      <c r="K2344" t="n">
        <v>0</v>
      </c>
      <c r="L2344" t="n">
        <v>0</v>
      </c>
      <c r="M2344" t="n">
        <v>0</v>
      </c>
      <c r="N2344" t="n">
        <v>0</v>
      </c>
      <c r="O2344" t="n">
        <v>0</v>
      </c>
      <c r="P2344" t="n">
        <v>0</v>
      </c>
      <c r="Q2344" t="n">
        <v>0</v>
      </c>
      <c r="R2344" s="2" t="inlineStr"/>
    </row>
    <row r="2345" ht="15" customHeight="1">
      <c r="A2345" t="inlineStr">
        <is>
          <t>A 22426-2024</t>
        </is>
      </c>
      <c r="B2345" s="1" t="n">
        <v>45446</v>
      </c>
      <c r="C2345" s="1" t="n">
        <v>45711</v>
      </c>
      <c r="D2345" t="inlineStr">
        <is>
          <t>VÄRMLANDS LÄN</t>
        </is>
      </c>
      <c r="E2345" t="inlineStr">
        <is>
          <t>TORSBY</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22525-2024</t>
        </is>
      </c>
      <c r="B2346" s="1" t="n">
        <v>45447</v>
      </c>
      <c r="C2346" s="1" t="n">
        <v>45711</v>
      </c>
      <c r="D2346" t="inlineStr">
        <is>
          <t>VÄRMLANDS LÄN</t>
        </is>
      </c>
      <c r="E2346" t="inlineStr">
        <is>
          <t>TORSBY</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22565-2024</t>
        </is>
      </c>
      <c r="B2347" s="1" t="n">
        <v>45447</v>
      </c>
      <c r="C2347" s="1" t="n">
        <v>45711</v>
      </c>
      <c r="D2347" t="inlineStr">
        <is>
          <t>VÄRMLANDS LÄN</t>
        </is>
      </c>
      <c r="E2347" t="inlineStr">
        <is>
          <t>TORSBY</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22536-2024</t>
        </is>
      </c>
      <c r="B2348" s="1" t="n">
        <v>45447</v>
      </c>
      <c r="C2348" s="1" t="n">
        <v>45711</v>
      </c>
      <c r="D2348" t="inlineStr">
        <is>
          <t>VÄRMLANDS LÄN</t>
        </is>
      </c>
      <c r="E2348" t="inlineStr">
        <is>
          <t>TORSBY</t>
        </is>
      </c>
      <c r="G2348" t="n">
        <v>25.2</v>
      </c>
      <c r="H2348" t="n">
        <v>0</v>
      </c>
      <c r="I2348" t="n">
        <v>0</v>
      </c>
      <c r="J2348" t="n">
        <v>0</v>
      </c>
      <c r="K2348" t="n">
        <v>0</v>
      </c>
      <c r="L2348" t="n">
        <v>0</v>
      </c>
      <c r="M2348" t="n">
        <v>0</v>
      </c>
      <c r="N2348" t="n">
        <v>0</v>
      </c>
      <c r="O2348" t="n">
        <v>0</v>
      </c>
      <c r="P2348" t="n">
        <v>0</v>
      </c>
      <c r="Q2348" t="n">
        <v>0</v>
      </c>
      <c r="R2348" s="2" t="inlineStr"/>
    </row>
    <row r="2349" ht="15" customHeight="1">
      <c r="A2349" t="inlineStr">
        <is>
          <t>A 22844-2024</t>
        </is>
      </c>
      <c r="B2349" s="1" t="n">
        <v>45448</v>
      </c>
      <c r="C2349" s="1" t="n">
        <v>45711</v>
      </c>
      <c r="D2349" t="inlineStr">
        <is>
          <t>VÄRMLANDS LÄN</t>
        </is>
      </c>
      <c r="E2349" t="inlineStr">
        <is>
          <t>TORSBY</t>
        </is>
      </c>
      <c r="F2349" t="inlineStr">
        <is>
          <t>Bergvik skog väst AB</t>
        </is>
      </c>
      <c r="G2349" t="n">
        <v>16.3</v>
      </c>
      <c r="H2349" t="n">
        <v>0</v>
      </c>
      <c r="I2349" t="n">
        <v>0</v>
      </c>
      <c r="J2349" t="n">
        <v>0</v>
      </c>
      <c r="K2349" t="n">
        <v>0</v>
      </c>
      <c r="L2349" t="n">
        <v>0</v>
      </c>
      <c r="M2349" t="n">
        <v>0</v>
      </c>
      <c r="N2349" t="n">
        <v>0</v>
      </c>
      <c r="O2349" t="n">
        <v>0</v>
      </c>
      <c r="P2349" t="n">
        <v>0</v>
      </c>
      <c r="Q2349" t="n">
        <v>0</v>
      </c>
      <c r="R2349" s="2" t="inlineStr"/>
    </row>
    <row r="2350" ht="15" customHeight="1">
      <c r="A2350" t="inlineStr">
        <is>
          <t>A 22729-2024</t>
        </is>
      </c>
      <c r="B2350" s="1" t="n">
        <v>45448</v>
      </c>
      <c r="C2350" s="1" t="n">
        <v>45711</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22843-2024</t>
        </is>
      </c>
      <c r="B2351" s="1" t="n">
        <v>45448</v>
      </c>
      <c r="C2351" s="1" t="n">
        <v>45711</v>
      </c>
      <c r="D2351" t="inlineStr">
        <is>
          <t>VÄRMLANDS LÄN</t>
        </is>
      </c>
      <c r="E2351" t="inlineStr">
        <is>
          <t>TORSBY</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22973-2024</t>
        </is>
      </c>
      <c r="B2352" s="1" t="n">
        <v>45449</v>
      </c>
      <c r="C2352" s="1" t="n">
        <v>45711</v>
      </c>
      <c r="D2352" t="inlineStr">
        <is>
          <t>VÄRMLANDS LÄN</t>
        </is>
      </c>
      <c r="E2352" t="inlineStr">
        <is>
          <t>TORSBY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23042-2024</t>
        </is>
      </c>
      <c r="B2353" s="1" t="n">
        <v>45450</v>
      </c>
      <c r="C2353" s="1" t="n">
        <v>45711</v>
      </c>
      <c r="D2353" t="inlineStr">
        <is>
          <t>VÄRMLANDS LÄN</t>
        </is>
      </c>
      <c r="E2353" t="inlineStr">
        <is>
          <t>TORSBY</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23133-2024</t>
        </is>
      </c>
      <c r="B2354" s="1" t="n">
        <v>45450</v>
      </c>
      <c r="C2354" s="1" t="n">
        <v>45711</v>
      </c>
      <c r="D2354" t="inlineStr">
        <is>
          <t>VÄRMLANDS LÄN</t>
        </is>
      </c>
      <c r="E2354" t="inlineStr">
        <is>
          <t>TORSBY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23108-2024</t>
        </is>
      </c>
      <c r="B2355" s="1" t="n">
        <v>45450</v>
      </c>
      <c r="C2355" s="1" t="n">
        <v>45711</v>
      </c>
      <c r="D2355" t="inlineStr">
        <is>
          <t>VÄRMLANDS LÄN</t>
        </is>
      </c>
      <c r="E2355" t="inlineStr">
        <is>
          <t>TORSBY</t>
        </is>
      </c>
      <c r="F2355" t="inlineStr">
        <is>
          <t>Bergvik skog väst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23044-2024</t>
        </is>
      </c>
      <c r="B2356" s="1" t="n">
        <v>45450</v>
      </c>
      <c r="C2356" s="1" t="n">
        <v>45711</v>
      </c>
      <c r="D2356" t="inlineStr">
        <is>
          <t>VÄRMLANDS LÄN</t>
        </is>
      </c>
      <c r="E2356" t="inlineStr">
        <is>
          <t>TORSBY</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23106-2024</t>
        </is>
      </c>
      <c r="B2357" s="1" t="n">
        <v>45450</v>
      </c>
      <c r="C2357" s="1" t="n">
        <v>45711</v>
      </c>
      <c r="D2357" t="inlineStr">
        <is>
          <t>VÄRMLANDS LÄN</t>
        </is>
      </c>
      <c r="E2357" t="inlineStr">
        <is>
          <t>TORSBY</t>
        </is>
      </c>
      <c r="F2357" t="inlineStr">
        <is>
          <t>Bergvik skog väst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23423-2024</t>
        </is>
      </c>
      <c r="B2358" s="1" t="n">
        <v>45453</v>
      </c>
      <c r="C2358" s="1" t="n">
        <v>45711</v>
      </c>
      <c r="D2358" t="inlineStr">
        <is>
          <t>VÄRMLANDS LÄN</t>
        </is>
      </c>
      <c r="E2358" t="inlineStr">
        <is>
          <t>TORSBY</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23678-2024</t>
        </is>
      </c>
      <c r="B2359" s="1" t="n">
        <v>45454</v>
      </c>
      <c r="C2359" s="1" t="n">
        <v>45711</v>
      </c>
      <c r="D2359" t="inlineStr">
        <is>
          <t>VÄRMLANDS LÄN</t>
        </is>
      </c>
      <c r="E2359" t="inlineStr">
        <is>
          <t>TORSBY</t>
        </is>
      </c>
      <c r="F2359" t="inlineStr">
        <is>
          <t>Bergvik skog väst AB</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23719-2024</t>
        </is>
      </c>
      <c r="B2360" s="1" t="n">
        <v>45454</v>
      </c>
      <c r="C2360" s="1" t="n">
        <v>45711</v>
      </c>
      <c r="D2360" t="inlineStr">
        <is>
          <t>VÄRMLANDS LÄN</t>
        </is>
      </c>
      <c r="E2360" t="inlineStr">
        <is>
          <t>TORSBY</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23746-2024</t>
        </is>
      </c>
      <c r="B2361" s="1" t="n">
        <v>45454</v>
      </c>
      <c r="C2361" s="1" t="n">
        <v>45711</v>
      </c>
      <c r="D2361" t="inlineStr">
        <is>
          <t>VÄRMLANDS LÄN</t>
        </is>
      </c>
      <c r="E2361" t="inlineStr">
        <is>
          <t>TORSBY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23820-2024</t>
        </is>
      </c>
      <c r="B2362" s="1" t="n">
        <v>45455</v>
      </c>
      <c r="C2362" s="1" t="n">
        <v>45711</v>
      </c>
      <c r="D2362" t="inlineStr">
        <is>
          <t>VÄRMLANDS LÄN</t>
        </is>
      </c>
      <c r="E2362" t="inlineStr">
        <is>
          <t>TORSBY</t>
        </is>
      </c>
      <c r="F2362" t="inlineStr">
        <is>
          <t>Kyrkan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23846-2024</t>
        </is>
      </c>
      <c r="B2363" s="1" t="n">
        <v>45455</v>
      </c>
      <c r="C2363" s="1" t="n">
        <v>45711</v>
      </c>
      <c r="D2363" t="inlineStr">
        <is>
          <t>VÄRMLANDS LÄN</t>
        </is>
      </c>
      <c r="E2363" t="inlineStr">
        <is>
          <t>TORSBY</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23824-2024</t>
        </is>
      </c>
      <c r="B2364" s="1" t="n">
        <v>45455</v>
      </c>
      <c r="C2364" s="1" t="n">
        <v>45711</v>
      </c>
      <c r="D2364" t="inlineStr">
        <is>
          <t>VÄRMLANDS LÄN</t>
        </is>
      </c>
      <c r="E2364" t="inlineStr">
        <is>
          <t>TORSBY</t>
        </is>
      </c>
      <c r="F2364" t="inlineStr">
        <is>
          <t>Kyrkan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23845-2024</t>
        </is>
      </c>
      <c r="B2365" s="1" t="n">
        <v>45455</v>
      </c>
      <c r="C2365" s="1" t="n">
        <v>45711</v>
      </c>
      <c r="D2365" t="inlineStr">
        <is>
          <t>VÄRMLANDS LÄN</t>
        </is>
      </c>
      <c r="E2365" t="inlineStr">
        <is>
          <t>TORSBY</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23843-2024</t>
        </is>
      </c>
      <c r="B2366" s="1" t="n">
        <v>45455</v>
      </c>
      <c r="C2366" s="1" t="n">
        <v>45711</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23835-2024</t>
        </is>
      </c>
      <c r="B2367" s="1" t="n">
        <v>45455</v>
      </c>
      <c r="C2367" s="1" t="n">
        <v>45711</v>
      </c>
      <c r="D2367" t="inlineStr">
        <is>
          <t>VÄRMLANDS LÄN</t>
        </is>
      </c>
      <c r="E2367" t="inlineStr">
        <is>
          <t>TORSBY</t>
        </is>
      </c>
      <c r="F2367" t="inlineStr">
        <is>
          <t>Bergvik skog väst AB</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24020-2024</t>
        </is>
      </c>
      <c r="B2368" s="1" t="n">
        <v>45456</v>
      </c>
      <c r="C2368" s="1" t="n">
        <v>45711</v>
      </c>
      <c r="D2368" t="inlineStr">
        <is>
          <t>VÄRMLANDS LÄN</t>
        </is>
      </c>
      <c r="E2368" t="inlineStr">
        <is>
          <t>TORSBY</t>
        </is>
      </c>
      <c r="F2368" t="inlineStr">
        <is>
          <t>Bergvik skog väst AB</t>
        </is>
      </c>
      <c r="G2368" t="n">
        <v>19.4</v>
      </c>
      <c r="H2368" t="n">
        <v>0</v>
      </c>
      <c r="I2368" t="n">
        <v>0</v>
      </c>
      <c r="J2368" t="n">
        <v>0</v>
      </c>
      <c r="K2368" t="n">
        <v>0</v>
      </c>
      <c r="L2368" t="n">
        <v>0</v>
      </c>
      <c r="M2368" t="n">
        <v>0</v>
      </c>
      <c r="N2368" t="n">
        <v>0</v>
      </c>
      <c r="O2368" t="n">
        <v>0</v>
      </c>
      <c r="P2368" t="n">
        <v>0</v>
      </c>
      <c r="Q2368" t="n">
        <v>0</v>
      </c>
      <c r="R2368" s="2" t="inlineStr"/>
    </row>
    <row r="2369" ht="15" customHeight="1">
      <c r="A2369" t="inlineStr">
        <is>
          <t>A 23996-2024</t>
        </is>
      </c>
      <c r="B2369" s="1" t="n">
        <v>45456</v>
      </c>
      <c r="C2369" s="1" t="n">
        <v>45711</v>
      </c>
      <c r="D2369" t="inlineStr">
        <is>
          <t>VÄRMLANDS LÄN</t>
        </is>
      </c>
      <c r="E2369" t="inlineStr">
        <is>
          <t>TORSBY</t>
        </is>
      </c>
      <c r="F2369" t="inlineStr">
        <is>
          <t>Bergvik skog väst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24004-2024</t>
        </is>
      </c>
      <c r="B2370" s="1" t="n">
        <v>45456</v>
      </c>
      <c r="C2370" s="1" t="n">
        <v>45711</v>
      </c>
      <c r="D2370" t="inlineStr">
        <is>
          <t>VÄRMLANDS LÄN</t>
        </is>
      </c>
      <c r="E2370" t="inlineStr">
        <is>
          <t>TORSBY</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24148-2024</t>
        </is>
      </c>
      <c r="B2371" s="1" t="n">
        <v>45456</v>
      </c>
      <c r="C2371" s="1" t="n">
        <v>45711</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24182-2024</t>
        </is>
      </c>
      <c r="B2372" s="1" t="n">
        <v>45456</v>
      </c>
      <c r="C2372" s="1" t="n">
        <v>45711</v>
      </c>
      <c r="D2372" t="inlineStr">
        <is>
          <t>VÄRMLANDS LÄN</t>
        </is>
      </c>
      <c r="E2372" t="inlineStr">
        <is>
          <t>TORSBY</t>
        </is>
      </c>
      <c r="F2372" t="inlineStr">
        <is>
          <t>Bergvik skog väst AB</t>
        </is>
      </c>
      <c r="G2372" t="n">
        <v>28.9</v>
      </c>
      <c r="H2372" t="n">
        <v>0</v>
      </c>
      <c r="I2372" t="n">
        <v>0</v>
      </c>
      <c r="J2372" t="n">
        <v>0</v>
      </c>
      <c r="K2372" t="n">
        <v>0</v>
      </c>
      <c r="L2372" t="n">
        <v>0</v>
      </c>
      <c r="M2372" t="n">
        <v>0</v>
      </c>
      <c r="N2372" t="n">
        <v>0</v>
      </c>
      <c r="O2372" t="n">
        <v>0</v>
      </c>
      <c r="P2372" t="n">
        <v>0</v>
      </c>
      <c r="Q2372" t="n">
        <v>0</v>
      </c>
      <c r="R2372" s="2" t="inlineStr"/>
    </row>
    <row r="2373" ht="15" customHeight="1">
      <c r="A2373" t="inlineStr">
        <is>
          <t>A 24087-2024</t>
        </is>
      </c>
      <c r="B2373" s="1" t="n">
        <v>45456</v>
      </c>
      <c r="C2373" s="1" t="n">
        <v>45711</v>
      </c>
      <c r="D2373" t="inlineStr">
        <is>
          <t>VÄRMLANDS LÄN</t>
        </is>
      </c>
      <c r="E2373" t="inlineStr">
        <is>
          <t>TORSBY</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24113-2024</t>
        </is>
      </c>
      <c r="B2374" s="1" t="n">
        <v>45456</v>
      </c>
      <c r="C2374" s="1" t="n">
        <v>45711</v>
      </c>
      <c r="D2374" t="inlineStr">
        <is>
          <t>VÄRMLANDS LÄN</t>
        </is>
      </c>
      <c r="E2374" t="inlineStr">
        <is>
          <t>TORSBY</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24242-2024</t>
        </is>
      </c>
      <c r="B2375" s="1" t="n">
        <v>45457</v>
      </c>
      <c r="C2375" s="1" t="n">
        <v>45711</v>
      </c>
      <c r="D2375" t="inlineStr">
        <is>
          <t>VÄRMLANDS LÄN</t>
        </is>
      </c>
      <c r="E2375" t="inlineStr">
        <is>
          <t>TORSBY</t>
        </is>
      </c>
      <c r="F2375" t="inlineStr">
        <is>
          <t>Bergvik skog väst AB</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24261-2024</t>
        </is>
      </c>
      <c r="B2376" s="1" t="n">
        <v>45457</v>
      </c>
      <c r="C2376" s="1" t="n">
        <v>45711</v>
      </c>
      <c r="D2376" t="inlineStr">
        <is>
          <t>VÄRMLANDS LÄN</t>
        </is>
      </c>
      <c r="E2376" t="inlineStr">
        <is>
          <t>TORSBY</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24267-2024</t>
        </is>
      </c>
      <c r="B2377" s="1" t="n">
        <v>45457</v>
      </c>
      <c r="C2377" s="1" t="n">
        <v>45711</v>
      </c>
      <c r="D2377" t="inlineStr">
        <is>
          <t>VÄRMLANDS LÄN</t>
        </is>
      </c>
      <c r="E2377" t="inlineStr">
        <is>
          <t>TORSBY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24493-2024</t>
        </is>
      </c>
      <c r="B2378" s="1" t="n">
        <v>45459</v>
      </c>
      <c r="C2378" s="1" t="n">
        <v>45711</v>
      </c>
      <c r="D2378" t="inlineStr">
        <is>
          <t>VÄRMLANDS LÄN</t>
        </is>
      </c>
      <c r="E2378" t="inlineStr">
        <is>
          <t>TORSBY</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24490-2024</t>
        </is>
      </c>
      <c r="B2379" s="1" t="n">
        <v>45459</v>
      </c>
      <c r="C2379" s="1" t="n">
        <v>45711</v>
      </c>
      <c r="D2379" t="inlineStr">
        <is>
          <t>VÄRMLANDS LÄN</t>
        </is>
      </c>
      <c r="E2379" t="inlineStr">
        <is>
          <t>TORSBY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24708-2024</t>
        </is>
      </c>
      <c r="B2380" s="1" t="n">
        <v>45460</v>
      </c>
      <c r="C2380" s="1" t="n">
        <v>45711</v>
      </c>
      <c r="D2380" t="inlineStr">
        <is>
          <t>VÄRMLANDS LÄN</t>
        </is>
      </c>
      <c r="E2380" t="inlineStr">
        <is>
          <t>TORSBY</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24723-2024</t>
        </is>
      </c>
      <c r="B2381" s="1" t="n">
        <v>45460</v>
      </c>
      <c r="C2381" s="1" t="n">
        <v>45711</v>
      </c>
      <c r="D2381" t="inlineStr">
        <is>
          <t>VÄRMLANDS LÄN</t>
        </is>
      </c>
      <c r="E2381" t="inlineStr">
        <is>
          <t>TORSBY</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24717-2024</t>
        </is>
      </c>
      <c r="B2382" s="1" t="n">
        <v>45460</v>
      </c>
      <c r="C2382" s="1" t="n">
        <v>45711</v>
      </c>
      <c r="D2382" t="inlineStr">
        <is>
          <t>VÄRMLANDS LÄN</t>
        </is>
      </c>
      <c r="E2382" t="inlineStr">
        <is>
          <t>TORSBY</t>
        </is>
      </c>
      <c r="F2382" t="inlineStr">
        <is>
          <t>Övriga statliga verk och myndigheter</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24636-2024</t>
        </is>
      </c>
      <c r="B2383" s="1" t="n">
        <v>45460</v>
      </c>
      <c r="C2383" s="1" t="n">
        <v>45711</v>
      </c>
      <c r="D2383" t="inlineStr">
        <is>
          <t>VÄRMLANDS LÄN</t>
        </is>
      </c>
      <c r="E2383" t="inlineStr">
        <is>
          <t>TORSBY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24630-2024</t>
        </is>
      </c>
      <c r="B2384" s="1" t="n">
        <v>45460</v>
      </c>
      <c r="C2384" s="1" t="n">
        <v>45711</v>
      </c>
      <c r="D2384" t="inlineStr">
        <is>
          <t>VÄRMLANDS LÄN</t>
        </is>
      </c>
      <c r="E2384" t="inlineStr">
        <is>
          <t>TORSBY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24657-2024</t>
        </is>
      </c>
      <c r="B2385" s="1" t="n">
        <v>45460</v>
      </c>
      <c r="C2385" s="1" t="n">
        <v>45711</v>
      </c>
      <c r="D2385" t="inlineStr">
        <is>
          <t>VÄRMLANDS LÄN</t>
        </is>
      </c>
      <c r="E2385" t="inlineStr">
        <is>
          <t>TORSBY</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24995-2024</t>
        </is>
      </c>
      <c r="B2386" s="1" t="n">
        <v>45461</v>
      </c>
      <c r="C2386" s="1" t="n">
        <v>45711</v>
      </c>
      <c r="D2386" t="inlineStr">
        <is>
          <t>VÄRMLANDS LÄN</t>
        </is>
      </c>
      <c r="E2386" t="inlineStr">
        <is>
          <t>TORSBY</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24851-2024</t>
        </is>
      </c>
      <c r="B2387" s="1" t="n">
        <v>45461</v>
      </c>
      <c r="C2387" s="1" t="n">
        <v>45711</v>
      </c>
      <c r="D2387" t="inlineStr">
        <is>
          <t>VÄRMLANDS LÄN</t>
        </is>
      </c>
      <c r="E2387" t="inlineStr">
        <is>
          <t>TORSBY</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25355-2024</t>
        </is>
      </c>
      <c r="B2388" s="1" t="n">
        <v>45463</v>
      </c>
      <c r="C2388" s="1" t="n">
        <v>45711</v>
      </c>
      <c r="D2388" t="inlineStr">
        <is>
          <t>VÄRMLANDS LÄN</t>
        </is>
      </c>
      <c r="E2388" t="inlineStr">
        <is>
          <t>TORSBY</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25313-2024</t>
        </is>
      </c>
      <c r="B2389" s="1" t="n">
        <v>45462</v>
      </c>
      <c r="C2389" s="1" t="n">
        <v>45711</v>
      </c>
      <c r="D2389" t="inlineStr">
        <is>
          <t>VÄRMLANDS LÄN</t>
        </is>
      </c>
      <c r="E2389" t="inlineStr">
        <is>
          <t>TORSBY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25090-2024</t>
        </is>
      </c>
      <c r="B2390" s="1" t="n">
        <v>45462</v>
      </c>
      <c r="C2390" s="1" t="n">
        <v>45711</v>
      </c>
      <c r="D2390" t="inlineStr">
        <is>
          <t>VÄRMLANDS LÄN</t>
        </is>
      </c>
      <c r="E2390" t="inlineStr">
        <is>
          <t>TORSBY</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25264-2024</t>
        </is>
      </c>
      <c r="B2391" s="1" t="n">
        <v>45462</v>
      </c>
      <c r="C2391" s="1" t="n">
        <v>45711</v>
      </c>
      <c r="D2391" t="inlineStr">
        <is>
          <t>VÄRMLANDS LÄN</t>
        </is>
      </c>
      <c r="E2391" t="inlineStr">
        <is>
          <t>TORSBY</t>
        </is>
      </c>
      <c r="G2391" t="n">
        <v>10.7</v>
      </c>
      <c r="H2391" t="n">
        <v>0</v>
      </c>
      <c r="I2391" t="n">
        <v>0</v>
      </c>
      <c r="J2391" t="n">
        <v>0</v>
      </c>
      <c r="K2391" t="n">
        <v>0</v>
      </c>
      <c r="L2391" t="n">
        <v>0</v>
      </c>
      <c r="M2391" t="n">
        <v>0</v>
      </c>
      <c r="N2391" t="n">
        <v>0</v>
      </c>
      <c r="O2391" t="n">
        <v>0</v>
      </c>
      <c r="P2391" t="n">
        <v>0</v>
      </c>
      <c r="Q2391" t="n">
        <v>0</v>
      </c>
      <c r="R2391" s="2" t="inlineStr"/>
    </row>
    <row r="2392" ht="15" customHeight="1">
      <c r="A2392" t="inlineStr">
        <is>
          <t>A 25194-2024</t>
        </is>
      </c>
      <c r="B2392" s="1" t="n">
        <v>45462</v>
      </c>
      <c r="C2392" s="1" t="n">
        <v>45711</v>
      </c>
      <c r="D2392" t="inlineStr">
        <is>
          <t>VÄRMLANDS LÄN</t>
        </is>
      </c>
      <c r="E2392" t="inlineStr">
        <is>
          <t>TORSBY</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25316-2024</t>
        </is>
      </c>
      <c r="B2393" s="1" t="n">
        <v>45462</v>
      </c>
      <c r="C2393" s="1" t="n">
        <v>45711</v>
      </c>
      <c r="D2393" t="inlineStr">
        <is>
          <t>VÄRMLANDS LÄN</t>
        </is>
      </c>
      <c r="E2393" t="inlineStr">
        <is>
          <t>TORSBY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25629-2024</t>
        </is>
      </c>
      <c r="B2394" s="1" t="n">
        <v>45463</v>
      </c>
      <c r="C2394" s="1" t="n">
        <v>45711</v>
      </c>
      <c r="D2394" t="inlineStr">
        <is>
          <t>VÄRMLANDS LÄN</t>
        </is>
      </c>
      <c r="E2394" t="inlineStr">
        <is>
          <t>TORSBY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25504-2024</t>
        </is>
      </c>
      <c r="B2395" s="1" t="n">
        <v>45463</v>
      </c>
      <c r="C2395" s="1" t="n">
        <v>45711</v>
      </c>
      <c r="D2395" t="inlineStr">
        <is>
          <t>VÄRMLANDS LÄN</t>
        </is>
      </c>
      <c r="E2395" t="inlineStr">
        <is>
          <t>TORSBY</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25827-2024</t>
        </is>
      </c>
      <c r="B2396" s="1" t="n">
        <v>45467</v>
      </c>
      <c r="C2396" s="1" t="n">
        <v>45711</v>
      </c>
      <c r="D2396" t="inlineStr">
        <is>
          <t>VÄRMLANDS LÄN</t>
        </is>
      </c>
      <c r="E2396" t="inlineStr">
        <is>
          <t>TORSBY</t>
        </is>
      </c>
      <c r="G2396" t="n">
        <v>20.5</v>
      </c>
      <c r="H2396" t="n">
        <v>0</v>
      </c>
      <c r="I2396" t="n">
        <v>0</v>
      </c>
      <c r="J2396" t="n">
        <v>0</v>
      </c>
      <c r="K2396" t="n">
        <v>0</v>
      </c>
      <c r="L2396" t="n">
        <v>0</v>
      </c>
      <c r="M2396" t="n">
        <v>0</v>
      </c>
      <c r="N2396" t="n">
        <v>0</v>
      </c>
      <c r="O2396" t="n">
        <v>0</v>
      </c>
      <c r="P2396" t="n">
        <v>0</v>
      </c>
      <c r="Q2396" t="n">
        <v>0</v>
      </c>
      <c r="R2396" s="2" t="inlineStr"/>
    </row>
    <row r="2397" ht="15" customHeight="1">
      <c r="A2397" t="inlineStr">
        <is>
          <t>A 25898-2024</t>
        </is>
      </c>
      <c r="B2397" s="1" t="n">
        <v>45467</v>
      </c>
      <c r="C2397" s="1" t="n">
        <v>45711</v>
      </c>
      <c r="D2397" t="inlineStr">
        <is>
          <t>VÄRMLANDS LÄN</t>
        </is>
      </c>
      <c r="E2397" t="inlineStr">
        <is>
          <t>TORSBY</t>
        </is>
      </c>
      <c r="G2397" t="n">
        <v>27.6</v>
      </c>
      <c r="H2397" t="n">
        <v>0</v>
      </c>
      <c r="I2397" t="n">
        <v>0</v>
      </c>
      <c r="J2397" t="n">
        <v>0</v>
      </c>
      <c r="K2397" t="n">
        <v>0</v>
      </c>
      <c r="L2397" t="n">
        <v>0</v>
      </c>
      <c r="M2397" t="n">
        <v>0</v>
      </c>
      <c r="N2397" t="n">
        <v>0</v>
      </c>
      <c r="O2397" t="n">
        <v>0</v>
      </c>
      <c r="P2397" t="n">
        <v>0</v>
      </c>
      <c r="Q2397" t="n">
        <v>0</v>
      </c>
      <c r="R2397" s="2" t="inlineStr"/>
    </row>
    <row r="2398" ht="15" customHeight="1">
      <c r="A2398" t="inlineStr">
        <is>
          <t>A 25932-2024</t>
        </is>
      </c>
      <c r="B2398" s="1" t="n">
        <v>45467</v>
      </c>
      <c r="C2398" s="1" t="n">
        <v>45711</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25933-2024</t>
        </is>
      </c>
      <c r="B2399" s="1" t="n">
        <v>45467</v>
      </c>
      <c r="C2399" s="1" t="n">
        <v>45711</v>
      </c>
      <c r="D2399" t="inlineStr">
        <is>
          <t>VÄRMLANDS LÄN</t>
        </is>
      </c>
      <c r="E2399" t="inlineStr">
        <is>
          <t>TORSBY</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25949-2024</t>
        </is>
      </c>
      <c r="B2400" s="1" t="n">
        <v>45467</v>
      </c>
      <c r="C2400" s="1" t="n">
        <v>45711</v>
      </c>
      <c r="D2400" t="inlineStr">
        <is>
          <t>VÄRMLANDS LÄN</t>
        </is>
      </c>
      <c r="E2400" t="inlineStr">
        <is>
          <t>TORSBY</t>
        </is>
      </c>
      <c r="F2400" t="inlineStr">
        <is>
          <t>Bergvik skog väst AB</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26186-2024</t>
        </is>
      </c>
      <c r="B2401" s="1" t="n">
        <v>45468</v>
      </c>
      <c r="C2401" s="1" t="n">
        <v>45711</v>
      </c>
      <c r="D2401" t="inlineStr">
        <is>
          <t>VÄRMLANDS LÄN</t>
        </is>
      </c>
      <c r="E2401" t="inlineStr">
        <is>
          <t>TORSBY</t>
        </is>
      </c>
      <c r="F2401" t="inlineStr">
        <is>
          <t>Bergvik skog väst AB</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26166-2024</t>
        </is>
      </c>
      <c r="B2402" s="1" t="n">
        <v>45468</v>
      </c>
      <c r="C2402" s="1" t="n">
        <v>45711</v>
      </c>
      <c r="D2402" t="inlineStr">
        <is>
          <t>VÄRMLANDS LÄN</t>
        </is>
      </c>
      <c r="E2402" t="inlineStr">
        <is>
          <t>TORSBY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26124-2024</t>
        </is>
      </c>
      <c r="B2403" s="1" t="n">
        <v>45468</v>
      </c>
      <c r="C2403" s="1" t="n">
        <v>45711</v>
      </c>
      <c r="D2403" t="inlineStr">
        <is>
          <t>VÄRMLANDS LÄN</t>
        </is>
      </c>
      <c r="E2403" t="inlineStr">
        <is>
          <t>TORSBY</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26086-2024</t>
        </is>
      </c>
      <c r="B2404" s="1" t="n">
        <v>45468</v>
      </c>
      <c r="C2404" s="1" t="n">
        <v>45711</v>
      </c>
      <c r="D2404" t="inlineStr">
        <is>
          <t>VÄRMLANDS LÄN</t>
        </is>
      </c>
      <c r="E2404" t="inlineStr">
        <is>
          <t>TORSBY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26042-2024</t>
        </is>
      </c>
      <c r="B2405" s="1" t="n">
        <v>45468</v>
      </c>
      <c r="C2405" s="1" t="n">
        <v>45711</v>
      </c>
      <c r="D2405" t="inlineStr">
        <is>
          <t>VÄRMLANDS LÄN</t>
        </is>
      </c>
      <c r="E2405" t="inlineStr">
        <is>
          <t>TORSBY</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26634-2024</t>
        </is>
      </c>
      <c r="B2406" s="1" t="n">
        <v>45469</v>
      </c>
      <c r="C2406" s="1" t="n">
        <v>45711</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26876-2024</t>
        </is>
      </c>
      <c r="B2407" s="1" t="n">
        <v>45470</v>
      </c>
      <c r="C2407" s="1" t="n">
        <v>45711</v>
      </c>
      <c r="D2407" t="inlineStr">
        <is>
          <t>VÄRMLANDS LÄN</t>
        </is>
      </c>
      <c r="E2407" t="inlineStr">
        <is>
          <t>TORSBY</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26887-2024</t>
        </is>
      </c>
      <c r="B2408" s="1" t="n">
        <v>45470</v>
      </c>
      <c r="C2408" s="1" t="n">
        <v>45711</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26807-2024</t>
        </is>
      </c>
      <c r="B2409" s="1" t="n">
        <v>45470</v>
      </c>
      <c r="C2409" s="1" t="n">
        <v>45711</v>
      </c>
      <c r="D2409" t="inlineStr">
        <is>
          <t>VÄRMLANDS LÄN</t>
        </is>
      </c>
      <c r="E2409" t="inlineStr">
        <is>
          <t>TORSBY</t>
        </is>
      </c>
      <c r="F2409" t="inlineStr">
        <is>
          <t>Bergvik skog väst AB</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26799-2024</t>
        </is>
      </c>
      <c r="B2410" s="1" t="n">
        <v>45470</v>
      </c>
      <c r="C2410" s="1" t="n">
        <v>45711</v>
      </c>
      <c r="D2410" t="inlineStr">
        <is>
          <t>VÄRMLANDS LÄN</t>
        </is>
      </c>
      <c r="E2410" t="inlineStr">
        <is>
          <t>TORSBY</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27045-2024</t>
        </is>
      </c>
      <c r="B2411" s="1" t="n">
        <v>45471</v>
      </c>
      <c r="C2411" s="1" t="n">
        <v>45711</v>
      </c>
      <c r="D2411" t="inlineStr">
        <is>
          <t>VÄRMLANDS LÄN</t>
        </is>
      </c>
      <c r="E2411" t="inlineStr">
        <is>
          <t>TORSBY</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27187-2024</t>
        </is>
      </c>
      <c r="B2412" s="1" t="n">
        <v>45471</v>
      </c>
      <c r="C2412" s="1" t="n">
        <v>45711</v>
      </c>
      <c r="D2412" t="inlineStr">
        <is>
          <t>VÄRMLANDS LÄN</t>
        </is>
      </c>
      <c r="E2412" t="inlineStr">
        <is>
          <t>TORSBY</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27111-2024</t>
        </is>
      </c>
      <c r="B2413" s="1" t="n">
        <v>45471</v>
      </c>
      <c r="C2413" s="1" t="n">
        <v>45711</v>
      </c>
      <c r="D2413" t="inlineStr">
        <is>
          <t>VÄRMLANDS LÄN</t>
        </is>
      </c>
      <c r="E2413" t="inlineStr">
        <is>
          <t>TORSBY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27115-2024</t>
        </is>
      </c>
      <c r="B2414" s="1" t="n">
        <v>45471</v>
      </c>
      <c r="C2414" s="1" t="n">
        <v>45711</v>
      </c>
      <c r="D2414" t="inlineStr">
        <is>
          <t>VÄRMLANDS LÄN</t>
        </is>
      </c>
      <c r="E2414" t="inlineStr">
        <is>
          <t>TORSBY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27116-2024</t>
        </is>
      </c>
      <c r="B2415" s="1" t="n">
        <v>45471</v>
      </c>
      <c r="C2415" s="1" t="n">
        <v>45711</v>
      </c>
      <c r="D2415" t="inlineStr">
        <is>
          <t>VÄRMLANDS LÄN</t>
        </is>
      </c>
      <c r="E2415" t="inlineStr">
        <is>
          <t>TORSBY</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27120-2024</t>
        </is>
      </c>
      <c r="B2416" s="1" t="n">
        <v>45471</v>
      </c>
      <c r="C2416" s="1" t="n">
        <v>45711</v>
      </c>
      <c r="D2416" t="inlineStr">
        <is>
          <t>VÄRMLANDS LÄN</t>
        </is>
      </c>
      <c r="E2416" t="inlineStr">
        <is>
          <t>TORSBY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27124-2024</t>
        </is>
      </c>
      <c r="B2417" s="1" t="n">
        <v>45471</v>
      </c>
      <c r="C2417" s="1" t="n">
        <v>45711</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27144-2024</t>
        </is>
      </c>
      <c r="B2418" s="1" t="n">
        <v>45471</v>
      </c>
      <c r="C2418" s="1" t="n">
        <v>45711</v>
      </c>
      <c r="D2418" t="inlineStr">
        <is>
          <t>VÄRMLANDS LÄN</t>
        </is>
      </c>
      <c r="E2418" t="inlineStr">
        <is>
          <t>TORSBY</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27101-2024</t>
        </is>
      </c>
      <c r="B2419" s="1" t="n">
        <v>45471</v>
      </c>
      <c r="C2419" s="1" t="n">
        <v>45711</v>
      </c>
      <c r="D2419" t="inlineStr">
        <is>
          <t>VÄRMLANDS LÄN</t>
        </is>
      </c>
      <c r="E2419" t="inlineStr">
        <is>
          <t>TORSBY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27090-2024</t>
        </is>
      </c>
      <c r="B2420" s="1" t="n">
        <v>45471</v>
      </c>
      <c r="C2420" s="1" t="n">
        <v>45711</v>
      </c>
      <c r="D2420" t="inlineStr">
        <is>
          <t>VÄRMLANDS LÄN</t>
        </is>
      </c>
      <c r="E2420" t="inlineStr">
        <is>
          <t>TORSBY</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27086-2024</t>
        </is>
      </c>
      <c r="B2421" s="1" t="n">
        <v>45471</v>
      </c>
      <c r="C2421" s="1" t="n">
        <v>45711</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27078-2024</t>
        </is>
      </c>
      <c r="B2422" s="1" t="n">
        <v>45471</v>
      </c>
      <c r="C2422" s="1" t="n">
        <v>45711</v>
      </c>
      <c r="D2422" t="inlineStr">
        <is>
          <t>VÄRMLANDS LÄN</t>
        </is>
      </c>
      <c r="E2422" t="inlineStr">
        <is>
          <t>TORSBY</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27270-2024</t>
        </is>
      </c>
      <c r="B2423" s="1" t="n">
        <v>45471</v>
      </c>
      <c r="C2423" s="1" t="n">
        <v>45711</v>
      </c>
      <c r="D2423" t="inlineStr">
        <is>
          <t>VÄRMLANDS LÄN</t>
        </is>
      </c>
      <c r="E2423" t="inlineStr">
        <is>
          <t>TORSBY</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27291-2024</t>
        </is>
      </c>
      <c r="B2424" s="1" t="n">
        <v>45472</v>
      </c>
      <c r="C2424" s="1" t="n">
        <v>45711</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27096-2024</t>
        </is>
      </c>
      <c r="B2425" s="1" t="n">
        <v>45471</v>
      </c>
      <c r="C2425" s="1" t="n">
        <v>45711</v>
      </c>
      <c r="D2425" t="inlineStr">
        <is>
          <t>VÄRMLANDS LÄN</t>
        </is>
      </c>
      <c r="E2425" t="inlineStr">
        <is>
          <t>TORSBY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27273-2024</t>
        </is>
      </c>
      <c r="B2426" s="1" t="n">
        <v>45471</v>
      </c>
      <c r="C2426" s="1" t="n">
        <v>45711</v>
      </c>
      <c r="D2426" t="inlineStr">
        <is>
          <t>VÄRMLANDS LÄN</t>
        </is>
      </c>
      <c r="E2426" t="inlineStr">
        <is>
          <t>TORSBY</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27038-2024</t>
        </is>
      </c>
      <c r="B2427" s="1" t="n">
        <v>45471</v>
      </c>
      <c r="C2427" s="1" t="n">
        <v>45711</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27275-2024</t>
        </is>
      </c>
      <c r="B2428" s="1" t="n">
        <v>45471</v>
      </c>
      <c r="C2428" s="1" t="n">
        <v>45711</v>
      </c>
      <c r="D2428" t="inlineStr">
        <is>
          <t>VÄRMLANDS LÄN</t>
        </is>
      </c>
      <c r="E2428" t="inlineStr">
        <is>
          <t>TORSBY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27292-2024</t>
        </is>
      </c>
      <c r="B2429" s="1" t="n">
        <v>45472</v>
      </c>
      <c r="C2429" s="1" t="n">
        <v>45711</v>
      </c>
      <c r="D2429" t="inlineStr">
        <is>
          <t>VÄRMLANDS LÄN</t>
        </is>
      </c>
      <c r="E2429" t="inlineStr">
        <is>
          <t>TORSBY</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27363-2024</t>
        </is>
      </c>
      <c r="B2430" s="1" t="n">
        <v>45473</v>
      </c>
      <c r="C2430" s="1" t="n">
        <v>45711</v>
      </c>
      <c r="D2430" t="inlineStr">
        <is>
          <t>VÄRMLANDS LÄN</t>
        </is>
      </c>
      <c r="E2430" t="inlineStr">
        <is>
          <t>TORSBY</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27347-2024</t>
        </is>
      </c>
      <c r="B2431" s="1" t="n">
        <v>45473</v>
      </c>
      <c r="C2431" s="1" t="n">
        <v>45711</v>
      </c>
      <c r="D2431" t="inlineStr">
        <is>
          <t>VÄRMLANDS LÄN</t>
        </is>
      </c>
      <c r="E2431" t="inlineStr">
        <is>
          <t>TORSBY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27360-2024</t>
        </is>
      </c>
      <c r="B2432" s="1" t="n">
        <v>45473</v>
      </c>
      <c r="C2432" s="1" t="n">
        <v>45711</v>
      </c>
      <c r="D2432" t="inlineStr">
        <is>
          <t>VÄRMLANDS LÄN</t>
        </is>
      </c>
      <c r="E2432" t="inlineStr">
        <is>
          <t>TORSBY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27352-2024</t>
        </is>
      </c>
      <c r="B2433" s="1" t="n">
        <v>45473</v>
      </c>
      <c r="C2433" s="1" t="n">
        <v>45711</v>
      </c>
      <c r="D2433" t="inlineStr">
        <is>
          <t>VÄRMLANDS LÄN</t>
        </is>
      </c>
      <c r="E2433" t="inlineStr">
        <is>
          <t>TORSBY</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27358-2024</t>
        </is>
      </c>
      <c r="B2434" s="1" t="n">
        <v>45473</v>
      </c>
      <c r="C2434" s="1" t="n">
        <v>45711</v>
      </c>
      <c r="D2434" t="inlineStr">
        <is>
          <t>VÄRMLANDS LÄN</t>
        </is>
      </c>
      <c r="E2434" t="inlineStr">
        <is>
          <t>TORSBY</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27346-2024</t>
        </is>
      </c>
      <c r="B2435" s="1" t="n">
        <v>45473</v>
      </c>
      <c r="C2435" s="1" t="n">
        <v>45711</v>
      </c>
      <c r="D2435" t="inlineStr">
        <is>
          <t>VÄRMLANDS LÄN</t>
        </is>
      </c>
      <c r="E2435" t="inlineStr">
        <is>
          <t>TORSBY</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27349-2024</t>
        </is>
      </c>
      <c r="B2436" s="1" t="n">
        <v>45473</v>
      </c>
      <c r="C2436" s="1" t="n">
        <v>45711</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27548-2024</t>
        </is>
      </c>
      <c r="B2437" s="1" t="n">
        <v>45474</v>
      </c>
      <c r="C2437" s="1" t="n">
        <v>45711</v>
      </c>
      <c r="D2437" t="inlineStr">
        <is>
          <t>VÄRMLANDS LÄN</t>
        </is>
      </c>
      <c r="E2437" t="inlineStr">
        <is>
          <t>TORSBY</t>
        </is>
      </c>
      <c r="F2437" t="inlineStr">
        <is>
          <t>Bergvik skog väst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27615-2024</t>
        </is>
      </c>
      <c r="B2438" s="1" t="n">
        <v>45474</v>
      </c>
      <c r="C2438" s="1" t="n">
        <v>45711</v>
      </c>
      <c r="D2438" t="inlineStr">
        <is>
          <t>VÄRMLANDS LÄN</t>
        </is>
      </c>
      <c r="E2438" t="inlineStr">
        <is>
          <t>TORSBY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27554-2024</t>
        </is>
      </c>
      <c r="B2439" s="1" t="n">
        <v>45474</v>
      </c>
      <c r="C2439" s="1" t="n">
        <v>45711</v>
      </c>
      <c r="D2439" t="inlineStr">
        <is>
          <t>VÄRMLANDS LÄN</t>
        </is>
      </c>
      <c r="E2439" t="inlineStr">
        <is>
          <t>TORSBY</t>
        </is>
      </c>
      <c r="F2439" t="inlineStr">
        <is>
          <t>Bergvik skog väst AB</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27588-2024</t>
        </is>
      </c>
      <c r="B2440" s="1" t="n">
        <v>45474</v>
      </c>
      <c r="C2440" s="1" t="n">
        <v>45711</v>
      </c>
      <c r="D2440" t="inlineStr">
        <is>
          <t>VÄRMLANDS LÄN</t>
        </is>
      </c>
      <c r="E2440" t="inlineStr">
        <is>
          <t>TORSBY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27501-2024</t>
        </is>
      </c>
      <c r="B2441" s="1" t="n">
        <v>45474</v>
      </c>
      <c r="C2441" s="1" t="n">
        <v>45711</v>
      </c>
      <c r="D2441" t="inlineStr">
        <is>
          <t>VÄRMLANDS LÄN</t>
        </is>
      </c>
      <c r="E2441" t="inlineStr">
        <is>
          <t>TORSBY</t>
        </is>
      </c>
      <c r="F2441" t="inlineStr">
        <is>
          <t>Bergvik skog väst AB</t>
        </is>
      </c>
      <c r="G2441" t="n">
        <v>14.4</v>
      </c>
      <c r="H2441" t="n">
        <v>0</v>
      </c>
      <c r="I2441" t="n">
        <v>0</v>
      </c>
      <c r="J2441" t="n">
        <v>0</v>
      </c>
      <c r="K2441" t="n">
        <v>0</v>
      </c>
      <c r="L2441" t="n">
        <v>0</v>
      </c>
      <c r="M2441" t="n">
        <v>0</v>
      </c>
      <c r="N2441" t="n">
        <v>0</v>
      </c>
      <c r="O2441" t="n">
        <v>0</v>
      </c>
      <c r="P2441" t="n">
        <v>0</v>
      </c>
      <c r="Q2441" t="n">
        <v>0</v>
      </c>
      <c r="R2441" s="2" t="inlineStr"/>
    </row>
    <row r="2442" ht="15" customHeight="1">
      <c r="A2442" t="inlineStr">
        <is>
          <t>A 27529-2024</t>
        </is>
      </c>
      <c r="B2442" s="1" t="n">
        <v>45474</v>
      </c>
      <c r="C2442" s="1" t="n">
        <v>45711</v>
      </c>
      <c r="D2442" t="inlineStr">
        <is>
          <t>VÄRMLANDS LÄN</t>
        </is>
      </c>
      <c r="E2442" t="inlineStr">
        <is>
          <t>TORSBY</t>
        </is>
      </c>
      <c r="F2442" t="inlineStr">
        <is>
          <t>Bergvik skog väst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27537-2024</t>
        </is>
      </c>
      <c r="B2443" s="1" t="n">
        <v>45474</v>
      </c>
      <c r="C2443" s="1" t="n">
        <v>45711</v>
      </c>
      <c r="D2443" t="inlineStr">
        <is>
          <t>VÄRMLANDS LÄN</t>
        </is>
      </c>
      <c r="E2443" t="inlineStr">
        <is>
          <t>TORSBY</t>
        </is>
      </c>
      <c r="F2443" t="inlineStr">
        <is>
          <t>Bergvik skog väst AB</t>
        </is>
      </c>
      <c r="G2443" t="n">
        <v>9.300000000000001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27573-2024</t>
        </is>
      </c>
      <c r="B2444" s="1" t="n">
        <v>45474</v>
      </c>
      <c r="C2444" s="1" t="n">
        <v>45711</v>
      </c>
      <c r="D2444" t="inlineStr">
        <is>
          <t>VÄRMLANDS LÄN</t>
        </is>
      </c>
      <c r="E2444" t="inlineStr">
        <is>
          <t>TORSBY</t>
        </is>
      </c>
      <c r="F2444" t="inlineStr">
        <is>
          <t>Bergvik skog väst AB</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27790-2024</t>
        </is>
      </c>
      <c r="B2445" s="1" t="n">
        <v>45475</v>
      </c>
      <c r="C2445" s="1" t="n">
        <v>45711</v>
      </c>
      <c r="D2445" t="inlineStr">
        <is>
          <t>VÄRMLANDS LÄN</t>
        </is>
      </c>
      <c r="E2445" t="inlineStr">
        <is>
          <t>TORSBY</t>
        </is>
      </c>
      <c r="F2445" t="inlineStr">
        <is>
          <t>Bergvik skog väst AB</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27678-2024</t>
        </is>
      </c>
      <c r="B2446" s="1" t="n">
        <v>45475</v>
      </c>
      <c r="C2446" s="1" t="n">
        <v>45711</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27824-2024</t>
        </is>
      </c>
      <c r="B2447" s="1" t="n">
        <v>45475</v>
      </c>
      <c r="C2447" s="1" t="n">
        <v>45711</v>
      </c>
      <c r="D2447" t="inlineStr">
        <is>
          <t>VÄRMLANDS LÄN</t>
        </is>
      </c>
      <c r="E2447" t="inlineStr">
        <is>
          <t>TORSBY</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27677-2024</t>
        </is>
      </c>
      <c r="B2448" s="1" t="n">
        <v>45475</v>
      </c>
      <c r="C2448" s="1" t="n">
        <v>45711</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28102-2024</t>
        </is>
      </c>
      <c r="B2449" s="1" t="n">
        <v>45476</v>
      </c>
      <c r="C2449" s="1" t="n">
        <v>45711</v>
      </c>
      <c r="D2449" t="inlineStr">
        <is>
          <t>VÄRMLANDS LÄN</t>
        </is>
      </c>
      <c r="E2449" t="inlineStr">
        <is>
          <t>TORSBY</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28089-2024</t>
        </is>
      </c>
      <c r="B2450" s="1" t="n">
        <v>45476</v>
      </c>
      <c r="C2450" s="1" t="n">
        <v>45711</v>
      </c>
      <c r="D2450" t="inlineStr">
        <is>
          <t>VÄRMLANDS LÄN</t>
        </is>
      </c>
      <c r="E2450" t="inlineStr">
        <is>
          <t>TORSBY</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28112-2024</t>
        </is>
      </c>
      <c r="B2451" s="1" t="n">
        <v>45476</v>
      </c>
      <c r="C2451" s="1" t="n">
        <v>45711</v>
      </c>
      <c r="D2451" t="inlineStr">
        <is>
          <t>VÄRMLANDS LÄN</t>
        </is>
      </c>
      <c r="E2451" t="inlineStr">
        <is>
          <t>TORSBY</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28035-2024</t>
        </is>
      </c>
      <c r="B2452" s="1" t="n">
        <v>45476</v>
      </c>
      <c r="C2452" s="1" t="n">
        <v>45711</v>
      </c>
      <c r="D2452" t="inlineStr">
        <is>
          <t>VÄRMLANDS LÄN</t>
        </is>
      </c>
      <c r="E2452" t="inlineStr">
        <is>
          <t>TORSBY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28005-2024</t>
        </is>
      </c>
      <c r="B2453" s="1" t="n">
        <v>45476</v>
      </c>
      <c r="C2453" s="1" t="n">
        <v>45711</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28501-2024</t>
        </is>
      </c>
      <c r="B2454" s="1" t="n">
        <v>45478</v>
      </c>
      <c r="C2454" s="1" t="n">
        <v>45711</v>
      </c>
      <c r="D2454" t="inlineStr">
        <is>
          <t>VÄRMLANDS LÄN</t>
        </is>
      </c>
      <c r="E2454" t="inlineStr">
        <is>
          <t>TORSBY</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28319-2024</t>
        </is>
      </c>
      <c r="B2455" s="1" t="n">
        <v>45477</v>
      </c>
      <c r="C2455" s="1" t="n">
        <v>45711</v>
      </c>
      <c r="D2455" t="inlineStr">
        <is>
          <t>VÄRMLANDS LÄN</t>
        </is>
      </c>
      <c r="E2455" t="inlineStr">
        <is>
          <t>TORSBY</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28311-2024</t>
        </is>
      </c>
      <c r="B2456" s="1" t="n">
        <v>45477</v>
      </c>
      <c r="C2456" s="1" t="n">
        <v>45711</v>
      </c>
      <c r="D2456" t="inlineStr">
        <is>
          <t>VÄRMLANDS LÄN</t>
        </is>
      </c>
      <c r="E2456" t="inlineStr">
        <is>
          <t>TORSBY</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28329-2024</t>
        </is>
      </c>
      <c r="B2457" s="1" t="n">
        <v>45477</v>
      </c>
      <c r="C2457" s="1" t="n">
        <v>45711</v>
      </c>
      <c r="D2457" t="inlineStr">
        <is>
          <t>VÄRMLANDS LÄN</t>
        </is>
      </c>
      <c r="E2457" t="inlineStr">
        <is>
          <t>TORSBY</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28310-2024</t>
        </is>
      </c>
      <c r="B2458" s="1" t="n">
        <v>45477</v>
      </c>
      <c r="C2458" s="1" t="n">
        <v>45711</v>
      </c>
      <c r="D2458" t="inlineStr">
        <is>
          <t>VÄRMLANDS LÄN</t>
        </is>
      </c>
      <c r="E2458" t="inlineStr">
        <is>
          <t>TORSBY</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28502-2024</t>
        </is>
      </c>
      <c r="B2459" s="1" t="n">
        <v>45478</v>
      </c>
      <c r="C2459" s="1" t="n">
        <v>45711</v>
      </c>
      <c r="D2459" t="inlineStr">
        <is>
          <t>VÄRMLANDS LÄN</t>
        </is>
      </c>
      <c r="E2459" t="inlineStr">
        <is>
          <t>TORSBY</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28249-2024</t>
        </is>
      </c>
      <c r="B2460" s="1" t="n">
        <v>45477</v>
      </c>
      <c r="C2460" s="1" t="n">
        <v>45711</v>
      </c>
      <c r="D2460" t="inlineStr">
        <is>
          <t>VÄRMLANDS LÄN</t>
        </is>
      </c>
      <c r="E2460" t="inlineStr">
        <is>
          <t>TORSBY</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28364-2024</t>
        </is>
      </c>
      <c r="B2461" s="1" t="n">
        <v>45477</v>
      </c>
      <c r="C2461" s="1" t="n">
        <v>45711</v>
      </c>
      <c r="D2461" t="inlineStr">
        <is>
          <t>VÄRMLANDS LÄN</t>
        </is>
      </c>
      <c r="E2461" t="inlineStr">
        <is>
          <t>TORSBY</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28284-2024</t>
        </is>
      </c>
      <c r="B2462" s="1" t="n">
        <v>45477</v>
      </c>
      <c r="C2462" s="1" t="n">
        <v>45711</v>
      </c>
      <c r="D2462" t="inlineStr">
        <is>
          <t>VÄRMLANDS LÄN</t>
        </is>
      </c>
      <c r="E2462" t="inlineStr">
        <is>
          <t>TORSBY</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28539-2024</t>
        </is>
      </c>
      <c r="B2463" s="1" t="n">
        <v>45478</v>
      </c>
      <c r="C2463" s="1" t="n">
        <v>45711</v>
      </c>
      <c r="D2463" t="inlineStr">
        <is>
          <t>VÄRMLANDS LÄN</t>
        </is>
      </c>
      <c r="E2463" t="inlineStr">
        <is>
          <t>TORSBY</t>
        </is>
      </c>
      <c r="F2463" t="inlineStr">
        <is>
          <t>Bergvik skog väst AB</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28619-2024</t>
        </is>
      </c>
      <c r="B2464" s="1" t="n">
        <v>45478</v>
      </c>
      <c r="C2464" s="1" t="n">
        <v>45711</v>
      </c>
      <c r="D2464" t="inlineStr">
        <is>
          <t>VÄRMLANDS LÄN</t>
        </is>
      </c>
      <c r="E2464" t="inlineStr">
        <is>
          <t>TORSBY</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28554-2024</t>
        </is>
      </c>
      <c r="B2465" s="1" t="n">
        <v>45478</v>
      </c>
      <c r="C2465" s="1" t="n">
        <v>45711</v>
      </c>
      <c r="D2465" t="inlineStr">
        <is>
          <t>VÄRMLANDS LÄN</t>
        </is>
      </c>
      <c r="E2465" t="inlineStr">
        <is>
          <t>TORSBY</t>
        </is>
      </c>
      <c r="F2465" t="inlineStr">
        <is>
          <t>Bergvik skog väst AB</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28646-2024</t>
        </is>
      </c>
      <c r="B2466" s="1" t="n">
        <v>45478</v>
      </c>
      <c r="C2466" s="1" t="n">
        <v>45711</v>
      </c>
      <c r="D2466" t="inlineStr">
        <is>
          <t>VÄRMLANDS LÄN</t>
        </is>
      </c>
      <c r="E2466" t="inlineStr">
        <is>
          <t>TORSBY</t>
        </is>
      </c>
      <c r="F2466" t="inlineStr">
        <is>
          <t>Bergvik skog väst AB</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28545-2024</t>
        </is>
      </c>
      <c r="B2467" s="1" t="n">
        <v>45478</v>
      </c>
      <c r="C2467" s="1" t="n">
        <v>45711</v>
      </c>
      <c r="D2467" t="inlineStr">
        <is>
          <t>VÄRMLANDS LÄN</t>
        </is>
      </c>
      <c r="E2467" t="inlineStr">
        <is>
          <t>TORSBY</t>
        </is>
      </c>
      <c r="F2467" t="inlineStr">
        <is>
          <t>Bergvik skog väst AB</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28589-2024</t>
        </is>
      </c>
      <c r="B2468" s="1" t="n">
        <v>45478</v>
      </c>
      <c r="C2468" s="1" t="n">
        <v>45711</v>
      </c>
      <c r="D2468" t="inlineStr">
        <is>
          <t>VÄRMLANDS LÄN</t>
        </is>
      </c>
      <c r="E2468" t="inlineStr">
        <is>
          <t>TORSBY</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28624-2024</t>
        </is>
      </c>
      <c r="B2469" s="1" t="n">
        <v>45478</v>
      </c>
      <c r="C2469" s="1" t="n">
        <v>45711</v>
      </c>
      <c r="D2469" t="inlineStr">
        <is>
          <t>VÄRMLANDS LÄN</t>
        </is>
      </c>
      <c r="E2469" t="inlineStr">
        <is>
          <t>TORSBY</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28673-2024</t>
        </is>
      </c>
      <c r="B2470" s="1" t="n">
        <v>45478</v>
      </c>
      <c r="C2470" s="1" t="n">
        <v>45711</v>
      </c>
      <c r="D2470" t="inlineStr">
        <is>
          <t>VÄRMLANDS LÄN</t>
        </is>
      </c>
      <c r="E2470" t="inlineStr">
        <is>
          <t>TORSBY</t>
        </is>
      </c>
      <c r="F2470" t="inlineStr">
        <is>
          <t>Bergvik skog väst AB</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28609-2024</t>
        </is>
      </c>
      <c r="B2471" s="1" t="n">
        <v>45478</v>
      </c>
      <c r="C2471" s="1" t="n">
        <v>45711</v>
      </c>
      <c r="D2471" t="inlineStr">
        <is>
          <t>VÄRMLANDS LÄN</t>
        </is>
      </c>
      <c r="E2471" t="inlineStr">
        <is>
          <t>TORSBY</t>
        </is>
      </c>
      <c r="F2471" t="inlineStr">
        <is>
          <t>Bergvik skog väst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28621-2024</t>
        </is>
      </c>
      <c r="B2472" s="1" t="n">
        <v>45478</v>
      </c>
      <c r="C2472" s="1" t="n">
        <v>45711</v>
      </c>
      <c r="D2472" t="inlineStr">
        <is>
          <t>VÄRMLANDS LÄN</t>
        </is>
      </c>
      <c r="E2472" t="inlineStr">
        <is>
          <t>TORSBY</t>
        </is>
      </c>
      <c r="F2472" t="inlineStr">
        <is>
          <t>Bergvik skog väst AB</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28637-2024</t>
        </is>
      </c>
      <c r="B2473" s="1" t="n">
        <v>45478</v>
      </c>
      <c r="C2473" s="1" t="n">
        <v>45711</v>
      </c>
      <c r="D2473" t="inlineStr">
        <is>
          <t>VÄRMLANDS LÄN</t>
        </is>
      </c>
      <c r="E2473" t="inlineStr">
        <is>
          <t>TORSBY</t>
        </is>
      </c>
      <c r="F2473" t="inlineStr">
        <is>
          <t>Bergvik skog väst AB</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28948-2024</t>
        </is>
      </c>
      <c r="B2474" s="1" t="n">
        <v>45481</v>
      </c>
      <c r="C2474" s="1" t="n">
        <v>45711</v>
      </c>
      <c r="D2474" t="inlineStr">
        <is>
          <t>VÄRMLANDS LÄN</t>
        </is>
      </c>
      <c r="E2474" t="inlineStr">
        <is>
          <t>TORSBY</t>
        </is>
      </c>
      <c r="G2474" t="n">
        <v>11.8</v>
      </c>
      <c r="H2474" t="n">
        <v>0</v>
      </c>
      <c r="I2474" t="n">
        <v>0</v>
      </c>
      <c r="J2474" t="n">
        <v>0</v>
      </c>
      <c r="K2474" t="n">
        <v>0</v>
      </c>
      <c r="L2474" t="n">
        <v>0</v>
      </c>
      <c r="M2474" t="n">
        <v>0</v>
      </c>
      <c r="N2474" t="n">
        <v>0</v>
      </c>
      <c r="O2474" t="n">
        <v>0</v>
      </c>
      <c r="P2474" t="n">
        <v>0</v>
      </c>
      <c r="Q2474" t="n">
        <v>0</v>
      </c>
      <c r="R2474" s="2" t="inlineStr"/>
    </row>
    <row r="2475" ht="15" customHeight="1">
      <c r="A2475" t="inlineStr">
        <is>
          <t>A 28987-2024</t>
        </is>
      </c>
      <c r="B2475" s="1" t="n">
        <v>45481</v>
      </c>
      <c r="C2475" s="1" t="n">
        <v>45711</v>
      </c>
      <c r="D2475" t="inlineStr">
        <is>
          <t>VÄRMLANDS LÄN</t>
        </is>
      </c>
      <c r="E2475" t="inlineStr">
        <is>
          <t>TORSBY</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29306-2024</t>
        </is>
      </c>
      <c r="B2476" s="1" t="n">
        <v>45483</v>
      </c>
      <c r="C2476" s="1" t="n">
        <v>45711</v>
      </c>
      <c r="D2476" t="inlineStr">
        <is>
          <t>VÄRMLANDS LÄN</t>
        </is>
      </c>
      <c r="E2476" t="inlineStr">
        <is>
          <t>TORSBY</t>
        </is>
      </c>
      <c r="F2476" t="inlineStr">
        <is>
          <t>Kyrkan</t>
        </is>
      </c>
      <c r="G2476" t="n">
        <v>18.3</v>
      </c>
      <c r="H2476" t="n">
        <v>0</v>
      </c>
      <c r="I2476" t="n">
        <v>0</v>
      </c>
      <c r="J2476" t="n">
        <v>0</v>
      </c>
      <c r="K2476" t="n">
        <v>0</v>
      </c>
      <c r="L2476" t="n">
        <v>0</v>
      </c>
      <c r="M2476" t="n">
        <v>0</v>
      </c>
      <c r="N2476" t="n">
        <v>0</v>
      </c>
      <c r="O2476" t="n">
        <v>0</v>
      </c>
      <c r="P2476" t="n">
        <v>0</v>
      </c>
      <c r="Q2476" t="n">
        <v>0</v>
      </c>
      <c r="R2476" s="2" t="inlineStr"/>
    </row>
    <row r="2477" ht="15" customHeight="1">
      <c r="A2477" t="inlineStr">
        <is>
          <t>A 29408-2024</t>
        </is>
      </c>
      <c r="B2477" s="1" t="n">
        <v>45483</v>
      </c>
      <c r="C2477" s="1" t="n">
        <v>45711</v>
      </c>
      <c r="D2477" t="inlineStr">
        <is>
          <t>VÄRMLANDS LÄN</t>
        </is>
      </c>
      <c r="E2477" t="inlineStr">
        <is>
          <t>TORSBY</t>
        </is>
      </c>
      <c r="F2477" t="inlineStr">
        <is>
          <t>Bergvik skog väst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29375-2024</t>
        </is>
      </c>
      <c r="B2478" s="1" t="n">
        <v>45483</v>
      </c>
      <c r="C2478" s="1" t="n">
        <v>45711</v>
      </c>
      <c r="D2478" t="inlineStr">
        <is>
          <t>VÄRMLANDS LÄN</t>
        </is>
      </c>
      <c r="E2478" t="inlineStr">
        <is>
          <t>TORSBY</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29541-2024</t>
        </is>
      </c>
      <c r="B2479" s="1" t="n">
        <v>45484</v>
      </c>
      <c r="C2479" s="1" t="n">
        <v>45711</v>
      </c>
      <c r="D2479" t="inlineStr">
        <is>
          <t>VÄRMLANDS LÄN</t>
        </is>
      </c>
      <c r="E2479" t="inlineStr">
        <is>
          <t>TORSBY</t>
        </is>
      </c>
      <c r="F2479" t="inlineStr">
        <is>
          <t>Bergvik skog väst AB</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29549-2024</t>
        </is>
      </c>
      <c r="B2480" s="1" t="n">
        <v>45484</v>
      </c>
      <c r="C2480" s="1" t="n">
        <v>45711</v>
      </c>
      <c r="D2480" t="inlineStr">
        <is>
          <t>VÄRMLANDS LÄN</t>
        </is>
      </c>
      <c r="E2480" t="inlineStr">
        <is>
          <t>TORSBY</t>
        </is>
      </c>
      <c r="F2480" t="inlineStr">
        <is>
          <t>Bergvik skog väst AB</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29593-2024</t>
        </is>
      </c>
      <c r="B2481" s="1" t="n">
        <v>45484</v>
      </c>
      <c r="C2481" s="1" t="n">
        <v>45711</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29535-2024</t>
        </is>
      </c>
      <c r="B2482" s="1" t="n">
        <v>45484</v>
      </c>
      <c r="C2482" s="1" t="n">
        <v>45711</v>
      </c>
      <c r="D2482" t="inlineStr">
        <is>
          <t>VÄRMLANDS LÄN</t>
        </is>
      </c>
      <c r="E2482" t="inlineStr">
        <is>
          <t>TORSBY</t>
        </is>
      </c>
      <c r="F2482" t="inlineStr">
        <is>
          <t>Bergvik skog väst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29559-2024</t>
        </is>
      </c>
      <c r="B2483" s="1" t="n">
        <v>45484</v>
      </c>
      <c r="C2483" s="1" t="n">
        <v>45711</v>
      </c>
      <c r="D2483" t="inlineStr">
        <is>
          <t>VÄRMLANDS LÄN</t>
        </is>
      </c>
      <c r="E2483" t="inlineStr">
        <is>
          <t>TORSBY</t>
        </is>
      </c>
      <c r="F2483" t="inlineStr">
        <is>
          <t>Bergvik skog väst AB</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29502-2024</t>
        </is>
      </c>
      <c r="B2484" s="1" t="n">
        <v>45484</v>
      </c>
      <c r="C2484" s="1" t="n">
        <v>45711</v>
      </c>
      <c r="D2484" t="inlineStr">
        <is>
          <t>VÄRMLANDS LÄN</t>
        </is>
      </c>
      <c r="E2484" t="inlineStr">
        <is>
          <t>TORSBY</t>
        </is>
      </c>
      <c r="F2484" t="inlineStr">
        <is>
          <t>Bergvik skog väst AB</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29759-2024</t>
        </is>
      </c>
      <c r="B2485" s="1" t="n">
        <v>45485</v>
      </c>
      <c r="C2485" s="1" t="n">
        <v>45711</v>
      </c>
      <c r="D2485" t="inlineStr">
        <is>
          <t>VÄRMLANDS LÄN</t>
        </is>
      </c>
      <c r="E2485" t="inlineStr">
        <is>
          <t>TORSBY</t>
        </is>
      </c>
      <c r="F2485" t="inlineStr">
        <is>
          <t>Bergvik skog väst AB</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29852-2024</t>
        </is>
      </c>
      <c r="B2486" s="1" t="n">
        <v>45485</v>
      </c>
      <c r="C2486" s="1" t="n">
        <v>45711</v>
      </c>
      <c r="D2486" t="inlineStr">
        <is>
          <t>VÄRMLANDS LÄN</t>
        </is>
      </c>
      <c r="E2486" t="inlineStr">
        <is>
          <t>TORSBY</t>
        </is>
      </c>
      <c r="F2486" t="inlineStr">
        <is>
          <t>Bergvik skog väst AB</t>
        </is>
      </c>
      <c r="G2486" t="n">
        <v>9.1</v>
      </c>
      <c r="H2486" t="n">
        <v>0</v>
      </c>
      <c r="I2486" t="n">
        <v>0</v>
      </c>
      <c r="J2486" t="n">
        <v>0</v>
      </c>
      <c r="K2486" t="n">
        <v>0</v>
      </c>
      <c r="L2486" t="n">
        <v>0</v>
      </c>
      <c r="M2486" t="n">
        <v>0</v>
      </c>
      <c r="N2486" t="n">
        <v>0</v>
      </c>
      <c r="O2486" t="n">
        <v>0</v>
      </c>
      <c r="P2486" t="n">
        <v>0</v>
      </c>
      <c r="Q2486" t="n">
        <v>0</v>
      </c>
      <c r="R2486" s="2" t="inlineStr"/>
    </row>
    <row r="2487" ht="15" customHeight="1">
      <c r="A2487" t="inlineStr">
        <is>
          <t>A 29898-2024</t>
        </is>
      </c>
      <c r="B2487" s="1" t="n">
        <v>45487</v>
      </c>
      <c r="C2487" s="1" t="n">
        <v>45711</v>
      </c>
      <c r="D2487" t="inlineStr">
        <is>
          <t>VÄRMLANDS LÄN</t>
        </is>
      </c>
      <c r="E2487" t="inlineStr">
        <is>
          <t>TORSBY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29895-2024</t>
        </is>
      </c>
      <c r="B2488" s="1" t="n">
        <v>45487</v>
      </c>
      <c r="C2488" s="1" t="n">
        <v>45711</v>
      </c>
      <c r="D2488" t="inlineStr">
        <is>
          <t>VÄRMLANDS LÄN</t>
        </is>
      </c>
      <c r="E2488" t="inlineStr">
        <is>
          <t>TORSBY</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29897-2024</t>
        </is>
      </c>
      <c r="B2489" s="1" t="n">
        <v>45487</v>
      </c>
      <c r="C2489" s="1" t="n">
        <v>45711</v>
      </c>
      <c r="D2489" t="inlineStr">
        <is>
          <t>VÄRMLANDS LÄN</t>
        </is>
      </c>
      <c r="E2489" t="inlineStr">
        <is>
          <t>TORSBY</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29936-2024</t>
        </is>
      </c>
      <c r="B2490" s="1" t="n">
        <v>45488</v>
      </c>
      <c r="C2490" s="1" t="n">
        <v>45711</v>
      </c>
      <c r="D2490" t="inlineStr">
        <is>
          <t>VÄRMLANDS LÄN</t>
        </is>
      </c>
      <c r="E2490" t="inlineStr">
        <is>
          <t>TORSBY</t>
        </is>
      </c>
      <c r="F2490" t="inlineStr">
        <is>
          <t>Kommuner</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29925-2024</t>
        </is>
      </c>
      <c r="B2491" s="1" t="n">
        <v>45488</v>
      </c>
      <c r="C2491" s="1" t="n">
        <v>45711</v>
      </c>
      <c r="D2491" t="inlineStr">
        <is>
          <t>VÄRMLANDS LÄN</t>
        </is>
      </c>
      <c r="E2491" t="inlineStr">
        <is>
          <t>TORSBY</t>
        </is>
      </c>
      <c r="F2491" t="inlineStr">
        <is>
          <t>Kyrkan</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30002-2024</t>
        </is>
      </c>
      <c r="B2492" s="1" t="n">
        <v>45488</v>
      </c>
      <c r="C2492" s="1" t="n">
        <v>45711</v>
      </c>
      <c r="D2492" t="inlineStr">
        <is>
          <t>VÄRMLANDS LÄN</t>
        </is>
      </c>
      <c r="E2492" t="inlineStr">
        <is>
          <t>TORSBY</t>
        </is>
      </c>
      <c r="F2492" t="inlineStr">
        <is>
          <t>Kommuner</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30011-2024</t>
        </is>
      </c>
      <c r="B2493" s="1" t="n">
        <v>45488</v>
      </c>
      <c r="C2493" s="1" t="n">
        <v>45711</v>
      </c>
      <c r="D2493" t="inlineStr">
        <is>
          <t>VÄRMLANDS LÄN</t>
        </is>
      </c>
      <c r="E2493" t="inlineStr">
        <is>
          <t>TORSBY</t>
        </is>
      </c>
      <c r="F2493" t="inlineStr">
        <is>
          <t>Kommuner</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29926-2024</t>
        </is>
      </c>
      <c r="B2494" s="1" t="n">
        <v>45488</v>
      </c>
      <c r="C2494" s="1" t="n">
        <v>45711</v>
      </c>
      <c r="D2494" t="inlineStr">
        <is>
          <t>VÄRMLANDS LÄN</t>
        </is>
      </c>
      <c r="E2494" t="inlineStr">
        <is>
          <t>TORSBY</t>
        </is>
      </c>
      <c r="F2494" t="inlineStr">
        <is>
          <t>Kommuner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30074-2024</t>
        </is>
      </c>
      <c r="B2495" s="1" t="n">
        <v>45489</v>
      </c>
      <c r="C2495" s="1" t="n">
        <v>45711</v>
      </c>
      <c r="D2495" t="inlineStr">
        <is>
          <t>VÄRMLANDS LÄN</t>
        </is>
      </c>
      <c r="E2495" t="inlineStr">
        <is>
          <t>TORSBY</t>
        </is>
      </c>
      <c r="F2495" t="inlineStr">
        <is>
          <t>Kyrkan</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30267-2024</t>
        </is>
      </c>
      <c r="B2496" s="1" t="n">
        <v>45490</v>
      </c>
      <c r="C2496" s="1" t="n">
        <v>45711</v>
      </c>
      <c r="D2496" t="inlineStr">
        <is>
          <t>VÄRMLANDS LÄN</t>
        </is>
      </c>
      <c r="E2496" t="inlineStr">
        <is>
          <t>TORSBY</t>
        </is>
      </c>
      <c r="F2496" t="inlineStr">
        <is>
          <t>Bergvik skog väst AB</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30403-2024</t>
        </is>
      </c>
      <c r="B2497" s="1" t="n">
        <v>45491</v>
      </c>
      <c r="C2497" s="1" t="n">
        <v>45711</v>
      </c>
      <c r="D2497" t="inlineStr">
        <is>
          <t>VÄRMLANDS LÄN</t>
        </is>
      </c>
      <c r="E2497" t="inlineStr">
        <is>
          <t>TORSBY</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30629-2024</t>
        </is>
      </c>
      <c r="B2498" s="1" t="n">
        <v>45495</v>
      </c>
      <c r="C2498" s="1" t="n">
        <v>45711</v>
      </c>
      <c r="D2498" t="inlineStr">
        <is>
          <t>VÄRMLANDS LÄN</t>
        </is>
      </c>
      <c r="E2498" t="inlineStr">
        <is>
          <t>TORSBY</t>
        </is>
      </c>
      <c r="F2498" t="inlineStr">
        <is>
          <t>Bergvik skog väst AB</t>
        </is>
      </c>
      <c r="G2498" t="n">
        <v>12.8</v>
      </c>
      <c r="H2498" t="n">
        <v>0</v>
      </c>
      <c r="I2498" t="n">
        <v>0</v>
      </c>
      <c r="J2498" t="n">
        <v>0</v>
      </c>
      <c r="K2498" t="n">
        <v>0</v>
      </c>
      <c r="L2498" t="n">
        <v>0</v>
      </c>
      <c r="M2498" t="n">
        <v>0</v>
      </c>
      <c r="N2498" t="n">
        <v>0</v>
      </c>
      <c r="O2498" t="n">
        <v>0</v>
      </c>
      <c r="P2498" t="n">
        <v>0</v>
      </c>
      <c r="Q2498" t="n">
        <v>0</v>
      </c>
      <c r="R2498" s="2" t="inlineStr"/>
    </row>
    <row r="2499" ht="15" customHeight="1">
      <c r="A2499" t="inlineStr">
        <is>
          <t>A 30718-2024</t>
        </is>
      </c>
      <c r="B2499" s="1" t="n">
        <v>45496</v>
      </c>
      <c r="C2499" s="1" t="n">
        <v>45711</v>
      </c>
      <c r="D2499" t="inlineStr">
        <is>
          <t>VÄRMLANDS LÄN</t>
        </is>
      </c>
      <c r="E2499" t="inlineStr">
        <is>
          <t>TORSBY</t>
        </is>
      </c>
      <c r="F2499" t="inlineStr">
        <is>
          <t>Bergvik skog väst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30706-2024</t>
        </is>
      </c>
      <c r="B2500" s="1" t="n">
        <v>45496</v>
      </c>
      <c r="C2500" s="1" t="n">
        <v>45711</v>
      </c>
      <c r="D2500" t="inlineStr">
        <is>
          <t>VÄRMLANDS LÄN</t>
        </is>
      </c>
      <c r="E2500" t="inlineStr">
        <is>
          <t>TORSBY</t>
        </is>
      </c>
      <c r="F2500" t="inlineStr">
        <is>
          <t>Bergvik skog väst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30720-2024</t>
        </is>
      </c>
      <c r="B2501" s="1" t="n">
        <v>45496</v>
      </c>
      <c r="C2501" s="1" t="n">
        <v>45711</v>
      </c>
      <c r="D2501" t="inlineStr">
        <is>
          <t>VÄRMLANDS LÄN</t>
        </is>
      </c>
      <c r="E2501" t="inlineStr">
        <is>
          <t>TORSBY</t>
        </is>
      </c>
      <c r="F2501" t="inlineStr">
        <is>
          <t>Bergvik skog väst AB</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30700-2024</t>
        </is>
      </c>
      <c r="B2502" s="1" t="n">
        <v>45496</v>
      </c>
      <c r="C2502" s="1" t="n">
        <v>45711</v>
      </c>
      <c r="D2502" t="inlineStr">
        <is>
          <t>VÄRMLANDS LÄN</t>
        </is>
      </c>
      <c r="E2502" t="inlineStr">
        <is>
          <t>TORSBY</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30696-2024</t>
        </is>
      </c>
      <c r="B2503" s="1" t="n">
        <v>45496</v>
      </c>
      <c r="C2503" s="1" t="n">
        <v>45711</v>
      </c>
      <c r="D2503" t="inlineStr">
        <is>
          <t>VÄRMLANDS LÄN</t>
        </is>
      </c>
      <c r="E2503" t="inlineStr">
        <is>
          <t>TORSBY</t>
        </is>
      </c>
      <c r="F2503" t="inlineStr">
        <is>
          <t>Bergvik skog väst AB</t>
        </is>
      </c>
      <c r="G2503" t="n">
        <v>9.9</v>
      </c>
      <c r="H2503" t="n">
        <v>0</v>
      </c>
      <c r="I2503" t="n">
        <v>0</v>
      </c>
      <c r="J2503" t="n">
        <v>0</v>
      </c>
      <c r="K2503" t="n">
        <v>0</v>
      </c>
      <c r="L2503" t="n">
        <v>0</v>
      </c>
      <c r="M2503" t="n">
        <v>0</v>
      </c>
      <c r="N2503" t="n">
        <v>0</v>
      </c>
      <c r="O2503" t="n">
        <v>0</v>
      </c>
      <c r="P2503" t="n">
        <v>0</v>
      </c>
      <c r="Q2503" t="n">
        <v>0</v>
      </c>
      <c r="R2503" s="2" t="inlineStr"/>
    </row>
    <row r="2504" ht="15" customHeight="1">
      <c r="A2504" t="inlineStr">
        <is>
          <t>A 30699-2024</t>
        </is>
      </c>
      <c r="B2504" s="1" t="n">
        <v>45496</v>
      </c>
      <c r="C2504" s="1" t="n">
        <v>45711</v>
      </c>
      <c r="D2504" t="inlineStr">
        <is>
          <t>VÄRMLANDS LÄN</t>
        </is>
      </c>
      <c r="E2504" t="inlineStr">
        <is>
          <t>TORSBY</t>
        </is>
      </c>
      <c r="F2504" t="inlineStr">
        <is>
          <t>Kyrkan</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30705-2024</t>
        </is>
      </c>
      <c r="B2505" s="1" t="n">
        <v>45496</v>
      </c>
      <c r="C2505" s="1" t="n">
        <v>45711</v>
      </c>
      <c r="D2505" t="inlineStr">
        <is>
          <t>VÄRMLANDS LÄN</t>
        </is>
      </c>
      <c r="E2505" t="inlineStr">
        <is>
          <t>TORSBY</t>
        </is>
      </c>
      <c r="F2505" t="inlineStr">
        <is>
          <t>Bergvik skog väst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30790-2024</t>
        </is>
      </c>
      <c r="B2506" s="1" t="n">
        <v>45497</v>
      </c>
      <c r="C2506" s="1" t="n">
        <v>45711</v>
      </c>
      <c r="D2506" t="inlineStr">
        <is>
          <t>VÄRMLANDS LÄN</t>
        </is>
      </c>
      <c r="E2506" t="inlineStr">
        <is>
          <t>TORSBY</t>
        </is>
      </c>
      <c r="G2506" t="n">
        <v>49.9</v>
      </c>
      <c r="H2506" t="n">
        <v>0</v>
      </c>
      <c r="I2506" t="n">
        <v>0</v>
      </c>
      <c r="J2506" t="n">
        <v>0</v>
      </c>
      <c r="K2506" t="n">
        <v>0</v>
      </c>
      <c r="L2506" t="n">
        <v>0</v>
      </c>
      <c r="M2506" t="n">
        <v>0</v>
      </c>
      <c r="N2506" t="n">
        <v>0</v>
      </c>
      <c r="O2506" t="n">
        <v>0</v>
      </c>
      <c r="P2506" t="n">
        <v>0</v>
      </c>
      <c r="Q2506" t="n">
        <v>0</v>
      </c>
      <c r="R2506" s="2" t="inlineStr"/>
    </row>
    <row r="2507" ht="15" customHeight="1">
      <c r="A2507" t="inlineStr">
        <is>
          <t>A 30789-2024</t>
        </is>
      </c>
      <c r="B2507" s="1" t="n">
        <v>45497</v>
      </c>
      <c r="C2507" s="1" t="n">
        <v>45711</v>
      </c>
      <c r="D2507" t="inlineStr">
        <is>
          <t>VÄRMLANDS LÄN</t>
        </is>
      </c>
      <c r="E2507" t="inlineStr">
        <is>
          <t>TORSBY</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30803-2024</t>
        </is>
      </c>
      <c r="B2508" s="1" t="n">
        <v>45497</v>
      </c>
      <c r="C2508" s="1" t="n">
        <v>45711</v>
      </c>
      <c r="D2508" t="inlineStr">
        <is>
          <t>VÄRMLANDS LÄN</t>
        </is>
      </c>
      <c r="E2508" t="inlineStr">
        <is>
          <t>TORSBY</t>
        </is>
      </c>
      <c r="F2508" t="inlineStr">
        <is>
          <t>Kyrkan</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30791-2024</t>
        </is>
      </c>
      <c r="B2509" s="1" t="n">
        <v>45497</v>
      </c>
      <c r="C2509" s="1" t="n">
        <v>45711</v>
      </c>
      <c r="D2509" t="inlineStr">
        <is>
          <t>VÄRMLANDS LÄN</t>
        </is>
      </c>
      <c r="E2509" t="inlineStr">
        <is>
          <t>TORSBY</t>
        </is>
      </c>
      <c r="G2509" t="n">
        <v>44.2</v>
      </c>
      <c r="H2509" t="n">
        <v>0</v>
      </c>
      <c r="I2509" t="n">
        <v>0</v>
      </c>
      <c r="J2509" t="n">
        <v>0</v>
      </c>
      <c r="K2509" t="n">
        <v>0</v>
      </c>
      <c r="L2509" t="n">
        <v>0</v>
      </c>
      <c r="M2509" t="n">
        <v>0</v>
      </c>
      <c r="N2509" t="n">
        <v>0</v>
      </c>
      <c r="O2509" t="n">
        <v>0</v>
      </c>
      <c r="P2509" t="n">
        <v>0</v>
      </c>
      <c r="Q2509" t="n">
        <v>0</v>
      </c>
      <c r="R2509" s="2" t="inlineStr"/>
    </row>
    <row r="2510" ht="15" customHeight="1">
      <c r="A2510" t="inlineStr">
        <is>
          <t>A 30873-2024</t>
        </is>
      </c>
      <c r="B2510" s="1" t="n">
        <v>45498</v>
      </c>
      <c r="C2510" s="1" t="n">
        <v>45711</v>
      </c>
      <c r="D2510" t="inlineStr">
        <is>
          <t>VÄRMLANDS LÄN</t>
        </is>
      </c>
      <c r="E2510" t="inlineStr">
        <is>
          <t>TORSBY</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30952-2024</t>
        </is>
      </c>
      <c r="B2511" s="1" t="n">
        <v>45499</v>
      </c>
      <c r="C2511" s="1" t="n">
        <v>45711</v>
      </c>
      <c r="D2511" t="inlineStr">
        <is>
          <t>VÄRMLANDS LÄN</t>
        </is>
      </c>
      <c r="E2511" t="inlineStr">
        <is>
          <t>TORSBY</t>
        </is>
      </c>
      <c r="F2511" t="inlineStr">
        <is>
          <t>Bergvik skog väst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30947-2024</t>
        </is>
      </c>
      <c r="B2512" s="1" t="n">
        <v>45499</v>
      </c>
      <c r="C2512" s="1" t="n">
        <v>45711</v>
      </c>
      <c r="D2512" t="inlineStr">
        <is>
          <t>VÄRMLANDS LÄN</t>
        </is>
      </c>
      <c r="E2512" t="inlineStr">
        <is>
          <t>TORSBY</t>
        </is>
      </c>
      <c r="F2512" t="inlineStr">
        <is>
          <t>Bergvik skog väst AB</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31004-2024</t>
        </is>
      </c>
      <c r="B2513" s="1" t="n">
        <v>45499</v>
      </c>
      <c r="C2513" s="1" t="n">
        <v>45711</v>
      </c>
      <c r="D2513" t="inlineStr">
        <is>
          <t>VÄRMLANDS LÄN</t>
        </is>
      </c>
      <c r="E2513" t="inlineStr">
        <is>
          <t>TORSBY</t>
        </is>
      </c>
      <c r="F2513" t="inlineStr">
        <is>
          <t>Bergvik skog väst AB</t>
        </is>
      </c>
      <c r="G2513" t="n">
        <v>14.2</v>
      </c>
      <c r="H2513" t="n">
        <v>0</v>
      </c>
      <c r="I2513" t="n">
        <v>0</v>
      </c>
      <c r="J2513" t="n">
        <v>0</v>
      </c>
      <c r="K2513" t="n">
        <v>0</v>
      </c>
      <c r="L2513" t="n">
        <v>0</v>
      </c>
      <c r="M2513" t="n">
        <v>0</v>
      </c>
      <c r="N2513" t="n">
        <v>0</v>
      </c>
      <c r="O2513" t="n">
        <v>0</v>
      </c>
      <c r="P2513" t="n">
        <v>0</v>
      </c>
      <c r="Q2513" t="n">
        <v>0</v>
      </c>
      <c r="R2513" s="2" t="inlineStr"/>
    </row>
    <row r="2514" ht="15" customHeight="1">
      <c r="A2514" t="inlineStr">
        <is>
          <t>A 30942-2024</t>
        </is>
      </c>
      <c r="B2514" s="1" t="n">
        <v>45499</v>
      </c>
      <c r="C2514" s="1" t="n">
        <v>45711</v>
      </c>
      <c r="D2514" t="inlineStr">
        <is>
          <t>VÄRMLANDS LÄN</t>
        </is>
      </c>
      <c r="E2514" t="inlineStr">
        <is>
          <t>TORSBY</t>
        </is>
      </c>
      <c r="F2514" t="inlineStr">
        <is>
          <t>Bergvik skog väst AB</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31089-2024</t>
        </is>
      </c>
      <c r="B2515" s="1" t="n">
        <v>45502</v>
      </c>
      <c r="C2515" s="1" t="n">
        <v>45711</v>
      </c>
      <c r="D2515" t="inlineStr">
        <is>
          <t>VÄRMLANDS LÄN</t>
        </is>
      </c>
      <c r="E2515" t="inlineStr">
        <is>
          <t>TORSBY</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31158-2024</t>
        </is>
      </c>
      <c r="B2516" s="1" t="n">
        <v>45503</v>
      </c>
      <c r="C2516" s="1" t="n">
        <v>45711</v>
      </c>
      <c r="D2516" t="inlineStr">
        <is>
          <t>VÄRMLANDS LÄN</t>
        </is>
      </c>
      <c r="E2516" t="inlineStr">
        <is>
          <t>TORSBY</t>
        </is>
      </c>
      <c r="F2516" t="inlineStr">
        <is>
          <t>Kyrkan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31164-2024</t>
        </is>
      </c>
      <c r="B2517" s="1" t="n">
        <v>45503</v>
      </c>
      <c r="C2517" s="1" t="n">
        <v>45711</v>
      </c>
      <c r="D2517" t="inlineStr">
        <is>
          <t>VÄRMLANDS LÄN</t>
        </is>
      </c>
      <c r="E2517" t="inlineStr">
        <is>
          <t>TORSBY</t>
        </is>
      </c>
      <c r="F2517" t="inlineStr">
        <is>
          <t>Kyrkan</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31285-2024</t>
        </is>
      </c>
      <c r="B2518" s="1" t="n">
        <v>45504</v>
      </c>
      <c r="C2518" s="1" t="n">
        <v>45711</v>
      </c>
      <c r="D2518" t="inlineStr">
        <is>
          <t>VÄRMLANDS LÄN</t>
        </is>
      </c>
      <c r="E2518" t="inlineStr">
        <is>
          <t>TORSBY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31289-2024</t>
        </is>
      </c>
      <c r="B2519" s="1" t="n">
        <v>45504</v>
      </c>
      <c r="C2519" s="1" t="n">
        <v>45711</v>
      </c>
      <c r="D2519" t="inlineStr">
        <is>
          <t>VÄRMLANDS LÄN</t>
        </is>
      </c>
      <c r="E2519" t="inlineStr">
        <is>
          <t>TORSBY</t>
        </is>
      </c>
      <c r="G2519" t="n">
        <v>16.8</v>
      </c>
      <c r="H2519" t="n">
        <v>0</v>
      </c>
      <c r="I2519" t="n">
        <v>0</v>
      </c>
      <c r="J2519" t="n">
        <v>0</v>
      </c>
      <c r="K2519" t="n">
        <v>0</v>
      </c>
      <c r="L2519" t="n">
        <v>0</v>
      </c>
      <c r="M2519" t="n">
        <v>0</v>
      </c>
      <c r="N2519" t="n">
        <v>0</v>
      </c>
      <c r="O2519" t="n">
        <v>0</v>
      </c>
      <c r="P2519" t="n">
        <v>0</v>
      </c>
      <c r="Q2519" t="n">
        <v>0</v>
      </c>
      <c r="R2519" s="2" t="inlineStr"/>
    </row>
    <row r="2520" ht="15" customHeight="1">
      <c r="A2520" t="inlineStr">
        <is>
          <t>A 31380-2024</t>
        </is>
      </c>
      <c r="B2520" s="1" t="n">
        <v>45505</v>
      </c>
      <c r="C2520" s="1" t="n">
        <v>45711</v>
      </c>
      <c r="D2520" t="inlineStr">
        <is>
          <t>VÄRMLANDS LÄN</t>
        </is>
      </c>
      <c r="E2520" t="inlineStr">
        <is>
          <t>TORSBY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31385-2024</t>
        </is>
      </c>
      <c r="B2521" s="1" t="n">
        <v>45505</v>
      </c>
      <c r="C2521" s="1" t="n">
        <v>45711</v>
      </c>
      <c r="D2521" t="inlineStr">
        <is>
          <t>VÄRMLANDS LÄN</t>
        </is>
      </c>
      <c r="E2521" t="inlineStr">
        <is>
          <t>TORSBY</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31377-2024</t>
        </is>
      </c>
      <c r="B2522" s="1" t="n">
        <v>45505</v>
      </c>
      <c r="C2522" s="1" t="n">
        <v>45711</v>
      </c>
      <c r="D2522" t="inlineStr">
        <is>
          <t>VÄRMLANDS LÄN</t>
        </is>
      </c>
      <c r="E2522" t="inlineStr">
        <is>
          <t>TORSBY</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31351-2024</t>
        </is>
      </c>
      <c r="B2523" s="1" t="n">
        <v>45505</v>
      </c>
      <c r="C2523" s="1" t="n">
        <v>45711</v>
      </c>
      <c r="D2523" t="inlineStr">
        <is>
          <t>VÄRMLANDS LÄN</t>
        </is>
      </c>
      <c r="E2523" t="inlineStr">
        <is>
          <t>TORSBY</t>
        </is>
      </c>
      <c r="F2523" t="inlineStr">
        <is>
          <t>Kyrkan</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31767-2024</t>
        </is>
      </c>
      <c r="B2524" s="1" t="n">
        <v>45509</v>
      </c>
      <c r="C2524" s="1" t="n">
        <v>45711</v>
      </c>
      <c r="D2524" t="inlineStr">
        <is>
          <t>VÄRMLANDS LÄN</t>
        </is>
      </c>
      <c r="E2524" t="inlineStr">
        <is>
          <t>TORSBY</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31716-2024</t>
        </is>
      </c>
      <c r="B2525" s="1" t="n">
        <v>45509</v>
      </c>
      <c r="C2525" s="1" t="n">
        <v>45711</v>
      </c>
      <c r="D2525" t="inlineStr">
        <is>
          <t>VÄRMLANDS LÄN</t>
        </is>
      </c>
      <c r="E2525" t="inlineStr">
        <is>
          <t>TORSBY</t>
        </is>
      </c>
      <c r="F2525" t="inlineStr">
        <is>
          <t>Bergvik skog väst AB</t>
        </is>
      </c>
      <c r="G2525" t="n">
        <v>19.3</v>
      </c>
      <c r="H2525" t="n">
        <v>0</v>
      </c>
      <c r="I2525" t="n">
        <v>0</v>
      </c>
      <c r="J2525" t="n">
        <v>0</v>
      </c>
      <c r="K2525" t="n">
        <v>0</v>
      </c>
      <c r="L2525" t="n">
        <v>0</v>
      </c>
      <c r="M2525" t="n">
        <v>0</v>
      </c>
      <c r="N2525" t="n">
        <v>0</v>
      </c>
      <c r="O2525" t="n">
        <v>0</v>
      </c>
      <c r="P2525" t="n">
        <v>0</v>
      </c>
      <c r="Q2525" t="n">
        <v>0</v>
      </c>
      <c r="R2525" s="2" t="inlineStr"/>
    </row>
    <row r="2526" ht="15" customHeight="1">
      <c r="A2526" t="inlineStr">
        <is>
          <t>A 31836-2024</t>
        </is>
      </c>
      <c r="B2526" s="1" t="n">
        <v>45509</v>
      </c>
      <c r="C2526" s="1" t="n">
        <v>45711</v>
      </c>
      <c r="D2526" t="inlineStr">
        <is>
          <t>VÄRMLANDS LÄN</t>
        </is>
      </c>
      <c r="E2526" t="inlineStr">
        <is>
          <t>TORSBY</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31830-2024</t>
        </is>
      </c>
      <c r="B2527" s="1" t="n">
        <v>45509</v>
      </c>
      <c r="C2527" s="1" t="n">
        <v>45711</v>
      </c>
      <c r="D2527" t="inlineStr">
        <is>
          <t>VÄRMLANDS LÄN</t>
        </is>
      </c>
      <c r="E2527" t="inlineStr">
        <is>
          <t>TORSBY</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31945-2024</t>
        </is>
      </c>
      <c r="B2528" s="1" t="n">
        <v>45510</v>
      </c>
      <c r="C2528" s="1" t="n">
        <v>45711</v>
      </c>
      <c r="D2528" t="inlineStr">
        <is>
          <t>VÄRMLANDS LÄN</t>
        </is>
      </c>
      <c r="E2528" t="inlineStr">
        <is>
          <t>TORSBY</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32155-2024</t>
        </is>
      </c>
      <c r="B2529" s="1" t="n">
        <v>45511</v>
      </c>
      <c r="C2529" s="1" t="n">
        <v>45711</v>
      </c>
      <c r="D2529" t="inlineStr">
        <is>
          <t>VÄRMLANDS LÄN</t>
        </is>
      </c>
      <c r="E2529" t="inlineStr">
        <is>
          <t>TORSBY</t>
        </is>
      </c>
      <c r="F2529" t="inlineStr">
        <is>
          <t>Bergvik skog väst AB</t>
        </is>
      </c>
      <c r="G2529" t="n">
        <v>13.5</v>
      </c>
      <c r="H2529" t="n">
        <v>0</v>
      </c>
      <c r="I2529" t="n">
        <v>0</v>
      </c>
      <c r="J2529" t="n">
        <v>0</v>
      </c>
      <c r="K2529" t="n">
        <v>0</v>
      </c>
      <c r="L2529" t="n">
        <v>0</v>
      </c>
      <c r="M2529" t="n">
        <v>0</v>
      </c>
      <c r="N2529" t="n">
        <v>0</v>
      </c>
      <c r="O2529" t="n">
        <v>0</v>
      </c>
      <c r="P2529" t="n">
        <v>0</v>
      </c>
      <c r="Q2529" t="n">
        <v>0</v>
      </c>
      <c r="R2529" s="2" t="inlineStr"/>
    </row>
    <row r="2530" ht="15" customHeight="1">
      <c r="A2530" t="inlineStr">
        <is>
          <t>A 32138-2024</t>
        </is>
      </c>
      <c r="B2530" s="1" t="n">
        <v>45511</v>
      </c>
      <c r="C2530" s="1" t="n">
        <v>45711</v>
      </c>
      <c r="D2530" t="inlineStr">
        <is>
          <t>VÄRMLANDS LÄN</t>
        </is>
      </c>
      <c r="E2530" t="inlineStr">
        <is>
          <t>TORSBY</t>
        </is>
      </c>
      <c r="F2530" t="inlineStr">
        <is>
          <t>Bergvik skog väst AB</t>
        </is>
      </c>
      <c r="G2530" t="n">
        <v>26.3</v>
      </c>
      <c r="H2530" t="n">
        <v>0</v>
      </c>
      <c r="I2530" t="n">
        <v>0</v>
      </c>
      <c r="J2530" t="n">
        <v>0</v>
      </c>
      <c r="K2530" t="n">
        <v>0</v>
      </c>
      <c r="L2530" t="n">
        <v>0</v>
      </c>
      <c r="M2530" t="n">
        <v>0</v>
      </c>
      <c r="N2530" t="n">
        <v>0</v>
      </c>
      <c r="O2530" t="n">
        <v>0</v>
      </c>
      <c r="P2530" t="n">
        <v>0</v>
      </c>
      <c r="Q2530" t="n">
        <v>0</v>
      </c>
      <c r="R2530" s="2" t="inlineStr"/>
    </row>
    <row r="2531" ht="15" customHeight="1">
      <c r="A2531" t="inlineStr">
        <is>
          <t>A 32213-2024</t>
        </is>
      </c>
      <c r="B2531" s="1" t="n">
        <v>45511</v>
      </c>
      <c r="C2531" s="1" t="n">
        <v>45711</v>
      </c>
      <c r="D2531" t="inlineStr">
        <is>
          <t>VÄRMLANDS LÄN</t>
        </is>
      </c>
      <c r="E2531" t="inlineStr">
        <is>
          <t>TORSBY</t>
        </is>
      </c>
      <c r="G2531" t="n">
        <v>10.3</v>
      </c>
      <c r="H2531" t="n">
        <v>0</v>
      </c>
      <c r="I2531" t="n">
        <v>0</v>
      </c>
      <c r="J2531" t="n">
        <v>0</v>
      </c>
      <c r="K2531" t="n">
        <v>0</v>
      </c>
      <c r="L2531" t="n">
        <v>0</v>
      </c>
      <c r="M2531" t="n">
        <v>0</v>
      </c>
      <c r="N2531" t="n">
        <v>0</v>
      </c>
      <c r="O2531" t="n">
        <v>0</v>
      </c>
      <c r="P2531" t="n">
        <v>0</v>
      </c>
      <c r="Q2531" t="n">
        <v>0</v>
      </c>
      <c r="R2531" s="2" t="inlineStr"/>
    </row>
    <row r="2532" ht="15" customHeight="1">
      <c r="A2532" t="inlineStr">
        <is>
          <t>A 32314-2024</t>
        </is>
      </c>
      <c r="B2532" s="1" t="n">
        <v>45512</v>
      </c>
      <c r="C2532" s="1" t="n">
        <v>45711</v>
      </c>
      <c r="D2532" t="inlineStr">
        <is>
          <t>VÄRMLANDS LÄN</t>
        </is>
      </c>
      <c r="E2532" t="inlineStr">
        <is>
          <t>TORSBY</t>
        </is>
      </c>
      <c r="F2532" t="inlineStr">
        <is>
          <t>Bergvik skog väst AB</t>
        </is>
      </c>
      <c r="G2532" t="n">
        <v>35.1</v>
      </c>
      <c r="H2532" t="n">
        <v>0</v>
      </c>
      <c r="I2532" t="n">
        <v>0</v>
      </c>
      <c r="J2532" t="n">
        <v>0</v>
      </c>
      <c r="K2532" t="n">
        <v>0</v>
      </c>
      <c r="L2532" t="n">
        <v>0</v>
      </c>
      <c r="M2532" t="n">
        <v>0</v>
      </c>
      <c r="N2532" t="n">
        <v>0</v>
      </c>
      <c r="O2532" t="n">
        <v>0</v>
      </c>
      <c r="P2532" t="n">
        <v>0</v>
      </c>
      <c r="Q2532" t="n">
        <v>0</v>
      </c>
      <c r="R2532" s="2" t="inlineStr"/>
    </row>
    <row r="2533" ht="15" customHeight="1">
      <c r="A2533" t="inlineStr">
        <is>
          <t>A 32343-2024</t>
        </is>
      </c>
      <c r="B2533" s="1" t="n">
        <v>45512</v>
      </c>
      <c r="C2533" s="1" t="n">
        <v>45711</v>
      </c>
      <c r="D2533" t="inlineStr">
        <is>
          <t>VÄRMLANDS LÄN</t>
        </is>
      </c>
      <c r="E2533" t="inlineStr">
        <is>
          <t>TORSBY</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32340-2024</t>
        </is>
      </c>
      <c r="B2534" s="1" t="n">
        <v>45512</v>
      </c>
      <c r="C2534" s="1" t="n">
        <v>45711</v>
      </c>
      <c r="D2534" t="inlineStr">
        <is>
          <t>VÄRMLANDS LÄN</t>
        </is>
      </c>
      <c r="E2534" t="inlineStr">
        <is>
          <t>TORSBY</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32319-2024</t>
        </is>
      </c>
      <c r="B2535" s="1" t="n">
        <v>45512</v>
      </c>
      <c r="C2535" s="1" t="n">
        <v>45711</v>
      </c>
      <c r="D2535" t="inlineStr">
        <is>
          <t>VÄRMLANDS LÄN</t>
        </is>
      </c>
      <c r="E2535" t="inlineStr">
        <is>
          <t>TORSBY</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32588-2024</t>
        </is>
      </c>
      <c r="B2536" s="1" t="n">
        <v>45513</v>
      </c>
      <c r="C2536" s="1" t="n">
        <v>45711</v>
      </c>
      <c r="D2536" t="inlineStr">
        <is>
          <t>VÄRMLANDS LÄN</t>
        </is>
      </c>
      <c r="E2536" t="inlineStr">
        <is>
          <t>TORSBY</t>
        </is>
      </c>
      <c r="F2536" t="inlineStr">
        <is>
          <t>Bergvik skog väst AB</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32603-2024</t>
        </is>
      </c>
      <c r="B2537" s="1" t="n">
        <v>45513</v>
      </c>
      <c r="C2537" s="1" t="n">
        <v>45711</v>
      </c>
      <c r="D2537" t="inlineStr">
        <is>
          <t>VÄRMLANDS LÄN</t>
        </is>
      </c>
      <c r="E2537" t="inlineStr">
        <is>
          <t>TORSBY</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32764-2024</t>
        </is>
      </c>
      <c r="B2538" s="1" t="n">
        <v>45515</v>
      </c>
      <c r="C2538" s="1" t="n">
        <v>45711</v>
      </c>
      <c r="D2538" t="inlineStr">
        <is>
          <t>VÄRMLANDS LÄN</t>
        </is>
      </c>
      <c r="E2538" t="inlineStr">
        <is>
          <t>TORSBY</t>
        </is>
      </c>
      <c r="G2538" t="n">
        <v>9.9</v>
      </c>
      <c r="H2538" t="n">
        <v>0</v>
      </c>
      <c r="I2538" t="n">
        <v>0</v>
      </c>
      <c r="J2538" t="n">
        <v>0</v>
      </c>
      <c r="K2538" t="n">
        <v>0</v>
      </c>
      <c r="L2538" t="n">
        <v>0</v>
      </c>
      <c r="M2538" t="n">
        <v>0</v>
      </c>
      <c r="N2538" t="n">
        <v>0</v>
      </c>
      <c r="O2538" t="n">
        <v>0</v>
      </c>
      <c r="P2538" t="n">
        <v>0</v>
      </c>
      <c r="Q2538" t="n">
        <v>0</v>
      </c>
      <c r="R2538" s="2" t="inlineStr"/>
    </row>
    <row r="2539" ht="15" customHeight="1">
      <c r="A2539" t="inlineStr">
        <is>
          <t>A 32755-2024</t>
        </is>
      </c>
      <c r="B2539" s="1" t="n">
        <v>45515</v>
      </c>
      <c r="C2539" s="1" t="n">
        <v>45711</v>
      </c>
      <c r="D2539" t="inlineStr">
        <is>
          <t>VÄRMLANDS LÄN</t>
        </is>
      </c>
      <c r="E2539" t="inlineStr">
        <is>
          <t>TORSBY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32746-2024</t>
        </is>
      </c>
      <c r="B2540" s="1" t="n">
        <v>45515</v>
      </c>
      <c r="C2540" s="1" t="n">
        <v>45711</v>
      </c>
      <c r="D2540" t="inlineStr">
        <is>
          <t>VÄRMLANDS LÄN</t>
        </is>
      </c>
      <c r="E2540" t="inlineStr">
        <is>
          <t>TORSBY</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32758-2024</t>
        </is>
      </c>
      <c r="B2541" s="1" t="n">
        <v>45515</v>
      </c>
      <c r="C2541" s="1" t="n">
        <v>45711</v>
      </c>
      <c r="D2541" t="inlineStr">
        <is>
          <t>VÄRMLANDS LÄN</t>
        </is>
      </c>
      <c r="E2541" t="inlineStr">
        <is>
          <t>TORSBY</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32845-2024</t>
        </is>
      </c>
      <c r="B2542" s="1" t="n">
        <v>45516</v>
      </c>
      <c r="C2542" s="1" t="n">
        <v>45711</v>
      </c>
      <c r="D2542" t="inlineStr">
        <is>
          <t>VÄRMLANDS LÄN</t>
        </is>
      </c>
      <c r="E2542" t="inlineStr">
        <is>
          <t>TORSBY</t>
        </is>
      </c>
      <c r="F2542" t="inlineStr">
        <is>
          <t>Bergvik skog väst AB</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32847-2024</t>
        </is>
      </c>
      <c r="B2543" s="1" t="n">
        <v>45516</v>
      </c>
      <c r="C2543" s="1" t="n">
        <v>45711</v>
      </c>
      <c r="D2543" t="inlineStr">
        <is>
          <t>VÄRMLANDS LÄN</t>
        </is>
      </c>
      <c r="E2543" t="inlineStr">
        <is>
          <t>TORSBY</t>
        </is>
      </c>
      <c r="F2543" t="inlineStr">
        <is>
          <t>Bergvik skog väst AB</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33088-2024</t>
        </is>
      </c>
      <c r="B2544" s="1" t="n">
        <v>45517</v>
      </c>
      <c r="C2544" s="1" t="n">
        <v>45711</v>
      </c>
      <c r="D2544" t="inlineStr">
        <is>
          <t>VÄRMLANDS LÄN</t>
        </is>
      </c>
      <c r="E2544" t="inlineStr">
        <is>
          <t>TORSBY</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33078-2024</t>
        </is>
      </c>
      <c r="B2545" s="1" t="n">
        <v>45517</v>
      </c>
      <c r="C2545" s="1" t="n">
        <v>45711</v>
      </c>
      <c r="D2545" t="inlineStr">
        <is>
          <t>VÄRMLANDS LÄN</t>
        </is>
      </c>
      <c r="E2545" t="inlineStr">
        <is>
          <t>TORSBY</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32973-2024</t>
        </is>
      </c>
      <c r="B2546" s="1" t="n">
        <v>45517</v>
      </c>
      <c r="C2546" s="1" t="n">
        <v>45711</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33085-2024</t>
        </is>
      </c>
      <c r="B2547" s="1" t="n">
        <v>45517</v>
      </c>
      <c r="C2547" s="1" t="n">
        <v>45711</v>
      </c>
      <c r="D2547" t="inlineStr">
        <is>
          <t>VÄRMLANDS LÄN</t>
        </is>
      </c>
      <c r="E2547" t="inlineStr">
        <is>
          <t>TORSBY</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33073-2024</t>
        </is>
      </c>
      <c r="B2548" s="1" t="n">
        <v>45517</v>
      </c>
      <c r="C2548" s="1" t="n">
        <v>45711</v>
      </c>
      <c r="D2548" t="inlineStr">
        <is>
          <t>VÄRMLANDS LÄN</t>
        </is>
      </c>
      <c r="E2548" t="inlineStr">
        <is>
          <t>TORSBY</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32988-2024</t>
        </is>
      </c>
      <c r="B2549" s="1" t="n">
        <v>45517</v>
      </c>
      <c r="C2549" s="1" t="n">
        <v>45711</v>
      </c>
      <c r="D2549" t="inlineStr">
        <is>
          <t>VÄRMLANDS LÄN</t>
        </is>
      </c>
      <c r="E2549" t="inlineStr">
        <is>
          <t>TORSBY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32932-2024</t>
        </is>
      </c>
      <c r="B2550" s="1" t="n">
        <v>45517</v>
      </c>
      <c r="C2550" s="1" t="n">
        <v>45711</v>
      </c>
      <c r="D2550" t="inlineStr">
        <is>
          <t>VÄRMLANDS LÄN</t>
        </is>
      </c>
      <c r="E2550" t="inlineStr">
        <is>
          <t>TORSBY</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32936-2024</t>
        </is>
      </c>
      <c r="B2551" s="1" t="n">
        <v>45517</v>
      </c>
      <c r="C2551" s="1" t="n">
        <v>45711</v>
      </c>
      <c r="D2551" t="inlineStr">
        <is>
          <t>VÄRMLANDS LÄN</t>
        </is>
      </c>
      <c r="E2551" t="inlineStr">
        <is>
          <t>TORSBY</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32939-2024</t>
        </is>
      </c>
      <c r="B2552" s="1" t="n">
        <v>45517</v>
      </c>
      <c r="C2552" s="1" t="n">
        <v>45711</v>
      </c>
      <c r="D2552" t="inlineStr">
        <is>
          <t>VÄRMLANDS LÄN</t>
        </is>
      </c>
      <c r="E2552" t="inlineStr">
        <is>
          <t>TORSBY</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33185-2024</t>
        </is>
      </c>
      <c r="B2553" s="1" t="n">
        <v>45518</v>
      </c>
      <c r="C2553" s="1" t="n">
        <v>45711</v>
      </c>
      <c r="D2553" t="inlineStr">
        <is>
          <t>VÄRMLANDS LÄN</t>
        </is>
      </c>
      <c r="E2553" t="inlineStr">
        <is>
          <t>TORSBY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33293-2024</t>
        </is>
      </c>
      <c r="B2554" s="1" t="n">
        <v>45518</v>
      </c>
      <c r="C2554" s="1" t="n">
        <v>45711</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33218-2024</t>
        </is>
      </c>
      <c r="B2555" s="1" t="n">
        <v>45518</v>
      </c>
      <c r="C2555" s="1" t="n">
        <v>45711</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33232-2024</t>
        </is>
      </c>
      <c r="B2556" s="1" t="n">
        <v>45518</v>
      </c>
      <c r="C2556" s="1" t="n">
        <v>45711</v>
      </c>
      <c r="D2556" t="inlineStr">
        <is>
          <t>VÄRMLANDS LÄN</t>
        </is>
      </c>
      <c r="E2556" t="inlineStr">
        <is>
          <t>TORSBY</t>
        </is>
      </c>
      <c r="F2556" t="inlineStr">
        <is>
          <t>Bergvik skog väst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33133-2024</t>
        </is>
      </c>
      <c r="B2557" s="1" t="n">
        <v>45518</v>
      </c>
      <c r="C2557" s="1" t="n">
        <v>45711</v>
      </c>
      <c r="D2557" t="inlineStr">
        <is>
          <t>VÄRMLANDS LÄN</t>
        </is>
      </c>
      <c r="E2557" t="inlineStr">
        <is>
          <t>TORSBY</t>
        </is>
      </c>
      <c r="F2557" t="inlineStr">
        <is>
          <t>Bergvik skog väst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33227-2024</t>
        </is>
      </c>
      <c r="B2558" s="1" t="n">
        <v>45518</v>
      </c>
      <c r="C2558" s="1" t="n">
        <v>45711</v>
      </c>
      <c r="D2558" t="inlineStr">
        <is>
          <t>VÄRMLANDS LÄN</t>
        </is>
      </c>
      <c r="E2558" t="inlineStr">
        <is>
          <t>TORSBY</t>
        </is>
      </c>
      <c r="F2558" t="inlineStr">
        <is>
          <t>Bergvik skog väst AB</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33220-2024</t>
        </is>
      </c>
      <c r="B2559" s="1" t="n">
        <v>45518</v>
      </c>
      <c r="C2559" s="1" t="n">
        <v>45711</v>
      </c>
      <c r="D2559" t="inlineStr">
        <is>
          <t>VÄRMLANDS LÄN</t>
        </is>
      </c>
      <c r="E2559" t="inlineStr">
        <is>
          <t>TORSBY</t>
        </is>
      </c>
      <c r="F2559" t="inlineStr">
        <is>
          <t>Bergvik skog väst AB</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33172-2024</t>
        </is>
      </c>
      <c r="B2560" s="1" t="n">
        <v>45518</v>
      </c>
      <c r="C2560" s="1" t="n">
        <v>45711</v>
      </c>
      <c r="D2560" t="inlineStr">
        <is>
          <t>VÄRMLANDS LÄN</t>
        </is>
      </c>
      <c r="E2560" t="inlineStr">
        <is>
          <t>TORSBY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33151-2024</t>
        </is>
      </c>
      <c r="B2561" s="1" t="n">
        <v>45518</v>
      </c>
      <c r="C2561" s="1" t="n">
        <v>45711</v>
      </c>
      <c r="D2561" t="inlineStr">
        <is>
          <t>VÄRMLANDS LÄN</t>
        </is>
      </c>
      <c r="E2561" t="inlineStr">
        <is>
          <t>TORSBY</t>
        </is>
      </c>
      <c r="F2561" t="inlineStr">
        <is>
          <t>Bergvik skog väst AB</t>
        </is>
      </c>
      <c r="G2561" t="n">
        <v>28.2</v>
      </c>
      <c r="H2561" t="n">
        <v>0</v>
      </c>
      <c r="I2561" t="n">
        <v>0</v>
      </c>
      <c r="J2561" t="n">
        <v>0</v>
      </c>
      <c r="K2561" t="n">
        <v>0</v>
      </c>
      <c r="L2561" t="n">
        <v>0</v>
      </c>
      <c r="M2561" t="n">
        <v>0</v>
      </c>
      <c r="N2561" t="n">
        <v>0</v>
      </c>
      <c r="O2561" t="n">
        <v>0</v>
      </c>
      <c r="P2561" t="n">
        <v>0</v>
      </c>
      <c r="Q2561" t="n">
        <v>0</v>
      </c>
      <c r="R2561" s="2" t="inlineStr"/>
    </row>
    <row r="2562" ht="15" customHeight="1">
      <c r="A2562" t="inlineStr">
        <is>
          <t>A 33338-2024</t>
        </is>
      </c>
      <c r="B2562" s="1" t="n">
        <v>45519</v>
      </c>
      <c r="C2562" s="1" t="n">
        <v>45711</v>
      </c>
      <c r="D2562" t="inlineStr">
        <is>
          <t>VÄRMLANDS LÄN</t>
        </is>
      </c>
      <c r="E2562" t="inlineStr">
        <is>
          <t>TORSBY</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33370-2024</t>
        </is>
      </c>
      <c r="B2563" s="1" t="n">
        <v>45519</v>
      </c>
      <c r="C2563" s="1" t="n">
        <v>45711</v>
      </c>
      <c r="D2563" t="inlineStr">
        <is>
          <t>VÄRMLANDS LÄN</t>
        </is>
      </c>
      <c r="E2563" t="inlineStr">
        <is>
          <t>TORSBY</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33337-2024</t>
        </is>
      </c>
      <c r="B2564" s="1" t="n">
        <v>45519</v>
      </c>
      <c r="C2564" s="1" t="n">
        <v>45711</v>
      </c>
      <c r="D2564" t="inlineStr">
        <is>
          <t>VÄRMLANDS LÄN</t>
        </is>
      </c>
      <c r="E2564" t="inlineStr">
        <is>
          <t>TORSBY</t>
        </is>
      </c>
      <c r="F2564" t="inlineStr">
        <is>
          <t>Bergvik skog väst AB</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33341-2024</t>
        </is>
      </c>
      <c r="B2565" s="1" t="n">
        <v>45519</v>
      </c>
      <c r="C2565" s="1" t="n">
        <v>45711</v>
      </c>
      <c r="D2565" t="inlineStr">
        <is>
          <t>VÄRMLANDS LÄN</t>
        </is>
      </c>
      <c r="E2565" t="inlineStr">
        <is>
          <t>TORSBY</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33425-2024</t>
        </is>
      </c>
      <c r="B2566" s="1" t="n">
        <v>45519</v>
      </c>
      <c r="C2566" s="1" t="n">
        <v>45711</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33429-2024</t>
        </is>
      </c>
      <c r="B2567" s="1" t="n">
        <v>45519</v>
      </c>
      <c r="C2567" s="1" t="n">
        <v>45711</v>
      </c>
      <c r="D2567" t="inlineStr">
        <is>
          <t>VÄRMLANDS LÄN</t>
        </is>
      </c>
      <c r="E2567" t="inlineStr">
        <is>
          <t>TORSBY</t>
        </is>
      </c>
      <c r="F2567" t="inlineStr">
        <is>
          <t>Bergvik skog väst AB</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33469-2024</t>
        </is>
      </c>
      <c r="B2568" s="1" t="n">
        <v>45519</v>
      </c>
      <c r="C2568" s="1" t="n">
        <v>45711</v>
      </c>
      <c r="D2568" t="inlineStr">
        <is>
          <t>VÄRMLANDS LÄN</t>
        </is>
      </c>
      <c r="E2568" t="inlineStr">
        <is>
          <t>TORSBY</t>
        </is>
      </c>
      <c r="F2568" t="inlineStr">
        <is>
          <t>Bergvik skog väst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33546-2024</t>
        </is>
      </c>
      <c r="B2569" s="1" t="n">
        <v>45519</v>
      </c>
      <c r="C2569" s="1" t="n">
        <v>45711</v>
      </c>
      <c r="D2569" t="inlineStr">
        <is>
          <t>VÄRMLANDS LÄN</t>
        </is>
      </c>
      <c r="E2569" t="inlineStr">
        <is>
          <t>TORSBY</t>
        </is>
      </c>
      <c r="G2569" t="n">
        <v>7.2</v>
      </c>
      <c r="H2569" t="n">
        <v>0</v>
      </c>
      <c r="I2569" t="n">
        <v>0</v>
      </c>
      <c r="J2569" t="n">
        <v>0</v>
      </c>
      <c r="K2569" t="n">
        <v>0</v>
      </c>
      <c r="L2569" t="n">
        <v>0</v>
      </c>
      <c r="M2569" t="n">
        <v>0</v>
      </c>
      <c r="N2569" t="n">
        <v>0</v>
      </c>
      <c r="O2569" t="n">
        <v>0</v>
      </c>
      <c r="P2569" t="n">
        <v>0</v>
      </c>
      <c r="Q2569" t="n">
        <v>0</v>
      </c>
      <c r="R2569" s="2" t="inlineStr"/>
    </row>
    <row r="2570" ht="15" customHeight="1">
      <c r="A2570" t="inlineStr">
        <is>
          <t>A 33418-2024</t>
        </is>
      </c>
      <c r="B2570" s="1" t="n">
        <v>45519</v>
      </c>
      <c r="C2570" s="1" t="n">
        <v>45711</v>
      </c>
      <c r="D2570" t="inlineStr">
        <is>
          <t>VÄRMLANDS LÄN</t>
        </is>
      </c>
      <c r="E2570" t="inlineStr">
        <is>
          <t>TORSBY</t>
        </is>
      </c>
      <c r="F2570" t="inlineStr">
        <is>
          <t>Bergvik skog väst AB</t>
        </is>
      </c>
      <c r="G2570" t="n">
        <v>27.6</v>
      </c>
      <c r="H2570" t="n">
        <v>0</v>
      </c>
      <c r="I2570" t="n">
        <v>0</v>
      </c>
      <c r="J2570" t="n">
        <v>0</v>
      </c>
      <c r="K2570" t="n">
        <v>0</v>
      </c>
      <c r="L2570" t="n">
        <v>0</v>
      </c>
      <c r="M2570" t="n">
        <v>0</v>
      </c>
      <c r="N2570" t="n">
        <v>0</v>
      </c>
      <c r="O2570" t="n">
        <v>0</v>
      </c>
      <c r="P2570" t="n">
        <v>0</v>
      </c>
      <c r="Q2570" t="n">
        <v>0</v>
      </c>
      <c r="R2570" s="2" t="inlineStr"/>
    </row>
    <row r="2571" ht="15" customHeight="1">
      <c r="A2571" t="inlineStr">
        <is>
          <t>A 33511-2024</t>
        </is>
      </c>
      <c r="B2571" s="1" t="n">
        <v>45519</v>
      </c>
      <c r="C2571" s="1" t="n">
        <v>45711</v>
      </c>
      <c r="D2571" t="inlineStr">
        <is>
          <t>VÄRMLANDS LÄN</t>
        </is>
      </c>
      <c r="E2571" t="inlineStr">
        <is>
          <t>TORSBY</t>
        </is>
      </c>
      <c r="F2571" t="inlineStr">
        <is>
          <t>Bergvik skog väst AB</t>
        </is>
      </c>
      <c r="G2571" t="n">
        <v>12.1</v>
      </c>
      <c r="H2571" t="n">
        <v>0</v>
      </c>
      <c r="I2571" t="n">
        <v>0</v>
      </c>
      <c r="J2571" t="n">
        <v>0</v>
      </c>
      <c r="K2571" t="n">
        <v>0</v>
      </c>
      <c r="L2571" t="n">
        <v>0</v>
      </c>
      <c r="M2571" t="n">
        <v>0</v>
      </c>
      <c r="N2571" t="n">
        <v>0</v>
      </c>
      <c r="O2571" t="n">
        <v>0</v>
      </c>
      <c r="P2571" t="n">
        <v>0</v>
      </c>
      <c r="Q2571" t="n">
        <v>0</v>
      </c>
      <c r="R2571" s="2" t="inlineStr"/>
    </row>
    <row r="2572" ht="15" customHeight="1">
      <c r="A2572" t="inlineStr">
        <is>
          <t>A 33547-2024</t>
        </is>
      </c>
      <c r="B2572" s="1" t="n">
        <v>45519</v>
      </c>
      <c r="C2572" s="1" t="n">
        <v>45711</v>
      </c>
      <c r="D2572" t="inlineStr">
        <is>
          <t>VÄRMLANDS LÄN</t>
        </is>
      </c>
      <c r="E2572" t="inlineStr">
        <is>
          <t>TORSBY</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33495-2024</t>
        </is>
      </c>
      <c r="B2573" s="1" t="n">
        <v>45519</v>
      </c>
      <c r="C2573" s="1" t="n">
        <v>45711</v>
      </c>
      <c r="D2573" t="inlineStr">
        <is>
          <t>VÄRMLANDS LÄN</t>
        </is>
      </c>
      <c r="E2573" t="inlineStr">
        <is>
          <t>TORSBY</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33499-2024</t>
        </is>
      </c>
      <c r="B2574" s="1" t="n">
        <v>45519</v>
      </c>
      <c r="C2574" s="1" t="n">
        <v>45711</v>
      </c>
      <c r="D2574" t="inlineStr">
        <is>
          <t>VÄRMLANDS LÄN</t>
        </is>
      </c>
      <c r="E2574" t="inlineStr">
        <is>
          <t>TORSBY</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33548-2024</t>
        </is>
      </c>
      <c r="B2575" s="1" t="n">
        <v>45519</v>
      </c>
      <c r="C2575" s="1" t="n">
        <v>45711</v>
      </c>
      <c r="D2575" t="inlineStr">
        <is>
          <t>VÄRMLANDS LÄN</t>
        </is>
      </c>
      <c r="E2575" t="inlineStr">
        <is>
          <t>TORSBY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33367-2024</t>
        </is>
      </c>
      <c r="B2576" s="1" t="n">
        <v>45519</v>
      </c>
      <c r="C2576" s="1" t="n">
        <v>45711</v>
      </c>
      <c r="D2576" t="inlineStr">
        <is>
          <t>VÄRMLANDS LÄN</t>
        </is>
      </c>
      <c r="E2576" t="inlineStr">
        <is>
          <t>TORSBY</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33371-2024</t>
        </is>
      </c>
      <c r="B2577" s="1" t="n">
        <v>45519</v>
      </c>
      <c r="C2577" s="1" t="n">
        <v>45711</v>
      </c>
      <c r="D2577" t="inlineStr">
        <is>
          <t>VÄRMLANDS LÄN</t>
        </is>
      </c>
      <c r="E2577" t="inlineStr">
        <is>
          <t>TORSBY</t>
        </is>
      </c>
      <c r="F2577" t="inlineStr">
        <is>
          <t>Bergvik skog väst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33521-2024</t>
        </is>
      </c>
      <c r="B2578" s="1" t="n">
        <v>45519</v>
      </c>
      <c r="C2578" s="1" t="n">
        <v>45711</v>
      </c>
      <c r="D2578" t="inlineStr">
        <is>
          <t>VÄRMLANDS LÄN</t>
        </is>
      </c>
      <c r="E2578" t="inlineStr">
        <is>
          <t>TORSBY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33620-2024</t>
        </is>
      </c>
      <c r="B2579" s="1" t="n">
        <v>45520</v>
      </c>
      <c r="C2579" s="1" t="n">
        <v>45711</v>
      </c>
      <c r="D2579" t="inlineStr">
        <is>
          <t>VÄRMLANDS LÄN</t>
        </is>
      </c>
      <c r="E2579" t="inlineStr">
        <is>
          <t>TORSBY</t>
        </is>
      </c>
      <c r="F2579" t="inlineStr">
        <is>
          <t>Bergvik skog väst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33649-2024</t>
        </is>
      </c>
      <c r="B2580" s="1" t="n">
        <v>45520</v>
      </c>
      <c r="C2580" s="1" t="n">
        <v>45711</v>
      </c>
      <c r="D2580" t="inlineStr">
        <is>
          <t>VÄRMLANDS LÄN</t>
        </is>
      </c>
      <c r="E2580" t="inlineStr">
        <is>
          <t>TORSBY</t>
        </is>
      </c>
      <c r="F2580" t="inlineStr">
        <is>
          <t>Bergvik skog väst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33769-2024</t>
        </is>
      </c>
      <c r="B2581" s="1" t="n">
        <v>45520</v>
      </c>
      <c r="C2581" s="1" t="n">
        <v>45711</v>
      </c>
      <c r="D2581" t="inlineStr">
        <is>
          <t>VÄRMLANDS LÄN</t>
        </is>
      </c>
      <c r="E2581" t="inlineStr">
        <is>
          <t>TORSBY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33862-2024</t>
        </is>
      </c>
      <c r="B2582" s="1" t="n">
        <v>45520</v>
      </c>
      <c r="C2582" s="1" t="n">
        <v>45711</v>
      </c>
      <c r="D2582" t="inlineStr">
        <is>
          <t>VÄRMLANDS LÄN</t>
        </is>
      </c>
      <c r="E2582" t="inlineStr">
        <is>
          <t>TORSBY</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33791-2024</t>
        </is>
      </c>
      <c r="B2583" s="1" t="n">
        <v>45520</v>
      </c>
      <c r="C2583" s="1" t="n">
        <v>45711</v>
      </c>
      <c r="D2583" t="inlineStr">
        <is>
          <t>VÄRMLANDS LÄN</t>
        </is>
      </c>
      <c r="E2583" t="inlineStr">
        <is>
          <t>TORSBY</t>
        </is>
      </c>
      <c r="F2583" t="inlineStr">
        <is>
          <t>Bergvik skog väst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33964-2024</t>
        </is>
      </c>
      <c r="B2584" s="1" t="n">
        <v>45523</v>
      </c>
      <c r="C2584" s="1" t="n">
        <v>45711</v>
      </c>
      <c r="D2584" t="inlineStr">
        <is>
          <t>VÄRMLANDS LÄN</t>
        </is>
      </c>
      <c r="E2584" t="inlineStr">
        <is>
          <t>TORSBY</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34034-2024</t>
        </is>
      </c>
      <c r="B2585" s="1" t="n">
        <v>45523</v>
      </c>
      <c r="C2585" s="1" t="n">
        <v>45711</v>
      </c>
      <c r="D2585" t="inlineStr">
        <is>
          <t>VÄRMLANDS LÄN</t>
        </is>
      </c>
      <c r="E2585" t="inlineStr">
        <is>
          <t>TORSBY</t>
        </is>
      </c>
      <c r="F2585" t="inlineStr">
        <is>
          <t>Bergvik skog väst AB</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34031-2024</t>
        </is>
      </c>
      <c r="B2586" s="1" t="n">
        <v>45523</v>
      </c>
      <c r="C2586" s="1" t="n">
        <v>45711</v>
      </c>
      <c r="D2586" t="inlineStr">
        <is>
          <t>VÄRMLANDS LÄN</t>
        </is>
      </c>
      <c r="E2586" t="inlineStr">
        <is>
          <t>TORSBY</t>
        </is>
      </c>
      <c r="F2586" t="inlineStr">
        <is>
          <t>Bergvik skog väst AB</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34081-2024</t>
        </is>
      </c>
      <c r="B2587" s="1" t="n">
        <v>45523</v>
      </c>
      <c r="C2587" s="1" t="n">
        <v>45711</v>
      </c>
      <c r="D2587" t="inlineStr">
        <is>
          <t>VÄRMLANDS LÄN</t>
        </is>
      </c>
      <c r="E2587" t="inlineStr">
        <is>
          <t>TORSBY</t>
        </is>
      </c>
      <c r="F2587" t="inlineStr">
        <is>
          <t>Bergvik skog väst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34093-2024</t>
        </is>
      </c>
      <c r="B2588" s="1" t="n">
        <v>45523</v>
      </c>
      <c r="C2588" s="1" t="n">
        <v>45711</v>
      </c>
      <c r="D2588" t="inlineStr">
        <is>
          <t>VÄRMLANDS LÄN</t>
        </is>
      </c>
      <c r="E2588" t="inlineStr">
        <is>
          <t>TORSBY</t>
        </is>
      </c>
      <c r="F2588" t="inlineStr">
        <is>
          <t>Bergvik skog väst AB</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34207-2024</t>
        </is>
      </c>
      <c r="B2589" s="1" t="n">
        <v>45524</v>
      </c>
      <c r="C2589" s="1" t="n">
        <v>45711</v>
      </c>
      <c r="D2589" t="inlineStr">
        <is>
          <t>VÄRMLANDS LÄN</t>
        </is>
      </c>
      <c r="E2589" t="inlineStr">
        <is>
          <t>TORSBY</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34219-2024</t>
        </is>
      </c>
      <c r="B2590" s="1" t="n">
        <v>45524</v>
      </c>
      <c r="C2590" s="1" t="n">
        <v>45711</v>
      </c>
      <c r="D2590" t="inlineStr">
        <is>
          <t>VÄRMLANDS LÄN</t>
        </is>
      </c>
      <c r="E2590" t="inlineStr">
        <is>
          <t>TORSBY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34164-2024</t>
        </is>
      </c>
      <c r="B2591" s="1" t="n">
        <v>45524</v>
      </c>
      <c r="C2591" s="1" t="n">
        <v>45711</v>
      </c>
      <c r="D2591" t="inlineStr">
        <is>
          <t>VÄRMLANDS LÄN</t>
        </is>
      </c>
      <c r="E2591" t="inlineStr">
        <is>
          <t>TORSBY</t>
        </is>
      </c>
      <c r="F2591" t="inlineStr">
        <is>
          <t>Bergvik skog väst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34226-2024</t>
        </is>
      </c>
      <c r="B2592" s="1" t="n">
        <v>45524</v>
      </c>
      <c r="C2592" s="1" t="n">
        <v>45711</v>
      </c>
      <c r="D2592" t="inlineStr">
        <is>
          <t>VÄRMLANDS LÄN</t>
        </is>
      </c>
      <c r="E2592" t="inlineStr">
        <is>
          <t>TORSBY</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34206-2024</t>
        </is>
      </c>
      <c r="B2593" s="1" t="n">
        <v>45524</v>
      </c>
      <c r="C2593" s="1" t="n">
        <v>45711</v>
      </c>
      <c r="D2593" t="inlineStr">
        <is>
          <t>VÄRMLANDS LÄN</t>
        </is>
      </c>
      <c r="E2593" t="inlineStr">
        <is>
          <t>TORSBY</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34236-2024</t>
        </is>
      </c>
      <c r="B2594" s="1" t="n">
        <v>45524</v>
      </c>
      <c r="C2594" s="1" t="n">
        <v>45711</v>
      </c>
      <c r="D2594" t="inlineStr">
        <is>
          <t>VÄRMLANDS LÄN</t>
        </is>
      </c>
      <c r="E2594" t="inlineStr">
        <is>
          <t>TORSBY</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34256-2024</t>
        </is>
      </c>
      <c r="B2595" s="1" t="n">
        <v>45524</v>
      </c>
      <c r="C2595" s="1" t="n">
        <v>45711</v>
      </c>
      <c r="D2595" t="inlineStr">
        <is>
          <t>VÄRMLANDS LÄN</t>
        </is>
      </c>
      <c r="E2595" t="inlineStr">
        <is>
          <t>TORSBY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34281-2024</t>
        </is>
      </c>
      <c r="B2596" s="1" t="n">
        <v>45524</v>
      </c>
      <c r="C2596" s="1" t="n">
        <v>45711</v>
      </c>
      <c r="D2596" t="inlineStr">
        <is>
          <t>VÄRMLANDS LÄN</t>
        </is>
      </c>
      <c r="E2596" t="inlineStr">
        <is>
          <t>TORSBY</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34304-2024</t>
        </is>
      </c>
      <c r="B2597" s="1" t="n">
        <v>45524</v>
      </c>
      <c r="C2597" s="1" t="n">
        <v>45711</v>
      </c>
      <c r="D2597" t="inlineStr">
        <is>
          <t>VÄRMLANDS LÄN</t>
        </is>
      </c>
      <c r="E2597" t="inlineStr">
        <is>
          <t>TORSBY</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34500-2024</t>
        </is>
      </c>
      <c r="B2598" s="1" t="n">
        <v>45525</v>
      </c>
      <c r="C2598" s="1" t="n">
        <v>45711</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34534-2024</t>
        </is>
      </c>
      <c r="B2599" s="1" t="n">
        <v>45525</v>
      </c>
      <c r="C2599" s="1" t="n">
        <v>45711</v>
      </c>
      <c r="D2599" t="inlineStr">
        <is>
          <t>VÄRMLANDS LÄN</t>
        </is>
      </c>
      <c r="E2599" t="inlineStr">
        <is>
          <t>TORSBY</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34528-2024</t>
        </is>
      </c>
      <c r="B2600" s="1" t="n">
        <v>45525</v>
      </c>
      <c r="C2600" s="1" t="n">
        <v>45711</v>
      </c>
      <c r="D2600" t="inlineStr">
        <is>
          <t>VÄRMLANDS LÄN</t>
        </is>
      </c>
      <c r="E2600" t="inlineStr">
        <is>
          <t>TORSBY</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34554-2024</t>
        </is>
      </c>
      <c r="B2601" s="1" t="n">
        <v>45525</v>
      </c>
      <c r="C2601" s="1" t="n">
        <v>45711</v>
      </c>
      <c r="D2601" t="inlineStr">
        <is>
          <t>VÄRMLANDS LÄN</t>
        </is>
      </c>
      <c r="E2601" t="inlineStr">
        <is>
          <t>TORSBY</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34472-2024</t>
        </is>
      </c>
      <c r="B2602" s="1" t="n">
        <v>45525</v>
      </c>
      <c r="C2602" s="1" t="n">
        <v>45711</v>
      </c>
      <c r="D2602" t="inlineStr">
        <is>
          <t>VÄRMLANDS LÄN</t>
        </is>
      </c>
      <c r="E2602" t="inlineStr">
        <is>
          <t>TORSBY</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34549-2024</t>
        </is>
      </c>
      <c r="B2603" s="1" t="n">
        <v>45525</v>
      </c>
      <c r="C2603" s="1" t="n">
        <v>45711</v>
      </c>
      <c r="D2603" t="inlineStr">
        <is>
          <t>VÄRMLANDS LÄN</t>
        </is>
      </c>
      <c r="E2603" t="inlineStr">
        <is>
          <t>TORSBY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34551-2024</t>
        </is>
      </c>
      <c r="B2604" s="1" t="n">
        <v>45525</v>
      </c>
      <c r="C2604" s="1" t="n">
        <v>45711</v>
      </c>
      <c r="D2604" t="inlineStr">
        <is>
          <t>VÄRMLANDS LÄN</t>
        </is>
      </c>
      <c r="E2604" t="inlineStr">
        <is>
          <t>TORSBY</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34680-2024</t>
        </is>
      </c>
      <c r="B2605" s="1" t="n">
        <v>45526</v>
      </c>
      <c r="C2605" s="1" t="n">
        <v>45711</v>
      </c>
      <c r="D2605" t="inlineStr">
        <is>
          <t>VÄRMLANDS LÄN</t>
        </is>
      </c>
      <c r="E2605" t="inlineStr">
        <is>
          <t>TORSBY</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34568-2024</t>
        </is>
      </c>
      <c r="B2606" s="1" t="n">
        <v>45526</v>
      </c>
      <c r="C2606" s="1" t="n">
        <v>45711</v>
      </c>
      <c r="D2606" t="inlineStr">
        <is>
          <t>VÄRMLANDS LÄN</t>
        </is>
      </c>
      <c r="E2606" t="inlineStr">
        <is>
          <t>TORSBY</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34573-2024</t>
        </is>
      </c>
      <c r="B2607" s="1" t="n">
        <v>45526</v>
      </c>
      <c r="C2607" s="1" t="n">
        <v>45711</v>
      </c>
      <c r="D2607" t="inlineStr">
        <is>
          <t>VÄRMLANDS LÄN</t>
        </is>
      </c>
      <c r="E2607" t="inlineStr">
        <is>
          <t>TORSBY</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34697-2024</t>
        </is>
      </c>
      <c r="B2608" s="1" t="n">
        <v>45526</v>
      </c>
      <c r="C2608" s="1" t="n">
        <v>45711</v>
      </c>
      <c r="D2608" t="inlineStr">
        <is>
          <t>VÄRMLANDS LÄN</t>
        </is>
      </c>
      <c r="E2608" t="inlineStr">
        <is>
          <t>TORSBY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34717-2024</t>
        </is>
      </c>
      <c r="B2609" s="1" t="n">
        <v>45526</v>
      </c>
      <c r="C2609" s="1" t="n">
        <v>45711</v>
      </c>
      <c r="D2609" t="inlineStr">
        <is>
          <t>VÄRMLANDS LÄN</t>
        </is>
      </c>
      <c r="E2609" t="inlineStr">
        <is>
          <t>TORSBY</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34824-2024</t>
        </is>
      </c>
      <c r="B2610" s="1" t="n">
        <v>45526</v>
      </c>
      <c r="C2610" s="1" t="n">
        <v>45711</v>
      </c>
      <c r="D2610" t="inlineStr">
        <is>
          <t>VÄRMLANDS LÄN</t>
        </is>
      </c>
      <c r="E2610" t="inlineStr">
        <is>
          <t>TORSBY</t>
        </is>
      </c>
      <c r="F2610" t="inlineStr">
        <is>
          <t>Bergvik skog väst AB</t>
        </is>
      </c>
      <c r="G2610" t="n">
        <v>27.5</v>
      </c>
      <c r="H2610" t="n">
        <v>0</v>
      </c>
      <c r="I2610" t="n">
        <v>0</v>
      </c>
      <c r="J2610" t="n">
        <v>0</v>
      </c>
      <c r="K2610" t="n">
        <v>0</v>
      </c>
      <c r="L2610" t="n">
        <v>0</v>
      </c>
      <c r="M2610" t="n">
        <v>0</v>
      </c>
      <c r="N2610" t="n">
        <v>0</v>
      </c>
      <c r="O2610" t="n">
        <v>0</v>
      </c>
      <c r="P2610" t="n">
        <v>0</v>
      </c>
      <c r="Q2610" t="n">
        <v>0</v>
      </c>
      <c r="R2610" s="2" t="inlineStr"/>
    </row>
    <row r="2611" ht="15" customHeight="1">
      <c r="A2611" t="inlineStr">
        <is>
          <t>A 34686-2024</t>
        </is>
      </c>
      <c r="B2611" s="1" t="n">
        <v>45526</v>
      </c>
      <c r="C2611" s="1" t="n">
        <v>45711</v>
      </c>
      <c r="D2611" t="inlineStr">
        <is>
          <t>VÄRMLANDS LÄN</t>
        </is>
      </c>
      <c r="E2611" t="inlineStr">
        <is>
          <t>TORSBY</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35019-2024</t>
        </is>
      </c>
      <c r="B2612" s="1" t="n">
        <v>45527</v>
      </c>
      <c r="C2612" s="1" t="n">
        <v>45711</v>
      </c>
      <c r="D2612" t="inlineStr">
        <is>
          <t>VÄRMLANDS LÄN</t>
        </is>
      </c>
      <c r="E2612" t="inlineStr">
        <is>
          <t>TORSBY</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35075-2024</t>
        </is>
      </c>
      <c r="B2613" s="1" t="n">
        <v>45527</v>
      </c>
      <c r="C2613" s="1" t="n">
        <v>45711</v>
      </c>
      <c r="D2613" t="inlineStr">
        <is>
          <t>VÄRMLANDS LÄN</t>
        </is>
      </c>
      <c r="E2613" t="inlineStr">
        <is>
          <t>TORSBY</t>
        </is>
      </c>
      <c r="F2613" t="inlineStr">
        <is>
          <t>Bergvik skog väst AB</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34970-2024</t>
        </is>
      </c>
      <c r="B2614" s="1" t="n">
        <v>45527</v>
      </c>
      <c r="C2614" s="1" t="n">
        <v>45711</v>
      </c>
      <c r="D2614" t="inlineStr">
        <is>
          <t>VÄRMLANDS LÄN</t>
        </is>
      </c>
      <c r="E2614" t="inlineStr">
        <is>
          <t>TORSBY</t>
        </is>
      </c>
      <c r="F2614" t="inlineStr">
        <is>
          <t>Bergvik skog väst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34966-2024</t>
        </is>
      </c>
      <c r="B2615" s="1" t="n">
        <v>45527</v>
      </c>
      <c r="C2615" s="1" t="n">
        <v>45711</v>
      </c>
      <c r="D2615" t="inlineStr">
        <is>
          <t>VÄRMLANDS LÄN</t>
        </is>
      </c>
      <c r="E2615" t="inlineStr">
        <is>
          <t>TORSBY</t>
        </is>
      </c>
      <c r="F2615" t="inlineStr">
        <is>
          <t>Bergvik skog väst AB</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34958-2024</t>
        </is>
      </c>
      <c r="B2616" s="1" t="n">
        <v>45527</v>
      </c>
      <c r="C2616" s="1" t="n">
        <v>45711</v>
      </c>
      <c r="D2616" t="inlineStr">
        <is>
          <t>VÄRMLANDS LÄN</t>
        </is>
      </c>
      <c r="E2616" t="inlineStr">
        <is>
          <t>TORSBY</t>
        </is>
      </c>
      <c r="F2616" t="inlineStr">
        <is>
          <t>Bergvik skog väst AB</t>
        </is>
      </c>
      <c r="G2616" t="n">
        <v>12.5</v>
      </c>
      <c r="H2616" t="n">
        <v>0</v>
      </c>
      <c r="I2616" t="n">
        <v>0</v>
      </c>
      <c r="J2616" t="n">
        <v>0</v>
      </c>
      <c r="K2616" t="n">
        <v>0</v>
      </c>
      <c r="L2616" t="n">
        <v>0</v>
      </c>
      <c r="M2616" t="n">
        <v>0</v>
      </c>
      <c r="N2616" t="n">
        <v>0</v>
      </c>
      <c r="O2616" t="n">
        <v>0</v>
      </c>
      <c r="P2616" t="n">
        <v>0</v>
      </c>
      <c r="Q2616" t="n">
        <v>0</v>
      </c>
      <c r="R2616" s="2" t="inlineStr"/>
    </row>
    <row r="2617" ht="15" customHeight="1">
      <c r="A2617" t="inlineStr">
        <is>
          <t>A 34946-2024</t>
        </is>
      </c>
      <c r="B2617" s="1" t="n">
        <v>45527</v>
      </c>
      <c r="C2617" s="1" t="n">
        <v>45711</v>
      </c>
      <c r="D2617" t="inlineStr">
        <is>
          <t>VÄRMLANDS LÄN</t>
        </is>
      </c>
      <c r="E2617" t="inlineStr">
        <is>
          <t>TORSBY</t>
        </is>
      </c>
      <c r="F2617" t="inlineStr">
        <is>
          <t>Bergvik skog väst AB</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34906-2024</t>
        </is>
      </c>
      <c r="B2618" s="1" t="n">
        <v>45527</v>
      </c>
      <c r="C2618" s="1" t="n">
        <v>45711</v>
      </c>
      <c r="D2618" t="inlineStr">
        <is>
          <t>VÄRMLANDS LÄN</t>
        </is>
      </c>
      <c r="E2618" t="inlineStr">
        <is>
          <t>TORSBY</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35066-2024</t>
        </is>
      </c>
      <c r="B2619" s="1" t="n">
        <v>45527</v>
      </c>
      <c r="C2619" s="1" t="n">
        <v>45711</v>
      </c>
      <c r="D2619" t="inlineStr">
        <is>
          <t>VÄRMLANDS LÄN</t>
        </is>
      </c>
      <c r="E2619" t="inlineStr">
        <is>
          <t>TORSBY</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34961-2024</t>
        </is>
      </c>
      <c r="B2620" s="1" t="n">
        <v>45527</v>
      </c>
      <c r="C2620" s="1" t="n">
        <v>45711</v>
      </c>
      <c r="D2620" t="inlineStr">
        <is>
          <t>VÄRMLANDS LÄN</t>
        </is>
      </c>
      <c r="E2620" t="inlineStr">
        <is>
          <t>TORSBY</t>
        </is>
      </c>
      <c r="F2620" t="inlineStr">
        <is>
          <t>Bergvik skog väst AB</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34921-2024</t>
        </is>
      </c>
      <c r="B2621" s="1" t="n">
        <v>45527</v>
      </c>
      <c r="C2621" s="1" t="n">
        <v>45711</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34968-2024</t>
        </is>
      </c>
      <c r="B2622" s="1" t="n">
        <v>45527</v>
      </c>
      <c r="C2622" s="1" t="n">
        <v>45711</v>
      </c>
      <c r="D2622" t="inlineStr">
        <is>
          <t>VÄRMLANDS LÄN</t>
        </is>
      </c>
      <c r="E2622" t="inlineStr">
        <is>
          <t>TORSBY</t>
        </is>
      </c>
      <c r="F2622" t="inlineStr">
        <is>
          <t>Bergvik skog väst AB</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34939-2024</t>
        </is>
      </c>
      <c r="B2623" s="1" t="n">
        <v>45527</v>
      </c>
      <c r="C2623" s="1" t="n">
        <v>45711</v>
      </c>
      <c r="D2623" t="inlineStr">
        <is>
          <t>VÄRMLANDS LÄN</t>
        </is>
      </c>
      <c r="E2623" t="inlineStr">
        <is>
          <t>TORSBY</t>
        </is>
      </c>
      <c r="F2623" t="inlineStr">
        <is>
          <t>Bergvik skog väst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35107-2024</t>
        </is>
      </c>
      <c r="B2624" s="1" t="n">
        <v>45529</v>
      </c>
      <c r="C2624" s="1" t="n">
        <v>45711</v>
      </c>
      <c r="D2624" t="inlineStr">
        <is>
          <t>VÄRMLANDS LÄN</t>
        </is>
      </c>
      <c r="E2624" t="inlineStr">
        <is>
          <t>TORSBY</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35524-2024</t>
        </is>
      </c>
      <c r="B2625" s="1" t="n">
        <v>45531</v>
      </c>
      <c r="C2625" s="1" t="n">
        <v>45711</v>
      </c>
      <c r="D2625" t="inlineStr">
        <is>
          <t>VÄRMLANDS LÄN</t>
        </is>
      </c>
      <c r="E2625" t="inlineStr">
        <is>
          <t>TORSBY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35493-2024</t>
        </is>
      </c>
      <c r="B2626" s="1" t="n">
        <v>45531</v>
      </c>
      <c r="C2626" s="1" t="n">
        <v>45711</v>
      </c>
      <c r="D2626" t="inlineStr">
        <is>
          <t>VÄRMLANDS LÄN</t>
        </is>
      </c>
      <c r="E2626" t="inlineStr">
        <is>
          <t>TORSBY</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35497-2024</t>
        </is>
      </c>
      <c r="B2627" s="1" t="n">
        <v>45531</v>
      </c>
      <c r="C2627" s="1" t="n">
        <v>45711</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35609-2024</t>
        </is>
      </c>
      <c r="B2628" s="1" t="n">
        <v>45531</v>
      </c>
      <c r="C2628" s="1" t="n">
        <v>45711</v>
      </c>
      <c r="D2628" t="inlineStr">
        <is>
          <t>VÄRMLANDS LÄN</t>
        </is>
      </c>
      <c r="E2628" t="inlineStr">
        <is>
          <t>TORSBY</t>
        </is>
      </c>
      <c r="G2628" t="n">
        <v>38.3</v>
      </c>
      <c r="H2628" t="n">
        <v>0</v>
      </c>
      <c r="I2628" t="n">
        <v>0</v>
      </c>
      <c r="J2628" t="n">
        <v>0</v>
      </c>
      <c r="K2628" t="n">
        <v>0</v>
      </c>
      <c r="L2628" t="n">
        <v>0</v>
      </c>
      <c r="M2628" t="n">
        <v>0</v>
      </c>
      <c r="N2628" t="n">
        <v>0</v>
      </c>
      <c r="O2628" t="n">
        <v>0</v>
      </c>
      <c r="P2628" t="n">
        <v>0</v>
      </c>
      <c r="Q2628" t="n">
        <v>0</v>
      </c>
      <c r="R2628" s="2" t="inlineStr"/>
    </row>
    <row r="2629" ht="15" customHeight="1">
      <c r="A2629" t="inlineStr">
        <is>
          <t>A 35632-2024</t>
        </is>
      </c>
      <c r="B2629" s="1" t="n">
        <v>45531</v>
      </c>
      <c r="C2629" s="1" t="n">
        <v>45711</v>
      </c>
      <c r="D2629" t="inlineStr">
        <is>
          <t>VÄRMLANDS LÄN</t>
        </is>
      </c>
      <c r="E2629" t="inlineStr">
        <is>
          <t>TORSBY</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35762-2024</t>
        </is>
      </c>
      <c r="B2630" s="1" t="n">
        <v>45532</v>
      </c>
      <c r="C2630" s="1" t="n">
        <v>45711</v>
      </c>
      <c r="D2630" t="inlineStr">
        <is>
          <t>VÄRMLANDS LÄN</t>
        </is>
      </c>
      <c r="E2630" t="inlineStr">
        <is>
          <t>TORSBY</t>
        </is>
      </c>
      <c r="G2630" t="n">
        <v>11.8</v>
      </c>
      <c r="H2630" t="n">
        <v>0</v>
      </c>
      <c r="I2630" t="n">
        <v>0</v>
      </c>
      <c r="J2630" t="n">
        <v>0</v>
      </c>
      <c r="K2630" t="n">
        <v>0</v>
      </c>
      <c r="L2630" t="n">
        <v>0</v>
      </c>
      <c r="M2630" t="n">
        <v>0</v>
      </c>
      <c r="N2630" t="n">
        <v>0</v>
      </c>
      <c r="O2630" t="n">
        <v>0</v>
      </c>
      <c r="P2630" t="n">
        <v>0</v>
      </c>
      <c r="Q2630" t="n">
        <v>0</v>
      </c>
      <c r="R2630" s="2" t="inlineStr"/>
    </row>
    <row r="2631" ht="15" customHeight="1">
      <c r="A2631" t="inlineStr">
        <is>
          <t>A 35774-2024</t>
        </is>
      </c>
      <c r="B2631" s="1" t="n">
        <v>45532</v>
      </c>
      <c r="C2631" s="1" t="n">
        <v>45711</v>
      </c>
      <c r="D2631" t="inlineStr">
        <is>
          <t>VÄRMLANDS LÄN</t>
        </is>
      </c>
      <c r="E2631" t="inlineStr">
        <is>
          <t>TORSBY</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35787-2024</t>
        </is>
      </c>
      <c r="B2632" s="1" t="n">
        <v>45532</v>
      </c>
      <c r="C2632" s="1" t="n">
        <v>45711</v>
      </c>
      <c r="D2632" t="inlineStr">
        <is>
          <t>VÄRMLANDS LÄN</t>
        </is>
      </c>
      <c r="E2632" t="inlineStr">
        <is>
          <t>TORSBY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35769-2024</t>
        </is>
      </c>
      <c r="B2633" s="1" t="n">
        <v>45532</v>
      </c>
      <c r="C2633" s="1" t="n">
        <v>45711</v>
      </c>
      <c r="D2633" t="inlineStr">
        <is>
          <t>VÄRMLANDS LÄN</t>
        </is>
      </c>
      <c r="E2633" t="inlineStr">
        <is>
          <t>TORSBY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35777-2024</t>
        </is>
      </c>
      <c r="B2634" s="1" t="n">
        <v>45532</v>
      </c>
      <c r="C2634" s="1" t="n">
        <v>45711</v>
      </c>
      <c r="D2634" t="inlineStr">
        <is>
          <t>VÄRMLANDS LÄN</t>
        </is>
      </c>
      <c r="E2634" t="inlineStr">
        <is>
          <t>TORSBY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35967-2024</t>
        </is>
      </c>
      <c r="B2635" s="1" t="n">
        <v>45533</v>
      </c>
      <c r="C2635" s="1" t="n">
        <v>45711</v>
      </c>
      <c r="D2635" t="inlineStr">
        <is>
          <t>VÄRMLANDS LÄN</t>
        </is>
      </c>
      <c r="E2635" t="inlineStr">
        <is>
          <t>TORSBY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36057-2024</t>
        </is>
      </c>
      <c r="B2636" s="1" t="n">
        <v>45533</v>
      </c>
      <c r="C2636" s="1" t="n">
        <v>45711</v>
      </c>
      <c r="D2636" t="inlineStr">
        <is>
          <t>VÄRMLANDS LÄN</t>
        </is>
      </c>
      <c r="E2636" t="inlineStr">
        <is>
          <t>TORSBY</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36153-2024</t>
        </is>
      </c>
      <c r="B2637" s="1" t="n">
        <v>45534</v>
      </c>
      <c r="C2637" s="1" t="n">
        <v>45711</v>
      </c>
      <c r="D2637" t="inlineStr">
        <is>
          <t>VÄRMLANDS LÄN</t>
        </is>
      </c>
      <c r="E2637" t="inlineStr">
        <is>
          <t>TORSBY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36175-2024</t>
        </is>
      </c>
      <c r="B2638" s="1" t="n">
        <v>45534</v>
      </c>
      <c r="C2638" s="1" t="n">
        <v>45711</v>
      </c>
      <c r="D2638" t="inlineStr">
        <is>
          <t>VÄRMLANDS LÄN</t>
        </is>
      </c>
      <c r="E2638" t="inlineStr">
        <is>
          <t>TORSBY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36184-2024</t>
        </is>
      </c>
      <c r="B2639" s="1" t="n">
        <v>45534</v>
      </c>
      <c r="C2639" s="1" t="n">
        <v>45711</v>
      </c>
      <c r="D2639" t="inlineStr">
        <is>
          <t>VÄRMLANDS LÄN</t>
        </is>
      </c>
      <c r="E2639" t="inlineStr">
        <is>
          <t>TORSBY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36419-2024</t>
        </is>
      </c>
      <c r="B2640" s="1" t="n">
        <v>45536</v>
      </c>
      <c r="C2640" s="1" t="n">
        <v>45711</v>
      </c>
      <c r="D2640" t="inlineStr">
        <is>
          <t>VÄRMLANDS LÄN</t>
        </is>
      </c>
      <c r="E2640" t="inlineStr">
        <is>
          <t>TORSBY</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36558-2024</t>
        </is>
      </c>
      <c r="B2641" s="1" t="n">
        <v>45537</v>
      </c>
      <c r="C2641" s="1" t="n">
        <v>45711</v>
      </c>
      <c r="D2641" t="inlineStr">
        <is>
          <t>VÄRMLANDS LÄN</t>
        </is>
      </c>
      <c r="E2641" t="inlineStr">
        <is>
          <t>TORSBY</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36578-2024</t>
        </is>
      </c>
      <c r="B2642" s="1" t="n">
        <v>45537</v>
      </c>
      <c r="C2642" s="1" t="n">
        <v>45711</v>
      </c>
      <c r="D2642" t="inlineStr">
        <is>
          <t>VÄRMLANDS LÄN</t>
        </is>
      </c>
      <c r="E2642" t="inlineStr">
        <is>
          <t>TORSBY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36540-2024</t>
        </is>
      </c>
      <c r="B2643" s="1" t="n">
        <v>45537</v>
      </c>
      <c r="C2643" s="1" t="n">
        <v>45711</v>
      </c>
      <c r="D2643" t="inlineStr">
        <is>
          <t>VÄRMLANDS LÄN</t>
        </is>
      </c>
      <c r="E2643" t="inlineStr">
        <is>
          <t>TORSBY</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36445-2024</t>
        </is>
      </c>
      <c r="B2644" s="1" t="n">
        <v>45537</v>
      </c>
      <c r="C2644" s="1" t="n">
        <v>45711</v>
      </c>
      <c r="D2644" t="inlineStr">
        <is>
          <t>VÄRMLANDS LÄN</t>
        </is>
      </c>
      <c r="E2644" t="inlineStr">
        <is>
          <t>TORSBY</t>
        </is>
      </c>
      <c r="F2644" t="inlineStr">
        <is>
          <t>Bergvik skog väst AB</t>
        </is>
      </c>
      <c r="G2644" t="n">
        <v>78.3</v>
      </c>
      <c r="H2644" t="n">
        <v>0</v>
      </c>
      <c r="I2644" t="n">
        <v>0</v>
      </c>
      <c r="J2644" t="n">
        <v>0</v>
      </c>
      <c r="K2644" t="n">
        <v>0</v>
      </c>
      <c r="L2644" t="n">
        <v>0</v>
      </c>
      <c r="M2644" t="n">
        <v>0</v>
      </c>
      <c r="N2644" t="n">
        <v>0</v>
      </c>
      <c r="O2644" t="n">
        <v>0</v>
      </c>
      <c r="P2644" t="n">
        <v>0</v>
      </c>
      <c r="Q2644" t="n">
        <v>0</v>
      </c>
      <c r="R2644" s="2" t="inlineStr"/>
    </row>
    <row r="2645" ht="15" customHeight="1">
      <c r="A2645" t="inlineStr">
        <is>
          <t>A 36718-2024</t>
        </is>
      </c>
      <c r="B2645" s="1" t="n">
        <v>45537</v>
      </c>
      <c r="C2645" s="1" t="n">
        <v>45711</v>
      </c>
      <c r="D2645" t="inlineStr">
        <is>
          <t>VÄRMLANDS LÄN</t>
        </is>
      </c>
      <c r="E2645" t="inlineStr">
        <is>
          <t>TORSBY</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36765-2024</t>
        </is>
      </c>
      <c r="B2646" s="1" t="n">
        <v>45538</v>
      </c>
      <c r="C2646" s="1" t="n">
        <v>45711</v>
      </c>
      <c r="D2646" t="inlineStr">
        <is>
          <t>VÄRMLANDS LÄN</t>
        </is>
      </c>
      <c r="E2646" t="inlineStr">
        <is>
          <t>TORSBY</t>
        </is>
      </c>
      <c r="F2646" t="inlineStr">
        <is>
          <t>Bergvik skog väst AB</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36758-2024</t>
        </is>
      </c>
      <c r="B2647" s="1" t="n">
        <v>45538</v>
      </c>
      <c r="C2647" s="1" t="n">
        <v>45711</v>
      </c>
      <c r="D2647" t="inlineStr">
        <is>
          <t>VÄRMLANDS LÄN</t>
        </is>
      </c>
      <c r="E2647" t="inlineStr">
        <is>
          <t>TORSBY</t>
        </is>
      </c>
      <c r="F2647" t="inlineStr">
        <is>
          <t>Kyrkan</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36782-2024</t>
        </is>
      </c>
      <c r="B2648" s="1" t="n">
        <v>45538</v>
      </c>
      <c r="C2648" s="1" t="n">
        <v>45711</v>
      </c>
      <c r="D2648" t="inlineStr">
        <is>
          <t>VÄRMLANDS LÄN</t>
        </is>
      </c>
      <c r="E2648" t="inlineStr">
        <is>
          <t>TORSBY</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36790-2024</t>
        </is>
      </c>
      <c r="B2649" s="1" t="n">
        <v>45538</v>
      </c>
      <c r="C2649" s="1" t="n">
        <v>45711</v>
      </c>
      <c r="D2649" t="inlineStr">
        <is>
          <t>VÄRMLANDS LÄN</t>
        </is>
      </c>
      <c r="E2649" t="inlineStr">
        <is>
          <t>TORSBY</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36775-2024</t>
        </is>
      </c>
      <c r="B2650" s="1" t="n">
        <v>45538</v>
      </c>
      <c r="C2650" s="1" t="n">
        <v>45711</v>
      </c>
      <c r="D2650" t="inlineStr">
        <is>
          <t>VÄRMLANDS LÄN</t>
        </is>
      </c>
      <c r="E2650" t="inlineStr">
        <is>
          <t>TORSBY</t>
        </is>
      </c>
      <c r="F2650" t="inlineStr">
        <is>
          <t>Kyrkan</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36850-2024</t>
        </is>
      </c>
      <c r="B2651" s="1" t="n">
        <v>45538</v>
      </c>
      <c r="C2651" s="1" t="n">
        <v>45711</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36879-2024</t>
        </is>
      </c>
      <c r="B2652" s="1" t="n">
        <v>45538</v>
      </c>
      <c r="C2652" s="1" t="n">
        <v>45711</v>
      </c>
      <c r="D2652" t="inlineStr">
        <is>
          <t>VÄRMLANDS LÄN</t>
        </is>
      </c>
      <c r="E2652" t="inlineStr">
        <is>
          <t>TORSBY</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36922-2024</t>
        </is>
      </c>
      <c r="B2653" s="1" t="n">
        <v>45538</v>
      </c>
      <c r="C2653" s="1" t="n">
        <v>45711</v>
      </c>
      <c r="D2653" t="inlineStr">
        <is>
          <t>VÄRMLANDS LÄN</t>
        </is>
      </c>
      <c r="E2653" t="inlineStr">
        <is>
          <t>TORSBY</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36939-2024</t>
        </is>
      </c>
      <c r="B2654" s="1" t="n">
        <v>45538</v>
      </c>
      <c r="C2654" s="1" t="n">
        <v>45711</v>
      </c>
      <c r="D2654" t="inlineStr">
        <is>
          <t>VÄRMLANDS LÄN</t>
        </is>
      </c>
      <c r="E2654" t="inlineStr">
        <is>
          <t>TORSBY</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36917-2024</t>
        </is>
      </c>
      <c r="B2655" s="1" t="n">
        <v>45538</v>
      </c>
      <c r="C2655" s="1" t="n">
        <v>45711</v>
      </c>
      <c r="D2655" t="inlineStr">
        <is>
          <t>VÄRMLANDS LÄN</t>
        </is>
      </c>
      <c r="E2655" t="inlineStr">
        <is>
          <t>TORSBY</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36964-2024</t>
        </is>
      </c>
      <c r="B2656" s="1" t="n">
        <v>45538</v>
      </c>
      <c r="C2656" s="1" t="n">
        <v>45711</v>
      </c>
      <c r="D2656" t="inlineStr">
        <is>
          <t>VÄRMLANDS LÄN</t>
        </is>
      </c>
      <c r="E2656" t="inlineStr">
        <is>
          <t>TORSBY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37153-2024</t>
        </is>
      </c>
      <c r="B2657" s="1" t="n">
        <v>45539</v>
      </c>
      <c r="C2657" s="1" t="n">
        <v>45711</v>
      </c>
      <c r="D2657" t="inlineStr">
        <is>
          <t>VÄRMLANDS LÄN</t>
        </is>
      </c>
      <c r="E2657" t="inlineStr">
        <is>
          <t>TORSBY</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37194-2024</t>
        </is>
      </c>
      <c r="B2658" s="1" t="n">
        <v>45539</v>
      </c>
      <c r="C2658" s="1" t="n">
        <v>45711</v>
      </c>
      <c r="D2658" t="inlineStr">
        <is>
          <t>VÄRMLANDS LÄN</t>
        </is>
      </c>
      <c r="E2658" t="inlineStr">
        <is>
          <t>TORSBY</t>
        </is>
      </c>
      <c r="F2658" t="inlineStr">
        <is>
          <t>Bergvik skog väst AB</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37238-2024</t>
        </is>
      </c>
      <c r="B2659" s="1" t="n">
        <v>45540</v>
      </c>
      <c r="C2659" s="1" t="n">
        <v>45711</v>
      </c>
      <c r="D2659" t="inlineStr">
        <is>
          <t>VÄRMLANDS LÄN</t>
        </is>
      </c>
      <c r="E2659" t="inlineStr">
        <is>
          <t>TORSBY</t>
        </is>
      </c>
      <c r="F2659" t="inlineStr">
        <is>
          <t>Bergvik skog väst AB</t>
        </is>
      </c>
      <c r="G2659" t="n">
        <v>11.9</v>
      </c>
      <c r="H2659" t="n">
        <v>0</v>
      </c>
      <c r="I2659" t="n">
        <v>0</v>
      </c>
      <c r="J2659" t="n">
        <v>0</v>
      </c>
      <c r="K2659" t="n">
        <v>0</v>
      </c>
      <c r="L2659" t="n">
        <v>0</v>
      </c>
      <c r="M2659" t="n">
        <v>0</v>
      </c>
      <c r="N2659" t="n">
        <v>0</v>
      </c>
      <c r="O2659" t="n">
        <v>0</v>
      </c>
      <c r="P2659" t="n">
        <v>0</v>
      </c>
      <c r="Q2659" t="n">
        <v>0</v>
      </c>
      <c r="R2659" s="2" t="inlineStr"/>
    </row>
    <row r="2660" ht="15" customHeight="1">
      <c r="A2660" t="inlineStr">
        <is>
          <t>A 37292-2024</t>
        </is>
      </c>
      <c r="B2660" s="1" t="n">
        <v>45540</v>
      </c>
      <c r="C2660" s="1" t="n">
        <v>45711</v>
      </c>
      <c r="D2660" t="inlineStr">
        <is>
          <t>VÄRMLANDS LÄN</t>
        </is>
      </c>
      <c r="E2660" t="inlineStr">
        <is>
          <t>TORSBY</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37477-2024</t>
        </is>
      </c>
      <c r="B2661" s="1" t="n">
        <v>45541</v>
      </c>
      <c r="C2661" s="1" t="n">
        <v>45711</v>
      </c>
      <c r="D2661" t="inlineStr">
        <is>
          <t>VÄRMLANDS LÄN</t>
        </is>
      </c>
      <c r="E2661" t="inlineStr">
        <is>
          <t>TORSBY</t>
        </is>
      </c>
      <c r="F2661" t="inlineStr">
        <is>
          <t>Bergvik skog väst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37580-2024</t>
        </is>
      </c>
      <c r="B2662" s="1" t="n">
        <v>45541</v>
      </c>
      <c r="C2662" s="1" t="n">
        <v>45711</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37665-2024</t>
        </is>
      </c>
      <c r="B2663" s="1" t="n">
        <v>45541</v>
      </c>
      <c r="C2663" s="1" t="n">
        <v>45711</v>
      </c>
      <c r="D2663" t="inlineStr">
        <is>
          <t>VÄRMLANDS LÄN</t>
        </is>
      </c>
      <c r="E2663" t="inlineStr">
        <is>
          <t>TORSBY</t>
        </is>
      </c>
      <c r="F2663" t="inlineStr">
        <is>
          <t>Kyrkan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37533-2024</t>
        </is>
      </c>
      <c r="B2664" s="1" t="n">
        <v>45541</v>
      </c>
      <c r="C2664" s="1" t="n">
        <v>45711</v>
      </c>
      <c r="D2664" t="inlineStr">
        <is>
          <t>VÄRMLANDS LÄN</t>
        </is>
      </c>
      <c r="E2664" t="inlineStr">
        <is>
          <t>TORSBY</t>
        </is>
      </c>
      <c r="F2664" t="inlineStr">
        <is>
          <t>Bergvik skog väst AB</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37733-2024</t>
        </is>
      </c>
      <c r="B2665" s="1" t="n">
        <v>45541</v>
      </c>
      <c r="C2665" s="1" t="n">
        <v>45711</v>
      </c>
      <c r="D2665" t="inlineStr">
        <is>
          <t>VÄRMLANDS LÄN</t>
        </is>
      </c>
      <c r="E2665" t="inlineStr">
        <is>
          <t>TORSBY</t>
        </is>
      </c>
      <c r="F2665" t="inlineStr">
        <is>
          <t>Bergvik skog väst AB</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37884-2024</t>
        </is>
      </c>
      <c r="B2666" s="1" t="n">
        <v>45544</v>
      </c>
      <c r="C2666" s="1" t="n">
        <v>45711</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37948-2024</t>
        </is>
      </c>
      <c r="B2667" s="1" t="n">
        <v>45544</v>
      </c>
      <c r="C2667" s="1" t="n">
        <v>45711</v>
      </c>
      <c r="D2667" t="inlineStr">
        <is>
          <t>VÄRMLANDS LÄN</t>
        </is>
      </c>
      <c r="E2667" t="inlineStr">
        <is>
          <t>TORSBY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37853-2024</t>
        </is>
      </c>
      <c r="B2668" s="1" t="n">
        <v>45544</v>
      </c>
      <c r="C2668" s="1" t="n">
        <v>45711</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37901-2024</t>
        </is>
      </c>
      <c r="B2669" s="1" t="n">
        <v>45544</v>
      </c>
      <c r="C2669" s="1" t="n">
        <v>45711</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37913-2024</t>
        </is>
      </c>
      <c r="B2670" s="1" t="n">
        <v>45544</v>
      </c>
      <c r="C2670" s="1" t="n">
        <v>45711</v>
      </c>
      <c r="D2670" t="inlineStr">
        <is>
          <t>VÄRMLANDS LÄN</t>
        </is>
      </c>
      <c r="E2670" t="inlineStr">
        <is>
          <t>TORSBY</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38062-2024</t>
        </is>
      </c>
      <c r="B2671" s="1" t="n">
        <v>45544</v>
      </c>
      <c r="C2671" s="1" t="n">
        <v>45711</v>
      </c>
      <c r="D2671" t="inlineStr">
        <is>
          <t>VÄRMLANDS LÄN</t>
        </is>
      </c>
      <c r="E2671" t="inlineStr">
        <is>
          <t>TORSBY</t>
        </is>
      </c>
      <c r="F2671" t="inlineStr">
        <is>
          <t>Bergvik skog väst AB</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38076-2024</t>
        </is>
      </c>
      <c r="B2672" s="1" t="n">
        <v>45544</v>
      </c>
      <c r="C2672" s="1" t="n">
        <v>45711</v>
      </c>
      <c r="D2672" t="inlineStr">
        <is>
          <t>VÄRMLANDS LÄN</t>
        </is>
      </c>
      <c r="E2672" t="inlineStr">
        <is>
          <t>TORSBY</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38100-2024</t>
        </is>
      </c>
      <c r="B2673" s="1" t="n">
        <v>45545</v>
      </c>
      <c r="C2673" s="1" t="n">
        <v>45711</v>
      </c>
      <c r="D2673" t="inlineStr">
        <is>
          <t>VÄRMLANDS LÄN</t>
        </is>
      </c>
      <c r="E2673" t="inlineStr">
        <is>
          <t>TORSBY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38085-2024</t>
        </is>
      </c>
      <c r="B2674" s="1" t="n">
        <v>45545</v>
      </c>
      <c r="C2674" s="1" t="n">
        <v>45711</v>
      </c>
      <c r="D2674" t="inlineStr">
        <is>
          <t>VÄRMLANDS LÄN</t>
        </is>
      </c>
      <c r="E2674" t="inlineStr">
        <is>
          <t>TORSBY</t>
        </is>
      </c>
      <c r="F2674" t="inlineStr">
        <is>
          <t>Bergvik skog väst AB</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38148-2024</t>
        </is>
      </c>
      <c r="B2675" s="1" t="n">
        <v>45545</v>
      </c>
      <c r="C2675" s="1" t="n">
        <v>45711</v>
      </c>
      <c r="D2675" t="inlineStr">
        <is>
          <t>VÄRMLANDS LÄN</t>
        </is>
      </c>
      <c r="E2675" t="inlineStr">
        <is>
          <t>TORSBY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38184-2024</t>
        </is>
      </c>
      <c r="B2676" s="1" t="n">
        <v>45545</v>
      </c>
      <c r="C2676" s="1" t="n">
        <v>45711</v>
      </c>
      <c r="D2676" t="inlineStr">
        <is>
          <t>VÄRMLANDS LÄN</t>
        </is>
      </c>
      <c r="E2676" t="inlineStr">
        <is>
          <t>TORSBY</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38206-2024</t>
        </is>
      </c>
      <c r="B2677" s="1" t="n">
        <v>45545</v>
      </c>
      <c r="C2677" s="1" t="n">
        <v>45711</v>
      </c>
      <c r="D2677" t="inlineStr">
        <is>
          <t>VÄRMLANDS LÄN</t>
        </is>
      </c>
      <c r="E2677" t="inlineStr">
        <is>
          <t>TORSBY</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38353-2024</t>
        </is>
      </c>
      <c r="B2678" s="1" t="n">
        <v>45545</v>
      </c>
      <c r="C2678" s="1" t="n">
        <v>45711</v>
      </c>
      <c r="D2678" t="inlineStr">
        <is>
          <t>VÄRMLANDS LÄN</t>
        </is>
      </c>
      <c r="E2678" t="inlineStr">
        <is>
          <t>TORSBY</t>
        </is>
      </c>
      <c r="G2678" t="n">
        <v>20.8</v>
      </c>
      <c r="H2678" t="n">
        <v>0</v>
      </c>
      <c r="I2678" t="n">
        <v>0</v>
      </c>
      <c r="J2678" t="n">
        <v>0</v>
      </c>
      <c r="K2678" t="n">
        <v>0</v>
      </c>
      <c r="L2678" t="n">
        <v>0</v>
      </c>
      <c r="M2678" t="n">
        <v>0</v>
      </c>
      <c r="N2678" t="n">
        <v>0</v>
      </c>
      <c r="O2678" t="n">
        <v>0</v>
      </c>
      <c r="P2678" t="n">
        <v>0</v>
      </c>
      <c r="Q2678" t="n">
        <v>0</v>
      </c>
      <c r="R2678" s="2" t="inlineStr"/>
    </row>
    <row r="2679" ht="15" customHeight="1">
      <c r="A2679" t="inlineStr">
        <is>
          <t>A 38497-2024</t>
        </is>
      </c>
      <c r="B2679" s="1" t="n">
        <v>45546</v>
      </c>
      <c r="C2679" s="1" t="n">
        <v>45711</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38618-2024</t>
        </is>
      </c>
      <c r="B2680" s="1" t="n">
        <v>45546</v>
      </c>
      <c r="C2680" s="1" t="n">
        <v>45711</v>
      </c>
      <c r="D2680" t="inlineStr">
        <is>
          <t>VÄRMLANDS LÄN</t>
        </is>
      </c>
      <c r="E2680" t="inlineStr">
        <is>
          <t>TORSBY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38911-2024</t>
        </is>
      </c>
      <c r="B2681" s="1" t="n">
        <v>45547</v>
      </c>
      <c r="C2681" s="1" t="n">
        <v>45711</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38931-2024</t>
        </is>
      </c>
      <c r="B2682" s="1" t="n">
        <v>45548</v>
      </c>
      <c r="C2682" s="1" t="n">
        <v>45711</v>
      </c>
      <c r="D2682" t="inlineStr">
        <is>
          <t>VÄRMLANDS LÄN</t>
        </is>
      </c>
      <c r="E2682" t="inlineStr">
        <is>
          <t>TORSBY</t>
        </is>
      </c>
      <c r="F2682" t="inlineStr">
        <is>
          <t>Bergvik skog väst AB</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39075-2024</t>
        </is>
      </c>
      <c r="B2683" s="1" t="n">
        <v>45548</v>
      </c>
      <c r="C2683" s="1" t="n">
        <v>45711</v>
      </c>
      <c r="D2683" t="inlineStr">
        <is>
          <t>VÄRMLANDS LÄN</t>
        </is>
      </c>
      <c r="E2683" t="inlineStr">
        <is>
          <t>TORSBY</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39277-2024</t>
        </is>
      </c>
      <c r="B2684" s="1" t="n">
        <v>45551</v>
      </c>
      <c r="C2684" s="1" t="n">
        <v>45711</v>
      </c>
      <c r="D2684" t="inlineStr">
        <is>
          <t>VÄRMLANDS LÄN</t>
        </is>
      </c>
      <c r="E2684" t="inlineStr">
        <is>
          <t>TORSBY</t>
        </is>
      </c>
      <c r="F2684" t="inlineStr">
        <is>
          <t>Bergvik skog väst AB</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39378-2024</t>
        </is>
      </c>
      <c r="B2685" s="1" t="n">
        <v>45551</v>
      </c>
      <c r="C2685" s="1" t="n">
        <v>45711</v>
      </c>
      <c r="D2685" t="inlineStr">
        <is>
          <t>VÄRMLANDS LÄN</t>
        </is>
      </c>
      <c r="E2685" t="inlineStr">
        <is>
          <t>TORSBY</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39383-2024</t>
        </is>
      </c>
      <c r="B2686" s="1" t="n">
        <v>45551</v>
      </c>
      <c r="C2686" s="1" t="n">
        <v>45711</v>
      </c>
      <c r="D2686" t="inlineStr">
        <is>
          <t>VÄRMLANDS LÄN</t>
        </is>
      </c>
      <c r="E2686" t="inlineStr">
        <is>
          <t>TORSBY</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39587-2024</t>
        </is>
      </c>
      <c r="B2687" s="1" t="n">
        <v>45551</v>
      </c>
      <c r="C2687" s="1" t="n">
        <v>45711</v>
      </c>
      <c r="D2687" t="inlineStr">
        <is>
          <t>VÄRMLANDS LÄN</t>
        </is>
      </c>
      <c r="E2687" t="inlineStr">
        <is>
          <t>TORSBY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39569-2024</t>
        </is>
      </c>
      <c r="B2688" s="1" t="n">
        <v>45551</v>
      </c>
      <c r="C2688" s="1" t="n">
        <v>45711</v>
      </c>
      <c r="D2688" t="inlineStr">
        <is>
          <t>VÄRMLANDS LÄN</t>
        </is>
      </c>
      <c r="E2688" t="inlineStr">
        <is>
          <t>TORSBY</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39567-2024</t>
        </is>
      </c>
      <c r="B2689" s="1" t="n">
        <v>45552</v>
      </c>
      <c r="C2689" s="1" t="n">
        <v>45711</v>
      </c>
      <c r="D2689" t="inlineStr">
        <is>
          <t>VÄRMLANDS LÄN</t>
        </is>
      </c>
      <c r="E2689" t="inlineStr">
        <is>
          <t>TORSBY</t>
        </is>
      </c>
      <c r="F2689" t="inlineStr">
        <is>
          <t>Bergvik skog väst AB</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39617-2024</t>
        </is>
      </c>
      <c r="B2690" s="1" t="n">
        <v>45552</v>
      </c>
      <c r="C2690" s="1" t="n">
        <v>45711</v>
      </c>
      <c r="D2690" t="inlineStr">
        <is>
          <t>VÄRMLANDS LÄN</t>
        </is>
      </c>
      <c r="E2690" t="inlineStr">
        <is>
          <t>TORSBY</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39767-2024</t>
        </is>
      </c>
      <c r="B2691" s="1" t="n">
        <v>45552</v>
      </c>
      <c r="C2691" s="1" t="n">
        <v>45711</v>
      </c>
      <c r="D2691" t="inlineStr">
        <is>
          <t>VÄRMLANDS LÄN</t>
        </is>
      </c>
      <c r="E2691" t="inlineStr">
        <is>
          <t>TORSBY</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39771-2024</t>
        </is>
      </c>
      <c r="B2692" s="1" t="n">
        <v>45552</v>
      </c>
      <c r="C2692" s="1" t="n">
        <v>45711</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39746-2024</t>
        </is>
      </c>
      <c r="B2693" s="1" t="n">
        <v>45552</v>
      </c>
      <c r="C2693" s="1" t="n">
        <v>45711</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39770-2024</t>
        </is>
      </c>
      <c r="B2694" s="1" t="n">
        <v>45552</v>
      </c>
      <c r="C2694" s="1" t="n">
        <v>45711</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39768-2024</t>
        </is>
      </c>
      <c r="B2695" s="1" t="n">
        <v>45552</v>
      </c>
      <c r="C2695" s="1" t="n">
        <v>45711</v>
      </c>
      <c r="D2695" t="inlineStr">
        <is>
          <t>VÄRMLANDS LÄN</t>
        </is>
      </c>
      <c r="E2695" t="inlineStr">
        <is>
          <t>TORSBY</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39772-2024</t>
        </is>
      </c>
      <c r="B2696" s="1" t="n">
        <v>45552</v>
      </c>
      <c r="C2696" s="1" t="n">
        <v>45711</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39769-2024</t>
        </is>
      </c>
      <c r="B2697" s="1" t="n">
        <v>45552</v>
      </c>
      <c r="C2697" s="1" t="n">
        <v>45711</v>
      </c>
      <c r="D2697" t="inlineStr">
        <is>
          <t>VÄRMLANDS LÄN</t>
        </is>
      </c>
      <c r="E2697" t="inlineStr">
        <is>
          <t>TORSBY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39953-2024</t>
        </is>
      </c>
      <c r="B2698" s="1" t="n">
        <v>45553</v>
      </c>
      <c r="C2698" s="1" t="n">
        <v>45711</v>
      </c>
      <c r="D2698" t="inlineStr">
        <is>
          <t>VÄRMLANDS LÄN</t>
        </is>
      </c>
      <c r="E2698" t="inlineStr">
        <is>
          <t>TORSBY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39985-2024</t>
        </is>
      </c>
      <c r="B2699" s="1" t="n">
        <v>45553</v>
      </c>
      <c r="C2699" s="1" t="n">
        <v>45711</v>
      </c>
      <c r="D2699" t="inlineStr">
        <is>
          <t>VÄRMLANDS LÄN</t>
        </is>
      </c>
      <c r="E2699" t="inlineStr">
        <is>
          <t>TORSBY</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40180-2024</t>
        </is>
      </c>
      <c r="B2700" s="1" t="n">
        <v>45554</v>
      </c>
      <c r="C2700" s="1" t="n">
        <v>45711</v>
      </c>
      <c r="D2700" t="inlineStr">
        <is>
          <t>VÄRMLANDS LÄN</t>
        </is>
      </c>
      <c r="E2700" t="inlineStr">
        <is>
          <t>TORSBY</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40227-2024</t>
        </is>
      </c>
      <c r="B2701" s="1" t="n">
        <v>45554</v>
      </c>
      <c r="C2701" s="1" t="n">
        <v>45711</v>
      </c>
      <c r="D2701" t="inlineStr">
        <is>
          <t>VÄRMLANDS LÄN</t>
        </is>
      </c>
      <c r="E2701" t="inlineStr">
        <is>
          <t>TORSBY</t>
        </is>
      </c>
      <c r="F2701" t="inlineStr">
        <is>
          <t>Bergvik skog väst AB</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40157-2024</t>
        </is>
      </c>
      <c r="B2702" s="1" t="n">
        <v>45554</v>
      </c>
      <c r="C2702" s="1" t="n">
        <v>45711</v>
      </c>
      <c r="D2702" t="inlineStr">
        <is>
          <t>VÄRMLANDS LÄN</t>
        </is>
      </c>
      <c r="E2702" t="inlineStr">
        <is>
          <t>TORSBY</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40301-2024</t>
        </is>
      </c>
      <c r="B2703" s="1" t="n">
        <v>45554</v>
      </c>
      <c r="C2703" s="1" t="n">
        <v>45711</v>
      </c>
      <c r="D2703" t="inlineStr">
        <is>
          <t>VÄRMLANDS LÄN</t>
        </is>
      </c>
      <c r="E2703" t="inlineStr">
        <is>
          <t>TORSBY</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40541-2024</t>
        </is>
      </c>
      <c r="B2704" s="1" t="n">
        <v>45555</v>
      </c>
      <c r="C2704" s="1" t="n">
        <v>45711</v>
      </c>
      <c r="D2704" t="inlineStr">
        <is>
          <t>VÄRMLANDS LÄN</t>
        </is>
      </c>
      <c r="E2704" t="inlineStr">
        <is>
          <t>TORSBY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40565-2024</t>
        </is>
      </c>
      <c r="B2705" s="1" t="n">
        <v>45555</v>
      </c>
      <c r="C2705" s="1" t="n">
        <v>45711</v>
      </c>
      <c r="D2705" t="inlineStr">
        <is>
          <t>VÄRMLANDS LÄN</t>
        </is>
      </c>
      <c r="E2705" t="inlineStr">
        <is>
          <t>TORSBY</t>
        </is>
      </c>
      <c r="F2705" t="inlineStr">
        <is>
          <t>Bergvik skog väst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40573-2024</t>
        </is>
      </c>
      <c r="B2706" s="1" t="n">
        <v>45555</v>
      </c>
      <c r="C2706" s="1" t="n">
        <v>45711</v>
      </c>
      <c r="D2706" t="inlineStr">
        <is>
          <t>VÄRMLANDS LÄN</t>
        </is>
      </c>
      <c r="E2706" t="inlineStr">
        <is>
          <t>TORSBY</t>
        </is>
      </c>
      <c r="F2706" t="inlineStr">
        <is>
          <t>Bergvik skog väst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40546-2024</t>
        </is>
      </c>
      <c r="B2707" s="1" t="n">
        <v>45555</v>
      </c>
      <c r="C2707" s="1" t="n">
        <v>45711</v>
      </c>
      <c r="D2707" t="inlineStr">
        <is>
          <t>VÄRMLANDS LÄN</t>
        </is>
      </c>
      <c r="E2707" t="inlineStr">
        <is>
          <t>TORSBY</t>
        </is>
      </c>
      <c r="F2707" t="inlineStr">
        <is>
          <t>Bergvik skog väst AB</t>
        </is>
      </c>
      <c r="G2707" t="n">
        <v>13.9</v>
      </c>
      <c r="H2707" t="n">
        <v>0</v>
      </c>
      <c r="I2707" t="n">
        <v>0</v>
      </c>
      <c r="J2707" t="n">
        <v>0</v>
      </c>
      <c r="K2707" t="n">
        <v>0</v>
      </c>
      <c r="L2707" t="n">
        <v>0</v>
      </c>
      <c r="M2707" t="n">
        <v>0</v>
      </c>
      <c r="N2707" t="n">
        <v>0</v>
      </c>
      <c r="O2707" t="n">
        <v>0</v>
      </c>
      <c r="P2707" t="n">
        <v>0</v>
      </c>
      <c r="Q2707" t="n">
        <v>0</v>
      </c>
      <c r="R2707" s="2" t="inlineStr"/>
    </row>
    <row r="2708" ht="15" customHeight="1">
      <c r="A2708" t="inlineStr">
        <is>
          <t>A 40914-2024</t>
        </is>
      </c>
      <c r="B2708" s="1" t="n">
        <v>45558</v>
      </c>
      <c r="C2708" s="1" t="n">
        <v>45711</v>
      </c>
      <c r="D2708" t="inlineStr">
        <is>
          <t>VÄRMLANDS LÄN</t>
        </is>
      </c>
      <c r="E2708" t="inlineStr">
        <is>
          <t>TORSBY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40807-2024</t>
        </is>
      </c>
      <c r="B2709" s="1" t="n">
        <v>45558</v>
      </c>
      <c r="C2709" s="1" t="n">
        <v>45711</v>
      </c>
      <c r="D2709" t="inlineStr">
        <is>
          <t>VÄRMLANDS LÄN</t>
        </is>
      </c>
      <c r="E2709" t="inlineStr">
        <is>
          <t>TORSBY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40810-2024</t>
        </is>
      </c>
      <c r="B2710" s="1" t="n">
        <v>45558</v>
      </c>
      <c r="C2710" s="1" t="n">
        <v>45711</v>
      </c>
      <c r="D2710" t="inlineStr">
        <is>
          <t>VÄRMLANDS LÄN</t>
        </is>
      </c>
      <c r="E2710" t="inlineStr">
        <is>
          <t>TORSBY</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40987-2024</t>
        </is>
      </c>
      <c r="B2711" s="1" t="n">
        <v>45558</v>
      </c>
      <c r="C2711" s="1" t="n">
        <v>45711</v>
      </c>
      <c r="D2711" t="inlineStr">
        <is>
          <t>VÄRMLANDS LÄN</t>
        </is>
      </c>
      <c r="E2711" t="inlineStr">
        <is>
          <t>TORSBY</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41161-2024</t>
        </is>
      </c>
      <c r="B2712" s="1" t="n">
        <v>45559</v>
      </c>
      <c r="C2712" s="1" t="n">
        <v>45711</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41162-2024</t>
        </is>
      </c>
      <c r="B2713" s="1" t="n">
        <v>45559</v>
      </c>
      <c r="C2713" s="1" t="n">
        <v>45711</v>
      </c>
      <c r="D2713" t="inlineStr">
        <is>
          <t>VÄRMLANDS LÄN</t>
        </is>
      </c>
      <c r="E2713" t="inlineStr">
        <is>
          <t>TORSBY</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41518-2024</t>
        </is>
      </c>
      <c r="B2714" s="1" t="n">
        <v>45560</v>
      </c>
      <c r="C2714" s="1" t="n">
        <v>45711</v>
      </c>
      <c r="D2714" t="inlineStr">
        <is>
          <t>VÄRMLANDS LÄN</t>
        </is>
      </c>
      <c r="E2714" t="inlineStr">
        <is>
          <t>TORSBY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41504-2024</t>
        </is>
      </c>
      <c r="B2715" s="1" t="n">
        <v>45560</v>
      </c>
      <c r="C2715" s="1" t="n">
        <v>45711</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41529-2024</t>
        </is>
      </c>
      <c r="B2716" s="1" t="n">
        <v>45560</v>
      </c>
      <c r="C2716" s="1" t="n">
        <v>45711</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41501-2024</t>
        </is>
      </c>
      <c r="B2717" s="1" t="n">
        <v>45560</v>
      </c>
      <c r="C2717" s="1" t="n">
        <v>45711</v>
      </c>
      <c r="D2717" t="inlineStr">
        <is>
          <t>VÄRMLANDS LÄN</t>
        </is>
      </c>
      <c r="E2717" t="inlineStr">
        <is>
          <t>TORSBY</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41720-2024</t>
        </is>
      </c>
      <c r="B2718" s="1" t="n">
        <v>45560</v>
      </c>
      <c r="C2718" s="1" t="n">
        <v>45711</v>
      </c>
      <c r="D2718" t="inlineStr">
        <is>
          <t>VÄRMLANDS LÄN</t>
        </is>
      </c>
      <c r="E2718" t="inlineStr">
        <is>
          <t>TORSBY</t>
        </is>
      </c>
      <c r="F2718" t="inlineStr">
        <is>
          <t>Bergvik skog väst AB</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41534-2024</t>
        </is>
      </c>
      <c r="B2719" s="1" t="n">
        <v>45560</v>
      </c>
      <c r="C2719" s="1" t="n">
        <v>45711</v>
      </c>
      <c r="D2719" t="inlineStr">
        <is>
          <t>VÄRMLANDS LÄN</t>
        </is>
      </c>
      <c r="E2719" t="inlineStr">
        <is>
          <t>TORSBY</t>
        </is>
      </c>
      <c r="G2719" t="n">
        <v>17.3</v>
      </c>
      <c r="H2719" t="n">
        <v>0</v>
      </c>
      <c r="I2719" t="n">
        <v>0</v>
      </c>
      <c r="J2719" t="n">
        <v>0</v>
      </c>
      <c r="K2719" t="n">
        <v>0</v>
      </c>
      <c r="L2719" t="n">
        <v>0</v>
      </c>
      <c r="M2719" t="n">
        <v>0</v>
      </c>
      <c r="N2719" t="n">
        <v>0</v>
      </c>
      <c r="O2719" t="n">
        <v>0</v>
      </c>
      <c r="P2719" t="n">
        <v>0</v>
      </c>
      <c r="Q2719" t="n">
        <v>0</v>
      </c>
      <c r="R2719" s="2" t="inlineStr"/>
    </row>
    <row r="2720" ht="15" customHeight="1">
      <c r="A2720" t="inlineStr">
        <is>
          <t>A 41631-2024</t>
        </is>
      </c>
      <c r="B2720" s="1" t="n">
        <v>45560</v>
      </c>
      <c r="C2720" s="1" t="n">
        <v>45711</v>
      </c>
      <c r="D2720" t="inlineStr">
        <is>
          <t>VÄRMLANDS LÄN</t>
        </is>
      </c>
      <c r="E2720" t="inlineStr">
        <is>
          <t>TORSBY</t>
        </is>
      </c>
      <c r="F2720" t="inlineStr">
        <is>
          <t>Bergvik skog väst AB</t>
        </is>
      </c>
      <c r="G2720" t="n">
        <v>16.3</v>
      </c>
      <c r="H2720" t="n">
        <v>0</v>
      </c>
      <c r="I2720" t="n">
        <v>0</v>
      </c>
      <c r="J2720" t="n">
        <v>0</v>
      </c>
      <c r="K2720" t="n">
        <v>0</v>
      </c>
      <c r="L2720" t="n">
        <v>0</v>
      </c>
      <c r="M2720" t="n">
        <v>0</v>
      </c>
      <c r="N2720" t="n">
        <v>0</v>
      </c>
      <c r="O2720" t="n">
        <v>0</v>
      </c>
      <c r="P2720" t="n">
        <v>0</v>
      </c>
      <c r="Q2720" t="n">
        <v>0</v>
      </c>
      <c r="R2720" s="2" t="inlineStr"/>
    </row>
    <row r="2721" ht="15" customHeight="1">
      <c r="A2721" t="inlineStr">
        <is>
          <t>A 41745-2024</t>
        </is>
      </c>
      <c r="B2721" s="1" t="n">
        <v>45561</v>
      </c>
      <c r="C2721" s="1" t="n">
        <v>45711</v>
      </c>
      <c r="D2721" t="inlineStr">
        <is>
          <t>VÄRMLANDS LÄN</t>
        </is>
      </c>
      <c r="E2721" t="inlineStr">
        <is>
          <t>TORSBY</t>
        </is>
      </c>
      <c r="F2721" t="inlineStr">
        <is>
          <t>Bergvik skog väst AB</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41743-2024</t>
        </is>
      </c>
      <c r="B2722" s="1" t="n">
        <v>45561</v>
      </c>
      <c r="C2722" s="1" t="n">
        <v>45711</v>
      </c>
      <c r="D2722" t="inlineStr">
        <is>
          <t>VÄRMLANDS LÄN</t>
        </is>
      </c>
      <c r="E2722" t="inlineStr">
        <is>
          <t>TORSBY</t>
        </is>
      </c>
      <c r="F2722" t="inlineStr">
        <is>
          <t>Bergvik skog väst AB</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41936-2024</t>
        </is>
      </c>
      <c r="B2723" s="1" t="n">
        <v>45561</v>
      </c>
      <c r="C2723" s="1" t="n">
        <v>45711</v>
      </c>
      <c r="D2723" t="inlineStr">
        <is>
          <t>VÄRMLANDS LÄN</t>
        </is>
      </c>
      <c r="E2723" t="inlineStr">
        <is>
          <t>TORSBY</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42283-2024</t>
        </is>
      </c>
      <c r="B2724" s="1" t="n">
        <v>45562</v>
      </c>
      <c r="C2724" s="1" t="n">
        <v>45711</v>
      </c>
      <c r="D2724" t="inlineStr">
        <is>
          <t>VÄRMLANDS LÄN</t>
        </is>
      </c>
      <c r="E2724" t="inlineStr">
        <is>
          <t>TORSBY</t>
        </is>
      </c>
      <c r="F2724" t="inlineStr">
        <is>
          <t>Bergvik skog väst AB</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42250-2024</t>
        </is>
      </c>
      <c r="B2725" s="1" t="n">
        <v>45562</v>
      </c>
      <c r="C2725" s="1" t="n">
        <v>45711</v>
      </c>
      <c r="D2725" t="inlineStr">
        <is>
          <t>VÄRMLANDS LÄN</t>
        </is>
      </c>
      <c r="E2725" t="inlineStr">
        <is>
          <t>TORSBY</t>
        </is>
      </c>
      <c r="F2725" t="inlineStr">
        <is>
          <t>Bergvik skog väst AB</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42176-2024</t>
        </is>
      </c>
      <c r="B2726" s="1" t="n">
        <v>45562</v>
      </c>
      <c r="C2726" s="1" t="n">
        <v>45711</v>
      </c>
      <c r="D2726" t="inlineStr">
        <is>
          <t>VÄRMLANDS LÄN</t>
        </is>
      </c>
      <c r="E2726" t="inlineStr">
        <is>
          <t>TORSBY</t>
        </is>
      </c>
      <c r="F2726" t="inlineStr">
        <is>
          <t>Kommuner</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42405-2024</t>
        </is>
      </c>
      <c r="B2727" s="1" t="n">
        <v>45565</v>
      </c>
      <c r="C2727" s="1" t="n">
        <v>45711</v>
      </c>
      <c r="D2727" t="inlineStr">
        <is>
          <t>VÄRMLANDS LÄN</t>
        </is>
      </c>
      <c r="E2727" t="inlineStr">
        <is>
          <t>TORSBY</t>
        </is>
      </c>
      <c r="F2727" t="inlineStr">
        <is>
          <t>Bergvik skog väst AB</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42414-2024</t>
        </is>
      </c>
      <c r="B2728" s="1" t="n">
        <v>45565</v>
      </c>
      <c r="C2728" s="1" t="n">
        <v>45711</v>
      </c>
      <c r="D2728" t="inlineStr">
        <is>
          <t>VÄRMLANDS LÄN</t>
        </is>
      </c>
      <c r="E2728" t="inlineStr">
        <is>
          <t>TORSBY</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42424-2024</t>
        </is>
      </c>
      <c r="B2729" s="1" t="n">
        <v>45565</v>
      </c>
      <c r="C2729" s="1" t="n">
        <v>45711</v>
      </c>
      <c r="D2729" t="inlineStr">
        <is>
          <t>VÄRMLANDS LÄN</t>
        </is>
      </c>
      <c r="E2729" t="inlineStr">
        <is>
          <t>TORSBY</t>
        </is>
      </c>
      <c r="F2729" t="inlineStr">
        <is>
          <t>Bergvik skog väst AB</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42428-2024</t>
        </is>
      </c>
      <c r="B2730" s="1" t="n">
        <v>45565</v>
      </c>
      <c r="C2730" s="1" t="n">
        <v>45711</v>
      </c>
      <c r="D2730" t="inlineStr">
        <is>
          <t>VÄRMLANDS LÄN</t>
        </is>
      </c>
      <c r="E2730" t="inlineStr">
        <is>
          <t>TORSBY</t>
        </is>
      </c>
      <c r="F2730" t="inlineStr">
        <is>
          <t>Bergvik skog väst AB</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42457-2024</t>
        </is>
      </c>
      <c r="B2731" s="1" t="n">
        <v>45565</v>
      </c>
      <c r="C2731" s="1" t="n">
        <v>45711</v>
      </c>
      <c r="D2731" t="inlineStr">
        <is>
          <t>VÄRMLANDS LÄN</t>
        </is>
      </c>
      <c r="E2731" t="inlineStr">
        <is>
          <t>TORSBY</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42834-2024</t>
        </is>
      </c>
      <c r="B2732" s="1" t="n">
        <v>45566</v>
      </c>
      <c r="C2732" s="1" t="n">
        <v>45711</v>
      </c>
      <c r="D2732" t="inlineStr">
        <is>
          <t>VÄRMLANDS LÄN</t>
        </is>
      </c>
      <c r="E2732" t="inlineStr">
        <is>
          <t>TORSBY</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42662-2024</t>
        </is>
      </c>
      <c r="B2733" s="1" t="n">
        <v>45566</v>
      </c>
      <c r="C2733" s="1" t="n">
        <v>45711</v>
      </c>
      <c r="D2733" t="inlineStr">
        <is>
          <t>VÄRMLANDS LÄN</t>
        </is>
      </c>
      <c r="E2733" t="inlineStr">
        <is>
          <t>TORSBY</t>
        </is>
      </c>
      <c r="F2733" t="inlineStr">
        <is>
          <t>Bergvik skog väst AB</t>
        </is>
      </c>
      <c r="G2733" t="n">
        <v>7.9</v>
      </c>
      <c r="H2733" t="n">
        <v>0</v>
      </c>
      <c r="I2733" t="n">
        <v>0</v>
      </c>
      <c r="J2733" t="n">
        <v>0</v>
      </c>
      <c r="K2733" t="n">
        <v>0</v>
      </c>
      <c r="L2733" t="n">
        <v>0</v>
      </c>
      <c r="M2733" t="n">
        <v>0</v>
      </c>
      <c r="N2733" t="n">
        <v>0</v>
      </c>
      <c r="O2733" t="n">
        <v>0</v>
      </c>
      <c r="P2733" t="n">
        <v>0</v>
      </c>
      <c r="Q2733" t="n">
        <v>0</v>
      </c>
      <c r="R2733" s="2" t="inlineStr"/>
    </row>
    <row r="2734" ht="15" customHeight="1">
      <c r="A2734" t="inlineStr">
        <is>
          <t>A 43037-2024</t>
        </is>
      </c>
      <c r="B2734" s="1" t="n">
        <v>45567</v>
      </c>
      <c r="C2734" s="1" t="n">
        <v>45711</v>
      </c>
      <c r="D2734" t="inlineStr">
        <is>
          <t>VÄRMLANDS LÄN</t>
        </is>
      </c>
      <c r="E2734" t="inlineStr">
        <is>
          <t>TORSBY</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42945-2024</t>
        </is>
      </c>
      <c r="B2735" s="1" t="n">
        <v>45567</v>
      </c>
      <c r="C2735" s="1" t="n">
        <v>45711</v>
      </c>
      <c r="D2735" t="inlineStr">
        <is>
          <t>VÄRMLANDS LÄN</t>
        </is>
      </c>
      <c r="E2735" t="inlineStr">
        <is>
          <t>TORSBY</t>
        </is>
      </c>
      <c r="F2735" t="inlineStr">
        <is>
          <t>Bergvik skog väst AB</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43137-2024</t>
        </is>
      </c>
      <c r="B2736" s="1" t="n">
        <v>45567</v>
      </c>
      <c r="C2736" s="1" t="n">
        <v>45711</v>
      </c>
      <c r="D2736" t="inlineStr">
        <is>
          <t>VÄRMLANDS LÄN</t>
        </is>
      </c>
      <c r="E2736" t="inlineStr">
        <is>
          <t>TORSBY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43044-2024</t>
        </is>
      </c>
      <c r="B2737" s="1" t="n">
        <v>45567</v>
      </c>
      <c r="C2737" s="1" t="n">
        <v>45711</v>
      </c>
      <c r="D2737" t="inlineStr">
        <is>
          <t>VÄRMLANDS LÄN</t>
        </is>
      </c>
      <c r="E2737" t="inlineStr">
        <is>
          <t>TORSBY</t>
        </is>
      </c>
      <c r="F2737" t="inlineStr">
        <is>
          <t>Bergvik skog väst AB</t>
        </is>
      </c>
      <c r="G2737" t="n">
        <v>42.7</v>
      </c>
      <c r="H2737" t="n">
        <v>0</v>
      </c>
      <c r="I2737" t="n">
        <v>0</v>
      </c>
      <c r="J2737" t="n">
        <v>0</v>
      </c>
      <c r="K2737" t="n">
        <v>0</v>
      </c>
      <c r="L2737" t="n">
        <v>0</v>
      </c>
      <c r="M2737" t="n">
        <v>0</v>
      </c>
      <c r="N2737" t="n">
        <v>0</v>
      </c>
      <c r="O2737" t="n">
        <v>0</v>
      </c>
      <c r="P2737" t="n">
        <v>0</v>
      </c>
      <c r="Q2737" t="n">
        <v>0</v>
      </c>
      <c r="R2737" s="2" t="inlineStr"/>
    </row>
    <row r="2738" ht="15" customHeight="1">
      <c r="A2738" t="inlineStr">
        <is>
          <t>A 43164-2024</t>
        </is>
      </c>
      <c r="B2738" s="1" t="n">
        <v>45567</v>
      </c>
      <c r="C2738" s="1" t="n">
        <v>45711</v>
      </c>
      <c r="D2738" t="inlineStr">
        <is>
          <t>VÄRMLANDS LÄN</t>
        </is>
      </c>
      <c r="E2738" t="inlineStr">
        <is>
          <t>TORSBY</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43144-2024</t>
        </is>
      </c>
      <c r="B2739" s="1" t="n">
        <v>45567</v>
      </c>
      <c r="C2739" s="1" t="n">
        <v>45711</v>
      </c>
      <c r="D2739" t="inlineStr">
        <is>
          <t>VÄRMLANDS LÄN</t>
        </is>
      </c>
      <c r="E2739" t="inlineStr">
        <is>
          <t>TORSBY</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43420-2024</t>
        </is>
      </c>
      <c r="B2740" s="1" t="n">
        <v>45568</v>
      </c>
      <c r="C2740" s="1" t="n">
        <v>45711</v>
      </c>
      <c r="D2740" t="inlineStr">
        <is>
          <t>VÄRMLANDS LÄN</t>
        </is>
      </c>
      <c r="E2740" t="inlineStr">
        <is>
          <t>TORSBY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43409-2024</t>
        </is>
      </c>
      <c r="B2741" s="1" t="n">
        <v>45568</v>
      </c>
      <c r="C2741" s="1" t="n">
        <v>45711</v>
      </c>
      <c r="D2741" t="inlineStr">
        <is>
          <t>VÄRMLANDS LÄN</t>
        </is>
      </c>
      <c r="E2741" t="inlineStr">
        <is>
          <t>TORSBY</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43295-2024</t>
        </is>
      </c>
      <c r="B2742" s="1" t="n">
        <v>45568</v>
      </c>
      <c r="C2742" s="1" t="n">
        <v>45711</v>
      </c>
      <c r="D2742" t="inlineStr">
        <is>
          <t>VÄRMLANDS LÄN</t>
        </is>
      </c>
      <c r="E2742" t="inlineStr">
        <is>
          <t>TORSBY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43336-2024</t>
        </is>
      </c>
      <c r="B2743" s="1" t="n">
        <v>45568</v>
      </c>
      <c r="C2743" s="1" t="n">
        <v>45711</v>
      </c>
      <c r="D2743" t="inlineStr">
        <is>
          <t>VÄRMLANDS LÄN</t>
        </is>
      </c>
      <c r="E2743" t="inlineStr">
        <is>
          <t>TORSBY</t>
        </is>
      </c>
      <c r="F2743" t="inlineStr">
        <is>
          <t>Bergvik skog väst AB</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43301-2024</t>
        </is>
      </c>
      <c r="B2744" s="1" t="n">
        <v>45568</v>
      </c>
      <c r="C2744" s="1" t="n">
        <v>45711</v>
      </c>
      <c r="D2744" t="inlineStr">
        <is>
          <t>VÄRMLANDS LÄN</t>
        </is>
      </c>
      <c r="E2744" t="inlineStr">
        <is>
          <t>TORSBY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43256-2024</t>
        </is>
      </c>
      <c r="B2745" s="1" t="n">
        <v>45568</v>
      </c>
      <c r="C2745" s="1" t="n">
        <v>45711</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43538-2024</t>
        </is>
      </c>
      <c r="B2746" s="1" t="n">
        <v>45569</v>
      </c>
      <c r="C2746" s="1" t="n">
        <v>45711</v>
      </c>
      <c r="D2746" t="inlineStr">
        <is>
          <t>VÄRMLANDS LÄN</t>
        </is>
      </c>
      <c r="E2746" t="inlineStr">
        <is>
          <t>TORSBY</t>
        </is>
      </c>
      <c r="F2746" t="inlineStr">
        <is>
          <t>Bergvik skog väst AB</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43718-2024</t>
        </is>
      </c>
      <c r="B2747" s="1" t="n">
        <v>45569</v>
      </c>
      <c r="C2747" s="1" t="n">
        <v>45711</v>
      </c>
      <c r="D2747" t="inlineStr">
        <is>
          <t>VÄRMLANDS LÄN</t>
        </is>
      </c>
      <c r="E2747" t="inlineStr">
        <is>
          <t>TORSBY</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43545-2024</t>
        </is>
      </c>
      <c r="B2748" s="1" t="n">
        <v>45569</v>
      </c>
      <c r="C2748" s="1" t="n">
        <v>45711</v>
      </c>
      <c r="D2748" t="inlineStr">
        <is>
          <t>VÄRMLANDS LÄN</t>
        </is>
      </c>
      <c r="E2748" t="inlineStr">
        <is>
          <t>TORSBY</t>
        </is>
      </c>
      <c r="F2748" t="inlineStr">
        <is>
          <t>Bergvik skog väst AB</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43739-2024</t>
        </is>
      </c>
      <c r="B2749" s="1" t="n">
        <v>45569</v>
      </c>
      <c r="C2749" s="1" t="n">
        <v>45711</v>
      </c>
      <c r="D2749" t="inlineStr">
        <is>
          <t>VÄRMLANDS LÄN</t>
        </is>
      </c>
      <c r="E2749" t="inlineStr">
        <is>
          <t>TORSBY</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43864-2024</t>
        </is>
      </c>
      <c r="B2750" s="1" t="n">
        <v>45572</v>
      </c>
      <c r="C2750" s="1" t="n">
        <v>45711</v>
      </c>
      <c r="D2750" t="inlineStr">
        <is>
          <t>VÄRMLANDS LÄN</t>
        </is>
      </c>
      <c r="E2750" t="inlineStr">
        <is>
          <t>TORSBY</t>
        </is>
      </c>
      <c r="F2750" t="inlineStr">
        <is>
          <t>Kommuner</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43988-2024</t>
        </is>
      </c>
      <c r="B2751" s="1" t="n">
        <v>45572</v>
      </c>
      <c r="C2751" s="1" t="n">
        <v>45711</v>
      </c>
      <c r="D2751" t="inlineStr">
        <is>
          <t>VÄRMLANDS LÄN</t>
        </is>
      </c>
      <c r="E2751" t="inlineStr">
        <is>
          <t>TORSBY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44081-2024</t>
        </is>
      </c>
      <c r="B2752" s="1" t="n">
        <v>45572</v>
      </c>
      <c r="C2752" s="1" t="n">
        <v>45711</v>
      </c>
      <c r="D2752" t="inlineStr">
        <is>
          <t>VÄRMLANDS LÄN</t>
        </is>
      </c>
      <c r="E2752" t="inlineStr">
        <is>
          <t>TORSBY</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44059-2024</t>
        </is>
      </c>
      <c r="B2753" s="1" t="n">
        <v>45572</v>
      </c>
      <c r="C2753" s="1" t="n">
        <v>45711</v>
      </c>
      <c r="D2753" t="inlineStr">
        <is>
          <t>VÄRMLANDS LÄN</t>
        </is>
      </c>
      <c r="E2753" t="inlineStr">
        <is>
          <t>TORSBY</t>
        </is>
      </c>
      <c r="F2753" t="inlineStr">
        <is>
          <t>Bergvik skog väst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44349-2024</t>
        </is>
      </c>
      <c r="B2754" s="1" t="n">
        <v>45573</v>
      </c>
      <c r="C2754" s="1" t="n">
        <v>45711</v>
      </c>
      <c r="D2754" t="inlineStr">
        <is>
          <t>VÄRMLANDS LÄN</t>
        </is>
      </c>
      <c r="E2754" t="inlineStr">
        <is>
          <t>TORSBY</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44352-2024</t>
        </is>
      </c>
      <c r="B2755" s="1" t="n">
        <v>45573</v>
      </c>
      <c r="C2755" s="1" t="n">
        <v>45711</v>
      </c>
      <c r="D2755" t="inlineStr">
        <is>
          <t>VÄRMLANDS LÄN</t>
        </is>
      </c>
      <c r="E2755" t="inlineStr">
        <is>
          <t>TORSBY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44276-2024</t>
        </is>
      </c>
      <c r="B2756" s="1" t="n">
        <v>45573</v>
      </c>
      <c r="C2756" s="1" t="n">
        <v>45711</v>
      </c>
      <c r="D2756" t="inlineStr">
        <is>
          <t>VÄRMLANDS LÄN</t>
        </is>
      </c>
      <c r="E2756" t="inlineStr">
        <is>
          <t>TORSBY</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44241-2024</t>
        </is>
      </c>
      <c r="B2757" s="1" t="n">
        <v>45573</v>
      </c>
      <c r="C2757" s="1" t="n">
        <v>45711</v>
      </c>
      <c r="D2757" t="inlineStr">
        <is>
          <t>VÄRMLANDS LÄN</t>
        </is>
      </c>
      <c r="E2757" t="inlineStr">
        <is>
          <t>TORSBY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44303-2024</t>
        </is>
      </c>
      <c r="B2758" s="1" t="n">
        <v>45573</v>
      </c>
      <c r="C2758" s="1" t="n">
        <v>45711</v>
      </c>
      <c r="D2758" t="inlineStr">
        <is>
          <t>VÄRMLANDS LÄN</t>
        </is>
      </c>
      <c r="E2758" t="inlineStr">
        <is>
          <t>TORSBY</t>
        </is>
      </c>
      <c r="F2758" t="inlineStr">
        <is>
          <t>Bergvik skog väst AB</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44424-2024</t>
        </is>
      </c>
      <c r="B2759" s="1" t="n">
        <v>45573</v>
      </c>
      <c r="C2759" s="1" t="n">
        <v>45711</v>
      </c>
      <c r="D2759" t="inlineStr">
        <is>
          <t>VÄRMLANDS LÄN</t>
        </is>
      </c>
      <c r="E2759" t="inlineStr">
        <is>
          <t>TORSBY</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44325-2024</t>
        </is>
      </c>
      <c r="B2760" s="1" t="n">
        <v>45573</v>
      </c>
      <c r="C2760" s="1" t="n">
        <v>45711</v>
      </c>
      <c r="D2760" t="inlineStr">
        <is>
          <t>VÄRMLANDS LÄN</t>
        </is>
      </c>
      <c r="E2760" t="inlineStr">
        <is>
          <t>TORSBY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44422-2024</t>
        </is>
      </c>
      <c r="B2761" s="1" t="n">
        <v>45573</v>
      </c>
      <c r="C2761" s="1" t="n">
        <v>45711</v>
      </c>
      <c r="D2761" t="inlineStr">
        <is>
          <t>VÄRMLANDS LÄN</t>
        </is>
      </c>
      <c r="E2761" t="inlineStr">
        <is>
          <t>TORSBY</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44423-2024</t>
        </is>
      </c>
      <c r="B2762" s="1" t="n">
        <v>45573</v>
      </c>
      <c r="C2762" s="1" t="n">
        <v>45711</v>
      </c>
      <c r="D2762" t="inlineStr">
        <is>
          <t>VÄRMLANDS LÄN</t>
        </is>
      </c>
      <c r="E2762" t="inlineStr">
        <is>
          <t>TORSBY</t>
        </is>
      </c>
      <c r="G2762" t="n">
        <v>34.1</v>
      </c>
      <c r="H2762" t="n">
        <v>0</v>
      </c>
      <c r="I2762" t="n">
        <v>0</v>
      </c>
      <c r="J2762" t="n">
        <v>0</v>
      </c>
      <c r="K2762" t="n">
        <v>0</v>
      </c>
      <c r="L2762" t="n">
        <v>0</v>
      </c>
      <c r="M2762" t="n">
        <v>0</v>
      </c>
      <c r="N2762" t="n">
        <v>0</v>
      </c>
      <c r="O2762" t="n">
        <v>0</v>
      </c>
      <c r="P2762" t="n">
        <v>0</v>
      </c>
      <c r="Q2762" t="n">
        <v>0</v>
      </c>
      <c r="R2762" s="2" t="inlineStr"/>
    </row>
    <row r="2763" ht="15" customHeight="1">
      <c r="A2763" t="inlineStr">
        <is>
          <t>A 44278-2024</t>
        </is>
      </c>
      <c r="B2763" s="1" t="n">
        <v>45573</v>
      </c>
      <c r="C2763" s="1" t="n">
        <v>45711</v>
      </c>
      <c r="D2763" t="inlineStr">
        <is>
          <t>VÄRMLANDS LÄN</t>
        </is>
      </c>
      <c r="E2763" t="inlineStr">
        <is>
          <t>TORSBY</t>
        </is>
      </c>
      <c r="F2763" t="inlineStr">
        <is>
          <t>Bergvik skog väst AB</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44204-2024</t>
        </is>
      </c>
      <c r="B2764" s="1" t="n">
        <v>45573</v>
      </c>
      <c r="C2764" s="1" t="n">
        <v>45711</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44338-2024</t>
        </is>
      </c>
      <c r="B2765" s="1" t="n">
        <v>45573</v>
      </c>
      <c r="C2765" s="1" t="n">
        <v>45711</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44342-2024</t>
        </is>
      </c>
      <c r="B2766" s="1" t="n">
        <v>45573</v>
      </c>
      <c r="C2766" s="1" t="n">
        <v>45711</v>
      </c>
      <c r="D2766" t="inlineStr">
        <is>
          <t>VÄRMLANDS LÄN</t>
        </is>
      </c>
      <c r="E2766" t="inlineStr">
        <is>
          <t>TORSBY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44448-2024</t>
        </is>
      </c>
      <c r="B2767" s="1" t="n">
        <v>45574</v>
      </c>
      <c r="C2767" s="1" t="n">
        <v>45711</v>
      </c>
      <c r="D2767" t="inlineStr">
        <is>
          <t>VÄRMLANDS LÄN</t>
        </is>
      </c>
      <c r="E2767" t="inlineStr">
        <is>
          <t>TORSBY</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44697-2024</t>
        </is>
      </c>
      <c r="B2768" s="1" t="n">
        <v>45574</v>
      </c>
      <c r="C2768" s="1" t="n">
        <v>45711</v>
      </c>
      <c r="D2768" t="inlineStr">
        <is>
          <t>VÄRMLANDS LÄN</t>
        </is>
      </c>
      <c r="E2768" t="inlineStr">
        <is>
          <t>TORSBY</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44685-2024</t>
        </is>
      </c>
      <c r="B2769" s="1" t="n">
        <v>45574</v>
      </c>
      <c r="C2769" s="1" t="n">
        <v>45711</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44690-2024</t>
        </is>
      </c>
      <c r="B2770" s="1" t="n">
        <v>45574</v>
      </c>
      <c r="C2770" s="1" t="n">
        <v>45711</v>
      </c>
      <c r="D2770" t="inlineStr">
        <is>
          <t>VÄRMLANDS LÄN</t>
        </is>
      </c>
      <c r="E2770" t="inlineStr">
        <is>
          <t>TORSBY</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44702-2024</t>
        </is>
      </c>
      <c r="B2771" s="1" t="n">
        <v>45574</v>
      </c>
      <c r="C2771" s="1" t="n">
        <v>45711</v>
      </c>
      <c r="D2771" t="inlineStr">
        <is>
          <t>VÄRMLANDS LÄN</t>
        </is>
      </c>
      <c r="E2771" t="inlineStr">
        <is>
          <t>TORSBY</t>
        </is>
      </c>
      <c r="F2771" t="inlineStr">
        <is>
          <t>Bergvik skog väst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44770-2024</t>
        </is>
      </c>
      <c r="B2772" s="1" t="n">
        <v>45574</v>
      </c>
      <c r="C2772" s="1" t="n">
        <v>45711</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44786-2024</t>
        </is>
      </c>
      <c r="B2773" s="1" t="n">
        <v>45574</v>
      </c>
      <c r="C2773" s="1" t="n">
        <v>45711</v>
      </c>
      <c r="D2773" t="inlineStr">
        <is>
          <t>VÄRMLANDS LÄN</t>
        </is>
      </c>
      <c r="E2773" t="inlineStr">
        <is>
          <t>TORSBY</t>
        </is>
      </c>
      <c r="F2773" t="inlineStr">
        <is>
          <t>Bergvik skog väst AB</t>
        </is>
      </c>
      <c r="G2773" t="n">
        <v>21.9</v>
      </c>
      <c r="H2773" t="n">
        <v>0</v>
      </c>
      <c r="I2773" t="n">
        <v>0</v>
      </c>
      <c r="J2773" t="n">
        <v>0</v>
      </c>
      <c r="K2773" t="n">
        <v>0</v>
      </c>
      <c r="L2773" t="n">
        <v>0</v>
      </c>
      <c r="M2773" t="n">
        <v>0</v>
      </c>
      <c r="N2773" t="n">
        <v>0</v>
      </c>
      <c r="O2773" t="n">
        <v>0</v>
      </c>
      <c r="P2773" t="n">
        <v>0</v>
      </c>
      <c r="Q2773" t="n">
        <v>0</v>
      </c>
      <c r="R2773" s="2" t="inlineStr"/>
    </row>
    <row r="2774" ht="15" customHeight="1">
      <c r="A2774" t="inlineStr">
        <is>
          <t>A 44659-2024</t>
        </is>
      </c>
      <c r="B2774" s="1" t="n">
        <v>45574</v>
      </c>
      <c r="C2774" s="1" t="n">
        <v>45711</v>
      </c>
      <c r="D2774" t="inlineStr">
        <is>
          <t>VÄRMLANDS LÄN</t>
        </is>
      </c>
      <c r="E2774" t="inlineStr">
        <is>
          <t>TORSBY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44683-2024</t>
        </is>
      </c>
      <c r="B2775" s="1" t="n">
        <v>45574</v>
      </c>
      <c r="C2775" s="1" t="n">
        <v>45711</v>
      </c>
      <c r="D2775" t="inlineStr">
        <is>
          <t>VÄRMLANDS LÄN</t>
        </is>
      </c>
      <c r="E2775" t="inlineStr">
        <is>
          <t>TORSBY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44470-2024</t>
        </is>
      </c>
      <c r="B2776" s="1" t="n">
        <v>45574</v>
      </c>
      <c r="C2776" s="1" t="n">
        <v>45711</v>
      </c>
      <c r="D2776" t="inlineStr">
        <is>
          <t>VÄRMLANDS LÄN</t>
        </is>
      </c>
      <c r="E2776" t="inlineStr">
        <is>
          <t>TORSBY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44764-2024</t>
        </is>
      </c>
      <c r="B2777" s="1" t="n">
        <v>45574</v>
      </c>
      <c r="C2777" s="1" t="n">
        <v>45711</v>
      </c>
      <c r="D2777" t="inlineStr">
        <is>
          <t>VÄRMLANDS LÄN</t>
        </is>
      </c>
      <c r="E2777" t="inlineStr">
        <is>
          <t>TORSBY</t>
        </is>
      </c>
      <c r="F2777" t="inlineStr">
        <is>
          <t>Bergvik skog väst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44838-2024</t>
        </is>
      </c>
      <c r="B2778" s="1" t="n">
        <v>45574</v>
      </c>
      <c r="C2778" s="1" t="n">
        <v>45711</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45134-2024</t>
        </is>
      </c>
      <c r="B2779" s="1" t="n">
        <v>45575</v>
      </c>
      <c r="C2779" s="1" t="n">
        <v>45711</v>
      </c>
      <c r="D2779" t="inlineStr">
        <is>
          <t>VÄRMLANDS LÄN</t>
        </is>
      </c>
      <c r="E2779" t="inlineStr">
        <is>
          <t>TORSBY</t>
        </is>
      </c>
      <c r="F2779" t="inlineStr">
        <is>
          <t>Bergvik skog väst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45114-2024</t>
        </is>
      </c>
      <c r="B2780" s="1" t="n">
        <v>45575</v>
      </c>
      <c r="C2780" s="1" t="n">
        <v>45711</v>
      </c>
      <c r="D2780" t="inlineStr">
        <is>
          <t>VÄRMLANDS LÄN</t>
        </is>
      </c>
      <c r="E2780" t="inlineStr">
        <is>
          <t>TORSBY</t>
        </is>
      </c>
      <c r="F2780" t="inlineStr">
        <is>
          <t>Bergvik skog väst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45129-2024</t>
        </is>
      </c>
      <c r="B2781" s="1" t="n">
        <v>45575</v>
      </c>
      <c r="C2781" s="1" t="n">
        <v>45711</v>
      </c>
      <c r="D2781" t="inlineStr">
        <is>
          <t>VÄRMLANDS LÄN</t>
        </is>
      </c>
      <c r="E2781" t="inlineStr">
        <is>
          <t>TORSBY</t>
        </is>
      </c>
      <c r="F2781" t="inlineStr">
        <is>
          <t>Bergvik skog väst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45132-2024</t>
        </is>
      </c>
      <c r="B2782" s="1" t="n">
        <v>45575</v>
      </c>
      <c r="C2782" s="1" t="n">
        <v>45711</v>
      </c>
      <c r="D2782" t="inlineStr">
        <is>
          <t>VÄRMLANDS LÄN</t>
        </is>
      </c>
      <c r="E2782" t="inlineStr">
        <is>
          <t>TORSBY</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45022-2024</t>
        </is>
      </c>
      <c r="B2783" s="1" t="n">
        <v>45575</v>
      </c>
      <c r="C2783" s="1" t="n">
        <v>45711</v>
      </c>
      <c r="D2783" t="inlineStr">
        <is>
          <t>VÄRMLANDS LÄN</t>
        </is>
      </c>
      <c r="E2783" t="inlineStr">
        <is>
          <t>TORSBY</t>
        </is>
      </c>
      <c r="F2783" t="inlineStr">
        <is>
          <t>Bergvik skog väst AB</t>
        </is>
      </c>
      <c r="G2783" t="n">
        <v>19.5</v>
      </c>
      <c r="H2783" t="n">
        <v>0</v>
      </c>
      <c r="I2783" t="n">
        <v>0</v>
      </c>
      <c r="J2783" t="n">
        <v>0</v>
      </c>
      <c r="K2783" t="n">
        <v>0</v>
      </c>
      <c r="L2783" t="n">
        <v>0</v>
      </c>
      <c r="M2783" t="n">
        <v>0</v>
      </c>
      <c r="N2783" t="n">
        <v>0</v>
      </c>
      <c r="O2783" t="n">
        <v>0</v>
      </c>
      <c r="P2783" t="n">
        <v>0</v>
      </c>
      <c r="Q2783" t="n">
        <v>0</v>
      </c>
      <c r="R2783" s="2" t="inlineStr"/>
    </row>
    <row r="2784" ht="15" customHeight="1">
      <c r="A2784" t="inlineStr">
        <is>
          <t>A 45227-2024</t>
        </is>
      </c>
      <c r="B2784" s="1" t="n">
        <v>45575</v>
      </c>
      <c r="C2784" s="1" t="n">
        <v>45711</v>
      </c>
      <c r="D2784" t="inlineStr">
        <is>
          <t>VÄRMLANDS LÄN</t>
        </is>
      </c>
      <c r="E2784" t="inlineStr">
        <is>
          <t>TORSBY</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44965-2024</t>
        </is>
      </c>
      <c r="B2785" s="1" t="n">
        <v>45575</v>
      </c>
      <c r="C2785" s="1" t="n">
        <v>45711</v>
      </c>
      <c r="D2785" t="inlineStr">
        <is>
          <t>VÄRMLANDS LÄN</t>
        </is>
      </c>
      <c r="E2785" t="inlineStr">
        <is>
          <t>TORSBY</t>
        </is>
      </c>
      <c r="F2785" t="inlineStr">
        <is>
          <t>Bergvik skog väst AB</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45389-2024</t>
        </is>
      </c>
      <c r="B2786" s="1" t="n">
        <v>45576</v>
      </c>
      <c r="C2786" s="1" t="n">
        <v>45711</v>
      </c>
      <c r="D2786" t="inlineStr">
        <is>
          <t>VÄRMLANDS LÄN</t>
        </is>
      </c>
      <c r="E2786" t="inlineStr">
        <is>
          <t>TORSBY</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45448-2024</t>
        </is>
      </c>
      <c r="B2787" s="1" t="n">
        <v>45576</v>
      </c>
      <c r="C2787" s="1" t="n">
        <v>45711</v>
      </c>
      <c r="D2787" t="inlineStr">
        <is>
          <t>VÄRMLANDS LÄN</t>
        </is>
      </c>
      <c r="E2787" t="inlineStr">
        <is>
          <t>TORSBY</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45385-2024</t>
        </is>
      </c>
      <c r="B2788" s="1" t="n">
        <v>45576</v>
      </c>
      <c r="C2788" s="1" t="n">
        <v>45711</v>
      </c>
      <c r="D2788" t="inlineStr">
        <is>
          <t>VÄRMLANDS LÄN</t>
        </is>
      </c>
      <c r="E2788" t="inlineStr">
        <is>
          <t>TORSBY</t>
        </is>
      </c>
      <c r="F2788" t="inlineStr">
        <is>
          <t>Bergvik skog väst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45669-2024</t>
        </is>
      </c>
      <c r="B2789" s="1" t="n">
        <v>45579</v>
      </c>
      <c r="C2789" s="1" t="n">
        <v>45711</v>
      </c>
      <c r="D2789" t="inlineStr">
        <is>
          <t>VÄRMLANDS LÄN</t>
        </is>
      </c>
      <c r="E2789" t="inlineStr">
        <is>
          <t>TORSBY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45548-2024</t>
        </is>
      </c>
      <c r="B2790" s="1" t="n">
        <v>45579</v>
      </c>
      <c r="C2790" s="1" t="n">
        <v>45711</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45812-2024</t>
        </is>
      </c>
      <c r="B2791" s="1" t="n">
        <v>45579</v>
      </c>
      <c r="C2791" s="1" t="n">
        <v>45711</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45849-2024</t>
        </is>
      </c>
      <c r="B2792" s="1" t="n">
        <v>45580</v>
      </c>
      <c r="C2792" s="1" t="n">
        <v>45711</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46239-2024</t>
        </is>
      </c>
      <c r="B2793" s="1" t="n">
        <v>45581</v>
      </c>
      <c r="C2793" s="1" t="n">
        <v>45711</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46152-2024</t>
        </is>
      </c>
      <c r="B2794" s="1" t="n">
        <v>45581</v>
      </c>
      <c r="C2794" s="1" t="n">
        <v>45711</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46166-2024</t>
        </is>
      </c>
      <c r="B2795" s="1" t="n">
        <v>45581</v>
      </c>
      <c r="C2795" s="1" t="n">
        <v>45711</v>
      </c>
      <c r="D2795" t="inlineStr">
        <is>
          <t>VÄRMLANDS LÄN</t>
        </is>
      </c>
      <c r="E2795" t="inlineStr">
        <is>
          <t>TORSBY</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46471-2024</t>
        </is>
      </c>
      <c r="B2796" s="1" t="n">
        <v>45582</v>
      </c>
      <c r="C2796" s="1" t="n">
        <v>45711</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46503-2024</t>
        </is>
      </c>
      <c r="B2797" s="1" t="n">
        <v>45582</v>
      </c>
      <c r="C2797" s="1" t="n">
        <v>45711</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46456-2024</t>
        </is>
      </c>
      <c r="B2798" s="1" t="n">
        <v>45582</v>
      </c>
      <c r="C2798" s="1" t="n">
        <v>45711</v>
      </c>
      <c r="D2798" t="inlineStr">
        <is>
          <t>VÄRMLANDS LÄN</t>
        </is>
      </c>
      <c r="E2798" t="inlineStr">
        <is>
          <t>TORSBY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46343-2024</t>
        </is>
      </c>
      <c r="B2799" s="1" t="n">
        <v>45582</v>
      </c>
      <c r="C2799" s="1" t="n">
        <v>45711</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46914-2024</t>
        </is>
      </c>
      <c r="B2800" s="1" t="n">
        <v>45583</v>
      </c>
      <c r="C2800" s="1" t="n">
        <v>45711</v>
      </c>
      <c r="D2800" t="inlineStr">
        <is>
          <t>VÄRMLANDS LÄN</t>
        </is>
      </c>
      <c r="E2800" t="inlineStr">
        <is>
          <t>TORSBY</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46698-2024</t>
        </is>
      </c>
      <c r="B2801" s="1" t="n">
        <v>45583</v>
      </c>
      <c r="C2801" s="1" t="n">
        <v>45711</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46909-2024</t>
        </is>
      </c>
      <c r="B2802" s="1" t="n">
        <v>45583</v>
      </c>
      <c r="C2802" s="1" t="n">
        <v>45711</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46917-2024</t>
        </is>
      </c>
      <c r="B2803" s="1" t="n">
        <v>45583</v>
      </c>
      <c r="C2803" s="1" t="n">
        <v>45711</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46912-2024</t>
        </is>
      </c>
      <c r="B2804" s="1" t="n">
        <v>45583</v>
      </c>
      <c r="C2804" s="1" t="n">
        <v>45711</v>
      </c>
      <c r="D2804" t="inlineStr">
        <is>
          <t>VÄRMLANDS LÄN</t>
        </is>
      </c>
      <c r="E2804" t="inlineStr">
        <is>
          <t>TORSBY</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46915-2024</t>
        </is>
      </c>
      <c r="B2805" s="1" t="n">
        <v>45583</v>
      </c>
      <c r="C2805" s="1" t="n">
        <v>45711</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47005-2024</t>
        </is>
      </c>
      <c r="B2806" s="1" t="n">
        <v>45586</v>
      </c>
      <c r="C2806" s="1" t="n">
        <v>45711</v>
      </c>
      <c r="D2806" t="inlineStr">
        <is>
          <t>VÄRMLANDS LÄN</t>
        </is>
      </c>
      <c r="E2806" t="inlineStr">
        <is>
          <t>TORSBY</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47006-2024</t>
        </is>
      </c>
      <c r="B2807" s="1" t="n">
        <v>45586</v>
      </c>
      <c r="C2807" s="1" t="n">
        <v>45711</v>
      </c>
      <c r="D2807" t="inlineStr">
        <is>
          <t>VÄRMLANDS LÄN</t>
        </is>
      </c>
      <c r="E2807" t="inlineStr">
        <is>
          <t>TORSBY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47553-2024</t>
        </is>
      </c>
      <c r="B2808" s="1" t="n">
        <v>45587</v>
      </c>
      <c r="C2808" s="1" t="n">
        <v>45711</v>
      </c>
      <c r="D2808" t="inlineStr">
        <is>
          <t>VÄRMLANDS LÄN</t>
        </is>
      </c>
      <c r="E2808" t="inlineStr">
        <is>
          <t>TORSBY</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47465-2024</t>
        </is>
      </c>
      <c r="B2809" s="1" t="n">
        <v>45587</v>
      </c>
      <c r="C2809" s="1" t="n">
        <v>45711</v>
      </c>
      <c r="D2809" t="inlineStr">
        <is>
          <t>VÄRMLANDS LÄN</t>
        </is>
      </c>
      <c r="E2809" t="inlineStr">
        <is>
          <t>TORSBY</t>
        </is>
      </c>
      <c r="F2809" t="inlineStr">
        <is>
          <t>Övriga Aktiebolag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47316-2024</t>
        </is>
      </c>
      <c r="B2810" s="1" t="n">
        <v>45587</v>
      </c>
      <c r="C2810" s="1" t="n">
        <v>45711</v>
      </c>
      <c r="D2810" t="inlineStr">
        <is>
          <t>VÄRMLANDS LÄN</t>
        </is>
      </c>
      <c r="E2810" t="inlineStr">
        <is>
          <t>TORSBY</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47452-2024</t>
        </is>
      </c>
      <c r="B2811" s="1" t="n">
        <v>45587</v>
      </c>
      <c r="C2811" s="1" t="n">
        <v>45711</v>
      </c>
      <c r="D2811" t="inlineStr">
        <is>
          <t>VÄRMLANDS LÄN</t>
        </is>
      </c>
      <c r="E2811" t="inlineStr">
        <is>
          <t>TORSBY</t>
        </is>
      </c>
      <c r="F2811" t="inlineStr">
        <is>
          <t>Övriga Aktiebolag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47755-2024</t>
        </is>
      </c>
      <c r="B2812" s="1" t="n">
        <v>45588</v>
      </c>
      <c r="C2812" s="1" t="n">
        <v>45711</v>
      </c>
      <c r="D2812" t="inlineStr">
        <is>
          <t>VÄRMLANDS LÄN</t>
        </is>
      </c>
      <c r="E2812" t="inlineStr">
        <is>
          <t>TORSBY</t>
        </is>
      </c>
      <c r="F2812" t="inlineStr">
        <is>
          <t>Bergvik skog väst AB</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47651-2024</t>
        </is>
      </c>
      <c r="B2813" s="1" t="n">
        <v>45588</v>
      </c>
      <c r="C2813" s="1" t="n">
        <v>45711</v>
      </c>
      <c r="D2813" t="inlineStr">
        <is>
          <t>VÄRMLANDS LÄN</t>
        </is>
      </c>
      <c r="E2813" t="inlineStr">
        <is>
          <t>TORSBY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47619-2024</t>
        </is>
      </c>
      <c r="B2814" s="1" t="n">
        <v>45588</v>
      </c>
      <c r="C2814" s="1" t="n">
        <v>45711</v>
      </c>
      <c r="D2814" t="inlineStr">
        <is>
          <t>VÄRMLANDS LÄN</t>
        </is>
      </c>
      <c r="E2814" t="inlineStr">
        <is>
          <t>TORSBY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47835-2024</t>
        </is>
      </c>
      <c r="B2815" s="1" t="n">
        <v>45588</v>
      </c>
      <c r="C2815" s="1" t="n">
        <v>45711</v>
      </c>
      <c r="D2815" t="inlineStr">
        <is>
          <t>VÄRMLANDS LÄN</t>
        </is>
      </c>
      <c r="E2815" t="inlineStr">
        <is>
          <t>TORSBY</t>
        </is>
      </c>
      <c r="F2815" t="inlineStr">
        <is>
          <t>Bergvik skog väst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47839-2024</t>
        </is>
      </c>
      <c r="B2816" s="1" t="n">
        <v>45588</v>
      </c>
      <c r="C2816" s="1" t="n">
        <v>45711</v>
      </c>
      <c r="D2816" t="inlineStr">
        <is>
          <t>VÄRMLANDS LÄN</t>
        </is>
      </c>
      <c r="E2816" t="inlineStr">
        <is>
          <t>TORSBY</t>
        </is>
      </c>
      <c r="F2816" t="inlineStr">
        <is>
          <t>Bergvik skog väst AB</t>
        </is>
      </c>
      <c r="G2816" t="n">
        <v>9.5</v>
      </c>
      <c r="H2816" t="n">
        <v>0</v>
      </c>
      <c r="I2816" t="n">
        <v>0</v>
      </c>
      <c r="J2816" t="n">
        <v>0</v>
      </c>
      <c r="K2816" t="n">
        <v>0</v>
      </c>
      <c r="L2816" t="n">
        <v>0</v>
      </c>
      <c r="M2816" t="n">
        <v>0</v>
      </c>
      <c r="N2816" t="n">
        <v>0</v>
      </c>
      <c r="O2816" t="n">
        <v>0</v>
      </c>
      <c r="P2816" t="n">
        <v>0</v>
      </c>
      <c r="Q2816" t="n">
        <v>0</v>
      </c>
      <c r="R2816" s="2" t="inlineStr"/>
    </row>
    <row r="2817" ht="15" customHeight="1">
      <c r="A2817" t="inlineStr">
        <is>
          <t>A 47863-2024</t>
        </is>
      </c>
      <c r="B2817" s="1" t="n">
        <v>45588</v>
      </c>
      <c r="C2817" s="1" t="n">
        <v>45711</v>
      </c>
      <c r="D2817" t="inlineStr">
        <is>
          <t>VÄRMLANDS LÄN</t>
        </is>
      </c>
      <c r="E2817" t="inlineStr">
        <is>
          <t>TORSBY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48185-2024</t>
        </is>
      </c>
      <c r="B2818" s="1" t="n">
        <v>45589</v>
      </c>
      <c r="C2818" s="1" t="n">
        <v>45711</v>
      </c>
      <c r="D2818" t="inlineStr">
        <is>
          <t>VÄRMLANDS LÄN</t>
        </is>
      </c>
      <c r="E2818" t="inlineStr">
        <is>
          <t>TORSBY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48160-2024</t>
        </is>
      </c>
      <c r="B2819" s="1" t="n">
        <v>45589</v>
      </c>
      <c r="C2819" s="1" t="n">
        <v>45711</v>
      </c>
      <c r="D2819" t="inlineStr">
        <is>
          <t>VÄRMLANDS LÄN</t>
        </is>
      </c>
      <c r="E2819" t="inlineStr">
        <is>
          <t>TORSBY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48305-2024</t>
        </is>
      </c>
      <c r="B2820" s="1" t="n">
        <v>45590</v>
      </c>
      <c r="C2820" s="1" t="n">
        <v>45711</v>
      </c>
      <c r="D2820" t="inlineStr">
        <is>
          <t>VÄRMLANDS LÄN</t>
        </is>
      </c>
      <c r="E2820" t="inlineStr">
        <is>
          <t>TORSBY</t>
        </is>
      </c>
      <c r="F2820" t="inlineStr">
        <is>
          <t>Bergvik skog väst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48253-2024</t>
        </is>
      </c>
      <c r="B2821" s="1" t="n">
        <v>45590</v>
      </c>
      <c r="C2821" s="1" t="n">
        <v>45711</v>
      </c>
      <c r="D2821" t="inlineStr">
        <is>
          <t>VÄRMLANDS LÄN</t>
        </is>
      </c>
      <c r="E2821" t="inlineStr">
        <is>
          <t>TORSBY</t>
        </is>
      </c>
      <c r="F2821" t="inlineStr">
        <is>
          <t>Bergvik skog väst AB</t>
        </is>
      </c>
      <c r="G2821" t="n">
        <v>20.7</v>
      </c>
      <c r="H2821" t="n">
        <v>0</v>
      </c>
      <c r="I2821" t="n">
        <v>0</v>
      </c>
      <c r="J2821" t="n">
        <v>0</v>
      </c>
      <c r="K2821" t="n">
        <v>0</v>
      </c>
      <c r="L2821" t="n">
        <v>0</v>
      </c>
      <c r="M2821" t="n">
        <v>0</v>
      </c>
      <c r="N2821" t="n">
        <v>0</v>
      </c>
      <c r="O2821" t="n">
        <v>0</v>
      </c>
      <c r="P2821" t="n">
        <v>0</v>
      </c>
      <c r="Q2821" t="n">
        <v>0</v>
      </c>
      <c r="R2821" s="2" t="inlineStr"/>
    </row>
    <row r="2822" ht="15" customHeight="1">
      <c r="A2822" t="inlineStr">
        <is>
          <t>A 48629-2024</t>
        </is>
      </c>
      <c r="B2822" s="1" t="n">
        <v>45593</v>
      </c>
      <c r="C2822" s="1" t="n">
        <v>45711</v>
      </c>
      <c r="D2822" t="inlineStr">
        <is>
          <t>VÄRMLANDS LÄN</t>
        </is>
      </c>
      <c r="E2822" t="inlineStr">
        <is>
          <t>TORSBY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48540-2024</t>
        </is>
      </c>
      <c r="B2823" s="1" t="n">
        <v>45593</v>
      </c>
      <c r="C2823" s="1" t="n">
        <v>45711</v>
      </c>
      <c r="D2823" t="inlineStr">
        <is>
          <t>VÄRMLANDS LÄN</t>
        </is>
      </c>
      <c r="E2823" t="inlineStr">
        <is>
          <t>TORSBY</t>
        </is>
      </c>
      <c r="G2823" t="n">
        <v>16.5</v>
      </c>
      <c r="H2823" t="n">
        <v>0</v>
      </c>
      <c r="I2823" t="n">
        <v>0</v>
      </c>
      <c r="J2823" t="n">
        <v>0</v>
      </c>
      <c r="K2823" t="n">
        <v>0</v>
      </c>
      <c r="L2823" t="n">
        <v>0</v>
      </c>
      <c r="M2823" t="n">
        <v>0</v>
      </c>
      <c r="N2823" t="n">
        <v>0</v>
      </c>
      <c r="O2823" t="n">
        <v>0</v>
      </c>
      <c r="P2823" t="n">
        <v>0</v>
      </c>
      <c r="Q2823" t="n">
        <v>0</v>
      </c>
      <c r="R2823" s="2" t="inlineStr"/>
    </row>
    <row r="2824" ht="15" customHeight="1">
      <c r="A2824" t="inlineStr">
        <is>
          <t>A 48721-2024</t>
        </is>
      </c>
      <c r="B2824" s="1" t="n">
        <v>45593</v>
      </c>
      <c r="C2824" s="1" t="n">
        <v>45711</v>
      </c>
      <c r="D2824" t="inlineStr">
        <is>
          <t>VÄRMLANDS LÄN</t>
        </is>
      </c>
      <c r="E2824" t="inlineStr">
        <is>
          <t>TORSBY</t>
        </is>
      </c>
      <c r="F2824" t="inlineStr">
        <is>
          <t>Bergvik skog väst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48840-2024</t>
        </is>
      </c>
      <c r="B2825" s="1" t="n">
        <v>45593</v>
      </c>
      <c r="C2825" s="1" t="n">
        <v>45711</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48627-2024</t>
        </is>
      </c>
      <c r="B2826" s="1" t="n">
        <v>45593</v>
      </c>
      <c r="C2826" s="1" t="n">
        <v>45711</v>
      </c>
      <c r="D2826" t="inlineStr">
        <is>
          <t>VÄRMLANDS LÄN</t>
        </is>
      </c>
      <c r="E2826" t="inlineStr">
        <is>
          <t>TORSBY</t>
        </is>
      </c>
      <c r="F2826" t="inlineStr">
        <is>
          <t>Bergvik skog väst AB</t>
        </is>
      </c>
      <c r="G2826" t="n">
        <v>42.6</v>
      </c>
      <c r="H2826" t="n">
        <v>0</v>
      </c>
      <c r="I2826" t="n">
        <v>0</v>
      </c>
      <c r="J2826" t="n">
        <v>0</v>
      </c>
      <c r="K2826" t="n">
        <v>0</v>
      </c>
      <c r="L2826" t="n">
        <v>0</v>
      </c>
      <c r="M2826" t="n">
        <v>0</v>
      </c>
      <c r="N2826" t="n">
        <v>0</v>
      </c>
      <c r="O2826" t="n">
        <v>0</v>
      </c>
      <c r="P2826" t="n">
        <v>0</v>
      </c>
      <c r="Q2826" t="n">
        <v>0</v>
      </c>
      <c r="R2826" s="2" t="inlineStr"/>
    </row>
    <row r="2827" ht="15" customHeight="1">
      <c r="A2827" t="inlineStr">
        <is>
          <t>A 48558-2024</t>
        </is>
      </c>
      <c r="B2827" s="1" t="n">
        <v>45593</v>
      </c>
      <c r="C2827" s="1" t="n">
        <v>45711</v>
      </c>
      <c r="D2827" t="inlineStr">
        <is>
          <t>VÄRMLANDS LÄN</t>
        </is>
      </c>
      <c r="E2827" t="inlineStr">
        <is>
          <t>TORSBY</t>
        </is>
      </c>
      <c r="F2827" t="inlineStr">
        <is>
          <t>Bergvik skog väst AB</t>
        </is>
      </c>
      <c r="G2827" t="n">
        <v>14.2</v>
      </c>
      <c r="H2827" t="n">
        <v>0</v>
      </c>
      <c r="I2827" t="n">
        <v>0</v>
      </c>
      <c r="J2827" t="n">
        <v>0</v>
      </c>
      <c r="K2827" t="n">
        <v>0</v>
      </c>
      <c r="L2827" t="n">
        <v>0</v>
      </c>
      <c r="M2827" t="n">
        <v>0</v>
      </c>
      <c r="N2827" t="n">
        <v>0</v>
      </c>
      <c r="O2827" t="n">
        <v>0</v>
      </c>
      <c r="P2827" t="n">
        <v>0</v>
      </c>
      <c r="Q2827" t="n">
        <v>0</v>
      </c>
      <c r="R2827" s="2" t="inlineStr"/>
    </row>
    <row r="2828" ht="15" customHeight="1">
      <c r="A2828" t="inlineStr">
        <is>
          <t>A 48874-2024</t>
        </is>
      </c>
      <c r="B2828" s="1" t="n">
        <v>45594</v>
      </c>
      <c r="C2828" s="1" t="n">
        <v>45711</v>
      </c>
      <c r="D2828" t="inlineStr">
        <is>
          <t>VÄRMLANDS LÄN</t>
        </is>
      </c>
      <c r="E2828" t="inlineStr">
        <is>
          <t>TORSBY</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48963-2024</t>
        </is>
      </c>
      <c r="B2829" s="1" t="n">
        <v>45594</v>
      </c>
      <c r="C2829" s="1" t="n">
        <v>45711</v>
      </c>
      <c r="D2829" t="inlineStr">
        <is>
          <t>VÄRMLANDS LÄN</t>
        </is>
      </c>
      <c r="E2829" t="inlineStr">
        <is>
          <t>TORSBY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48903-2024</t>
        </is>
      </c>
      <c r="B2830" s="1" t="n">
        <v>45594</v>
      </c>
      <c r="C2830" s="1" t="n">
        <v>45711</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49163-2024</t>
        </is>
      </c>
      <c r="B2831" s="1" t="n">
        <v>45594</v>
      </c>
      <c r="C2831" s="1" t="n">
        <v>45711</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49195-2024</t>
        </is>
      </c>
      <c r="B2832" s="1" t="n">
        <v>45595</v>
      </c>
      <c r="C2832" s="1" t="n">
        <v>45711</v>
      </c>
      <c r="D2832" t="inlineStr">
        <is>
          <t>VÄRMLANDS LÄN</t>
        </is>
      </c>
      <c r="E2832" t="inlineStr">
        <is>
          <t>TORSBY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49383-2024</t>
        </is>
      </c>
      <c r="B2833" s="1" t="n">
        <v>45595</v>
      </c>
      <c r="C2833" s="1" t="n">
        <v>45711</v>
      </c>
      <c r="D2833" t="inlineStr">
        <is>
          <t>VÄRMLANDS LÄN</t>
        </is>
      </c>
      <c r="E2833" t="inlineStr">
        <is>
          <t>TORSBY</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49298-2024</t>
        </is>
      </c>
      <c r="B2834" s="1" t="n">
        <v>45595</v>
      </c>
      <c r="C2834" s="1" t="n">
        <v>45711</v>
      </c>
      <c r="D2834" t="inlineStr">
        <is>
          <t>VÄRMLANDS LÄN</t>
        </is>
      </c>
      <c r="E2834" t="inlineStr">
        <is>
          <t>TORSBY</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49524-2024</t>
        </is>
      </c>
      <c r="B2835" s="1" t="n">
        <v>45596</v>
      </c>
      <c r="C2835" s="1" t="n">
        <v>45711</v>
      </c>
      <c r="D2835" t="inlineStr">
        <is>
          <t>VÄRMLANDS LÄN</t>
        </is>
      </c>
      <c r="E2835" t="inlineStr">
        <is>
          <t>TORSBY</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49912-2024</t>
        </is>
      </c>
      <c r="B2836" s="1" t="n">
        <v>45597</v>
      </c>
      <c r="C2836" s="1" t="n">
        <v>45711</v>
      </c>
      <c r="D2836" t="inlineStr">
        <is>
          <t>VÄRMLANDS LÄN</t>
        </is>
      </c>
      <c r="E2836" t="inlineStr">
        <is>
          <t>TORSBY</t>
        </is>
      </c>
      <c r="F2836" t="inlineStr">
        <is>
          <t>Bergvik skog väst AB</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49845-2024</t>
        </is>
      </c>
      <c r="B2837" s="1" t="n">
        <v>45597</v>
      </c>
      <c r="C2837" s="1" t="n">
        <v>45711</v>
      </c>
      <c r="D2837" t="inlineStr">
        <is>
          <t>VÄRMLANDS LÄN</t>
        </is>
      </c>
      <c r="E2837" t="inlineStr">
        <is>
          <t>TORSBY</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49936-2024</t>
        </is>
      </c>
      <c r="B2838" s="1" t="n">
        <v>45597</v>
      </c>
      <c r="C2838" s="1" t="n">
        <v>45711</v>
      </c>
      <c r="D2838" t="inlineStr">
        <is>
          <t>VÄRMLANDS LÄN</t>
        </is>
      </c>
      <c r="E2838" t="inlineStr">
        <is>
          <t>TORSBY</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49840-2024</t>
        </is>
      </c>
      <c r="B2839" s="1" t="n">
        <v>45597</v>
      </c>
      <c r="C2839" s="1" t="n">
        <v>45711</v>
      </c>
      <c r="D2839" t="inlineStr">
        <is>
          <t>VÄRMLANDS LÄN</t>
        </is>
      </c>
      <c r="E2839" t="inlineStr">
        <is>
          <t>TORSBY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50147-2024</t>
        </is>
      </c>
      <c r="B2840" s="1" t="n">
        <v>45600</v>
      </c>
      <c r="C2840" s="1" t="n">
        <v>45711</v>
      </c>
      <c r="D2840" t="inlineStr">
        <is>
          <t>VÄRMLANDS LÄN</t>
        </is>
      </c>
      <c r="E2840" t="inlineStr">
        <is>
          <t>TORSBY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50235-2024</t>
        </is>
      </c>
      <c r="B2841" s="1" t="n">
        <v>45600</v>
      </c>
      <c r="C2841" s="1" t="n">
        <v>45711</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50318-2024</t>
        </is>
      </c>
      <c r="B2842" s="1" t="n">
        <v>45600</v>
      </c>
      <c r="C2842" s="1" t="n">
        <v>45711</v>
      </c>
      <c r="D2842" t="inlineStr">
        <is>
          <t>VÄRMLANDS LÄN</t>
        </is>
      </c>
      <c r="E2842" t="inlineStr">
        <is>
          <t>TORSBY</t>
        </is>
      </c>
      <c r="F2842" t="inlineStr">
        <is>
          <t>Bergvik skog väst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50568-2024</t>
        </is>
      </c>
      <c r="B2843" s="1" t="n">
        <v>45601</v>
      </c>
      <c r="C2843" s="1" t="n">
        <v>45711</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50386-2024</t>
        </is>
      </c>
      <c r="B2844" s="1" t="n">
        <v>45601</v>
      </c>
      <c r="C2844" s="1" t="n">
        <v>45711</v>
      </c>
      <c r="D2844" t="inlineStr">
        <is>
          <t>VÄRMLANDS LÄN</t>
        </is>
      </c>
      <c r="E2844" t="inlineStr">
        <is>
          <t>TORSBY</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50373-2024</t>
        </is>
      </c>
      <c r="B2845" s="1" t="n">
        <v>45601</v>
      </c>
      <c r="C2845" s="1" t="n">
        <v>45711</v>
      </c>
      <c r="D2845" t="inlineStr">
        <is>
          <t>VÄRMLANDS LÄN</t>
        </is>
      </c>
      <c r="E2845" t="inlineStr">
        <is>
          <t>TORSBY</t>
        </is>
      </c>
      <c r="F2845" t="inlineStr">
        <is>
          <t>Övriga Aktiebolag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50372-2024</t>
        </is>
      </c>
      <c r="B2846" s="1" t="n">
        <v>45601</v>
      </c>
      <c r="C2846" s="1" t="n">
        <v>45711</v>
      </c>
      <c r="D2846" t="inlineStr">
        <is>
          <t>VÄRMLANDS LÄN</t>
        </is>
      </c>
      <c r="E2846" t="inlineStr">
        <is>
          <t>TORSBY</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50376-2024</t>
        </is>
      </c>
      <c r="B2847" s="1" t="n">
        <v>45601</v>
      </c>
      <c r="C2847" s="1" t="n">
        <v>45711</v>
      </c>
      <c r="D2847" t="inlineStr">
        <is>
          <t>VÄRMLANDS LÄN</t>
        </is>
      </c>
      <c r="E2847" t="inlineStr">
        <is>
          <t>TORSBY</t>
        </is>
      </c>
      <c r="F2847" t="inlineStr">
        <is>
          <t>Övriga Aktiebolag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50380-2024</t>
        </is>
      </c>
      <c r="B2848" s="1" t="n">
        <v>45601</v>
      </c>
      <c r="C2848" s="1" t="n">
        <v>45711</v>
      </c>
      <c r="D2848" t="inlineStr">
        <is>
          <t>VÄRMLANDS LÄN</t>
        </is>
      </c>
      <c r="E2848" t="inlineStr">
        <is>
          <t>TORSBY</t>
        </is>
      </c>
      <c r="F2848" t="inlineStr">
        <is>
          <t>Bergvik skog väst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50494-2024</t>
        </is>
      </c>
      <c r="B2849" s="1" t="n">
        <v>45601</v>
      </c>
      <c r="C2849" s="1" t="n">
        <v>45711</v>
      </c>
      <c r="D2849" t="inlineStr">
        <is>
          <t>VÄRMLANDS LÄN</t>
        </is>
      </c>
      <c r="E2849" t="inlineStr">
        <is>
          <t>TORSBY</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50832-2024</t>
        </is>
      </c>
      <c r="B2850" s="1" t="n">
        <v>45602</v>
      </c>
      <c r="C2850" s="1" t="n">
        <v>45711</v>
      </c>
      <c r="D2850" t="inlineStr">
        <is>
          <t>VÄRMLANDS LÄN</t>
        </is>
      </c>
      <c r="E2850" t="inlineStr">
        <is>
          <t>TORSBY</t>
        </is>
      </c>
      <c r="F2850" t="inlineStr">
        <is>
          <t>Bergvik skog väst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51271-2024</t>
        </is>
      </c>
      <c r="B2851" s="1" t="n">
        <v>45603</v>
      </c>
      <c r="C2851" s="1" t="n">
        <v>45711</v>
      </c>
      <c r="D2851" t="inlineStr">
        <is>
          <t>VÄRMLANDS LÄN</t>
        </is>
      </c>
      <c r="E2851" t="inlineStr">
        <is>
          <t>TORSBY</t>
        </is>
      </c>
      <c r="F2851" t="inlineStr">
        <is>
          <t>Bergvik skog väst AB</t>
        </is>
      </c>
      <c r="G2851" t="n">
        <v>22.5</v>
      </c>
      <c r="H2851" t="n">
        <v>0</v>
      </c>
      <c r="I2851" t="n">
        <v>0</v>
      </c>
      <c r="J2851" t="n">
        <v>0</v>
      </c>
      <c r="K2851" t="n">
        <v>0</v>
      </c>
      <c r="L2851" t="n">
        <v>0</v>
      </c>
      <c r="M2851" t="n">
        <v>0</v>
      </c>
      <c r="N2851" t="n">
        <v>0</v>
      </c>
      <c r="O2851" t="n">
        <v>0</v>
      </c>
      <c r="P2851" t="n">
        <v>0</v>
      </c>
      <c r="Q2851" t="n">
        <v>0</v>
      </c>
      <c r="R2851" s="2" t="inlineStr"/>
    </row>
    <row r="2852" ht="15" customHeight="1">
      <c r="A2852" t="inlineStr">
        <is>
          <t>A 51369-2024</t>
        </is>
      </c>
      <c r="B2852" s="1" t="n">
        <v>45604</v>
      </c>
      <c r="C2852" s="1" t="n">
        <v>45711</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51469-2024</t>
        </is>
      </c>
      <c r="B2853" s="1" t="n">
        <v>45604</v>
      </c>
      <c r="C2853" s="1" t="n">
        <v>45711</v>
      </c>
      <c r="D2853" t="inlineStr">
        <is>
          <t>VÄRMLANDS LÄN</t>
        </is>
      </c>
      <c r="E2853" t="inlineStr">
        <is>
          <t>TORSBY</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51661-2024</t>
        </is>
      </c>
      <c r="B2854" s="1" t="n">
        <v>45606</v>
      </c>
      <c r="C2854" s="1" t="n">
        <v>45711</v>
      </c>
      <c r="D2854" t="inlineStr">
        <is>
          <t>VÄRMLANDS LÄN</t>
        </is>
      </c>
      <c r="E2854" t="inlineStr">
        <is>
          <t>TORSBY</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51662-2024</t>
        </is>
      </c>
      <c r="B2855" s="1" t="n">
        <v>45606</v>
      </c>
      <c r="C2855" s="1" t="n">
        <v>45711</v>
      </c>
      <c r="D2855" t="inlineStr">
        <is>
          <t>VÄRMLANDS LÄN</t>
        </is>
      </c>
      <c r="E2855" t="inlineStr">
        <is>
          <t>TORSBY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51663-2024</t>
        </is>
      </c>
      <c r="B2856" s="1" t="n">
        <v>45606</v>
      </c>
      <c r="C2856" s="1" t="n">
        <v>45711</v>
      </c>
      <c r="D2856" t="inlineStr">
        <is>
          <t>VÄRMLANDS LÄN</t>
        </is>
      </c>
      <c r="E2856" t="inlineStr">
        <is>
          <t>TORSBY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51660-2024</t>
        </is>
      </c>
      <c r="B2857" s="1" t="n">
        <v>45606</v>
      </c>
      <c r="C2857" s="1" t="n">
        <v>45711</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51987-2024</t>
        </is>
      </c>
      <c r="B2858" s="1" t="n">
        <v>45607</v>
      </c>
      <c r="C2858" s="1" t="n">
        <v>45711</v>
      </c>
      <c r="D2858" t="inlineStr">
        <is>
          <t>VÄRMLANDS LÄN</t>
        </is>
      </c>
      <c r="E2858" t="inlineStr">
        <is>
          <t>TORSBY</t>
        </is>
      </c>
      <c r="G2858" t="n">
        <v>17.7</v>
      </c>
      <c r="H2858" t="n">
        <v>0</v>
      </c>
      <c r="I2858" t="n">
        <v>0</v>
      </c>
      <c r="J2858" t="n">
        <v>0</v>
      </c>
      <c r="K2858" t="n">
        <v>0</v>
      </c>
      <c r="L2858" t="n">
        <v>0</v>
      </c>
      <c r="M2858" t="n">
        <v>0</v>
      </c>
      <c r="N2858" t="n">
        <v>0</v>
      </c>
      <c r="O2858" t="n">
        <v>0</v>
      </c>
      <c r="P2858" t="n">
        <v>0</v>
      </c>
      <c r="Q2858" t="n">
        <v>0</v>
      </c>
      <c r="R2858" s="2" t="inlineStr"/>
    </row>
    <row r="2859" ht="15" customHeight="1">
      <c r="A2859" t="inlineStr">
        <is>
          <t>A 51836-2024</t>
        </is>
      </c>
      <c r="B2859" s="1" t="n">
        <v>45607</v>
      </c>
      <c r="C2859" s="1" t="n">
        <v>45711</v>
      </c>
      <c r="D2859" t="inlineStr">
        <is>
          <t>VÄRMLANDS LÄN</t>
        </is>
      </c>
      <c r="E2859" t="inlineStr">
        <is>
          <t>TORSBY</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51823-2024</t>
        </is>
      </c>
      <c r="B2860" s="1" t="n">
        <v>45607</v>
      </c>
      <c r="C2860" s="1" t="n">
        <v>45711</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51785-2024</t>
        </is>
      </c>
      <c r="B2861" s="1" t="n">
        <v>45607</v>
      </c>
      <c r="C2861" s="1" t="n">
        <v>45711</v>
      </c>
      <c r="D2861" t="inlineStr">
        <is>
          <t>VÄRMLANDS LÄN</t>
        </is>
      </c>
      <c r="E2861" t="inlineStr">
        <is>
          <t>TORSBY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52223-2024</t>
        </is>
      </c>
      <c r="B2862" s="1" t="n">
        <v>45608</v>
      </c>
      <c r="C2862" s="1" t="n">
        <v>45711</v>
      </c>
      <c r="D2862" t="inlineStr">
        <is>
          <t>VÄRMLANDS LÄN</t>
        </is>
      </c>
      <c r="E2862" t="inlineStr">
        <is>
          <t>TORSBY</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52239-2024</t>
        </is>
      </c>
      <c r="B2863" s="1" t="n">
        <v>45608</v>
      </c>
      <c r="C2863" s="1" t="n">
        <v>45711</v>
      </c>
      <c r="D2863" t="inlineStr">
        <is>
          <t>VÄRMLANDS LÄN</t>
        </is>
      </c>
      <c r="E2863" t="inlineStr">
        <is>
          <t>TORSBY</t>
        </is>
      </c>
      <c r="F2863" t="inlineStr">
        <is>
          <t>Bergvik skog väst AB</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52257-2024</t>
        </is>
      </c>
      <c r="B2864" s="1" t="n">
        <v>45608</v>
      </c>
      <c r="C2864" s="1" t="n">
        <v>45711</v>
      </c>
      <c r="D2864" t="inlineStr">
        <is>
          <t>VÄRMLANDS LÄN</t>
        </is>
      </c>
      <c r="E2864" t="inlineStr">
        <is>
          <t>TORSBY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52314-2024</t>
        </is>
      </c>
      <c r="B2865" s="1" t="n">
        <v>45608</v>
      </c>
      <c r="C2865" s="1" t="n">
        <v>45711</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52062-2024</t>
        </is>
      </c>
      <c r="B2866" s="1" t="n">
        <v>45608</v>
      </c>
      <c r="C2866" s="1" t="n">
        <v>45711</v>
      </c>
      <c r="D2866" t="inlineStr">
        <is>
          <t>VÄRMLANDS LÄN</t>
        </is>
      </c>
      <c r="E2866" t="inlineStr">
        <is>
          <t>TORSBY</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52262-2024</t>
        </is>
      </c>
      <c r="B2867" s="1" t="n">
        <v>45608</v>
      </c>
      <c r="C2867" s="1" t="n">
        <v>45711</v>
      </c>
      <c r="D2867" t="inlineStr">
        <is>
          <t>VÄRMLANDS LÄN</t>
        </is>
      </c>
      <c r="E2867" t="inlineStr">
        <is>
          <t>TORSBY</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52051-2024</t>
        </is>
      </c>
      <c r="B2868" s="1" t="n">
        <v>45608</v>
      </c>
      <c r="C2868" s="1" t="n">
        <v>45711</v>
      </c>
      <c r="D2868" t="inlineStr">
        <is>
          <t>VÄRMLANDS LÄN</t>
        </is>
      </c>
      <c r="E2868" t="inlineStr">
        <is>
          <t>TORSBY</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52057-2024</t>
        </is>
      </c>
      <c r="B2869" s="1" t="n">
        <v>45608</v>
      </c>
      <c r="C2869" s="1" t="n">
        <v>45711</v>
      </c>
      <c r="D2869" t="inlineStr">
        <is>
          <t>VÄRMLANDS LÄN</t>
        </is>
      </c>
      <c r="E2869" t="inlineStr">
        <is>
          <t>TORSBY</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52334-2024</t>
        </is>
      </c>
      <c r="B2870" s="1" t="n">
        <v>45609</v>
      </c>
      <c r="C2870" s="1" t="n">
        <v>45711</v>
      </c>
      <c r="D2870" t="inlineStr">
        <is>
          <t>VÄRMLANDS LÄN</t>
        </is>
      </c>
      <c r="E2870" t="inlineStr">
        <is>
          <t>TORSBY</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52386-2024</t>
        </is>
      </c>
      <c r="B2871" s="1" t="n">
        <v>45609</v>
      </c>
      <c r="C2871" s="1" t="n">
        <v>45711</v>
      </c>
      <c r="D2871" t="inlineStr">
        <is>
          <t>VÄRMLANDS LÄN</t>
        </is>
      </c>
      <c r="E2871" t="inlineStr">
        <is>
          <t>TORSBY</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52595-2024</t>
        </is>
      </c>
      <c r="B2872" s="1" t="n">
        <v>45609</v>
      </c>
      <c r="C2872" s="1" t="n">
        <v>45711</v>
      </c>
      <c r="D2872" t="inlineStr">
        <is>
          <t>VÄRMLANDS LÄN</t>
        </is>
      </c>
      <c r="E2872" t="inlineStr">
        <is>
          <t>TORSBY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52592-2024</t>
        </is>
      </c>
      <c r="B2873" s="1" t="n">
        <v>45609</v>
      </c>
      <c r="C2873" s="1" t="n">
        <v>45711</v>
      </c>
      <c r="D2873" t="inlineStr">
        <is>
          <t>VÄRMLANDS LÄN</t>
        </is>
      </c>
      <c r="E2873" t="inlineStr">
        <is>
          <t>TORSBY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52581-2024</t>
        </is>
      </c>
      <c r="B2874" s="1" t="n">
        <v>45609</v>
      </c>
      <c r="C2874" s="1" t="n">
        <v>45711</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52669-2024</t>
        </is>
      </c>
      <c r="B2875" s="1" t="n">
        <v>45610</v>
      </c>
      <c r="C2875" s="1" t="n">
        <v>45711</v>
      </c>
      <c r="D2875" t="inlineStr">
        <is>
          <t>VÄRMLANDS LÄN</t>
        </is>
      </c>
      <c r="E2875" t="inlineStr">
        <is>
          <t>TORSBY</t>
        </is>
      </c>
      <c r="F2875" t="inlineStr">
        <is>
          <t>Kyrkan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52676-2024</t>
        </is>
      </c>
      <c r="B2876" s="1" t="n">
        <v>45610</v>
      </c>
      <c r="C2876" s="1" t="n">
        <v>45711</v>
      </c>
      <c r="D2876" t="inlineStr">
        <is>
          <t>VÄRMLANDS LÄN</t>
        </is>
      </c>
      <c r="E2876" t="inlineStr">
        <is>
          <t>TORSBY</t>
        </is>
      </c>
      <c r="F2876" t="inlineStr">
        <is>
          <t>Kyrkan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52689-2024</t>
        </is>
      </c>
      <c r="B2877" s="1" t="n">
        <v>45610</v>
      </c>
      <c r="C2877" s="1" t="n">
        <v>45711</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52801-2024</t>
        </is>
      </c>
      <c r="B2878" s="1" t="n">
        <v>45610</v>
      </c>
      <c r="C2878" s="1" t="n">
        <v>45711</v>
      </c>
      <c r="D2878" t="inlineStr">
        <is>
          <t>VÄRMLANDS LÄN</t>
        </is>
      </c>
      <c r="E2878" t="inlineStr">
        <is>
          <t>TORSBY</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52809-2024</t>
        </is>
      </c>
      <c r="B2879" s="1" t="n">
        <v>45610</v>
      </c>
      <c r="C2879" s="1" t="n">
        <v>45711</v>
      </c>
      <c r="D2879" t="inlineStr">
        <is>
          <t>VÄRMLANDS LÄN</t>
        </is>
      </c>
      <c r="E2879" t="inlineStr">
        <is>
          <t>TORSBY</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52940-2024</t>
        </is>
      </c>
      <c r="B2880" s="1" t="n">
        <v>45610</v>
      </c>
      <c r="C2880" s="1" t="n">
        <v>45711</v>
      </c>
      <c r="D2880" t="inlineStr">
        <is>
          <t>VÄRMLANDS LÄN</t>
        </is>
      </c>
      <c r="E2880" t="inlineStr">
        <is>
          <t>TORSBY</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52956-2024</t>
        </is>
      </c>
      <c r="B2881" s="1" t="n">
        <v>45610</v>
      </c>
      <c r="C2881" s="1" t="n">
        <v>45711</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52949-2024</t>
        </is>
      </c>
      <c r="B2882" s="1" t="n">
        <v>45610</v>
      </c>
      <c r="C2882" s="1" t="n">
        <v>45711</v>
      </c>
      <c r="D2882" t="inlineStr">
        <is>
          <t>VÄRMLANDS LÄN</t>
        </is>
      </c>
      <c r="E2882" t="inlineStr">
        <is>
          <t>TORSBY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52957-2024</t>
        </is>
      </c>
      <c r="B2883" s="1" t="n">
        <v>45610</v>
      </c>
      <c r="C2883" s="1" t="n">
        <v>45711</v>
      </c>
      <c r="D2883" t="inlineStr">
        <is>
          <t>VÄRMLANDS LÄN</t>
        </is>
      </c>
      <c r="E2883" t="inlineStr">
        <is>
          <t>TORSBY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52947-2024</t>
        </is>
      </c>
      <c r="B2884" s="1" t="n">
        <v>45610</v>
      </c>
      <c r="C2884" s="1" t="n">
        <v>45711</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52750-2024</t>
        </is>
      </c>
      <c r="B2885" s="1" t="n">
        <v>45610</v>
      </c>
      <c r="C2885" s="1" t="n">
        <v>45711</v>
      </c>
      <c r="D2885" t="inlineStr">
        <is>
          <t>VÄRMLANDS LÄN</t>
        </is>
      </c>
      <c r="E2885" t="inlineStr">
        <is>
          <t>TORSBY</t>
        </is>
      </c>
      <c r="F2885" t="inlineStr">
        <is>
          <t>Kyrkan</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53035-2024</t>
        </is>
      </c>
      <c r="B2886" s="1" t="n">
        <v>45611</v>
      </c>
      <c r="C2886" s="1" t="n">
        <v>45711</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53146-2024</t>
        </is>
      </c>
      <c r="B2887" s="1" t="n">
        <v>45611</v>
      </c>
      <c r="C2887" s="1" t="n">
        <v>45711</v>
      </c>
      <c r="D2887" t="inlineStr">
        <is>
          <t>VÄRMLANDS LÄN</t>
        </is>
      </c>
      <c r="E2887" t="inlineStr">
        <is>
          <t>TORSBY</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53460-2024</t>
        </is>
      </c>
      <c r="B2888" s="1" t="n">
        <v>45611</v>
      </c>
      <c r="C2888" s="1" t="n">
        <v>45711</v>
      </c>
      <c r="D2888" t="inlineStr">
        <is>
          <t>VÄRMLANDS LÄN</t>
        </is>
      </c>
      <c r="E2888" t="inlineStr">
        <is>
          <t>TORSBY</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53044-2024</t>
        </is>
      </c>
      <c r="B2889" s="1" t="n">
        <v>45611</v>
      </c>
      <c r="C2889" s="1" t="n">
        <v>45711</v>
      </c>
      <c r="D2889" t="inlineStr">
        <is>
          <t>VÄRMLANDS LÄN</t>
        </is>
      </c>
      <c r="E2889" t="inlineStr">
        <is>
          <t>TORSBY</t>
        </is>
      </c>
      <c r="F2889" t="inlineStr">
        <is>
          <t>Kyrkan</t>
        </is>
      </c>
      <c r="G2889" t="n">
        <v>25.8</v>
      </c>
      <c r="H2889" t="n">
        <v>0</v>
      </c>
      <c r="I2889" t="n">
        <v>0</v>
      </c>
      <c r="J2889" t="n">
        <v>0</v>
      </c>
      <c r="K2889" t="n">
        <v>0</v>
      </c>
      <c r="L2889" t="n">
        <v>0</v>
      </c>
      <c r="M2889" t="n">
        <v>0</v>
      </c>
      <c r="N2889" t="n">
        <v>0</v>
      </c>
      <c r="O2889" t="n">
        <v>0</v>
      </c>
      <c r="P2889" t="n">
        <v>0</v>
      </c>
      <c r="Q2889" t="n">
        <v>0</v>
      </c>
      <c r="R2889" s="2" t="inlineStr"/>
    </row>
    <row r="2890" ht="15" customHeight="1">
      <c r="A2890" t="inlineStr">
        <is>
          <t>A 53038-2024</t>
        </is>
      </c>
      <c r="B2890" s="1" t="n">
        <v>45611</v>
      </c>
      <c r="C2890" s="1" t="n">
        <v>45711</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53025-2024</t>
        </is>
      </c>
      <c r="B2891" s="1" t="n">
        <v>45611</v>
      </c>
      <c r="C2891" s="1" t="n">
        <v>45711</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53099-2024</t>
        </is>
      </c>
      <c r="B2892" s="1" t="n">
        <v>45611</v>
      </c>
      <c r="C2892" s="1" t="n">
        <v>45711</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53211-2024</t>
        </is>
      </c>
      <c r="B2893" s="1" t="n">
        <v>45612</v>
      </c>
      <c r="C2893" s="1" t="n">
        <v>45711</v>
      </c>
      <c r="D2893" t="inlineStr">
        <is>
          <t>VÄRMLANDS LÄN</t>
        </is>
      </c>
      <c r="E2893" t="inlineStr">
        <is>
          <t>TORSBY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53331-2024</t>
        </is>
      </c>
      <c r="B2894" s="1" t="n">
        <v>45614</v>
      </c>
      <c r="C2894" s="1" t="n">
        <v>45711</v>
      </c>
      <c r="D2894" t="inlineStr">
        <is>
          <t>VÄRMLANDS LÄN</t>
        </is>
      </c>
      <c r="E2894" t="inlineStr">
        <is>
          <t>TORSBY</t>
        </is>
      </c>
      <c r="F2894" t="inlineStr">
        <is>
          <t>Bergvik skog väst AB</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45711</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45711</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53627-2024</t>
        </is>
      </c>
      <c r="B2897" s="1" t="n">
        <v>45614</v>
      </c>
      <c r="C2897" s="1" t="n">
        <v>45711</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53253-2024</t>
        </is>
      </c>
      <c r="B2898" s="1" t="n">
        <v>45614</v>
      </c>
      <c r="C2898" s="1" t="n">
        <v>45711</v>
      </c>
      <c r="D2898" t="inlineStr">
        <is>
          <t>VÄRMLANDS LÄN</t>
        </is>
      </c>
      <c r="E2898" t="inlineStr">
        <is>
          <t>TORSBY</t>
        </is>
      </c>
      <c r="F2898" t="inlineStr">
        <is>
          <t>Bergvik skog väst AB</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53599-2024</t>
        </is>
      </c>
      <c r="B2899" s="1" t="n">
        <v>45614</v>
      </c>
      <c r="C2899" s="1" t="n">
        <v>45711</v>
      </c>
      <c r="D2899" t="inlineStr">
        <is>
          <t>VÄRMLANDS LÄN</t>
        </is>
      </c>
      <c r="E2899" t="inlineStr">
        <is>
          <t>TORSBY</t>
        </is>
      </c>
      <c r="F2899" t="inlineStr">
        <is>
          <t>Bergvik skog väst AB</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53396-2024</t>
        </is>
      </c>
      <c r="B2900" s="1" t="n">
        <v>45614</v>
      </c>
      <c r="C2900" s="1" t="n">
        <v>45711</v>
      </c>
      <c r="D2900" t="inlineStr">
        <is>
          <t>VÄRMLANDS LÄN</t>
        </is>
      </c>
      <c r="E2900" t="inlineStr">
        <is>
          <t>TORSBY</t>
        </is>
      </c>
      <c r="F2900" t="inlineStr">
        <is>
          <t>Bergvik skog väst AB</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53593-2024</t>
        </is>
      </c>
      <c r="B2901" s="1" t="n">
        <v>45614</v>
      </c>
      <c r="C2901" s="1" t="n">
        <v>45711</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53506-2024</t>
        </is>
      </c>
      <c r="B2902" s="1" t="n">
        <v>45614</v>
      </c>
      <c r="C2902" s="1" t="n">
        <v>45711</v>
      </c>
      <c r="D2902" t="inlineStr">
        <is>
          <t>VÄRMLANDS LÄN</t>
        </is>
      </c>
      <c r="E2902" t="inlineStr">
        <is>
          <t>TORSBY</t>
        </is>
      </c>
      <c r="F2902" t="inlineStr">
        <is>
          <t>Bergvik skog väst AB</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53368-2024</t>
        </is>
      </c>
      <c r="B2903" s="1" t="n">
        <v>45614</v>
      </c>
      <c r="C2903" s="1" t="n">
        <v>45711</v>
      </c>
      <c r="D2903" t="inlineStr">
        <is>
          <t>VÄRMLANDS LÄN</t>
        </is>
      </c>
      <c r="E2903" t="inlineStr">
        <is>
          <t>TORSBY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53358-2024</t>
        </is>
      </c>
      <c r="B2904" s="1" t="n">
        <v>45614</v>
      </c>
      <c r="C2904" s="1" t="n">
        <v>45711</v>
      </c>
      <c r="D2904" t="inlineStr">
        <is>
          <t>VÄRMLANDS LÄN</t>
        </is>
      </c>
      <c r="E2904" t="inlineStr">
        <is>
          <t>TORSBY</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53297-2024</t>
        </is>
      </c>
      <c r="B2905" s="1" t="n">
        <v>45614</v>
      </c>
      <c r="C2905" s="1" t="n">
        <v>45711</v>
      </c>
      <c r="D2905" t="inlineStr">
        <is>
          <t>VÄRMLANDS LÄN</t>
        </is>
      </c>
      <c r="E2905" t="inlineStr">
        <is>
          <t>TORSBY</t>
        </is>
      </c>
      <c r="F2905" t="inlineStr">
        <is>
          <t>Bergvik skog väst AB</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53744-2024</t>
        </is>
      </c>
      <c r="B2906" s="1" t="n">
        <v>45615</v>
      </c>
      <c r="C2906" s="1" t="n">
        <v>45711</v>
      </c>
      <c r="D2906" t="inlineStr">
        <is>
          <t>VÄRMLANDS LÄN</t>
        </is>
      </c>
      <c r="E2906" t="inlineStr">
        <is>
          <t>TORSBY</t>
        </is>
      </c>
      <c r="G2906" t="n">
        <v>16.9</v>
      </c>
      <c r="H2906" t="n">
        <v>0</v>
      </c>
      <c r="I2906" t="n">
        <v>0</v>
      </c>
      <c r="J2906" t="n">
        <v>0</v>
      </c>
      <c r="K2906" t="n">
        <v>0</v>
      </c>
      <c r="L2906" t="n">
        <v>0</v>
      </c>
      <c r="M2906" t="n">
        <v>0</v>
      </c>
      <c r="N2906" t="n">
        <v>0</v>
      </c>
      <c r="O2906" t="n">
        <v>0</v>
      </c>
      <c r="P2906" t="n">
        <v>0</v>
      </c>
      <c r="Q2906" t="n">
        <v>0</v>
      </c>
      <c r="R2906" s="2" t="inlineStr"/>
    </row>
    <row r="2907" ht="15" customHeight="1">
      <c r="A2907" t="inlineStr">
        <is>
          <t>A 53748-2024</t>
        </is>
      </c>
      <c r="B2907" s="1" t="n">
        <v>45615</v>
      </c>
      <c r="C2907" s="1" t="n">
        <v>45711</v>
      </c>
      <c r="D2907" t="inlineStr">
        <is>
          <t>VÄRMLANDS LÄN</t>
        </is>
      </c>
      <c r="E2907" t="inlineStr">
        <is>
          <t>TORSBY</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53667-2024</t>
        </is>
      </c>
      <c r="B2908" s="1" t="n">
        <v>45615</v>
      </c>
      <c r="C2908" s="1" t="n">
        <v>45711</v>
      </c>
      <c r="D2908" t="inlineStr">
        <is>
          <t>VÄRMLANDS LÄN</t>
        </is>
      </c>
      <c r="E2908" t="inlineStr">
        <is>
          <t>TORSBY</t>
        </is>
      </c>
      <c r="F2908" t="inlineStr">
        <is>
          <t>Bergvik skog väst AB</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54023-2024</t>
        </is>
      </c>
      <c r="B2909" s="1" t="n">
        <v>45616</v>
      </c>
      <c r="C2909" s="1" t="n">
        <v>45711</v>
      </c>
      <c r="D2909" t="inlineStr">
        <is>
          <t>VÄRMLANDS LÄN</t>
        </is>
      </c>
      <c r="E2909" t="inlineStr">
        <is>
          <t>TORSBY</t>
        </is>
      </c>
      <c r="F2909" t="inlineStr">
        <is>
          <t>Kommuner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54266-2024</t>
        </is>
      </c>
      <c r="B2910" s="1" t="n">
        <v>45616</v>
      </c>
      <c r="C2910" s="1" t="n">
        <v>45711</v>
      </c>
      <c r="D2910" t="inlineStr">
        <is>
          <t>VÄRMLANDS LÄN</t>
        </is>
      </c>
      <c r="E2910" t="inlineStr">
        <is>
          <t>TORSBY</t>
        </is>
      </c>
      <c r="F2910" t="inlineStr">
        <is>
          <t>Kommuner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54004-2024</t>
        </is>
      </c>
      <c r="B2911" s="1" t="n">
        <v>45616</v>
      </c>
      <c r="C2911" s="1" t="n">
        <v>45711</v>
      </c>
      <c r="D2911" t="inlineStr">
        <is>
          <t>VÄRMLANDS LÄN</t>
        </is>
      </c>
      <c r="E2911" t="inlineStr">
        <is>
          <t>TORSBY</t>
        </is>
      </c>
      <c r="F2911" t="inlineStr">
        <is>
          <t>Kommuner</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54011-2024</t>
        </is>
      </c>
      <c r="B2912" s="1" t="n">
        <v>45616</v>
      </c>
      <c r="C2912" s="1" t="n">
        <v>45711</v>
      </c>
      <c r="D2912" t="inlineStr">
        <is>
          <t>VÄRMLANDS LÄN</t>
        </is>
      </c>
      <c r="E2912" t="inlineStr">
        <is>
          <t>TORSBY</t>
        </is>
      </c>
      <c r="F2912" t="inlineStr">
        <is>
          <t>Kommuner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54026-2024</t>
        </is>
      </c>
      <c r="B2913" s="1" t="n">
        <v>45616</v>
      </c>
      <c r="C2913" s="1" t="n">
        <v>45711</v>
      </c>
      <c r="D2913" t="inlineStr">
        <is>
          <t>VÄRMLANDS LÄN</t>
        </is>
      </c>
      <c r="E2913" t="inlineStr">
        <is>
          <t>TORSBY</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54265-2024</t>
        </is>
      </c>
      <c r="B2914" s="1" t="n">
        <v>45616</v>
      </c>
      <c r="C2914" s="1" t="n">
        <v>45711</v>
      </c>
      <c r="D2914" t="inlineStr">
        <is>
          <t>VÄRMLANDS LÄN</t>
        </is>
      </c>
      <c r="E2914" t="inlineStr">
        <is>
          <t>TORSBY</t>
        </is>
      </c>
      <c r="F2914" t="inlineStr">
        <is>
          <t>Kommuner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54006-2024</t>
        </is>
      </c>
      <c r="B2915" s="1" t="n">
        <v>45616</v>
      </c>
      <c r="C2915" s="1" t="n">
        <v>45711</v>
      </c>
      <c r="D2915" t="inlineStr">
        <is>
          <t>VÄRMLANDS LÄN</t>
        </is>
      </c>
      <c r="E2915" t="inlineStr">
        <is>
          <t>TORSBY</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54014-2024</t>
        </is>
      </c>
      <c r="B2916" s="1" t="n">
        <v>45616</v>
      </c>
      <c r="C2916" s="1" t="n">
        <v>45711</v>
      </c>
      <c r="D2916" t="inlineStr">
        <is>
          <t>VÄRMLANDS LÄN</t>
        </is>
      </c>
      <c r="E2916" t="inlineStr">
        <is>
          <t>TORSBY</t>
        </is>
      </c>
      <c r="F2916" t="inlineStr">
        <is>
          <t>Kommuner</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54027-2024</t>
        </is>
      </c>
      <c r="B2917" s="1" t="n">
        <v>45616</v>
      </c>
      <c r="C2917" s="1" t="n">
        <v>45711</v>
      </c>
      <c r="D2917" t="inlineStr">
        <is>
          <t>VÄRMLANDS LÄN</t>
        </is>
      </c>
      <c r="E2917" t="inlineStr">
        <is>
          <t>TORSBY</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54328-2024</t>
        </is>
      </c>
      <c r="B2918" s="1" t="n">
        <v>45617</v>
      </c>
      <c r="C2918" s="1" t="n">
        <v>45711</v>
      </c>
      <c r="D2918" t="inlineStr">
        <is>
          <t>VÄRMLANDS LÄN</t>
        </is>
      </c>
      <c r="E2918" t="inlineStr">
        <is>
          <t>TORSBY</t>
        </is>
      </c>
      <c r="F2918" t="inlineStr">
        <is>
          <t>Bergvik skog väst AB</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54306-2024</t>
        </is>
      </c>
      <c r="B2919" s="1" t="n">
        <v>45617</v>
      </c>
      <c r="C2919" s="1" t="n">
        <v>45711</v>
      </c>
      <c r="D2919" t="inlineStr">
        <is>
          <t>VÄRMLANDS LÄN</t>
        </is>
      </c>
      <c r="E2919" t="inlineStr">
        <is>
          <t>TORSBY</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54374-2024</t>
        </is>
      </c>
      <c r="B2920" s="1" t="n">
        <v>45617</v>
      </c>
      <c r="C2920" s="1" t="n">
        <v>45711</v>
      </c>
      <c r="D2920" t="inlineStr">
        <is>
          <t>VÄRMLANDS LÄN</t>
        </is>
      </c>
      <c r="E2920" t="inlineStr">
        <is>
          <t>TORSBY</t>
        </is>
      </c>
      <c r="F2920" t="inlineStr">
        <is>
          <t>Bergvik skog väst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54618-2024</t>
        </is>
      </c>
      <c r="B2921" s="1" t="n">
        <v>45617</v>
      </c>
      <c r="C2921" s="1" t="n">
        <v>45711</v>
      </c>
      <c r="D2921" t="inlineStr">
        <is>
          <t>VÄRMLANDS LÄN</t>
        </is>
      </c>
      <c r="E2921" t="inlineStr">
        <is>
          <t>TORSBY</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54646-2024</t>
        </is>
      </c>
      <c r="B2922" s="1" t="n">
        <v>45617</v>
      </c>
      <c r="C2922" s="1" t="n">
        <v>45711</v>
      </c>
      <c r="D2922" t="inlineStr">
        <is>
          <t>VÄRMLANDS LÄN</t>
        </is>
      </c>
      <c r="E2922" t="inlineStr">
        <is>
          <t>TORSBY</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54489-2024</t>
        </is>
      </c>
      <c r="B2923" s="1" t="n">
        <v>45617</v>
      </c>
      <c r="C2923" s="1" t="n">
        <v>45711</v>
      </c>
      <c r="D2923" t="inlineStr">
        <is>
          <t>VÄRMLANDS LÄN</t>
        </is>
      </c>
      <c r="E2923" t="inlineStr">
        <is>
          <t>TORSBY</t>
        </is>
      </c>
      <c r="F2923" t="inlineStr">
        <is>
          <t>Bergvik skog väst AB</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54609-2024</t>
        </is>
      </c>
      <c r="B2924" s="1" t="n">
        <v>45617</v>
      </c>
      <c r="C2924" s="1" t="n">
        <v>45711</v>
      </c>
      <c r="D2924" t="inlineStr">
        <is>
          <t>VÄRMLANDS LÄN</t>
        </is>
      </c>
      <c r="E2924" t="inlineStr">
        <is>
          <t>TORSBY</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54891-2024</t>
        </is>
      </c>
      <c r="B2925" s="1" t="n">
        <v>45618</v>
      </c>
      <c r="C2925" s="1" t="n">
        <v>45711</v>
      </c>
      <c r="D2925" t="inlineStr">
        <is>
          <t>VÄRMLANDS LÄN</t>
        </is>
      </c>
      <c r="E2925" t="inlineStr">
        <is>
          <t>TORSBY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54796-2024</t>
        </is>
      </c>
      <c r="B2926" s="1" t="n">
        <v>45618</v>
      </c>
      <c r="C2926" s="1" t="n">
        <v>45711</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54813-2024</t>
        </is>
      </c>
      <c r="B2927" s="1" t="n">
        <v>45618</v>
      </c>
      <c r="C2927" s="1" t="n">
        <v>45711</v>
      </c>
      <c r="D2927" t="inlineStr">
        <is>
          <t>VÄRMLANDS LÄN</t>
        </is>
      </c>
      <c r="E2927" t="inlineStr">
        <is>
          <t>TORSBY</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54790-2024</t>
        </is>
      </c>
      <c r="B2928" s="1" t="n">
        <v>45618</v>
      </c>
      <c r="C2928" s="1" t="n">
        <v>45711</v>
      </c>
      <c r="D2928" t="inlineStr">
        <is>
          <t>VÄRMLANDS LÄN</t>
        </is>
      </c>
      <c r="E2928" t="inlineStr">
        <is>
          <t>TORSBY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54664-2024</t>
        </is>
      </c>
      <c r="B2929" s="1" t="n">
        <v>45618</v>
      </c>
      <c r="C2929" s="1" t="n">
        <v>45711</v>
      </c>
      <c r="D2929" t="inlineStr">
        <is>
          <t>VÄRMLANDS LÄN</t>
        </is>
      </c>
      <c r="E2929" t="inlineStr">
        <is>
          <t>TORSBY</t>
        </is>
      </c>
      <c r="F2929" t="inlineStr">
        <is>
          <t>Bergvik skog väst AB</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55072-2024</t>
        </is>
      </c>
      <c r="B2930" s="1" t="n">
        <v>45621</v>
      </c>
      <c r="C2930" s="1" t="n">
        <v>45711</v>
      </c>
      <c r="D2930" t="inlineStr">
        <is>
          <t>VÄRMLANDS LÄN</t>
        </is>
      </c>
      <c r="E2930" t="inlineStr">
        <is>
          <t>TORSBY</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55036-2024</t>
        </is>
      </c>
      <c r="B2931" s="1" t="n">
        <v>45621</v>
      </c>
      <c r="C2931" s="1" t="n">
        <v>45711</v>
      </c>
      <c r="D2931" t="inlineStr">
        <is>
          <t>VÄRMLANDS LÄN</t>
        </is>
      </c>
      <c r="E2931" t="inlineStr">
        <is>
          <t>TORSBY</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55386-2024</t>
        </is>
      </c>
      <c r="B2932" s="1" t="n">
        <v>45622</v>
      </c>
      <c r="C2932" s="1" t="n">
        <v>45711</v>
      </c>
      <c r="D2932" t="inlineStr">
        <is>
          <t>VÄRMLANDS LÄN</t>
        </is>
      </c>
      <c r="E2932" t="inlineStr">
        <is>
          <t>TORSBY</t>
        </is>
      </c>
      <c r="F2932" t="inlineStr">
        <is>
          <t>Bergvik skog väst AB</t>
        </is>
      </c>
      <c r="G2932" t="n">
        <v>20.1</v>
      </c>
      <c r="H2932" t="n">
        <v>0</v>
      </c>
      <c r="I2932" t="n">
        <v>0</v>
      </c>
      <c r="J2932" t="n">
        <v>0</v>
      </c>
      <c r="K2932" t="n">
        <v>0</v>
      </c>
      <c r="L2932" t="n">
        <v>0</v>
      </c>
      <c r="M2932" t="n">
        <v>0</v>
      </c>
      <c r="N2932" t="n">
        <v>0</v>
      </c>
      <c r="O2932" t="n">
        <v>0</v>
      </c>
      <c r="P2932" t="n">
        <v>0</v>
      </c>
      <c r="Q2932" t="n">
        <v>0</v>
      </c>
      <c r="R2932" s="2" t="inlineStr"/>
    </row>
    <row r="2933" ht="15" customHeight="1">
      <c r="A2933" t="inlineStr">
        <is>
          <t>A 55546-2024</t>
        </is>
      </c>
      <c r="B2933" s="1" t="n">
        <v>45622</v>
      </c>
      <c r="C2933" s="1" t="n">
        <v>45711</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55430-2024</t>
        </is>
      </c>
      <c r="B2934" s="1" t="n">
        <v>45622</v>
      </c>
      <c r="C2934" s="1" t="n">
        <v>45711</v>
      </c>
      <c r="D2934" t="inlineStr">
        <is>
          <t>VÄRMLANDS LÄN</t>
        </is>
      </c>
      <c r="E2934" t="inlineStr">
        <is>
          <t>TORSBY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55543-2024</t>
        </is>
      </c>
      <c r="B2935" s="1" t="n">
        <v>45622</v>
      </c>
      <c r="C2935" s="1" t="n">
        <v>45711</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55808-2024</t>
        </is>
      </c>
      <c r="B2936" s="1" t="n">
        <v>45622</v>
      </c>
      <c r="C2936" s="1" t="n">
        <v>45711</v>
      </c>
      <c r="D2936" t="inlineStr">
        <is>
          <t>VÄRMLANDS LÄN</t>
        </is>
      </c>
      <c r="E2936" t="inlineStr">
        <is>
          <t>TORSBY</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55750-2024</t>
        </is>
      </c>
      <c r="B2937" s="1" t="n">
        <v>45623</v>
      </c>
      <c r="C2937" s="1" t="n">
        <v>45711</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55814-2024</t>
        </is>
      </c>
      <c r="B2938" s="1" t="n">
        <v>45623</v>
      </c>
      <c r="C2938" s="1" t="n">
        <v>45711</v>
      </c>
      <c r="D2938" t="inlineStr">
        <is>
          <t>VÄRMLANDS LÄN</t>
        </is>
      </c>
      <c r="E2938" t="inlineStr">
        <is>
          <t>TORSBY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55836-2024</t>
        </is>
      </c>
      <c r="B2939" s="1" t="n">
        <v>45623</v>
      </c>
      <c r="C2939" s="1" t="n">
        <v>45711</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55845-2024</t>
        </is>
      </c>
      <c r="B2940" s="1" t="n">
        <v>45623</v>
      </c>
      <c r="C2940" s="1" t="n">
        <v>45711</v>
      </c>
      <c r="D2940" t="inlineStr">
        <is>
          <t>VÄRMLANDS LÄN</t>
        </is>
      </c>
      <c r="E2940" t="inlineStr">
        <is>
          <t>TORSBY</t>
        </is>
      </c>
      <c r="F2940" t="inlineStr">
        <is>
          <t>Kommuner</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55837-2024</t>
        </is>
      </c>
      <c r="B2941" s="1" t="n">
        <v>45623</v>
      </c>
      <c r="C2941" s="1" t="n">
        <v>45711</v>
      </c>
      <c r="D2941" t="inlineStr">
        <is>
          <t>VÄRMLANDS LÄN</t>
        </is>
      </c>
      <c r="E2941" t="inlineStr">
        <is>
          <t>TORSBY</t>
        </is>
      </c>
      <c r="F2941" t="inlineStr">
        <is>
          <t>Kommuner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55842-2024</t>
        </is>
      </c>
      <c r="B2942" s="1" t="n">
        <v>45623</v>
      </c>
      <c r="C2942" s="1" t="n">
        <v>45711</v>
      </c>
      <c r="D2942" t="inlineStr">
        <is>
          <t>VÄRMLANDS LÄN</t>
        </is>
      </c>
      <c r="E2942" t="inlineStr">
        <is>
          <t>TORSBY</t>
        </is>
      </c>
      <c r="F2942" t="inlineStr">
        <is>
          <t>Kommuner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55834-2024</t>
        </is>
      </c>
      <c r="B2943" s="1" t="n">
        <v>45623</v>
      </c>
      <c r="C2943" s="1" t="n">
        <v>45711</v>
      </c>
      <c r="D2943" t="inlineStr">
        <is>
          <t>VÄRMLANDS LÄN</t>
        </is>
      </c>
      <c r="E2943" t="inlineStr">
        <is>
          <t>TORSBY</t>
        </is>
      </c>
      <c r="F2943" t="inlineStr">
        <is>
          <t>Kommuner</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55839-2024</t>
        </is>
      </c>
      <c r="B2944" s="1" t="n">
        <v>45623</v>
      </c>
      <c r="C2944" s="1" t="n">
        <v>45711</v>
      </c>
      <c r="D2944" t="inlineStr">
        <is>
          <t>VÄRMLANDS LÄN</t>
        </is>
      </c>
      <c r="E2944" t="inlineStr">
        <is>
          <t>TORSBY</t>
        </is>
      </c>
      <c r="F2944" t="inlineStr">
        <is>
          <t>Kommuner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55987-2024</t>
        </is>
      </c>
      <c r="B2945" s="1" t="n">
        <v>45623</v>
      </c>
      <c r="C2945" s="1" t="n">
        <v>45711</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56101-2024</t>
        </is>
      </c>
      <c r="B2946" s="1" t="n">
        <v>45624</v>
      </c>
      <c r="C2946" s="1" t="n">
        <v>45711</v>
      </c>
      <c r="D2946" t="inlineStr">
        <is>
          <t>VÄRMLANDS LÄN</t>
        </is>
      </c>
      <c r="E2946" t="inlineStr">
        <is>
          <t>TORSBY</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56240-2024</t>
        </is>
      </c>
      <c r="B2947" s="1" t="n">
        <v>45624</v>
      </c>
      <c r="C2947" s="1" t="n">
        <v>45711</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56107-2024</t>
        </is>
      </c>
      <c r="B2948" s="1" t="n">
        <v>45624</v>
      </c>
      <c r="C2948" s="1" t="n">
        <v>45711</v>
      </c>
      <c r="D2948" t="inlineStr">
        <is>
          <t>VÄRMLANDS LÄN</t>
        </is>
      </c>
      <c r="E2948" t="inlineStr">
        <is>
          <t>TORSBY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56056-2024</t>
        </is>
      </c>
      <c r="B2949" s="1" t="n">
        <v>45624</v>
      </c>
      <c r="C2949" s="1" t="n">
        <v>45711</v>
      </c>
      <c r="D2949" t="inlineStr">
        <is>
          <t>VÄRMLANDS LÄN</t>
        </is>
      </c>
      <c r="E2949" t="inlineStr">
        <is>
          <t>TORSBY</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56098-2024</t>
        </is>
      </c>
      <c r="B2950" s="1" t="n">
        <v>45624</v>
      </c>
      <c r="C2950" s="1" t="n">
        <v>45711</v>
      </c>
      <c r="D2950" t="inlineStr">
        <is>
          <t>VÄRMLANDS LÄN</t>
        </is>
      </c>
      <c r="E2950" t="inlineStr">
        <is>
          <t>TORSBY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56430-2024</t>
        </is>
      </c>
      <c r="B2951" s="1" t="n">
        <v>45625</v>
      </c>
      <c r="C2951" s="1" t="n">
        <v>45711</v>
      </c>
      <c r="D2951" t="inlineStr">
        <is>
          <t>VÄRMLANDS LÄN</t>
        </is>
      </c>
      <c r="E2951" t="inlineStr">
        <is>
          <t>TORSBY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56509-2024</t>
        </is>
      </c>
      <c r="B2952" s="1" t="n">
        <v>45625</v>
      </c>
      <c r="C2952" s="1" t="n">
        <v>45711</v>
      </c>
      <c r="D2952" t="inlineStr">
        <is>
          <t>VÄRMLANDS LÄN</t>
        </is>
      </c>
      <c r="E2952" t="inlineStr">
        <is>
          <t>TORSBY</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56534-2024</t>
        </is>
      </c>
      <c r="B2953" s="1" t="n">
        <v>45625</v>
      </c>
      <c r="C2953" s="1" t="n">
        <v>45711</v>
      </c>
      <c r="D2953" t="inlineStr">
        <is>
          <t>VÄRMLANDS LÄN</t>
        </is>
      </c>
      <c r="E2953" t="inlineStr">
        <is>
          <t>TORSBY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56635-2024</t>
        </is>
      </c>
      <c r="B2954" s="1" t="n">
        <v>45625</v>
      </c>
      <c r="C2954" s="1" t="n">
        <v>45711</v>
      </c>
      <c r="D2954" t="inlineStr">
        <is>
          <t>VÄRMLANDS LÄN</t>
        </is>
      </c>
      <c r="E2954" t="inlineStr">
        <is>
          <t>TORSBY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56571-2024</t>
        </is>
      </c>
      <c r="B2955" s="1" t="n">
        <v>45625</v>
      </c>
      <c r="C2955" s="1" t="n">
        <v>45711</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56611-2024</t>
        </is>
      </c>
      <c r="B2956" s="1" t="n">
        <v>45625</v>
      </c>
      <c r="C2956" s="1" t="n">
        <v>45711</v>
      </c>
      <c r="D2956" t="inlineStr">
        <is>
          <t>VÄRMLANDS LÄN</t>
        </is>
      </c>
      <c r="E2956" t="inlineStr">
        <is>
          <t>TORSBY</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56630-2024</t>
        </is>
      </c>
      <c r="B2957" s="1" t="n">
        <v>45625</v>
      </c>
      <c r="C2957" s="1" t="n">
        <v>45711</v>
      </c>
      <c r="D2957" t="inlineStr">
        <is>
          <t>VÄRMLANDS LÄN</t>
        </is>
      </c>
      <c r="E2957" t="inlineStr">
        <is>
          <t>TORSBY</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56634-2024</t>
        </is>
      </c>
      <c r="B2958" s="1" t="n">
        <v>45625</v>
      </c>
      <c r="C2958" s="1" t="n">
        <v>45711</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56808-2024</t>
        </is>
      </c>
      <c r="B2959" s="1" t="n">
        <v>45628</v>
      </c>
      <c r="C2959" s="1" t="n">
        <v>45711</v>
      </c>
      <c r="D2959" t="inlineStr">
        <is>
          <t>VÄRMLANDS LÄN</t>
        </is>
      </c>
      <c r="E2959" t="inlineStr">
        <is>
          <t>TORSBY</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57329-2024</t>
        </is>
      </c>
      <c r="B2960" s="1" t="n">
        <v>45629</v>
      </c>
      <c r="C2960" s="1" t="n">
        <v>45711</v>
      </c>
      <c r="D2960" t="inlineStr">
        <is>
          <t>VÄRMLANDS LÄN</t>
        </is>
      </c>
      <c r="E2960" t="inlineStr">
        <is>
          <t>TORSBY</t>
        </is>
      </c>
      <c r="F2960" t="inlineStr">
        <is>
          <t>Kyrkan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57190-2024</t>
        </is>
      </c>
      <c r="B2961" s="1" t="n">
        <v>45629</v>
      </c>
      <c r="C2961" s="1" t="n">
        <v>45711</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57469-2024</t>
        </is>
      </c>
      <c r="B2962" s="1" t="n">
        <v>45630</v>
      </c>
      <c r="C2962" s="1" t="n">
        <v>45711</v>
      </c>
      <c r="D2962" t="inlineStr">
        <is>
          <t>VÄRMLANDS LÄN</t>
        </is>
      </c>
      <c r="E2962" t="inlineStr">
        <is>
          <t>TORSBY</t>
        </is>
      </c>
      <c r="F2962" t="inlineStr">
        <is>
          <t>Bergvik skog väst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57481-2024</t>
        </is>
      </c>
      <c r="B2963" s="1" t="n">
        <v>45630</v>
      </c>
      <c r="C2963" s="1" t="n">
        <v>45711</v>
      </c>
      <c r="D2963" t="inlineStr">
        <is>
          <t>VÄRMLANDS LÄN</t>
        </is>
      </c>
      <c r="E2963" t="inlineStr">
        <is>
          <t>TORSBY</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57502-2024</t>
        </is>
      </c>
      <c r="B2964" s="1" t="n">
        <v>45630</v>
      </c>
      <c r="C2964" s="1" t="n">
        <v>45711</v>
      </c>
      <c r="D2964" t="inlineStr">
        <is>
          <t>VÄRMLANDS LÄN</t>
        </is>
      </c>
      <c r="E2964" t="inlineStr">
        <is>
          <t>TORSBY</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57532-2024</t>
        </is>
      </c>
      <c r="B2965" s="1" t="n">
        <v>45630</v>
      </c>
      <c r="C2965" s="1" t="n">
        <v>45711</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57536-2024</t>
        </is>
      </c>
      <c r="B2966" s="1" t="n">
        <v>45630</v>
      </c>
      <c r="C2966" s="1" t="n">
        <v>45711</v>
      </c>
      <c r="D2966" t="inlineStr">
        <is>
          <t>VÄRMLANDS LÄN</t>
        </is>
      </c>
      <c r="E2966" t="inlineStr">
        <is>
          <t>TORSBY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45711</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57662-2024</t>
        </is>
      </c>
      <c r="B2968" s="1" t="n">
        <v>45630</v>
      </c>
      <c r="C2968" s="1" t="n">
        <v>45711</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57709-2024</t>
        </is>
      </c>
      <c r="B2969" s="1" t="n">
        <v>45630</v>
      </c>
      <c r="C2969" s="1" t="n">
        <v>45711</v>
      </c>
      <c r="D2969" t="inlineStr">
        <is>
          <t>VÄRMLANDS LÄN</t>
        </is>
      </c>
      <c r="E2969" t="inlineStr">
        <is>
          <t>TORSBY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57725-2024</t>
        </is>
      </c>
      <c r="B2970" s="1" t="n">
        <v>45630</v>
      </c>
      <c r="C2970" s="1" t="n">
        <v>45711</v>
      </c>
      <c r="D2970" t="inlineStr">
        <is>
          <t>VÄRMLANDS LÄN</t>
        </is>
      </c>
      <c r="E2970" t="inlineStr">
        <is>
          <t>TORSBY</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57545-2024</t>
        </is>
      </c>
      <c r="B2971" s="1" t="n">
        <v>45630</v>
      </c>
      <c r="C2971" s="1" t="n">
        <v>45711</v>
      </c>
      <c r="D2971" t="inlineStr">
        <is>
          <t>VÄRMLANDS LÄN</t>
        </is>
      </c>
      <c r="E2971" t="inlineStr">
        <is>
          <t>TORSBY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57723-2024</t>
        </is>
      </c>
      <c r="B2972" s="1" t="n">
        <v>45630</v>
      </c>
      <c r="C2972" s="1" t="n">
        <v>45711</v>
      </c>
      <c r="D2972" t="inlineStr">
        <is>
          <t>VÄRMLANDS LÄN</t>
        </is>
      </c>
      <c r="E2972" t="inlineStr">
        <is>
          <t>TORSBY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57774-2024</t>
        </is>
      </c>
      <c r="B2973" s="1" t="n">
        <v>45630</v>
      </c>
      <c r="C2973" s="1" t="n">
        <v>45711</v>
      </c>
      <c r="D2973" t="inlineStr">
        <is>
          <t>VÄRMLANDS LÄN</t>
        </is>
      </c>
      <c r="E2973" t="inlineStr">
        <is>
          <t>TORSBY</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57785-2024</t>
        </is>
      </c>
      <c r="B2974" s="1" t="n">
        <v>45631</v>
      </c>
      <c r="C2974" s="1" t="n">
        <v>45711</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57809-2024</t>
        </is>
      </c>
      <c r="B2975" s="1" t="n">
        <v>45631</v>
      </c>
      <c r="C2975" s="1" t="n">
        <v>45711</v>
      </c>
      <c r="D2975" t="inlineStr">
        <is>
          <t>VÄRMLANDS LÄN</t>
        </is>
      </c>
      <c r="E2975" t="inlineStr">
        <is>
          <t>TORSBY</t>
        </is>
      </c>
      <c r="F2975" t="inlineStr">
        <is>
          <t>Bergvik skog väst AB</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58033-2024</t>
        </is>
      </c>
      <c r="B2976" s="1" t="n">
        <v>45631</v>
      </c>
      <c r="C2976" s="1" t="n">
        <v>45711</v>
      </c>
      <c r="D2976" t="inlineStr">
        <is>
          <t>VÄRMLANDS LÄN</t>
        </is>
      </c>
      <c r="E2976" t="inlineStr">
        <is>
          <t>TORSBY</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58023-2024</t>
        </is>
      </c>
      <c r="B2977" s="1" t="n">
        <v>45631</v>
      </c>
      <c r="C2977" s="1" t="n">
        <v>45711</v>
      </c>
      <c r="D2977" t="inlineStr">
        <is>
          <t>VÄRMLANDS LÄN</t>
        </is>
      </c>
      <c r="E2977" t="inlineStr">
        <is>
          <t>TORSBY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58051-2024</t>
        </is>
      </c>
      <c r="B2978" s="1" t="n">
        <v>45631</v>
      </c>
      <c r="C2978" s="1" t="n">
        <v>45711</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58134-2024</t>
        </is>
      </c>
      <c r="B2979" s="1" t="n">
        <v>45632</v>
      </c>
      <c r="C2979" s="1" t="n">
        <v>45711</v>
      </c>
      <c r="D2979" t="inlineStr">
        <is>
          <t>VÄRMLANDS LÄN</t>
        </is>
      </c>
      <c r="E2979" t="inlineStr">
        <is>
          <t>TORSBY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58304-2024</t>
        </is>
      </c>
      <c r="B2980" s="1" t="n">
        <v>45632</v>
      </c>
      <c r="C2980" s="1" t="n">
        <v>45711</v>
      </c>
      <c r="D2980" t="inlineStr">
        <is>
          <t>VÄRMLANDS LÄN</t>
        </is>
      </c>
      <c r="E2980" t="inlineStr">
        <is>
          <t>TORSBY</t>
        </is>
      </c>
      <c r="F2980" t="inlineStr">
        <is>
          <t>Bergvik skog väst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58255-2024</t>
        </is>
      </c>
      <c r="B2981" s="1" t="n">
        <v>45632</v>
      </c>
      <c r="C2981" s="1" t="n">
        <v>45711</v>
      </c>
      <c r="D2981" t="inlineStr">
        <is>
          <t>VÄRMLANDS LÄN</t>
        </is>
      </c>
      <c r="E2981" t="inlineStr">
        <is>
          <t>TORSBY</t>
        </is>
      </c>
      <c r="F2981" t="inlineStr">
        <is>
          <t>Bergvik skog väst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58259-2024</t>
        </is>
      </c>
      <c r="B2982" s="1" t="n">
        <v>45632</v>
      </c>
      <c r="C2982" s="1" t="n">
        <v>45711</v>
      </c>
      <c r="D2982" t="inlineStr">
        <is>
          <t>VÄRMLANDS LÄN</t>
        </is>
      </c>
      <c r="E2982" t="inlineStr">
        <is>
          <t>TORSBY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58288-2024</t>
        </is>
      </c>
      <c r="B2983" s="1" t="n">
        <v>45632</v>
      </c>
      <c r="C2983" s="1" t="n">
        <v>45711</v>
      </c>
      <c r="D2983" t="inlineStr">
        <is>
          <t>VÄRMLANDS LÄN</t>
        </is>
      </c>
      <c r="E2983" t="inlineStr">
        <is>
          <t>TORSBY</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58707-2024</t>
        </is>
      </c>
      <c r="B2984" s="1" t="n">
        <v>45635</v>
      </c>
      <c r="C2984" s="1" t="n">
        <v>45711</v>
      </c>
      <c r="D2984" t="inlineStr">
        <is>
          <t>VÄRMLANDS LÄN</t>
        </is>
      </c>
      <c r="E2984" t="inlineStr">
        <is>
          <t>TORSBY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58786-2024</t>
        </is>
      </c>
      <c r="B2985" s="1" t="n">
        <v>45635</v>
      </c>
      <c r="C2985" s="1" t="n">
        <v>45711</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58976-2024</t>
        </is>
      </c>
      <c r="B2986" s="1" t="n">
        <v>45636</v>
      </c>
      <c r="C2986" s="1" t="n">
        <v>45711</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58948-2024</t>
        </is>
      </c>
      <c r="B2987" s="1" t="n">
        <v>45636</v>
      </c>
      <c r="C2987" s="1" t="n">
        <v>45711</v>
      </c>
      <c r="D2987" t="inlineStr">
        <is>
          <t>VÄRMLANDS LÄN</t>
        </is>
      </c>
      <c r="E2987" t="inlineStr">
        <is>
          <t>TORSBY</t>
        </is>
      </c>
      <c r="F2987" t="inlineStr">
        <is>
          <t>Bergvik skog väst AB</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59005-2024</t>
        </is>
      </c>
      <c r="B2988" s="1" t="n">
        <v>45636</v>
      </c>
      <c r="C2988" s="1" t="n">
        <v>45711</v>
      </c>
      <c r="D2988" t="inlineStr">
        <is>
          <t>VÄRMLANDS LÄN</t>
        </is>
      </c>
      <c r="E2988" t="inlineStr">
        <is>
          <t>TORSBY</t>
        </is>
      </c>
      <c r="G2988" t="n">
        <v>9.6</v>
      </c>
      <c r="H2988" t="n">
        <v>0</v>
      </c>
      <c r="I2988" t="n">
        <v>0</v>
      </c>
      <c r="J2988" t="n">
        <v>0</v>
      </c>
      <c r="K2988" t="n">
        <v>0</v>
      </c>
      <c r="L2988" t="n">
        <v>0</v>
      </c>
      <c r="M2988" t="n">
        <v>0</v>
      </c>
      <c r="N2988" t="n">
        <v>0</v>
      </c>
      <c r="O2988" t="n">
        <v>0</v>
      </c>
      <c r="P2988" t="n">
        <v>0</v>
      </c>
      <c r="Q2988" t="n">
        <v>0</v>
      </c>
      <c r="R2988" s="2" t="inlineStr"/>
    </row>
    <row r="2989" ht="15" customHeight="1">
      <c r="A2989" t="inlineStr">
        <is>
          <t>A 58945-2024</t>
        </is>
      </c>
      <c r="B2989" s="1" t="n">
        <v>45636</v>
      </c>
      <c r="C2989" s="1" t="n">
        <v>45711</v>
      </c>
      <c r="D2989" t="inlineStr">
        <is>
          <t>VÄRMLANDS LÄN</t>
        </is>
      </c>
      <c r="E2989" t="inlineStr">
        <is>
          <t>TORSBY</t>
        </is>
      </c>
      <c r="F2989" t="inlineStr">
        <is>
          <t>Bergvik skog väst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59080-2024</t>
        </is>
      </c>
      <c r="B2990" s="1" t="n">
        <v>45637</v>
      </c>
      <c r="C2990" s="1" t="n">
        <v>45711</v>
      </c>
      <c r="D2990" t="inlineStr">
        <is>
          <t>VÄRMLANDS LÄN</t>
        </is>
      </c>
      <c r="E2990" t="inlineStr">
        <is>
          <t>TORSBY</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59423-2024</t>
        </is>
      </c>
      <c r="B2991" s="1" t="n">
        <v>45638</v>
      </c>
      <c r="C2991" s="1" t="n">
        <v>45711</v>
      </c>
      <c r="D2991" t="inlineStr">
        <is>
          <t>VÄRMLANDS LÄN</t>
        </is>
      </c>
      <c r="E2991" t="inlineStr">
        <is>
          <t>TORSBY</t>
        </is>
      </c>
      <c r="G2991" t="n">
        <v>23.7</v>
      </c>
      <c r="H2991" t="n">
        <v>0</v>
      </c>
      <c r="I2991" t="n">
        <v>0</v>
      </c>
      <c r="J2991" t="n">
        <v>0</v>
      </c>
      <c r="K2991" t="n">
        <v>0</v>
      </c>
      <c r="L2991" t="n">
        <v>0</v>
      </c>
      <c r="M2991" t="n">
        <v>0</v>
      </c>
      <c r="N2991" t="n">
        <v>0</v>
      </c>
      <c r="O2991" t="n">
        <v>0</v>
      </c>
      <c r="P2991" t="n">
        <v>0</v>
      </c>
      <c r="Q2991" t="n">
        <v>0</v>
      </c>
      <c r="R2991" s="2" t="inlineStr"/>
    </row>
    <row r="2992" ht="15" customHeight="1">
      <c r="A2992" t="inlineStr">
        <is>
          <t>A 59613-2024</t>
        </is>
      </c>
      <c r="B2992" s="1" t="n">
        <v>45638</v>
      </c>
      <c r="C2992" s="1" t="n">
        <v>45711</v>
      </c>
      <c r="D2992" t="inlineStr">
        <is>
          <t>VÄRMLANDS LÄN</t>
        </is>
      </c>
      <c r="E2992" t="inlineStr">
        <is>
          <t>TORSBY</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59603-2024</t>
        </is>
      </c>
      <c r="B2993" s="1" t="n">
        <v>45638</v>
      </c>
      <c r="C2993" s="1" t="n">
        <v>45711</v>
      </c>
      <c r="D2993" t="inlineStr">
        <is>
          <t>VÄRMLANDS LÄN</t>
        </is>
      </c>
      <c r="E2993" t="inlineStr">
        <is>
          <t>TORSBY</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59610-2024</t>
        </is>
      </c>
      <c r="B2994" s="1" t="n">
        <v>45638</v>
      </c>
      <c r="C2994" s="1" t="n">
        <v>45711</v>
      </c>
      <c r="D2994" t="inlineStr">
        <is>
          <t>VÄRMLANDS LÄN</t>
        </is>
      </c>
      <c r="E2994" t="inlineStr">
        <is>
          <t>TORSBY</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59428-2024</t>
        </is>
      </c>
      <c r="B2995" s="1" t="n">
        <v>45638</v>
      </c>
      <c r="C2995" s="1" t="n">
        <v>45711</v>
      </c>
      <c r="D2995" t="inlineStr">
        <is>
          <t>VÄRMLANDS LÄN</t>
        </is>
      </c>
      <c r="E2995" t="inlineStr">
        <is>
          <t>TORSBY</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59780-2024</t>
        </is>
      </c>
      <c r="B2996" s="1" t="n">
        <v>45639</v>
      </c>
      <c r="C2996" s="1" t="n">
        <v>45711</v>
      </c>
      <c r="D2996" t="inlineStr">
        <is>
          <t>VÄRMLANDS LÄN</t>
        </is>
      </c>
      <c r="E2996" t="inlineStr">
        <is>
          <t>TORSBY</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45711</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60796-2024</t>
        </is>
      </c>
      <c r="B2998" s="1" t="n">
        <v>45642</v>
      </c>
      <c r="C2998" s="1" t="n">
        <v>45711</v>
      </c>
      <c r="D2998" t="inlineStr">
        <is>
          <t>VÄRMLANDS LÄN</t>
        </is>
      </c>
      <c r="E2998" t="inlineStr">
        <is>
          <t>TORSBY</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45711</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60272-2024</t>
        </is>
      </c>
      <c r="B3000" s="1" t="n">
        <v>45642</v>
      </c>
      <c r="C3000" s="1" t="n">
        <v>45711</v>
      </c>
      <c r="D3000" t="inlineStr">
        <is>
          <t>VÄRMLANDS LÄN</t>
        </is>
      </c>
      <c r="E3000" t="inlineStr">
        <is>
          <t>TORSBY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60626-2024</t>
        </is>
      </c>
      <c r="B3001" s="1" t="n">
        <v>45642</v>
      </c>
      <c r="C3001" s="1" t="n">
        <v>45711</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60148-2024</t>
        </is>
      </c>
      <c r="B3002" s="1" t="n">
        <v>45642</v>
      </c>
      <c r="C3002" s="1" t="n">
        <v>45711</v>
      </c>
      <c r="D3002" t="inlineStr">
        <is>
          <t>VÄRMLANDS LÄN</t>
        </is>
      </c>
      <c r="E3002" t="inlineStr">
        <is>
          <t>TORSBY</t>
        </is>
      </c>
      <c r="G3002" t="n">
        <v>12.4</v>
      </c>
      <c r="H3002" t="n">
        <v>0</v>
      </c>
      <c r="I3002" t="n">
        <v>0</v>
      </c>
      <c r="J3002" t="n">
        <v>0</v>
      </c>
      <c r="K3002" t="n">
        <v>0</v>
      </c>
      <c r="L3002" t="n">
        <v>0</v>
      </c>
      <c r="M3002" t="n">
        <v>0</v>
      </c>
      <c r="N3002" t="n">
        <v>0</v>
      </c>
      <c r="O3002" t="n">
        <v>0</v>
      </c>
      <c r="P3002" t="n">
        <v>0</v>
      </c>
      <c r="Q3002" t="n">
        <v>0</v>
      </c>
      <c r="R3002" s="2" t="inlineStr"/>
    </row>
    <row r="3003" ht="15" customHeight="1">
      <c r="A3003" t="inlineStr">
        <is>
          <t>A 60039-2024</t>
        </is>
      </c>
      <c r="B3003" s="1" t="n">
        <v>45642</v>
      </c>
      <c r="C3003" s="1" t="n">
        <v>45711</v>
      </c>
      <c r="D3003" t="inlineStr">
        <is>
          <t>VÄRMLANDS LÄN</t>
        </is>
      </c>
      <c r="E3003" t="inlineStr">
        <is>
          <t>TORSBY</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59928-2024</t>
        </is>
      </c>
      <c r="B3004" s="1" t="n">
        <v>45642</v>
      </c>
      <c r="C3004" s="1" t="n">
        <v>45711</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60781-2024</t>
        </is>
      </c>
      <c r="B3005" s="1" t="n">
        <v>45642</v>
      </c>
      <c r="C3005" s="1" t="n">
        <v>45711</v>
      </c>
      <c r="D3005" t="inlineStr">
        <is>
          <t>VÄRMLANDS LÄN</t>
        </is>
      </c>
      <c r="E3005" t="inlineStr">
        <is>
          <t>TORSBY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59927-2024</t>
        </is>
      </c>
      <c r="B3006" s="1" t="n">
        <v>45642</v>
      </c>
      <c r="C3006" s="1" t="n">
        <v>45711</v>
      </c>
      <c r="D3006" t="inlineStr">
        <is>
          <t>VÄRMLANDS LÄN</t>
        </is>
      </c>
      <c r="E3006" t="inlineStr">
        <is>
          <t>TORSBY</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60385-2024</t>
        </is>
      </c>
      <c r="B3007" s="1" t="n">
        <v>45643</v>
      </c>
      <c r="C3007" s="1" t="n">
        <v>45711</v>
      </c>
      <c r="D3007" t="inlineStr">
        <is>
          <t>VÄRMLANDS LÄN</t>
        </is>
      </c>
      <c r="E3007" t="inlineStr">
        <is>
          <t>TORSBY</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45711</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60454-2024</t>
        </is>
      </c>
      <c r="B3009" s="1" t="n">
        <v>45643</v>
      </c>
      <c r="C3009" s="1" t="n">
        <v>45711</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60458-2024</t>
        </is>
      </c>
      <c r="B3010" s="1" t="n">
        <v>45643</v>
      </c>
      <c r="C3010" s="1" t="n">
        <v>45711</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60710-2024</t>
        </is>
      </c>
      <c r="B3011" s="1" t="n">
        <v>45643</v>
      </c>
      <c r="C3011" s="1" t="n">
        <v>45711</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60477-2024</t>
        </is>
      </c>
      <c r="B3012" s="1" t="n">
        <v>45643</v>
      </c>
      <c r="C3012" s="1" t="n">
        <v>45711</v>
      </c>
      <c r="D3012" t="inlineStr">
        <is>
          <t>VÄRMLANDS LÄN</t>
        </is>
      </c>
      <c r="E3012" t="inlineStr">
        <is>
          <t>TORSBY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60386-2024</t>
        </is>
      </c>
      <c r="B3013" s="1" t="n">
        <v>45643</v>
      </c>
      <c r="C3013" s="1" t="n">
        <v>45711</v>
      </c>
      <c r="D3013" t="inlineStr">
        <is>
          <t>VÄRMLANDS LÄN</t>
        </is>
      </c>
      <c r="E3013" t="inlineStr">
        <is>
          <t>TORSBY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60537-2024</t>
        </is>
      </c>
      <c r="B3014" s="1" t="n">
        <v>45643</v>
      </c>
      <c r="C3014" s="1" t="n">
        <v>45711</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60854-2024</t>
        </is>
      </c>
      <c r="B3015" s="1" t="n">
        <v>45644</v>
      </c>
      <c r="C3015" s="1" t="n">
        <v>45711</v>
      </c>
      <c r="D3015" t="inlineStr">
        <is>
          <t>VÄRMLANDS LÄN</t>
        </is>
      </c>
      <c r="E3015" t="inlineStr">
        <is>
          <t>TORSBY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61253-2024</t>
        </is>
      </c>
      <c r="B3016" s="1" t="n">
        <v>45645</v>
      </c>
      <c r="C3016" s="1" t="n">
        <v>45711</v>
      </c>
      <c r="D3016" t="inlineStr">
        <is>
          <t>VÄRMLANDS LÄN</t>
        </is>
      </c>
      <c r="E3016" t="inlineStr">
        <is>
          <t>TORSBY</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61069-2024</t>
        </is>
      </c>
      <c r="B3017" s="1" t="n">
        <v>45645</v>
      </c>
      <c r="C3017" s="1" t="n">
        <v>45711</v>
      </c>
      <c r="D3017" t="inlineStr">
        <is>
          <t>VÄRMLANDS LÄN</t>
        </is>
      </c>
      <c r="E3017" t="inlineStr">
        <is>
          <t>TORSBY</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61073-2024</t>
        </is>
      </c>
      <c r="B3018" s="1" t="n">
        <v>45645</v>
      </c>
      <c r="C3018" s="1" t="n">
        <v>45711</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61206-2024</t>
        </is>
      </c>
      <c r="B3019" s="1" t="n">
        <v>45645</v>
      </c>
      <c r="C3019" s="1" t="n">
        <v>45711</v>
      </c>
      <c r="D3019" t="inlineStr">
        <is>
          <t>VÄRMLANDS LÄN</t>
        </is>
      </c>
      <c r="E3019" t="inlineStr">
        <is>
          <t>TORSBY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61546-2024</t>
        </is>
      </c>
      <c r="B3020" s="1" t="n">
        <v>45645</v>
      </c>
      <c r="C3020" s="1" t="n">
        <v>45711</v>
      </c>
      <c r="D3020" t="inlineStr">
        <is>
          <t>VÄRMLANDS LÄN</t>
        </is>
      </c>
      <c r="E3020" t="inlineStr">
        <is>
          <t>TORSBY</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61251-2024</t>
        </is>
      </c>
      <c r="B3021" s="1" t="n">
        <v>45645</v>
      </c>
      <c r="C3021" s="1" t="n">
        <v>45711</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61259-2024</t>
        </is>
      </c>
      <c r="B3022" s="1" t="n">
        <v>45645</v>
      </c>
      <c r="C3022" s="1" t="n">
        <v>45711</v>
      </c>
      <c r="D3022" t="inlineStr">
        <is>
          <t>VÄRMLANDS LÄN</t>
        </is>
      </c>
      <c r="E3022" t="inlineStr">
        <is>
          <t>TORSBY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61478-2024</t>
        </is>
      </c>
      <c r="B3023" s="1" t="n">
        <v>45646</v>
      </c>
      <c r="C3023" s="1" t="n">
        <v>45711</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61565-2024</t>
        </is>
      </c>
      <c r="B3024" s="1" t="n">
        <v>45646</v>
      </c>
      <c r="C3024" s="1" t="n">
        <v>45711</v>
      </c>
      <c r="D3024" t="inlineStr">
        <is>
          <t>VÄRMLANDS LÄN</t>
        </is>
      </c>
      <c r="E3024" t="inlineStr">
        <is>
          <t>TORSBY</t>
        </is>
      </c>
      <c r="F3024" t="inlineStr">
        <is>
          <t>Bergvik skog väst AB</t>
        </is>
      </c>
      <c r="G3024" t="n">
        <v>14.1</v>
      </c>
      <c r="H3024" t="n">
        <v>0</v>
      </c>
      <c r="I3024" t="n">
        <v>0</v>
      </c>
      <c r="J3024" t="n">
        <v>0</v>
      </c>
      <c r="K3024" t="n">
        <v>0</v>
      </c>
      <c r="L3024" t="n">
        <v>0</v>
      </c>
      <c r="M3024" t="n">
        <v>0</v>
      </c>
      <c r="N3024" t="n">
        <v>0</v>
      </c>
      <c r="O3024" t="n">
        <v>0</v>
      </c>
      <c r="P3024" t="n">
        <v>0</v>
      </c>
      <c r="Q3024" t="n">
        <v>0</v>
      </c>
      <c r="R3024" s="2" t="inlineStr"/>
    </row>
    <row r="3025" ht="15" customHeight="1">
      <c r="A3025" t="inlineStr">
        <is>
          <t>A 61672-2024</t>
        </is>
      </c>
      <c r="B3025" s="1" t="n">
        <v>45647</v>
      </c>
      <c r="C3025" s="1" t="n">
        <v>45711</v>
      </c>
      <c r="D3025" t="inlineStr">
        <is>
          <t>VÄRMLANDS LÄN</t>
        </is>
      </c>
      <c r="E3025" t="inlineStr">
        <is>
          <t>TORSBY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61712-2024</t>
        </is>
      </c>
      <c r="B3026" s="1" t="n">
        <v>45648</v>
      </c>
      <c r="C3026" s="1" t="n">
        <v>45711</v>
      </c>
      <c r="D3026" t="inlineStr">
        <is>
          <t>VÄRMLANDS LÄN</t>
        </is>
      </c>
      <c r="E3026" t="inlineStr">
        <is>
          <t>TORSBY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61713-2024</t>
        </is>
      </c>
      <c r="B3027" s="1" t="n">
        <v>45648</v>
      </c>
      <c r="C3027" s="1" t="n">
        <v>45711</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61855-2024</t>
        </is>
      </c>
      <c r="B3028" s="1" t="n">
        <v>45649</v>
      </c>
      <c r="C3028" s="1" t="n">
        <v>45711</v>
      </c>
      <c r="D3028" t="inlineStr">
        <is>
          <t>VÄRMLANDS LÄN</t>
        </is>
      </c>
      <c r="E3028" t="inlineStr">
        <is>
          <t>TORSBY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61851-2024</t>
        </is>
      </c>
      <c r="B3029" s="1" t="n">
        <v>45649</v>
      </c>
      <c r="C3029" s="1" t="n">
        <v>45711</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61856-2024</t>
        </is>
      </c>
      <c r="B3030" s="1" t="n">
        <v>45649</v>
      </c>
      <c r="C3030" s="1" t="n">
        <v>45711</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62092-2024</t>
        </is>
      </c>
      <c r="B3031" s="1" t="n">
        <v>45656</v>
      </c>
      <c r="C3031" s="1" t="n">
        <v>45711</v>
      </c>
      <c r="D3031" t="inlineStr">
        <is>
          <t>VÄRMLANDS LÄN</t>
        </is>
      </c>
      <c r="E3031" t="inlineStr">
        <is>
          <t>TORSBY</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62090-2024</t>
        </is>
      </c>
      <c r="B3032" s="1" t="n">
        <v>45656</v>
      </c>
      <c r="C3032" s="1" t="n">
        <v>45711</v>
      </c>
      <c r="D3032" t="inlineStr">
        <is>
          <t>VÄRMLANDS LÄN</t>
        </is>
      </c>
      <c r="E3032" t="inlineStr">
        <is>
          <t>TORSBY</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61-2025</t>
        </is>
      </c>
      <c r="B3033" s="1" t="n">
        <v>45659</v>
      </c>
      <c r="C3033" s="1" t="n">
        <v>45711</v>
      </c>
      <c r="D3033" t="inlineStr">
        <is>
          <t>VÄRMLANDS LÄN</t>
        </is>
      </c>
      <c r="E3033" t="inlineStr">
        <is>
          <t>TORSBY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200-2025</t>
        </is>
      </c>
      <c r="B3034" s="1" t="n">
        <v>45659</v>
      </c>
      <c r="C3034" s="1" t="n">
        <v>45711</v>
      </c>
      <c r="D3034" t="inlineStr">
        <is>
          <t>VÄRMLANDS LÄN</t>
        </is>
      </c>
      <c r="E3034" t="inlineStr">
        <is>
          <t>TORSBY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311-2025</t>
        </is>
      </c>
      <c r="B3035" s="1" t="n">
        <v>45660</v>
      </c>
      <c r="C3035" s="1" t="n">
        <v>45711</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202-2025</t>
        </is>
      </c>
      <c r="B3036" s="1" t="n">
        <v>45660</v>
      </c>
      <c r="C3036" s="1" t="n">
        <v>45711</v>
      </c>
      <c r="D3036" t="inlineStr">
        <is>
          <t>VÄRMLANDS LÄN</t>
        </is>
      </c>
      <c r="E3036" t="inlineStr">
        <is>
          <t>TORSBY</t>
        </is>
      </c>
      <c r="F3036" t="inlineStr">
        <is>
          <t>Bergvik skog väst AB</t>
        </is>
      </c>
      <c r="G3036" t="n">
        <v>10.2</v>
      </c>
      <c r="H3036" t="n">
        <v>0</v>
      </c>
      <c r="I3036" t="n">
        <v>0</v>
      </c>
      <c r="J3036" t="n">
        <v>0</v>
      </c>
      <c r="K3036" t="n">
        <v>0</v>
      </c>
      <c r="L3036" t="n">
        <v>0</v>
      </c>
      <c r="M3036" t="n">
        <v>0</v>
      </c>
      <c r="N3036" t="n">
        <v>0</v>
      </c>
      <c r="O3036" t="n">
        <v>0</v>
      </c>
      <c r="P3036" t="n">
        <v>0</v>
      </c>
      <c r="Q3036" t="n">
        <v>0</v>
      </c>
      <c r="R3036" s="2" t="inlineStr"/>
    </row>
    <row r="3037" ht="15" customHeight="1">
      <c r="A3037" t="inlineStr">
        <is>
          <t>A 364-2025</t>
        </is>
      </c>
      <c r="B3037" s="1" t="n">
        <v>45661</v>
      </c>
      <c r="C3037" s="1" t="n">
        <v>45711</v>
      </c>
      <c r="D3037" t="inlineStr">
        <is>
          <t>VÄRMLANDS LÄN</t>
        </is>
      </c>
      <c r="E3037" t="inlineStr">
        <is>
          <t>TORSBY</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375-2025</t>
        </is>
      </c>
      <c r="B3038" s="1" t="n">
        <v>45661</v>
      </c>
      <c r="C3038" s="1" t="n">
        <v>45711</v>
      </c>
      <c r="D3038" t="inlineStr">
        <is>
          <t>VÄRMLANDS LÄN</t>
        </is>
      </c>
      <c r="E3038" t="inlineStr">
        <is>
          <t>TORSBY</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383-2025</t>
        </is>
      </c>
      <c r="B3039" s="1" t="n">
        <v>45662</v>
      </c>
      <c r="C3039" s="1" t="n">
        <v>45711</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391-2025</t>
        </is>
      </c>
      <c r="B3040" s="1" t="n">
        <v>45663</v>
      </c>
      <c r="C3040" s="1" t="n">
        <v>45711</v>
      </c>
      <c r="D3040" t="inlineStr">
        <is>
          <t>VÄRMLANDS LÄN</t>
        </is>
      </c>
      <c r="E3040" t="inlineStr">
        <is>
          <t>TORSBY</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392-2025</t>
        </is>
      </c>
      <c r="B3041" s="1" t="n">
        <v>45663</v>
      </c>
      <c r="C3041" s="1" t="n">
        <v>45711</v>
      </c>
      <c r="D3041" t="inlineStr">
        <is>
          <t>VÄRMLANDS LÄN</t>
        </is>
      </c>
      <c r="E3041" t="inlineStr">
        <is>
          <t>TORSBY</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492-2025</t>
        </is>
      </c>
      <c r="B3042" s="1" t="n">
        <v>45664</v>
      </c>
      <c r="C3042" s="1" t="n">
        <v>45711</v>
      </c>
      <c r="D3042" t="inlineStr">
        <is>
          <t>VÄRMLANDS LÄN</t>
        </is>
      </c>
      <c r="E3042" t="inlineStr">
        <is>
          <t>TORSBY</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485-2025</t>
        </is>
      </c>
      <c r="B3043" s="1" t="n">
        <v>45664</v>
      </c>
      <c r="C3043" s="1" t="n">
        <v>45711</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644-2025</t>
        </is>
      </c>
      <c r="B3044" s="1" t="n">
        <v>45664</v>
      </c>
      <c r="C3044" s="1" t="n">
        <v>45711</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654-2025</t>
        </is>
      </c>
      <c r="B3045" s="1" t="n">
        <v>45664</v>
      </c>
      <c r="C3045" s="1" t="n">
        <v>45711</v>
      </c>
      <c r="D3045" t="inlineStr">
        <is>
          <t>VÄRMLANDS LÄN</t>
        </is>
      </c>
      <c r="E3045" t="inlineStr">
        <is>
          <t>TORSBY</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906-2025</t>
        </is>
      </c>
      <c r="B3046" s="1" t="n">
        <v>45664</v>
      </c>
      <c r="C3046" s="1" t="n">
        <v>45711</v>
      </c>
      <c r="D3046" t="inlineStr">
        <is>
          <t>VÄRMLANDS LÄN</t>
        </is>
      </c>
      <c r="E3046" t="inlineStr">
        <is>
          <t>TORSBY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45711</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707-2025</t>
        </is>
      </c>
      <c r="B3048" s="1" t="n">
        <v>45665</v>
      </c>
      <c r="C3048" s="1" t="n">
        <v>45711</v>
      </c>
      <c r="D3048" t="inlineStr">
        <is>
          <t>VÄRMLANDS LÄN</t>
        </is>
      </c>
      <c r="E3048" t="inlineStr">
        <is>
          <t>TORSBY</t>
        </is>
      </c>
      <c r="F3048" t="inlineStr">
        <is>
          <t>Bergvik skog väst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699-2025</t>
        </is>
      </c>
      <c r="B3049" s="1" t="n">
        <v>45665</v>
      </c>
      <c r="C3049" s="1" t="n">
        <v>45711</v>
      </c>
      <c r="D3049" t="inlineStr">
        <is>
          <t>VÄRMLANDS LÄN</t>
        </is>
      </c>
      <c r="E3049" t="inlineStr">
        <is>
          <t>TORSBY</t>
        </is>
      </c>
      <c r="F3049" t="inlineStr">
        <is>
          <t>Bergvik skog väst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754-2025</t>
        </is>
      </c>
      <c r="B3050" s="1" t="n">
        <v>45665</v>
      </c>
      <c r="C3050" s="1" t="n">
        <v>45711</v>
      </c>
      <c r="D3050" t="inlineStr">
        <is>
          <t>VÄRMLANDS LÄN</t>
        </is>
      </c>
      <c r="E3050" t="inlineStr">
        <is>
          <t>TORSBY</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1162-2025</t>
        </is>
      </c>
      <c r="B3051" s="1" t="n">
        <v>45666</v>
      </c>
      <c r="C3051" s="1" t="n">
        <v>45711</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1104-2025</t>
        </is>
      </c>
      <c r="B3052" s="1" t="n">
        <v>45666</v>
      </c>
      <c r="C3052" s="1" t="n">
        <v>45711</v>
      </c>
      <c r="D3052" t="inlineStr">
        <is>
          <t>VÄRMLANDS LÄN</t>
        </is>
      </c>
      <c r="E3052" t="inlineStr">
        <is>
          <t>TORSBY</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1100-2025</t>
        </is>
      </c>
      <c r="B3053" s="1" t="n">
        <v>45666</v>
      </c>
      <c r="C3053" s="1" t="n">
        <v>45711</v>
      </c>
      <c r="D3053" t="inlineStr">
        <is>
          <t>VÄRMLANDS LÄN</t>
        </is>
      </c>
      <c r="E3053" t="inlineStr">
        <is>
          <t>TORSBY</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1092-2025</t>
        </is>
      </c>
      <c r="B3054" s="1" t="n">
        <v>45666</v>
      </c>
      <c r="C3054" s="1" t="n">
        <v>45711</v>
      </c>
      <c r="D3054" t="inlineStr">
        <is>
          <t>VÄRMLANDS LÄN</t>
        </is>
      </c>
      <c r="E3054" t="inlineStr">
        <is>
          <t>TORSBY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1161-2025</t>
        </is>
      </c>
      <c r="B3055" s="1" t="n">
        <v>45666</v>
      </c>
      <c r="C3055" s="1" t="n">
        <v>45711</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1095-2025</t>
        </is>
      </c>
      <c r="B3056" s="1" t="n">
        <v>45666</v>
      </c>
      <c r="C3056" s="1" t="n">
        <v>45711</v>
      </c>
      <c r="D3056" t="inlineStr">
        <is>
          <t>VÄRMLANDS LÄN</t>
        </is>
      </c>
      <c r="E3056" t="inlineStr">
        <is>
          <t>TORSBY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1432-2025</t>
        </is>
      </c>
      <c r="B3057" s="1" t="n">
        <v>45669</v>
      </c>
      <c r="C3057" s="1" t="n">
        <v>45711</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1435-2025</t>
        </is>
      </c>
      <c r="B3058" s="1" t="n">
        <v>45669</v>
      </c>
      <c r="C3058" s="1" t="n">
        <v>45711</v>
      </c>
      <c r="D3058" t="inlineStr">
        <is>
          <t>VÄRMLANDS LÄN</t>
        </is>
      </c>
      <c r="E3058" t="inlineStr">
        <is>
          <t>TORSBY</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1512-2025</t>
        </is>
      </c>
      <c r="B3059" s="1" t="n">
        <v>45670</v>
      </c>
      <c r="C3059" s="1" t="n">
        <v>45711</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1708-2025</t>
        </is>
      </c>
      <c r="B3060" s="1" t="n">
        <v>45670</v>
      </c>
      <c r="C3060" s="1" t="n">
        <v>45711</v>
      </c>
      <c r="D3060" t="inlineStr">
        <is>
          <t>VÄRMLANDS LÄN</t>
        </is>
      </c>
      <c r="E3060" t="inlineStr">
        <is>
          <t>TORSBY</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1528-2025</t>
        </is>
      </c>
      <c r="B3061" s="1" t="n">
        <v>45670</v>
      </c>
      <c r="C3061" s="1" t="n">
        <v>45711</v>
      </c>
      <c r="D3061" t="inlineStr">
        <is>
          <t>VÄRMLANDS LÄN</t>
        </is>
      </c>
      <c r="E3061" t="inlineStr">
        <is>
          <t>TORSBY</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1756-2025</t>
        </is>
      </c>
      <c r="B3062" s="1" t="n">
        <v>45671</v>
      </c>
      <c r="C3062" s="1" t="n">
        <v>45711</v>
      </c>
      <c r="D3062" t="inlineStr">
        <is>
          <t>VÄRMLANDS LÄN</t>
        </is>
      </c>
      <c r="E3062" t="inlineStr">
        <is>
          <t>TORSBY</t>
        </is>
      </c>
      <c r="F3062" t="inlineStr">
        <is>
          <t>Bergvik skog väst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1997-2025</t>
        </is>
      </c>
      <c r="B3063" s="1" t="n">
        <v>45672</v>
      </c>
      <c r="C3063" s="1" t="n">
        <v>45711</v>
      </c>
      <c r="D3063" t="inlineStr">
        <is>
          <t>VÄRMLANDS LÄN</t>
        </is>
      </c>
      <c r="E3063" t="inlineStr">
        <is>
          <t>TORSBY</t>
        </is>
      </c>
      <c r="G3063" t="n">
        <v>20.1</v>
      </c>
      <c r="H3063" t="n">
        <v>0</v>
      </c>
      <c r="I3063" t="n">
        <v>0</v>
      </c>
      <c r="J3063" t="n">
        <v>0</v>
      </c>
      <c r="K3063" t="n">
        <v>0</v>
      </c>
      <c r="L3063" t="n">
        <v>0</v>
      </c>
      <c r="M3063" t="n">
        <v>0</v>
      </c>
      <c r="N3063" t="n">
        <v>0</v>
      </c>
      <c r="O3063" t="n">
        <v>0</v>
      </c>
      <c r="P3063" t="n">
        <v>0</v>
      </c>
      <c r="Q3063" t="n">
        <v>0</v>
      </c>
      <c r="R3063" s="2" t="inlineStr"/>
    </row>
    <row r="3064" ht="15" customHeight="1">
      <c r="A3064" t="inlineStr">
        <is>
          <t>A 2009-2025</t>
        </is>
      </c>
      <c r="B3064" s="1" t="n">
        <v>45672</v>
      </c>
      <c r="C3064" s="1" t="n">
        <v>45711</v>
      </c>
      <c r="D3064" t="inlineStr">
        <is>
          <t>VÄRMLANDS LÄN</t>
        </is>
      </c>
      <c r="E3064" t="inlineStr">
        <is>
          <t>TORSBY</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2195-2025</t>
        </is>
      </c>
      <c r="B3065" s="1" t="n">
        <v>45673</v>
      </c>
      <c r="C3065" s="1" t="n">
        <v>45711</v>
      </c>
      <c r="D3065" t="inlineStr">
        <is>
          <t>VÄRMLANDS LÄN</t>
        </is>
      </c>
      <c r="E3065" t="inlineStr">
        <is>
          <t>TORSBY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2199-2025</t>
        </is>
      </c>
      <c r="B3066" s="1" t="n">
        <v>45673</v>
      </c>
      <c r="C3066" s="1" t="n">
        <v>45711</v>
      </c>
      <c r="D3066" t="inlineStr">
        <is>
          <t>VÄRMLANDS LÄN</t>
        </is>
      </c>
      <c r="E3066" t="inlineStr">
        <is>
          <t>TORSBY</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45711</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2506-2025</t>
        </is>
      </c>
      <c r="B3068" s="1" t="n">
        <v>45674</v>
      </c>
      <c r="C3068" s="1" t="n">
        <v>45711</v>
      </c>
      <c r="D3068" t="inlineStr">
        <is>
          <t>VÄRMLANDS LÄN</t>
        </is>
      </c>
      <c r="E3068" t="inlineStr">
        <is>
          <t>TORSBY</t>
        </is>
      </c>
      <c r="F3068" t="inlineStr">
        <is>
          <t>Bergvik skog väst AB</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2504-2025</t>
        </is>
      </c>
      <c r="B3069" s="1" t="n">
        <v>45674</v>
      </c>
      <c r="C3069" s="1" t="n">
        <v>45711</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2387-2025</t>
        </is>
      </c>
      <c r="B3070" s="1" t="n">
        <v>45674</v>
      </c>
      <c r="C3070" s="1" t="n">
        <v>45711</v>
      </c>
      <c r="D3070" t="inlineStr">
        <is>
          <t>VÄRMLANDS LÄN</t>
        </is>
      </c>
      <c r="E3070" t="inlineStr">
        <is>
          <t>TORSBY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2616-2025</t>
        </is>
      </c>
      <c r="B3071" s="1" t="n">
        <v>45675</v>
      </c>
      <c r="C3071" s="1" t="n">
        <v>45711</v>
      </c>
      <c r="D3071" t="inlineStr">
        <is>
          <t>VÄRMLANDS LÄN</t>
        </is>
      </c>
      <c r="E3071" t="inlineStr">
        <is>
          <t>TORSBY</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45711</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2803-2025</t>
        </is>
      </c>
      <c r="B3073" s="1" t="n">
        <v>45677</v>
      </c>
      <c r="C3073" s="1" t="n">
        <v>45711</v>
      </c>
      <c r="D3073" t="inlineStr">
        <is>
          <t>VÄRMLANDS LÄN</t>
        </is>
      </c>
      <c r="E3073" t="inlineStr">
        <is>
          <t>TORSBY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2807-2025</t>
        </is>
      </c>
      <c r="B3074" s="1" t="n">
        <v>45677</v>
      </c>
      <c r="C3074" s="1" t="n">
        <v>45711</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2797-2025</t>
        </is>
      </c>
      <c r="B3075" s="1" t="n">
        <v>45677</v>
      </c>
      <c r="C3075" s="1" t="n">
        <v>45711</v>
      </c>
      <c r="D3075" t="inlineStr">
        <is>
          <t>VÄRMLANDS LÄN</t>
        </is>
      </c>
      <c r="E3075" t="inlineStr">
        <is>
          <t>TORSBY</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45711</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2981-2025</t>
        </is>
      </c>
      <c r="B3077" s="1" t="n">
        <v>45678</v>
      </c>
      <c r="C3077" s="1" t="n">
        <v>45711</v>
      </c>
      <c r="D3077" t="inlineStr">
        <is>
          <t>VÄRMLANDS LÄN</t>
        </is>
      </c>
      <c r="E3077" t="inlineStr">
        <is>
          <t>TORSBY</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3269-2025</t>
        </is>
      </c>
      <c r="B3078" s="1" t="n">
        <v>45679</v>
      </c>
      <c r="C3078" s="1" t="n">
        <v>45711</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45711</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3226-2025</t>
        </is>
      </c>
      <c r="B3080" s="1" t="n">
        <v>45679</v>
      </c>
      <c r="C3080" s="1" t="n">
        <v>45711</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3223-2025</t>
        </is>
      </c>
      <c r="B3081" s="1" t="n">
        <v>45679</v>
      </c>
      <c r="C3081" s="1" t="n">
        <v>45711</v>
      </c>
      <c r="D3081" t="inlineStr">
        <is>
          <t>VÄRMLANDS LÄN</t>
        </is>
      </c>
      <c r="E3081" t="inlineStr">
        <is>
          <t>TORSBY</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3507-2025</t>
        </is>
      </c>
      <c r="B3082" s="1" t="n">
        <v>45680</v>
      </c>
      <c r="C3082" s="1" t="n">
        <v>45711</v>
      </c>
      <c r="D3082" t="inlineStr">
        <is>
          <t>VÄRMLANDS LÄN</t>
        </is>
      </c>
      <c r="E3082" t="inlineStr">
        <is>
          <t>TORSBY</t>
        </is>
      </c>
      <c r="F3082" t="inlineStr">
        <is>
          <t>Bergvik skog väst AB</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3511-2025</t>
        </is>
      </c>
      <c r="B3083" s="1" t="n">
        <v>45680</v>
      </c>
      <c r="C3083" s="1" t="n">
        <v>45711</v>
      </c>
      <c r="D3083" t="inlineStr">
        <is>
          <t>VÄRMLANDS LÄN</t>
        </is>
      </c>
      <c r="E3083" t="inlineStr">
        <is>
          <t>TORSBY</t>
        </is>
      </c>
      <c r="F3083" t="inlineStr">
        <is>
          <t>Bergvik skog väst AB</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3541-2025</t>
        </is>
      </c>
      <c r="B3084" s="1" t="n">
        <v>45680</v>
      </c>
      <c r="C3084" s="1" t="n">
        <v>45711</v>
      </c>
      <c r="D3084" t="inlineStr">
        <is>
          <t>VÄRMLANDS LÄN</t>
        </is>
      </c>
      <c r="E3084" t="inlineStr">
        <is>
          <t>TORSBY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3441-2025</t>
        </is>
      </c>
      <c r="B3085" s="1" t="n">
        <v>45680</v>
      </c>
      <c r="C3085" s="1" t="n">
        <v>45711</v>
      </c>
      <c r="D3085" t="inlineStr">
        <is>
          <t>VÄRMLANDS LÄN</t>
        </is>
      </c>
      <c r="E3085" t="inlineStr">
        <is>
          <t>TORSBY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3387-2025</t>
        </is>
      </c>
      <c r="B3086" s="1" t="n">
        <v>45680</v>
      </c>
      <c r="C3086" s="1" t="n">
        <v>45711</v>
      </c>
      <c r="D3086" t="inlineStr">
        <is>
          <t>VÄRMLANDS LÄN</t>
        </is>
      </c>
      <c r="E3086" t="inlineStr">
        <is>
          <t>TORSBY</t>
        </is>
      </c>
      <c r="F3086" t="inlineStr">
        <is>
          <t>Kommuner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3442-2025</t>
        </is>
      </c>
      <c r="B3087" s="1" t="n">
        <v>45680</v>
      </c>
      <c r="C3087" s="1" t="n">
        <v>45711</v>
      </c>
      <c r="D3087" t="inlineStr">
        <is>
          <t>VÄRMLANDS LÄN</t>
        </is>
      </c>
      <c r="E3087" t="inlineStr">
        <is>
          <t>TORSBY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3409-2025</t>
        </is>
      </c>
      <c r="B3088" s="1" t="n">
        <v>45680</v>
      </c>
      <c r="C3088" s="1" t="n">
        <v>45711</v>
      </c>
      <c r="D3088" t="inlineStr">
        <is>
          <t>VÄRMLANDS LÄN</t>
        </is>
      </c>
      <c r="E3088" t="inlineStr">
        <is>
          <t>TORSBY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3951-2025</t>
        </is>
      </c>
      <c r="B3089" s="1" t="n">
        <v>45684</v>
      </c>
      <c r="C3089" s="1" t="n">
        <v>45711</v>
      </c>
      <c r="D3089" t="inlineStr">
        <is>
          <t>VÄRMLANDS LÄN</t>
        </is>
      </c>
      <c r="E3089" t="inlineStr">
        <is>
          <t>TORSBY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3864-2025</t>
        </is>
      </c>
      <c r="B3090" s="1" t="n">
        <v>45684</v>
      </c>
      <c r="C3090" s="1" t="n">
        <v>45711</v>
      </c>
      <c r="D3090" t="inlineStr">
        <is>
          <t>VÄRMLANDS LÄN</t>
        </is>
      </c>
      <c r="E3090" t="inlineStr">
        <is>
          <t>TORSBY</t>
        </is>
      </c>
      <c r="F3090" t="inlineStr">
        <is>
          <t>Bergvik skog väst AB</t>
        </is>
      </c>
      <c r="G3090" t="n">
        <v>8</v>
      </c>
      <c r="H3090" t="n">
        <v>0</v>
      </c>
      <c r="I3090" t="n">
        <v>0</v>
      </c>
      <c r="J3090" t="n">
        <v>0</v>
      </c>
      <c r="K3090" t="n">
        <v>0</v>
      </c>
      <c r="L3090" t="n">
        <v>0</v>
      </c>
      <c r="M3090" t="n">
        <v>0</v>
      </c>
      <c r="N3090" t="n">
        <v>0</v>
      </c>
      <c r="O3090" t="n">
        <v>0</v>
      </c>
      <c r="P3090" t="n">
        <v>0</v>
      </c>
      <c r="Q3090" t="n">
        <v>0</v>
      </c>
      <c r="R3090" s="2" t="inlineStr"/>
    </row>
    <row r="3091" ht="15" customHeight="1">
      <c r="A3091" t="inlineStr">
        <is>
          <t>A 3904-2025</t>
        </is>
      </c>
      <c r="B3091" s="1" t="n">
        <v>45684</v>
      </c>
      <c r="C3091" s="1" t="n">
        <v>45711</v>
      </c>
      <c r="D3091" t="inlineStr">
        <is>
          <t>VÄRMLANDS LÄN</t>
        </is>
      </c>
      <c r="E3091" t="inlineStr">
        <is>
          <t>TORSBY</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45711</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45711</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4470-2025</t>
        </is>
      </c>
      <c r="B3094" s="1" t="n">
        <v>45686</v>
      </c>
      <c r="C3094" s="1" t="n">
        <v>45711</v>
      </c>
      <c r="D3094" t="inlineStr">
        <is>
          <t>VÄRMLANDS LÄN</t>
        </is>
      </c>
      <c r="E3094" t="inlineStr">
        <is>
          <t>TORSBY</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4516-2025</t>
        </is>
      </c>
      <c r="B3095" s="1" t="n">
        <v>45686</v>
      </c>
      <c r="C3095" s="1" t="n">
        <v>45711</v>
      </c>
      <c r="D3095" t="inlineStr">
        <is>
          <t>VÄRMLANDS LÄN</t>
        </is>
      </c>
      <c r="E3095" t="inlineStr">
        <is>
          <t>TORSBY</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4517-2025</t>
        </is>
      </c>
      <c r="B3096" s="1" t="n">
        <v>45686</v>
      </c>
      <c r="C3096" s="1" t="n">
        <v>45711</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4537-2025</t>
        </is>
      </c>
      <c r="B3097" s="1" t="n">
        <v>45687</v>
      </c>
      <c r="C3097" s="1" t="n">
        <v>45711</v>
      </c>
      <c r="D3097" t="inlineStr">
        <is>
          <t>VÄRMLANDS LÄN</t>
        </is>
      </c>
      <c r="E3097" t="inlineStr">
        <is>
          <t>TORSBY</t>
        </is>
      </c>
      <c r="F3097" t="inlineStr">
        <is>
          <t>Kommuner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4578-2025</t>
        </is>
      </c>
      <c r="B3098" s="1" t="n">
        <v>45687</v>
      </c>
      <c r="C3098" s="1" t="n">
        <v>45711</v>
      </c>
      <c r="D3098" t="inlineStr">
        <is>
          <t>VÄRMLANDS LÄN</t>
        </is>
      </c>
      <c r="E3098" t="inlineStr">
        <is>
          <t>TORSBY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45711</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45711</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5748-2025</t>
        </is>
      </c>
      <c r="B3101" s="1" t="n">
        <v>45694</v>
      </c>
      <c r="C3101" s="1" t="n">
        <v>45711</v>
      </c>
      <c r="D3101" t="inlineStr">
        <is>
          <t>VÄRMLANDS LÄN</t>
        </is>
      </c>
      <c r="E3101" t="inlineStr">
        <is>
          <t>TORSBY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5799-2025</t>
        </is>
      </c>
      <c r="B3102" s="1" t="n">
        <v>45694</v>
      </c>
      <c r="C3102" s="1" t="n">
        <v>45711</v>
      </c>
      <c r="D3102" t="inlineStr">
        <is>
          <t>VÄRMLANDS LÄN</t>
        </is>
      </c>
      <c r="E3102" t="inlineStr">
        <is>
          <t>TORSBY</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45711</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6448-2025</t>
        </is>
      </c>
      <c r="B3104" s="1" t="n">
        <v>45699</v>
      </c>
      <c r="C3104" s="1" t="n">
        <v>45711</v>
      </c>
      <c r="D3104" t="inlineStr">
        <is>
          <t>VÄRMLANDS LÄN</t>
        </is>
      </c>
      <c r="E3104" t="inlineStr">
        <is>
          <t>TORSBY</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6464-2025</t>
        </is>
      </c>
      <c r="B3105" s="1" t="n">
        <v>45699</v>
      </c>
      <c r="C3105" s="1" t="n">
        <v>45711</v>
      </c>
      <c r="D3105" t="inlineStr">
        <is>
          <t>VÄRMLANDS LÄN</t>
        </is>
      </c>
      <c r="E3105" t="inlineStr">
        <is>
          <t>TORSBY</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6532-2025</t>
        </is>
      </c>
      <c r="B3106" s="1" t="n">
        <v>45699</v>
      </c>
      <c r="C3106" s="1" t="n">
        <v>45711</v>
      </c>
      <c r="D3106" t="inlineStr">
        <is>
          <t>VÄRMLANDS LÄN</t>
        </is>
      </c>
      <c r="E3106" t="inlineStr">
        <is>
          <t>TORSBY</t>
        </is>
      </c>
      <c r="F3106" t="inlineStr">
        <is>
          <t>Kommuner</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6460-2025</t>
        </is>
      </c>
      <c r="B3107" s="1" t="n">
        <v>45699</v>
      </c>
      <c r="C3107" s="1" t="n">
        <v>45711</v>
      </c>
      <c r="D3107" t="inlineStr">
        <is>
          <t>VÄRMLANDS LÄN</t>
        </is>
      </c>
      <c r="E3107" t="inlineStr">
        <is>
          <t>TORSBY</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6529-2025</t>
        </is>
      </c>
      <c r="B3108" s="1" t="n">
        <v>45699</v>
      </c>
      <c r="C3108" s="1" t="n">
        <v>45711</v>
      </c>
      <c r="D3108" t="inlineStr">
        <is>
          <t>VÄRMLANDS LÄN</t>
        </is>
      </c>
      <c r="E3108" t="inlineStr">
        <is>
          <t>TORSBY</t>
        </is>
      </c>
      <c r="F3108" t="inlineStr">
        <is>
          <t>Kommuner</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6534-2025</t>
        </is>
      </c>
      <c r="B3109" s="1" t="n">
        <v>45699</v>
      </c>
      <c r="C3109" s="1" t="n">
        <v>45711</v>
      </c>
      <c r="D3109" t="inlineStr">
        <is>
          <t>VÄRMLANDS LÄN</t>
        </is>
      </c>
      <c r="E3109" t="inlineStr">
        <is>
          <t>TORSBY</t>
        </is>
      </c>
      <c r="F3109" t="inlineStr">
        <is>
          <t>Kommuner</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6653-2025</t>
        </is>
      </c>
      <c r="B3110" s="1" t="n">
        <v>45700</v>
      </c>
      <c r="C3110" s="1" t="n">
        <v>45711</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6965-2025</t>
        </is>
      </c>
      <c r="B3111" s="1" t="n">
        <v>45701</v>
      </c>
      <c r="C3111" s="1" t="n">
        <v>45711</v>
      </c>
      <c r="D3111" t="inlineStr">
        <is>
          <t>VÄRMLANDS LÄN</t>
        </is>
      </c>
      <c r="E3111" t="inlineStr">
        <is>
          <t>TORSBY</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7065-2025</t>
        </is>
      </c>
      <c r="B3112" s="1" t="n">
        <v>45701</v>
      </c>
      <c r="C3112" s="1" t="n">
        <v>45711</v>
      </c>
      <c r="D3112" t="inlineStr">
        <is>
          <t>VÄRMLANDS LÄN</t>
        </is>
      </c>
      <c r="E3112" t="inlineStr">
        <is>
          <t>TORSBY</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7101-2025</t>
        </is>
      </c>
      <c r="B3113" s="1" t="n">
        <v>45701</v>
      </c>
      <c r="C3113" s="1" t="n">
        <v>45711</v>
      </c>
      <c r="D3113" t="inlineStr">
        <is>
          <t>VÄRMLANDS LÄN</t>
        </is>
      </c>
      <c r="E3113" t="inlineStr">
        <is>
          <t>TORSBY</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6968-2025</t>
        </is>
      </c>
      <c r="B3114" s="1" t="n">
        <v>45701</v>
      </c>
      <c r="C3114" s="1" t="n">
        <v>45711</v>
      </c>
      <c r="D3114" t="inlineStr">
        <is>
          <t>VÄRMLANDS LÄN</t>
        </is>
      </c>
      <c r="E3114" t="inlineStr">
        <is>
          <t>TORSBY</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7068-2025</t>
        </is>
      </c>
      <c r="B3115" s="1" t="n">
        <v>45701</v>
      </c>
      <c r="C3115" s="1" t="n">
        <v>45711</v>
      </c>
      <c r="D3115" t="inlineStr">
        <is>
          <t>VÄRMLANDS LÄN</t>
        </is>
      </c>
      <c r="E3115" t="inlineStr">
        <is>
          <t>TORSBY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7178-2025</t>
        </is>
      </c>
      <c r="B3116" s="1" t="n">
        <v>45702</v>
      </c>
      <c r="C3116" s="1" t="n">
        <v>45711</v>
      </c>
      <c r="D3116" t="inlineStr">
        <is>
          <t>VÄRMLANDS LÄN</t>
        </is>
      </c>
      <c r="E3116" t="inlineStr">
        <is>
          <t>TORSBY</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7215-2025</t>
        </is>
      </c>
      <c r="B3117" s="1" t="n">
        <v>45702</v>
      </c>
      <c r="C3117" s="1" t="n">
        <v>45711</v>
      </c>
      <c r="D3117" t="inlineStr">
        <is>
          <t>VÄRMLANDS LÄN</t>
        </is>
      </c>
      <c r="E3117" t="inlineStr">
        <is>
          <t>TORSBY</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7214-2025</t>
        </is>
      </c>
      <c r="B3118" s="1" t="n">
        <v>45702</v>
      </c>
      <c r="C3118" s="1" t="n">
        <v>45711</v>
      </c>
      <c r="D3118" t="inlineStr">
        <is>
          <t>VÄRMLANDS LÄN</t>
        </is>
      </c>
      <c r="E3118" t="inlineStr">
        <is>
          <t>TORSBY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7378-2025</t>
        </is>
      </c>
      <c r="B3119" s="1" t="n">
        <v>45705</v>
      </c>
      <c r="C3119" s="1" t="n">
        <v>45711</v>
      </c>
      <c r="D3119" t="inlineStr">
        <is>
          <t>VÄRMLANDS LÄN</t>
        </is>
      </c>
      <c r="E3119" t="inlineStr">
        <is>
          <t>TORSBY</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7643-2025</t>
        </is>
      </c>
      <c r="B3120" s="1" t="n">
        <v>45705</v>
      </c>
      <c r="C3120" s="1" t="n">
        <v>45711</v>
      </c>
      <c r="D3120" t="inlineStr">
        <is>
          <t>VÄRMLANDS LÄN</t>
        </is>
      </c>
      <c r="E3120" t="inlineStr">
        <is>
          <t>TORSBY</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7420-2025</t>
        </is>
      </c>
      <c r="B3121" s="1" t="n">
        <v>45705</v>
      </c>
      <c r="C3121" s="1" t="n">
        <v>45711</v>
      </c>
      <c r="D3121" t="inlineStr">
        <is>
          <t>VÄRMLANDS LÄN</t>
        </is>
      </c>
      <c r="E3121" t="inlineStr">
        <is>
          <t>TORSBY</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7829-2025</t>
        </is>
      </c>
      <c r="B3122" s="1" t="n">
        <v>45706</v>
      </c>
      <c r="C3122" s="1" t="n">
        <v>45711</v>
      </c>
      <c r="D3122" t="inlineStr">
        <is>
          <t>VÄRMLANDS LÄN</t>
        </is>
      </c>
      <c r="E3122" t="inlineStr">
        <is>
          <t>TORSBY</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7907-2025</t>
        </is>
      </c>
      <c r="B3123" s="1" t="n">
        <v>45707</v>
      </c>
      <c r="C3123" s="1" t="n">
        <v>45711</v>
      </c>
      <c r="D3123" t="inlineStr">
        <is>
          <t>VÄRMLANDS LÄN</t>
        </is>
      </c>
      <c r="E3123" t="inlineStr">
        <is>
          <t>TORSBY</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8018-2025</t>
        </is>
      </c>
      <c r="B3124" s="1" t="n">
        <v>45707</v>
      </c>
      <c r="C3124" s="1" t="n">
        <v>45711</v>
      </c>
      <c r="D3124" t="inlineStr">
        <is>
          <t>VÄRMLANDS LÄN</t>
        </is>
      </c>
      <c r="E3124" t="inlineStr">
        <is>
          <t>TORSBY</t>
        </is>
      </c>
      <c r="G3124" t="n">
        <v>22.7</v>
      </c>
      <c r="H3124" t="n">
        <v>0</v>
      </c>
      <c r="I3124" t="n">
        <v>0</v>
      </c>
      <c r="J3124" t="n">
        <v>0</v>
      </c>
      <c r="K3124" t="n">
        <v>0</v>
      </c>
      <c r="L3124" t="n">
        <v>0</v>
      </c>
      <c r="M3124" t="n">
        <v>0</v>
      </c>
      <c r="N3124" t="n">
        <v>0</v>
      </c>
      <c r="O3124" t="n">
        <v>0</v>
      </c>
      <c r="P3124" t="n">
        <v>0</v>
      </c>
      <c r="Q3124" t="n">
        <v>0</v>
      </c>
      <c r="R3124" s="2" t="inlineStr"/>
    </row>
    <row r="3125" ht="15" customHeight="1">
      <c r="A3125" t="inlineStr">
        <is>
          <t>A 8022-2025</t>
        </is>
      </c>
      <c r="B3125" s="1" t="n">
        <v>45707</v>
      </c>
      <c r="C3125" s="1" t="n">
        <v>45711</v>
      </c>
      <c r="D3125" t="inlineStr">
        <is>
          <t>VÄRMLANDS LÄN</t>
        </is>
      </c>
      <c r="E3125" t="inlineStr">
        <is>
          <t>TORSBY</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8070-2025</t>
        </is>
      </c>
      <c r="B3126" s="1" t="n">
        <v>45707</v>
      </c>
      <c r="C3126" s="1" t="n">
        <v>45711</v>
      </c>
      <c r="D3126" t="inlineStr">
        <is>
          <t>VÄRMLANDS LÄN</t>
        </is>
      </c>
      <c r="E3126" t="inlineStr">
        <is>
          <t>TORSBY</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8025-2025</t>
        </is>
      </c>
      <c r="B3127" s="1" t="n">
        <v>45707</v>
      </c>
      <c r="C3127" s="1" t="n">
        <v>45711</v>
      </c>
      <c r="D3127" t="inlineStr">
        <is>
          <t>VÄRMLANDS LÄN</t>
        </is>
      </c>
      <c r="E3127" t="inlineStr">
        <is>
          <t>TORSBY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8188-2025</t>
        </is>
      </c>
      <c r="B3128" s="1" t="n">
        <v>45708</v>
      </c>
      <c r="C3128" s="1" t="n">
        <v>45711</v>
      </c>
      <c r="D3128" t="inlineStr">
        <is>
          <t>VÄRMLANDS LÄN</t>
        </is>
      </c>
      <c r="E3128" t="inlineStr">
        <is>
          <t>TORSBY</t>
        </is>
      </c>
      <c r="G3128" t="n">
        <v>9.6</v>
      </c>
      <c r="H3128" t="n">
        <v>0</v>
      </c>
      <c r="I3128" t="n">
        <v>0</v>
      </c>
      <c r="J3128" t="n">
        <v>0</v>
      </c>
      <c r="K3128" t="n">
        <v>0</v>
      </c>
      <c r="L3128" t="n">
        <v>0</v>
      </c>
      <c r="M3128" t="n">
        <v>0</v>
      </c>
      <c r="N3128" t="n">
        <v>0</v>
      </c>
      <c r="O3128" t="n">
        <v>0</v>
      </c>
      <c r="P3128" t="n">
        <v>0</v>
      </c>
      <c r="Q3128" t="n">
        <v>0</v>
      </c>
      <c r="R3128" s="2" t="inlineStr"/>
    </row>
    <row r="3129" ht="15" customHeight="1">
      <c r="A3129" t="inlineStr">
        <is>
          <t>A 8197-2025</t>
        </is>
      </c>
      <c r="B3129" s="1" t="n">
        <v>45708</v>
      </c>
      <c r="C3129" s="1" t="n">
        <v>45711</v>
      </c>
      <c r="D3129" t="inlineStr">
        <is>
          <t>VÄRMLANDS LÄN</t>
        </is>
      </c>
      <c r="E3129" t="inlineStr">
        <is>
          <t>TORSBY</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8398-2025</t>
        </is>
      </c>
      <c r="B3130" s="1" t="n">
        <v>45709</v>
      </c>
      <c r="C3130" s="1" t="n">
        <v>45711</v>
      </c>
      <c r="D3130" t="inlineStr">
        <is>
          <t>VÄRMLANDS LÄN</t>
        </is>
      </c>
      <c r="E3130" t="inlineStr">
        <is>
          <t>TORSBY</t>
        </is>
      </c>
      <c r="G3130" t="n">
        <v>2.8</v>
      </c>
      <c r="H3130" t="n">
        <v>0</v>
      </c>
      <c r="I3130" t="n">
        <v>0</v>
      </c>
      <c r="J3130" t="n">
        <v>0</v>
      </c>
      <c r="K3130" t="n">
        <v>0</v>
      </c>
      <c r="L3130" t="n">
        <v>0</v>
      </c>
      <c r="M3130" t="n">
        <v>0</v>
      </c>
      <c r="N3130" t="n">
        <v>0</v>
      </c>
      <c r="O3130" t="n">
        <v>0</v>
      </c>
      <c r="P3130" t="n">
        <v>0</v>
      </c>
      <c r="Q3130" t="n">
        <v>0</v>
      </c>
      <c r="R3130" s="2" t="inlineStr"/>
    </row>
    <row r="3131">
      <c r="A3131" t="inlineStr">
        <is>
          <t>A 8428-2025</t>
        </is>
      </c>
      <c r="B3131" s="1" t="n">
        <v>45709</v>
      </c>
      <c r="C3131" s="1" t="n">
        <v>45711</v>
      </c>
      <c r="D3131" t="inlineStr">
        <is>
          <t>VÄRMLANDS LÄN</t>
        </is>
      </c>
      <c r="E3131" t="inlineStr">
        <is>
          <t>TORSBY</t>
        </is>
      </c>
      <c r="G3131" t="n">
        <v>1.1</v>
      </c>
      <c r="H3131" t="n">
        <v>0</v>
      </c>
      <c r="I3131" t="n">
        <v>0</v>
      </c>
      <c r="J3131" t="n">
        <v>0</v>
      </c>
      <c r="K3131" t="n">
        <v>0</v>
      </c>
      <c r="L3131" t="n">
        <v>0</v>
      </c>
      <c r="M3131" t="n">
        <v>0</v>
      </c>
      <c r="N3131" t="n">
        <v>0</v>
      </c>
      <c r="O3131" t="n">
        <v>0</v>
      </c>
      <c r="P3131" t="n">
        <v>0</v>
      </c>
      <c r="Q3131" t="n">
        <v>0</v>
      </c>
      <c r="R3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2025-02-23T16:33:22Z</dcterms:created>
  <dcterms:modified xmlns:dcterms="http://purl.org/dc/terms/" xmlns:xsi="http://www.w3.org/2001/XMLSchema-instance" xsi:type="dcterms:W3CDTF">2025-02-23T16:33:25Z</dcterms:modified>
</cp:coreProperties>
</file>