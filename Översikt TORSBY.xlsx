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45721</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45721</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45721</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45721</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45721</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45721</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45721</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45721</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45721</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45721</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45721</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45721</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45721</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45721</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45721</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45721</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45721</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45721</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45721</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45721</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45721</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45721</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45721</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45721</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45721</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45721</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45721</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45721</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45721</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45721</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45721</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45721</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45721</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45721</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45721</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45721</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45721</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45721</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45721</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45721</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45721</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45721</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45721</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45721</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45721</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45721</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45721</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45721</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45721</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45721</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45721</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45721</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45721</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45721</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45721</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45721</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45721</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45721</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45721</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45721</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45721</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45721</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45721</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45721</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45721</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45721</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45721</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45721</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45721</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45721</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45721</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45721</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45721</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45721</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45721</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45721</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45721</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45721</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45721</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45721</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45721</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45721</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45721</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45721</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45721</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45721</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45721</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45721</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45721</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45721</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45721</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45721</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45721</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45721</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45721</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45721</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45721</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45721</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45721</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45721</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45721</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45721</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45721</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45721</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45721</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45721</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45721</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45721</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45721</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45721</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45721</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45721</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45721</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45721</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45721</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45721</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45721</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45721</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45721</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45721</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45721</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45721</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45721</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45721</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45721</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45721</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45721</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45721</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45721</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45721</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45721</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45721</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45721</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45721</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40033-2024</t>
        </is>
      </c>
      <c r="B162" s="1" t="n">
        <v>45553</v>
      </c>
      <c r="C162" s="1" t="n">
        <v>45721</v>
      </c>
      <c r="D162" t="inlineStr">
        <is>
          <t>VÄRMLANDS LÄN</t>
        </is>
      </c>
      <c r="E162" t="inlineStr">
        <is>
          <t>TORSBY</t>
        </is>
      </c>
      <c r="G162" t="n">
        <v>6.2</v>
      </c>
      <c r="H162" t="n">
        <v>0</v>
      </c>
      <c r="I162" t="n">
        <v>0</v>
      </c>
      <c r="J162" t="n">
        <v>1</v>
      </c>
      <c r="K162" t="n">
        <v>0</v>
      </c>
      <c r="L162" t="n">
        <v>0</v>
      </c>
      <c r="M162" t="n">
        <v>0</v>
      </c>
      <c r="N162" t="n">
        <v>0</v>
      </c>
      <c r="O162" t="n">
        <v>1</v>
      </c>
      <c r="P162" t="n">
        <v>0</v>
      </c>
      <c r="Q162" t="n">
        <v>1</v>
      </c>
      <c r="R162" s="2" t="inlineStr">
        <is>
          <t>Violettgrå tagellav</t>
        </is>
      </c>
      <c r="S162">
        <f>HYPERLINK("https://klasma.github.io/Logging_1737/artfynd/A 40033-2024 artfynd.xlsx", "A 40033-2024")</f>
        <v/>
      </c>
      <c r="T162">
        <f>HYPERLINK("https://klasma.github.io/Logging_1737/kartor/A 40033-2024 karta.png", "A 40033-2024")</f>
        <v/>
      </c>
      <c r="V162">
        <f>HYPERLINK("https://klasma.github.io/Logging_1737/klagomål/A 40033-2024 FSC-klagomål.docx", "A 40033-2024")</f>
        <v/>
      </c>
      <c r="W162">
        <f>HYPERLINK("https://klasma.github.io/Logging_1737/klagomålsmail/A 40033-2024 FSC-klagomål mail.docx", "A 40033-2024")</f>
        <v/>
      </c>
      <c r="X162">
        <f>HYPERLINK("https://klasma.github.io/Logging_1737/tillsyn/A 40033-2024 tillsynsbegäran.docx", "A 40033-2024")</f>
        <v/>
      </c>
      <c r="Y162">
        <f>HYPERLINK("https://klasma.github.io/Logging_1737/tillsynsmail/A 40033-2024 tillsynsbegäran mail.docx", "A 40033-2024")</f>
        <v/>
      </c>
    </row>
    <row r="163" ht="15" customHeight="1">
      <c r="A163" t="inlineStr">
        <is>
          <t>A 40934-2024</t>
        </is>
      </c>
      <c r="B163" s="1" t="n">
        <v>45558</v>
      </c>
      <c r="C163" s="1" t="n">
        <v>45721</v>
      </c>
      <c r="D163" t="inlineStr">
        <is>
          <t>VÄRMLANDS LÄN</t>
        </is>
      </c>
      <c r="E163" t="inlineStr">
        <is>
          <t>TORSBY</t>
        </is>
      </c>
      <c r="G163" t="n">
        <v>8.1</v>
      </c>
      <c r="H163" t="n">
        <v>0</v>
      </c>
      <c r="I163" t="n">
        <v>0</v>
      </c>
      <c r="J163" t="n">
        <v>1</v>
      </c>
      <c r="K163" t="n">
        <v>0</v>
      </c>
      <c r="L163" t="n">
        <v>0</v>
      </c>
      <c r="M163" t="n">
        <v>0</v>
      </c>
      <c r="N163" t="n">
        <v>0</v>
      </c>
      <c r="O163" t="n">
        <v>1</v>
      </c>
      <c r="P163" t="n">
        <v>0</v>
      </c>
      <c r="Q163" t="n">
        <v>1</v>
      </c>
      <c r="R163" s="2" t="inlineStr">
        <is>
          <t>Lunglav</t>
        </is>
      </c>
      <c r="S163">
        <f>HYPERLINK("https://klasma.github.io/Logging_1737/artfynd/A 40934-2024 artfynd.xlsx", "A 40934-2024")</f>
        <v/>
      </c>
      <c r="T163">
        <f>HYPERLINK("https://klasma.github.io/Logging_1737/kartor/A 40934-2024 karta.png", "A 40934-2024")</f>
        <v/>
      </c>
      <c r="V163">
        <f>HYPERLINK("https://klasma.github.io/Logging_1737/klagomål/A 40934-2024 FSC-klagomål.docx", "A 40934-2024")</f>
        <v/>
      </c>
      <c r="W163">
        <f>HYPERLINK("https://klasma.github.io/Logging_1737/klagomålsmail/A 40934-2024 FSC-klagomål mail.docx", "A 40934-2024")</f>
        <v/>
      </c>
      <c r="X163">
        <f>HYPERLINK("https://klasma.github.io/Logging_1737/tillsyn/A 40934-2024 tillsynsbegäran.docx", "A 40934-2024")</f>
        <v/>
      </c>
      <c r="Y163">
        <f>HYPERLINK("https://klasma.github.io/Logging_1737/tillsynsmail/A 40934-2024 tillsynsbegäran mail.docx", "A 40934-2024")</f>
        <v/>
      </c>
    </row>
    <row r="164" ht="15" customHeight="1">
      <c r="A164" t="inlineStr">
        <is>
          <t>A 41350-2024</t>
        </is>
      </c>
      <c r="B164" s="1" t="n">
        <v>45559</v>
      </c>
      <c r="C164" s="1" t="n">
        <v>45721</v>
      </c>
      <c r="D164" t="inlineStr">
        <is>
          <t>VÄRMLANDS LÄN</t>
        </is>
      </c>
      <c r="E164" t="inlineStr">
        <is>
          <t>TORSBY</t>
        </is>
      </c>
      <c r="G164" t="n">
        <v>5.5</v>
      </c>
      <c r="H164" t="n">
        <v>0</v>
      </c>
      <c r="I164" t="n">
        <v>0</v>
      </c>
      <c r="J164" t="n">
        <v>1</v>
      </c>
      <c r="K164" t="n">
        <v>0</v>
      </c>
      <c r="L164" t="n">
        <v>0</v>
      </c>
      <c r="M164" t="n">
        <v>0</v>
      </c>
      <c r="N164" t="n">
        <v>0</v>
      </c>
      <c r="O164" t="n">
        <v>1</v>
      </c>
      <c r="P164" t="n">
        <v>0</v>
      </c>
      <c r="Q164" t="n">
        <v>1</v>
      </c>
      <c r="R164" s="2" t="inlineStr">
        <is>
          <t>Garnlav</t>
        </is>
      </c>
      <c r="S164">
        <f>HYPERLINK("https://klasma.github.io/Logging_1737/artfynd/A 41350-2024 artfynd.xlsx", "A 41350-2024")</f>
        <v/>
      </c>
      <c r="T164">
        <f>HYPERLINK("https://klasma.github.io/Logging_1737/kartor/A 41350-2024 karta.png", "A 41350-2024")</f>
        <v/>
      </c>
      <c r="V164">
        <f>HYPERLINK("https://klasma.github.io/Logging_1737/klagomål/A 41350-2024 FSC-klagomål.docx", "A 41350-2024")</f>
        <v/>
      </c>
      <c r="W164">
        <f>HYPERLINK("https://klasma.github.io/Logging_1737/klagomålsmail/A 41350-2024 FSC-klagomål mail.docx", "A 41350-2024")</f>
        <v/>
      </c>
      <c r="X164">
        <f>HYPERLINK("https://klasma.github.io/Logging_1737/tillsyn/A 41350-2024 tillsynsbegäran.docx", "A 41350-2024")</f>
        <v/>
      </c>
      <c r="Y164">
        <f>HYPERLINK("https://klasma.github.io/Logging_1737/tillsynsmail/A 41350-2024 tillsynsbegäran mail.docx", "A 41350-2024")</f>
        <v/>
      </c>
    </row>
    <row r="165" ht="15" customHeight="1">
      <c r="A165" t="inlineStr">
        <is>
          <t>A 41477-2024</t>
        </is>
      </c>
      <c r="B165" s="1" t="n">
        <v>45560</v>
      </c>
      <c r="C165" s="1" t="n">
        <v>45721</v>
      </c>
      <c r="D165" t="inlineStr">
        <is>
          <t>VÄRMLANDS LÄN</t>
        </is>
      </c>
      <c r="E165" t="inlineStr">
        <is>
          <t>TORSBY</t>
        </is>
      </c>
      <c r="G165" t="n">
        <v>6.7</v>
      </c>
      <c r="H165" t="n">
        <v>0</v>
      </c>
      <c r="I165" t="n">
        <v>0</v>
      </c>
      <c r="J165" t="n">
        <v>1</v>
      </c>
      <c r="K165" t="n">
        <v>0</v>
      </c>
      <c r="L165" t="n">
        <v>0</v>
      </c>
      <c r="M165" t="n">
        <v>0</v>
      </c>
      <c r="N165" t="n">
        <v>0</v>
      </c>
      <c r="O165" t="n">
        <v>1</v>
      </c>
      <c r="P165" t="n">
        <v>0</v>
      </c>
      <c r="Q165" t="n">
        <v>1</v>
      </c>
      <c r="R165" s="2" t="inlineStr">
        <is>
          <t>Garnlav</t>
        </is>
      </c>
      <c r="S165">
        <f>HYPERLINK("https://klasma.github.io/Logging_1737/artfynd/A 41477-2024 artfynd.xlsx", "A 41477-2024")</f>
        <v/>
      </c>
      <c r="T165">
        <f>HYPERLINK("https://klasma.github.io/Logging_1737/kartor/A 41477-2024 karta.png", "A 41477-2024")</f>
        <v/>
      </c>
      <c r="V165">
        <f>HYPERLINK("https://klasma.github.io/Logging_1737/klagomål/A 41477-2024 FSC-klagomål.docx", "A 41477-2024")</f>
        <v/>
      </c>
      <c r="W165">
        <f>HYPERLINK("https://klasma.github.io/Logging_1737/klagomålsmail/A 41477-2024 FSC-klagomål mail.docx", "A 41477-2024")</f>
        <v/>
      </c>
      <c r="X165">
        <f>HYPERLINK("https://klasma.github.io/Logging_1737/tillsyn/A 41477-2024 tillsynsbegäran.docx", "A 41477-2024")</f>
        <v/>
      </c>
      <c r="Y165">
        <f>HYPERLINK("https://klasma.github.io/Logging_1737/tillsynsmail/A 41477-2024 tillsynsbegäran mail.docx", "A 41477-2024")</f>
        <v/>
      </c>
    </row>
    <row r="166" ht="15" customHeight="1">
      <c r="A166" t="inlineStr">
        <is>
          <t>A 47689-2024</t>
        </is>
      </c>
      <c r="B166" s="1" t="n">
        <v>45588</v>
      </c>
      <c r="C166" s="1" t="n">
        <v>45721</v>
      </c>
      <c r="D166" t="inlineStr">
        <is>
          <t>VÄRMLANDS LÄN</t>
        </is>
      </c>
      <c r="E166" t="inlineStr">
        <is>
          <t>TORSBY</t>
        </is>
      </c>
      <c r="G166" t="n">
        <v>3.1</v>
      </c>
      <c r="H166" t="n">
        <v>0</v>
      </c>
      <c r="I166" t="n">
        <v>0</v>
      </c>
      <c r="J166" t="n">
        <v>1</v>
      </c>
      <c r="K166" t="n">
        <v>0</v>
      </c>
      <c r="L166" t="n">
        <v>0</v>
      </c>
      <c r="M166" t="n">
        <v>0</v>
      </c>
      <c r="N166" t="n">
        <v>0</v>
      </c>
      <c r="O166" t="n">
        <v>1</v>
      </c>
      <c r="P166" t="n">
        <v>0</v>
      </c>
      <c r="Q166" t="n">
        <v>1</v>
      </c>
      <c r="R166" s="2" t="inlineStr">
        <is>
          <t>Garnlav</t>
        </is>
      </c>
      <c r="S166">
        <f>HYPERLINK("https://klasma.github.io/Logging_1737/artfynd/A 47689-2024 artfynd.xlsx", "A 47689-2024")</f>
        <v/>
      </c>
      <c r="T166">
        <f>HYPERLINK("https://klasma.github.io/Logging_1737/kartor/A 47689-2024 karta.png", "A 47689-2024")</f>
        <v/>
      </c>
      <c r="V166">
        <f>HYPERLINK("https://klasma.github.io/Logging_1737/klagomål/A 47689-2024 FSC-klagomål.docx", "A 47689-2024")</f>
        <v/>
      </c>
      <c r="W166">
        <f>HYPERLINK("https://klasma.github.io/Logging_1737/klagomålsmail/A 47689-2024 FSC-klagomål mail.docx", "A 47689-2024")</f>
        <v/>
      </c>
      <c r="X166">
        <f>HYPERLINK("https://klasma.github.io/Logging_1737/tillsyn/A 47689-2024 tillsynsbegäran.docx", "A 47689-2024")</f>
        <v/>
      </c>
      <c r="Y166">
        <f>HYPERLINK("https://klasma.github.io/Logging_1737/tillsynsmail/A 47689-2024 tillsynsbegäran mail.docx", "A 47689-2024")</f>
        <v/>
      </c>
    </row>
    <row r="167" ht="15" customHeight="1">
      <c r="A167" t="inlineStr">
        <is>
          <t>A 53862-2024</t>
        </is>
      </c>
      <c r="B167" s="1" t="n">
        <v>45615</v>
      </c>
      <c r="C167" s="1" t="n">
        <v>45721</v>
      </c>
      <c r="D167" t="inlineStr">
        <is>
          <t>VÄRMLANDS LÄN</t>
        </is>
      </c>
      <c r="E167" t="inlineStr">
        <is>
          <t>TORSBY</t>
        </is>
      </c>
      <c r="G167" t="n">
        <v>3.4</v>
      </c>
      <c r="H167" t="n">
        <v>0</v>
      </c>
      <c r="I167" t="n">
        <v>0</v>
      </c>
      <c r="J167" t="n">
        <v>1</v>
      </c>
      <c r="K167" t="n">
        <v>0</v>
      </c>
      <c r="L167" t="n">
        <v>0</v>
      </c>
      <c r="M167" t="n">
        <v>0</v>
      </c>
      <c r="N167" t="n">
        <v>0</v>
      </c>
      <c r="O167" t="n">
        <v>1</v>
      </c>
      <c r="P167" t="n">
        <v>0</v>
      </c>
      <c r="Q167" t="n">
        <v>1</v>
      </c>
      <c r="R167" s="2" t="inlineStr">
        <is>
          <t>Kolflarnlav</t>
        </is>
      </c>
      <c r="S167">
        <f>HYPERLINK("https://klasma.github.io/Logging_1737/artfynd/A 53862-2024 artfynd.xlsx", "A 53862-2024")</f>
        <v/>
      </c>
      <c r="T167">
        <f>HYPERLINK("https://klasma.github.io/Logging_1737/kartor/A 53862-2024 karta.png", "A 53862-2024")</f>
        <v/>
      </c>
      <c r="V167">
        <f>HYPERLINK("https://klasma.github.io/Logging_1737/klagomål/A 53862-2024 FSC-klagomål.docx", "A 53862-2024")</f>
        <v/>
      </c>
      <c r="W167">
        <f>HYPERLINK("https://klasma.github.io/Logging_1737/klagomålsmail/A 53862-2024 FSC-klagomål mail.docx", "A 53862-2024")</f>
        <v/>
      </c>
      <c r="X167">
        <f>HYPERLINK("https://klasma.github.io/Logging_1737/tillsyn/A 53862-2024 tillsynsbegäran.docx", "A 53862-2024")</f>
        <v/>
      </c>
      <c r="Y167">
        <f>HYPERLINK("https://klasma.github.io/Logging_1737/tillsynsmail/A 53862-2024 tillsynsbegäran mail.docx", "A 53862-2024")</f>
        <v/>
      </c>
    </row>
    <row r="168" ht="15" customHeight="1">
      <c r="A168" t="inlineStr">
        <is>
          <t>A 54009-2024</t>
        </is>
      </c>
      <c r="B168" s="1" t="n">
        <v>45616</v>
      </c>
      <c r="C168" s="1" t="n">
        <v>45721</v>
      </c>
      <c r="D168" t="inlineStr">
        <is>
          <t>VÄRMLANDS LÄN</t>
        </is>
      </c>
      <c r="E168" t="inlineStr">
        <is>
          <t>TORSBY</t>
        </is>
      </c>
      <c r="F168" t="inlineStr">
        <is>
          <t>Bergvik skog väst AB</t>
        </is>
      </c>
      <c r="G168" t="n">
        <v>8.800000000000001</v>
      </c>
      <c r="H168" t="n">
        <v>1</v>
      </c>
      <c r="I168" t="n">
        <v>1</v>
      </c>
      <c r="J168" t="n">
        <v>0</v>
      </c>
      <c r="K168" t="n">
        <v>0</v>
      </c>
      <c r="L168" t="n">
        <v>0</v>
      </c>
      <c r="M168" t="n">
        <v>0</v>
      </c>
      <c r="N168" t="n">
        <v>0</v>
      </c>
      <c r="O168" t="n">
        <v>0</v>
      </c>
      <c r="P168" t="n">
        <v>0</v>
      </c>
      <c r="Q168" t="n">
        <v>1</v>
      </c>
      <c r="R168" s="2" t="inlineStr">
        <is>
          <t>Korallrot</t>
        </is>
      </c>
      <c r="S168">
        <f>HYPERLINK("https://klasma.github.io/Logging_1737/artfynd/A 54009-2024 artfynd.xlsx", "A 54009-2024")</f>
        <v/>
      </c>
      <c r="T168">
        <f>HYPERLINK("https://klasma.github.io/Logging_1737/kartor/A 54009-2024 karta.png", "A 54009-2024")</f>
        <v/>
      </c>
      <c r="V168">
        <f>HYPERLINK("https://klasma.github.io/Logging_1737/klagomål/A 54009-2024 FSC-klagomål.docx", "A 54009-2024")</f>
        <v/>
      </c>
      <c r="W168">
        <f>HYPERLINK("https://klasma.github.io/Logging_1737/klagomålsmail/A 54009-2024 FSC-klagomål mail.docx", "A 54009-2024")</f>
        <v/>
      </c>
      <c r="X168">
        <f>HYPERLINK("https://klasma.github.io/Logging_1737/tillsyn/A 54009-2024 tillsynsbegäran.docx", "A 54009-2024")</f>
        <v/>
      </c>
      <c r="Y168">
        <f>HYPERLINK("https://klasma.github.io/Logging_1737/tillsynsmail/A 54009-2024 tillsynsbegäran mail.docx", "A 54009-2024")</f>
        <v/>
      </c>
    </row>
    <row r="169" ht="15" customHeight="1">
      <c r="A169" t="inlineStr">
        <is>
          <t>A 54029-2024</t>
        </is>
      </c>
      <c r="B169" s="1" t="n">
        <v>45616</v>
      </c>
      <c r="C169" s="1" t="n">
        <v>45721</v>
      </c>
      <c r="D169" t="inlineStr">
        <is>
          <t>VÄRMLANDS LÄN</t>
        </is>
      </c>
      <c r="E169" t="inlineStr">
        <is>
          <t>TORSBY</t>
        </is>
      </c>
      <c r="G169" t="n">
        <v>10.2</v>
      </c>
      <c r="H169" t="n">
        <v>0</v>
      </c>
      <c r="I169" t="n">
        <v>1</v>
      </c>
      <c r="J169" t="n">
        <v>0</v>
      </c>
      <c r="K169" t="n">
        <v>0</v>
      </c>
      <c r="L169" t="n">
        <v>0</v>
      </c>
      <c r="M169" t="n">
        <v>0</v>
      </c>
      <c r="N169" t="n">
        <v>0</v>
      </c>
      <c r="O169" t="n">
        <v>0</v>
      </c>
      <c r="P169" t="n">
        <v>0</v>
      </c>
      <c r="Q169" t="n">
        <v>1</v>
      </c>
      <c r="R169" s="2" t="inlineStr">
        <is>
          <t>Vedticka</t>
        </is>
      </c>
      <c r="S169">
        <f>HYPERLINK("https://klasma.github.io/Logging_1737/artfynd/A 54029-2024 artfynd.xlsx", "A 54029-2024")</f>
        <v/>
      </c>
      <c r="T169">
        <f>HYPERLINK("https://klasma.github.io/Logging_1737/kartor/A 54029-2024 karta.png", "A 54029-2024")</f>
        <v/>
      </c>
      <c r="V169">
        <f>HYPERLINK("https://klasma.github.io/Logging_1737/klagomål/A 54029-2024 FSC-klagomål.docx", "A 54029-2024")</f>
        <v/>
      </c>
      <c r="W169">
        <f>HYPERLINK("https://klasma.github.io/Logging_1737/klagomålsmail/A 54029-2024 FSC-klagomål mail.docx", "A 54029-2024")</f>
        <v/>
      </c>
      <c r="X169">
        <f>HYPERLINK("https://klasma.github.io/Logging_1737/tillsyn/A 54029-2024 tillsynsbegäran.docx", "A 54029-2024")</f>
        <v/>
      </c>
      <c r="Y169">
        <f>HYPERLINK("https://klasma.github.io/Logging_1737/tillsynsmail/A 54029-2024 tillsynsbegäran mail.docx", "A 54029-2024")</f>
        <v/>
      </c>
    </row>
    <row r="170" ht="15" customHeight="1">
      <c r="A170" t="inlineStr">
        <is>
          <t>A 54788-2024</t>
        </is>
      </c>
      <c r="B170" s="1" t="n">
        <v>45618</v>
      </c>
      <c r="C170" s="1" t="n">
        <v>45721</v>
      </c>
      <c r="D170" t="inlineStr">
        <is>
          <t>VÄRMLANDS LÄN</t>
        </is>
      </c>
      <c r="E170" t="inlineStr">
        <is>
          <t>TORSBY</t>
        </is>
      </c>
      <c r="G170" t="n">
        <v>2.4</v>
      </c>
      <c r="H170" t="n">
        <v>0</v>
      </c>
      <c r="I170" t="n">
        <v>0</v>
      </c>
      <c r="J170" t="n">
        <v>1</v>
      </c>
      <c r="K170" t="n">
        <v>0</v>
      </c>
      <c r="L170" t="n">
        <v>0</v>
      </c>
      <c r="M170" t="n">
        <v>0</v>
      </c>
      <c r="N170" t="n">
        <v>0</v>
      </c>
      <c r="O170" t="n">
        <v>1</v>
      </c>
      <c r="P170" t="n">
        <v>0</v>
      </c>
      <c r="Q170" t="n">
        <v>1</v>
      </c>
      <c r="R170" s="2" t="inlineStr">
        <is>
          <t>Mörk kolflarnlav</t>
        </is>
      </c>
      <c r="S170">
        <f>HYPERLINK("https://klasma.github.io/Logging_1737/artfynd/A 54788-2024 artfynd.xlsx", "A 54788-2024")</f>
        <v/>
      </c>
      <c r="T170">
        <f>HYPERLINK("https://klasma.github.io/Logging_1737/kartor/A 54788-2024 karta.png", "A 54788-2024")</f>
        <v/>
      </c>
      <c r="V170">
        <f>HYPERLINK("https://klasma.github.io/Logging_1737/klagomål/A 54788-2024 FSC-klagomål.docx", "A 54788-2024")</f>
        <v/>
      </c>
      <c r="W170">
        <f>HYPERLINK("https://klasma.github.io/Logging_1737/klagomålsmail/A 54788-2024 FSC-klagomål mail.docx", "A 54788-2024")</f>
        <v/>
      </c>
      <c r="X170">
        <f>HYPERLINK("https://klasma.github.io/Logging_1737/tillsyn/A 54788-2024 tillsynsbegäran.docx", "A 54788-2024")</f>
        <v/>
      </c>
      <c r="Y170">
        <f>HYPERLINK("https://klasma.github.io/Logging_1737/tillsynsmail/A 54788-2024 tillsynsbegäran mail.docx", "A 54788-2024")</f>
        <v/>
      </c>
    </row>
    <row r="171" ht="15" customHeight="1">
      <c r="A171" t="inlineStr">
        <is>
          <t>A 54786-2024</t>
        </is>
      </c>
      <c r="B171" s="1" t="n">
        <v>45618</v>
      </c>
      <c r="C171" s="1" t="n">
        <v>45721</v>
      </c>
      <c r="D171" t="inlineStr">
        <is>
          <t>VÄRMLANDS LÄN</t>
        </is>
      </c>
      <c r="E171" t="inlineStr">
        <is>
          <t>TORSBY</t>
        </is>
      </c>
      <c r="G171" t="n">
        <v>3.8</v>
      </c>
      <c r="H171" t="n">
        <v>0</v>
      </c>
      <c r="I171" t="n">
        <v>0</v>
      </c>
      <c r="J171" t="n">
        <v>1</v>
      </c>
      <c r="K171" t="n">
        <v>0</v>
      </c>
      <c r="L171" t="n">
        <v>0</v>
      </c>
      <c r="M171" t="n">
        <v>0</v>
      </c>
      <c r="N171" t="n">
        <v>0</v>
      </c>
      <c r="O171" t="n">
        <v>1</v>
      </c>
      <c r="P171" t="n">
        <v>0</v>
      </c>
      <c r="Q171" t="n">
        <v>1</v>
      </c>
      <c r="R171" s="2" t="inlineStr">
        <is>
          <t>Dvärgbägarlav</t>
        </is>
      </c>
      <c r="S171">
        <f>HYPERLINK("https://klasma.github.io/Logging_1737/artfynd/A 54786-2024 artfynd.xlsx", "A 54786-2024")</f>
        <v/>
      </c>
      <c r="T171">
        <f>HYPERLINK("https://klasma.github.io/Logging_1737/kartor/A 54786-2024 karta.png", "A 54786-2024")</f>
        <v/>
      </c>
      <c r="V171">
        <f>HYPERLINK("https://klasma.github.io/Logging_1737/klagomål/A 54786-2024 FSC-klagomål.docx", "A 54786-2024")</f>
        <v/>
      </c>
      <c r="W171">
        <f>HYPERLINK("https://klasma.github.io/Logging_1737/klagomålsmail/A 54786-2024 FSC-klagomål mail.docx", "A 54786-2024")</f>
        <v/>
      </c>
      <c r="X171">
        <f>HYPERLINK("https://klasma.github.io/Logging_1737/tillsyn/A 54786-2024 tillsynsbegäran.docx", "A 54786-2024")</f>
        <v/>
      </c>
      <c r="Y171">
        <f>HYPERLINK("https://klasma.github.io/Logging_1737/tillsynsmail/A 54786-2024 tillsynsbegäran mail.docx", "A 54786-2024")</f>
        <v/>
      </c>
    </row>
    <row r="172" ht="15" customHeight="1">
      <c r="A172" t="inlineStr">
        <is>
          <t>A 56133-2024</t>
        </is>
      </c>
      <c r="B172" s="1" t="n">
        <v>45624</v>
      </c>
      <c r="C172" s="1" t="n">
        <v>45721</v>
      </c>
      <c r="D172" t="inlineStr">
        <is>
          <t>VÄRMLANDS LÄN</t>
        </is>
      </c>
      <c r="E172" t="inlineStr">
        <is>
          <t>TORSBY</t>
        </is>
      </c>
      <c r="G172" t="n">
        <v>2.4</v>
      </c>
      <c r="H172" t="n">
        <v>0</v>
      </c>
      <c r="I172" t="n">
        <v>1</v>
      </c>
      <c r="J172" t="n">
        <v>0</v>
      </c>
      <c r="K172" t="n">
        <v>0</v>
      </c>
      <c r="L172" t="n">
        <v>0</v>
      </c>
      <c r="M172" t="n">
        <v>0</v>
      </c>
      <c r="N172" t="n">
        <v>0</v>
      </c>
      <c r="O172" t="n">
        <v>0</v>
      </c>
      <c r="P172" t="n">
        <v>0</v>
      </c>
      <c r="Q172" t="n">
        <v>1</v>
      </c>
      <c r="R172" s="2" t="inlineStr">
        <is>
          <t>Vedticka</t>
        </is>
      </c>
      <c r="S172">
        <f>HYPERLINK("https://klasma.github.io/Logging_1737/artfynd/A 56133-2024 artfynd.xlsx", "A 56133-2024")</f>
        <v/>
      </c>
      <c r="T172">
        <f>HYPERLINK("https://klasma.github.io/Logging_1737/kartor/A 56133-2024 karta.png", "A 56133-2024")</f>
        <v/>
      </c>
      <c r="V172">
        <f>HYPERLINK("https://klasma.github.io/Logging_1737/klagomål/A 56133-2024 FSC-klagomål.docx", "A 56133-2024")</f>
        <v/>
      </c>
      <c r="W172">
        <f>HYPERLINK("https://klasma.github.io/Logging_1737/klagomålsmail/A 56133-2024 FSC-klagomål mail.docx", "A 56133-2024")</f>
        <v/>
      </c>
      <c r="X172">
        <f>HYPERLINK("https://klasma.github.io/Logging_1737/tillsyn/A 56133-2024 tillsynsbegäran.docx", "A 56133-2024")</f>
        <v/>
      </c>
      <c r="Y172">
        <f>HYPERLINK("https://klasma.github.io/Logging_1737/tillsynsmail/A 56133-2024 tillsynsbegäran mail.docx", "A 56133-2024")</f>
        <v/>
      </c>
    </row>
    <row r="173" ht="15" customHeight="1">
      <c r="A173" t="inlineStr">
        <is>
          <t>A 56990-2024</t>
        </is>
      </c>
      <c r="B173" s="1" t="n">
        <v>45628</v>
      </c>
      <c r="C173" s="1" t="n">
        <v>45721</v>
      </c>
      <c r="D173" t="inlineStr">
        <is>
          <t>VÄRMLANDS LÄN</t>
        </is>
      </c>
      <c r="E173" t="inlineStr">
        <is>
          <t>TORSBY</t>
        </is>
      </c>
      <c r="F173" t="inlineStr">
        <is>
          <t>Bergvik skog väst AB</t>
        </is>
      </c>
      <c r="G173" t="n">
        <v>8.699999999999999</v>
      </c>
      <c r="H173" t="n">
        <v>1</v>
      </c>
      <c r="I173" t="n">
        <v>0</v>
      </c>
      <c r="J173" t="n">
        <v>1</v>
      </c>
      <c r="K173" t="n">
        <v>0</v>
      </c>
      <c r="L173" t="n">
        <v>0</v>
      </c>
      <c r="M173" t="n">
        <v>0</v>
      </c>
      <c r="N173" t="n">
        <v>0</v>
      </c>
      <c r="O173" t="n">
        <v>1</v>
      </c>
      <c r="P173" t="n">
        <v>0</v>
      </c>
      <c r="Q173" t="n">
        <v>1</v>
      </c>
      <c r="R173" s="2" t="inlineStr">
        <is>
          <t>Grönsångare</t>
        </is>
      </c>
      <c r="S173">
        <f>HYPERLINK("https://klasma.github.io/Logging_1737/artfynd/A 56990-2024 artfynd.xlsx", "A 56990-2024")</f>
        <v/>
      </c>
      <c r="T173">
        <f>HYPERLINK("https://klasma.github.io/Logging_1737/kartor/A 56990-2024 karta.png", "A 56990-2024")</f>
        <v/>
      </c>
      <c r="V173">
        <f>HYPERLINK("https://klasma.github.io/Logging_1737/klagomål/A 56990-2024 FSC-klagomål.docx", "A 56990-2024")</f>
        <v/>
      </c>
      <c r="W173">
        <f>HYPERLINK("https://klasma.github.io/Logging_1737/klagomålsmail/A 56990-2024 FSC-klagomål mail.docx", "A 56990-2024")</f>
        <v/>
      </c>
      <c r="X173">
        <f>HYPERLINK("https://klasma.github.io/Logging_1737/tillsyn/A 56990-2024 tillsynsbegäran.docx", "A 56990-2024")</f>
        <v/>
      </c>
      <c r="Y173">
        <f>HYPERLINK("https://klasma.github.io/Logging_1737/tillsynsmail/A 56990-2024 tillsynsbegäran mail.docx", "A 56990-2024")</f>
        <v/>
      </c>
      <c r="Z173">
        <f>HYPERLINK("https://klasma.github.io/Logging_1737/fåglar/A 56990-2024 prioriterade fågelarter.docx", "A 56990-2024")</f>
        <v/>
      </c>
    </row>
    <row r="174" ht="15" customHeight="1">
      <c r="A174" t="inlineStr">
        <is>
          <t>A 58014-2024</t>
        </is>
      </c>
      <c r="B174" s="1" t="n">
        <v>45631</v>
      </c>
      <c r="C174" s="1" t="n">
        <v>45721</v>
      </c>
      <c r="D174" t="inlineStr">
        <is>
          <t>VÄRMLANDS LÄN</t>
        </is>
      </c>
      <c r="E174" t="inlineStr">
        <is>
          <t>TORSBY</t>
        </is>
      </c>
      <c r="G174" t="n">
        <v>2.2</v>
      </c>
      <c r="H174" t="n">
        <v>0</v>
      </c>
      <c r="I174" t="n">
        <v>1</v>
      </c>
      <c r="J174" t="n">
        <v>0</v>
      </c>
      <c r="K174" t="n">
        <v>0</v>
      </c>
      <c r="L174" t="n">
        <v>0</v>
      </c>
      <c r="M174" t="n">
        <v>0</v>
      </c>
      <c r="N174" t="n">
        <v>0</v>
      </c>
      <c r="O174" t="n">
        <v>0</v>
      </c>
      <c r="P174" t="n">
        <v>0</v>
      </c>
      <c r="Q174" t="n">
        <v>1</v>
      </c>
      <c r="R174" s="2" t="inlineStr">
        <is>
          <t>Kattfotslav</t>
        </is>
      </c>
      <c r="S174">
        <f>HYPERLINK("https://klasma.github.io/Logging_1737/artfynd/A 58014-2024 artfynd.xlsx", "A 58014-2024")</f>
        <v/>
      </c>
      <c r="T174">
        <f>HYPERLINK("https://klasma.github.io/Logging_1737/kartor/A 58014-2024 karta.png", "A 58014-2024")</f>
        <v/>
      </c>
      <c r="V174">
        <f>HYPERLINK("https://klasma.github.io/Logging_1737/klagomål/A 58014-2024 FSC-klagomål.docx", "A 58014-2024")</f>
        <v/>
      </c>
      <c r="W174">
        <f>HYPERLINK("https://klasma.github.io/Logging_1737/klagomålsmail/A 58014-2024 FSC-klagomål mail.docx", "A 58014-2024")</f>
        <v/>
      </c>
      <c r="X174">
        <f>HYPERLINK("https://klasma.github.io/Logging_1737/tillsyn/A 58014-2024 tillsynsbegäran.docx", "A 58014-2024")</f>
        <v/>
      </c>
      <c r="Y174">
        <f>HYPERLINK("https://klasma.github.io/Logging_1737/tillsynsmail/A 58014-2024 tillsynsbegäran mail.docx", "A 58014-2024")</f>
        <v/>
      </c>
    </row>
    <row r="175" ht="15" customHeight="1">
      <c r="A175" t="inlineStr">
        <is>
          <t>A 5726-2025</t>
        </is>
      </c>
      <c r="B175" s="1" t="n">
        <v>45694</v>
      </c>
      <c r="C175" s="1" t="n">
        <v>45721</v>
      </c>
      <c r="D175" t="inlineStr">
        <is>
          <t>VÄRMLANDS LÄN</t>
        </is>
      </c>
      <c r="E175" t="inlineStr">
        <is>
          <t>TORSBY</t>
        </is>
      </c>
      <c r="G175" t="n">
        <v>3.5</v>
      </c>
      <c r="H175" t="n">
        <v>0</v>
      </c>
      <c r="I175" t="n">
        <v>1</v>
      </c>
      <c r="J175" t="n">
        <v>0</v>
      </c>
      <c r="K175" t="n">
        <v>0</v>
      </c>
      <c r="L175" t="n">
        <v>0</v>
      </c>
      <c r="M175" t="n">
        <v>0</v>
      </c>
      <c r="N175" t="n">
        <v>0</v>
      </c>
      <c r="O175" t="n">
        <v>0</v>
      </c>
      <c r="P175" t="n">
        <v>0</v>
      </c>
      <c r="Q175" t="n">
        <v>1</v>
      </c>
      <c r="R175" s="2" t="inlineStr">
        <is>
          <t>Vedticka</t>
        </is>
      </c>
      <c r="S175">
        <f>HYPERLINK("https://klasma.github.io/Logging_1737/artfynd/A 5726-2025 artfynd.xlsx", "A 5726-2025")</f>
        <v/>
      </c>
      <c r="T175">
        <f>HYPERLINK("https://klasma.github.io/Logging_1737/kartor/A 5726-2025 karta.png", "A 5726-2025")</f>
        <v/>
      </c>
      <c r="V175">
        <f>HYPERLINK("https://klasma.github.io/Logging_1737/klagomål/A 5726-2025 FSC-klagomål.docx", "A 5726-2025")</f>
        <v/>
      </c>
      <c r="W175">
        <f>HYPERLINK("https://klasma.github.io/Logging_1737/klagomålsmail/A 5726-2025 FSC-klagomål mail.docx", "A 5726-2025")</f>
        <v/>
      </c>
      <c r="X175">
        <f>HYPERLINK("https://klasma.github.io/Logging_1737/tillsyn/A 5726-2025 tillsynsbegäran.docx", "A 5726-2025")</f>
        <v/>
      </c>
      <c r="Y175">
        <f>HYPERLINK("https://klasma.github.io/Logging_1737/tillsynsmail/A 5726-2025 tillsynsbegäran mail.docx", "A 5726-2025")</f>
        <v/>
      </c>
    </row>
    <row r="176" ht="15" customHeight="1">
      <c r="A176" t="inlineStr">
        <is>
          <t>A 17808-2019</t>
        </is>
      </c>
      <c r="B176" s="1" t="n">
        <v>43556</v>
      </c>
      <c r="C176" s="1" t="n">
        <v>45721</v>
      </c>
      <c r="D176" t="inlineStr">
        <is>
          <t>VÄRMLANDS LÄN</t>
        </is>
      </c>
      <c r="E176" t="inlineStr">
        <is>
          <t>TORSBY</t>
        </is>
      </c>
      <c r="G176" t="n">
        <v>2.1</v>
      </c>
      <c r="H176" t="n">
        <v>0</v>
      </c>
      <c r="I176" t="n">
        <v>0</v>
      </c>
      <c r="J176" t="n">
        <v>0</v>
      </c>
      <c r="K176" t="n">
        <v>0</v>
      </c>
      <c r="L176" t="n">
        <v>0</v>
      </c>
      <c r="M176" t="n">
        <v>0</v>
      </c>
      <c r="N176" t="n">
        <v>0</v>
      </c>
      <c r="O176" t="n">
        <v>0</v>
      </c>
      <c r="P176" t="n">
        <v>0</v>
      </c>
      <c r="Q176" t="n">
        <v>0</v>
      </c>
      <c r="R176" s="2" t="inlineStr"/>
    </row>
    <row r="177" ht="15" customHeight="1">
      <c r="A177" t="inlineStr">
        <is>
          <t>A 17788-2019</t>
        </is>
      </c>
      <c r="B177" s="1" t="n">
        <v>43556</v>
      </c>
      <c r="C177" s="1" t="n">
        <v>45721</v>
      </c>
      <c r="D177" t="inlineStr">
        <is>
          <t>VÄRMLANDS LÄN</t>
        </is>
      </c>
      <c r="E177" t="inlineStr">
        <is>
          <t>TORSBY</t>
        </is>
      </c>
      <c r="G177" t="n">
        <v>2.3</v>
      </c>
      <c r="H177" t="n">
        <v>0</v>
      </c>
      <c r="I177" t="n">
        <v>0</v>
      </c>
      <c r="J177" t="n">
        <v>0</v>
      </c>
      <c r="K177" t="n">
        <v>0</v>
      </c>
      <c r="L177" t="n">
        <v>0</v>
      </c>
      <c r="M177" t="n">
        <v>0</v>
      </c>
      <c r="N177" t="n">
        <v>0</v>
      </c>
      <c r="O177" t="n">
        <v>0</v>
      </c>
      <c r="P177" t="n">
        <v>0</v>
      </c>
      <c r="Q177" t="n">
        <v>0</v>
      </c>
      <c r="R177" s="2" t="inlineStr"/>
    </row>
    <row r="178" ht="15" customHeight="1">
      <c r="A178" t="inlineStr">
        <is>
          <t>A 17957-2019</t>
        </is>
      </c>
      <c r="B178" s="1" t="n">
        <v>43557</v>
      </c>
      <c r="C178" s="1" t="n">
        <v>45721</v>
      </c>
      <c r="D178" t="inlineStr">
        <is>
          <t>VÄRMLANDS LÄN</t>
        </is>
      </c>
      <c r="E178" t="inlineStr">
        <is>
          <t>TORSBY</t>
        </is>
      </c>
      <c r="G178" t="n">
        <v>1.6</v>
      </c>
      <c r="H178" t="n">
        <v>0</v>
      </c>
      <c r="I178" t="n">
        <v>0</v>
      </c>
      <c r="J178" t="n">
        <v>0</v>
      </c>
      <c r="K178" t="n">
        <v>0</v>
      </c>
      <c r="L178" t="n">
        <v>0</v>
      </c>
      <c r="M178" t="n">
        <v>0</v>
      </c>
      <c r="N178" t="n">
        <v>0</v>
      </c>
      <c r="O178" t="n">
        <v>0</v>
      </c>
      <c r="P178" t="n">
        <v>0</v>
      </c>
      <c r="Q178" t="n">
        <v>0</v>
      </c>
      <c r="R178" s="2" t="inlineStr"/>
    </row>
    <row r="179" ht="15" customHeight="1">
      <c r="A179" t="inlineStr">
        <is>
          <t>A 17864-2019</t>
        </is>
      </c>
      <c r="B179" s="1" t="n">
        <v>43557</v>
      </c>
      <c r="C179" s="1" t="n">
        <v>45721</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18551-2019</t>
        </is>
      </c>
      <c r="B180" s="1" t="n">
        <v>43559</v>
      </c>
      <c r="C180" s="1" t="n">
        <v>45721</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18947-2019</t>
        </is>
      </c>
      <c r="B181" s="1" t="n">
        <v>43563</v>
      </c>
      <c r="C181" s="1" t="n">
        <v>45721</v>
      </c>
      <c r="D181" t="inlineStr">
        <is>
          <t>VÄRMLANDS LÄN</t>
        </is>
      </c>
      <c r="E181" t="inlineStr">
        <is>
          <t>TORSBY</t>
        </is>
      </c>
      <c r="G181" t="n">
        <v>7.6</v>
      </c>
      <c r="H181" t="n">
        <v>0</v>
      </c>
      <c r="I181" t="n">
        <v>0</v>
      </c>
      <c r="J181" t="n">
        <v>0</v>
      </c>
      <c r="K181" t="n">
        <v>0</v>
      </c>
      <c r="L181" t="n">
        <v>0</v>
      </c>
      <c r="M181" t="n">
        <v>0</v>
      </c>
      <c r="N181" t="n">
        <v>0</v>
      </c>
      <c r="O181" t="n">
        <v>0</v>
      </c>
      <c r="P181" t="n">
        <v>0</v>
      </c>
      <c r="Q181" t="n">
        <v>0</v>
      </c>
      <c r="R181" s="2" t="inlineStr"/>
    </row>
    <row r="182" ht="15" customHeight="1">
      <c r="A182" t="inlineStr">
        <is>
          <t>A 19974-2019</t>
        </is>
      </c>
      <c r="B182" s="1" t="n">
        <v>43564</v>
      </c>
      <c r="C182" s="1" t="n">
        <v>45721</v>
      </c>
      <c r="D182" t="inlineStr">
        <is>
          <t>VÄRMLANDS LÄN</t>
        </is>
      </c>
      <c r="E182" t="inlineStr">
        <is>
          <t>TORSBY</t>
        </is>
      </c>
      <c r="G182" t="n">
        <v>5.1</v>
      </c>
      <c r="H182" t="n">
        <v>0</v>
      </c>
      <c r="I182" t="n">
        <v>0</v>
      </c>
      <c r="J182" t="n">
        <v>0</v>
      </c>
      <c r="K182" t="n">
        <v>0</v>
      </c>
      <c r="L182" t="n">
        <v>0</v>
      </c>
      <c r="M182" t="n">
        <v>0</v>
      </c>
      <c r="N182" t="n">
        <v>0</v>
      </c>
      <c r="O182" t="n">
        <v>0</v>
      </c>
      <c r="P182" t="n">
        <v>0</v>
      </c>
      <c r="Q182" t="n">
        <v>0</v>
      </c>
      <c r="R182" s="2" t="inlineStr"/>
    </row>
    <row r="183" ht="15" customHeight="1">
      <c r="A183" t="inlineStr">
        <is>
          <t>A 19125-2019</t>
        </is>
      </c>
      <c r="B183" s="1" t="n">
        <v>43564</v>
      </c>
      <c r="C183" s="1" t="n">
        <v>45721</v>
      </c>
      <c r="D183" t="inlineStr">
        <is>
          <t>VÄRMLANDS LÄN</t>
        </is>
      </c>
      <c r="E183" t="inlineStr">
        <is>
          <t>TORSBY</t>
        </is>
      </c>
      <c r="G183" t="n">
        <v>18.3</v>
      </c>
      <c r="H183" t="n">
        <v>0</v>
      </c>
      <c r="I183" t="n">
        <v>0</v>
      </c>
      <c r="J183" t="n">
        <v>0</v>
      </c>
      <c r="K183" t="n">
        <v>0</v>
      </c>
      <c r="L183" t="n">
        <v>0</v>
      </c>
      <c r="M183" t="n">
        <v>0</v>
      </c>
      <c r="N183" t="n">
        <v>0</v>
      </c>
      <c r="O183" t="n">
        <v>0</v>
      </c>
      <c r="P183" t="n">
        <v>0</v>
      </c>
      <c r="Q183" t="n">
        <v>0</v>
      </c>
      <c r="R183" s="2" t="inlineStr"/>
    </row>
    <row r="184" ht="15" customHeight="1">
      <c r="A184" t="inlineStr">
        <is>
          <t>A 19591-2019</t>
        </is>
      </c>
      <c r="B184" s="1" t="n">
        <v>43566</v>
      </c>
      <c r="C184" s="1" t="n">
        <v>45721</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20167-2019</t>
        </is>
      </c>
      <c r="B185" s="1" t="n">
        <v>43570</v>
      </c>
      <c r="C185" s="1" t="n">
        <v>45721</v>
      </c>
      <c r="D185" t="inlineStr">
        <is>
          <t>VÄRMLANDS LÄN</t>
        </is>
      </c>
      <c r="E185" t="inlineStr">
        <is>
          <t>TORSBY</t>
        </is>
      </c>
      <c r="G185" t="n">
        <v>5</v>
      </c>
      <c r="H185" t="n">
        <v>0</v>
      </c>
      <c r="I185" t="n">
        <v>0</v>
      </c>
      <c r="J185" t="n">
        <v>0</v>
      </c>
      <c r="K185" t="n">
        <v>0</v>
      </c>
      <c r="L185" t="n">
        <v>0</v>
      </c>
      <c r="M185" t="n">
        <v>0</v>
      </c>
      <c r="N185" t="n">
        <v>0</v>
      </c>
      <c r="O185" t="n">
        <v>0</v>
      </c>
      <c r="P185" t="n">
        <v>0</v>
      </c>
      <c r="Q185" t="n">
        <v>0</v>
      </c>
      <c r="R185" s="2" t="inlineStr"/>
    </row>
    <row r="186" ht="15" customHeight="1">
      <c r="A186" t="inlineStr">
        <is>
          <t>A 20190-2019</t>
        </is>
      </c>
      <c r="B186" s="1" t="n">
        <v>43570</v>
      </c>
      <c r="C186" s="1" t="n">
        <v>45721</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20244-2019</t>
        </is>
      </c>
      <c r="B187" s="1" t="n">
        <v>43571</v>
      </c>
      <c r="C187" s="1" t="n">
        <v>45721</v>
      </c>
      <c r="D187" t="inlineStr">
        <is>
          <t>VÄRMLANDS LÄN</t>
        </is>
      </c>
      <c r="E187" t="inlineStr">
        <is>
          <t>TORSBY</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20616-2019</t>
        </is>
      </c>
      <c r="B188" s="1" t="n">
        <v>43572</v>
      </c>
      <c r="C188" s="1" t="n">
        <v>45721</v>
      </c>
      <c r="D188" t="inlineStr">
        <is>
          <t>VÄRMLANDS LÄN</t>
        </is>
      </c>
      <c r="E188" t="inlineStr">
        <is>
          <t>TORSBY</t>
        </is>
      </c>
      <c r="G188" t="n">
        <v>0.4</v>
      </c>
      <c r="H188" t="n">
        <v>0</v>
      </c>
      <c r="I188" t="n">
        <v>0</v>
      </c>
      <c r="J188" t="n">
        <v>0</v>
      </c>
      <c r="K188" t="n">
        <v>0</v>
      </c>
      <c r="L188" t="n">
        <v>0</v>
      </c>
      <c r="M188" t="n">
        <v>0</v>
      </c>
      <c r="N188" t="n">
        <v>0</v>
      </c>
      <c r="O188" t="n">
        <v>0</v>
      </c>
      <c r="P188" t="n">
        <v>0</v>
      </c>
      <c r="Q188" t="n">
        <v>0</v>
      </c>
      <c r="R188" s="2" t="inlineStr"/>
    </row>
    <row r="189" ht="15" customHeight="1">
      <c r="A189" t="inlineStr">
        <is>
          <t>A 20468-2019</t>
        </is>
      </c>
      <c r="B189" s="1" t="n">
        <v>43572</v>
      </c>
      <c r="C189" s="1" t="n">
        <v>45721</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21166-2019</t>
        </is>
      </c>
      <c r="B190" s="1" t="n">
        <v>43578</v>
      </c>
      <c r="C190" s="1" t="n">
        <v>45721</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21387-2019</t>
        </is>
      </c>
      <c r="B191" s="1" t="n">
        <v>43580</v>
      </c>
      <c r="C191" s="1" t="n">
        <v>45721</v>
      </c>
      <c r="D191" t="inlineStr">
        <is>
          <t>VÄRMLANDS LÄN</t>
        </is>
      </c>
      <c r="E191" t="inlineStr">
        <is>
          <t>TORSBY</t>
        </is>
      </c>
      <c r="G191" t="n">
        <v>2.4</v>
      </c>
      <c r="H191" t="n">
        <v>0</v>
      </c>
      <c r="I191" t="n">
        <v>0</v>
      </c>
      <c r="J191" t="n">
        <v>0</v>
      </c>
      <c r="K191" t="n">
        <v>0</v>
      </c>
      <c r="L191" t="n">
        <v>0</v>
      </c>
      <c r="M191" t="n">
        <v>0</v>
      </c>
      <c r="N191" t="n">
        <v>0</v>
      </c>
      <c r="O191" t="n">
        <v>0</v>
      </c>
      <c r="P191" t="n">
        <v>0</v>
      </c>
      <c r="Q191" t="n">
        <v>0</v>
      </c>
      <c r="R191" s="2" t="inlineStr"/>
    </row>
    <row r="192" ht="15" customHeight="1">
      <c r="A192" t="inlineStr">
        <is>
          <t>A 21958-2019</t>
        </is>
      </c>
      <c r="B192" s="1" t="n">
        <v>43584</v>
      </c>
      <c r="C192" s="1" t="n">
        <v>45721</v>
      </c>
      <c r="D192" t="inlineStr">
        <is>
          <t>VÄRMLANDS LÄN</t>
        </is>
      </c>
      <c r="E192" t="inlineStr">
        <is>
          <t>TORSBY</t>
        </is>
      </c>
      <c r="G192" t="n">
        <v>3.5</v>
      </c>
      <c r="H192" t="n">
        <v>0</v>
      </c>
      <c r="I192" t="n">
        <v>0</v>
      </c>
      <c r="J192" t="n">
        <v>0</v>
      </c>
      <c r="K192" t="n">
        <v>0</v>
      </c>
      <c r="L192" t="n">
        <v>0</v>
      </c>
      <c r="M192" t="n">
        <v>0</v>
      </c>
      <c r="N192" t="n">
        <v>0</v>
      </c>
      <c r="O192" t="n">
        <v>0</v>
      </c>
      <c r="P192" t="n">
        <v>0</v>
      </c>
      <c r="Q192" t="n">
        <v>0</v>
      </c>
      <c r="R192" s="2" t="inlineStr"/>
    </row>
    <row r="193" ht="15" customHeight="1">
      <c r="A193" t="inlineStr">
        <is>
          <t>A 22252-2019</t>
        </is>
      </c>
      <c r="B193" s="1" t="n">
        <v>43585</v>
      </c>
      <c r="C193" s="1" t="n">
        <v>45721</v>
      </c>
      <c r="D193" t="inlineStr">
        <is>
          <t>VÄRMLANDS LÄN</t>
        </is>
      </c>
      <c r="E193" t="inlineStr">
        <is>
          <t>TORSBY</t>
        </is>
      </c>
      <c r="G193" t="n">
        <v>3.7</v>
      </c>
      <c r="H193" t="n">
        <v>0</v>
      </c>
      <c r="I193" t="n">
        <v>0</v>
      </c>
      <c r="J193" t="n">
        <v>0</v>
      </c>
      <c r="K193" t="n">
        <v>0</v>
      </c>
      <c r="L193" t="n">
        <v>0</v>
      </c>
      <c r="M193" t="n">
        <v>0</v>
      </c>
      <c r="N193" t="n">
        <v>0</v>
      </c>
      <c r="O193" t="n">
        <v>0</v>
      </c>
      <c r="P193" t="n">
        <v>0</v>
      </c>
      <c r="Q193" t="n">
        <v>0</v>
      </c>
      <c r="R193" s="2" t="inlineStr"/>
    </row>
    <row r="194" ht="15" customHeight="1">
      <c r="A194" t="inlineStr">
        <is>
          <t>A 22158-2019</t>
        </is>
      </c>
      <c r="B194" s="1" t="n">
        <v>43585</v>
      </c>
      <c r="C194" s="1" t="n">
        <v>45721</v>
      </c>
      <c r="D194" t="inlineStr">
        <is>
          <t>VÄRMLANDS LÄN</t>
        </is>
      </c>
      <c r="E194" t="inlineStr">
        <is>
          <t>TORSBY</t>
        </is>
      </c>
      <c r="G194" t="n">
        <v>4.5</v>
      </c>
      <c r="H194" t="n">
        <v>0</v>
      </c>
      <c r="I194" t="n">
        <v>0</v>
      </c>
      <c r="J194" t="n">
        <v>0</v>
      </c>
      <c r="K194" t="n">
        <v>0</v>
      </c>
      <c r="L194" t="n">
        <v>0</v>
      </c>
      <c r="M194" t="n">
        <v>0</v>
      </c>
      <c r="N194" t="n">
        <v>0</v>
      </c>
      <c r="O194" t="n">
        <v>0</v>
      </c>
      <c r="P194" t="n">
        <v>0</v>
      </c>
      <c r="Q194" t="n">
        <v>0</v>
      </c>
      <c r="R194" s="2" t="inlineStr"/>
    </row>
    <row r="195" ht="15" customHeight="1">
      <c r="A195" t="inlineStr">
        <is>
          <t>A 22416-2019</t>
        </is>
      </c>
      <c r="B195" s="1" t="n">
        <v>43587</v>
      </c>
      <c r="C195" s="1" t="n">
        <v>45721</v>
      </c>
      <c r="D195" t="inlineStr">
        <is>
          <t>VÄRMLANDS LÄN</t>
        </is>
      </c>
      <c r="E195" t="inlineStr">
        <is>
          <t>TORSBY</t>
        </is>
      </c>
      <c r="G195" t="n">
        <v>1.9</v>
      </c>
      <c r="H195" t="n">
        <v>0</v>
      </c>
      <c r="I195" t="n">
        <v>0</v>
      </c>
      <c r="J195" t="n">
        <v>0</v>
      </c>
      <c r="K195" t="n">
        <v>0</v>
      </c>
      <c r="L195" t="n">
        <v>0</v>
      </c>
      <c r="M195" t="n">
        <v>0</v>
      </c>
      <c r="N195" t="n">
        <v>0</v>
      </c>
      <c r="O195" t="n">
        <v>0</v>
      </c>
      <c r="P195" t="n">
        <v>0</v>
      </c>
      <c r="Q195" t="n">
        <v>0</v>
      </c>
      <c r="R195" s="2" t="inlineStr"/>
    </row>
    <row r="196" ht="15" customHeight="1">
      <c r="A196" t="inlineStr">
        <is>
          <t>A 22351-2019</t>
        </is>
      </c>
      <c r="B196" s="1" t="n">
        <v>43587</v>
      </c>
      <c r="C196" s="1" t="n">
        <v>45721</v>
      </c>
      <c r="D196" t="inlineStr">
        <is>
          <t>VÄRMLANDS LÄN</t>
        </is>
      </c>
      <c r="E196" t="inlineStr">
        <is>
          <t>TORSBY</t>
        </is>
      </c>
      <c r="G196" t="n">
        <v>4.3</v>
      </c>
      <c r="H196" t="n">
        <v>0</v>
      </c>
      <c r="I196" t="n">
        <v>0</v>
      </c>
      <c r="J196" t="n">
        <v>0</v>
      </c>
      <c r="K196" t="n">
        <v>0</v>
      </c>
      <c r="L196" t="n">
        <v>0</v>
      </c>
      <c r="M196" t="n">
        <v>0</v>
      </c>
      <c r="N196" t="n">
        <v>0</v>
      </c>
      <c r="O196" t="n">
        <v>0</v>
      </c>
      <c r="P196" t="n">
        <v>0</v>
      </c>
      <c r="Q196" t="n">
        <v>0</v>
      </c>
      <c r="R196" s="2" t="inlineStr"/>
    </row>
    <row r="197" ht="15" customHeight="1">
      <c r="A197" t="inlineStr">
        <is>
          <t>A 22692-2019</t>
        </is>
      </c>
      <c r="B197" s="1" t="n">
        <v>43588</v>
      </c>
      <c r="C197" s="1" t="n">
        <v>45721</v>
      </c>
      <c r="D197" t="inlineStr">
        <is>
          <t>VÄRMLANDS LÄN</t>
        </is>
      </c>
      <c r="E197" t="inlineStr">
        <is>
          <t>TORSBY</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22717-2019</t>
        </is>
      </c>
      <c r="B198" s="1" t="n">
        <v>43588</v>
      </c>
      <c r="C198" s="1" t="n">
        <v>45721</v>
      </c>
      <c r="D198" t="inlineStr">
        <is>
          <t>VÄRMLANDS LÄN</t>
        </is>
      </c>
      <c r="E198" t="inlineStr">
        <is>
          <t>TORSBY</t>
        </is>
      </c>
      <c r="G198" t="n">
        <v>8</v>
      </c>
      <c r="H198" t="n">
        <v>0</v>
      </c>
      <c r="I198" t="n">
        <v>0</v>
      </c>
      <c r="J198" t="n">
        <v>0</v>
      </c>
      <c r="K198" t="n">
        <v>0</v>
      </c>
      <c r="L198" t="n">
        <v>0</v>
      </c>
      <c r="M198" t="n">
        <v>0</v>
      </c>
      <c r="N198" t="n">
        <v>0</v>
      </c>
      <c r="O198" t="n">
        <v>0</v>
      </c>
      <c r="P198" t="n">
        <v>0</v>
      </c>
      <c r="Q198" t="n">
        <v>0</v>
      </c>
      <c r="R198" s="2" t="inlineStr"/>
    </row>
    <row r="199" ht="15" customHeight="1">
      <c r="A199" t="inlineStr">
        <is>
          <t>A 23412-2019</t>
        </is>
      </c>
      <c r="B199" s="1" t="n">
        <v>43593</v>
      </c>
      <c r="C199" s="1" t="n">
        <v>45721</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23892-2019</t>
        </is>
      </c>
      <c r="B200" s="1" t="n">
        <v>43595</v>
      </c>
      <c r="C200" s="1" t="n">
        <v>45721</v>
      </c>
      <c r="D200" t="inlineStr">
        <is>
          <t>VÄRMLANDS LÄN</t>
        </is>
      </c>
      <c r="E200" t="inlineStr">
        <is>
          <t>TORSBY</t>
        </is>
      </c>
      <c r="G200" t="n">
        <v>1.8</v>
      </c>
      <c r="H200" t="n">
        <v>0</v>
      </c>
      <c r="I200" t="n">
        <v>0</v>
      </c>
      <c r="J200" t="n">
        <v>0</v>
      </c>
      <c r="K200" t="n">
        <v>0</v>
      </c>
      <c r="L200" t="n">
        <v>0</v>
      </c>
      <c r="M200" t="n">
        <v>0</v>
      </c>
      <c r="N200" t="n">
        <v>0</v>
      </c>
      <c r="O200" t="n">
        <v>0</v>
      </c>
      <c r="P200" t="n">
        <v>0</v>
      </c>
      <c r="Q200" t="n">
        <v>0</v>
      </c>
      <c r="R200" s="2" t="inlineStr"/>
    </row>
    <row r="201" ht="15" customHeight="1">
      <c r="A201" t="inlineStr">
        <is>
          <t>A 23771-2019</t>
        </is>
      </c>
      <c r="B201" s="1" t="n">
        <v>43595</v>
      </c>
      <c r="C201" s="1" t="n">
        <v>45721</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24667-2019</t>
        </is>
      </c>
      <c r="B202" s="1" t="n">
        <v>43599</v>
      </c>
      <c r="C202" s="1" t="n">
        <v>45721</v>
      </c>
      <c r="D202" t="inlineStr">
        <is>
          <t>VÄRMLANDS LÄN</t>
        </is>
      </c>
      <c r="E202" t="inlineStr">
        <is>
          <t>TORSBY</t>
        </is>
      </c>
      <c r="G202" t="n">
        <v>6.7</v>
      </c>
      <c r="H202" t="n">
        <v>0</v>
      </c>
      <c r="I202" t="n">
        <v>0</v>
      </c>
      <c r="J202" t="n">
        <v>0</v>
      </c>
      <c r="K202" t="n">
        <v>0</v>
      </c>
      <c r="L202" t="n">
        <v>0</v>
      </c>
      <c r="M202" t="n">
        <v>0</v>
      </c>
      <c r="N202" t="n">
        <v>0</v>
      </c>
      <c r="O202" t="n">
        <v>0</v>
      </c>
      <c r="P202" t="n">
        <v>0</v>
      </c>
      <c r="Q202" t="n">
        <v>0</v>
      </c>
      <c r="R202" s="2" t="inlineStr"/>
    </row>
    <row r="203" ht="15" customHeight="1">
      <c r="A203" t="inlineStr">
        <is>
          <t>A 24703-2019</t>
        </is>
      </c>
      <c r="B203" s="1" t="n">
        <v>43601</v>
      </c>
      <c r="C203" s="1" t="n">
        <v>45721</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26493-2019</t>
        </is>
      </c>
      <c r="B204" s="1" t="n">
        <v>43612</v>
      </c>
      <c r="C204" s="1" t="n">
        <v>45721</v>
      </c>
      <c r="D204" t="inlineStr">
        <is>
          <t>VÄRMLANDS LÄN</t>
        </is>
      </c>
      <c r="E204" t="inlineStr">
        <is>
          <t>TORSBY</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27907-2019</t>
        </is>
      </c>
      <c r="B205" s="1" t="n">
        <v>43612</v>
      </c>
      <c r="C205" s="1" t="n">
        <v>45721</v>
      </c>
      <c r="D205" t="inlineStr">
        <is>
          <t>VÄRMLANDS LÄN</t>
        </is>
      </c>
      <c r="E205" t="inlineStr">
        <is>
          <t>TORSBY</t>
        </is>
      </c>
      <c r="G205" t="n">
        <v>7.5</v>
      </c>
      <c r="H205" t="n">
        <v>0</v>
      </c>
      <c r="I205" t="n">
        <v>0</v>
      </c>
      <c r="J205" t="n">
        <v>0</v>
      </c>
      <c r="K205" t="n">
        <v>0</v>
      </c>
      <c r="L205" t="n">
        <v>0</v>
      </c>
      <c r="M205" t="n">
        <v>0</v>
      </c>
      <c r="N205" t="n">
        <v>0</v>
      </c>
      <c r="O205" t="n">
        <v>0</v>
      </c>
      <c r="P205" t="n">
        <v>0</v>
      </c>
      <c r="Q205" t="n">
        <v>0</v>
      </c>
      <c r="R205" s="2" t="inlineStr"/>
    </row>
    <row r="206" ht="15" customHeight="1">
      <c r="A206" t="inlineStr">
        <is>
          <t>A 26783-2019</t>
        </is>
      </c>
      <c r="B206" s="1" t="n">
        <v>43613</v>
      </c>
      <c r="C206" s="1" t="n">
        <v>45721</v>
      </c>
      <c r="D206" t="inlineStr">
        <is>
          <t>VÄRMLANDS LÄN</t>
        </is>
      </c>
      <c r="E206" t="inlineStr">
        <is>
          <t>TORSBY</t>
        </is>
      </c>
      <c r="G206" t="n">
        <v>0.6</v>
      </c>
      <c r="H206" t="n">
        <v>0</v>
      </c>
      <c r="I206" t="n">
        <v>0</v>
      </c>
      <c r="J206" t="n">
        <v>0</v>
      </c>
      <c r="K206" t="n">
        <v>0</v>
      </c>
      <c r="L206" t="n">
        <v>0</v>
      </c>
      <c r="M206" t="n">
        <v>0</v>
      </c>
      <c r="N206" t="n">
        <v>0</v>
      </c>
      <c r="O206" t="n">
        <v>0</v>
      </c>
      <c r="P206" t="n">
        <v>0</v>
      </c>
      <c r="Q206" t="n">
        <v>0</v>
      </c>
      <c r="R206" s="2" t="inlineStr"/>
    </row>
    <row r="207" ht="15" customHeight="1">
      <c r="A207" t="inlineStr">
        <is>
          <t>A 27711-2019</t>
        </is>
      </c>
      <c r="B207" s="1" t="n">
        <v>43619</v>
      </c>
      <c r="C207" s="1" t="n">
        <v>45721</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27682-2019</t>
        </is>
      </c>
      <c r="B208" s="1" t="n">
        <v>43619</v>
      </c>
      <c r="C208" s="1" t="n">
        <v>45721</v>
      </c>
      <c r="D208" t="inlineStr">
        <is>
          <t>VÄRMLANDS LÄN</t>
        </is>
      </c>
      <c r="E208" t="inlineStr">
        <is>
          <t>TORSBY</t>
        </is>
      </c>
      <c r="G208" t="n">
        <v>1.2</v>
      </c>
      <c r="H208" t="n">
        <v>0</v>
      </c>
      <c r="I208" t="n">
        <v>0</v>
      </c>
      <c r="J208" t="n">
        <v>0</v>
      </c>
      <c r="K208" t="n">
        <v>0</v>
      </c>
      <c r="L208" t="n">
        <v>0</v>
      </c>
      <c r="M208" t="n">
        <v>0</v>
      </c>
      <c r="N208" t="n">
        <v>0</v>
      </c>
      <c r="O208" t="n">
        <v>0</v>
      </c>
      <c r="P208" t="n">
        <v>0</v>
      </c>
      <c r="Q208" t="n">
        <v>0</v>
      </c>
      <c r="R208" s="2" t="inlineStr"/>
    </row>
    <row r="209" ht="15" customHeight="1">
      <c r="A209" t="inlineStr">
        <is>
          <t>A 28975-2019</t>
        </is>
      </c>
      <c r="B209" s="1" t="n">
        <v>43619</v>
      </c>
      <c r="C209" s="1" t="n">
        <v>45721</v>
      </c>
      <c r="D209" t="inlineStr">
        <is>
          <t>VÄRMLANDS LÄN</t>
        </is>
      </c>
      <c r="E209" t="inlineStr">
        <is>
          <t>TORSBY</t>
        </is>
      </c>
      <c r="G209" t="n">
        <v>6.5</v>
      </c>
      <c r="H209" t="n">
        <v>0</v>
      </c>
      <c r="I209" t="n">
        <v>0</v>
      </c>
      <c r="J209" t="n">
        <v>0</v>
      </c>
      <c r="K209" t="n">
        <v>0</v>
      </c>
      <c r="L209" t="n">
        <v>0</v>
      </c>
      <c r="M209" t="n">
        <v>0</v>
      </c>
      <c r="N209" t="n">
        <v>0</v>
      </c>
      <c r="O209" t="n">
        <v>0</v>
      </c>
      <c r="P209" t="n">
        <v>0</v>
      </c>
      <c r="Q209" t="n">
        <v>0</v>
      </c>
      <c r="R209" s="2" t="inlineStr"/>
    </row>
    <row r="210" ht="15" customHeight="1">
      <c r="A210" t="inlineStr">
        <is>
          <t>A 28487-2019</t>
        </is>
      </c>
      <c r="B210" s="1" t="n">
        <v>43621</v>
      </c>
      <c r="C210" s="1" t="n">
        <v>45721</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28653-2019</t>
        </is>
      </c>
      <c r="B211" s="1" t="n">
        <v>43627</v>
      </c>
      <c r="C211" s="1" t="n">
        <v>45721</v>
      </c>
      <c r="D211" t="inlineStr">
        <is>
          <t>VÄRMLANDS LÄN</t>
        </is>
      </c>
      <c r="E211" t="inlineStr">
        <is>
          <t>TORSBY</t>
        </is>
      </c>
      <c r="G211" t="n">
        <v>5.2</v>
      </c>
      <c r="H211" t="n">
        <v>0</v>
      </c>
      <c r="I211" t="n">
        <v>0</v>
      </c>
      <c r="J211" t="n">
        <v>0</v>
      </c>
      <c r="K211" t="n">
        <v>0</v>
      </c>
      <c r="L211" t="n">
        <v>0</v>
      </c>
      <c r="M211" t="n">
        <v>0</v>
      </c>
      <c r="N211" t="n">
        <v>0</v>
      </c>
      <c r="O211" t="n">
        <v>0</v>
      </c>
      <c r="P211" t="n">
        <v>0</v>
      </c>
      <c r="Q211" t="n">
        <v>0</v>
      </c>
      <c r="R211" s="2" t="inlineStr"/>
    </row>
    <row r="212" ht="15" customHeight="1">
      <c r="A212" t="inlineStr">
        <is>
          <t>A 28818-2019</t>
        </is>
      </c>
      <c r="B212" s="1" t="n">
        <v>43627</v>
      </c>
      <c r="C212" s="1" t="n">
        <v>45721</v>
      </c>
      <c r="D212" t="inlineStr">
        <is>
          <t>VÄRMLANDS LÄN</t>
        </is>
      </c>
      <c r="E212" t="inlineStr">
        <is>
          <t>TORSBY</t>
        </is>
      </c>
      <c r="F212" t="inlineStr">
        <is>
          <t>Bergvik skog väst AB</t>
        </is>
      </c>
      <c r="G212" t="n">
        <v>58.6</v>
      </c>
      <c r="H212" t="n">
        <v>0</v>
      </c>
      <c r="I212" t="n">
        <v>0</v>
      </c>
      <c r="J212" t="n">
        <v>0</v>
      </c>
      <c r="K212" t="n">
        <v>0</v>
      </c>
      <c r="L212" t="n">
        <v>0</v>
      </c>
      <c r="M212" t="n">
        <v>0</v>
      </c>
      <c r="N212" t="n">
        <v>0</v>
      </c>
      <c r="O212" t="n">
        <v>0</v>
      </c>
      <c r="P212" t="n">
        <v>0</v>
      </c>
      <c r="Q212" t="n">
        <v>0</v>
      </c>
      <c r="R212" s="2" t="inlineStr"/>
    </row>
    <row r="213" ht="15" customHeight="1">
      <c r="A213" t="inlineStr">
        <is>
          <t>A 28889-2019</t>
        </is>
      </c>
      <c r="B213" s="1" t="n">
        <v>43628</v>
      </c>
      <c r="C213" s="1" t="n">
        <v>45721</v>
      </c>
      <c r="D213" t="inlineStr">
        <is>
          <t>VÄRMLANDS LÄN</t>
        </is>
      </c>
      <c r="E213" t="inlineStr">
        <is>
          <t>TORSBY</t>
        </is>
      </c>
      <c r="G213" t="n">
        <v>2</v>
      </c>
      <c r="H213" t="n">
        <v>0</v>
      </c>
      <c r="I213" t="n">
        <v>0</v>
      </c>
      <c r="J213" t="n">
        <v>0</v>
      </c>
      <c r="K213" t="n">
        <v>0</v>
      </c>
      <c r="L213" t="n">
        <v>0</v>
      </c>
      <c r="M213" t="n">
        <v>0</v>
      </c>
      <c r="N213" t="n">
        <v>0</v>
      </c>
      <c r="O213" t="n">
        <v>0</v>
      </c>
      <c r="P213" t="n">
        <v>0</v>
      </c>
      <c r="Q213" t="n">
        <v>0</v>
      </c>
      <c r="R213" s="2" t="inlineStr"/>
    </row>
    <row r="214" ht="15" customHeight="1">
      <c r="A214" t="inlineStr">
        <is>
          <t>A 29436-2019</t>
        </is>
      </c>
      <c r="B214" s="1" t="n">
        <v>43629</v>
      </c>
      <c r="C214" s="1" t="n">
        <v>45721</v>
      </c>
      <c r="D214" t="inlineStr">
        <is>
          <t>VÄRMLANDS LÄN</t>
        </is>
      </c>
      <c r="E214" t="inlineStr">
        <is>
          <t>TORSBY</t>
        </is>
      </c>
      <c r="F214" t="inlineStr">
        <is>
          <t>Bergvik skog väst AB</t>
        </is>
      </c>
      <c r="G214" t="n">
        <v>33.7</v>
      </c>
      <c r="H214" t="n">
        <v>0</v>
      </c>
      <c r="I214" t="n">
        <v>0</v>
      </c>
      <c r="J214" t="n">
        <v>0</v>
      </c>
      <c r="K214" t="n">
        <v>0</v>
      </c>
      <c r="L214" t="n">
        <v>0</v>
      </c>
      <c r="M214" t="n">
        <v>0</v>
      </c>
      <c r="N214" t="n">
        <v>0</v>
      </c>
      <c r="O214" t="n">
        <v>0</v>
      </c>
      <c r="P214" t="n">
        <v>0</v>
      </c>
      <c r="Q214" t="n">
        <v>0</v>
      </c>
      <c r="R214" s="2" t="inlineStr"/>
    </row>
    <row r="215" ht="15" customHeight="1">
      <c r="A215" t="inlineStr">
        <is>
          <t>A 30031-2019</t>
        </is>
      </c>
      <c r="B215" s="1" t="n">
        <v>43633</v>
      </c>
      <c r="C215" s="1" t="n">
        <v>45721</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30049-2019</t>
        </is>
      </c>
      <c r="B216" s="1" t="n">
        <v>43633</v>
      </c>
      <c r="C216" s="1" t="n">
        <v>45721</v>
      </c>
      <c r="D216" t="inlineStr">
        <is>
          <t>VÄRMLANDS LÄN</t>
        </is>
      </c>
      <c r="E216" t="inlineStr">
        <is>
          <t>TORSBY</t>
        </is>
      </c>
      <c r="G216" t="n">
        <v>7.1</v>
      </c>
      <c r="H216" t="n">
        <v>0</v>
      </c>
      <c r="I216" t="n">
        <v>0</v>
      </c>
      <c r="J216" t="n">
        <v>0</v>
      </c>
      <c r="K216" t="n">
        <v>0</v>
      </c>
      <c r="L216" t="n">
        <v>0</v>
      </c>
      <c r="M216" t="n">
        <v>0</v>
      </c>
      <c r="N216" t="n">
        <v>0</v>
      </c>
      <c r="O216" t="n">
        <v>0</v>
      </c>
      <c r="P216" t="n">
        <v>0</v>
      </c>
      <c r="Q216" t="n">
        <v>0</v>
      </c>
      <c r="R216" s="2" t="inlineStr"/>
    </row>
    <row r="217" ht="15" customHeight="1">
      <c r="A217" t="inlineStr">
        <is>
          <t>A 29984-2019</t>
        </is>
      </c>
      <c r="B217" s="1" t="n">
        <v>43633</v>
      </c>
      <c r="C217" s="1" t="n">
        <v>45721</v>
      </c>
      <c r="D217" t="inlineStr">
        <is>
          <t>VÄRMLANDS LÄN</t>
        </is>
      </c>
      <c r="E217" t="inlineStr">
        <is>
          <t>TORSBY</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30158-2019</t>
        </is>
      </c>
      <c r="B218" s="1" t="n">
        <v>43634</v>
      </c>
      <c r="C218" s="1" t="n">
        <v>45721</v>
      </c>
      <c r="D218" t="inlineStr">
        <is>
          <t>VÄRMLANDS LÄN</t>
        </is>
      </c>
      <c r="E218" t="inlineStr">
        <is>
          <t>TORSBY</t>
        </is>
      </c>
      <c r="G218" t="n">
        <v>3.3</v>
      </c>
      <c r="H218" t="n">
        <v>0</v>
      </c>
      <c r="I218" t="n">
        <v>0</v>
      </c>
      <c r="J218" t="n">
        <v>0</v>
      </c>
      <c r="K218" t="n">
        <v>0</v>
      </c>
      <c r="L218" t="n">
        <v>0</v>
      </c>
      <c r="M218" t="n">
        <v>0</v>
      </c>
      <c r="N218" t="n">
        <v>0</v>
      </c>
      <c r="O218" t="n">
        <v>0</v>
      </c>
      <c r="P218" t="n">
        <v>0</v>
      </c>
      <c r="Q218" t="n">
        <v>0</v>
      </c>
      <c r="R218" s="2" t="inlineStr"/>
    </row>
    <row r="219" ht="15" customHeight="1">
      <c r="A219" t="inlineStr">
        <is>
          <t>A 30596-2019</t>
        </is>
      </c>
      <c r="B219" s="1" t="n">
        <v>43635</v>
      </c>
      <c r="C219" s="1" t="n">
        <v>45721</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30860-2019</t>
        </is>
      </c>
      <c r="B220" s="1" t="n">
        <v>43636</v>
      </c>
      <c r="C220" s="1" t="n">
        <v>45721</v>
      </c>
      <c r="D220" t="inlineStr">
        <is>
          <t>VÄRMLANDS LÄN</t>
        </is>
      </c>
      <c r="E220" t="inlineStr">
        <is>
          <t>TORSBY</t>
        </is>
      </c>
      <c r="G220" t="n">
        <v>11.7</v>
      </c>
      <c r="H220" t="n">
        <v>0</v>
      </c>
      <c r="I220" t="n">
        <v>0</v>
      </c>
      <c r="J220" t="n">
        <v>0</v>
      </c>
      <c r="K220" t="n">
        <v>0</v>
      </c>
      <c r="L220" t="n">
        <v>0</v>
      </c>
      <c r="M220" t="n">
        <v>0</v>
      </c>
      <c r="N220" t="n">
        <v>0</v>
      </c>
      <c r="O220" t="n">
        <v>0</v>
      </c>
      <c r="P220" t="n">
        <v>0</v>
      </c>
      <c r="Q220" t="n">
        <v>0</v>
      </c>
      <c r="R220" s="2" t="inlineStr"/>
    </row>
    <row r="221" ht="15" customHeight="1">
      <c r="A221" t="inlineStr">
        <is>
          <t>A 31109-2019</t>
        </is>
      </c>
      <c r="B221" s="1" t="n">
        <v>43640</v>
      </c>
      <c r="C221" s="1" t="n">
        <v>45721</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31010-2019</t>
        </is>
      </c>
      <c r="B222" s="1" t="n">
        <v>43640</v>
      </c>
      <c r="C222" s="1" t="n">
        <v>45721</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31138-2019</t>
        </is>
      </c>
      <c r="B223" s="1" t="n">
        <v>43640</v>
      </c>
      <c r="C223" s="1" t="n">
        <v>45721</v>
      </c>
      <c r="D223" t="inlineStr">
        <is>
          <t>VÄRMLANDS LÄN</t>
        </is>
      </c>
      <c r="E223" t="inlineStr">
        <is>
          <t>TORSBY</t>
        </is>
      </c>
      <c r="F223" t="inlineStr">
        <is>
          <t>Bergvik skog väst AB</t>
        </is>
      </c>
      <c r="G223" t="n">
        <v>1.1</v>
      </c>
      <c r="H223" t="n">
        <v>0</v>
      </c>
      <c r="I223" t="n">
        <v>0</v>
      </c>
      <c r="J223" t="n">
        <v>0</v>
      </c>
      <c r="K223" t="n">
        <v>0</v>
      </c>
      <c r="L223" t="n">
        <v>0</v>
      </c>
      <c r="M223" t="n">
        <v>0</v>
      </c>
      <c r="N223" t="n">
        <v>0</v>
      </c>
      <c r="O223" t="n">
        <v>0</v>
      </c>
      <c r="P223" t="n">
        <v>0</v>
      </c>
      <c r="Q223" t="n">
        <v>0</v>
      </c>
      <c r="R223" s="2" t="inlineStr"/>
    </row>
    <row r="224" ht="15" customHeight="1">
      <c r="A224" t="inlineStr">
        <is>
          <t>A 31543-2019</t>
        </is>
      </c>
      <c r="B224" s="1" t="n">
        <v>43641</v>
      </c>
      <c r="C224" s="1" t="n">
        <v>45721</v>
      </c>
      <c r="D224" t="inlineStr">
        <is>
          <t>VÄRMLANDS LÄN</t>
        </is>
      </c>
      <c r="E224" t="inlineStr">
        <is>
          <t>TORSBY</t>
        </is>
      </c>
      <c r="G224" t="n">
        <v>6</v>
      </c>
      <c r="H224" t="n">
        <v>0</v>
      </c>
      <c r="I224" t="n">
        <v>0</v>
      </c>
      <c r="J224" t="n">
        <v>0</v>
      </c>
      <c r="K224" t="n">
        <v>0</v>
      </c>
      <c r="L224" t="n">
        <v>0</v>
      </c>
      <c r="M224" t="n">
        <v>0</v>
      </c>
      <c r="N224" t="n">
        <v>0</v>
      </c>
      <c r="O224" t="n">
        <v>0</v>
      </c>
      <c r="P224" t="n">
        <v>0</v>
      </c>
      <c r="Q224" t="n">
        <v>0</v>
      </c>
      <c r="R224" s="2" t="inlineStr"/>
    </row>
    <row r="225" ht="15" customHeight="1">
      <c r="A225" t="inlineStr">
        <is>
          <t>A 31930-2019</t>
        </is>
      </c>
      <c r="B225" s="1" t="n">
        <v>43642</v>
      </c>
      <c r="C225" s="1" t="n">
        <v>45721</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32170-2019</t>
        </is>
      </c>
      <c r="B226" s="1" t="n">
        <v>43643</v>
      </c>
      <c r="C226" s="1" t="n">
        <v>45721</v>
      </c>
      <c r="D226" t="inlineStr">
        <is>
          <t>VÄRMLANDS LÄN</t>
        </is>
      </c>
      <c r="E226" t="inlineStr">
        <is>
          <t>TORSBY</t>
        </is>
      </c>
      <c r="G226" t="n">
        <v>4.6</v>
      </c>
      <c r="H226" t="n">
        <v>0</v>
      </c>
      <c r="I226" t="n">
        <v>0</v>
      </c>
      <c r="J226" t="n">
        <v>0</v>
      </c>
      <c r="K226" t="n">
        <v>0</v>
      </c>
      <c r="L226" t="n">
        <v>0</v>
      </c>
      <c r="M226" t="n">
        <v>0</v>
      </c>
      <c r="N226" t="n">
        <v>0</v>
      </c>
      <c r="O226" t="n">
        <v>0</v>
      </c>
      <c r="P226" t="n">
        <v>0</v>
      </c>
      <c r="Q226" t="n">
        <v>0</v>
      </c>
      <c r="R226" s="2" t="inlineStr"/>
    </row>
    <row r="227" ht="15" customHeight="1">
      <c r="A227" t="inlineStr">
        <is>
          <t>A 32443-2019</t>
        </is>
      </c>
      <c r="B227" s="1" t="n">
        <v>43644</v>
      </c>
      <c r="C227" s="1" t="n">
        <v>45721</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32298-2019</t>
        </is>
      </c>
      <c r="B228" s="1" t="n">
        <v>43644</v>
      </c>
      <c r="C228" s="1" t="n">
        <v>45721</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32468-2019</t>
        </is>
      </c>
      <c r="B229" s="1" t="n">
        <v>43644</v>
      </c>
      <c r="C229" s="1" t="n">
        <v>45721</v>
      </c>
      <c r="D229" t="inlineStr">
        <is>
          <t>VÄRMLANDS LÄN</t>
        </is>
      </c>
      <c r="E229" t="inlineStr">
        <is>
          <t>TORSBY</t>
        </is>
      </c>
      <c r="G229" t="n">
        <v>4.7</v>
      </c>
      <c r="H229" t="n">
        <v>0</v>
      </c>
      <c r="I229" t="n">
        <v>0</v>
      </c>
      <c r="J229" t="n">
        <v>0</v>
      </c>
      <c r="K229" t="n">
        <v>0</v>
      </c>
      <c r="L229" t="n">
        <v>0</v>
      </c>
      <c r="M229" t="n">
        <v>0</v>
      </c>
      <c r="N229" t="n">
        <v>0</v>
      </c>
      <c r="O229" t="n">
        <v>0</v>
      </c>
      <c r="P229" t="n">
        <v>0</v>
      </c>
      <c r="Q229" t="n">
        <v>0</v>
      </c>
      <c r="R229" s="2" t="inlineStr"/>
    </row>
    <row r="230" ht="15" customHeight="1">
      <c r="A230" t="inlineStr">
        <is>
          <t>A 32444-2019</t>
        </is>
      </c>
      <c r="B230" s="1" t="n">
        <v>43644</v>
      </c>
      <c r="C230" s="1" t="n">
        <v>45721</v>
      </c>
      <c r="D230" t="inlineStr">
        <is>
          <t>VÄRMLANDS LÄN</t>
        </is>
      </c>
      <c r="E230" t="inlineStr">
        <is>
          <t>TORSBY</t>
        </is>
      </c>
      <c r="G230" t="n">
        <v>0.7</v>
      </c>
      <c r="H230" t="n">
        <v>0</v>
      </c>
      <c r="I230" t="n">
        <v>0</v>
      </c>
      <c r="J230" t="n">
        <v>0</v>
      </c>
      <c r="K230" t="n">
        <v>0</v>
      </c>
      <c r="L230" t="n">
        <v>0</v>
      </c>
      <c r="M230" t="n">
        <v>0</v>
      </c>
      <c r="N230" t="n">
        <v>0</v>
      </c>
      <c r="O230" t="n">
        <v>0</v>
      </c>
      <c r="P230" t="n">
        <v>0</v>
      </c>
      <c r="Q230" t="n">
        <v>0</v>
      </c>
      <c r="R230" s="2" t="inlineStr"/>
    </row>
    <row r="231" ht="15" customHeight="1">
      <c r="A231" t="inlineStr">
        <is>
          <t>A 33918-2019</t>
        </is>
      </c>
      <c r="B231" s="1" t="n">
        <v>43654</v>
      </c>
      <c r="C231" s="1" t="n">
        <v>45721</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35505-2019</t>
        </is>
      </c>
      <c r="B232" s="1" t="n">
        <v>43654</v>
      </c>
      <c r="C232" s="1" t="n">
        <v>45721</v>
      </c>
      <c r="D232" t="inlineStr">
        <is>
          <t>VÄRMLANDS LÄN</t>
        </is>
      </c>
      <c r="E232" t="inlineStr">
        <is>
          <t>TORSBY</t>
        </is>
      </c>
      <c r="G232" t="n">
        <v>0.8</v>
      </c>
      <c r="H232" t="n">
        <v>0</v>
      </c>
      <c r="I232" t="n">
        <v>0</v>
      </c>
      <c r="J232" t="n">
        <v>0</v>
      </c>
      <c r="K232" t="n">
        <v>0</v>
      </c>
      <c r="L232" t="n">
        <v>0</v>
      </c>
      <c r="M232" t="n">
        <v>0</v>
      </c>
      <c r="N232" t="n">
        <v>0</v>
      </c>
      <c r="O232" t="n">
        <v>0</v>
      </c>
      <c r="P232" t="n">
        <v>0</v>
      </c>
      <c r="Q232" t="n">
        <v>0</v>
      </c>
      <c r="R232" s="2" t="inlineStr"/>
    </row>
    <row r="233" ht="15" customHeight="1">
      <c r="A233" t="inlineStr">
        <is>
          <t>A 35788-2019</t>
        </is>
      </c>
      <c r="B233" s="1" t="n">
        <v>43656</v>
      </c>
      <c r="C233" s="1" t="n">
        <v>45721</v>
      </c>
      <c r="D233" t="inlineStr">
        <is>
          <t>VÄRMLANDS LÄN</t>
        </is>
      </c>
      <c r="E233" t="inlineStr">
        <is>
          <t>TORSBY</t>
        </is>
      </c>
      <c r="F233" t="inlineStr">
        <is>
          <t>Kyrkan</t>
        </is>
      </c>
      <c r="G233" t="n">
        <v>0.8</v>
      </c>
      <c r="H233" t="n">
        <v>0</v>
      </c>
      <c r="I233" t="n">
        <v>0</v>
      </c>
      <c r="J233" t="n">
        <v>0</v>
      </c>
      <c r="K233" t="n">
        <v>0</v>
      </c>
      <c r="L233" t="n">
        <v>0</v>
      </c>
      <c r="M233" t="n">
        <v>0</v>
      </c>
      <c r="N233" t="n">
        <v>0</v>
      </c>
      <c r="O233" t="n">
        <v>0</v>
      </c>
      <c r="P233" t="n">
        <v>0</v>
      </c>
      <c r="Q233" t="n">
        <v>0</v>
      </c>
      <c r="R233" s="2" t="inlineStr"/>
    </row>
    <row r="234" ht="15" customHeight="1">
      <c r="A234" t="inlineStr">
        <is>
          <t>A 34541-2019</t>
        </is>
      </c>
      <c r="B234" s="1" t="n">
        <v>43657</v>
      </c>
      <c r="C234" s="1" t="n">
        <v>45721</v>
      </c>
      <c r="D234" t="inlineStr">
        <is>
          <t>VÄRMLANDS LÄN</t>
        </is>
      </c>
      <c r="E234" t="inlineStr">
        <is>
          <t>TORSBY</t>
        </is>
      </c>
      <c r="G234" t="n">
        <v>5.7</v>
      </c>
      <c r="H234" t="n">
        <v>0</v>
      </c>
      <c r="I234" t="n">
        <v>0</v>
      </c>
      <c r="J234" t="n">
        <v>0</v>
      </c>
      <c r="K234" t="n">
        <v>0</v>
      </c>
      <c r="L234" t="n">
        <v>0</v>
      </c>
      <c r="M234" t="n">
        <v>0</v>
      </c>
      <c r="N234" t="n">
        <v>0</v>
      </c>
      <c r="O234" t="n">
        <v>0</v>
      </c>
      <c r="P234" t="n">
        <v>0</v>
      </c>
      <c r="Q234" t="n">
        <v>0</v>
      </c>
      <c r="R234" s="2" t="inlineStr"/>
    </row>
    <row r="235" ht="15" customHeight="1">
      <c r="A235" t="inlineStr">
        <is>
          <t>A 36480-2019</t>
        </is>
      </c>
      <c r="B235" s="1" t="n">
        <v>43668</v>
      </c>
      <c r="C235" s="1" t="n">
        <v>45721</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38010-2019</t>
        </is>
      </c>
      <c r="B236" s="1" t="n">
        <v>43669</v>
      </c>
      <c r="C236" s="1" t="n">
        <v>45721</v>
      </c>
      <c r="D236" t="inlineStr">
        <is>
          <t>VÄRMLANDS LÄN</t>
        </is>
      </c>
      <c r="E236" t="inlineStr">
        <is>
          <t>TORSBY</t>
        </is>
      </c>
      <c r="G236" t="n">
        <v>6.2</v>
      </c>
      <c r="H236" t="n">
        <v>0</v>
      </c>
      <c r="I236" t="n">
        <v>0</v>
      </c>
      <c r="J236" t="n">
        <v>0</v>
      </c>
      <c r="K236" t="n">
        <v>0</v>
      </c>
      <c r="L236" t="n">
        <v>0</v>
      </c>
      <c r="M236" t="n">
        <v>0</v>
      </c>
      <c r="N236" t="n">
        <v>0</v>
      </c>
      <c r="O236" t="n">
        <v>0</v>
      </c>
      <c r="P236" t="n">
        <v>0</v>
      </c>
      <c r="Q236" t="n">
        <v>0</v>
      </c>
      <c r="R236" s="2" t="inlineStr"/>
    </row>
    <row r="237" ht="15" customHeight="1">
      <c r="A237" t="inlineStr">
        <is>
          <t>A 38003-2019</t>
        </is>
      </c>
      <c r="B237" s="1" t="n">
        <v>43669</v>
      </c>
      <c r="C237" s="1" t="n">
        <v>45721</v>
      </c>
      <c r="D237" t="inlineStr">
        <is>
          <t>VÄRMLANDS LÄN</t>
        </is>
      </c>
      <c r="E237" t="inlineStr">
        <is>
          <t>TORSBY</t>
        </is>
      </c>
      <c r="G237" t="n">
        <v>3.1</v>
      </c>
      <c r="H237" t="n">
        <v>0</v>
      </c>
      <c r="I237" t="n">
        <v>0</v>
      </c>
      <c r="J237" t="n">
        <v>0</v>
      </c>
      <c r="K237" t="n">
        <v>0</v>
      </c>
      <c r="L237" t="n">
        <v>0</v>
      </c>
      <c r="M237" t="n">
        <v>0</v>
      </c>
      <c r="N237" t="n">
        <v>0</v>
      </c>
      <c r="O237" t="n">
        <v>0</v>
      </c>
      <c r="P237" t="n">
        <v>0</v>
      </c>
      <c r="Q237" t="n">
        <v>0</v>
      </c>
      <c r="R237" s="2" t="inlineStr"/>
    </row>
    <row r="238" ht="15" customHeight="1">
      <c r="A238" t="inlineStr">
        <is>
          <t>A 36712-2019</t>
        </is>
      </c>
      <c r="B238" s="1" t="n">
        <v>43669</v>
      </c>
      <c r="C238" s="1" t="n">
        <v>45721</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36682-2019</t>
        </is>
      </c>
      <c r="B239" s="1" t="n">
        <v>43670</v>
      </c>
      <c r="C239" s="1" t="n">
        <v>45721</v>
      </c>
      <c r="D239" t="inlineStr">
        <is>
          <t>VÄRMLANDS LÄN</t>
        </is>
      </c>
      <c r="E239" t="inlineStr">
        <is>
          <t>TORSBY</t>
        </is>
      </c>
      <c r="G239" t="n">
        <v>8.1</v>
      </c>
      <c r="H239" t="n">
        <v>0</v>
      </c>
      <c r="I239" t="n">
        <v>0</v>
      </c>
      <c r="J239" t="n">
        <v>0</v>
      </c>
      <c r="K239" t="n">
        <v>0</v>
      </c>
      <c r="L239" t="n">
        <v>0</v>
      </c>
      <c r="M239" t="n">
        <v>0</v>
      </c>
      <c r="N239" t="n">
        <v>0</v>
      </c>
      <c r="O239" t="n">
        <v>0</v>
      </c>
      <c r="P239" t="n">
        <v>0</v>
      </c>
      <c r="Q239" t="n">
        <v>0</v>
      </c>
      <c r="R239" s="2" t="inlineStr"/>
    </row>
    <row r="240" ht="15" customHeight="1">
      <c r="A240" t="inlineStr">
        <is>
          <t>A 36734-2019</t>
        </is>
      </c>
      <c r="B240" s="1" t="n">
        <v>43672</v>
      </c>
      <c r="C240" s="1" t="n">
        <v>45721</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36820-2019</t>
        </is>
      </c>
      <c r="B241" s="1" t="n">
        <v>43673</v>
      </c>
      <c r="C241" s="1" t="n">
        <v>45721</v>
      </c>
      <c r="D241" t="inlineStr">
        <is>
          <t>VÄRMLANDS LÄN</t>
        </is>
      </c>
      <c r="E241" t="inlineStr">
        <is>
          <t>TORSBY</t>
        </is>
      </c>
      <c r="G241" t="n">
        <v>0.2</v>
      </c>
      <c r="H241" t="n">
        <v>0</v>
      </c>
      <c r="I241" t="n">
        <v>0</v>
      </c>
      <c r="J241" t="n">
        <v>0</v>
      </c>
      <c r="K241" t="n">
        <v>0</v>
      </c>
      <c r="L241" t="n">
        <v>0</v>
      </c>
      <c r="M241" t="n">
        <v>0</v>
      </c>
      <c r="N241" t="n">
        <v>0</v>
      </c>
      <c r="O241" t="n">
        <v>0</v>
      </c>
      <c r="P241" t="n">
        <v>0</v>
      </c>
      <c r="Q241" t="n">
        <v>0</v>
      </c>
      <c r="R241" s="2" t="inlineStr"/>
    </row>
    <row r="242" ht="15" customHeight="1">
      <c r="A242" t="inlineStr">
        <is>
          <t>A 37005-2019</t>
        </is>
      </c>
      <c r="B242" s="1" t="n">
        <v>43676</v>
      </c>
      <c r="C242" s="1" t="n">
        <v>45721</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37719-2019</t>
        </is>
      </c>
      <c r="B243" s="1" t="n">
        <v>43682</v>
      </c>
      <c r="C243" s="1" t="n">
        <v>45721</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38068-2019</t>
        </is>
      </c>
      <c r="B244" s="1" t="n">
        <v>43683</v>
      </c>
      <c r="C244" s="1" t="n">
        <v>45721</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38265-2019</t>
        </is>
      </c>
      <c r="B245" s="1" t="n">
        <v>43684</v>
      </c>
      <c r="C245" s="1" t="n">
        <v>45721</v>
      </c>
      <c r="D245" t="inlineStr">
        <is>
          <t>VÄRMLANDS LÄN</t>
        </is>
      </c>
      <c r="E245" t="inlineStr">
        <is>
          <t>TORSBY</t>
        </is>
      </c>
      <c r="G245" t="n">
        <v>0.9</v>
      </c>
      <c r="H245" t="n">
        <v>0</v>
      </c>
      <c r="I245" t="n">
        <v>0</v>
      </c>
      <c r="J245" t="n">
        <v>0</v>
      </c>
      <c r="K245" t="n">
        <v>0</v>
      </c>
      <c r="L245" t="n">
        <v>0</v>
      </c>
      <c r="M245" t="n">
        <v>0</v>
      </c>
      <c r="N245" t="n">
        <v>0</v>
      </c>
      <c r="O245" t="n">
        <v>0</v>
      </c>
      <c r="P245" t="n">
        <v>0</v>
      </c>
      <c r="Q245" t="n">
        <v>0</v>
      </c>
      <c r="R245" s="2" t="inlineStr"/>
    </row>
    <row r="246" ht="15" customHeight="1">
      <c r="A246" t="inlineStr">
        <is>
          <t>A 39213-2019</t>
        </is>
      </c>
      <c r="B246" s="1" t="n">
        <v>43690</v>
      </c>
      <c r="C246" s="1" t="n">
        <v>45721</v>
      </c>
      <c r="D246" t="inlineStr">
        <is>
          <t>VÄRMLANDS LÄN</t>
        </is>
      </c>
      <c r="E246" t="inlineStr">
        <is>
          <t>TORSBY</t>
        </is>
      </c>
      <c r="G246" t="n">
        <v>1.8</v>
      </c>
      <c r="H246" t="n">
        <v>0</v>
      </c>
      <c r="I246" t="n">
        <v>0</v>
      </c>
      <c r="J246" t="n">
        <v>0</v>
      </c>
      <c r="K246" t="n">
        <v>0</v>
      </c>
      <c r="L246" t="n">
        <v>0</v>
      </c>
      <c r="M246" t="n">
        <v>0</v>
      </c>
      <c r="N246" t="n">
        <v>0</v>
      </c>
      <c r="O246" t="n">
        <v>0</v>
      </c>
      <c r="P246" t="n">
        <v>0</v>
      </c>
      <c r="Q246" t="n">
        <v>0</v>
      </c>
      <c r="R246" s="2" t="inlineStr"/>
    </row>
    <row r="247" ht="15" customHeight="1">
      <c r="A247" t="inlineStr">
        <is>
          <t>A 40632-2019</t>
        </is>
      </c>
      <c r="B247" s="1" t="n">
        <v>43696</v>
      </c>
      <c r="C247" s="1" t="n">
        <v>45721</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40589-2019</t>
        </is>
      </c>
      <c r="B248" s="1" t="n">
        <v>43696</v>
      </c>
      <c r="C248" s="1" t="n">
        <v>45721</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40810-2019</t>
        </is>
      </c>
      <c r="B249" s="1" t="n">
        <v>43697</v>
      </c>
      <c r="C249" s="1" t="n">
        <v>45721</v>
      </c>
      <c r="D249" t="inlineStr">
        <is>
          <t>VÄRMLANDS LÄN</t>
        </is>
      </c>
      <c r="E249" t="inlineStr">
        <is>
          <t>TORSBY</t>
        </is>
      </c>
      <c r="G249" t="n">
        <v>0.8</v>
      </c>
      <c r="H249" t="n">
        <v>0</v>
      </c>
      <c r="I249" t="n">
        <v>0</v>
      </c>
      <c r="J249" t="n">
        <v>0</v>
      </c>
      <c r="K249" t="n">
        <v>0</v>
      </c>
      <c r="L249" t="n">
        <v>0</v>
      </c>
      <c r="M249" t="n">
        <v>0</v>
      </c>
      <c r="N249" t="n">
        <v>0</v>
      </c>
      <c r="O249" t="n">
        <v>0</v>
      </c>
      <c r="P249" t="n">
        <v>0</v>
      </c>
      <c r="Q249" t="n">
        <v>0</v>
      </c>
      <c r="R249" s="2" t="inlineStr"/>
    </row>
    <row r="250" ht="15" customHeight="1">
      <c r="A250" t="inlineStr">
        <is>
          <t>A 41698-2019</t>
        </is>
      </c>
      <c r="B250" s="1" t="n">
        <v>43697</v>
      </c>
      <c r="C250" s="1" t="n">
        <v>45721</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42441-2019</t>
        </is>
      </c>
      <c r="B251" s="1" t="n">
        <v>43697</v>
      </c>
      <c r="C251" s="1" t="n">
        <v>45721</v>
      </c>
      <c r="D251" t="inlineStr">
        <is>
          <t>VÄRMLANDS LÄN</t>
        </is>
      </c>
      <c r="E251" t="inlineStr">
        <is>
          <t>TORSBY</t>
        </is>
      </c>
      <c r="G251" t="n">
        <v>2.4</v>
      </c>
      <c r="H251" t="n">
        <v>0</v>
      </c>
      <c r="I251" t="n">
        <v>0</v>
      </c>
      <c r="J251" t="n">
        <v>0</v>
      </c>
      <c r="K251" t="n">
        <v>0</v>
      </c>
      <c r="L251" t="n">
        <v>0</v>
      </c>
      <c r="M251" t="n">
        <v>0</v>
      </c>
      <c r="N251" t="n">
        <v>0</v>
      </c>
      <c r="O251" t="n">
        <v>0</v>
      </c>
      <c r="P251" t="n">
        <v>0</v>
      </c>
      <c r="Q251" t="n">
        <v>0</v>
      </c>
      <c r="R251" s="2" t="inlineStr"/>
    </row>
    <row r="252" ht="15" customHeight="1">
      <c r="A252" t="inlineStr">
        <is>
          <t>A 41436-2019</t>
        </is>
      </c>
      <c r="B252" s="1" t="n">
        <v>43698</v>
      </c>
      <c r="C252" s="1" t="n">
        <v>45721</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41435-2019</t>
        </is>
      </c>
      <c r="B253" s="1" t="n">
        <v>43698</v>
      </c>
      <c r="C253" s="1" t="n">
        <v>45721</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41438-2019</t>
        </is>
      </c>
      <c r="B254" s="1" t="n">
        <v>43698</v>
      </c>
      <c r="C254" s="1" t="n">
        <v>45721</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41621-2019</t>
        </is>
      </c>
      <c r="B255" s="1" t="n">
        <v>43699</v>
      </c>
      <c r="C255" s="1" t="n">
        <v>45721</v>
      </c>
      <c r="D255" t="inlineStr">
        <is>
          <t>VÄRMLANDS LÄN</t>
        </is>
      </c>
      <c r="E255" t="inlineStr">
        <is>
          <t>TORSBY</t>
        </is>
      </c>
      <c r="G255" t="n">
        <v>4.2</v>
      </c>
      <c r="H255" t="n">
        <v>0</v>
      </c>
      <c r="I255" t="n">
        <v>0</v>
      </c>
      <c r="J255" t="n">
        <v>0</v>
      </c>
      <c r="K255" t="n">
        <v>0</v>
      </c>
      <c r="L255" t="n">
        <v>0</v>
      </c>
      <c r="M255" t="n">
        <v>0</v>
      </c>
      <c r="N255" t="n">
        <v>0</v>
      </c>
      <c r="O255" t="n">
        <v>0</v>
      </c>
      <c r="P255" t="n">
        <v>0</v>
      </c>
      <c r="Q255" t="n">
        <v>0</v>
      </c>
      <c r="R255" s="2" t="inlineStr"/>
    </row>
    <row r="256" ht="15" customHeight="1">
      <c r="A256" t="inlineStr">
        <is>
          <t>A 42230-2019</t>
        </is>
      </c>
      <c r="B256" s="1" t="n">
        <v>43703</v>
      </c>
      <c r="C256" s="1" t="n">
        <v>45721</v>
      </c>
      <c r="D256" t="inlineStr">
        <is>
          <t>VÄRMLANDS LÄN</t>
        </is>
      </c>
      <c r="E256" t="inlineStr">
        <is>
          <t>TORSBY</t>
        </is>
      </c>
      <c r="G256" t="n">
        <v>1.9</v>
      </c>
      <c r="H256" t="n">
        <v>0</v>
      </c>
      <c r="I256" t="n">
        <v>0</v>
      </c>
      <c r="J256" t="n">
        <v>0</v>
      </c>
      <c r="K256" t="n">
        <v>0</v>
      </c>
      <c r="L256" t="n">
        <v>0</v>
      </c>
      <c r="M256" t="n">
        <v>0</v>
      </c>
      <c r="N256" t="n">
        <v>0</v>
      </c>
      <c r="O256" t="n">
        <v>0</v>
      </c>
      <c r="P256" t="n">
        <v>0</v>
      </c>
      <c r="Q256" t="n">
        <v>0</v>
      </c>
      <c r="R256" s="2" t="inlineStr"/>
    </row>
    <row r="257" ht="15" customHeight="1">
      <c r="A257" t="inlineStr">
        <is>
          <t>A 43273-2019</t>
        </is>
      </c>
      <c r="B257" s="1" t="n">
        <v>43704</v>
      </c>
      <c r="C257" s="1" t="n">
        <v>45721</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43897-2019</t>
        </is>
      </c>
      <c r="B258" s="1" t="n">
        <v>43707</v>
      </c>
      <c r="C258" s="1" t="n">
        <v>45721</v>
      </c>
      <c r="D258" t="inlineStr">
        <is>
          <t>VÄRMLANDS LÄN</t>
        </is>
      </c>
      <c r="E258" t="inlineStr">
        <is>
          <t>TORSBY</t>
        </is>
      </c>
      <c r="G258" t="n">
        <v>3.2</v>
      </c>
      <c r="H258" t="n">
        <v>0</v>
      </c>
      <c r="I258" t="n">
        <v>0</v>
      </c>
      <c r="J258" t="n">
        <v>0</v>
      </c>
      <c r="K258" t="n">
        <v>0</v>
      </c>
      <c r="L258" t="n">
        <v>0</v>
      </c>
      <c r="M258" t="n">
        <v>0</v>
      </c>
      <c r="N258" t="n">
        <v>0</v>
      </c>
      <c r="O258" t="n">
        <v>0</v>
      </c>
      <c r="P258" t="n">
        <v>0</v>
      </c>
      <c r="Q258" t="n">
        <v>0</v>
      </c>
      <c r="R258" s="2" t="inlineStr"/>
    </row>
    <row r="259" ht="15" customHeight="1">
      <c r="A259" t="inlineStr">
        <is>
          <t>A 44832-2019</t>
        </is>
      </c>
      <c r="B259" s="1" t="n">
        <v>43707</v>
      </c>
      <c r="C259" s="1" t="n">
        <v>45721</v>
      </c>
      <c r="D259" t="inlineStr">
        <is>
          <t>VÄRMLANDS LÄN</t>
        </is>
      </c>
      <c r="E259" t="inlineStr">
        <is>
          <t>TORSBY</t>
        </is>
      </c>
      <c r="G259" t="n">
        <v>27.1</v>
      </c>
      <c r="H259" t="n">
        <v>0</v>
      </c>
      <c r="I259" t="n">
        <v>0</v>
      </c>
      <c r="J259" t="n">
        <v>0</v>
      </c>
      <c r="K259" t="n">
        <v>0</v>
      </c>
      <c r="L259" t="n">
        <v>0</v>
      </c>
      <c r="M259" t="n">
        <v>0</v>
      </c>
      <c r="N259" t="n">
        <v>0</v>
      </c>
      <c r="O259" t="n">
        <v>0</v>
      </c>
      <c r="P259" t="n">
        <v>0</v>
      </c>
      <c r="Q259" t="n">
        <v>0</v>
      </c>
      <c r="R259" s="2" t="inlineStr"/>
    </row>
    <row r="260" ht="15" customHeight="1">
      <c r="A260" t="inlineStr">
        <is>
          <t>A 44708-2019</t>
        </is>
      </c>
      <c r="B260" s="1" t="n">
        <v>43712</v>
      </c>
      <c r="C260" s="1" t="n">
        <v>45721</v>
      </c>
      <c r="D260" t="inlineStr">
        <is>
          <t>VÄRMLANDS LÄN</t>
        </is>
      </c>
      <c r="E260" t="inlineStr">
        <is>
          <t>TORSBY</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44706-2019</t>
        </is>
      </c>
      <c r="B261" s="1" t="n">
        <v>43712</v>
      </c>
      <c r="C261" s="1" t="n">
        <v>45721</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45053-2019</t>
        </is>
      </c>
      <c r="B262" s="1" t="n">
        <v>43713</v>
      </c>
      <c r="C262" s="1" t="n">
        <v>45721</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45083-2019</t>
        </is>
      </c>
      <c r="B263" s="1" t="n">
        <v>43713</v>
      </c>
      <c r="C263" s="1" t="n">
        <v>45721</v>
      </c>
      <c r="D263" t="inlineStr">
        <is>
          <t>VÄRMLANDS LÄN</t>
        </is>
      </c>
      <c r="E263" t="inlineStr">
        <is>
          <t>TORSBY</t>
        </is>
      </c>
      <c r="F263" t="inlineStr">
        <is>
          <t>Bergvik skog väst AB</t>
        </is>
      </c>
      <c r="G263" t="n">
        <v>37.8</v>
      </c>
      <c r="H263" t="n">
        <v>0</v>
      </c>
      <c r="I263" t="n">
        <v>0</v>
      </c>
      <c r="J263" t="n">
        <v>0</v>
      </c>
      <c r="K263" t="n">
        <v>0</v>
      </c>
      <c r="L263" t="n">
        <v>0</v>
      </c>
      <c r="M263" t="n">
        <v>0</v>
      </c>
      <c r="N263" t="n">
        <v>0</v>
      </c>
      <c r="O263" t="n">
        <v>0</v>
      </c>
      <c r="P263" t="n">
        <v>0</v>
      </c>
      <c r="Q263" t="n">
        <v>0</v>
      </c>
      <c r="R263" s="2" t="inlineStr"/>
    </row>
    <row r="264" ht="15" customHeight="1">
      <c r="A264" t="inlineStr">
        <is>
          <t>A 45189-2019</t>
        </is>
      </c>
      <c r="B264" s="1" t="n">
        <v>43713</v>
      </c>
      <c r="C264" s="1" t="n">
        <v>45721</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45068-2019</t>
        </is>
      </c>
      <c r="B265" s="1" t="n">
        <v>43713</v>
      </c>
      <c r="C265" s="1" t="n">
        <v>45721</v>
      </c>
      <c r="D265" t="inlineStr">
        <is>
          <t>VÄRMLANDS LÄN</t>
        </is>
      </c>
      <c r="E265" t="inlineStr">
        <is>
          <t>TORSBY</t>
        </is>
      </c>
      <c r="G265" t="n">
        <v>2.4</v>
      </c>
      <c r="H265" t="n">
        <v>0</v>
      </c>
      <c r="I265" t="n">
        <v>0</v>
      </c>
      <c r="J265" t="n">
        <v>0</v>
      </c>
      <c r="K265" t="n">
        <v>0</v>
      </c>
      <c r="L265" t="n">
        <v>0</v>
      </c>
      <c r="M265" t="n">
        <v>0</v>
      </c>
      <c r="N265" t="n">
        <v>0</v>
      </c>
      <c r="O265" t="n">
        <v>0</v>
      </c>
      <c r="P265" t="n">
        <v>0</v>
      </c>
      <c r="Q265" t="n">
        <v>0</v>
      </c>
      <c r="R265" s="2" t="inlineStr"/>
    </row>
    <row r="266" ht="15" customHeight="1">
      <c r="A266" t="inlineStr">
        <is>
          <t>A 45891-2019</t>
        </is>
      </c>
      <c r="B266" s="1" t="n">
        <v>43717</v>
      </c>
      <c r="C266" s="1" t="n">
        <v>45721</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46738-2019</t>
        </is>
      </c>
      <c r="B267" s="1" t="n">
        <v>43719</v>
      </c>
      <c r="C267" s="1" t="n">
        <v>45721</v>
      </c>
      <c r="D267" t="inlineStr">
        <is>
          <t>VÄRMLANDS LÄN</t>
        </is>
      </c>
      <c r="E267" t="inlineStr">
        <is>
          <t>TORSBY</t>
        </is>
      </c>
      <c r="G267" t="n">
        <v>1.5</v>
      </c>
      <c r="H267" t="n">
        <v>0</v>
      </c>
      <c r="I267" t="n">
        <v>0</v>
      </c>
      <c r="J267" t="n">
        <v>0</v>
      </c>
      <c r="K267" t="n">
        <v>0</v>
      </c>
      <c r="L267" t="n">
        <v>0</v>
      </c>
      <c r="M267" t="n">
        <v>0</v>
      </c>
      <c r="N267" t="n">
        <v>0</v>
      </c>
      <c r="O267" t="n">
        <v>0</v>
      </c>
      <c r="P267" t="n">
        <v>0</v>
      </c>
      <c r="Q267" t="n">
        <v>0</v>
      </c>
      <c r="R267" s="2" t="inlineStr"/>
    </row>
    <row r="268" ht="15" customHeight="1">
      <c r="A268" t="inlineStr">
        <is>
          <t>A 46743-2019</t>
        </is>
      </c>
      <c r="B268" s="1" t="n">
        <v>43719</v>
      </c>
      <c r="C268" s="1" t="n">
        <v>45721</v>
      </c>
      <c r="D268" t="inlineStr">
        <is>
          <t>VÄRMLANDS LÄN</t>
        </is>
      </c>
      <c r="E268" t="inlineStr">
        <is>
          <t>TORSBY</t>
        </is>
      </c>
      <c r="G268" t="n">
        <v>7</v>
      </c>
      <c r="H268" t="n">
        <v>0</v>
      </c>
      <c r="I268" t="n">
        <v>0</v>
      </c>
      <c r="J268" t="n">
        <v>0</v>
      </c>
      <c r="K268" t="n">
        <v>0</v>
      </c>
      <c r="L268" t="n">
        <v>0</v>
      </c>
      <c r="M268" t="n">
        <v>0</v>
      </c>
      <c r="N268" t="n">
        <v>0</v>
      </c>
      <c r="O268" t="n">
        <v>0</v>
      </c>
      <c r="P268" t="n">
        <v>0</v>
      </c>
      <c r="Q268" t="n">
        <v>0</v>
      </c>
      <c r="R268" s="2" t="inlineStr"/>
    </row>
    <row r="269" ht="15" customHeight="1">
      <c r="A269" t="inlineStr">
        <is>
          <t>A 47114-2019</t>
        </is>
      </c>
      <c r="B269" s="1" t="n">
        <v>43720</v>
      </c>
      <c r="C269" s="1" t="n">
        <v>45721</v>
      </c>
      <c r="D269" t="inlineStr">
        <is>
          <t>VÄRMLANDS LÄN</t>
        </is>
      </c>
      <c r="E269" t="inlineStr">
        <is>
          <t>TORSBY</t>
        </is>
      </c>
      <c r="G269" t="n">
        <v>2.2</v>
      </c>
      <c r="H269" t="n">
        <v>0</v>
      </c>
      <c r="I269" t="n">
        <v>0</v>
      </c>
      <c r="J269" t="n">
        <v>0</v>
      </c>
      <c r="K269" t="n">
        <v>0</v>
      </c>
      <c r="L269" t="n">
        <v>0</v>
      </c>
      <c r="M269" t="n">
        <v>0</v>
      </c>
      <c r="N269" t="n">
        <v>0</v>
      </c>
      <c r="O269" t="n">
        <v>0</v>
      </c>
      <c r="P269" t="n">
        <v>0</v>
      </c>
      <c r="Q269" t="n">
        <v>0</v>
      </c>
      <c r="R269" s="2" t="inlineStr"/>
    </row>
    <row r="270" ht="15" customHeight="1">
      <c r="A270" t="inlineStr">
        <is>
          <t>A 47214-2019</t>
        </is>
      </c>
      <c r="B270" s="1" t="n">
        <v>43721</v>
      </c>
      <c r="C270" s="1" t="n">
        <v>45721</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47137-2019</t>
        </is>
      </c>
      <c r="B271" s="1" t="n">
        <v>43721</v>
      </c>
      <c r="C271" s="1" t="n">
        <v>45721</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47316-2019</t>
        </is>
      </c>
      <c r="B272" s="1" t="n">
        <v>43721</v>
      </c>
      <c r="C272" s="1" t="n">
        <v>45721</v>
      </c>
      <c r="D272" t="inlineStr">
        <is>
          <t>VÄRMLANDS LÄN</t>
        </is>
      </c>
      <c r="E272" t="inlineStr">
        <is>
          <t>TORSBY</t>
        </is>
      </c>
      <c r="F272" t="inlineStr">
        <is>
          <t>Bergvik skog väst AB</t>
        </is>
      </c>
      <c r="G272" t="n">
        <v>6.6</v>
      </c>
      <c r="H272" t="n">
        <v>0</v>
      </c>
      <c r="I272" t="n">
        <v>0</v>
      </c>
      <c r="J272" t="n">
        <v>0</v>
      </c>
      <c r="K272" t="n">
        <v>0</v>
      </c>
      <c r="L272" t="n">
        <v>0</v>
      </c>
      <c r="M272" t="n">
        <v>0</v>
      </c>
      <c r="N272" t="n">
        <v>0</v>
      </c>
      <c r="O272" t="n">
        <v>0</v>
      </c>
      <c r="P272" t="n">
        <v>0</v>
      </c>
      <c r="Q272" t="n">
        <v>0</v>
      </c>
      <c r="R272" s="2" t="inlineStr"/>
    </row>
    <row r="273" ht="15" customHeight="1">
      <c r="A273" t="inlineStr">
        <is>
          <t>A 47608-2019</t>
        </is>
      </c>
      <c r="B273" s="1" t="n">
        <v>43724</v>
      </c>
      <c r="C273" s="1" t="n">
        <v>45721</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47772-2019</t>
        </is>
      </c>
      <c r="B274" s="1" t="n">
        <v>43724</v>
      </c>
      <c r="C274" s="1" t="n">
        <v>45721</v>
      </c>
      <c r="D274" t="inlineStr">
        <is>
          <t>VÄRMLANDS LÄN</t>
        </is>
      </c>
      <c r="E274" t="inlineStr">
        <is>
          <t>TORSBY</t>
        </is>
      </c>
      <c r="G274" t="n">
        <v>3.9</v>
      </c>
      <c r="H274" t="n">
        <v>0</v>
      </c>
      <c r="I274" t="n">
        <v>0</v>
      </c>
      <c r="J274" t="n">
        <v>0</v>
      </c>
      <c r="K274" t="n">
        <v>0</v>
      </c>
      <c r="L274" t="n">
        <v>0</v>
      </c>
      <c r="M274" t="n">
        <v>0</v>
      </c>
      <c r="N274" t="n">
        <v>0</v>
      </c>
      <c r="O274" t="n">
        <v>0</v>
      </c>
      <c r="P274" t="n">
        <v>0</v>
      </c>
      <c r="Q274" t="n">
        <v>0</v>
      </c>
      <c r="R274" s="2" t="inlineStr"/>
    </row>
    <row r="275" ht="15" customHeight="1">
      <c r="A275" t="inlineStr">
        <is>
          <t>A 47648-2019</t>
        </is>
      </c>
      <c r="B275" s="1" t="n">
        <v>43724</v>
      </c>
      <c r="C275" s="1" t="n">
        <v>45721</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47502-2019</t>
        </is>
      </c>
      <c r="B276" s="1" t="n">
        <v>43724</v>
      </c>
      <c r="C276" s="1" t="n">
        <v>45721</v>
      </c>
      <c r="D276" t="inlineStr">
        <is>
          <t>VÄRMLANDS LÄN</t>
        </is>
      </c>
      <c r="E276" t="inlineStr">
        <is>
          <t>TORSBY</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47869-2019</t>
        </is>
      </c>
      <c r="B277" s="1" t="n">
        <v>43725</v>
      </c>
      <c r="C277" s="1" t="n">
        <v>45721</v>
      </c>
      <c r="D277" t="inlineStr">
        <is>
          <t>VÄRMLANDS LÄN</t>
        </is>
      </c>
      <c r="E277" t="inlineStr">
        <is>
          <t>TORSBY</t>
        </is>
      </c>
      <c r="G277" t="n">
        <v>4.7</v>
      </c>
      <c r="H277" t="n">
        <v>0</v>
      </c>
      <c r="I277" t="n">
        <v>0</v>
      </c>
      <c r="J277" t="n">
        <v>0</v>
      </c>
      <c r="K277" t="n">
        <v>0</v>
      </c>
      <c r="L277" t="n">
        <v>0</v>
      </c>
      <c r="M277" t="n">
        <v>0</v>
      </c>
      <c r="N277" t="n">
        <v>0</v>
      </c>
      <c r="O277" t="n">
        <v>0</v>
      </c>
      <c r="P277" t="n">
        <v>0</v>
      </c>
      <c r="Q277" t="n">
        <v>0</v>
      </c>
      <c r="R277" s="2" t="inlineStr"/>
    </row>
    <row r="278" ht="15" customHeight="1">
      <c r="A278" t="inlineStr">
        <is>
          <t>A 47979-2019</t>
        </is>
      </c>
      <c r="B278" s="1" t="n">
        <v>43725</v>
      </c>
      <c r="C278" s="1" t="n">
        <v>45721</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48040-2019</t>
        </is>
      </c>
      <c r="B279" s="1" t="n">
        <v>43725</v>
      </c>
      <c r="C279" s="1" t="n">
        <v>45721</v>
      </c>
      <c r="D279" t="inlineStr">
        <is>
          <t>VÄRMLANDS LÄN</t>
        </is>
      </c>
      <c r="E279" t="inlineStr">
        <is>
          <t>TORSBY</t>
        </is>
      </c>
      <c r="G279" t="n">
        <v>2.7</v>
      </c>
      <c r="H279" t="n">
        <v>0</v>
      </c>
      <c r="I279" t="n">
        <v>0</v>
      </c>
      <c r="J279" t="n">
        <v>0</v>
      </c>
      <c r="K279" t="n">
        <v>0</v>
      </c>
      <c r="L279" t="n">
        <v>0</v>
      </c>
      <c r="M279" t="n">
        <v>0</v>
      </c>
      <c r="N279" t="n">
        <v>0</v>
      </c>
      <c r="O279" t="n">
        <v>0</v>
      </c>
      <c r="P279" t="n">
        <v>0</v>
      </c>
      <c r="Q279" t="n">
        <v>0</v>
      </c>
      <c r="R279" s="2" t="inlineStr"/>
    </row>
    <row r="280" ht="15" customHeight="1">
      <c r="A280" t="inlineStr">
        <is>
          <t>A 48346-2019</t>
        </is>
      </c>
      <c r="B280" s="1" t="n">
        <v>43726</v>
      </c>
      <c r="C280" s="1" t="n">
        <v>45721</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48366-2019</t>
        </is>
      </c>
      <c r="B281" s="1" t="n">
        <v>43726</v>
      </c>
      <c r="C281" s="1" t="n">
        <v>45721</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49550-2019</t>
        </is>
      </c>
      <c r="B282" s="1" t="n">
        <v>43727</v>
      </c>
      <c r="C282" s="1" t="n">
        <v>45721</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51497-2019</t>
        </is>
      </c>
      <c r="B283" s="1" t="n">
        <v>43734</v>
      </c>
      <c r="C283" s="1" t="n">
        <v>45721</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50428-2019</t>
        </is>
      </c>
      <c r="B284" s="1" t="n">
        <v>43735</v>
      </c>
      <c r="C284" s="1" t="n">
        <v>45721</v>
      </c>
      <c r="D284" t="inlineStr">
        <is>
          <t>VÄRMLANDS LÄN</t>
        </is>
      </c>
      <c r="E284" t="inlineStr">
        <is>
          <t>TORSBY</t>
        </is>
      </c>
      <c r="G284" t="n">
        <v>0.4</v>
      </c>
      <c r="H284" t="n">
        <v>0</v>
      </c>
      <c r="I284" t="n">
        <v>0</v>
      </c>
      <c r="J284" t="n">
        <v>0</v>
      </c>
      <c r="K284" t="n">
        <v>0</v>
      </c>
      <c r="L284" t="n">
        <v>0</v>
      </c>
      <c r="M284" t="n">
        <v>0</v>
      </c>
      <c r="N284" t="n">
        <v>0</v>
      </c>
      <c r="O284" t="n">
        <v>0</v>
      </c>
      <c r="P284" t="n">
        <v>0</v>
      </c>
      <c r="Q284" t="n">
        <v>0</v>
      </c>
      <c r="R284" s="2" t="inlineStr"/>
    </row>
    <row r="285" ht="15" customHeight="1">
      <c r="A285" t="inlineStr">
        <is>
          <t>A 52319-2019</t>
        </is>
      </c>
      <c r="B285" s="1" t="n">
        <v>43735</v>
      </c>
      <c r="C285" s="1" t="n">
        <v>45721</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52326-2019</t>
        </is>
      </c>
      <c r="B286" s="1" t="n">
        <v>43735</v>
      </c>
      <c r="C286" s="1" t="n">
        <v>45721</v>
      </c>
      <c r="D286" t="inlineStr">
        <is>
          <t>VÄRMLANDS LÄN</t>
        </is>
      </c>
      <c r="E286" t="inlineStr">
        <is>
          <t>TORSBY</t>
        </is>
      </c>
      <c r="G286" t="n">
        <v>6.2</v>
      </c>
      <c r="H286" t="n">
        <v>0</v>
      </c>
      <c r="I286" t="n">
        <v>0</v>
      </c>
      <c r="J286" t="n">
        <v>0</v>
      </c>
      <c r="K286" t="n">
        <v>0</v>
      </c>
      <c r="L286" t="n">
        <v>0</v>
      </c>
      <c r="M286" t="n">
        <v>0</v>
      </c>
      <c r="N286" t="n">
        <v>0</v>
      </c>
      <c r="O286" t="n">
        <v>0</v>
      </c>
      <c r="P286" t="n">
        <v>0</v>
      </c>
      <c r="Q286" t="n">
        <v>0</v>
      </c>
      <c r="R286" s="2" t="inlineStr"/>
    </row>
    <row r="287" ht="15" customHeight="1">
      <c r="A287" t="inlineStr">
        <is>
          <t>A 52317-2019</t>
        </is>
      </c>
      <c r="B287" s="1" t="n">
        <v>43735</v>
      </c>
      <c r="C287" s="1" t="n">
        <v>45721</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51254-2019</t>
        </is>
      </c>
      <c r="B288" s="1" t="n">
        <v>43739</v>
      </c>
      <c r="C288" s="1" t="n">
        <v>45721</v>
      </c>
      <c r="D288" t="inlineStr">
        <is>
          <t>VÄRMLANDS LÄN</t>
        </is>
      </c>
      <c r="E288" t="inlineStr">
        <is>
          <t>TORSBY</t>
        </is>
      </c>
      <c r="F288" t="inlineStr">
        <is>
          <t>Bergvik skog väst AB</t>
        </is>
      </c>
      <c r="G288" t="n">
        <v>4.5</v>
      </c>
      <c r="H288" t="n">
        <v>0</v>
      </c>
      <c r="I288" t="n">
        <v>0</v>
      </c>
      <c r="J288" t="n">
        <v>0</v>
      </c>
      <c r="K288" t="n">
        <v>0</v>
      </c>
      <c r="L288" t="n">
        <v>0</v>
      </c>
      <c r="M288" t="n">
        <v>0</v>
      </c>
      <c r="N288" t="n">
        <v>0</v>
      </c>
      <c r="O288" t="n">
        <v>0</v>
      </c>
      <c r="P288" t="n">
        <v>0</v>
      </c>
      <c r="Q288" t="n">
        <v>0</v>
      </c>
      <c r="R288" s="2" t="inlineStr"/>
    </row>
    <row r="289" ht="15" customHeight="1">
      <c r="A289" t="inlineStr">
        <is>
          <t>A 52186-2019</t>
        </is>
      </c>
      <c r="B289" s="1" t="n">
        <v>43742</v>
      </c>
      <c r="C289" s="1" t="n">
        <v>45721</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52311-2019</t>
        </is>
      </c>
      <c r="B290" s="1" t="n">
        <v>43745</v>
      </c>
      <c r="C290" s="1" t="n">
        <v>45721</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52674-2019</t>
        </is>
      </c>
      <c r="B291" s="1" t="n">
        <v>43746</v>
      </c>
      <c r="C291" s="1" t="n">
        <v>45721</v>
      </c>
      <c r="D291" t="inlineStr">
        <is>
          <t>VÄRMLANDS LÄN</t>
        </is>
      </c>
      <c r="E291" t="inlineStr">
        <is>
          <t>TORSBY</t>
        </is>
      </c>
      <c r="F291" t="inlineStr">
        <is>
          <t>Bergvik skog väst AB</t>
        </is>
      </c>
      <c r="G291" t="n">
        <v>26.4</v>
      </c>
      <c r="H291" t="n">
        <v>0</v>
      </c>
      <c r="I291" t="n">
        <v>0</v>
      </c>
      <c r="J291" t="n">
        <v>0</v>
      </c>
      <c r="K291" t="n">
        <v>0</v>
      </c>
      <c r="L291" t="n">
        <v>0</v>
      </c>
      <c r="M291" t="n">
        <v>0</v>
      </c>
      <c r="N291" t="n">
        <v>0</v>
      </c>
      <c r="O291" t="n">
        <v>0</v>
      </c>
      <c r="P291" t="n">
        <v>0</v>
      </c>
      <c r="Q291" t="n">
        <v>0</v>
      </c>
      <c r="R291" s="2" t="inlineStr"/>
    </row>
    <row r="292" ht="15" customHeight="1">
      <c r="A292" t="inlineStr">
        <is>
          <t>A 52885-2019</t>
        </is>
      </c>
      <c r="B292" s="1" t="n">
        <v>43746</v>
      </c>
      <c r="C292" s="1" t="n">
        <v>45721</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53271-2019</t>
        </is>
      </c>
      <c r="B293" s="1" t="n">
        <v>43748</v>
      </c>
      <c r="C293" s="1" t="n">
        <v>45721</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54764-2019</t>
        </is>
      </c>
      <c r="B294" s="1" t="n">
        <v>43748</v>
      </c>
      <c r="C294" s="1" t="n">
        <v>45721</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53635-2019</t>
        </is>
      </c>
      <c r="B295" s="1" t="n">
        <v>43749</v>
      </c>
      <c r="C295" s="1" t="n">
        <v>45721</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53746-2019</t>
        </is>
      </c>
      <c r="B296" s="1" t="n">
        <v>43749</v>
      </c>
      <c r="C296" s="1" t="n">
        <v>45721</v>
      </c>
      <c r="D296" t="inlineStr">
        <is>
          <t>VÄRMLANDS LÄN</t>
        </is>
      </c>
      <c r="E296" t="inlineStr">
        <is>
          <t>TORSBY</t>
        </is>
      </c>
      <c r="G296" t="n">
        <v>0.3</v>
      </c>
      <c r="H296" t="n">
        <v>0</v>
      </c>
      <c r="I296" t="n">
        <v>0</v>
      </c>
      <c r="J296" t="n">
        <v>0</v>
      </c>
      <c r="K296" t="n">
        <v>0</v>
      </c>
      <c r="L296" t="n">
        <v>0</v>
      </c>
      <c r="M296" t="n">
        <v>0</v>
      </c>
      <c r="N296" t="n">
        <v>0</v>
      </c>
      <c r="O296" t="n">
        <v>0</v>
      </c>
      <c r="P296" t="n">
        <v>0</v>
      </c>
      <c r="Q296" t="n">
        <v>0</v>
      </c>
      <c r="R296" s="2" t="inlineStr"/>
    </row>
    <row r="297" ht="15" customHeight="1">
      <c r="A297" t="inlineStr">
        <is>
          <t>A 53744-2019</t>
        </is>
      </c>
      <c r="B297" s="1" t="n">
        <v>43749</v>
      </c>
      <c r="C297" s="1" t="n">
        <v>45721</v>
      </c>
      <c r="D297" t="inlineStr">
        <is>
          <t>VÄRMLANDS LÄN</t>
        </is>
      </c>
      <c r="E297" t="inlineStr">
        <is>
          <t>TORSBY</t>
        </is>
      </c>
      <c r="G297" t="n">
        <v>0.4</v>
      </c>
      <c r="H297" t="n">
        <v>0</v>
      </c>
      <c r="I297" t="n">
        <v>0</v>
      </c>
      <c r="J297" t="n">
        <v>0</v>
      </c>
      <c r="K297" t="n">
        <v>0</v>
      </c>
      <c r="L297" t="n">
        <v>0</v>
      </c>
      <c r="M297" t="n">
        <v>0</v>
      </c>
      <c r="N297" t="n">
        <v>0</v>
      </c>
      <c r="O297" t="n">
        <v>0</v>
      </c>
      <c r="P297" t="n">
        <v>0</v>
      </c>
      <c r="Q297" t="n">
        <v>0</v>
      </c>
      <c r="R297" s="2" t="inlineStr"/>
    </row>
    <row r="298" ht="15" customHeight="1">
      <c r="A298" t="inlineStr">
        <is>
          <t>A 54437-2019</t>
        </is>
      </c>
      <c r="B298" s="1" t="n">
        <v>43754</v>
      </c>
      <c r="C298" s="1" t="n">
        <v>45721</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56256-2019</t>
        </is>
      </c>
      <c r="B299" s="1" t="n">
        <v>43756</v>
      </c>
      <c r="C299" s="1" t="n">
        <v>45721</v>
      </c>
      <c r="D299" t="inlineStr">
        <is>
          <t>VÄRMLANDS LÄN</t>
        </is>
      </c>
      <c r="E299" t="inlineStr">
        <is>
          <t>TORSBY</t>
        </is>
      </c>
      <c r="G299" t="n">
        <v>2.2</v>
      </c>
      <c r="H299" t="n">
        <v>0</v>
      </c>
      <c r="I299" t="n">
        <v>0</v>
      </c>
      <c r="J299" t="n">
        <v>0</v>
      </c>
      <c r="K299" t="n">
        <v>0</v>
      </c>
      <c r="L299" t="n">
        <v>0</v>
      </c>
      <c r="M299" t="n">
        <v>0</v>
      </c>
      <c r="N299" t="n">
        <v>0</v>
      </c>
      <c r="O299" t="n">
        <v>0</v>
      </c>
      <c r="P299" t="n">
        <v>0</v>
      </c>
      <c r="Q299" t="n">
        <v>0</v>
      </c>
      <c r="R299" s="2" t="inlineStr"/>
    </row>
    <row r="300" ht="15" customHeight="1">
      <c r="A300" t="inlineStr">
        <is>
          <t>A 55988-2019</t>
        </is>
      </c>
      <c r="B300" s="1" t="n">
        <v>43759</v>
      </c>
      <c r="C300" s="1" t="n">
        <v>45721</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56704-2019</t>
        </is>
      </c>
      <c r="B301" s="1" t="n">
        <v>43759</v>
      </c>
      <c r="C301" s="1" t="n">
        <v>45721</v>
      </c>
      <c r="D301" t="inlineStr">
        <is>
          <t>VÄRMLANDS LÄN</t>
        </is>
      </c>
      <c r="E301" t="inlineStr">
        <is>
          <t>TORSBY</t>
        </is>
      </c>
      <c r="G301" t="n">
        <v>2.6</v>
      </c>
      <c r="H301" t="n">
        <v>0</v>
      </c>
      <c r="I301" t="n">
        <v>0</v>
      </c>
      <c r="J301" t="n">
        <v>0</v>
      </c>
      <c r="K301" t="n">
        <v>0</v>
      </c>
      <c r="L301" t="n">
        <v>0</v>
      </c>
      <c r="M301" t="n">
        <v>0</v>
      </c>
      <c r="N301" t="n">
        <v>0</v>
      </c>
      <c r="O301" t="n">
        <v>0</v>
      </c>
      <c r="P301" t="n">
        <v>0</v>
      </c>
      <c r="Q301" t="n">
        <v>0</v>
      </c>
      <c r="R301" s="2" t="inlineStr"/>
    </row>
    <row r="302" ht="15" customHeight="1">
      <c r="A302" t="inlineStr">
        <is>
          <t>A 55927-2019</t>
        </is>
      </c>
      <c r="B302" s="1" t="n">
        <v>43761</v>
      </c>
      <c r="C302" s="1" t="n">
        <v>45721</v>
      </c>
      <c r="D302" t="inlineStr">
        <is>
          <t>VÄRMLANDS LÄN</t>
        </is>
      </c>
      <c r="E302" t="inlineStr">
        <is>
          <t>TORSBY</t>
        </is>
      </c>
      <c r="G302" t="n">
        <v>2.8</v>
      </c>
      <c r="H302" t="n">
        <v>0</v>
      </c>
      <c r="I302" t="n">
        <v>0</v>
      </c>
      <c r="J302" t="n">
        <v>0</v>
      </c>
      <c r="K302" t="n">
        <v>0</v>
      </c>
      <c r="L302" t="n">
        <v>0</v>
      </c>
      <c r="M302" t="n">
        <v>0</v>
      </c>
      <c r="N302" t="n">
        <v>0</v>
      </c>
      <c r="O302" t="n">
        <v>0</v>
      </c>
      <c r="P302" t="n">
        <v>0</v>
      </c>
      <c r="Q302" t="n">
        <v>0</v>
      </c>
      <c r="R302" s="2" t="inlineStr"/>
    </row>
    <row r="303" ht="15" customHeight="1">
      <c r="A303" t="inlineStr">
        <is>
          <t>A 56021-2019</t>
        </is>
      </c>
      <c r="B303" s="1" t="n">
        <v>43761</v>
      </c>
      <c r="C303" s="1" t="n">
        <v>45721</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56305-2019</t>
        </is>
      </c>
      <c r="B304" s="1" t="n">
        <v>43762</v>
      </c>
      <c r="C304" s="1" t="n">
        <v>45721</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56594-2019</t>
        </is>
      </c>
      <c r="B305" s="1" t="n">
        <v>43763</v>
      </c>
      <c r="C305" s="1" t="n">
        <v>45721</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56633-2019</t>
        </is>
      </c>
      <c r="B306" s="1" t="n">
        <v>43763</v>
      </c>
      <c r="C306" s="1" t="n">
        <v>45721</v>
      </c>
      <c r="D306" t="inlineStr">
        <is>
          <t>VÄRMLANDS LÄN</t>
        </is>
      </c>
      <c r="E306" t="inlineStr">
        <is>
          <t>TORSBY</t>
        </is>
      </c>
      <c r="G306" t="n">
        <v>1.6</v>
      </c>
      <c r="H306" t="n">
        <v>0</v>
      </c>
      <c r="I306" t="n">
        <v>0</v>
      </c>
      <c r="J306" t="n">
        <v>0</v>
      </c>
      <c r="K306" t="n">
        <v>0</v>
      </c>
      <c r="L306" t="n">
        <v>0</v>
      </c>
      <c r="M306" t="n">
        <v>0</v>
      </c>
      <c r="N306" t="n">
        <v>0</v>
      </c>
      <c r="O306" t="n">
        <v>0</v>
      </c>
      <c r="P306" t="n">
        <v>0</v>
      </c>
      <c r="Q306" t="n">
        <v>0</v>
      </c>
      <c r="R306" s="2" t="inlineStr"/>
    </row>
    <row r="307" ht="15" customHeight="1">
      <c r="A307" t="inlineStr">
        <is>
          <t>A 56824-2019</t>
        </is>
      </c>
      <c r="B307" s="1" t="n">
        <v>43764</v>
      </c>
      <c r="C307" s="1" t="n">
        <v>45721</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56935-2019</t>
        </is>
      </c>
      <c r="B308" s="1" t="n">
        <v>43766</v>
      </c>
      <c r="C308" s="1" t="n">
        <v>45721</v>
      </c>
      <c r="D308" t="inlineStr">
        <is>
          <t>VÄRMLANDS LÄN</t>
        </is>
      </c>
      <c r="E308" t="inlineStr">
        <is>
          <t>TORSBY</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57399-2019</t>
        </is>
      </c>
      <c r="B309" s="1" t="n">
        <v>43767</v>
      </c>
      <c r="C309" s="1" t="n">
        <v>45721</v>
      </c>
      <c r="D309" t="inlineStr">
        <is>
          <t>VÄRMLANDS LÄN</t>
        </is>
      </c>
      <c r="E309" t="inlineStr">
        <is>
          <t>TORSBY</t>
        </is>
      </c>
      <c r="F309" t="inlineStr">
        <is>
          <t>Bergvik skog väst AB</t>
        </is>
      </c>
      <c r="G309" t="n">
        <v>18.9</v>
      </c>
      <c r="H309" t="n">
        <v>0</v>
      </c>
      <c r="I309" t="n">
        <v>0</v>
      </c>
      <c r="J309" t="n">
        <v>0</v>
      </c>
      <c r="K309" t="n">
        <v>0</v>
      </c>
      <c r="L309" t="n">
        <v>0</v>
      </c>
      <c r="M309" t="n">
        <v>0</v>
      </c>
      <c r="N309" t="n">
        <v>0</v>
      </c>
      <c r="O309" t="n">
        <v>0</v>
      </c>
      <c r="P309" t="n">
        <v>0</v>
      </c>
      <c r="Q309" t="n">
        <v>0</v>
      </c>
      <c r="R309" s="2" t="inlineStr"/>
    </row>
    <row r="310" ht="15" customHeight="1">
      <c r="A310" t="inlineStr">
        <is>
          <t>A 57251-2019</t>
        </is>
      </c>
      <c r="B310" s="1" t="n">
        <v>43767</v>
      </c>
      <c r="C310" s="1" t="n">
        <v>45721</v>
      </c>
      <c r="D310" t="inlineStr">
        <is>
          <t>VÄRMLANDS LÄN</t>
        </is>
      </c>
      <c r="E310" t="inlineStr">
        <is>
          <t>TORSBY</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57301-2019</t>
        </is>
      </c>
      <c r="B311" s="1" t="n">
        <v>43767</v>
      </c>
      <c r="C311" s="1" t="n">
        <v>45721</v>
      </c>
      <c r="D311" t="inlineStr">
        <is>
          <t>VÄRMLANDS LÄN</t>
        </is>
      </c>
      <c r="E311" t="inlineStr">
        <is>
          <t>TORSBY</t>
        </is>
      </c>
      <c r="G311" t="n">
        <v>3.6</v>
      </c>
      <c r="H311" t="n">
        <v>0</v>
      </c>
      <c r="I311" t="n">
        <v>0</v>
      </c>
      <c r="J311" t="n">
        <v>0</v>
      </c>
      <c r="K311" t="n">
        <v>0</v>
      </c>
      <c r="L311" t="n">
        <v>0</v>
      </c>
      <c r="M311" t="n">
        <v>0</v>
      </c>
      <c r="N311" t="n">
        <v>0</v>
      </c>
      <c r="O311" t="n">
        <v>0</v>
      </c>
      <c r="P311" t="n">
        <v>0</v>
      </c>
      <c r="Q311" t="n">
        <v>0</v>
      </c>
      <c r="R311" s="2" t="inlineStr"/>
    </row>
    <row r="312" ht="15" customHeight="1">
      <c r="A312" t="inlineStr">
        <is>
          <t>A 57268-2019</t>
        </is>
      </c>
      <c r="B312" s="1" t="n">
        <v>43767</v>
      </c>
      <c r="C312" s="1" t="n">
        <v>45721</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58530-2019</t>
        </is>
      </c>
      <c r="B313" s="1" t="n">
        <v>43767</v>
      </c>
      <c r="C313" s="1" t="n">
        <v>45721</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57223-2019</t>
        </is>
      </c>
      <c r="B314" s="1" t="n">
        <v>43767</v>
      </c>
      <c r="C314" s="1" t="n">
        <v>45721</v>
      </c>
      <c r="D314" t="inlineStr">
        <is>
          <t>VÄRMLANDS LÄN</t>
        </is>
      </c>
      <c r="E314" t="inlineStr">
        <is>
          <t>TORSBY</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57566-2019</t>
        </is>
      </c>
      <c r="B315" s="1" t="n">
        <v>43768</v>
      </c>
      <c r="C315" s="1" t="n">
        <v>45721</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57704-2019</t>
        </is>
      </c>
      <c r="B316" s="1" t="n">
        <v>43768</v>
      </c>
      <c r="C316" s="1" t="n">
        <v>45721</v>
      </c>
      <c r="D316" t="inlineStr">
        <is>
          <t>VÄRMLANDS LÄN</t>
        </is>
      </c>
      <c r="E316" t="inlineStr">
        <is>
          <t>TORSBY</t>
        </is>
      </c>
      <c r="F316" t="inlineStr">
        <is>
          <t>Kommuner</t>
        </is>
      </c>
      <c r="G316" t="n">
        <v>0.9</v>
      </c>
      <c r="H316" t="n">
        <v>0</v>
      </c>
      <c r="I316" t="n">
        <v>0</v>
      </c>
      <c r="J316" t="n">
        <v>0</v>
      </c>
      <c r="K316" t="n">
        <v>0</v>
      </c>
      <c r="L316" t="n">
        <v>0</v>
      </c>
      <c r="M316" t="n">
        <v>0</v>
      </c>
      <c r="N316" t="n">
        <v>0</v>
      </c>
      <c r="O316" t="n">
        <v>0</v>
      </c>
      <c r="P316" t="n">
        <v>0</v>
      </c>
      <c r="Q316" t="n">
        <v>0</v>
      </c>
      <c r="R316" s="2" t="inlineStr"/>
    </row>
    <row r="317" ht="15" customHeight="1">
      <c r="A317" t="inlineStr">
        <is>
          <t>A 57565-2019</t>
        </is>
      </c>
      <c r="B317" s="1" t="n">
        <v>43768</v>
      </c>
      <c r="C317" s="1" t="n">
        <v>45721</v>
      </c>
      <c r="D317" t="inlineStr">
        <is>
          <t>VÄRMLANDS LÄN</t>
        </is>
      </c>
      <c r="E317" t="inlineStr">
        <is>
          <t>TORSBY</t>
        </is>
      </c>
      <c r="G317" t="n">
        <v>2</v>
      </c>
      <c r="H317" t="n">
        <v>0</v>
      </c>
      <c r="I317" t="n">
        <v>0</v>
      </c>
      <c r="J317" t="n">
        <v>0</v>
      </c>
      <c r="K317" t="n">
        <v>0</v>
      </c>
      <c r="L317" t="n">
        <v>0</v>
      </c>
      <c r="M317" t="n">
        <v>0</v>
      </c>
      <c r="N317" t="n">
        <v>0</v>
      </c>
      <c r="O317" t="n">
        <v>0</v>
      </c>
      <c r="P317" t="n">
        <v>0</v>
      </c>
      <c r="Q317" t="n">
        <v>0</v>
      </c>
      <c r="R317" s="2" t="inlineStr"/>
    </row>
    <row r="318" ht="15" customHeight="1">
      <c r="A318" t="inlineStr">
        <is>
          <t>A 58004-2019</t>
        </is>
      </c>
      <c r="B318" s="1" t="n">
        <v>43769</v>
      </c>
      <c r="C318" s="1" t="n">
        <v>45721</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58678-2019</t>
        </is>
      </c>
      <c r="B319" s="1" t="n">
        <v>43773</v>
      </c>
      <c r="C319" s="1" t="n">
        <v>45721</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59127-2019</t>
        </is>
      </c>
      <c r="B320" s="1" t="n">
        <v>43775</v>
      </c>
      <c r="C320" s="1" t="n">
        <v>45721</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59593-2019</t>
        </is>
      </c>
      <c r="B321" s="1" t="n">
        <v>43776</v>
      </c>
      <c r="C321" s="1" t="n">
        <v>45721</v>
      </c>
      <c r="D321" t="inlineStr">
        <is>
          <t>VÄRMLANDS LÄN</t>
        </is>
      </c>
      <c r="E321" t="inlineStr">
        <is>
          <t>TORSBY</t>
        </is>
      </c>
      <c r="F321" t="inlineStr">
        <is>
          <t>Bergvik skog väst AB</t>
        </is>
      </c>
      <c r="G321" t="n">
        <v>6.8</v>
      </c>
      <c r="H321" t="n">
        <v>0</v>
      </c>
      <c r="I321" t="n">
        <v>0</v>
      </c>
      <c r="J321" t="n">
        <v>0</v>
      </c>
      <c r="K321" t="n">
        <v>0</v>
      </c>
      <c r="L321" t="n">
        <v>0</v>
      </c>
      <c r="M321" t="n">
        <v>0</v>
      </c>
      <c r="N321" t="n">
        <v>0</v>
      </c>
      <c r="O321" t="n">
        <v>0</v>
      </c>
      <c r="P321" t="n">
        <v>0</v>
      </c>
      <c r="Q321" t="n">
        <v>0</v>
      </c>
      <c r="R321" s="2" t="inlineStr"/>
    </row>
    <row r="322" ht="15" customHeight="1">
      <c r="A322" t="inlineStr">
        <is>
          <t>A 60545-2019</t>
        </is>
      </c>
      <c r="B322" s="1" t="n">
        <v>43781</v>
      </c>
      <c r="C322" s="1" t="n">
        <v>45721</v>
      </c>
      <c r="D322" t="inlineStr">
        <is>
          <t>VÄRMLANDS LÄN</t>
        </is>
      </c>
      <c r="E322" t="inlineStr">
        <is>
          <t>TORSBY</t>
        </is>
      </c>
      <c r="F322" t="inlineStr">
        <is>
          <t>Bergvik skog väst AB</t>
        </is>
      </c>
      <c r="G322" t="n">
        <v>1.3</v>
      </c>
      <c r="H322" t="n">
        <v>0</v>
      </c>
      <c r="I322" t="n">
        <v>0</v>
      </c>
      <c r="J322" t="n">
        <v>0</v>
      </c>
      <c r="K322" t="n">
        <v>0</v>
      </c>
      <c r="L322" t="n">
        <v>0</v>
      </c>
      <c r="M322" t="n">
        <v>0</v>
      </c>
      <c r="N322" t="n">
        <v>0</v>
      </c>
      <c r="O322" t="n">
        <v>0</v>
      </c>
      <c r="P322" t="n">
        <v>0</v>
      </c>
      <c r="Q322" t="n">
        <v>0</v>
      </c>
      <c r="R322" s="2" t="inlineStr"/>
    </row>
    <row r="323" ht="15" customHeight="1">
      <c r="A323" t="inlineStr">
        <is>
          <t>A 61074-2019</t>
        </is>
      </c>
      <c r="B323" s="1" t="n">
        <v>43782</v>
      </c>
      <c r="C323" s="1" t="n">
        <v>45721</v>
      </c>
      <c r="D323" t="inlineStr">
        <is>
          <t>VÄRMLANDS LÄN</t>
        </is>
      </c>
      <c r="E323" t="inlineStr">
        <is>
          <t>TORSBY</t>
        </is>
      </c>
      <c r="G323" t="n">
        <v>6.4</v>
      </c>
      <c r="H323" t="n">
        <v>0</v>
      </c>
      <c r="I323" t="n">
        <v>0</v>
      </c>
      <c r="J323" t="n">
        <v>0</v>
      </c>
      <c r="K323" t="n">
        <v>0</v>
      </c>
      <c r="L323" t="n">
        <v>0</v>
      </c>
      <c r="M323" t="n">
        <v>0</v>
      </c>
      <c r="N323" t="n">
        <v>0</v>
      </c>
      <c r="O323" t="n">
        <v>0</v>
      </c>
      <c r="P323" t="n">
        <v>0</v>
      </c>
      <c r="Q323" t="n">
        <v>0</v>
      </c>
      <c r="R323" s="2" t="inlineStr"/>
    </row>
    <row r="324" ht="15" customHeight="1">
      <c r="A324" t="inlineStr">
        <is>
          <t>A 62050-2019</t>
        </is>
      </c>
      <c r="B324" s="1" t="n">
        <v>43787</v>
      </c>
      <c r="C324" s="1" t="n">
        <v>45721</v>
      </c>
      <c r="D324" t="inlineStr">
        <is>
          <t>VÄRMLANDS LÄN</t>
        </is>
      </c>
      <c r="E324" t="inlineStr">
        <is>
          <t>TORSBY</t>
        </is>
      </c>
      <c r="F324" t="inlineStr">
        <is>
          <t>Bergvik skog väst AB</t>
        </is>
      </c>
      <c r="G324" t="n">
        <v>4.3</v>
      </c>
      <c r="H324" t="n">
        <v>0</v>
      </c>
      <c r="I324" t="n">
        <v>0</v>
      </c>
      <c r="J324" t="n">
        <v>0</v>
      </c>
      <c r="K324" t="n">
        <v>0</v>
      </c>
      <c r="L324" t="n">
        <v>0</v>
      </c>
      <c r="M324" t="n">
        <v>0</v>
      </c>
      <c r="N324" t="n">
        <v>0</v>
      </c>
      <c r="O324" t="n">
        <v>0</v>
      </c>
      <c r="P324" t="n">
        <v>0</v>
      </c>
      <c r="Q324" t="n">
        <v>0</v>
      </c>
      <c r="R324" s="2" t="inlineStr"/>
    </row>
    <row r="325" ht="15" customHeight="1">
      <c r="A325" t="inlineStr">
        <is>
          <t>A 61958-2019</t>
        </is>
      </c>
      <c r="B325" s="1" t="n">
        <v>43787</v>
      </c>
      <c r="C325" s="1" t="n">
        <v>45721</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62255-2019</t>
        </is>
      </c>
      <c r="B326" s="1" t="n">
        <v>43788</v>
      </c>
      <c r="C326" s="1" t="n">
        <v>45721</v>
      </c>
      <c r="D326" t="inlineStr">
        <is>
          <t>VÄRMLANDS LÄN</t>
        </is>
      </c>
      <c r="E326" t="inlineStr">
        <is>
          <t>TORSBY</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62286-2019</t>
        </is>
      </c>
      <c r="B327" s="1" t="n">
        <v>43788</v>
      </c>
      <c r="C327" s="1" t="n">
        <v>45721</v>
      </c>
      <c r="D327" t="inlineStr">
        <is>
          <t>VÄRMLANDS LÄN</t>
        </is>
      </c>
      <c r="E327" t="inlineStr">
        <is>
          <t>TORSBY</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63743-2019</t>
        </is>
      </c>
      <c r="B328" s="1" t="n">
        <v>43795</v>
      </c>
      <c r="C328" s="1" t="n">
        <v>45721</v>
      </c>
      <c r="D328" t="inlineStr">
        <is>
          <t>VÄRMLANDS LÄN</t>
        </is>
      </c>
      <c r="E328" t="inlineStr">
        <is>
          <t>TORSBY</t>
        </is>
      </c>
      <c r="F328" t="inlineStr">
        <is>
          <t>Bergvik skog väst AB</t>
        </is>
      </c>
      <c r="G328" t="n">
        <v>6.3</v>
      </c>
      <c r="H328" t="n">
        <v>0</v>
      </c>
      <c r="I328" t="n">
        <v>0</v>
      </c>
      <c r="J328" t="n">
        <v>0</v>
      </c>
      <c r="K328" t="n">
        <v>0</v>
      </c>
      <c r="L328" t="n">
        <v>0</v>
      </c>
      <c r="M328" t="n">
        <v>0</v>
      </c>
      <c r="N328" t="n">
        <v>0</v>
      </c>
      <c r="O328" t="n">
        <v>0</v>
      </c>
      <c r="P328" t="n">
        <v>0</v>
      </c>
      <c r="Q328" t="n">
        <v>0</v>
      </c>
      <c r="R328" s="2" t="inlineStr"/>
    </row>
    <row r="329" ht="15" customHeight="1">
      <c r="A329" t="inlineStr">
        <is>
          <t>A 64114-2019</t>
        </is>
      </c>
      <c r="B329" s="1" t="n">
        <v>43796</v>
      </c>
      <c r="C329" s="1" t="n">
        <v>45721</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64444-2019</t>
        </is>
      </c>
      <c r="B330" s="1" t="n">
        <v>43797</v>
      </c>
      <c r="C330" s="1" t="n">
        <v>45721</v>
      </c>
      <c r="D330" t="inlineStr">
        <is>
          <t>VÄRMLANDS LÄN</t>
        </is>
      </c>
      <c r="E330" t="inlineStr">
        <is>
          <t>TORSBY</t>
        </is>
      </c>
      <c r="G330" t="n">
        <v>3.5</v>
      </c>
      <c r="H330" t="n">
        <v>0</v>
      </c>
      <c r="I330" t="n">
        <v>0</v>
      </c>
      <c r="J330" t="n">
        <v>0</v>
      </c>
      <c r="K330" t="n">
        <v>0</v>
      </c>
      <c r="L330" t="n">
        <v>0</v>
      </c>
      <c r="M330" t="n">
        <v>0</v>
      </c>
      <c r="N330" t="n">
        <v>0</v>
      </c>
      <c r="O330" t="n">
        <v>0</v>
      </c>
      <c r="P330" t="n">
        <v>0</v>
      </c>
      <c r="Q330" t="n">
        <v>0</v>
      </c>
      <c r="R330" s="2" t="inlineStr"/>
    </row>
    <row r="331" ht="15" customHeight="1">
      <c r="A331" t="inlineStr">
        <is>
          <t>A 65187-2019</t>
        </is>
      </c>
      <c r="B331" s="1" t="n">
        <v>43797</v>
      </c>
      <c r="C331" s="1" t="n">
        <v>45721</v>
      </c>
      <c r="D331" t="inlineStr">
        <is>
          <t>VÄRMLANDS LÄN</t>
        </is>
      </c>
      <c r="E331" t="inlineStr">
        <is>
          <t>TORSBY</t>
        </is>
      </c>
      <c r="G331" t="n">
        <v>2</v>
      </c>
      <c r="H331" t="n">
        <v>0</v>
      </c>
      <c r="I331" t="n">
        <v>0</v>
      </c>
      <c r="J331" t="n">
        <v>0</v>
      </c>
      <c r="K331" t="n">
        <v>0</v>
      </c>
      <c r="L331" t="n">
        <v>0</v>
      </c>
      <c r="M331" t="n">
        <v>0</v>
      </c>
      <c r="N331" t="n">
        <v>0</v>
      </c>
      <c r="O331" t="n">
        <v>0</v>
      </c>
      <c r="P331" t="n">
        <v>0</v>
      </c>
      <c r="Q331" t="n">
        <v>0</v>
      </c>
      <c r="R331" s="2" t="inlineStr"/>
    </row>
    <row r="332" ht="15" customHeight="1">
      <c r="A332" t="inlineStr">
        <is>
          <t>A 65243-2019</t>
        </is>
      </c>
      <c r="B332" s="1" t="n">
        <v>43797</v>
      </c>
      <c r="C332" s="1" t="n">
        <v>45721</v>
      </c>
      <c r="D332" t="inlineStr">
        <is>
          <t>VÄRMLANDS LÄN</t>
        </is>
      </c>
      <c r="E332" t="inlineStr">
        <is>
          <t>TORSBY</t>
        </is>
      </c>
      <c r="F332" t="inlineStr">
        <is>
          <t>Övriga statliga verk och myndigheter</t>
        </is>
      </c>
      <c r="G332" t="n">
        <v>20.3</v>
      </c>
      <c r="H332" t="n">
        <v>0</v>
      </c>
      <c r="I332" t="n">
        <v>0</v>
      </c>
      <c r="J332" t="n">
        <v>0</v>
      </c>
      <c r="K332" t="n">
        <v>0</v>
      </c>
      <c r="L332" t="n">
        <v>0</v>
      </c>
      <c r="M332" t="n">
        <v>0</v>
      </c>
      <c r="N332" t="n">
        <v>0</v>
      </c>
      <c r="O332" t="n">
        <v>0</v>
      </c>
      <c r="P332" t="n">
        <v>0</v>
      </c>
      <c r="Q332" t="n">
        <v>0</v>
      </c>
      <c r="R332" s="2" t="inlineStr"/>
    </row>
    <row r="333" ht="15" customHeight="1">
      <c r="A333" t="inlineStr">
        <is>
          <t>A 64803-2019</t>
        </is>
      </c>
      <c r="B333" s="1" t="n">
        <v>43801</v>
      </c>
      <c r="C333" s="1" t="n">
        <v>45721</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65132-2019</t>
        </is>
      </c>
      <c r="B334" s="1" t="n">
        <v>43802</v>
      </c>
      <c r="C334" s="1" t="n">
        <v>45721</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65076-2019</t>
        </is>
      </c>
      <c r="B335" s="1" t="n">
        <v>43802</v>
      </c>
      <c r="C335" s="1" t="n">
        <v>45721</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65465-2019</t>
        </is>
      </c>
      <c r="B336" s="1" t="n">
        <v>43803</v>
      </c>
      <c r="C336" s="1" t="n">
        <v>45721</v>
      </c>
      <c r="D336" t="inlineStr">
        <is>
          <t>VÄRMLANDS LÄN</t>
        </is>
      </c>
      <c r="E336" t="inlineStr">
        <is>
          <t>TORSBY</t>
        </is>
      </c>
      <c r="G336" t="n">
        <v>2.8</v>
      </c>
      <c r="H336" t="n">
        <v>0</v>
      </c>
      <c r="I336" t="n">
        <v>0</v>
      </c>
      <c r="J336" t="n">
        <v>0</v>
      </c>
      <c r="K336" t="n">
        <v>0</v>
      </c>
      <c r="L336" t="n">
        <v>0</v>
      </c>
      <c r="M336" t="n">
        <v>0</v>
      </c>
      <c r="N336" t="n">
        <v>0</v>
      </c>
      <c r="O336" t="n">
        <v>0</v>
      </c>
      <c r="P336" t="n">
        <v>0</v>
      </c>
      <c r="Q336" t="n">
        <v>0</v>
      </c>
      <c r="R336" s="2" t="inlineStr"/>
    </row>
    <row r="337" ht="15" customHeight="1">
      <c r="A337" t="inlineStr">
        <is>
          <t>A 65914-2019</t>
        </is>
      </c>
      <c r="B337" s="1" t="n">
        <v>43805</v>
      </c>
      <c r="C337" s="1" t="n">
        <v>45721</v>
      </c>
      <c r="D337" t="inlineStr">
        <is>
          <t>VÄRMLANDS LÄN</t>
        </is>
      </c>
      <c r="E337" t="inlineStr">
        <is>
          <t>TORSBY</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67527-2019</t>
        </is>
      </c>
      <c r="B338" s="1" t="n">
        <v>43808</v>
      </c>
      <c r="C338" s="1" t="n">
        <v>45721</v>
      </c>
      <c r="D338" t="inlineStr">
        <is>
          <t>VÄRMLANDS LÄN</t>
        </is>
      </c>
      <c r="E338" t="inlineStr">
        <is>
          <t>TORSBY</t>
        </is>
      </c>
      <c r="G338" t="n">
        <v>1.2</v>
      </c>
      <c r="H338" t="n">
        <v>0</v>
      </c>
      <c r="I338" t="n">
        <v>0</v>
      </c>
      <c r="J338" t="n">
        <v>0</v>
      </c>
      <c r="K338" t="n">
        <v>0</v>
      </c>
      <c r="L338" t="n">
        <v>0</v>
      </c>
      <c r="M338" t="n">
        <v>0</v>
      </c>
      <c r="N338" t="n">
        <v>0</v>
      </c>
      <c r="O338" t="n">
        <v>0</v>
      </c>
      <c r="P338" t="n">
        <v>0</v>
      </c>
      <c r="Q338" t="n">
        <v>0</v>
      </c>
      <c r="R338" s="2" t="inlineStr"/>
    </row>
    <row r="339" ht="15" customHeight="1">
      <c r="A339" t="inlineStr">
        <is>
          <t>A 66690-2019</t>
        </is>
      </c>
      <c r="B339" s="1" t="n">
        <v>43809</v>
      </c>
      <c r="C339" s="1" t="n">
        <v>45721</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66689-2019</t>
        </is>
      </c>
      <c r="B340" s="1" t="n">
        <v>43809</v>
      </c>
      <c r="C340" s="1" t="n">
        <v>45721</v>
      </c>
      <c r="D340" t="inlineStr">
        <is>
          <t>VÄRMLANDS LÄN</t>
        </is>
      </c>
      <c r="E340" t="inlineStr">
        <is>
          <t>TORSBY</t>
        </is>
      </c>
      <c r="G340" t="n">
        <v>1.7</v>
      </c>
      <c r="H340" t="n">
        <v>0</v>
      </c>
      <c r="I340" t="n">
        <v>0</v>
      </c>
      <c r="J340" t="n">
        <v>0</v>
      </c>
      <c r="K340" t="n">
        <v>0</v>
      </c>
      <c r="L340" t="n">
        <v>0</v>
      </c>
      <c r="M340" t="n">
        <v>0</v>
      </c>
      <c r="N340" t="n">
        <v>0</v>
      </c>
      <c r="O340" t="n">
        <v>0</v>
      </c>
      <c r="P340" t="n">
        <v>0</v>
      </c>
      <c r="Q340" t="n">
        <v>0</v>
      </c>
      <c r="R340" s="2" t="inlineStr"/>
    </row>
    <row r="341" ht="15" customHeight="1">
      <c r="A341" t="inlineStr">
        <is>
          <t>A 67686-2019</t>
        </is>
      </c>
      <c r="B341" s="1" t="n">
        <v>43809</v>
      </c>
      <c r="C341" s="1" t="n">
        <v>45721</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66688-2019</t>
        </is>
      </c>
      <c r="B342" s="1" t="n">
        <v>43809</v>
      </c>
      <c r="C342" s="1" t="n">
        <v>45721</v>
      </c>
      <c r="D342" t="inlineStr">
        <is>
          <t>VÄRMLANDS LÄN</t>
        </is>
      </c>
      <c r="E342" t="inlineStr">
        <is>
          <t>TORSBY</t>
        </is>
      </c>
      <c r="G342" t="n">
        <v>1.4</v>
      </c>
      <c r="H342" t="n">
        <v>0</v>
      </c>
      <c r="I342" t="n">
        <v>0</v>
      </c>
      <c r="J342" t="n">
        <v>0</v>
      </c>
      <c r="K342" t="n">
        <v>0</v>
      </c>
      <c r="L342" t="n">
        <v>0</v>
      </c>
      <c r="M342" t="n">
        <v>0</v>
      </c>
      <c r="N342" t="n">
        <v>0</v>
      </c>
      <c r="O342" t="n">
        <v>0</v>
      </c>
      <c r="P342" t="n">
        <v>0</v>
      </c>
      <c r="Q342" t="n">
        <v>0</v>
      </c>
      <c r="R342" s="2" t="inlineStr"/>
    </row>
    <row r="343" ht="15" customHeight="1">
      <c r="A343" t="inlineStr">
        <is>
          <t>A 67690-2019</t>
        </is>
      </c>
      <c r="B343" s="1" t="n">
        <v>43809</v>
      </c>
      <c r="C343" s="1" t="n">
        <v>45721</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67671-2019</t>
        </is>
      </c>
      <c r="B344" s="1" t="n">
        <v>43810</v>
      </c>
      <c r="C344" s="1" t="n">
        <v>45721</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67728-2019</t>
        </is>
      </c>
      <c r="B345" s="1" t="n">
        <v>43815</v>
      </c>
      <c r="C345" s="1" t="n">
        <v>45721</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68354-2019</t>
        </is>
      </c>
      <c r="B346" s="1" t="n">
        <v>43818</v>
      </c>
      <c r="C346" s="1" t="n">
        <v>45721</v>
      </c>
      <c r="D346" t="inlineStr">
        <is>
          <t>VÄRMLANDS LÄN</t>
        </is>
      </c>
      <c r="E346" t="inlineStr">
        <is>
          <t>TORSBY</t>
        </is>
      </c>
      <c r="G346" t="n">
        <v>61.1</v>
      </c>
      <c r="H346" t="n">
        <v>0</v>
      </c>
      <c r="I346" t="n">
        <v>0</v>
      </c>
      <c r="J346" t="n">
        <v>0</v>
      </c>
      <c r="K346" t="n">
        <v>0</v>
      </c>
      <c r="L346" t="n">
        <v>0</v>
      </c>
      <c r="M346" t="n">
        <v>0</v>
      </c>
      <c r="N346" t="n">
        <v>0</v>
      </c>
      <c r="O346" t="n">
        <v>0</v>
      </c>
      <c r="P346" t="n">
        <v>0</v>
      </c>
      <c r="Q346" t="n">
        <v>0</v>
      </c>
      <c r="R346" s="2" t="inlineStr"/>
    </row>
    <row r="347" ht="15" customHeight="1">
      <c r="A347" t="inlineStr">
        <is>
          <t>A 68360-2019</t>
        </is>
      </c>
      <c r="B347" s="1" t="n">
        <v>43818</v>
      </c>
      <c r="C347" s="1" t="n">
        <v>45721</v>
      </c>
      <c r="D347" t="inlineStr">
        <is>
          <t>VÄRMLANDS LÄN</t>
        </is>
      </c>
      <c r="E347" t="inlineStr">
        <is>
          <t>TORSBY</t>
        </is>
      </c>
      <c r="G347" t="n">
        <v>9</v>
      </c>
      <c r="H347" t="n">
        <v>0</v>
      </c>
      <c r="I347" t="n">
        <v>0</v>
      </c>
      <c r="J347" t="n">
        <v>0</v>
      </c>
      <c r="K347" t="n">
        <v>0</v>
      </c>
      <c r="L347" t="n">
        <v>0</v>
      </c>
      <c r="M347" t="n">
        <v>0</v>
      </c>
      <c r="N347" t="n">
        <v>0</v>
      </c>
      <c r="O347" t="n">
        <v>0</v>
      </c>
      <c r="P347" t="n">
        <v>0</v>
      </c>
      <c r="Q347" t="n">
        <v>0</v>
      </c>
      <c r="R347" s="2" t="inlineStr"/>
    </row>
    <row r="348" ht="15" customHeight="1">
      <c r="A348" t="inlineStr">
        <is>
          <t>A 68553-2019</t>
        </is>
      </c>
      <c r="B348" s="1" t="n">
        <v>43818</v>
      </c>
      <c r="C348" s="1" t="n">
        <v>45721</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140-2020</t>
        </is>
      </c>
      <c r="B349" s="1" t="n">
        <v>43833</v>
      </c>
      <c r="C349" s="1" t="n">
        <v>45721</v>
      </c>
      <c r="D349" t="inlineStr">
        <is>
          <t>VÄRMLANDS LÄN</t>
        </is>
      </c>
      <c r="E349" t="inlineStr">
        <is>
          <t>TORSBY</t>
        </is>
      </c>
      <c r="G349" t="n">
        <v>2.8</v>
      </c>
      <c r="H349" t="n">
        <v>0</v>
      </c>
      <c r="I349" t="n">
        <v>0</v>
      </c>
      <c r="J349" t="n">
        <v>0</v>
      </c>
      <c r="K349" t="n">
        <v>0</v>
      </c>
      <c r="L349" t="n">
        <v>0</v>
      </c>
      <c r="M349" t="n">
        <v>0</v>
      </c>
      <c r="N349" t="n">
        <v>0</v>
      </c>
      <c r="O349" t="n">
        <v>0</v>
      </c>
      <c r="P349" t="n">
        <v>0</v>
      </c>
      <c r="Q349" t="n">
        <v>0</v>
      </c>
      <c r="R349" s="2" t="inlineStr"/>
    </row>
    <row r="350" ht="15" customHeight="1">
      <c r="A350" t="inlineStr">
        <is>
          <t>A 338-2020</t>
        </is>
      </c>
      <c r="B350" s="1" t="n">
        <v>43837</v>
      </c>
      <c r="C350" s="1" t="n">
        <v>45721</v>
      </c>
      <c r="D350" t="inlineStr">
        <is>
          <t>VÄRMLANDS LÄN</t>
        </is>
      </c>
      <c r="E350" t="inlineStr">
        <is>
          <t>TORSBY</t>
        </is>
      </c>
      <c r="G350" t="n">
        <v>3.2</v>
      </c>
      <c r="H350" t="n">
        <v>0</v>
      </c>
      <c r="I350" t="n">
        <v>0</v>
      </c>
      <c r="J350" t="n">
        <v>0</v>
      </c>
      <c r="K350" t="n">
        <v>0</v>
      </c>
      <c r="L350" t="n">
        <v>0</v>
      </c>
      <c r="M350" t="n">
        <v>0</v>
      </c>
      <c r="N350" t="n">
        <v>0</v>
      </c>
      <c r="O350" t="n">
        <v>0</v>
      </c>
      <c r="P350" t="n">
        <v>0</v>
      </c>
      <c r="Q350" t="n">
        <v>0</v>
      </c>
      <c r="R350" s="2" t="inlineStr"/>
    </row>
    <row r="351" ht="15" customHeight="1">
      <c r="A351" t="inlineStr">
        <is>
          <t>A 388-2020</t>
        </is>
      </c>
      <c r="B351" s="1" t="n">
        <v>43837</v>
      </c>
      <c r="C351" s="1" t="n">
        <v>45721</v>
      </c>
      <c r="D351" t="inlineStr">
        <is>
          <t>VÄRMLANDS LÄN</t>
        </is>
      </c>
      <c r="E351" t="inlineStr">
        <is>
          <t>TORSBY</t>
        </is>
      </c>
      <c r="G351" t="n">
        <v>0.8</v>
      </c>
      <c r="H351" t="n">
        <v>0</v>
      </c>
      <c r="I351" t="n">
        <v>0</v>
      </c>
      <c r="J351" t="n">
        <v>0</v>
      </c>
      <c r="K351" t="n">
        <v>0</v>
      </c>
      <c r="L351" t="n">
        <v>0</v>
      </c>
      <c r="M351" t="n">
        <v>0</v>
      </c>
      <c r="N351" t="n">
        <v>0</v>
      </c>
      <c r="O351" t="n">
        <v>0</v>
      </c>
      <c r="P351" t="n">
        <v>0</v>
      </c>
      <c r="Q351" t="n">
        <v>0</v>
      </c>
      <c r="R351" s="2" t="inlineStr"/>
    </row>
    <row r="352" ht="15" customHeight="1">
      <c r="A352" t="inlineStr">
        <is>
          <t>A 3263-2020</t>
        </is>
      </c>
      <c r="B352" s="1" t="n">
        <v>43844</v>
      </c>
      <c r="C352" s="1" t="n">
        <v>45721</v>
      </c>
      <c r="D352" t="inlineStr">
        <is>
          <t>VÄRMLANDS LÄN</t>
        </is>
      </c>
      <c r="E352" t="inlineStr">
        <is>
          <t>TORSBY</t>
        </is>
      </c>
      <c r="G352" t="n">
        <v>14.7</v>
      </c>
      <c r="H352" t="n">
        <v>0</v>
      </c>
      <c r="I352" t="n">
        <v>0</v>
      </c>
      <c r="J352" t="n">
        <v>0</v>
      </c>
      <c r="K352" t="n">
        <v>0</v>
      </c>
      <c r="L352" t="n">
        <v>0</v>
      </c>
      <c r="M352" t="n">
        <v>0</v>
      </c>
      <c r="N352" t="n">
        <v>0</v>
      </c>
      <c r="O352" t="n">
        <v>0</v>
      </c>
      <c r="P352" t="n">
        <v>0</v>
      </c>
      <c r="Q352" t="n">
        <v>0</v>
      </c>
      <c r="R352" s="2" t="inlineStr"/>
    </row>
    <row r="353" ht="15" customHeight="1">
      <c r="A353" t="inlineStr">
        <is>
          <t>A 3172-2020</t>
        </is>
      </c>
      <c r="B353" s="1" t="n">
        <v>43844</v>
      </c>
      <c r="C353" s="1" t="n">
        <v>45721</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2082-2020</t>
        </is>
      </c>
      <c r="B354" s="1" t="n">
        <v>43845</v>
      </c>
      <c r="C354" s="1" t="n">
        <v>45721</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1875-2020</t>
        </is>
      </c>
      <c r="B355" s="1" t="n">
        <v>43845</v>
      </c>
      <c r="C355" s="1" t="n">
        <v>45721</v>
      </c>
      <c r="D355" t="inlineStr">
        <is>
          <t>VÄRMLANDS LÄN</t>
        </is>
      </c>
      <c r="E355" t="inlineStr">
        <is>
          <t>TORSBY</t>
        </is>
      </c>
      <c r="G355" t="n">
        <v>3</v>
      </c>
      <c r="H355" t="n">
        <v>0</v>
      </c>
      <c r="I355" t="n">
        <v>0</v>
      </c>
      <c r="J355" t="n">
        <v>0</v>
      </c>
      <c r="K355" t="n">
        <v>0</v>
      </c>
      <c r="L355" t="n">
        <v>0</v>
      </c>
      <c r="M355" t="n">
        <v>0</v>
      </c>
      <c r="N355" t="n">
        <v>0</v>
      </c>
      <c r="O355" t="n">
        <v>0</v>
      </c>
      <c r="P355" t="n">
        <v>0</v>
      </c>
      <c r="Q355" t="n">
        <v>0</v>
      </c>
      <c r="R355" s="2" t="inlineStr"/>
    </row>
    <row r="356" ht="15" customHeight="1">
      <c r="A356" t="inlineStr">
        <is>
          <t>A 2068-2020</t>
        </is>
      </c>
      <c r="B356" s="1" t="n">
        <v>43845</v>
      </c>
      <c r="C356" s="1" t="n">
        <v>45721</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4017-2020</t>
        </is>
      </c>
      <c r="B357" s="1" t="n">
        <v>43846</v>
      </c>
      <c r="C357" s="1" t="n">
        <v>45721</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4753-2020</t>
        </is>
      </c>
      <c r="B358" s="1" t="n">
        <v>43859</v>
      </c>
      <c r="C358" s="1" t="n">
        <v>45721</v>
      </c>
      <c r="D358" t="inlineStr">
        <is>
          <t>VÄRMLANDS LÄN</t>
        </is>
      </c>
      <c r="E358" t="inlineStr">
        <is>
          <t>TORSBY</t>
        </is>
      </c>
      <c r="G358" t="n">
        <v>4.5</v>
      </c>
      <c r="H358" t="n">
        <v>0</v>
      </c>
      <c r="I358" t="n">
        <v>0</v>
      </c>
      <c r="J358" t="n">
        <v>0</v>
      </c>
      <c r="K358" t="n">
        <v>0</v>
      </c>
      <c r="L358" t="n">
        <v>0</v>
      </c>
      <c r="M358" t="n">
        <v>0</v>
      </c>
      <c r="N358" t="n">
        <v>0</v>
      </c>
      <c r="O358" t="n">
        <v>0</v>
      </c>
      <c r="P358" t="n">
        <v>0</v>
      </c>
      <c r="Q358" t="n">
        <v>0</v>
      </c>
      <c r="R358" s="2" t="inlineStr"/>
    </row>
    <row r="359" ht="15" customHeight="1">
      <c r="A359" t="inlineStr">
        <is>
          <t>A 5180-2020</t>
        </is>
      </c>
      <c r="B359" s="1" t="n">
        <v>43860</v>
      </c>
      <c r="C359" s="1" t="n">
        <v>45721</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5426-2020</t>
        </is>
      </c>
      <c r="B360" s="1" t="n">
        <v>43861</v>
      </c>
      <c r="C360" s="1" t="n">
        <v>45721</v>
      </c>
      <c r="D360" t="inlineStr">
        <is>
          <t>VÄRMLANDS LÄN</t>
        </is>
      </c>
      <c r="E360" t="inlineStr">
        <is>
          <t>TORSBY</t>
        </is>
      </c>
      <c r="G360" t="n">
        <v>7.2</v>
      </c>
      <c r="H360" t="n">
        <v>0</v>
      </c>
      <c r="I360" t="n">
        <v>0</v>
      </c>
      <c r="J360" t="n">
        <v>0</v>
      </c>
      <c r="K360" t="n">
        <v>0</v>
      </c>
      <c r="L360" t="n">
        <v>0</v>
      </c>
      <c r="M360" t="n">
        <v>0</v>
      </c>
      <c r="N360" t="n">
        <v>0</v>
      </c>
      <c r="O360" t="n">
        <v>0</v>
      </c>
      <c r="P360" t="n">
        <v>0</v>
      </c>
      <c r="Q360" t="n">
        <v>0</v>
      </c>
      <c r="R360" s="2" t="inlineStr"/>
    </row>
    <row r="361" ht="15" customHeight="1">
      <c r="A361" t="inlineStr">
        <is>
          <t>A 5425-2020</t>
        </is>
      </c>
      <c r="B361" s="1" t="n">
        <v>43861</v>
      </c>
      <c r="C361" s="1" t="n">
        <v>45721</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5427-2020</t>
        </is>
      </c>
      <c r="B362" s="1" t="n">
        <v>43861</v>
      </c>
      <c r="C362" s="1" t="n">
        <v>45721</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7000-2020</t>
        </is>
      </c>
      <c r="B363" s="1" t="n">
        <v>43868</v>
      </c>
      <c r="C363" s="1" t="n">
        <v>45721</v>
      </c>
      <c r="D363" t="inlineStr">
        <is>
          <t>VÄRMLANDS LÄN</t>
        </is>
      </c>
      <c r="E363" t="inlineStr">
        <is>
          <t>TORSBY</t>
        </is>
      </c>
      <c r="G363" t="n">
        <v>2.8</v>
      </c>
      <c r="H363" t="n">
        <v>0</v>
      </c>
      <c r="I363" t="n">
        <v>0</v>
      </c>
      <c r="J363" t="n">
        <v>0</v>
      </c>
      <c r="K363" t="n">
        <v>0</v>
      </c>
      <c r="L363" t="n">
        <v>0</v>
      </c>
      <c r="M363" t="n">
        <v>0</v>
      </c>
      <c r="N363" t="n">
        <v>0</v>
      </c>
      <c r="O363" t="n">
        <v>0</v>
      </c>
      <c r="P363" t="n">
        <v>0</v>
      </c>
      <c r="Q363" t="n">
        <v>0</v>
      </c>
      <c r="R363" s="2" t="inlineStr"/>
    </row>
    <row r="364" ht="15" customHeight="1">
      <c r="A364" t="inlineStr">
        <is>
          <t>A 6862-2020</t>
        </is>
      </c>
      <c r="B364" s="1" t="n">
        <v>43868</v>
      </c>
      <c r="C364" s="1" t="n">
        <v>45721</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7153-2020</t>
        </is>
      </c>
      <c r="B365" s="1" t="n">
        <v>43870</v>
      </c>
      <c r="C365" s="1" t="n">
        <v>45721</v>
      </c>
      <c r="D365" t="inlineStr">
        <is>
          <t>VÄRMLANDS LÄN</t>
        </is>
      </c>
      <c r="E365" t="inlineStr">
        <is>
          <t>TORSBY</t>
        </is>
      </c>
      <c r="G365" t="n">
        <v>2.5</v>
      </c>
      <c r="H365" t="n">
        <v>0</v>
      </c>
      <c r="I365" t="n">
        <v>0</v>
      </c>
      <c r="J365" t="n">
        <v>0</v>
      </c>
      <c r="K365" t="n">
        <v>0</v>
      </c>
      <c r="L365" t="n">
        <v>0</v>
      </c>
      <c r="M365" t="n">
        <v>0</v>
      </c>
      <c r="N365" t="n">
        <v>0</v>
      </c>
      <c r="O365" t="n">
        <v>0</v>
      </c>
      <c r="P365" t="n">
        <v>0</v>
      </c>
      <c r="Q365" t="n">
        <v>0</v>
      </c>
      <c r="R365" s="2" t="inlineStr"/>
    </row>
    <row r="366" ht="15" customHeight="1">
      <c r="A366" t="inlineStr">
        <is>
          <t>A 7279-2020</t>
        </is>
      </c>
      <c r="B366" s="1" t="n">
        <v>43871</v>
      </c>
      <c r="C366" s="1" t="n">
        <v>45721</v>
      </c>
      <c r="D366" t="inlineStr">
        <is>
          <t>VÄRMLANDS LÄN</t>
        </is>
      </c>
      <c r="E366" t="inlineStr">
        <is>
          <t>TORSBY</t>
        </is>
      </c>
      <c r="G366" t="n">
        <v>6.7</v>
      </c>
      <c r="H366" t="n">
        <v>0</v>
      </c>
      <c r="I366" t="n">
        <v>0</v>
      </c>
      <c r="J366" t="n">
        <v>0</v>
      </c>
      <c r="K366" t="n">
        <v>0</v>
      </c>
      <c r="L366" t="n">
        <v>0</v>
      </c>
      <c r="M366" t="n">
        <v>0</v>
      </c>
      <c r="N366" t="n">
        <v>0</v>
      </c>
      <c r="O366" t="n">
        <v>0</v>
      </c>
      <c r="P366" t="n">
        <v>0</v>
      </c>
      <c r="Q366" t="n">
        <v>0</v>
      </c>
      <c r="R366" s="2" t="inlineStr"/>
    </row>
    <row r="367" ht="15" customHeight="1">
      <c r="A367" t="inlineStr">
        <is>
          <t>A 7526-2020</t>
        </is>
      </c>
      <c r="B367" s="1" t="n">
        <v>43871</v>
      </c>
      <c r="C367" s="1" t="n">
        <v>45721</v>
      </c>
      <c r="D367" t="inlineStr">
        <is>
          <t>VÄRMLANDS LÄN</t>
        </is>
      </c>
      <c r="E367" t="inlineStr">
        <is>
          <t>TORSBY</t>
        </is>
      </c>
      <c r="G367" t="n">
        <v>11.8</v>
      </c>
      <c r="H367" t="n">
        <v>0</v>
      </c>
      <c r="I367" t="n">
        <v>0</v>
      </c>
      <c r="J367" t="n">
        <v>0</v>
      </c>
      <c r="K367" t="n">
        <v>0</v>
      </c>
      <c r="L367" t="n">
        <v>0</v>
      </c>
      <c r="M367" t="n">
        <v>0</v>
      </c>
      <c r="N367" t="n">
        <v>0</v>
      </c>
      <c r="O367" t="n">
        <v>0</v>
      </c>
      <c r="P367" t="n">
        <v>0</v>
      </c>
      <c r="Q367" t="n">
        <v>0</v>
      </c>
      <c r="R367" s="2" t="inlineStr"/>
    </row>
    <row r="368" ht="15" customHeight="1">
      <c r="A368" t="inlineStr">
        <is>
          <t>A 7582-2020</t>
        </is>
      </c>
      <c r="B368" s="1" t="n">
        <v>43871</v>
      </c>
      <c r="C368" s="1" t="n">
        <v>45721</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7749-2020</t>
        </is>
      </c>
      <c r="B369" s="1" t="n">
        <v>43872</v>
      </c>
      <c r="C369" s="1" t="n">
        <v>45721</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7856-2020</t>
        </is>
      </c>
      <c r="B370" s="1" t="n">
        <v>43873</v>
      </c>
      <c r="C370" s="1" t="n">
        <v>45721</v>
      </c>
      <c r="D370" t="inlineStr">
        <is>
          <t>VÄRMLANDS LÄN</t>
        </is>
      </c>
      <c r="E370" t="inlineStr">
        <is>
          <t>TORSBY</t>
        </is>
      </c>
      <c r="G370" t="n">
        <v>4.5</v>
      </c>
      <c r="H370" t="n">
        <v>0</v>
      </c>
      <c r="I370" t="n">
        <v>0</v>
      </c>
      <c r="J370" t="n">
        <v>0</v>
      </c>
      <c r="K370" t="n">
        <v>0</v>
      </c>
      <c r="L370" t="n">
        <v>0</v>
      </c>
      <c r="M370" t="n">
        <v>0</v>
      </c>
      <c r="N370" t="n">
        <v>0</v>
      </c>
      <c r="O370" t="n">
        <v>0</v>
      </c>
      <c r="P370" t="n">
        <v>0</v>
      </c>
      <c r="Q370" t="n">
        <v>0</v>
      </c>
      <c r="R370" s="2" t="inlineStr"/>
    </row>
    <row r="371" ht="15" customHeight="1">
      <c r="A371" t="inlineStr">
        <is>
          <t>A 8631-2020</t>
        </is>
      </c>
      <c r="B371" s="1" t="n">
        <v>43874</v>
      </c>
      <c r="C371" s="1" t="n">
        <v>45721</v>
      </c>
      <c r="D371" t="inlineStr">
        <is>
          <t>VÄRMLANDS LÄN</t>
        </is>
      </c>
      <c r="E371" t="inlineStr">
        <is>
          <t>TORSBY</t>
        </is>
      </c>
      <c r="G371" t="n">
        <v>3.3</v>
      </c>
      <c r="H371" t="n">
        <v>0</v>
      </c>
      <c r="I371" t="n">
        <v>0</v>
      </c>
      <c r="J371" t="n">
        <v>0</v>
      </c>
      <c r="K371" t="n">
        <v>0</v>
      </c>
      <c r="L371" t="n">
        <v>0</v>
      </c>
      <c r="M371" t="n">
        <v>0</v>
      </c>
      <c r="N371" t="n">
        <v>0</v>
      </c>
      <c r="O371" t="n">
        <v>0</v>
      </c>
      <c r="P371" t="n">
        <v>0</v>
      </c>
      <c r="Q371" t="n">
        <v>0</v>
      </c>
      <c r="R371" s="2" t="inlineStr"/>
    </row>
    <row r="372" ht="15" customHeight="1">
      <c r="A372" t="inlineStr">
        <is>
          <t>A 8899-2020</t>
        </is>
      </c>
      <c r="B372" s="1" t="n">
        <v>43878</v>
      </c>
      <c r="C372" s="1" t="n">
        <v>45721</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9192-2020</t>
        </is>
      </c>
      <c r="B373" s="1" t="n">
        <v>43879</v>
      </c>
      <c r="C373" s="1" t="n">
        <v>45721</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9766-2020</t>
        </is>
      </c>
      <c r="B374" s="1" t="n">
        <v>43879</v>
      </c>
      <c r="C374" s="1" t="n">
        <v>45721</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9760-2020</t>
        </is>
      </c>
      <c r="B375" s="1" t="n">
        <v>43879</v>
      </c>
      <c r="C375" s="1" t="n">
        <v>45721</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9600-2020</t>
        </is>
      </c>
      <c r="B376" s="1" t="n">
        <v>43881</v>
      </c>
      <c r="C376" s="1" t="n">
        <v>45721</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10899-2020</t>
        </is>
      </c>
      <c r="B377" s="1" t="n">
        <v>43885</v>
      </c>
      <c r="C377" s="1" t="n">
        <v>45721</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10422-2020</t>
        </is>
      </c>
      <c r="B378" s="1" t="n">
        <v>43886</v>
      </c>
      <c r="C378" s="1" t="n">
        <v>45721</v>
      </c>
      <c r="D378" t="inlineStr">
        <is>
          <t>VÄRMLANDS LÄN</t>
        </is>
      </c>
      <c r="E378" t="inlineStr">
        <is>
          <t>TORSBY</t>
        </is>
      </c>
      <c r="G378" t="n">
        <v>3.4</v>
      </c>
      <c r="H378" t="n">
        <v>0</v>
      </c>
      <c r="I378" t="n">
        <v>0</v>
      </c>
      <c r="J378" t="n">
        <v>0</v>
      </c>
      <c r="K378" t="n">
        <v>0</v>
      </c>
      <c r="L378" t="n">
        <v>0</v>
      </c>
      <c r="M378" t="n">
        <v>0</v>
      </c>
      <c r="N378" t="n">
        <v>0</v>
      </c>
      <c r="O378" t="n">
        <v>0</v>
      </c>
      <c r="P378" t="n">
        <v>0</v>
      </c>
      <c r="Q378" t="n">
        <v>0</v>
      </c>
      <c r="R378" s="2" t="inlineStr"/>
    </row>
    <row r="379" ht="15" customHeight="1">
      <c r="A379" t="inlineStr">
        <is>
          <t>A 10449-2020</t>
        </is>
      </c>
      <c r="B379" s="1" t="n">
        <v>43886</v>
      </c>
      <c r="C379" s="1" t="n">
        <v>45721</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11213-2020</t>
        </is>
      </c>
      <c r="B380" s="1" t="n">
        <v>43892</v>
      </c>
      <c r="C380" s="1" t="n">
        <v>45721</v>
      </c>
      <c r="D380" t="inlineStr">
        <is>
          <t>VÄRMLANDS LÄN</t>
        </is>
      </c>
      <c r="E380" t="inlineStr">
        <is>
          <t>TORSBY</t>
        </is>
      </c>
      <c r="G380" t="n">
        <v>1.3</v>
      </c>
      <c r="H380" t="n">
        <v>0</v>
      </c>
      <c r="I380" t="n">
        <v>0</v>
      </c>
      <c r="J380" t="n">
        <v>0</v>
      </c>
      <c r="K380" t="n">
        <v>0</v>
      </c>
      <c r="L380" t="n">
        <v>0</v>
      </c>
      <c r="M380" t="n">
        <v>0</v>
      </c>
      <c r="N380" t="n">
        <v>0</v>
      </c>
      <c r="O380" t="n">
        <v>0</v>
      </c>
      <c r="P380" t="n">
        <v>0</v>
      </c>
      <c r="Q380" t="n">
        <v>0</v>
      </c>
      <c r="R380" s="2" t="inlineStr"/>
    </row>
    <row r="381" ht="15" customHeight="1">
      <c r="A381" t="inlineStr">
        <is>
          <t>A 12428-2020</t>
        </is>
      </c>
      <c r="B381" s="1" t="n">
        <v>43896</v>
      </c>
      <c r="C381" s="1" t="n">
        <v>45721</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12855-2020</t>
        </is>
      </c>
      <c r="B382" s="1" t="n">
        <v>43899</v>
      </c>
      <c r="C382" s="1" t="n">
        <v>45721</v>
      </c>
      <c r="D382" t="inlineStr">
        <is>
          <t>VÄRMLANDS LÄN</t>
        </is>
      </c>
      <c r="E382" t="inlineStr">
        <is>
          <t>TORSBY</t>
        </is>
      </c>
      <c r="G382" t="n">
        <v>5.9</v>
      </c>
      <c r="H382" t="n">
        <v>0</v>
      </c>
      <c r="I382" t="n">
        <v>0</v>
      </c>
      <c r="J382" t="n">
        <v>0</v>
      </c>
      <c r="K382" t="n">
        <v>0</v>
      </c>
      <c r="L382" t="n">
        <v>0</v>
      </c>
      <c r="M382" t="n">
        <v>0</v>
      </c>
      <c r="N382" t="n">
        <v>0</v>
      </c>
      <c r="O382" t="n">
        <v>0</v>
      </c>
      <c r="P382" t="n">
        <v>0</v>
      </c>
      <c r="Q382" t="n">
        <v>0</v>
      </c>
      <c r="R382" s="2" t="inlineStr"/>
    </row>
    <row r="383" ht="15" customHeight="1">
      <c r="A383" t="inlineStr">
        <is>
          <t>A 12881-2020</t>
        </is>
      </c>
      <c r="B383" s="1" t="n">
        <v>43900</v>
      </c>
      <c r="C383" s="1" t="n">
        <v>45721</v>
      </c>
      <c r="D383" t="inlineStr">
        <is>
          <t>VÄRMLANDS LÄN</t>
        </is>
      </c>
      <c r="E383" t="inlineStr">
        <is>
          <t>TORSBY</t>
        </is>
      </c>
      <c r="G383" t="n">
        <v>1</v>
      </c>
      <c r="H383" t="n">
        <v>0</v>
      </c>
      <c r="I383" t="n">
        <v>0</v>
      </c>
      <c r="J383" t="n">
        <v>0</v>
      </c>
      <c r="K383" t="n">
        <v>0</v>
      </c>
      <c r="L383" t="n">
        <v>0</v>
      </c>
      <c r="M383" t="n">
        <v>0</v>
      </c>
      <c r="N383" t="n">
        <v>0</v>
      </c>
      <c r="O383" t="n">
        <v>0</v>
      </c>
      <c r="P383" t="n">
        <v>0</v>
      </c>
      <c r="Q383" t="n">
        <v>0</v>
      </c>
      <c r="R383" s="2" t="inlineStr"/>
    </row>
    <row r="384" ht="15" customHeight="1">
      <c r="A384" t="inlineStr">
        <is>
          <t>A 14246-2020</t>
        </is>
      </c>
      <c r="B384" s="1" t="n">
        <v>43900</v>
      </c>
      <c r="C384" s="1" t="n">
        <v>45721</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13153-2020</t>
        </is>
      </c>
      <c r="B385" s="1" t="n">
        <v>43901</v>
      </c>
      <c r="C385" s="1" t="n">
        <v>45721</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13250-2020</t>
        </is>
      </c>
      <c r="B386" s="1" t="n">
        <v>43901</v>
      </c>
      <c r="C386" s="1" t="n">
        <v>45721</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14695-2020</t>
        </is>
      </c>
      <c r="B387" s="1" t="n">
        <v>43903</v>
      </c>
      <c r="C387" s="1" t="n">
        <v>45721</v>
      </c>
      <c r="D387" t="inlineStr">
        <is>
          <t>VÄRMLANDS LÄN</t>
        </is>
      </c>
      <c r="E387" t="inlineStr">
        <is>
          <t>TORSBY</t>
        </is>
      </c>
      <c r="G387" t="n">
        <v>8</v>
      </c>
      <c r="H387" t="n">
        <v>0</v>
      </c>
      <c r="I387" t="n">
        <v>0</v>
      </c>
      <c r="J387" t="n">
        <v>0</v>
      </c>
      <c r="K387" t="n">
        <v>0</v>
      </c>
      <c r="L387" t="n">
        <v>0</v>
      </c>
      <c r="M387" t="n">
        <v>0</v>
      </c>
      <c r="N387" t="n">
        <v>0</v>
      </c>
      <c r="O387" t="n">
        <v>0</v>
      </c>
      <c r="P387" t="n">
        <v>0</v>
      </c>
      <c r="Q387" t="n">
        <v>0</v>
      </c>
      <c r="R387" s="2" t="inlineStr"/>
    </row>
    <row r="388" ht="15" customHeight="1">
      <c r="A388" t="inlineStr">
        <is>
          <t>A 14693-2020</t>
        </is>
      </c>
      <c r="B388" s="1" t="n">
        <v>43903</v>
      </c>
      <c r="C388" s="1" t="n">
        <v>45721</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14962-2020</t>
        </is>
      </c>
      <c r="B389" s="1" t="n">
        <v>43907</v>
      </c>
      <c r="C389" s="1" t="n">
        <v>45721</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14968-2020</t>
        </is>
      </c>
      <c r="B390" s="1" t="n">
        <v>43907</v>
      </c>
      <c r="C390" s="1" t="n">
        <v>45721</v>
      </c>
      <c r="D390" t="inlineStr">
        <is>
          <t>VÄRMLANDS LÄN</t>
        </is>
      </c>
      <c r="E390" t="inlineStr">
        <is>
          <t>TORSBY</t>
        </is>
      </c>
      <c r="G390" t="n">
        <v>3.2</v>
      </c>
      <c r="H390" t="n">
        <v>0</v>
      </c>
      <c r="I390" t="n">
        <v>0</v>
      </c>
      <c r="J390" t="n">
        <v>0</v>
      </c>
      <c r="K390" t="n">
        <v>0</v>
      </c>
      <c r="L390" t="n">
        <v>0</v>
      </c>
      <c r="M390" t="n">
        <v>0</v>
      </c>
      <c r="N390" t="n">
        <v>0</v>
      </c>
      <c r="O390" t="n">
        <v>0</v>
      </c>
      <c r="P390" t="n">
        <v>0</v>
      </c>
      <c r="Q390" t="n">
        <v>0</v>
      </c>
      <c r="R390" s="2" t="inlineStr"/>
    </row>
    <row r="391" ht="15" customHeight="1">
      <c r="A391" t="inlineStr">
        <is>
          <t>A 14702-2020</t>
        </is>
      </c>
      <c r="B391" s="1" t="n">
        <v>43909</v>
      </c>
      <c r="C391" s="1" t="n">
        <v>45721</v>
      </c>
      <c r="D391" t="inlineStr">
        <is>
          <t>VÄRMLANDS LÄN</t>
        </is>
      </c>
      <c r="E391" t="inlineStr">
        <is>
          <t>TORSBY</t>
        </is>
      </c>
      <c r="G391" t="n">
        <v>2.1</v>
      </c>
      <c r="H391" t="n">
        <v>0</v>
      </c>
      <c r="I391" t="n">
        <v>0</v>
      </c>
      <c r="J391" t="n">
        <v>0</v>
      </c>
      <c r="K391" t="n">
        <v>0</v>
      </c>
      <c r="L391" t="n">
        <v>0</v>
      </c>
      <c r="M391" t="n">
        <v>0</v>
      </c>
      <c r="N391" t="n">
        <v>0</v>
      </c>
      <c r="O391" t="n">
        <v>0</v>
      </c>
      <c r="P391" t="n">
        <v>0</v>
      </c>
      <c r="Q391" t="n">
        <v>0</v>
      </c>
      <c r="R391" s="2" t="inlineStr"/>
    </row>
    <row r="392" ht="15" customHeight="1">
      <c r="A392" t="inlineStr">
        <is>
          <t>A 14694-2020</t>
        </is>
      </c>
      <c r="B392" s="1" t="n">
        <v>43909</v>
      </c>
      <c r="C392" s="1" t="n">
        <v>45721</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14851-2020</t>
        </is>
      </c>
      <c r="B393" s="1" t="n">
        <v>43909</v>
      </c>
      <c r="C393" s="1" t="n">
        <v>45721</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15161-2020</t>
        </is>
      </c>
      <c r="B394" s="1" t="n">
        <v>43912</v>
      </c>
      <c r="C394" s="1" t="n">
        <v>45721</v>
      </c>
      <c r="D394" t="inlineStr">
        <is>
          <t>VÄRMLANDS LÄN</t>
        </is>
      </c>
      <c r="E394" t="inlineStr">
        <is>
          <t>TORSBY</t>
        </is>
      </c>
      <c r="G394" t="n">
        <v>2.7</v>
      </c>
      <c r="H394" t="n">
        <v>0</v>
      </c>
      <c r="I394" t="n">
        <v>0</v>
      </c>
      <c r="J394" t="n">
        <v>0</v>
      </c>
      <c r="K394" t="n">
        <v>0</v>
      </c>
      <c r="L394" t="n">
        <v>0</v>
      </c>
      <c r="M394" t="n">
        <v>0</v>
      </c>
      <c r="N394" t="n">
        <v>0</v>
      </c>
      <c r="O394" t="n">
        <v>0</v>
      </c>
      <c r="P394" t="n">
        <v>0</v>
      </c>
      <c r="Q394" t="n">
        <v>0</v>
      </c>
      <c r="R394" s="2" t="inlineStr"/>
    </row>
    <row r="395" ht="15" customHeight="1">
      <c r="A395" t="inlineStr">
        <is>
          <t>A 15280-2020</t>
        </is>
      </c>
      <c r="B395" s="1" t="n">
        <v>43913</v>
      </c>
      <c r="C395" s="1" t="n">
        <v>45721</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15589-2020</t>
        </is>
      </c>
      <c r="B396" s="1" t="n">
        <v>43914</v>
      </c>
      <c r="C396" s="1" t="n">
        <v>45721</v>
      </c>
      <c r="D396" t="inlineStr">
        <is>
          <t>VÄRMLANDS LÄN</t>
        </is>
      </c>
      <c r="E396" t="inlineStr">
        <is>
          <t>TORSBY</t>
        </is>
      </c>
      <c r="G396" t="n">
        <v>1.5</v>
      </c>
      <c r="H396" t="n">
        <v>0</v>
      </c>
      <c r="I396" t="n">
        <v>0</v>
      </c>
      <c r="J396" t="n">
        <v>0</v>
      </c>
      <c r="K396" t="n">
        <v>0</v>
      </c>
      <c r="L396" t="n">
        <v>0</v>
      </c>
      <c r="M396" t="n">
        <v>0</v>
      </c>
      <c r="N396" t="n">
        <v>0</v>
      </c>
      <c r="O396" t="n">
        <v>0</v>
      </c>
      <c r="P396" t="n">
        <v>0</v>
      </c>
      <c r="Q396" t="n">
        <v>0</v>
      </c>
      <c r="R396" s="2" t="inlineStr"/>
    </row>
    <row r="397" ht="15" customHeight="1">
      <c r="A397" t="inlineStr">
        <is>
          <t>A 15701-2020</t>
        </is>
      </c>
      <c r="B397" s="1" t="n">
        <v>43915</v>
      </c>
      <c r="C397" s="1" t="n">
        <v>45721</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15768-2020</t>
        </is>
      </c>
      <c r="B398" s="1" t="n">
        <v>43915</v>
      </c>
      <c r="C398" s="1" t="n">
        <v>45721</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45721</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45721</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45721</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45721</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45721</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45721</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45721</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45721</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45721</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45721</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45721</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45721</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45721</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45721</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45721</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45721</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45721</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45721</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45721</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45721</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45721</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45721</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45721</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45721</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45721</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45721</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45721</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45721</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45721</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45721</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45721</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45721</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45721</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45721</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45721</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45721</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45721</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45721</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45721</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45721</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45721</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45721</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45721</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45721</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45721</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45721</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45721</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45721</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45721</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45721</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45721</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45721</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45721</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45721</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45721</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45721</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45721</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45721</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45721</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45721</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45721</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45721</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45721</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45721</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45721</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45721</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45721</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45721</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45721</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45721</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45721</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45721</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45721</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45721</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45721</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45721</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45721</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45721</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45721</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45721</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45721</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45721</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45721</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45721</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45721</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45721</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45721</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45721</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45721</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45721</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45721</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45721</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45721</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45721</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45721</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45721</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45721</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45721</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45721</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45721</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45721</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45721</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45721</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45721</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45721</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45721</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45721</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45721</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45721</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45721</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45721</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45721</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45721</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45721</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45721</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45721</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45721</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45721</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45721</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45721</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45721</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45721</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45721</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45721</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45721</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45721</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45721</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45721</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45721</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45721</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45721</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45721</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45721</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45721</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45721</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45721</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45721</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45721</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45721</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45721</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45721</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45721</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45721</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45721</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45721</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45721</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45721</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45721</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45721</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45721</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45721</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45721</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45721</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45721</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45721</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45721</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45721</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45721</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45721</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45721</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45721</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45721</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45721</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45721</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45721</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45721</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45721</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45721</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45721</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45721</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45721</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45721</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45721</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45721</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45721</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45721</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45721</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45721</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45721</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45721</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45721</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45721</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45721</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45721</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45721</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45721</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45721</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45721</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45721</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45721</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45721</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45721</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45721</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45721</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45721</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45721</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45721</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45721</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45721</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45721</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45721</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45721</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45721</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45721</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45721</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45721</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45721</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45721</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45721</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45721</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45721</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45721</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45721</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45721</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45721</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45721</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45721</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45721</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45721</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45721</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45721</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45721</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45721</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45721</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45721</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45721</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45721</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45721</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45721</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45721</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45721</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45721</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45721</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45721</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45721</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45721</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45721</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45721</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45721</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45721</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45721</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45721</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45721</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45721</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45721</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45721</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45721</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45721</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45721</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45721</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45721</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45721</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45721</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45721</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45721</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45721</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45721</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45721</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45721</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45721</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45721</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45721</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45721</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45721</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45721</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45721</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45721</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45721</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45721</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45721</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45721</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45721</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45721</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45721</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45721</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45721</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45721</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45721</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45721</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45721</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45721</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45721</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45721</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45721</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45721</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45721</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45721</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45721</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45721</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45721</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45721</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45721</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45721</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45721</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45721</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45721</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45721</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45721</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45721</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45721</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45721</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45721</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45721</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45721</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45721</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45721</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45721</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45721</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45721</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45721</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45721</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45721</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45721</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45721</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45721</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45721</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45721</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45721</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45721</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45721</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45721</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45721</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45721</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45721</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45721</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45721</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45721</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45721</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45721</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45721</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45721</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45721</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45721</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45721</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45721</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45721</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45721</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45721</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45721</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45721</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45721</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45721</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45721</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45721</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45721</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45721</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45721</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45721</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45721</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45721</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45721</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45721</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45721</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45721</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45721</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45721</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45721</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45721</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45721</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45721</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45721</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45721</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45721</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45721</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45721</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45721</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45721</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45721</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45721</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45721</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45721</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45721</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45721</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45721</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45721</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45721</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45721</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45721</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45721</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45721</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45721</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45721</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45721</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45721</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45721</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45721</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45721</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45721</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45721</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45721</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45721</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45721</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45721</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45721</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45721</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45721</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45721</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45721</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45721</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45721</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45721</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45721</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45721</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45721</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45721</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45721</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45721</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45721</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45721</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45721</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45721</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45721</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45721</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45721</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45721</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45721</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45721</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45721</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45721</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45721</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45721</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45721</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45721</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45721</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45721</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45721</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45721</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45721</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45721</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45721</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45721</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45721</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45721</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45721</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45721</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45721</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45721</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45721</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45721</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45721</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45721</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45721</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45721</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45721</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45721</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45721</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45721</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45721</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45721</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45721</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45721</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45721</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45721</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45721</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45721</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45721</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45721</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45721</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45721</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45721</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45721</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45721</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45721</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45721</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45721</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45721</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45721</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45721</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45721</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45721</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45721</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45721</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45721</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45721</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45721</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45721</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45721</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45721</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45721</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45721</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45721</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45721</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45721</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45721</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45721</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45721</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45721</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45721</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45721</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45721</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45721</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45721</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45721</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45721</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45721</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45721</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45721</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45721</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45721</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45721</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45721</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45721</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45721</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45721</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45721</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45721</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45721</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45721</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45721</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45721</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45721</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45721</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45721</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45721</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45721</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45721</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45721</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45721</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45721</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45721</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45721</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45721</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45721</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45721</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45721</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45721</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45721</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45721</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45721</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45721</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45721</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45721</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45721</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45721</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45721</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45721</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45721</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45721</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45721</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45721</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45721</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45721</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45721</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45721</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45721</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45721</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45721</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45721</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45721</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45721</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45721</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45721</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45721</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45721</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45721</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45721</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45721</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45721</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45721</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45721</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45721</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45721</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45721</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45721</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45721</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45721</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45721</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45721</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45721</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45721</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45721</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45721</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45721</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45721</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45721</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45721</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45721</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45721</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45721</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45721</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45721</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45721</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45721</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45721</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45721</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45721</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45721</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45721</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45721</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45721</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45721</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45721</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45721</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45721</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45721</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45721</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45721</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45721</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45721</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45721</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45721</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45721</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45721</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45721</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45721</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45721</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45721</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45721</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45721</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45721</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45721</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45721</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45721</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45721</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45721</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45721</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45721</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45721</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45721</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45721</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45721</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45721</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45721</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45721</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45721</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45721</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45721</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45721</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45721</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45721</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45721</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45721</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45721</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45721</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45721</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45721</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45721</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45721</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45721</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45721</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45721</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45721</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45721</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45721</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45721</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45721</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45721</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45721</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45721</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45721</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45721</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45721</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45721</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45721</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45721</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45721</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45721</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45721</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45721</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45721</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45721</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45721</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45721</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45721</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45721</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45721</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45721</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45721</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45721</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45721</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45721</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45721</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45721</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45721</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45721</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45721</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45721</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45721</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45721</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45721</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45721</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45721</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45721</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45721</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45721</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45721</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45721</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45721</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45721</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45721</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45721</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45721</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45721</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45721</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45721</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45721</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45721</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45721</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45721</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45721</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45721</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45721</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45721</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45721</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45721</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45721</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45721</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45721</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45721</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45721</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45721</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45721</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45721</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45721</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45721</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45721</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45721</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45721</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45721</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45721</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45721</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45721</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45721</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45721</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45721</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45721</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45721</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45721</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45721</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45721</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45721</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45721</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45721</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45721</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45721</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45721</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45721</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45721</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45721</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45721</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45721</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45721</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45721</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45721</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45721</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45721</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45721</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45721</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45721</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45721</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45721</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45721</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45721</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45721</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45721</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45721</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45721</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45721</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45721</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45721</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45721</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45721</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45721</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45721</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45721</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45721</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45721</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45721</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45721</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45721</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45721</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45721</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45721</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45721</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45721</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45721</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45721</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45721</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45721</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45721</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45721</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45721</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45721</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45721</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45721</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45721</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45721</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45721</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45721</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45721</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45721</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45721</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45721</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45721</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45721</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45721</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45721</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45721</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45721</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45721</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45721</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45721</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45721</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45721</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45721</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45721</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45721</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45721</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45721</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45721</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45721</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45721</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45721</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45721</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45721</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45721</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45721</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45721</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45721</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45721</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45721</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45721</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45721</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45721</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45721</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45721</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45721</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45721</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45721</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45721</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45721</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45721</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45721</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45721</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45721</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45721</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45721</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45721</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45721</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45721</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45721</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45721</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45721</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45721</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45721</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45721</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45721</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45721</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45721</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45721</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45721</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45721</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45721</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45721</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45721</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45721</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45721</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45721</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45721</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45721</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45721</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45721</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45721</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45721</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45721</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45721</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45721</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45721</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45721</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45721</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45721</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45721</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45721</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45721</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45721</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45721</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45721</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45721</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45721</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45721</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45721</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45721</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45721</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45721</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45721</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45721</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45721</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45721</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45721</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45721</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45721</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45721</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45721</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45721</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45721</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45721</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45721</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45721</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45721</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45721</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45721</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45721</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45721</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45721</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45721</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45721</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45721</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45721</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45721</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45721</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45721</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45721</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45721</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45721</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45721</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45721</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45721</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45721</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45721</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45721</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45721</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45721</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45721</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45721</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45721</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45721</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45721</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45721</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45721</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45721</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45721</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45721</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45721</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45721</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45721</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45721</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45721</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45721</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45721</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45721</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45721</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45721</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45721</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45721</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45721</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45721</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45721</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45721</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45721</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45721</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45721</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45721</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45721</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45721</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45721</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45721</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45721</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45721</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45721</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45721</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45721</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45721</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45721</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45721</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45721</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45721</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45721</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45721</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45721</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45721</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45721</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45721</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45721</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45721</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45721</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45721</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45721</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45721</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45721</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45721</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45721</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45721</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45721</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45721</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45721</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45721</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45721</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45721</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45721</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45721</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45721</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45721</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45721</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45721</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45721</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45721</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45721</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45721</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45721</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45721</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45721</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45721</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45721</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45721</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45721</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45721</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45721</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45721</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45721</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45721</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45721</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45721</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45721</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45721</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45721</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45721</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45721</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45721</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45721</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45721</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45721</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45721</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45721</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45721</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45721</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45721</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45721</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45721</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45721</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45721</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45721</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45721</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45721</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45721</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45721</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45721</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45721</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45721</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45721</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45721</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45721</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45721</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45721</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45721</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45721</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45721</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45721</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45721</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45721</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45721</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45721</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45721</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45721</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45721</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45721</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45721</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45721</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45721</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45721</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45721</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45721</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45721</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45721</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45721</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45721</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45721</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45721</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45721</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45721</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45721</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45721</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45721</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45721</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45721</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45721</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45721</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45721</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45721</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45721</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45721</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45721</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45721</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45721</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45721</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45721</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45721</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45721</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45721</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45721</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45721</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45721</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45721</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45721</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45721</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45721</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45721</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45721</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45721</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45721</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45721</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45721</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45721</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45721</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45721</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45721</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45721</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45721</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45721</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45721</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45721</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45721</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45721</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45721</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45721</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45721</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45721</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45721</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45721</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45721</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45721</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45721</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45721</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45721</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45721</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45721</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45721</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45721</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45721</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45721</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45721</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45721</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45721</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45721</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45721</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45721</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45721</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45721</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45721</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45721</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45721</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45721</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45721</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45721</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45721</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45721</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45721</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45721</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45721</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45721</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45721</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45721</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45721</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45721</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45721</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45721</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45721</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45721</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45721</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45721</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45721</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45721</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45721</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45721</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45721</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45721</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45721</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45721</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45721</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45721</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45721</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45721</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45721</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45721</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45721</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45721</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45721</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45721</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45721</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45721</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45721</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45721</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45721</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45721</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45721</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45721</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45721</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45721</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45721</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45721</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45721</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45721</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45721</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45721</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45721</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45721</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45721</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45721</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45721</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45721</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45721</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45721</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45721</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45721</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45721</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45721</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45721</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45721</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45721</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45721</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45721</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45721</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45721</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45721</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45721</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45721</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45721</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45721</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45721</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45721</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45721</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45721</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45721</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45721</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45721</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45721</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45721</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45721</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45721</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45721</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45721</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45721</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45721</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45721</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45721</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45721</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45721</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45721</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45721</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45721</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45721</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45721</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45721</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45721</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45721</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45721</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45721</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45721</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45721</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45721</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45721</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45721</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45721</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45721</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45721</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45721</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45721</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45721</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45721</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45721</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45721</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45721</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45721</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45721</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45721</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45721</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45721</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45721</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45721</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45721</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45721</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45721</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45721</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45721</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45721</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45721</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45721</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45721</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45721</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45721</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45721</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45721</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45721</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45721</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45721</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45721</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45721</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45721</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45721</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45721</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45721</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45721</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45721</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45721</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45721</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45721</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45721</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45721</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45721</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45721</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45721</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45721</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45721</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45721</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45721</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45721</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45721</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45721</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45721</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45721</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45721</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45721</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45721</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45721</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45721</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45721</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45721</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45721</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45721</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45721</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45721</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45721</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45721</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45721</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45721</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45721</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45721</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45721</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45721</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45721</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45721</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45721</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45721</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45721</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45721</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45721</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45721</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45721</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45721</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45721</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45721</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45721</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45721</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45721</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45721</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45721</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45721</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45721</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45721</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45721</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45721</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45721</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45721</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45721</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45721</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45721</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45721</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45721</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45721</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45721</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45721</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45721</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45721</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45721</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45721</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45721</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45721</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45721</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45721</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45721</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45721</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45721</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45721</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45721</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45721</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45721</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45721</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45721</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45721</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45721</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45721</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45721</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45721</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45721</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45721</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45721</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45721</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45721</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45721</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45721</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45721</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45721</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45721</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45721</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45721</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45721</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45721</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45721</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45721</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45721</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45721</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45721</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45721</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45721</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45721</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45721</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45721</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45721</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45721</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45721</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45721</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45721</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45721</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45721</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45721</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45721</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45721</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45721</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45721</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45721</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45721</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45721</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45721</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45721</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45721</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45721</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45721</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45721</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45721</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45721</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45721</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45721</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45721</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45721</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45721</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45721</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45721</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45721</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45721</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45721</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45721</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45721</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45721</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45721</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45721</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45721</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45721</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45721</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45721</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45721</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45721</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45721</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45721</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45721</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45721</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45721</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45721</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45721</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45721</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45721</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45721</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45721</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45721</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45721</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45721</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45721</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45721</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45721</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45721</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45721</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45721</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45721</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45721</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45721</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45721</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45721</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45721</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45721</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45721</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45721</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45721</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45721</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45721</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45721</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45721</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45721</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45721</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45721</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45721</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45721</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45721</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45721</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45721</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45721</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45721</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45721</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45721</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45721</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45721</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45721</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45721</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45721</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45721</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45721</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45721</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45721</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45721</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45721</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45721</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45721</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45721</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45721</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45721</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45721</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45721</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45721</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45721</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45721</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45721</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45721</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45721</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45721</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45721</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45721</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45721</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45721</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45721</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45721</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45721</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45721</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45721</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45721</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45721</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45721</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45721</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45721</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45721</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45721</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45721</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45721</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45721</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45721</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45721</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45721</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45721</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45721</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45721</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45721</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45721</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45721</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45721</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45721</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45721</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45721</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45721</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45721</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45721</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45721</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45721</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45721</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45721</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45721</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45721</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45721</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45721</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45721</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45721</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45721</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45721</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45721</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45721</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45721</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45721</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45721</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45721</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45721</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45721</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45721</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45721</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45721</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45721</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45721</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45721</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45721</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45721</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45721</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45721</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45721</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45721</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45721</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45721</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45721</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45721</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45721</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45721</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45721</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45721</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45721</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45721</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45721</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45721</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45721</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45721</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45721</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45721</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45721</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45721</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45721</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45721</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45721</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45721</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45721</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45721</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45721</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45721</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45721</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45721</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45721</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45721</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45721</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45721</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45721</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45721</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45721</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45721</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45721</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45721</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45721</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45721</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45721</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45721</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45721</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45721</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45721</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45721</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45721</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45721</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45721</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45721</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45721</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45721</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45721</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45721</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45721</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45721</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45721</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45721</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45721</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45721</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45721</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45721</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45721</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45721</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45721</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45721</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45721</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45721</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45721</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45721</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45721</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45721</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45721</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45721</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45721</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45721</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45721</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45721</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45721</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45721</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45721</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45721</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45721</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45721</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45721</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45721</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45721</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45721</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45721</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45721</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45721</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45721</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45721</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45721</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45721</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45721</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45721</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45721</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45721</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45721</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45721</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45721</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45721</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45721</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45721</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45721</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45721</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45721</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45721</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45721</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45721</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45721</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45721</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45721</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45721</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45721</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45721</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45721</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45721</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45721</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45721</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45721</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45721</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45721</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45721</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45721</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45721</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45721</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45721</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45721</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45721</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45721</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45721</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45721</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45721</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45721</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45721</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45721</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45721</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45721</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45721</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45721</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45721</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45721</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45721</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45721</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45721</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45721</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45721</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45721</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45721</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45721</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45721</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45721</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45721</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45721</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45721</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45721</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45721</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45721</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45721</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45721</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45721</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45721</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45721</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45721</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45721</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45721</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45721</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45721</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45721</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45721</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45721</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45721</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45721</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45721</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45721</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45721</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45721</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45721</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45721</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45721</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45721</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45721</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45721</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45721</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45721</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45721</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45721</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45721</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45721</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45721</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45721</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45721</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45721</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45721</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45721</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45721</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45721</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45721</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45721</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45721</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45721</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45721</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45721</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45721</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45721</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45721</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45721</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45721</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45721</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45721</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45721</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45721</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45721</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45721</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45721</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45721</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45721</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45721</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45721</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45721</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45721</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45721</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45721</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45721</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45721</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45721</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45721</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45721</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45721</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45721</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45721</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45721</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45721</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45721</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45721</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45721</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45721</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45721</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45721</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45721</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45721</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45721</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45721</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45721</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45721</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45721</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45721</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45721</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45721</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45721</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45721</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45721</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45721</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45721</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45721</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45721</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45721</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45721</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45721</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45721</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45721</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45721</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45721</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45721</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45721</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45721</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45721</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45721</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45721</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45721</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45721</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45721</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45721</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45721</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45721</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45721</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45721</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45721</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45721</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45721</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45721</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45721</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45721</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45721</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45721</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45721</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45721</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45721</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45721</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45721</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45721</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45721</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45721</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45721</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45721</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45721</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45721</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45721</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45721</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45721</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45721</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45721</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45721</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45721</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45721</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45721</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45721</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45721</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45721</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45721</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45721</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45721</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45721</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45721</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45721</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45721</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45721</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45721</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45721</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45721</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45721</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45721</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45721</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45721</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45721</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45721</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45721</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45721</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45721</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45721</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45721</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45721</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45721</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45721</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45721</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45721</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45721</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45721</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45721</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45721</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45721</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45721</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45721</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45721</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45721</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45721</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45721</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45721</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45721</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45721</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45721</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45721</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45721</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45721</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45721</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45721</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45721</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45721</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45721</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45721</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45721</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45721</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45721</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45721</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45721</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45721</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45721</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45721</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45721</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45721</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45721</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45721</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45721</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45721</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45721</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45721</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45721</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45721</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45721</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45721</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45721</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45721</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45721</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45721</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45721</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45721</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45721</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45721</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45721</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45721</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45721</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45721</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45721</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45721</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45721</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45721</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45721</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45721</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45721</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45721</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45721</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45721</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45721</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45721</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45721</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45721</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45721</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45721</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45721</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45721</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45721</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45721</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45721</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45721</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45721</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45721</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45721</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45721</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45721</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45721</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45721</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45721</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45721</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45721</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45721</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45721</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45721</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45721</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45721</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45721</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45721</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45721</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45721</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45721</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45721</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45721</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45721</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45721</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45721</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45721</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45721</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45721</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45721</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45721</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45721</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45721</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45721</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45721</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45721</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45721</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45721</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45721</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45721</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45721</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45721</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45721</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45721</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45721</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45721</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45721</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45721</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45721</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45721</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45721</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45721</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45721</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45721</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45721</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45721</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45721</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45721</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45721</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45721</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45721</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45721</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45721</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45721</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45721</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45721</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45721</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45721</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45721</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45721</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45721</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45721</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45721</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45721</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45721</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45721</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45721</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45721</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45721</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45721</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45721</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45721</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45721</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45721</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45721</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45721</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45721</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45721</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45721</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45721</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45721</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45721</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45721</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45721</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45721</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45721</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45721</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45721</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45721</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45721</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45721</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45721</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45721</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45721</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45721</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45721</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45721</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45721</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45721</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45721</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45721</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45721</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45721</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45721</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45721</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45721</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45721</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45721</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45721</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45721</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45721</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45721</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45721</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45721</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45721</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45721</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45721</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45721</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45721</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45721</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45721</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45721</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45721</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45721</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45721</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45721</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45721</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45721</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45721</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45721</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45721</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45721</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45721</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45721</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45721</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45721</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45721</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45721</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45721</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45721</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45721</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45721</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45721</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45721</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45721</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45721</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45721</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45721</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45721</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45721</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45721</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45721</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45721</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45721</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45721</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45721</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45721</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45721</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45721</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45721</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45721</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45721</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45721</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45721</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45721</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45721</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45721</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45721</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45721</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45721</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45721</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45721</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45721</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45721</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45721</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45721</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45721</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45721</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45721</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45721</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45721</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45721</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45721</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45721</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45721</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45721</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45721</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45721</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45721</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45721</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45721</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45721</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45721</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45721</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45721</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45721</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45721</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45721</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45721</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45721</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45721</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45721</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45721</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45721</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45721</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45721</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45721</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45721</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45721</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45721</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45721</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45721</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45721</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45721</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45721</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45721</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45721</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45721</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45721</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45721</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45721</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45721</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45721</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45721</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45721</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45721</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45721</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45721</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45721</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45721</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45721</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45721</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45721</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45721</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45721</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45721</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45721</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45721</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45721</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45721</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45721</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45721</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45721</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45721</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45721</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45721</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45721</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45721</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45721</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45721</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45721</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45721</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45721</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45721</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45721</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45721</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45721</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45721</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45721</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45721</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45721</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45721</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45721</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45721</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45721</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45721</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45721</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45721</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45721</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45721</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45721</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45721</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45721</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45721</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45721</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45721</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45721</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45721</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45721</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45721</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45721</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45721</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45721</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45721</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45721</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45721</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45721</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45721</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45721</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45721</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45721</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45721</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45721</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45721</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45721</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45721</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45721</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45721</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45721</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45721</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45721</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45721</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45721</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45721</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45721</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45721</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45721</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45721</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45721</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45721</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45721</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45721</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45721</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45721</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45721</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45721</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45721</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45721</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45721</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45721</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45721</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45721</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45721</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45721</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45721</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45721</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45721</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45721</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45721</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45721</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45721</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45721</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45721</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45721</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45721</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45721</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45721</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45721</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45721</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45721</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45721</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45721</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45721</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45721</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45721</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45721</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45721</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45721</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45721</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45721</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45721</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45721</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45721</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45721</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45721</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45721</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45721</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45721</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45721</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45721</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45721</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45721</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45721</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45721</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45721</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45721</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45721</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45721</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45721</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45721</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45721</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45721</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45721</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45721</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45721</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45721</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45721</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45721</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45721</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45721</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45721</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45721</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45721</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45721</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45721</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45721</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45721</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45721</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45721</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45721</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45721</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45721</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45721</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45721</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45721</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45721</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45721</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45721</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45721</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45721</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45721</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45721</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45721</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45721</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45721</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45721</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45721</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45721</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45721</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45721</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45721</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45721</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45721</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45721</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45721</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45721</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45721</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45721</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45721</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45721</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45721</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45721</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45721</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45721</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45721</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45721</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45721</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45721</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45721</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45721</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45721</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45721</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45721</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45721</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45721</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45721</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45721</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45721</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45721</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45721</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45721</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45721</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45721</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45721</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45721</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45721</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45721</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45721</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45721</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45721</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45721</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45721</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45721</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45721</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45721</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45721</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45721</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45721</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45721</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45721</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45721</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45721</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45721</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45721</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45721</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45721</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45721</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45721</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45721</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45721</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45721</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45721</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45721</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45721</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45721</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45721</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45721</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45721</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45721</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45721</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45721</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45721</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45721</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45721</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45721</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45721</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45721</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45721</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45721</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45721</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45721</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45721</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45721</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45721</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45721</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45721</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45721</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45721</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45721</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45721</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45721</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45721</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45721</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45721</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45721</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45721</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45721</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45721</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45721</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45721</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45721</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45721</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45721</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45721</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45721</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45721</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45721</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45721</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45721</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45721</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45721</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45721</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45721</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45721</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45721</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45721</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45721</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45721</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45721</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45721</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45721</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45721</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45721</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45721</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45721</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45721</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45721</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45721</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45721</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45721</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45721</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45721</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45721</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45721</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45721</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45721</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45721</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45721</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45721</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45721</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45721</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45721</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45721</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45721</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45721</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45721</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45721</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45721</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45721</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45721</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45721</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45721</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45721</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45721</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45721</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45721</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45721</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45721</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45721</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45721</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45721</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45721</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45721</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45721</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45721</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45721</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45721</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45721</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45721</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45721</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45721</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45721</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45721</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45721</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45721</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45721</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45721</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45721</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45721</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45721</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45721</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45721</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45721</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45721</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45721</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45721</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45721</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45721</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45721</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45721</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45721</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45721</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45721</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45721</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45721</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45721</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45721</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45721</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45721</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45721</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45721</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45721</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45721</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45721</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45721</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45721</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45721</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45721</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45721</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45721</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45721</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45721</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45721</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45721</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45721</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45721</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45721</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45721</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45721</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45721</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45721</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45721</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45721</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45721</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45721</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45721</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45721</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45721</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45721</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45721</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45721</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45721</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45721</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45721</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45721</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45721</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45721</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45721</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45721</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45721</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45721</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45721</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45721</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45721</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45721</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45721</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45721</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45721</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45721</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45721</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45721</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45721</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45721</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45721</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45721</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45721</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45721</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45721</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45721</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45721</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45721</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45721</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45721</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45721</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45721</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45721</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45721</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45721</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45721</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45721</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45721</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45721</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45721</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45721</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45721</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45721</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45721</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45721</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45721</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45721</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45721</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45721</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6529-2025</t>
        </is>
      </c>
      <c r="B3104" s="1" t="n">
        <v>45699</v>
      </c>
      <c r="C3104" s="1" t="n">
        <v>45721</v>
      </c>
      <c r="D3104" t="inlineStr">
        <is>
          <t>VÄRMLANDS LÄN</t>
        </is>
      </c>
      <c r="E3104" t="inlineStr">
        <is>
          <t>TORSBY</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6448-2025</t>
        </is>
      </c>
      <c r="B3105" s="1" t="n">
        <v>45699</v>
      </c>
      <c r="C3105" s="1" t="n">
        <v>45721</v>
      </c>
      <c r="D3105" t="inlineStr">
        <is>
          <t>VÄRMLANDS LÄN</t>
        </is>
      </c>
      <c r="E3105" t="inlineStr">
        <is>
          <t>TORSBY</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6460-2025</t>
        </is>
      </c>
      <c r="B3106" s="1" t="n">
        <v>45699</v>
      </c>
      <c r="C3106" s="1" t="n">
        <v>45721</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6464-2025</t>
        </is>
      </c>
      <c r="B3107" s="1" t="n">
        <v>45699</v>
      </c>
      <c r="C3107" s="1" t="n">
        <v>45721</v>
      </c>
      <c r="D3107" t="inlineStr">
        <is>
          <t>VÄRMLANDS LÄN</t>
        </is>
      </c>
      <c r="E3107" t="inlineStr">
        <is>
          <t>TORSBY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6532-2025</t>
        </is>
      </c>
      <c r="B3108" s="1" t="n">
        <v>45699</v>
      </c>
      <c r="C3108" s="1" t="n">
        <v>45721</v>
      </c>
      <c r="D3108" t="inlineStr">
        <is>
          <t>VÄRMLANDS LÄN</t>
        </is>
      </c>
      <c r="E3108" t="inlineStr">
        <is>
          <t>TORSBY</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45721</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6862-2025</t>
        </is>
      </c>
      <c r="B3110" s="1" t="n">
        <v>45700</v>
      </c>
      <c r="C3110" s="1" t="n">
        <v>45721</v>
      </c>
      <c r="D3110" t="inlineStr">
        <is>
          <t>VÄRMLANDS LÄN</t>
        </is>
      </c>
      <c r="E3110" t="inlineStr">
        <is>
          <t>TORSBY</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6653-2025</t>
        </is>
      </c>
      <c r="B3111" s="1" t="n">
        <v>45700</v>
      </c>
      <c r="C3111" s="1" t="n">
        <v>45721</v>
      </c>
      <c r="D3111" t="inlineStr">
        <is>
          <t>VÄRMLANDS LÄN</t>
        </is>
      </c>
      <c r="E3111" t="inlineStr">
        <is>
          <t>TORSBY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6968-2025</t>
        </is>
      </c>
      <c r="B3112" s="1" t="n">
        <v>45701</v>
      </c>
      <c r="C3112" s="1" t="n">
        <v>45721</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6965-2025</t>
        </is>
      </c>
      <c r="B3113" s="1" t="n">
        <v>45701</v>
      </c>
      <c r="C3113" s="1" t="n">
        <v>45721</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7065-2025</t>
        </is>
      </c>
      <c r="B3114" s="1" t="n">
        <v>45701</v>
      </c>
      <c r="C3114" s="1" t="n">
        <v>45721</v>
      </c>
      <c r="D3114" t="inlineStr">
        <is>
          <t>VÄRMLANDS LÄN</t>
        </is>
      </c>
      <c r="E3114" t="inlineStr">
        <is>
          <t>TORSBY</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7101-2025</t>
        </is>
      </c>
      <c r="B3115" s="1" t="n">
        <v>45701</v>
      </c>
      <c r="C3115" s="1" t="n">
        <v>45721</v>
      </c>
      <c r="D3115" t="inlineStr">
        <is>
          <t>VÄRMLANDS LÄN</t>
        </is>
      </c>
      <c r="E3115" t="inlineStr">
        <is>
          <t>TORSBY</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7068-2025</t>
        </is>
      </c>
      <c r="B3116" s="1" t="n">
        <v>45701</v>
      </c>
      <c r="C3116" s="1" t="n">
        <v>45721</v>
      </c>
      <c r="D3116" t="inlineStr">
        <is>
          <t>VÄRMLANDS LÄN</t>
        </is>
      </c>
      <c r="E3116" t="inlineStr">
        <is>
          <t>TORSBY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45721</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45721</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7215-2025</t>
        </is>
      </c>
      <c r="B3119" s="1" t="n">
        <v>45702</v>
      </c>
      <c r="C3119" s="1" t="n">
        <v>45721</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7420-2025</t>
        </is>
      </c>
      <c r="B3120" s="1" t="n">
        <v>45705</v>
      </c>
      <c r="C3120" s="1" t="n">
        <v>45721</v>
      </c>
      <c r="D3120" t="inlineStr">
        <is>
          <t>VÄRMLANDS LÄN</t>
        </is>
      </c>
      <c r="E3120" t="inlineStr">
        <is>
          <t>TORSBY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7378-2025</t>
        </is>
      </c>
      <c r="B3121" s="1" t="n">
        <v>45705</v>
      </c>
      <c r="C3121" s="1" t="n">
        <v>45721</v>
      </c>
      <c r="D3121" t="inlineStr">
        <is>
          <t>VÄRMLANDS LÄN</t>
        </is>
      </c>
      <c r="E3121" t="inlineStr">
        <is>
          <t>TORSBY</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45721</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45721</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7907-2025</t>
        </is>
      </c>
      <c r="B3124" s="1" t="n">
        <v>45707</v>
      </c>
      <c r="C3124" s="1" t="n">
        <v>45721</v>
      </c>
      <c r="D3124" t="inlineStr">
        <is>
          <t>VÄRMLANDS LÄN</t>
        </is>
      </c>
      <c r="E3124" t="inlineStr">
        <is>
          <t>TORSBY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8018-2025</t>
        </is>
      </c>
      <c r="B3125" s="1" t="n">
        <v>45707</v>
      </c>
      <c r="C3125" s="1" t="n">
        <v>45721</v>
      </c>
      <c r="D3125" t="inlineStr">
        <is>
          <t>VÄRMLANDS LÄN</t>
        </is>
      </c>
      <c r="E3125" t="inlineStr">
        <is>
          <t>TORSBY</t>
        </is>
      </c>
      <c r="G3125" t="n">
        <v>22.7</v>
      </c>
      <c r="H3125" t="n">
        <v>0</v>
      </c>
      <c r="I3125" t="n">
        <v>0</v>
      </c>
      <c r="J3125" t="n">
        <v>0</v>
      </c>
      <c r="K3125" t="n">
        <v>0</v>
      </c>
      <c r="L3125" t="n">
        <v>0</v>
      </c>
      <c r="M3125" t="n">
        <v>0</v>
      </c>
      <c r="N3125" t="n">
        <v>0</v>
      </c>
      <c r="O3125" t="n">
        <v>0</v>
      </c>
      <c r="P3125" t="n">
        <v>0</v>
      </c>
      <c r="Q3125" t="n">
        <v>0</v>
      </c>
      <c r="R3125" s="2" t="inlineStr"/>
    </row>
    <row r="3126" ht="15" customHeight="1">
      <c r="A3126" t="inlineStr">
        <is>
          <t>A 8022-2025</t>
        </is>
      </c>
      <c r="B3126" s="1" t="n">
        <v>45707</v>
      </c>
      <c r="C3126" s="1" t="n">
        <v>45721</v>
      </c>
      <c r="D3126" t="inlineStr">
        <is>
          <t>VÄRMLANDS LÄN</t>
        </is>
      </c>
      <c r="E3126" t="inlineStr">
        <is>
          <t>TORSBY</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8025-2025</t>
        </is>
      </c>
      <c r="B3127" s="1" t="n">
        <v>45707</v>
      </c>
      <c r="C3127" s="1" t="n">
        <v>45721</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45721</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8197-2025</t>
        </is>
      </c>
      <c r="B3129" s="1" t="n">
        <v>45708</v>
      </c>
      <c r="C3129" s="1" t="n">
        <v>45721</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8188-2025</t>
        </is>
      </c>
      <c r="B3130" s="1" t="n">
        <v>45708</v>
      </c>
      <c r="C3130" s="1" t="n">
        <v>45721</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8398-2025</t>
        </is>
      </c>
      <c r="B3131" s="1" t="n">
        <v>45709</v>
      </c>
      <c r="C3131" s="1" t="n">
        <v>45721</v>
      </c>
      <c r="D3131" t="inlineStr">
        <is>
          <t>VÄRMLANDS LÄN</t>
        </is>
      </c>
      <c r="E3131" t="inlineStr">
        <is>
          <t>TORSBY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8428-2025</t>
        </is>
      </c>
      <c r="B3132" s="1" t="n">
        <v>45709</v>
      </c>
      <c r="C3132" s="1" t="n">
        <v>45721</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45721</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9171-2025</t>
        </is>
      </c>
      <c r="B3134" s="1" t="n">
        <v>45713</v>
      </c>
      <c r="C3134" s="1" t="n">
        <v>45721</v>
      </c>
      <c r="D3134" t="inlineStr">
        <is>
          <t>VÄRMLANDS LÄN</t>
        </is>
      </c>
      <c r="E3134" t="inlineStr">
        <is>
          <t>TORSBY</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8979-2025</t>
        </is>
      </c>
      <c r="B3135" s="1" t="n">
        <v>45713</v>
      </c>
      <c r="C3135" s="1" t="n">
        <v>45721</v>
      </c>
      <c r="D3135" t="inlineStr">
        <is>
          <t>VÄRMLANDS LÄN</t>
        </is>
      </c>
      <c r="E3135" t="inlineStr">
        <is>
          <t>TORSBY</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45721</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9286-2025</t>
        </is>
      </c>
      <c r="B3137" s="1" t="n">
        <v>45714</v>
      </c>
      <c r="C3137" s="1" t="n">
        <v>45721</v>
      </c>
      <c r="D3137" t="inlineStr">
        <is>
          <t>VÄRMLANDS LÄN</t>
        </is>
      </c>
      <c r="E3137" t="inlineStr">
        <is>
          <t>TORSBY</t>
        </is>
      </c>
      <c r="F3137" t="inlineStr">
        <is>
          <t>Kommuner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9628-2025</t>
        </is>
      </c>
      <c r="B3138" s="1" t="n">
        <v>45714</v>
      </c>
      <c r="C3138" s="1" t="n">
        <v>45721</v>
      </c>
      <c r="D3138" t="inlineStr">
        <is>
          <t>VÄRMLANDS LÄN</t>
        </is>
      </c>
      <c r="E3138" t="inlineStr">
        <is>
          <t>TORSBY</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9723-2025</t>
        </is>
      </c>
      <c r="B3139" s="1" t="n">
        <v>45715</v>
      </c>
      <c r="C3139" s="1" t="n">
        <v>45721</v>
      </c>
      <c r="D3139" t="inlineStr">
        <is>
          <t>VÄRMLANDS LÄN</t>
        </is>
      </c>
      <c r="E3139" t="inlineStr">
        <is>
          <t>TORSBY</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9729-2025</t>
        </is>
      </c>
      <c r="B3140" s="1" t="n">
        <v>45715</v>
      </c>
      <c r="C3140" s="1" t="n">
        <v>45721</v>
      </c>
      <c r="D3140" t="inlineStr">
        <is>
          <t>VÄRMLANDS LÄN</t>
        </is>
      </c>
      <c r="E3140" t="inlineStr">
        <is>
          <t>TORSBY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45721</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9942-2025</t>
        </is>
      </c>
      <c r="B3142" s="1" t="n">
        <v>45719</v>
      </c>
      <c r="C3142" s="1" t="n">
        <v>45721</v>
      </c>
      <c r="D3142" t="inlineStr">
        <is>
          <t>VÄRMLANDS LÄN</t>
        </is>
      </c>
      <c r="E3142" t="inlineStr">
        <is>
          <t>TORSBY</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10006-2025</t>
        </is>
      </c>
      <c r="B3143" s="1" t="n">
        <v>45719</v>
      </c>
      <c r="C3143" s="1" t="n">
        <v>45721</v>
      </c>
      <c r="D3143" t="inlineStr">
        <is>
          <t>VÄRMLANDS LÄN</t>
        </is>
      </c>
      <c r="E3143" t="inlineStr">
        <is>
          <t>TORSBY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10023-2025</t>
        </is>
      </c>
      <c r="B3144" s="1" t="n">
        <v>45719</v>
      </c>
      <c r="C3144" s="1" t="n">
        <v>45721</v>
      </c>
      <c r="D3144" t="inlineStr">
        <is>
          <t>VÄRMLANDS LÄN</t>
        </is>
      </c>
      <c r="E3144" t="inlineStr">
        <is>
          <t>TORSBY</t>
        </is>
      </c>
      <c r="F3144" t="inlineStr">
        <is>
          <t>Bergvik skog väst AB</t>
        </is>
      </c>
      <c r="G3144" t="n">
        <v>14.3</v>
      </c>
      <c r="H3144" t="n">
        <v>0</v>
      </c>
      <c r="I3144" t="n">
        <v>0</v>
      </c>
      <c r="J3144" t="n">
        <v>0</v>
      </c>
      <c r="K3144" t="n">
        <v>0</v>
      </c>
      <c r="L3144" t="n">
        <v>0</v>
      </c>
      <c r="M3144" t="n">
        <v>0</v>
      </c>
      <c r="N3144" t="n">
        <v>0</v>
      </c>
      <c r="O3144" t="n">
        <v>0</v>
      </c>
      <c r="P3144" t="n">
        <v>0</v>
      </c>
      <c r="Q3144" t="n">
        <v>0</v>
      </c>
      <c r="R3144" s="2" t="inlineStr"/>
    </row>
    <row r="3145" ht="15" customHeight="1">
      <c r="A3145" t="inlineStr">
        <is>
          <t>A 10108-2025</t>
        </is>
      </c>
      <c r="B3145" s="1" t="n">
        <v>45719</v>
      </c>
      <c r="C3145" s="1" t="n">
        <v>45721</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10292-2025</t>
        </is>
      </c>
      <c r="B3146" s="1" t="n">
        <v>45720</v>
      </c>
      <c r="C3146" s="1" t="n">
        <v>45721</v>
      </c>
      <c r="D3146" t="inlineStr">
        <is>
          <t>VÄRMLANDS LÄN</t>
        </is>
      </c>
      <c r="E3146" t="inlineStr">
        <is>
          <t>TORSBY</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10342-2025</t>
        </is>
      </c>
      <c r="B3147" s="1" t="n">
        <v>45720</v>
      </c>
      <c r="C3147" s="1" t="n">
        <v>45721</v>
      </c>
      <c r="D3147" t="inlineStr">
        <is>
          <t>VÄRMLANDS LÄN</t>
        </is>
      </c>
      <c r="E3147" t="inlineStr">
        <is>
          <t>TORSBY</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10288-2025</t>
        </is>
      </c>
      <c r="B3148" s="1" t="n">
        <v>45720</v>
      </c>
      <c r="C3148" s="1" t="n">
        <v>45721</v>
      </c>
      <c r="D3148" t="inlineStr">
        <is>
          <t>VÄRMLANDS LÄN</t>
        </is>
      </c>
      <c r="E3148" t="inlineStr">
        <is>
          <t>TORSBY</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10329-2025</t>
        </is>
      </c>
      <c r="B3149" s="1" t="n">
        <v>45720</v>
      </c>
      <c r="C3149" s="1" t="n">
        <v>45721</v>
      </c>
      <c r="D3149" t="inlineStr">
        <is>
          <t>VÄRMLANDS LÄN</t>
        </is>
      </c>
      <c r="E3149" t="inlineStr">
        <is>
          <t>TORSBY</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10343-2025</t>
        </is>
      </c>
      <c r="B3150" s="1" t="n">
        <v>45720</v>
      </c>
      <c r="C3150" s="1" t="n">
        <v>45721</v>
      </c>
      <c r="D3150" t="inlineStr">
        <is>
          <t>VÄRMLANDS LÄN</t>
        </is>
      </c>
      <c r="E3150" t="inlineStr">
        <is>
          <t>TORSBY</t>
        </is>
      </c>
      <c r="G3150" t="n">
        <v>3.1</v>
      </c>
      <c r="H3150" t="n">
        <v>0</v>
      </c>
      <c r="I3150" t="n">
        <v>0</v>
      </c>
      <c r="J3150" t="n">
        <v>0</v>
      </c>
      <c r="K3150" t="n">
        <v>0</v>
      </c>
      <c r="L3150" t="n">
        <v>0</v>
      </c>
      <c r="M3150" t="n">
        <v>0</v>
      </c>
      <c r="N3150" t="n">
        <v>0</v>
      </c>
      <c r="O3150" t="n">
        <v>0</v>
      </c>
      <c r="P3150" t="n">
        <v>0</v>
      </c>
      <c r="Q3150" t="n">
        <v>0</v>
      </c>
      <c r="R3150" s="2" t="inlineStr"/>
    </row>
    <row r="3151">
      <c r="A3151" t="inlineStr">
        <is>
          <t>A 10456-2025</t>
        </is>
      </c>
      <c r="B3151" s="1" t="n">
        <v>45720</v>
      </c>
      <c r="C3151" s="1" t="n">
        <v>45721</v>
      </c>
      <c r="D3151" t="inlineStr">
        <is>
          <t>VÄRMLANDS LÄN</t>
        </is>
      </c>
      <c r="E3151" t="inlineStr">
        <is>
          <t>TORSBY</t>
        </is>
      </c>
      <c r="G3151" t="n">
        <v>3.6</v>
      </c>
      <c r="H3151" t="n">
        <v>0</v>
      </c>
      <c r="I3151" t="n">
        <v>0</v>
      </c>
      <c r="J3151" t="n">
        <v>0</v>
      </c>
      <c r="K3151" t="n">
        <v>0</v>
      </c>
      <c r="L3151" t="n">
        <v>0</v>
      </c>
      <c r="M3151" t="n">
        <v>0</v>
      </c>
      <c r="N3151" t="n">
        <v>0</v>
      </c>
      <c r="O3151" t="n">
        <v>0</v>
      </c>
      <c r="P3151" t="n">
        <v>0</v>
      </c>
      <c r="Q3151" t="n">
        <v>0</v>
      </c>
      <c r="R3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2025-03-05T16:46:27Z</dcterms:created>
  <dcterms:modified xmlns:dcterms="http://purl.org/dc/terms/" xmlns:xsi="http://www.w3.org/2001/XMLSchema-instance" xsi:type="dcterms:W3CDTF">2025-03-05T16:46:29Z</dcterms:modified>
</cp:coreProperties>
</file>