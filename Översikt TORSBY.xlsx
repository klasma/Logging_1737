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45574</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45574</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45574</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45574</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30301-2024</t>
        </is>
      </c>
      <c r="B12" s="1" t="n">
        <v>45490</v>
      </c>
      <c r="C12" s="1" t="n">
        <v>45574</v>
      </c>
      <c r="D12" t="inlineStr">
        <is>
          <t>VÄRMLANDS LÄN</t>
        </is>
      </c>
      <c r="E12" t="inlineStr">
        <is>
          <t>TORSBY</t>
        </is>
      </c>
      <c r="F12" t="inlineStr">
        <is>
          <t>Bergvik skog väst AB</t>
        </is>
      </c>
      <c r="G12" t="n">
        <v>16.3</v>
      </c>
      <c r="H12" t="n">
        <v>3</v>
      </c>
      <c r="I12" t="n">
        <v>8</v>
      </c>
      <c r="J12" t="n">
        <v>2</v>
      </c>
      <c r="K12" t="n">
        <v>0</v>
      </c>
      <c r="L12" t="n">
        <v>0</v>
      </c>
      <c r="M12" t="n">
        <v>0</v>
      </c>
      <c r="N12" t="n">
        <v>0</v>
      </c>
      <c r="O12" t="n">
        <v>2</v>
      </c>
      <c r="P12" t="n">
        <v>0</v>
      </c>
      <c r="Q12" t="n">
        <v>13</v>
      </c>
      <c r="R12" s="2" t="inlineStr">
        <is>
          <t>Dofttaggsvamp
Myskmåra
Bårdlav
Dvärghäxört
Fjällig taggsvamp s.str.
Kransrams
Skinnlav
Svart trolldruva
Underviol
Vårärt
Fläcknycklar
Nattviol
Blåsippa</t>
        </is>
      </c>
      <c r="S12">
        <f>HYPERLINK("https://klasma.github.io/Logging_1737/artfynd/A 30301-2024 artfynd.xlsx", "A 30301-2024")</f>
        <v/>
      </c>
      <c r="T12">
        <f>HYPERLINK("https://klasma.github.io/Logging_1737/kartor/A 30301-2024 karta.png", "A 30301-2024")</f>
        <v/>
      </c>
      <c r="V12">
        <f>HYPERLINK("https://klasma.github.io/Logging_1737/klagomål/A 30301-2024 FSC-klagomål.docx", "A 30301-2024")</f>
        <v/>
      </c>
      <c r="W12">
        <f>HYPERLINK("https://klasma.github.io/Logging_1737/klagomålsmail/A 30301-2024 FSC-klagomål mail.docx", "A 30301-2024")</f>
        <v/>
      </c>
      <c r="X12">
        <f>HYPERLINK("https://klasma.github.io/Logging_1737/tillsyn/A 30301-2024 tillsynsbegäran.docx", "A 30301-2024")</f>
        <v/>
      </c>
      <c r="Y12">
        <f>HYPERLINK("https://klasma.github.io/Logging_1737/tillsynsmail/A 30301-2024 tillsynsbegäran mail.docx", "A 30301-2024")</f>
        <v/>
      </c>
    </row>
    <row r="13" ht="15" customHeight="1">
      <c r="A13" t="inlineStr">
        <is>
          <t>A 33211-2024</t>
        </is>
      </c>
      <c r="B13" s="1" t="n">
        <v>45518</v>
      </c>
      <c r="C13" s="1" t="n">
        <v>45574</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37737-2024</t>
        </is>
      </c>
      <c r="B14" s="1" t="n">
        <v>45541</v>
      </c>
      <c r="C14" s="1" t="n">
        <v>45574</v>
      </c>
      <c r="D14" t="inlineStr">
        <is>
          <t>VÄRMLANDS LÄN</t>
        </is>
      </c>
      <c r="E14" t="inlineStr">
        <is>
          <t>TORSBY</t>
        </is>
      </c>
      <c r="F14" t="inlineStr">
        <is>
          <t>Bergvik skog väst AB</t>
        </is>
      </c>
      <c r="G14" t="n">
        <v>15.4</v>
      </c>
      <c r="H14" t="n">
        <v>1</v>
      </c>
      <c r="I14" t="n">
        <v>10</v>
      </c>
      <c r="J14" t="n">
        <v>1</v>
      </c>
      <c r="K14" t="n">
        <v>0</v>
      </c>
      <c r="L14" t="n">
        <v>1</v>
      </c>
      <c r="M14" t="n">
        <v>0</v>
      </c>
      <c r="N14" t="n">
        <v>0</v>
      </c>
      <c r="O14" t="n">
        <v>2</v>
      </c>
      <c r="P14" t="n">
        <v>1</v>
      </c>
      <c r="Q14" t="n">
        <v>13</v>
      </c>
      <c r="R14" s="2" t="inlineStr">
        <is>
          <t>Ask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row>
    <row r="15" ht="15" customHeight="1">
      <c r="A15" t="inlineStr">
        <is>
          <t>A 9075-2023</t>
        </is>
      </c>
      <c r="B15" s="1" t="n">
        <v>44979</v>
      </c>
      <c r="C15" s="1" t="n">
        <v>45574</v>
      </c>
      <c r="D15" t="inlineStr">
        <is>
          <t>VÄRMLANDS LÄN</t>
        </is>
      </c>
      <c r="E15" t="inlineStr">
        <is>
          <t>TORSBY</t>
        </is>
      </c>
      <c r="G15" t="n">
        <v>11.9</v>
      </c>
      <c r="H15" t="n">
        <v>2</v>
      </c>
      <c r="I15" t="n">
        <v>2</v>
      </c>
      <c r="J15" t="n">
        <v>9</v>
      </c>
      <c r="K15" t="n">
        <v>0</v>
      </c>
      <c r="L15" t="n">
        <v>0</v>
      </c>
      <c r="M15" t="n">
        <v>0</v>
      </c>
      <c r="N15" t="n">
        <v>0</v>
      </c>
      <c r="O15" t="n">
        <v>9</v>
      </c>
      <c r="P15" t="n">
        <v>0</v>
      </c>
      <c r="Q15" t="n">
        <v>12</v>
      </c>
      <c r="R15" s="2" t="inlineStr">
        <is>
          <t>Garnlav
Kolflarnlav
Motaggsvamp
Mörk kolflarnlav
Skrovlig taggsvamp
Spillkråka
Svartvit taggsvamp
Vedskivlav
Violettgrå tagellav
Dropptaggsvamp
Nästlav
Grönsiska</t>
        </is>
      </c>
      <c r="S15">
        <f>HYPERLINK("https://klasma.github.io/Logging_1737/artfynd/A 9075-2023 artfynd.xlsx", "A 9075-2023")</f>
        <v/>
      </c>
      <c r="T15">
        <f>HYPERLINK("https://klasma.github.io/Logging_1737/kartor/A 9075-2023 karta.png", "A 9075-2023")</f>
        <v/>
      </c>
      <c r="V15">
        <f>HYPERLINK("https://klasma.github.io/Logging_1737/klagomål/A 9075-2023 FSC-klagomål.docx", "A 9075-2023")</f>
        <v/>
      </c>
      <c r="W15">
        <f>HYPERLINK("https://klasma.github.io/Logging_1737/klagomålsmail/A 9075-2023 FSC-klagomål mail.docx", "A 9075-2023")</f>
        <v/>
      </c>
      <c r="X15">
        <f>HYPERLINK("https://klasma.github.io/Logging_1737/tillsyn/A 9075-2023 tillsynsbegäran.docx", "A 9075-2023")</f>
        <v/>
      </c>
      <c r="Y15">
        <f>HYPERLINK("https://klasma.github.io/Logging_1737/tillsynsmail/A 9075-2023 tillsynsbegäran mail.docx", "A 9075-2023")</f>
        <v/>
      </c>
      <c r="Z15">
        <f>HYPERLINK("https://klasma.github.io/Logging_1737/fåglar/A 9075-2023 prioriterade fågelarter.docx", "A 9075-2023")</f>
        <v/>
      </c>
    </row>
    <row r="16" ht="15" customHeight="1">
      <c r="A16" t="inlineStr">
        <is>
          <t>A 44460-2023</t>
        </is>
      </c>
      <c r="B16" s="1" t="n">
        <v>45189</v>
      </c>
      <c r="C16" s="1" t="n">
        <v>45574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12370-2022</t>
        </is>
      </c>
      <c r="B17" s="1" t="n">
        <v>44637</v>
      </c>
      <c r="C17" s="1" t="n">
        <v>45574</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31203-2022</t>
        </is>
      </c>
      <c r="B18" s="1" t="n">
        <v>44770</v>
      </c>
      <c r="C18" s="1" t="n">
        <v>45574</v>
      </c>
      <c r="D18" t="inlineStr">
        <is>
          <t>VÄRMLANDS LÄN</t>
        </is>
      </c>
      <c r="E18" t="inlineStr">
        <is>
          <t>TORSBY</t>
        </is>
      </c>
      <c r="G18" t="n">
        <v>33.5</v>
      </c>
      <c r="H18" t="n">
        <v>0</v>
      </c>
      <c r="I18" t="n">
        <v>3</v>
      </c>
      <c r="J18" t="n">
        <v>7</v>
      </c>
      <c r="K18" t="n">
        <v>0</v>
      </c>
      <c r="L18" t="n">
        <v>0</v>
      </c>
      <c r="M18" t="n">
        <v>0</v>
      </c>
      <c r="N18" t="n">
        <v>0</v>
      </c>
      <c r="O18" t="n">
        <v>7</v>
      </c>
      <c r="P18" t="n">
        <v>0</v>
      </c>
      <c r="Q18" t="n">
        <v>10</v>
      </c>
      <c r="R18" s="2" t="inlineStr">
        <is>
          <t>Garnlav
Kolflarnlav
Lunglav
Mörk kolflarnlav
Skrovellav
Tallticka
Vedskivlav
Bårdlav
Skinnlav
Skuggblåslav</t>
        </is>
      </c>
      <c r="S18">
        <f>HYPERLINK("https://klasma.github.io/Logging_1737/artfynd/A 31203-2022 artfynd.xlsx", "A 31203-2022")</f>
        <v/>
      </c>
      <c r="T18">
        <f>HYPERLINK("https://klasma.github.io/Logging_1737/kartor/A 31203-2022 karta.png", "A 31203-2022")</f>
        <v/>
      </c>
      <c r="V18">
        <f>HYPERLINK("https://klasma.github.io/Logging_1737/klagomål/A 31203-2022 FSC-klagomål.docx", "A 31203-2022")</f>
        <v/>
      </c>
      <c r="W18">
        <f>HYPERLINK("https://klasma.github.io/Logging_1737/klagomålsmail/A 31203-2022 FSC-klagomål mail.docx", "A 31203-2022")</f>
        <v/>
      </c>
      <c r="X18">
        <f>HYPERLINK("https://klasma.github.io/Logging_1737/tillsyn/A 31203-2022 tillsynsbegäran.docx", "A 31203-2022")</f>
        <v/>
      </c>
      <c r="Y18">
        <f>HYPERLINK("https://klasma.github.io/Logging_1737/tillsynsmail/A 31203-2022 tillsynsbegäran mail.docx", "A 31203-2022")</f>
        <v/>
      </c>
    </row>
    <row r="19" ht="15" customHeight="1">
      <c r="A19" t="inlineStr">
        <is>
          <t>A 42488-2022</t>
        </is>
      </c>
      <c r="B19" s="1" t="n">
        <v>44831</v>
      </c>
      <c r="C19" s="1" t="n">
        <v>45574</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26793-2020</t>
        </is>
      </c>
      <c r="B20" s="1" t="n">
        <v>43990</v>
      </c>
      <c r="C20" s="1" t="n">
        <v>45574</v>
      </c>
      <c r="D20" t="inlineStr">
        <is>
          <t>VÄRMLANDS LÄN</t>
        </is>
      </c>
      <c r="E20" t="inlineStr">
        <is>
          <t>TORSBY</t>
        </is>
      </c>
      <c r="G20" t="n">
        <v>19</v>
      </c>
      <c r="H20" t="n">
        <v>2</v>
      </c>
      <c r="I20" t="n">
        <v>6</v>
      </c>
      <c r="J20" t="n">
        <v>1</v>
      </c>
      <c r="K20" t="n">
        <v>0</v>
      </c>
      <c r="L20" t="n">
        <v>0</v>
      </c>
      <c r="M20" t="n">
        <v>0</v>
      </c>
      <c r="N20" t="n">
        <v>0</v>
      </c>
      <c r="O20" t="n">
        <v>1</v>
      </c>
      <c r="P20" t="n">
        <v>0</v>
      </c>
      <c r="Q20" t="n">
        <v>9</v>
      </c>
      <c r="R20" s="2" t="inlineStr">
        <is>
          <t>Myskmåra
Dvärghäxört
Hässleklocka
Svart trolldruva
Tibast
Underviol
Vårärt
Fläcknycklar
Blåsippa</t>
        </is>
      </c>
      <c r="S20">
        <f>HYPERLINK("https://klasma.github.io/Logging_1737/artfynd/A 26793-2020 artfynd.xlsx", "A 26793-2020")</f>
        <v/>
      </c>
      <c r="T20">
        <f>HYPERLINK("https://klasma.github.io/Logging_1737/kartor/A 26793-2020 karta.png", "A 26793-2020")</f>
        <v/>
      </c>
      <c r="V20">
        <f>HYPERLINK("https://klasma.github.io/Logging_1737/klagomål/A 26793-2020 FSC-klagomål.docx", "A 26793-2020")</f>
        <v/>
      </c>
      <c r="W20">
        <f>HYPERLINK("https://klasma.github.io/Logging_1737/klagomålsmail/A 26793-2020 FSC-klagomål mail.docx", "A 26793-2020")</f>
        <v/>
      </c>
      <c r="X20">
        <f>HYPERLINK("https://klasma.github.io/Logging_1737/tillsyn/A 26793-2020 tillsynsbegäran.docx", "A 26793-2020")</f>
        <v/>
      </c>
      <c r="Y20">
        <f>HYPERLINK("https://klasma.github.io/Logging_1737/tillsynsmail/A 26793-2020 tillsynsbegäran mail.docx", "A 26793-2020")</f>
        <v/>
      </c>
    </row>
    <row r="21" ht="15" customHeight="1">
      <c r="A21" t="inlineStr">
        <is>
          <t>A 60716-2021</t>
        </is>
      </c>
      <c r="B21" s="1" t="n">
        <v>44496</v>
      </c>
      <c r="C21" s="1" t="n">
        <v>45574</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22230-2022</t>
        </is>
      </c>
      <c r="B22" s="1" t="n">
        <v>44712</v>
      </c>
      <c r="C22" s="1" t="n">
        <v>45574</v>
      </c>
      <c r="D22" t="inlineStr">
        <is>
          <t>VÄRMLANDS LÄN</t>
        </is>
      </c>
      <c r="E22" t="inlineStr">
        <is>
          <t>TORSBY</t>
        </is>
      </c>
      <c r="G22" t="n">
        <v>2.1</v>
      </c>
      <c r="H22" t="n">
        <v>1</v>
      </c>
      <c r="I22" t="n">
        <v>3</v>
      </c>
      <c r="J22" t="n">
        <v>5</v>
      </c>
      <c r="K22" t="n">
        <v>1</v>
      </c>
      <c r="L22" t="n">
        <v>0</v>
      </c>
      <c r="M22" t="n">
        <v>0</v>
      </c>
      <c r="N22" t="n">
        <v>0</v>
      </c>
      <c r="O22" t="n">
        <v>6</v>
      </c>
      <c r="P22" t="n">
        <v>1</v>
      </c>
      <c r="Q22" t="n">
        <v>9</v>
      </c>
      <c r="R22" s="2" t="inlineStr">
        <is>
          <t>Knärot
Dvärgbägarlav
Gammelgransskål
Garnlav
Lunglav
Tallticka
Korallblylav
Skuggblåslav
Stuplav</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row>
    <row r="23" ht="15" customHeight="1">
      <c r="A23" t="inlineStr">
        <is>
          <t>A 28033-2024</t>
        </is>
      </c>
      <c r="B23" s="1" t="n">
        <v>45476</v>
      </c>
      <c r="C23" s="1" t="n">
        <v>45574</v>
      </c>
      <c r="D23" t="inlineStr">
        <is>
          <t>VÄRMLANDS LÄN</t>
        </is>
      </c>
      <c r="E23" t="inlineStr">
        <is>
          <t>TORSBY</t>
        </is>
      </c>
      <c r="G23" t="n">
        <v>17.7</v>
      </c>
      <c r="H23" t="n">
        <v>1</v>
      </c>
      <c r="I23" t="n">
        <v>2</v>
      </c>
      <c r="J23" t="n">
        <v>7</v>
      </c>
      <c r="K23" t="n">
        <v>0</v>
      </c>
      <c r="L23" t="n">
        <v>0</v>
      </c>
      <c r="M23" t="n">
        <v>0</v>
      </c>
      <c r="N23" t="n">
        <v>0</v>
      </c>
      <c r="O23" t="n">
        <v>7</v>
      </c>
      <c r="P23" t="n">
        <v>0</v>
      </c>
      <c r="Q23" t="n">
        <v>9</v>
      </c>
      <c r="R23" s="2" t="inlineStr">
        <is>
          <t>Doftskinn
Gammelgransskål
Garnlav
Granticka
Lunglav
Tretåig hackspett
Violettgrå tagellav
Skuggblåslav
Vedticka</t>
        </is>
      </c>
      <c r="S23">
        <f>HYPERLINK("https://klasma.github.io/Logging_1737/artfynd/A 28033-2024 artfynd.xlsx", "A 28033-2024")</f>
        <v/>
      </c>
      <c r="T23">
        <f>HYPERLINK("https://klasma.github.io/Logging_1737/kartor/A 28033-2024 karta.png", "A 28033-2024")</f>
        <v/>
      </c>
      <c r="V23">
        <f>HYPERLINK("https://klasma.github.io/Logging_1737/klagomål/A 28033-2024 FSC-klagomål.docx", "A 28033-2024")</f>
        <v/>
      </c>
      <c r="W23">
        <f>HYPERLINK("https://klasma.github.io/Logging_1737/klagomålsmail/A 28033-2024 FSC-klagomål mail.docx", "A 28033-2024")</f>
        <v/>
      </c>
      <c r="X23">
        <f>HYPERLINK("https://klasma.github.io/Logging_1737/tillsyn/A 28033-2024 tillsynsbegäran.docx", "A 28033-2024")</f>
        <v/>
      </c>
      <c r="Y23">
        <f>HYPERLINK("https://klasma.github.io/Logging_1737/tillsynsmail/A 28033-2024 tillsynsbegäran mail.docx", "A 28033-2024")</f>
        <v/>
      </c>
      <c r="Z23">
        <f>HYPERLINK("https://klasma.github.io/Logging_1737/fåglar/A 28033-2024 prioriterade fågelarter.docx", "A 28033-2024")</f>
        <v/>
      </c>
    </row>
    <row r="24" ht="15" customHeight="1">
      <c r="A24" t="inlineStr">
        <is>
          <t>A 171-2021</t>
        </is>
      </c>
      <c r="B24" s="1" t="n">
        <v>44200</v>
      </c>
      <c r="C24" s="1" t="n">
        <v>45574</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45574</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45574</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45574</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45574</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45574</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45574</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45574</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45574</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45574</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45574</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45574</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45574</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45574</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45574</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45574</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45574</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45574</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45574</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45574</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45574</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45574</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45574</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45574</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43385-2024</t>
        </is>
      </c>
      <c r="B48" s="1" t="n">
        <v>45568</v>
      </c>
      <c r="C48" s="1" t="n">
        <v>45574</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24010-2019</t>
        </is>
      </c>
      <c r="B49" s="1" t="n">
        <v>43598</v>
      </c>
      <c r="C49" s="1" t="n">
        <v>45574</v>
      </c>
      <c r="D49" t="inlineStr">
        <is>
          <t>VÄRMLANDS LÄN</t>
        </is>
      </c>
      <c r="E49" t="inlineStr">
        <is>
          <t>TORSBY</t>
        </is>
      </c>
      <c r="G49" t="n">
        <v>2.2</v>
      </c>
      <c r="H49" t="n">
        <v>0</v>
      </c>
      <c r="I49" t="n">
        <v>0</v>
      </c>
      <c r="J49" t="n">
        <v>3</v>
      </c>
      <c r="K49" t="n">
        <v>0</v>
      </c>
      <c r="L49" t="n">
        <v>0</v>
      </c>
      <c r="M49" t="n">
        <v>0</v>
      </c>
      <c r="N49" t="n">
        <v>0</v>
      </c>
      <c r="O49" t="n">
        <v>3</v>
      </c>
      <c r="P49" t="n">
        <v>0</v>
      </c>
      <c r="Q49" t="n">
        <v>3</v>
      </c>
      <c r="R49" s="2" t="inlineStr">
        <is>
          <t>Garnlav
Kolflarnlav
Vedskivlav</t>
        </is>
      </c>
      <c r="S49">
        <f>HYPERLINK("https://klasma.github.io/Logging_1737/artfynd/A 24010-2019 artfynd.xlsx", "A 24010-2019")</f>
        <v/>
      </c>
      <c r="T49">
        <f>HYPERLINK("https://klasma.github.io/Logging_1737/kartor/A 24010-2019 karta.png", "A 24010-2019")</f>
        <v/>
      </c>
      <c r="V49">
        <f>HYPERLINK("https://klasma.github.io/Logging_1737/klagomål/A 24010-2019 FSC-klagomål.docx", "A 24010-2019")</f>
        <v/>
      </c>
      <c r="W49">
        <f>HYPERLINK("https://klasma.github.io/Logging_1737/klagomålsmail/A 24010-2019 FSC-klagomål mail.docx", "A 24010-2019")</f>
        <v/>
      </c>
      <c r="X49">
        <f>HYPERLINK("https://klasma.github.io/Logging_1737/tillsyn/A 24010-2019 tillsynsbegäran.docx", "A 24010-2019")</f>
        <v/>
      </c>
      <c r="Y49">
        <f>HYPERLINK("https://klasma.github.io/Logging_1737/tillsynsmail/A 24010-2019 tillsynsbegäran mail.docx", "A 24010-2019")</f>
        <v/>
      </c>
    </row>
    <row r="50" ht="15" customHeight="1">
      <c r="A50" t="inlineStr">
        <is>
          <t>A 26919-2019</t>
        </is>
      </c>
      <c r="B50" s="1" t="n">
        <v>43613</v>
      </c>
      <c r="C50" s="1" t="n">
        <v>45574</v>
      </c>
      <c r="D50" t="inlineStr">
        <is>
          <t>VÄRMLANDS LÄN</t>
        </is>
      </c>
      <c r="E50" t="inlineStr">
        <is>
          <t>TORSBY</t>
        </is>
      </c>
      <c r="G50" t="n">
        <v>4.6</v>
      </c>
      <c r="H50" t="n">
        <v>0</v>
      </c>
      <c r="I50" t="n">
        <v>0</v>
      </c>
      <c r="J50" t="n">
        <v>2</v>
      </c>
      <c r="K50" t="n">
        <v>0</v>
      </c>
      <c r="L50" t="n">
        <v>1</v>
      </c>
      <c r="M50" t="n">
        <v>0</v>
      </c>
      <c r="N50" t="n">
        <v>0</v>
      </c>
      <c r="O50" t="n">
        <v>3</v>
      </c>
      <c r="P50" t="n">
        <v>1</v>
      </c>
      <c r="Q50" t="n">
        <v>3</v>
      </c>
      <c r="R50" s="2" t="inlineStr">
        <is>
          <t>Broktagel
Lunglav
Violettgrå tagellav</t>
        </is>
      </c>
      <c r="S50">
        <f>HYPERLINK("https://klasma.github.io/Logging_1737/artfynd/A 26919-2019 artfynd.xlsx", "A 26919-2019")</f>
        <v/>
      </c>
      <c r="T50">
        <f>HYPERLINK("https://klasma.github.io/Logging_1737/kartor/A 26919-2019 karta.png", "A 26919-2019")</f>
        <v/>
      </c>
      <c r="V50">
        <f>HYPERLINK("https://klasma.github.io/Logging_1737/klagomål/A 26919-2019 FSC-klagomål.docx", "A 26919-2019")</f>
        <v/>
      </c>
      <c r="W50">
        <f>HYPERLINK("https://klasma.github.io/Logging_1737/klagomålsmail/A 26919-2019 FSC-klagomål mail.docx", "A 26919-2019")</f>
        <v/>
      </c>
      <c r="X50">
        <f>HYPERLINK("https://klasma.github.io/Logging_1737/tillsyn/A 26919-2019 tillsynsbegäran.docx", "A 26919-2019")</f>
        <v/>
      </c>
      <c r="Y50">
        <f>HYPERLINK("https://klasma.github.io/Logging_1737/tillsynsmail/A 26919-2019 tillsynsbegäran mail.docx", "A 26919-2019")</f>
        <v/>
      </c>
    </row>
    <row r="51" ht="15" customHeight="1">
      <c r="A51" t="inlineStr">
        <is>
          <t>A 32928-2019</t>
        </is>
      </c>
      <c r="B51" s="1" t="n">
        <v>43648</v>
      </c>
      <c r="C51" s="1" t="n">
        <v>45574</v>
      </c>
      <c r="D51" t="inlineStr">
        <is>
          <t>VÄRMLANDS LÄN</t>
        </is>
      </c>
      <c r="E51" t="inlineStr">
        <is>
          <t>TORSBY</t>
        </is>
      </c>
      <c r="G51" t="n">
        <v>5.3</v>
      </c>
      <c r="H51" t="n">
        <v>0</v>
      </c>
      <c r="I51" t="n">
        <v>0</v>
      </c>
      <c r="J51" t="n">
        <v>3</v>
      </c>
      <c r="K51" t="n">
        <v>0</v>
      </c>
      <c r="L51" t="n">
        <v>0</v>
      </c>
      <c r="M51" t="n">
        <v>0</v>
      </c>
      <c r="N51" t="n">
        <v>0</v>
      </c>
      <c r="O51" t="n">
        <v>3</v>
      </c>
      <c r="P51" t="n">
        <v>0</v>
      </c>
      <c r="Q51" t="n">
        <v>3</v>
      </c>
      <c r="R51" s="2" t="inlineStr">
        <is>
          <t>Garnlav
Lunglav
Skrovellav</t>
        </is>
      </c>
      <c r="S51">
        <f>HYPERLINK("https://klasma.github.io/Logging_1737/artfynd/A 32928-2019 artfynd.xlsx", "A 32928-2019")</f>
        <v/>
      </c>
      <c r="T51">
        <f>HYPERLINK("https://klasma.github.io/Logging_1737/kartor/A 32928-2019 karta.png", "A 32928-2019")</f>
        <v/>
      </c>
      <c r="V51">
        <f>HYPERLINK("https://klasma.github.io/Logging_1737/klagomål/A 32928-2019 FSC-klagomål.docx", "A 32928-2019")</f>
        <v/>
      </c>
      <c r="W51">
        <f>HYPERLINK("https://klasma.github.io/Logging_1737/klagomålsmail/A 32928-2019 FSC-klagomål mail.docx", "A 32928-2019")</f>
        <v/>
      </c>
      <c r="X51">
        <f>HYPERLINK("https://klasma.github.io/Logging_1737/tillsyn/A 32928-2019 tillsynsbegäran.docx", "A 32928-2019")</f>
        <v/>
      </c>
      <c r="Y51">
        <f>HYPERLINK("https://klasma.github.io/Logging_1737/tillsynsmail/A 32928-2019 tillsynsbegäran mail.docx", "A 32928-2019")</f>
        <v/>
      </c>
    </row>
    <row r="52" ht="15" customHeight="1">
      <c r="A52" t="inlineStr">
        <is>
          <t>A 38932-2019</t>
        </is>
      </c>
      <c r="B52" s="1" t="n">
        <v>43689</v>
      </c>
      <c r="C52" s="1" t="n">
        <v>45574</v>
      </c>
      <c r="D52" t="inlineStr">
        <is>
          <t>VÄRMLANDS LÄN</t>
        </is>
      </c>
      <c r="E52" t="inlineStr">
        <is>
          <t>TORSBY</t>
        </is>
      </c>
      <c r="G52" t="n">
        <v>1.3</v>
      </c>
      <c r="H52" t="n">
        <v>3</v>
      </c>
      <c r="I52" t="n">
        <v>0</v>
      </c>
      <c r="J52" t="n">
        <v>3</v>
      </c>
      <c r="K52" t="n">
        <v>0</v>
      </c>
      <c r="L52" t="n">
        <v>0</v>
      </c>
      <c r="M52" t="n">
        <v>0</v>
      </c>
      <c r="N52" t="n">
        <v>0</v>
      </c>
      <c r="O52" t="n">
        <v>3</v>
      </c>
      <c r="P52" t="n">
        <v>0</v>
      </c>
      <c r="Q52" t="n">
        <v>3</v>
      </c>
      <c r="R52" s="2" t="inlineStr">
        <is>
          <t>Buskskvätta
Grönsångare
Gulsparv</t>
        </is>
      </c>
      <c r="S52">
        <f>HYPERLINK("https://klasma.github.io/Logging_1737/artfynd/A 38932-2019 artfynd.xlsx", "A 38932-2019")</f>
        <v/>
      </c>
      <c r="T52">
        <f>HYPERLINK("https://klasma.github.io/Logging_1737/kartor/A 38932-2019 karta.png", "A 38932-2019")</f>
        <v/>
      </c>
      <c r="V52">
        <f>HYPERLINK("https://klasma.github.io/Logging_1737/klagomål/A 38932-2019 FSC-klagomål.docx", "A 38932-2019")</f>
        <v/>
      </c>
      <c r="W52">
        <f>HYPERLINK("https://klasma.github.io/Logging_1737/klagomålsmail/A 38932-2019 FSC-klagomål mail.docx", "A 38932-2019")</f>
        <v/>
      </c>
      <c r="X52">
        <f>HYPERLINK("https://klasma.github.io/Logging_1737/tillsyn/A 38932-2019 tillsynsbegäran.docx", "A 38932-2019")</f>
        <v/>
      </c>
      <c r="Y52">
        <f>HYPERLINK("https://klasma.github.io/Logging_1737/tillsynsmail/A 38932-2019 tillsynsbegäran mail.docx", "A 38932-2019")</f>
        <v/>
      </c>
      <c r="Z52">
        <f>HYPERLINK("https://klasma.github.io/Logging_1737/fåglar/A 38932-2019 prioriterade fågelarter.docx", "A 38932-2019")</f>
        <v/>
      </c>
    </row>
    <row r="53" ht="15" customHeight="1">
      <c r="A53" t="inlineStr">
        <is>
          <t>A 65913-2019</t>
        </is>
      </c>
      <c r="B53" s="1" t="n">
        <v>43805</v>
      </c>
      <c r="C53" s="1" t="n">
        <v>45574</v>
      </c>
      <c r="D53" t="inlineStr">
        <is>
          <t>VÄRMLANDS LÄN</t>
        </is>
      </c>
      <c r="E53" t="inlineStr">
        <is>
          <t>TORSBY</t>
        </is>
      </c>
      <c r="G53" t="n">
        <v>2.9</v>
      </c>
      <c r="H53" t="n">
        <v>3</v>
      </c>
      <c r="I53" t="n">
        <v>0</v>
      </c>
      <c r="J53" t="n">
        <v>3</v>
      </c>
      <c r="K53" t="n">
        <v>0</v>
      </c>
      <c r="L53" t="n">
        <v>0</v>
      </c>
      <c r="M53" t="n">
        <v>0</v>
      </c>
      <c r="N53" t="n">
        <v>0</v>
      </c>
      <c r="O53" t="n">
        <v>3</v>
      </c>
      <c r="P53" t="n">
        <v>0</v>
      </c>
      <c r="Q53" t="n">
        <v>3</v>
      </c>
      <c r="R53" s="2" t="inlineStr">
        <is>
          <t>Kråka
Spillkråka
Talltita</t>
        </is>
      </c>
      <c r="S53">
        <f>HYPERLINK("https://klasma.github.io/Logging_1737/artfynd/A 65913-2019 artfynd.xlsx", "A 65913-2019")</f>
        <v/>
      </c>
      <c r="T53">
        <f>HYPERLINK("https://klasma.github.io/Logging_1737/kartor/A 65913-2019 karta.png", "A 65913-2019")</f>
        <v/>
      </c>
      <c r="V53">
        <f>HYPERLINK("https://klasma.github.io/Logging_1737/klagomål/A 65913-2019 FSC-klagomål.docx", "A 65913-2019")</f>
        <v/>
      </c>
      <c r="W53">
        <f>HYPERLINK("https://klasma.github.io/Logging_1737/klagomålsmail/A 65913-2019 FSC-klagomål mail.docx", "A 65913-2019")</f>
        <v/>
      </c>
      <c r="X53">
        <f>HYPERLINK("https://klasma.github.io/Logging_1737/tillsyn/A 65913-2019 tillsynsbegäran.docx", "A 65913-2019")</f>
        <v/>
      </c>
      <c r="Y53">
        <f>HYPERLINK("https://klasma.github.io/Logging_1737/tillsynsmail/A 65913-2019 tillsynsbegäran mail.docx", "A 65913-2019")</f>
        <v/>
      </c>
      <c r="Z53">
        <f>HYPERLINK("https://klasma.github.io/Logging_1737/fåglar/A 65913-2019 prioriterade fågelarter.docx", "A 65913-2019")</f>
        <v/>
      </c>
    </row>
    <row r="54" ht="15" customHeight="1">
      <c r="A54" t="inlineStr">
        <is>
          <t>A 10035-2020</t>
        </is>
      </c>
      <c r="B54" s="1" t="n">
        <v>43882</v>
      </c>
      <c r="C54" s="1" t="n">
        <v>45574</v>
      </c>
      <c r="D54" t="inlineStr">
        <is>
          <t>VÄRMLANDS LÄN</t>
        </is>
      </c>
      <c r="E54" t="inlineStr">
        <is>
          <t>TORSBY</t>
        </is>
      </c>
      <c r="F54" t="inlineStr">
        <is>
          <t>Kyrkan</t>
        </is>
      </c>
      <c r="G54" t="n">
        <v>11.2</v>
      </c>
      <c r="H54" t="n">
        <v>0</v>
      </c>
      <c r="I54" t="n">
        <v>0</v>
      </c>
      <c r="J54" t="n">
        <v>3</v>
      </c>
      <c r="K54" t="n">
        <v>0</v>
      </c>
      <c r="L54" t="n">
        <v>0</v>
      </c>
      <c r="M54" t="n">
        <v>0</v>
      </c>
      <c r="N54" t="n">
        <v>0</v>
      </c>
      <c r="O54" t="n">
        <v>3</v>
      </c>
      <c r="P54" t="n">
        <v>0</v>
      </c>
      <c r="Q54" t="n">
        <v>3</v>
      </c>
      <c r="R54" s="2" t="inlineStr">
        <is>
          <t>Garnlav
Kolflarnlav
Mörk kolflarnlav</t>
        </is>
      </c>
      <c r="S54">
        <f>HYPERLINK("https://klasma.github.io/Logging_1737/artfynd/A 10035-2020 artfynd.xlsx", "A 10035-2020")</f>
        <v/>
      </c>
      <c r="T54">
        <f>HYPERLINK("https://klasma.github.io/Logging_1737/kartor/A 10035-2020 karta.png", "A 10035-2020")</f>
        <v/>
      </c>
      <c r="V54">
        <f>HYPERLINK("https://klasma.github.io/Logging_1737/klagomål/A 10035-2020 FSC-klagomål.docx", "A 10035-2020")</f>
        <v/>
      </c>
      <c r="W54">
        <f>HYPERLINK("https://klasma.github.io/Logging_1737/klagomålsmail/A 10035-2020 FSC-klagomål mail.docx", "A 10035-2020")</f>
        <v/>
      </c>
      <c r="X54">
        <f>HYPERLINK("https://klasma.github.io/Logging_1737/tillsyn/A 10035-2020 tillsynsbegäran.docx", "A 10035-2020")</f>
        <v/>
      </c>
      <c r="Y54">
        <f>HYPERLINK("https://klasma.github.io/Logging_1737/tillsynsmail/A 10035-2020 tillsynsbegäran mail.docx", "A 10035-2020")</f>
        <v/>
      </c>
    </row>
    <row r="55" ht="15" customHeight="1">
      <c r="A55" t="inlineStr">
        <is>
          <t>A 46200-2020</t>
        </is>
      </c>
      <c r="B55" s="1" t="n">
        <v>44092</v>
      </c>
      <c r="C55" s="1" t="n">
        <v>45574</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4555-2021</t>
        </is>
      </c>
      <c r="B56" s="1" t="n">
        <v>44224</v>
      </c>
      <c r="C56" s="1" t="n">
        <v>45574</v>
      </c>
      <c r="D56" t="inlineStr">
        <is>
          <t>VÄRMLANDS LÄN</t>
        </is>
      </c>
      <c r="E56" t="inlineStr">
        <is>
          <t>TORSBY</t>
        </is>
      </c>
      <c r="G56" t="n">
        <v>11.3</v>
      </c>
      <c r="H56" t="n">
        <v>0</v>
      </c>
      <c r="I56" t="n">
        <v>0</v>
      </c>
      <c r="J56" t="n">
        <v>3</v>
      </c>
      <c r="K56" t="n">
        <v>0</v>
      </c>
      <c r="L56" t="n">
        <v>0</v>
      </c>
      <c r="M56" t="n">
        <v>0</v>
      </c>
      <c r="N56" t="n">
        <v>0</v>
      </c>
      <c r="O56" t="n">
        <v>3</v>
      </c>
      <c r="P56" t="n">
        <v>0</v>
      </c>
      <c r="Q56" t="n">
        <v>3</v>
      </c>
      <c r="R56" s="2" t="inlineStr">
        <is>
          <t>Garnlav
Lunglav
Violettgrå tagellav</t>
        </is>
      </c>
      <c r="S56">
        <f>HYPERLINK("https://klasma.github.io/Logging_1737/artfynd/A 4555-2021 artfynd.xlsx", "A 4555-2021")</f>
        <v/>
      </c>
      <c r="T56">
        <f>HYPERLINK("https://klasma.github.io/Logging_1737/kartor/A 4555-2021 karta.png", "A 4555-2021")</f>
        <v/>
      </c>
      <c r="V56">
        <f>HYPERLINK("https://klasma.github.io/Logging_1737/klagomål/A 4555-2021 FSC-klagomål.docx", "A 4555-2021")</f>
        <v/>
      </c>
      <c r="W56">
        <f>HYPERLINK("https://klasma.github.io/Logging_1737/klagomålsmail/A 4555-2021 FSC-klagomål mail.docx", "A 4555-2021")</f>
        <v/>
      </c>
      <c r="X56">
        <f>HYPERLINK("https://klasma.github.io/Logging_1737/tillsyn/A 4555-2021 tillsynsbegäran.docx", "A 4555-2021")</f>
        <v/>
      </c>
      <c r="Y56">
        <f>HYPERLINK("https://klasma.github.io/Logging_1737/tillsynsmail/A 4555-2021 tillsynsbegäran mail.docx", "A 4555-2021")</f>
        <v/>
      </c>
    </row>
    <row r="57" ht="15" customHeight="1">
      <c r="A57" t="inlineStr">
        <is>
          <t>A 16545-2021</t>
        </is>
      </c>
      <c r="B57" s="1" t="n">
        <v>44293</v>
      </c>
      <c r="C57" s="1" t="n">
        <v>45574</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67528-2021</t>
        </is>
      </c>
      <c r="B58" s="1" t="n">
        <v>44524</v>
      </c>
      <c r="C58" s="1" t="n">
        <v>45574</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70301-2021</t>
        </is>
      </c>
      <c r="B59" s="1" t="n">
        <v>44536</v>
      </c>
      <c r="C59" s="1" t="n">
        <v>45574</v>
      </c>
      <c r="D59" t="inlineStr">
        <is>
          <t>VÄRMLANDS LÄN</t>
        </is>
      </c>
      <c r="E59" t="inlineStr">
        <is>
          <t>TORSBY</t>
        </is>
      </c>
      <c r="G59" t="n">
        <v>1</v>
      </c>
      <c r="H59" t="n">
        <v>0</v>
      </c>
      <c r="I59" t="n">
        <v>1</v>
      </c>
      <c r="J59" t="n">
        <v>2</v>
      </c>
      <c r="K59" t="n">
        <v>0</v>
      </c>
      <c r="L59" t="n">
        <v>0</v>
      </c>
      <c r="M59" t="n">
        <v>0</v>
      </c>
      <c r="N59" t="n">
        <v>0</v>
      </c>
      <c r="O59" t="n">
        <v>2</v>
      </c>
      <c r="P59" t="n">
        <v>0</v>
      </c>
      <c r="Q59" t="n">
        <v>3</v>
      </c>
      <c r="R59" s="2" t="inlineStr">
        <is>
          <t>Gammelgransskål
Garnlav
Stuplav</t>
        </is>
      </c>
      <c r="S59">
        <f>HYPERLINK("https://klasma.github.io/Logging_1737/artfynd/A 70301-2021 artfynd.xlsx", "A 70301-2021")</f>
        <v/>
      </c>
      <c r="T59">
        <f>HYPERLINK("https://klasma.github.io/Logging_1737/kartor/A 70301-2021 karta.png", "A 70301-2021")</f>
        <v/>
      </c>
      <c r="V59">
        <f>HYPERLINK("https://klasma.github.io/Logging_1737/klagomål/A 70301-2021 FSC-klagomål.docx", "A 70301-2021")</f>
        <v/>
      </c>
      <c r="W59">
        <f>HYPERLINK("https://klasma.github.io/Logging_1737/klagomålsmail/A 70301-2021 FSC-klagomål mail.docx", "A 70301-2021")</f>
        <v/>
      </c>
      <c r="X59">
        <f>HYPERLINK("https://klasma.github.io/Logging_1737/tillsyn/A 70301-2021 tillsynsbegäran.docx", "A 70301-2021")</f>
        <v/>
      </c>
      <c r="Y59">
        <f>HYPERLINK("https://klasma.github.io/Logging_1737/tillsynsmail/A 70301-2021 tillsynsbegäran mail.docx", "A 70301-2021")</f>
        <v/>
      </c>
    </row>
    <row r="60" ht="15" customHeight="1">
      <c r="A60" t="inlineStr">
        <is>
          <t>A 8514-2022</t>
        </is>
      </c>
      <c r="B60" s="1" t="n">
        <v>44613</v>
      </c>
      <c r="C60" s="1" t="n">
        <v>45574</v>
      </c>
      <c r="D60" t="inlineStr">
        <is>
          <t>VÄRMLANDS LÄN</t>
        </is>
      </c>
      <c r="E60" t="inlineStr">
        <is>
          <t>TORSBY</t>
        </is>
      </c>
      <c r="G60" t="n">
        <v>4.4</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8514-2022 artfynd.xlsx", "A 8514-2022")</f>
        <v/>
      </c>
      <c r="T60">
        <f>HYPERLINK("https://klasma.github.io/Logging_1737/kartor/A 8514-2022 karta.png", "A 8514-2022")</f>
        <v/>
      </c>
      <c r="V60">
        <f>HYPERLINK("https://klasma.github.io/Logging_1737/klagomål/A 8514-2022 FSC-klagomål.docx", "A 8514-2022")</f>
        <v/>
      </c>
      <c r="W60">
        <f>HYPERLINK("https://klasma.github.io/Logging_1737/klagomålsmail/A 8514-2022 FSC-klagomål mail.docx", "A 8514-2022")</f>
        <v/>
      </c>
      <c r="X60">
        <f>HYPERLINK("https://klasma.github.io/Logging_1737/tillsyn/A 8514-2022 tillsynsbegäran.docx", "A 8514-2022")</f>
        <v/>
      </c>
      <c r="Y60">
        <f>HYPERLINK("https://klasma.github.io/Logging_1737/tillsynsmail/A 8514-2022 tillsynsbegäran mail.docx", "A 8514-2022")</f>
        <v/>
      </c>
    </row>
    <row r="61" ht="15" customHeight="1">
      <c r="A61" t="inlineStr">
        <is>
          <t>A 23576-2022</t>
        </is>
      </c>
      <c r="B61" s="1" t="n">
        <v>44721</v>
      </c>
      <c r="C61" s="1" t="n">
        <v>45574</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42480-2022</t>
        </is>
      </c>
      <c r="B62" s="1" t="n">
        <v>44831</v>
      </c>
      <c r="C62" s="1" t="n">
        <v>45574</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4486-2023</t>
        </is>
      </c>
      <c r="B63" s="1" t="n">
        <v>44956</v>
      </c>
      <c r="C63" s="1" t="n">
        <v>45574</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Vedskivlav
Skinnlav</t>
        </is>
      </c>
      <c r="S63">
        <f>HYPERLINK("https://klasma.github.io/Logging_1737/artfynd/A 4486-2023 artfynd.xlsx", "A 4486-2023")</f>
        <v/>
      </c>
      <c r="T63">
        <f>HYPERLINK("https://klasma.github.io/Logging_1737/kartor/A 4486-2023 karta.png", "A 4486-2023")</f>
        <v/>
      </c>
      <c r="V63">
        <f>HYPERLINK("https://klasma.github.io/Logging_1737/klagomål/A 4486-2023 FSC-klagomål.docx", "A 4486-2023")</f>
        <v/>
      </c>
      <c r="W63">
        <f>HYPERLINK("https://klasma.github.io/Logging_1737/klagomålsmail/A 4486-2023 FSC-klagomål mail.docx", "A 4486-2023")</f>
        <v/>
      </c>
      <c r="X63">
        <f>HYPERLINK("https://klasma.github.io/Logging_1737/tillsyn/A 4486-2023 tillsynsbegäran.docx", "A 4486-2023")</f>
        <v/>
      </c>
      <c r="Y63">
        <f>HYPERLINK("https://klasma.github.io/Logging_1737/tillsynsmail/A 4486-2023 tillsynsbegäran mail.docx", "A 4486-2023")</f>
        <v/>
      </c>
    </row>
    <row r="64" ht="15" customHeight="1">
      <c r="A64" t="inlineStr">
        <is>
          <t>A 29560-2023</t>
        </is>
      </c>
      <c r="B64" s="1" t="n">
        <v>45106</v>
      </c>
      <c r="C64" s="1" t="n">
        <v>45574</v>
      </c>
      <c r="D64" t="inlineStr">
        <is>
          <t>VÄRMLANDS LÄN</t>
        </is>
      </c>
      <c r="E64" t="inlineStr">
        <is>
          <t>TORSBY</t>
        </is>
      </c>
      <c r="G64" t="n">
        <v>10.3</v>
      </c>
      <c r="H64" t="n">
        <v>2</v>
      </c>
      <c r="I64" t="n">
        <v>1</v>
      </c>
      <c r="J64" t="n">
        <v>1</v>
      </c>
      <c r="K64" t="n">
        <v>0</v>
      </c>
      <c r="L64" t="n">
        <v>0</v>
      </c>
      <c r="M64" t="n">
        <v>0</v>
      </c>
      <c r="N64" t="n">
        <v>0</v>
      </c>
      <c r="O64" t="n">
        <v>1</v>
      </c>
      <c r="P64" t="n">
        <v>0</v>
      </c>
      <c r="Q64" t="n">
        <v>3</v>
      </c>
      <c r="R64" s="2" t="inlineStr">
        <is>
          <t>Spillkråka
Tibast
Orre</t>
        </is>
      </c>
      <c r="S64">
        <f>HYPERLINK("https://klasma.github.io/Logging_1737/artfynd/A 29560-2023 artfynd.xlsx", "A 29560-2023")</f>
        <v/>
      </c>
      <c r="T64">
        <f>HYPERLINK("https://klasma.github.io/Logging_1737/kartor/A 29560-2023 karta.png", "A 29560-2023")</f>
        <v/>
      </c>
      <c r="V64">
        <f>HYPERLINK("https://klasma.github.io/Logging_1737/klagomål/A 29560-2023 FSC-klagomål.docx", "A 29560-2023")</f>
        <v/>
      </c>
      <c r="W64">
        <f>HYPERLINK("https://klasma.github.io/Logging_1737/klagomålsmail/A 29560-2023 FSC-klagomål mail.docx", "A 29560-2023")</f>
        <v/>
      </c>
      <c r="X64">
        <f>HYPERLINK("https://klasma.github.io/Logging_1737/tillsyn/A 29560-2023 tillsynsbegäran.docx", "A 29560-2023")</f>
        <v/>
      </c>
      <c r="Y64">
        <f>HYPERLINK("https://klasma.github.io/Logging_1737/tillsynsmail/A 29560-2023 tillsynsbegäran mail.docx", "A 29560-2023")</f>
        <v/>
      </c>
      <c r="Z64">
        <f>HYPERLINK("https://klasma.github.io/Logging_1737/fåglar/A 29560-2023 prioriterade fågelarter.docx", "A 29560-2023")</f>
        <v/>
      </c>
    </row>
    <row r="65" ht="15" customHeight="1">
      <c r="A65" t="inlineStr">
        <is>
          <t>A 42590-2023</t>
        </is>
      </c>
      <c r="B65" s="1" t="n">
        <v>45181</v>
      </c>
      <c r="C65" s="1" t="n">
        <v>45574</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46016-2023</t>
        </is>
      </c>
      <c r="B66" s="1" t="n">
        <v>45196</v>
      </c>
      <c r="C66" s="1" t="n">
        <v>45574</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45574</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5680-2024</t>
        </is>
      </c>
      <c r="B68" s="1" t="n">
        <v>45334</v>
      </c>
      <c r="C68" s="1" t="n">
        <v>45574</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31835-2024</t>
        </is>
      </c>
      <c r="B69" s="1" t="n">
        <v>45509</v>
      </c>
      <c r="C69" s="1" t="n">
        <v>45574</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18528-2019</t>
        </is>
      </c>
      <c r="B70" s="1" t="n">
        <v>43559</v>
      </c>
      <c r="C70" s="1" t="n">
        <v>45574</v>
      </c>
      <c r="D70" t="inlineStr">
        <is>
          <t>VÄRMLANDS LÄN</t>
        </is>
      </c>
      <c r="E70" t="inlineStr">
        <is>
          <t>TORSBY</t>
        </is>
      </c>
      <c r="G70" t="n">
        <v>1.9</v>
      </c>
      <c r="H70" t="n">
        <v>0</v>
      </c>
      <c r="I70" t="n">
        <v>1</v>
      </c>
      <c r="J70" t="n">
        <v>1</v>
      </c>
      <c r="K70" t="n">
        <v>0</v>
      </c>
      <c r="L70" t="n">
        <v>0</v>
      </c>
      <c r="M70" t="n">
        <v>0</v>
      </c>
      <c r="N70" t="n">
        <v>0</v>
      </c>
      <c r="O70" t="n">
        <v>1</v>
      </c>
      <c r="P70" t="n">
        <v>0</v>
      </c>
      <c r="Q70" t="n">
        <v>2</v>
      </c>
      <c r="R70" s="2" t="inlineStr">
        <is>
          <t>Lunglav
Kattfotslav</t>
        </is>
      </c>
      <c r="S70">
        <f>HYPERLINK("https://klasma.github.io/Logging_1737/artfynd/A 18528-2019 artfynd.xlsx", "A 18528-2019")</f>
        <v/>
      </c>
      <c r="T70">
        <f>HYPERLINK("https://klasma.github.io/Logging_1737/kartor/A 18528-2019 karta.png", "A 18528-2019")</f>
        <v/>
      </c>
      <c r="V70">
        <f>HYPERLINK("https://klasma.github.io/Logging_1737/klagomål/A 18528-2019 FSC-klagomål.docx", "A 18528-2019")</f>
        <v/>
      </c>
      <c r="W70">
        <f>HYPERLINK("https://klasma.github.io/Logging_1737/klagomålsmail/A 18528-2019 FSC-klagomål mail.docx", "A 18528-2019")</f>
        <v/>
      </c>
      <c r="X70">
        <f>HYPERLINK("https://klasma.github.io/Logging_1737/tillsyn/A 18528-2019 tillsynsbegäran.docx", "A 18528-2019")</f>
        <v/>
      </c>
      <c r="Y70">
        <f>HYPERLINK("https://klasma.github.io/Logging_1737/tillsynsmail/A 18528-2019 tillsynsbegäran mail.docx", "A 18528-2019")</f>
        <v/>
      </c>
    </row>
    <row r="71" ht="15" customHeight="1">
      <c r="A71" t="inlineStr">
        <is>
          <t>A 47423-2019</t>
        </is>
      </c>
      <c r="B71" s="1" t="n">
        <v>43723</v>
      </c>
      <c r="C71" s="1" t="n">
        <v>45574</v>
      </c>
      <c r="D71" t="inlineStr">
        <is>
          <t>VÄRMLANDS LÄN</t>
        </is>
      </c>
      <c r="E71" t="inlineStr">
        <is>
          <t>TORSBY</t>
        </is>
      </c>
      <c r="G71" t="n">
        <v>5.1</v>
      </c>
      <c r="H71" t="n">
        <v>0</v>
      </c>
      <c r="I71" t="n">
        <v>0</v>
      </c>
      <c r="J71" t="n">
        <v>2</v>
      </c>
      <c r="K71" t="n">
        <v>0</v>
      </c>
      <c r="L71" t="n">
        <v>0</v>
      </c>
      <c r="M71" t="n">
        <v>0</v>
      </c>
      <c r="N71" t="n">
        <v>0</v>
      </c>
      <c r="O71" t="n">
        <v>2</v>
      </c>
      <c r="P71" t="n">
        <v>0</v>
      </c>
      <c r="Q71" t="n">
        <v>2</v>
      </c>
      <c r="R71" s="2" t="inlineStr">
        <is>
          <t>Gammelgransskål
Garnlav</t>
        </is>
      </c>
      <c r="S71">
        <f>HYPERLINK("https://klasma.github.io/Logging_1737/artfynd/A 47423-2019 artfynd.xlsx", "A 47423-2019")</f>
        <v/>
      </c>
      <c r="T71">
        <f>HYPERLINK("https://klasma.github.io/Logging_1737/kartor/A 47423-2019 karta.png", "A 47423-2019")</f>
        <v/>
      </c>
      <c r="V71">
        <f>HYPERLINK("https://klasma.github.io/Logging_1737/klagomål/A 47423-2019 FSC-klagomål.docx", "A 47423-2019")</f>
        <v/>
      </c>
      <c r="W71">
        <f>HYPERLINK("https://klasma.github.io/Logging_1737/klagomålsmail/A 47423-2019 FSC-klagomål mail.docx", "A 47423-2019")</f>
        <v/>
      </c>
      <c r="X71">
        <f>HYPERLINK("https://klasma.github.io/Logging_1737/tillsyn/A 47423-2019 tillsynsbegäran.docx", "A 47423-2019")</f>
        <v/>
      </c>
      <c r="Y71">
        <f>HYPERLINK("https://klasma.github.io/Logging_1737/tillsynsmail/A 47423-2019 tillsynsbegäran mail.docx", "A 47423-2019")</f>
        <v/>
      </c>
    </row>
    <row r="72" ht="15" customHeight="1">
      <c r="A72" t="inlineStr">
        <is>
          <t>A 60661-2019</t>
        </is>
      </c>
      <c r="B72" s="1" t="n">
        <v>43781</v>
      </c>
      <c r="C72" s="1" t="n">
        <v>45574</v>
      </c>
      <c r="D72" t="inlineStr">
        <is>
          <t>VÄRMLANDS LÄN</t>
        </is>
      </c>
      <c r="E72" t="inlineStr">
        <is>
          <t>TORSBY</t>
        </is>
      </c>
      <c r="F72" t="inlineStr">
        <is>
          <t>Bergvik skog väst AB</t>
        </is>
      </c>
      <c r="G72" t="n">
        <v>40.4</v>
      </c>
      <c r="H72" t="n">
        <v>2</v>
      </c>
      <c r="I72" t="n">
        <v>0</v>
      </c>
      <c r="J72" t="n">
        <v>2</v>
      </c>
      <c r="K72" t="n">
        <v>0</v>
      </c>
      <c r="L72" t="n">
        <v>0</v>
      </c>
      <c r="M72" t="n">
        <v>0</v>
      </c>
      <c r="N72" t="n">
        <v>0</v>
      </c>
      <c r="O72" t="n">
        <v>2</v>
      </c>
      <c r="P72" t="n">
        <v>0</v>
      </c>
      <c r="Q72" t="n">
        <v>2</v>
      </c>
      <c r="R72" s="2" t="inlineStr">
        <is>
          <t>Kråka
Spillkråka</t>
        </is>
      </c>
      <c r="S72">
        <f>HYPERLINK("https://klasma.github.io/Logging_1737/artfynd/A 60661-2019 artfynd.xlsx", "A 60661-2019")</f>
        <v/>
      </c>
      <c r="T72">
        <f>HYPERLINK("https://klasma.github.io/Logging_1737/kartor/A 60661-2019 karta.png", "A 60661-2019")</f>
        <v/>
      </c>
      <c r="V72">
        <f>HYPERLINK("https://klasma.github.io/Logging_1737/klagomål/A 60661-2019 FSC-klagomål.docx", "A 60661-2019")</f>
        <v/>
      </c>
      <c r="W72">
        <f>HYPERLINK("https://klasma.github.io/Logging_1737/klagomålsmail/A 60661-2019 FSC-klagomål mail.docx", "A 60661-2019")</f>
        <v/>
      </c>
      <c r="X72">
        <f>HYPERLINK("https://klasma.github.io/Logging_1737/tillsyn/A 60661-2019 tillsynsbegäran.docx", "A 60661-2019")</f>
        <v/>
      </c>
      <c r="Y72">
        <f>HYPERLINK("https://klasma.github.io/Logging_1737/tillsynsmail/A 60661-2019 tillsynsbegäran mail.docx", "A 60661-2019")</f>
        <v/>
      </c>
      <c r="Z72">
        <f>HYPERLINK("https://klasma.github.io/Logging_1737/fåglar/A 60661-2019 prioriterade fågelarter.docx", "A 60661-2019")</f>
        <v/>
      </c>
    </row>
    <row r="73" ht="15" customHeight="1">
      <c r="A73" t="inlineStr">
        <is>
          <t>A 53198-2020</t>
        </is>
      </c>
      <c r="B73" s="1" t="n">
        <v>44122</v>
      </c>
      <c r="C73" s="1" t="n">
        <v>45574</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45574</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43023-2021</t>
        </is>
      </c>
      <c r="B75" s="1" t="n">
        <v>44431</v>
      </c>
      <c r="C75" s="1" t="n">
        <v>45574</v>
      </c>
      <c r="D75" t="inlineStr">
        <is>
          <t>VÄRMLANDS LÄN</t>
        </is>
      </c>
      <c r="E75" t="inlineStr">
        <is>
          <t>TORSBY</t>
        </is>
      </c>
      <c r="G75" t="n">
        <v>1</v>
      </c>
      <c r="H75" t="n">
        <v>0</v>
      </c>
      <c r="I75" t="n">
        <v>0</v>
      </c>
      <c r="J75" t="n">
        <v>2</v>
      </c>
      <c r="K75" t="n">
        <v>0</v>
      </c>
      <c r="L75" t="n">
        <v>0</v>
      </c>
      <c r="M75" t="n">
        <v>0</v>
      </c>
      <c r="N75" t="n">
        <v>0</v>
      </c>
      <c r="O75" t="n">
        <v>2</v>
      </c>
      <c r="P75" t="n">
        <v>0</v>
      </c>
      <c r="Q75" t="n">
        <v>2</v>
      </c>
      <c r="R75" s="2" t="inlineStr">
        <is>
          <t>Doftskinn
Violettgrå tagellav</t>
        </is>
      </c>
      <c r="S75">
        <f>HYPERLINK("https://klasma.github.io/Logging_1737/artfynd/A 43023-2021 artfynd.xlsx", "A 43023-2021")</f>
        <v/>
      </c>
      <c r="T75">
        <f>HYPERLINK("https://klasma.github.io/Logging_1737/kartor/A 43023-2021 karta.png", "A 43023-2021")</f>
        <v/>
      </c>
      <c r="V75">
        <f>HYPERLINK("https://klasma.github.io/Logging_1737/klagomål/A 43023-2021 FSC-klagomål.docx", "A 43023-2021")</f>
        <v/>
      </c>
      <c r="W75">
        <f>HYPERLINK("https://klasma.github.io/Logging_1737/klagomålsmail/A 43023-2021 FSC-klagomål mail.docx", "A 43023-2021")</f>
        <v/>
      </c>
      <c r="X75">
        <f>HYPERLINK("https://klasma.github.io/Logging_1737/tillsyn/A 43023-2021 tillsynsbegäran.docx", "A 43023-2021")</f>
        <v/>
      </c>
      <c r="Y75">
        <f>HYPERLINK("https://klasma.github.io/Logging_1737/tillsynsmail/A 43023-2021 tillsynsbegäran mail.docx", "A 43023-2021")</f>
        <v/>
      </c>
    </row>
    <row r="76" ht="15" customHeight="1">
      <c r="A76" t="inlineStr">
        <is>
          <t>A 12375-2022</t>
        </is>
      </c>
      <c r="B76" s="1" t="n">
        <v>44637</v>
      </c>
      <c r="C76" s="1" t="n">
        <v>45574</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12372-2022</t>
        </is>
      </c>
      <c r="B77" s="1" t="n">
        <v>44637</v>
      </c>
      <c r="C77" s="1" t="n">
        <v>45574</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22174-2022</t>
        </is>
      </c>
      <c r="B78" s="1" t="n">
        <v>44712</v>
      </c>
      <c r="C78" s="1" t="n">
        <v>45574</v>
      </c>
      <c r="D78" t="inlineStr">
        <is>
          <t>VÄRMLANDS LÄN</t>
        </is>
      </c>
      <c r="E78" t="inlineStr">
        <is>
          <t>TORSBY</t>
        </is>
      </c>
      <c r="G78" t="n">
        <v>11</v>
      </c>
      <c r="H78" t="n">
        <v>1</v>
      </c>
      <c r="I78" t="n">
        <v>1</v>
      </c>
      <c r="J78" t="n">
        <v>0</v>
      </c>
      <c r="K78" t="n">
        <v>0</v>
      </c>
      <c r="L78" t="n">
        <v>0</v>
      </c>
      <c r="M78" t="n">
        <v>0</v>
      </c>
      <c r="N78" t="n">
        <v>0</v>
      </c>
      <c r="O78" t="n">
        <v>0</v>
      </c>
      <c r="P78" t="n">
        <v>0</v>
      </c>
      <c r="Q78" t="n">
        <v>2</v>
      </c>
      <c r="R78" s="2" t="inlineStr">
        <is>
          <t>Svart trolldruva
Revlummer</t>
        </is>
      </c>
      <c r="S78">
        <f>HYPERLINK("https://klasma.github.io/Logging_1737/artfynd/A 22174-2022 artfynd.xlsx", "A 22174-2022")</f>
        <v/>
      </c>
      <c r="T78">
        <f>HYPERLINK("https://klasma.github.io/Logging_1737/kartor/A 22174-2022 karta.png", "A 22174-2022")</f>
        <v/>
      </c>
      <c r="V78">
        <f>HYPERLINK("https://klasma.github.io/Logging_1737/klagomål/A 22174-2022 FSC-klagomål.docx", "A 22174-2022")</f>
        <v/>
      </c>
      <c r="W78">
        <f>HYPERLINK("https://klasma.github.io/Logging_1737/klagomålsmail/A 22174-2022 FSC-klagomål mail.docx", "A 22174-2022")</f>
        <v/>
      </c>
      <c r="X78">
        <f>HYPERLINK("https://klasma.github.io/Logging_1737/tillsyn/A 22174-2022 tillsynsbegäran.docx", "A 22174-2022")</f>
        <v/>
      </c>
      <c r="Y78">
        <f>HYPERLINK("https://klasma.github.io/Logging_1737/tillsynsmail/A 22174-2022 tillsynsbegäran mail.docx", "A 22174-2022")</f>
        <v/>
      </c>
    </row>
    <row r="79" ht="15" customHeight="1">
      <c r="A79" t="inlineStr">
        <is>
          <t>A 28156-2022</t>
        </is>
      </c>
      <c r="B79" s="1" t="n">
        <v>44746</v>
      </c>
      <c r="C79" s="1" t="n">
        <v>45574</v>
      </c>
      <c r="D79" t="inlineStr">
        <is>
          <t>VÄRMLANDS LÄN</t>
        </is>
      </c>
      <c r="E79" t="inlineStr">
        <is>
          <t>TORSBY</t>
        </is>
      </c>
      <c r="F79" t="inlineStr">
        <is>
          <t>Bergvik skog väst AB</t>
        </is>
      </c>
      <c r="G79" t="n">
        <v>8.300000000000001</v>
      </c>
      <c r="H79" t="n">
        <v>0</v>
      </c>
      <c r="I79" t="n">
        <v>0</v>
      </c>
      <c r="J79" t="n">
        <v>1</v>
      </c>
      <c r="K79" t="n">
        <v>1</v>
      </c>
      <c r="L79" t="n">
        <v>0</v>
      </c>
      <c r="M79" t="n">
        <v>0</v>
      </c>
      <c r="N79" t="n">
        <v>0</v>
      </c>
      <c r="O79" t="n">
        <v>2</v>
      </c>
      <c r="P79" t="n">
        <v>1</v>
      </c>
      <c r="Q79" t="n">
        <v>2</v>
      </c>
      <c r="R79" s="2" t="inlineStr">
        <is>
          <t>Raggbock
Tallticka</t>
        </is>
      </c>
      <c r="S79">
        <f>HYPERLINK("https://klasma.github.io/Logging_1737/artfynd/A 28156-2022 artfynd.xlsx", "A 28156-2022")</f>
        <v/>
      </c>
      <c r="T79">
        <f>HYPERLINK("https://klasma.github.io/Logging_1737/kartor/A 28156-2022 karta.png", "A 28156-2022")</f>
        <v/>
      </c>
      <c r="V79">
        <f>HYPERLINK("https://klasma.github.io/Logging_1737/klagomål/A 28156-2022 FSC-klagomål.docx", "A 28156-2022")</f>
        <v/>
      </c>
      <c r="W79">
        <f>HYPERLINK("https://klasma.github.io/Logging_1737/klagomålsmail/A 28156-2022 FSC-klagomål mail.docx", "A 28156-2022")</f>
        <v/>
      </c>
      <c r="X79">
        <f>HYPERLINK("https://klasma.github.io/Logging_1737/tillsyn/A 28156-2022 tillsynsbegäran.docx", "A 28156-2022")</f>
        <v/>
      </c>
      <c r="Y79">
        <f>HYPERLINK("https://klasma.github.io/Logging_1737/tillsynsmail/A 28156-2022 tillsynsbegäran mail.docx", "A 28156-2022")</f>
        <v/>
      </c>
    </row>
    <row r="80" ht="15" customHeight="1">
      <c r="A80" t="inlineStr">
        <is>
          <t>A 34930-2022</t>
        </is>
      </c>
      <c r="B80" s="1" t="n">
        <v>44796</v>
      </c>
      <c r="C80" s="1" t="n">
        <v>45574</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2000-2023</t>
        </is>
      </c>
      <c r="B81" s="1" t="n">
        <v>44939</v>
      </c>
      <c r="C81" s="1" t="n">
        <v>45574</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4718-2023</t>
        </is>
      </c>
      <c r="B82" s="1" t="n">
        <v>44957</v>
      </c>
      <c r="C82" s="1" t="n">
        <v>45574</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13364-2023</t>
        </is>
      </c>
      <c r="B83" s="1" t="n">
        <v>45005</v>
      </c>
      <c r="C83" s="1" t="n">
        <v>45574</v>
      </c>
      <c r="D83" t="inlineStr">
        <is>
          <t>VÄRMLANDS LÄN</t>
        </is>
      </c>
      <c r="E83" t="inlineStr">
        <is>
          <t>TORSBY</t>
        </is>
      </c>
      <c r="G83" t="n">
        <v>16.3</v>
      </c>
      <c r="H83" t="n">
        <v>0</v>
      </c>
      <c r="I83" t="n">
        <v>1</v>
      </c>
      <c r="J83" t="n">
        <v>1</v>
      </c>
      <c r="K83" t="n">
        <v>0</v>
      </c>
      <c r="L83" t="n">
        <v>0</v>
      </c>
      <c r="M83" t="n">
        <v>0</v>
      </c>
      <c r="N83" t="n">
        <v>0</v>
      </c>
      <c r="O83" t="n">
        <v>1</v>
      </c>
      <c r="P83" t="n">
        <v>0</v>
      </c>
      <c r="Q83" t="n">
        <v>2</v>
      </c>
      <c r="R83" s="2" t="inlineStr">
        <is>
          <t>Mörk kolflarnlav
Dropptaggsvamp</t>
        </is>
      </c>
      <c r="S83">
        <f>HYPERLINK("https://klasma.github.io/Logging_1737/artfynd/A 13364-2023 artfynd.xlsx", "A 13364-2023")</f>
        <v/>
      </c>
      <c r="T83">
        <f>HYPERLINK("https://klasma.github.io/Logging_1737/kartor/A 13364-2023 karta.png", "A 13364-2023")</f>
        <v/>
      </c>
      <c r="V83">
        <f>HYPERLINK("https://klasma.github.io/Logging_1737/klagomål/A 13364-2023 FSC-klagomål.docx", "A 13364-2023")</f>
        <v/>
      </c>
      <c r="W83">
        <f>HYPERLINK("https://klasma.github.io/Logging_1737/klagomålsmail/A 13364-2023 FSC-klagomål mail.docx", "A 13364-2023")</f>
        <v/>
      </c>
      <c r="X83">
        <f>HYPERLINK("https://klasma.github.io/Logging_1737/tillsyn/A 13364-2023 tillsynsbegäran.docx", "A 13364-2023")</f>
        <v/>
      </c>
      <c r="Y83">
        <f>HYPERLINK("https://klasma.github.io/Logging_1737/tillsynsmail/A 13364-2023 tillsynsbegäran mail.docx", "A 13364-2023")</f>
        <v/>
      </c>
    </row>
    <row r="84" ht="15" customHeight="1">
      <c r="A84" t="inlineStr">
        <is>
          <t>A 16414-2023</t>
        </is>
      </c>
      <c r="B84" s="1" t="n">
        <v>45022</v>
      </c>
      <c r="C84" s="1" t="n">
        <v>45574</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16442-2023</t>
        </is>
      </c>
      <c r="B85" s="1" t="n">
        <v>45026</v>
      </c>
      <c r="C85" s="1" t="n">
        <v>45574</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42610-2023</t>
        </is>
      </c>
      <c r="B86" s="1" t="n">
        <v>45181</v>
      </c>
      <c r="C86" s="1" t="n">
        <v>45574</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46008-2023</t>
        </is>
      </c>
      <c r="B87" s="1" t="n">
        <v>45196</v>
      </c>
      <c r="C87" s="1" t="n">
        <v>45574</v>
      </c>
      <c r="D87" t="inlineStr">
        <is>
          <t>VÄRMLANDS LÄN</t>
        </is>
      </c>
      <c r="E87" t="inlineStr">
        <is>
          <t>TORSBY</t>
        </is>
      </c>
      <c r="G87" t="n">
        <v>15.4</v>
      </c>
      <c r="H87" t="n">
        <v>0</v>
      </c>
      <c r="I87" t="n">
        <v>0</v>
      </c>
      <c r="J87" t="n">
        <v>2</v>
      </c>
      <c r="K87" t="n">
        <v>0</v>
      </c>
      <c r="L87" t="n">
        <v>0</v>
      </c>
      <c r="M87" t="n">
        <v>0</v>
      </c>
      <c r="N87" t="n">
        <v>0</v>
      </c>
      <c r="O87" t="n">
        <v>2</v>
      </c>
      <c r="P87" t="n">
        <v>0</v>
      </c>
      <c r="Q87" t="n">
        <v>2</v>
      </c>
      <c r="R87" s="2" t="inlineStr">
        <is>
          <t>Dvärgbägarlav
Garnlav</t>
        </is>
      </c>
      <c r="S87">
        <f>HYPERLINK("https://klasma.github.io/Logging_1737/artfynd/A 46008-2023 artfynd.xlsx", "A 46008-2023")</f>
        <v/>
      </c>
      <c r="T87">
        <f>HYPERLINK("https://klasma.github.io/Logging_1737/kartor/A 46008-2023 karta.png", "A 46008-2023")</f>
        <v/>
      </c>
      <c r="V87">
        <f>HYPERLINK("https://klasma.github.io/Logging_1737/klagomål/A 46008-2023 FSC-klagomål.docx", "A 46008-2023")</f>
        <v/>
      </c>
      <c r="W87">
        <f>HYPERLINK("https://klasma.github.io/Logging_1737/klagomålsmail/A 46008-2023 FSC-klagomål mail.docx", "A 46008-2023")</f>
        <v/>
      </c>
      <c r="X87">
        <f>HYPERLINK("https://klasma.github.io/Logging_1737/tillsyn/A 46008-2023 tillsynsbegäran.docx", "A 46008-2023")</f>
        <v/>
      </c>
      <c r="Y87">
        <f>HYPERLINK("https://klasma.github.io/Logging_1737/tillsynsmail/A 46008-2023 tillsynsbegäran mail.docx", "A 46008-2023")</f>
        <v/>
      </c>
    </row>
    <row r="88" ht="15" customHeight="1">
      <c r="A88" t="inlineStr">
        <is>
          <t>A 48292-2023</t>
        </is>
      </c>
      <c r="B88" s="1" t="n">
        <v>45205</v>
      </c>
      <c r="C88" s="1" t="n">
        <v>45574</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62955-2023</t>
        </is>
      </c>
      <c r="B89" s="1" t="n">
        <v>45271</v>
      </c>
      <c r="C89" s="1" t="n">
        <v>45574</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4068-2024</t>
        </is>
      </c>
      <c r="B90" s="1" t="n">
        <v>45323</v>
      </c>
      <c r="C90" s="1" t="n">
        <v>45574</v>
      </c>
      <c r="D90" t="inlineStr">
        <is>
          <t>VÄRMLANDS LÄN</t>
        </is>
      </c>
      <c r="E90" t="inlineStr">
        <is>
          <t>TORSBY</t>
        </is>
      </c>
      <c r="G90" t="n">
        <v>2.9</v>
      </c>
      <c r="H90" t="n">
        <v>1</v>
      </c>
      <c r="I90" t="n">
        <v>2</v>
      </c>
      <c r="J90" t="n">
        <v>0</v>
      </c>
      <c r="K90" t="n">
        <v>0</v>
      </c>
      <c r="L90" t="n">
        <v>0</v>
      </c>
      <c r="M90" t="n">
        <v>0</v>
      </c>
      <c r="N90" t="n">
        <v>0</v>
      </c>
      <c r="O90" t="n">
        <v>0</v>
      </c>
      <c r="P90" t="n">
        <v>0</v>
      </c>
      <c r="Q90" t="n">
        <v>2</v>
      </c>
      <c r="R90" s="2" t="inlineStr">
        <is>
          <t>Korallrot
Springkorn</t>
        </is>
      </c>
      <c r="S90">
        <f>HYPERLINK("https://klasma.github.io/Logging_1737/artfynd/A 4068-2024 artfynd.xlsx", "A 4068-2024")</f>
        <v/>
      </c>
      <c r="T90">
        <f>HYPERLINK("https://klasma.github.io/Logging_1737/kartor/A 4068-2024 karta.png", "A 4068-2024")</f>
        <v/>
      </c>
      <c r="V90">
        <f>HYPERLINK("https://klasma.github.io/Logging_1737/klagomål/A 4068-2024 FSC-klagomål.docx", "A 4068-2024")</f>
        <v/>
      </c>
      <c r="W90">
        <f>HYPERLINK("https://klasma.github.io/Logging_1737/klagomålsmail/A 4068-2024 FSC-klagomål mail.docx", "A 4068-2024")</f>
        <v/>
      </c>
      <c r="X90">
        <f>HYPERLINK("https://klasma.github.io/Logging_1737/tillsyn/A 4068-2024 tillsynsbegäran.docx", "A 4068-2024")</f>
        <v/>
      </c>
      <c r="Y90">
        <f>HYPERLINK("https://klasma.github.io/Logging_1737/tillsynsmail/A 4068-2024 tillsynsbegäran mail.docx", "A 4068-2024")</f>
        <v/>
      </c>
    </row>
    <row r="91" ht="15" customHeight="1">
      <c r="A91" t="inlineStr">
        <is>
          <t>A 23091-2024</t>
        </is>
      </c>
      <c r="B91" s="1" t="n">
        <v>45450</v>
      </c>
      <c r="C91" s="1" t="n">
        <v>45574</v>
      </c>
      <c r="D91" t="inlineStr">
        <is>
          <t>VÄRMLANDS LÄN</t>
        </is>
      </c>
      <c r="E91" t="inlineStr">
        <is>
          <t>TORSBY</t>
        </is>
      </c>
      <c r="F91" t="inlineStr">
        <is>
          <t>Bergvik skog väst AB</t>
        </is>
      </c>
      <c r="G91" t="n">
        <v>14.3</v>
      </c>
      <c r="H91" t="n">
        <v>0</v>
      </c>
      <c r="I91" t="n">
        <v>1</v>
      </c>
      <c r="J91" t="n">
        <v>1</v>
      </c>
      <c r="K91" t="n">
        <v>0</v>
      </c>
      <c r="L91" t="n">
        <v>0</v>
      </c>
      <c r="M91" t="n">
        <v>0</v>
      </c>
      <c r="N91" t="n">
        <v>0</v>
      </c>
      <c r="O91" t="n">
        <v>1</v>
      </c>
      <c r="P91" t="n">
        <v>0</v>
      </c>
      <c r="Q91" t="n">
        <v>2</v>
      </c>
      <c r="R91" s="2" t="inlineStr">
        <is>
          <t>Vedskivlav
Kambräken</t>
        </is>
      </c>
      <c r="S91">
        <f>HYPERLINK("https://klasma.github.io/Logging_1737/artfynd/A 23091-2024 artfynd.xlsx", "A 23091-2024")</f>
        <v/>
      </c>
      <c r="T91">
        <f>HYPERLINK("https://klasma.github.io/Logging_1737/kartor/A 23091-2024 karta.png", "A 23091-2024")</f>
        <v/>
      </c>
      <c r="V91">
        <f>HYPERLINK("https://klasma.github.io/Logging_1737/klagomål/A 23091-2024 FSC-klagomål.docx", "A 23091-2024")</f>
        <v/>
      </c>
      <c r="W91">
        <f>HYPERLINK("https://klasma.github.io/Logging_1737/klagomålsmail/A 23091-2024 FSC-klagomål mail.docx", "A 23091-2024")</f>
        <v/>
      </c>
      <c r="X91">
        <f>HYPERLINK("https://klasma.github.io/Logging_1737/tillsyn/A 23091-2024 tillsynsbegäran.docx", "A 23091-2024")</f>
        <v/>
      </c>
      <c r="Y91">
        <f>HYPERLINK("https://klasma.github.io/Logging_1737/tillsynsmail/A 23091-2024 tillsynsbegäran mail.docx", "A 23091-2024")</f>
        <v/>
      </c>
    </row>
    <row r="92" ht="15" customHeight="1">
      <c r="A92" t="inlineStr">
        <is>
          <t>A 34491-2024</t>
        </is>
      </c>
      <c r="B92" s="1" t="n">
        <v>45525</v>
      </c>
      <c r="C92" s="1" t="n">
        <v>45574</v>
      </c>
      <c r="D92" t="inlineStr">
        <is>
          <t>VÄRMLANDS LÄN</t>
        </is>
      </c>
      <c r="E92" t="inlineStr">
        <is>
          <t>TORSBY</t>
        </is>
      </c>
      <c r="G92" t="n">
        <v>3.1</v>
      </c>
      <c r="H92" t="n">
        <v>0</v>
      </c>
      <c r="I92" t="n">
        <v>0</v>
      </c>
      <c r="J92" t="n">
        <v>2</v>
      </c>
      <c r="K92" t="n">
        <v>0</v>
      </c>
      <c r="L92" t="n">
        <v>0</v>
      </c>
      <c r="M92" t="n">
        <v>0</v>
      </c>
      <c r="N92" t="n">
        <v>0</v>
      </c>
      <c r="O92" t="n">
        <v>2</v>
      </c>
      <c r="P92" t="n">
        <v>0</v>
      </c>
      <c r="Q92" t="n">
        <v>2</v>
      </c>
      <c r="R92" s="2" t="inlineStr">
        <is>
          <t>Garnlav
Vedskivlav</t>
        </is>
      </c>
      <c r="S92">
        <f>HYPERLINK("https://klasma.github.io/Logging_1737/artfynd/A 34491-2024 artfynd.xlsx", "A 34491-2024")</f>
        <v/>
      </c>
      <c r="T92">
        <f>HYPERLINK("https://klasma.github.io/Logging_1737/kartor/A 34491-2024 karta.png", "A 34491-2024")</f>
        <v/>
      </c>
      <c r="V92">
        <f>HYPERLINK("https://klasma.github.io/Logging_1737/klagomål/A 34491-2024 FSC-klagomål.docx", "A 34491-2024")</f>
        <v/>
      </c>
      <c r="W92">
        <f>HYPERLINK("https://klasma.github.io/Logging_1737/klagomålsmail/A 34491-2024 FSC-klagomål mail.docx", "A 34491-2024")</f>
        <v/>
      </c>
      <c r="X92">
        <f>HYPERLINK("https://klasma.github.io/Logging_1737/tillsyn/A 34491-2024 tillsynsbegäran.docx", "A 34491-2024")</f>
        <v/>
      </c>
      <c r="Y92">
        <f>HYPERLINK("https://klasma.github.io/Logging_1737/tillsynsmail/A 34491-2024 tillsynsbegäran mail.docx", "A 34491-2024")</f>
        <v/>
      </c>
    </row>
    <row r="93" ht="15" customHeight="1">
      <c r="A93" t="inlineStr">
        <is>
          <t>A 37351-2024</t>
        </is>
      </c>
      <c r="B93" s="1" t="n">
        <v>45540</v>
      </c>
      <c r="C93" s="1" t="n">
        <v>45574</v>
      </c>
      <c r="D93" t="inlineStr">
        <is>
          <t>VÄRMLANDS LÄN</t>
        </is>
      </c>
      <c r="E93" t="inlineStr">
        <is>
          <t>TORSBY</t>
        </is>
      </c>
      <c r="F93" t="inlineStr">
        <is>
          <t>Bergvik skog väst AB</t>
        </is>
      </c>
      <c r="G93" t="n">
        <v>22.7</v>
      </c>
      <c r="H93" t="n">
        <v>1</v>
      </c>
      <c r="I93" t="n">
        <v>0</v>
      </c>
      <c r="J93" t="n">
        <v>2</v>
      </c>
      <c r="K93" t="n">
        <v>0</v>
      </c>
      <c r="L93" t="n">
        <v>0</v>
      </c>
      <c r="M93" t="n">
        <v>0</v>
      </c>
      <c r="N93" t="n">
        <v>0</v>
      </c>
      <c r="O93" t="n">
        <v>2</v>
      </c>
      <c r="P93" t="n">
        <v>0</v>
      </c>
      <c r="Q93" t="n">
        <v>2</v>
      </c>
      <c r="R93" s="2" t="inlineStr">
        <is>
          <t>Motaggsvamp
Talltita</t>
        </is>
      </c>
      <c r="S93">
        <f>HYPERLINK("https://klasma.github.io/Logging_1737/artfynd/A 37351-2024 artfynd.xlsx", "A 37351-2024")</f>
        <v/>
      </c>
      <c r="T93">
        <f>HYPERLINK("https://klasma.github.io/Logging_1737/kartor/A 37351-2024 karta.png", "A 37351-2024")</f>
        <v/>
      </c>
      <c r="V93">
        <f>HYPERLINK("https://klasma.github.io/Logging_1737/klagomål/A 37351-2024 FSC-klagomål.docx", "A 37351-2024")</f>
        <v/>
      </c>
      <c r="W93">
        <f>HYPERLINK("https://klasma.github.io/Logging_1737/klagomålsmail/A 37351-2024 FSC-klagomål mail.docx", "A 37351-2024")</f>
        <v/>
      </c>
      <c r="X93">
        <f>HYPERLINK("https://klasma.github.io/Logging_1737/tillsyn/A 37351-2024 tillsynsbegäran.docx", "A 37351-2024")</f>
        <v/>
      </c>
      <c r="Y93">
        <f>HYPERLINK("https://klasma.github.io/Logging_1737/tillsynsmail/A 37351-2024 tillsynsbegäran mail.docx", "A 37351-2024")</f>
        <v/>
      </c>
      <c r="Z93">
        <f>HYPERLINK("https://klasma.github.io/Logging_1737/fåglar/A 37351-2024 prioriterade fågelarter.docx", "A 37351-2024")</f>
        <v/>
      </c>
    </row>
    <row r="94" ht="15" customHeight="1">
      <c r="A94" t="inlineStr">
        <is>
          <t>A 37936-2024</t>
        </is>
      </c>
      <c r="B94" s="1" t="n">
        <v>45544</v>
      </c>
      <c r="C94" s="1" t="n">
        <v>45574</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Dvärgbägarlav
Vedflamlav</t>
        </is>
      </c>
      <c r="S94">
        <f>HYPERLINK("https://klasma.github.io/Logging_1737/artfynd/A 37936-2024 artfynd.xlsx", "A 37936-2024")</f>
        <v/>
      </c>
      <c r="T94">
        <f>HYPERLINK("https://klasma.github.io/Logging_1737/kartor/A 37936-2024 karta.png", "A 37936-2024")</f>
        <v/>
      </c>
      <c r="V94">
        <f>HYPERLINK("https://klasma.github.io/Logging_1737/klagomål/A 37936-2024 FSC-klagomål.docx", "A 37936-2024")</f>
        <v/>
      </c>
      <c r="W94">
        <f>HYPERLINK("https://klasma.github.io/Logging_1737/klagomålsmail/A 37936-2024 FSC-klagomål mail.docx", "A 37936-2024")</f>
        <v/>
      </c>
      <c r="X94">
        <f>HYPERLINK("https://klasma.github.io/Logging_1737/tillsyn/A 37936-2024 tillsynsbegäran.docx", "A 37936-2024")</f>
        <v/>
      </c>
      <c r="Y94">
        <f>HYPERLINK("https://klasma.github.io/Logging_1737/tillsynsmail/A 37936-2024 tillsynsbegäran mail.docx", "A 37936-2024")</f>
        <v/>
      </c>
    </row>
    <row r="95" ht="15" customHeight="1">
      <c r="A95" t="inlineStr">
        <is>
          <t>A 18499-2019</t>
        </is>
      </c>
      <c r="B95" s="1" t="n">
        <v>43559</v>
      </c>
      <c r="C95" s="1" t="n">
        <v>45574</v>
      </c>
      <c r="D95" t="inlineStr">
        <is>
          <t>VÄRMLANDS LÄN</t>
        </is>
      </c>
      <c r="E95" t="inlineStr">
        <is>
          <t>TORSBY</t>
        </is>
      </c>
      <c r="G95" t="n">
        <v>4.8</v>
      </c>
      <c r="H95" t="n">
        <v>0</v>
      </c>
      <c r="I95" t="n">
        <v>0</v>
      </c>
      <c r="J95" t="n">
        <v>0</v>
      </c>
      <c r="K95" t="n">
        <v>1</v>
      </c>
      <c r="L95" t="n">
        <v>0</v>
      </c>
      <c r="M95" t="n">
        <v>0</v>
      </c>
      <c r="N95" t="n">
        <v>0</v>
      </c>
      <c r="O95" t="n">
        <v>1</v>
      </c>
      <c r="P95" t="n">
        <v>1</v>
      </c>
      <c r="Q95" t="n">
        <v>1</v>
      </c>
      <c r="R95" s="2" t="inlineStr">
        <is>
          <t>Raggbock</t>
        </is>
      </c>
      <c r="S95">
        <f>HYPERLINK("https://klasma.github.io/Logging_1737/artfynd/A 18499-2019 artfynd.xlsx", "A 18499-2019")</f>
        <v/>
      </c>
      <c r="T95">
        <f>HYPERLINK("https://klasma.github.io/Logging_1737/kartor/A 18499-2019 karta.png", "A 18499-2019")</f>
        <v/>
      </c>
      <c r="V95">
        <f>HYPERLINK("https://klasma.github.io/Logging_1737/klagomål/A 18499-2019 FSC-klagomål.docx", "A 18499-2019")</f>
        <v/>
      </c>
      <c r="W95">
        <f>HYPERLINK("https://klasma.github.io/Logging_1737/klagomålsmail/A 18499-2019 FSC-klagomål mail.docx", "A 18499-2019")</f>
        <v/>
      </c>
      <c r="X95">
        <f>HYPERLINK("https://klasma.github.io/Logging_1737/tillsyn/A 18499-2019 tillsynsbegäran.docx", "A 18499-2019")</f>
        <v/>
      </c>
      <c r="Y95">
        <f>HYPERLINK("https://klasma.github.io/Logging_1737/tillsynsmail/A 18499-2019 tillsynsbegäran mail.docx", "A 18499-2019")</f>
        <v/>
      </c>
    </row>
    <row r="96" ht="15" customHeight="1">
      <c r="A96" t="inlineStr">
        <is>
          <t>A 31848-2019</t>
        </is>
      </c>
      <c r="B96" s="1" t="n">
        <v>43642</v>
      </c>
      <c r="C96" s="1" t="n">
        <v>45574</v>
      </c>
      <c r="D96" t="inlineStr">
        <is>
          <t>VÄRMLANDS LÄN</t>
        </is>
      </c>
      <c r="E96" t="inlineStr">
        <is>
          <t>TORSBY</t>
        </is>
      </c>
      <c r="G96" t="n">
        <v>6.1</v>
      </c>
      <c r="H96" t="n">
        <v>1</v>
      </c>
      <c r="I96" t="n">
        <v>0</v>
      </c>
      <c r="J96" t="n">
        <v>0</v>
      </c>
      <c r="K96" t="n">
        <v>1</v>
      </c>
      <c r="L96" t="n">
        <v>0</v>
      </c>
      <c r="M96" t="n">
        <v>0</v>
      </c>
      <c r="N96" t="n">
        <v>0</v>
      </c>
      <c r="O96" t="n">
        <v>1</v>
      </c>
      <c r="P96" t="n">
        <v>1</v>
      </c>
      <c r="Q96" t="n">
        <v>1</v>
      </c>
      <c r="R96" s="2" t="inlineStr">
        <is>
          <t>Knärot</t>
        </is>
      </c>
      <c r="S96">
        <f>HYPERLINK("https://klasma.github.io/Logging_1737/artfynd/A 31848-2019 artfynd.xlsx", "A 31848-2019")</f>
        <v/>
      </c>
      <c r="T96">
        <f>HYPERLINK("https://klasma.github.io/Logging_1737/kartor/A 31848-2019 karta.png", "A 31848-2019")</f>
        <v/>
      </c>
      <c r="U96">
        <f>HYPERLINK("https://klasma.github.io/Logging_1737/knärot/A 31848-2019 karta knärot.png", "A 31848-2019")</f>
        <v/>
      </c>
      <c r="V96">
        <f>HYPERLINK("https://klasma.github.io/Logging_1737/klagomål/A 31848-2019 FSC-klagomål.docx", "A 31848-2019")</f>
        <v/>
      </c>
      <c r="W96">
        <f>HYPERLINK("https://klasma.github.io/Logging_1737/klagomålsmail/A 31848-2019 FSC-klagomål mail.docx", "A 31848-2019")</f>
        <v/>
      </c>
      <c r="X96">
        <f>HYPERLINK("https://klasma.github.io/Logging_1737/tillsyn/A 31848-2019 tillsynsbegäran.docx", "A 31848-2019")</f>
        <v/>
      </c>
      <c r="Y96">
        <f>HYPERLINK("https://klasma.github.io/Logging_1737/tillsynsmail/A 31848-2019 tillsynsbegäran mail.docx", "A 31848-2019")</f>
        <v/>
      </c>
    </row>
    <row r="97" ht="15" customHeight="1">
      <c r="A97" t="inlineStr">
        <is>
          <t>A 45844-2019</t>
        </is>
      </c>
      <c r="B97" s="1" t="n">
        <v>43717</v>
      </c>
      <c r="C97" s="1" t="n">
        <v>45574</v>
      </c>
      <c r="D97" t="inlineStr">
        <is>
          <t>VÄRMLANDS LÄN</t>
        </is>
      </c>
      <c r="E97" t="inlineStr">
        <is>
          <t>TORSBY</t>
        </is>
      </c>
      <c r="G97" t="n">
        <v>4.1</v>
      </c>
      <c r="H97" t="n">
        <v>1</v>
      </c>
      <c r="I97" t="n">
        <v>0</v>
      </c>
      <c r="J97" t="n">
        <v>1</v>
      </c>
      <c r="K97" t="n">
        <v>0</v>
      </c>
      <c r="L97" t="n">
        <v>0</v>
      </c>
      <c r="M97" t="n">
        <v>0</v>
      </c>
      <c r="N97" t="n">
        <v>0</v>
      </c>
      <c r="O97" t="n">
        <v>1</v>
      </c>
      <c r="P97" t="n">
        <v>0</v>
      </c>
      <c r="Q97" t="n">
        <v>1</v>
      </c>
      <c r="R97" s="2" t="inlineStr">
        <is>
          <t>Talltita</t>
        </is>
      </c>
      <c r="S97">
        <f>HYPERLINK("https://klasma.github.io/Logging_1737/artfynd/A 45844-2019 artfynd.xlsx", "A 45844-2019")</f>
        <v/>
      </c>
      <c r="T97">
        <f>HYPERLINK("https://klasma.github.io/Logging_1737/kartor/A 45844-2019 karta.png", "A 45844-2019")</f>
        <v/>
      </c>
      <c r="V97">
        <f>HYPERLINK("https://klasma.github.io/Logging_1737/klagomål/A 45844-2019 FSC-klagomål.docx", "A 45844-2019")</f>
        <v/>
      </c>
      <c r="W97">
        <f>HYPERLINK("https://klasma.github.io/Logging_1737/klagomålsmail/A 45844-2019 FSC-klagomål mail.docx", "A 45844-2019")</f>
        <v/>
      </c>
      <c r="X97">
        <f>HYPERLINK("https://klasma.github.io/Logging_1737/tillsyn/A 45844-2019 tillsynsbegäran.docx", "A 45844-2019")</f>
        <v/>
      </c>
      <c r="Y97">
        <f>HYPERLINK("https://klasma.github.io/Logging_1737/tillsynsmail/A 45844-2019 tillsynsbegäran mail.docx", "A 45844-2019")</f>
        <v/>
      </c>
      <c r="Z97">
        <f>HYPERLINK("https://klasma.github.io/Logging_1737/fåglar/A 45844-2019 prioriterade fågelarter.docx", "A 45844-2019")</f>
        <v/>
      </c>
    </row>
    <row r="98" ht="15" customHeight="1">
      <c r="A98" t="inlineStr">
        <is>
          <t>A 47731-2019</t>
        </is>
      </c>
      <c r="B98" s="1" t="n">
        <v>43724</v>
      </c>
      <c r="C98" s="1" t="n">
        <v>45574</v>
      </c>
      <c r="D98" t="inlineStr">
        <is>
          <t>VÄRMLANDS LÄN</t>
        </is>
      </c>
      <c r="E98" t="inlineStr">
        <is>
          <t>TORSBY</t>
        </is>
      </c>
      <c r="G98" t="n">
        <v>3.5</v>
      </c>
      <c r="H98" t="n">
        <v>1</v>
      </c>
      <c r="I98" t="n">
        <v>0</v>
      </c>
      <c r="J98" t="n">
        <v>1</v>
      </c>
      <c r="K98" t="n">
        <v>0</v>
      </c>
      <c r="L98" t="n">
        <v>0</v>
      </c>
      <c r="M98" t="n">
        <v>0</v>
      </c>
      <c r="N98" t="n">
        <v>0</v>
      </c>
      <c r="O98" t="n">
        <v>1</v>
      </c>
      <c r="P98" t="n">
        <v>0</v>
      </c>
      <c r="Q98" t="n">
        <v>1</v>
      </c>
      <c r="R98" s="2" t="inlineStr">
        <is>
          <t>Gulsparv</t>
        </is>
      </c>
      <c r="S98">
        <f>HYPERLINK("https://klasma.github.io/Logging_1737/artfynd/A 47731-2019 artfynd.xlsx", "A 47731-2019")</f>
        <v/>
      </c>
      <c r="T98">
        <f>HYPERLINK("https://klasma.github.io/Logging_1737/kartor/A 47731-2019 karta.png", "A 47731-2019")</f>
        <v/>
      </c>
      <c r="V98">
        <f>HYPERLINK("https://klasma.github.io/Logging_1737/klagomål/A 47731-2019 FSC-klagomål.docx", "A 47731-2019")</f>
        <v/>
      </c>
      <c r="W98">
        <f>HYPERLINK("https://klasma.github.io/Logging_1737/klagomålsmail/A 47731-2019 FSC-klagomål mail.docx", "A 47731-2019")</f>
        <v/>
      </c>
      <c r="X98">
        <f>HYPERLINK("https://klasma.github.io/Logging_1737/tillsyn/A 47731-2019 tillsynsbegäran.docx", "A 47731-2019")</f>
        <v/>
      </c>
      <c r="Y98">
        <f>HYPERLINK("https://klasma.github.io/Logging_1737/tillsynsmail/A 47731-2019 tillsynsbegäran mail.docx", "A 47731-2019")</f>
        <v/>
      </c>
      <c r="Z98">
        <f>HYPERLINK("https://klasma.github.io/Logging_1737/fåglar/A 47731-2019 prioriterade fågelarter.docx", "A 47731-2019")</f>
        <v/>
      </c>
    </row>
    <row r="99" ht="15" customHeight="1">
      <c r="A99" t="inlineStr">
        <is>
          <t>A 53924-2019</t>
        </is>
      </c>
      <c r="B99" s="1" t="n">
        <v>43742</v>
      </c>
      <c r="C99" s="1" t="n">
        <v>45574</v>
      </c>
      <c r="D99" t="inlineStr">
        <is>
          <t>VÄRMLANDS LÄN</t>
        </is>
      </c>
      <c r="E99" t="inlineStr">
        <is>
          <t>TORSBY</t>
        </is>
      </c>
      <c r="G99" t="n">
        <v>7.1</v>
      </c>
      <c r="H99" t="n">
        <v>1</v>
      </c>
      <c r="I99" t="n">
        <v>0</v>
      </c>
      <c r="J99" t="n">
        <v>0</v>
      </c>
      <c r="K99" t="n">
        <v>0</v>
      </c>
      <c r="L99" t="n">
        <v>0</v>
      </c>
      <c r="M99" t="n">
        <v>0</v>
      </c>
      <c r="N99" t="n">
        <v>0</v>
      </c>
      <c r="O99" t="n">
        <v>0</v>
      </c>
      <c r="P99" t="n">
        <v>0</v>
      </c>
      <c r="Q99" t="n">
        <v>1</v>
      </c>
      <c r="R99" s="2" t="inlineStr">
        <is>
          <t>Fläcknycklar</t>
        </is>
      </c>
      <c r="S99">
        <f>HYPERLINK("https://klasma.github.io/Logging_1737/artfynd/A 53924-2019 artfynd.xlsx", "A 53924-2019")</f>
        <v/>
      </c>
      <c r="T99">
        <f>HYPERLINK("https://klasma.github.io/Logging_1737/kartor/A 53924-2019 karta.png", "A 53924-2019")</f>
        <v/>
      </c>
      <c r="V99">
        <f>HYPERLINK("https://klasma.github.io/Logging_1737/klagomål/A 53924-2019 FSC-klagomål.docx", "A 53924-2019")</f>
        <v/>
      </c>
      <c r="W99">
        <f>HYPERLINK("https://klasma.github.io/Logging_1737/klagomålsmail/A 53924-2019 FSC-klagomål mail.docx", "A 53924-2019")</f>
        <v/>
      </c>
      <c r="X99">
        <f>HYPERLINK("https://klasma.github.io/Logging_1737/tillsyn/A 53924-2019 tillsynsbegäran.docx", "A 53924-2019")</f>
        <v/>
      </c>
      <c r="Y99">
        <f>HYPERLINK("https://klasma.github.io/Logging_1737/tillsynsmail/A 53924-2019 tillsynsbegäran mail.docx", "A 53924-2019")</f>
        <v/>
      </c>
    </row>
    <row r="100" ht="15" customHeight="1">
      <c r="A100" t="inlineStr">
        <is>
          <t>A 63767-2019</t>
        </is>
      </c>
      <c r="B100" s="1" t="n">
        <v>43795</v>
      </c>
      <c r="C100" s="1" t="n">
        <v>45574</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Garnlav</t>
        </is>
      </c>
      <c r="S100">
        <f>HYPERLINK("https://klasma.github.io/Logging_1737/artfynd/A 63767-2019 artfynd.xlsx", "A 63767-2019")</f>
        <v/>
      </c>
      <c r="T100">
        <f>HYPERLINK("https://klasma.github.io/Logging_1737/kartor/A 63767-2019 karta.png", "A 63767-2019")</f>
        <v/>
      </c>
      <c r="V100">
        <f>HYPERLINK("https://klasma.github.io/Logging_1737/klagomål/A 63767-2019 FSC-klagomål.docx", "A 63767-2019")</f>
        <v/>
      </c>
      <c r="W100">
        <f>HYPERLINK("https://klasma.github.io/Logging_1737/klagomålsmail/A 63767-2019 FSC-klagomål mail.docx", "A 63767-2019")</f>
        <v/>
      </c>
      <c r="X100">
        <f>HYPERLINK("https://klasma.github.io/Logging_1737/tillsyn/A 63767-2019 tillsynsbegäran.docx", "A 63767-2019")</f>
        <v/>
      </c>
      <c r="Y100">
        <f>HYPERLINK("https://klasma.github.io/Logging_1737/tillsynsmail/A 63767-2019 tillsynsbegäran mail.docx", "A 63767-2019")</f>
        <v/>
      </c>
    </row>
    <row r="101" ht="15" customHeight="1">
      <c r="A101" t="inlineStr">
        <is>
          <t>A 65129-2019</t>
        </is>
      </c>
      <c r="B101" s="1" t="n">
        <v>43802</v>
      </c>
      <c r="C101" s="1" t="n">
        <v>45574</v>
      </c>
      <c r="D101" t="inlineStr">
        <is>
          <t>VÄRMLANDS LÄN</t>
        </is>
      </c>
      <c r="E101" t="inlineStr">
        <is>
          <t>TORSBY</t>
        </is>
      </c>
      <c r="G101" t="n">
        <v>3.3</v>
      </c>
      <c r="H101" t="n">
        <v>0</v>
      </c>
      <c r="I101" t="n">
        <v>0</v>
      </c>
      <c r="J101" t="n">
        <v>1</v>
      </c>
      <c r="K101" t="n">
        <v>0</v>
      </c>
      <c r="L101" t="n">
        <v>0</v>
      </c>
      <c r="M101" t="n">
        <v>0</v>
      </c>
      <c r="N101" t="n">
        <v>0</v>
      </c>
      <c r="O101" t="n">
        <v>1</v>
      </c>
      <c r="P101" t="n">
        <v>0</v>
      </c>
      <c r="Q101" t="n">
        <v>1</v>
      </c>
      <c r="R101" s="2" t="inlineStr">
        <is>
          <t>Garnlav</t>
        </is>
      </c>
      <c r="S101">
        <f>HYPERLINK("https://klasma.github.io/Logging_1737/artfynd/A 65129-2019 artfynd.xlsx", "A 65129-2019")</f>
        <v/>
      </c>
      <c r="T101">
        <f>HYPERLINK("https://klasma.github.io/Logging_1737/kartor/A 65129-2019 karta.png", "A 65129-2019")</f>
        <v/>
      </c>
      <c r="V101">
        <f>HYPERLINK("https://klasma.github.io/Logging_1737/klagomål/A 65129-2019 FSC-klagomål.docx", "A 65129-2019")</f>
        <v/>
      </c>
      <c r="W101">
        <f>HYPERLINK("https://klasma.github.io/Logging_1737/klagomålsmail/A 65129-2019 FSC-klagomål mail.docx", "A 65129-2019")</f>
        <v/>
      </c>
      <c r="X101">
        <f>HYPERLINK("https://klasma.github.io/Logging_1737/tillsyn/A 65129-2019 tillsynsbegäran.docx", "A 65129-2019")</f>
        <v/>
      </c>
      <c r="Y101">
        <f>HYPERLINK("https://klasma.github.io/Logging_1737/tillsynsmail/A 65129-2019 tillsynsbegäran mail.docx", "A 65129-2019")</f>
        <v/>
      </c>
    </row>
    <row r="102" ht="15" customHeight="1">
      <c r="A102" t="inlineStr">
        <is>
          <t>A 37035-2020</t>
        </is>
      </c>
      <c r="B102" s="1" t="n">
        <v>44054</v>
      </c>
      <c r="C102" s="1" t="n">
        <v>45574</v>
      </c>
      <c r="D102" t="inlineStr">
        <is>
          <t>VÄRMLANDS LÄN</t>
        </is>
      </c>
      <c r="E102" t="inlineStr">
        <is>
          <t>TORSBY</t>
        </is>
      </c>
      <c r="G102" t="n">
        <v>2.7</v>
      </c>
      <c r="H102" t="n">
        <v>0</v>
      </c>
      <c r="I102" t="n">
        <v>0</v>
      </c>
      <c r="J102" t="n">
        <v>0</v>
      </c>
      <c r="K102" t="n">
        <v>1</v>
      </c>
      <c r="L102" t="n">
        <v>0</v>
      </c>
      <c r="M102" t="n">
        <v>0</v>
      </c>
      <c r="N102" t="n">
        <v>0</v>
      </c>
      <c r="O102" t="n">
        <v>1</v>
      </c>
      <c r="P102" t="n">
        <v>1</v>
      </c>
      <c r="Q102" t="n">
        <v>1</v>
      </c>
      <c r="R102" s="2" t="inlineStr">
        <is>
          <t>Raggbock</t>
        </is>
      </c>
      <c r="S102">
        <f>HYPERLINK("https://klasma.github.io/Logging_1737/artfynd/A 37035-2020 artfynd.xlsx", "A 37035-2020")</f>
        <v/>
      </c>
      <c r="T102">
        <f>HYPERLINK("https://klasma.github.io/Logging_1737/kartor/A 37035-2020 karta.png", "A 37035-2020")</f>
        <v/>
      </c>
      <c r="V102">
        <f>HYPERLINK("https://klasma.github.io/Logging_1737/klagomål/A 37035-2020 FSC-klagomål.docx", "A 37035-2020")</f>
        <v/>
      </c>
      <c r="W102">
        <f>HYPERLINK("https://klasma.github.io/Logging_1737/klagomålsmail/A 37035-2020 FSC-klagomål mail.docx", "A 37035-2020")</f>
        <v/>
      </c>
      <c r="X102">
        <f>HYPERLINK("https://klasma.github.io/Logging_1737/tillsyn/A 37035-2020 tillsynsbegäran.docx", "A 37035-2020")</f>
        <v/>
      </c>
      <c r="Y102">
        <f>HYPERLINK("https://klasma.github.io/Logging_1737/tillsynsmail/A 37035-2020 tillsynsbegäran mail.docx", "A 37035-2020")</f>
        <v/>
      </c>
    </row>
    <row r="103" ht="15" customHeight="1">
      <c r="A103" t="inlineStr">
        <is>
          <t>A 50854-2020</t>
        </is>
      </c>
      <c r="B103" s="1" t="n">
        <v>44105</v>
      </c>
      <c r="C103" s="1" t="n">
        <v>45574</v>
      </c>
      <c r="D103" t="inlineStr">
        <is>
          <t>VÄRMLANDS LÄN</t>
        </is>
      </c>
      <c r="E103" t="inlineStr">
        <is>
          <t>TORSBY</t>
        </is>
      </c>
      <c r="G103" t="n">
        <v>6.5</v>
      </c>
      <c r="H103" t="n">
        <v>1</v>
      </c>
      <c r="I103" t="n">
        <v>0</v>
      </c>
      <c r="J103" t="n">
        <v>0</v>
      </c>
      <c r="K103" t="n">
        <v>1</v>
      </c>
      <c r="L103" t="n">
        <v>0</v>
      </c>
      <c r="M103" t="n">
        <v>0</v>
      </c>
      <c r="N103" t="n">
        <v>0</v>
      </c>
      <c r="O103" t="n">
        <v>1</v>
      </c>
      <c r="P103" t="n">
        <v>1</v>
      </c>
      <c r="Q103" t="n">
        <v>1</v>
      </c>
      <c r="R103" s="2" t="inlineStr">
        <is>
          <t>Knärot</t>
        </is>
      </c>
      <c r="S103">
        <f>HYPERLINK("https://klasma.github.io/Logging_1737/artfynd/A 50854-2020 artfynd.xlsx", "A 50854-2020")</f>
        <v/>
      </c>
      <c r="T103">
        <f>HYPERLINK("https://klasma.github.io/Logging_1737/kartor/A 50854-2020 karta.png", "A 50854-2020")</f>
        <v/>
      </c>
      <c r="U103">
        <f>HYPERLINK("https://klasma.github.io/Logging_1737/knärot/A 50854-2020 karta knärot.png", "A 50854-2020")</f>
        <v/>
      </c>
      <c r="V103">
        <f>HYPERLINK("https://klasma.github.io/Logging_1737/klagomål/A 50854-2020 FSC-klagomål.docx", "A 50854-2020")</f>
        <v/>
      </c>
      <c r="W103">
        <f>HYPERLINK("https://klasma.github.io/Logging_1737/klagomålsmail/A 50854-2020 FSC-klagomål mail.docx", "A 50854-2020")</f>
        <v/>
      </c>
      <c r="X103">
        <f>HYPERLINK("https://klasma.github.io/Logging_1737/tillsyn/A 50854-2020 tillsynsbegäran.docx", "A 50854-2020")</f>
        <v/>
      </c>
      <c r="Y103">
        <f>HYPERLINK("https://klasma.github.io/Logging_1737/tillsynsmail/A 50854-2020 tillsynsbegäran mail.docx", "A 50854-2020")</f>
        <v/>
      </c>
    </row>
    <row r="104" ht="15" customHeight="1">
      <c r="A104" t="inlineStr">
        <is>
          <t>A 50089-2020</t>
        </is>
      </c>
      <c r="B104" s="1" t="n">
        <v>44109</v>
      </c>
      <c r="C104" s="1" t="n">
        <v>45574</v>
      </c>
      <c r="D104" t="inlineStr">
        <is>
          <t>VÄRMLANDS LÄN</t>
        </is>
      </c>
      <c r="E104" t="inlineStr">
        <is>
          <t>TORSBY</t>
        </is>
      </c>
      <c r="G104" t="n">
        <v>0.9</v>
      </c>
      <c r="H104" t="n">
        <v>1</v>
      </c>
      <c r="I104" t="n">
        <v>0</v>
      </c>
      <c r="J104" t="n">
        <v>1</v>
      </c>
      <c r="K104" t="n">
        <v>0</v>
      </c>
      <c r="L104" t="n">
        <v>0</v>
      </c>
      <c r="M104" t="n">
        <v>0</v>
      </c>
      <c r="N104" t="n">
        <v>0</v>
      </c>
      <c r="O104" t="n">
        <v>1</v>
      </c>
      <c r="P104" t="n">
        <v>0</v>
      </c>
      <c r="Q104" t="n">
        <v>1</v>
      </c>
      <c r="R104" s="2" t="inlineStr">
        <is>
          <t>Spillkråka</t>
        </is>
      </c>
      <c r="S104">
        <f>HYPERLINK("https://klasma.github.io/Logging_1737/artfynd/A 50089-2020 artfynd.xlsx", "A 50089-2020")</f>
        <v/>
      </c>
      <c r="T104">
        <f>HYPERLINK("https://klasma.github.io/Logging_1737/kartor/A 50089-2020 karta.png", "A 50089-2020")</f>
        <v/>
      </c>
      <c r="V104">
        <f>HYPERLINK("https://klasma.github.io/Logging_1737/klagomål/A 50089-2020 FSC-klagomål.docx", "A 50089-2020")</f>
        <v/>
      </c>
      <c r="W104">
        <f>HYPERLINK("https://klasma.github.io/Logging_1737/klagomålsmail/A 50089-2020 FSC-klagomål mail.docx", "A 50089-2020")</f>
        <v/>
      </c>
      <c r="X104">
        <f>HYPERLINK("https://klasma.github.io/Logging_1737/tillsyn/A 50089-2020 tillsynsbegäran.docx", "A 50089-2020")</f>
        <v/>
      </c>
      <c r="Y104">
        <f>HYPERLINK("https://klasma.github.io/Logging_1737/tillsynsmail/A 50089-2020 tillsynsbegäran mail.docx", "A 50089-2020")</f>
        <v/>
      </c>
      <c r="Z104">
        <f>HYPERLINK("https://klasma.github.io/Logging_1737/fåglar/A 50089-2020 prioriterade fågelarter.docx", "A 50089-2020")</f>
        <v/>
      </c>
    </row>
    <row r="105" ht="15" customHeight="1">
      <c r="A105" t="inlineStr">
        <is>
          <t>A 53491-2020</t>
        </is>
      </c>
      <c r="B105" s="1" t="n">
        <v>44123</v>
      </c>
      <c r="C105" s="1" t="n">
        <v>45574</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53491-2020 artfynd.xlsx", "A 53491-2020")</f>
        <v/>
      </c>
      <c r="T105">
        <f>HYPERLINK("https://klasma.github.io/Logging_1737/kartor/A 53491-2020 karta.png", "A 53491-2020")</f>
        <v/>
      </c>
      <c r="V105">
        <f>HYPERLINK("https://klasma.github.io/Logging_1737/klagomål/A 53491-2020 FSC-klagomål.docx", "A 53491-2020")</f>
        <v/>
      </c>
      <c r="W105">
        <f>HYPERLINK("https://klasma.github.io/Logging_1737/klagomålsmail/A 53491-2020 FSC-klagomål mail.docx", "A 53491-2020")</f>
        <v/>
      </c>
      <c r="X105">
        <f>HYPERLINK("https://klasma.github.io/Logging_1737/tillsyn/A 53491-2020 tillsynsbegäran.docx", "A 53491-2020")</f>
        <v/>
      </c>
      <c r="Y105">
        <f>HYPERLINK("https://klasma.github.io/Logging_1737/tillsynsmail/A 53491-2020 tillsynsbegäran mail.docx", "A 53491-2020")</f>
        <v/>
      </c>
    </row>
    <row r="106" ht="15" customHeight="1">
      <c r="A106" t="inlineStr">
        <is>
          <t>A 8747-2021</t>
        </is>
      </c>
      <c r="B106" s="1" t="n">
        <v>44246</v>
      </c>
      <c r="C106" s="1" t="n">
        <v>45574</v>
      </c>
      <c r="D106" t="inlineStr">
        <is>
          <t>VÄRMLANDS LÄN</t>
        </is>
      </c>
      <c r="E106" t="inlineStr">
        <is>
          <t>TORSBY</t>
        </is>
      </c>
      <c r="G106" t="n">
        <v>8.5</v>
      </c>
      <c r="H106" t="n">
        <v>0</v>
      </c>
      <c r="I106" t="n">
        <v>0</v>
      </c>
      <c r="J106" t="n">
        <v>1</v>
      </c>
      <c r="K106" t="n">
        <v>0</v>
      </c>
      <c r="L106" t="n">
        <v>0</v>
      </c>
      <c r="M106" t="n">
        <v>0</v>
      </c>
      <c r="N106" t="n">
        <v>0</v>
      </c>
      <c r="O106" t="n">
        <v>1</v>
      </c>
      <c r="P106" t="n">
        <v>0</v>
      </c>
      <c r="Q106" t="n">
        <v>1</v>
      </c>
      <c r="R106" s="2" t="inlineStr">
        <is>
          <t>Garnlav</t>
        </is>
      </c>
      <c r="S106">
        <f>HYPERLINK("https://klasma.github.io/Logging_1737/artfynd/A 8747-2021 artfynd.xlsx", "A 8747-2021")</f>
        <v/>
      </c>
      <c r="T106">
        <f>HYPERLINK("https://klasma.github.io/Logging_1737/kartor/A 8747-2021 karta.png", "A 8747-2021")</f>
        <v/>
      </c>
      <c r="V106">
        <f>HYPERLINK("https://klasma.github.io/Logging_1737/klagomål/A 8747-2021 FSC-klagomål.docx", "A 8747-2021")</f>
        <v/>
      </c>
      <c r="W106">
        <f>HYPERLINK("https://klasma.github.io/Logging_1737/klagomålsmail/A 8747-2021 FSC-klagomål mail.docx", "A 8747-2021")</f>
        <v/>
      </c>
      <c r="X106">
        <f>HYPERLINK("https://klasma.github.io/Logging_1737/tillsyn/A 8747-2021 tillsynsbegäran.docx", "A 8747-2021")</f>
        <v/>
      </c>
      <c r="Y106">
        <f>HYPERLINK("https://klasma.github.io/Logging_1737/tillsynsmail/A 8747-2021 tillsynsbegäran mail.docx", "A 8747-2021")</f>
        <v/>
      </c>
    </row>
    <row r="107" ht="15" customHeight="1">
      <c r="A107" t="inlineStr">
        <is>
          <t>A 24042-2021</t>
        </is>
      </c>
      <c r="B107" s="1" t="n">
        <v>44336</v>
      </c>
      <c r="C107" s="1" t="n">
        <v>45574</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34876-2021</t>
        </is>
      </c>
      <c r="B108" s="1" t="n">
        <v>44383</v>
      </c>
      <c r="C108" s="1" t="n">
        <v>45574</v>
      </c>
      <c r="D108" t="inlineStr">
        <is>
          <t>VÄRMLANDS LÄN</t>
        </is>
      </c>
      <c r="E108" t="inlineStr">
        <is>
          <t>TORSBY</t>
        </is>
      </c>
      <c r="G108" t="n">
        <v>4.7</v>
      </c>
      <c r="H108" t="n">
        <v>0</v>
      </c>
      <c r="I108" t="n">
        <v>0</v>
      </c>
      <c r="J108" t="n">
        <v>1</v>
      </c>
      <c r="K108" t="n">
        <v>0</v>
      </c>
      <c r="L108" t="n">
        <v>0</v>
      </c>
      <c r="M108" t="n">
        <v>0</v>
      </c>
      <c r="N108" t="n">
        <v>0</v>
      </c>
      <c r="O108" t="n">
        <v>1</v>
      </c>
      <c r="P108" t="n">
        <v>0</v>
      </c>
      <c r="Q108" t="n">
        <v>1</v>
      </c>
      <c r="R108" s="2" t="inlineStr">
        <is>
          <t>Doftskinn</t>
        </is>
      </c>
      <c r="S108">
        <f>HYPERLINK("https://klasma.github.io/Logging_1737/artfynd/A 34876-2021 artfynd.xlsx", "A 34876-2021")</f>
        <v/>
      </c>
      <c r="T108">
        <f>HYPERLINK("https://klasma.github.io/Logging_1737/kartor/A 34876-2021 karta.png", "A 34876-2021")</f>
        <v/>
      </c>
      <c r="V108">
        <f>HYPERLINK("https://klasma.github.io/Logging_1737/klagomål/A 34876-2021 FSC-klagomål.docx", "A 34876-2021")</f>
        <v/>
      </c>
      <c r="W108">
        <f>HYPERLINK("https://klasma.github.io/Logging_1737/klagomålsmail/A 34876-2021 FSC-klagomål mail.docx", "A 34876-2021")</f>
        <v/>
      </c>
      <c r="X108">
        <f>HYPERLINK("https://klasma.github.io/Logging_1737/tillsyn/A 34876-2021 tillsynsbegäran.docx", "A 34876-2021")</f>
        <v/>
      </c>
      <c r="Y108">
        <f>HYPERLINK("https://klasma.github.io/Logging_1737/tillsynsmail/A 34876-2021 tillsynsbegäran mail.docx", "A 34876-2021")</f>
        <v/>
      </c>
    </row>
    <row r="109" ht="15" customHeight="1">
      <c r="A109" t="inlineStr">
        <is>
          <t>A 34853-2021</t>
        </is>
      </c>
      <c r="B109" s="1" t="n">
        <v>44383</v>
      </c>
      <c r="C109" s="1" t="n">
        <v>45574</v>
      </c>
      <c r="D109" t="inlineStr">
        <is>
          <t>VÄRMLANDS LÄN</t>
        </is>
      </c>
      <c r="E109" t="inlineStr">
        <is>
          <t>TORSBY</t>
        </is>
      </c>
      <c r="G109" t="n">
        <v>14.8</v>
      </c>
      <c r="H109" t="n">
        <v>1</v>
      </c>
      <c r="I109" t="n">
        <v>0</v>
      </c>
      <c r="J109" t="n">
        <v>1</v>
      </c>
      <c r="K109" t="n">
        <v>0</v>
      </c>
      <c r="L109" t="n">
        <v>0</v>
      </c>
      <c r="M109" t="n">
        <v>0</v>
      </c>
      <c r="N109" t="n">
        <v>0</v>
      </c>
      <c r="O109" t="n">
        <v>1</v>
      </c>
      <c r="P109" t="n">
        <v>0</v>
      </c>
      <c r="Q109" t="n">
        <v>1</v>
      </c>
      <c r="R109" s="2" t="inlineStr">
        <is>
          <t>Talltita</t>
        </is>
      </c>
      <c r="S109">
        <f>HYPERLINK("https://klasma.github.io/Logging_1737/artfynd/A 34853-2021 artfynd.xlsx", "A 34853-2021")</f>
        <v/>
      </c>
      <c r="T109">
        <f>HYPERLINK("https://klasma.github.io/Logging_1737/kartor/A 34853-2021 karta.png", "A 34853-2021")</f>
        <v/>
      </c>
      <c r="V109">
        <f>HYPERLINK("https://klasma.github.io/Logging_1737/klagomål/A 34853-2021 FSC-klagomål.docx", "A 34853-2021")</f>
        <v/>
      </c>
      <c r="W109">
        <f>HYPERLINK("https://klasma.github.io/Logging_1737/klagomålsmail/A 34853-2021 FSC-klagomål mail.docx", "A 34853-2021")</f>
        <v/>
      </c>
      <c r="X109">
        <f>HYPERLINK("https://klasma.github.io/Logging_1737/tillsyn/A 34853-2021 tillsynsbegäran.docx", "A 34853-2021")</f>
        <v/>
      </c>
      <c r="Y109">
        <f>HYPERLINK("https://klasma.github.io/Logging_1737/tillsynsmail/A 34853-2021 tillsynsbegäran mail.docx", "A 34853-2021")</f>
        <v/>
      </c>
      <c r="Z109">
        <f>HYPERLINK("https://klasma.github.io/Logging_1737/fåglar/A 34853-2021 prioriterade fågelarter.docx", "A 34853-2021")</f>
        <v/>
      </c>
    </row>
    <row r="110" ht="15" customHeight="1">
      <c r="A110" t="inlineStr">
        <is>
          <t>A 40265-2021</t>
        </is>
      </c>
      <c r="B110" s="1" t="n">
        <v>44419</v>
      </c>
      <c r="C110" s="1" t="n">
        <v>45574</v>
      </c>
      <c r="D110" t="inlineStr">
        <is>
          <t>VÄRMLANDS LÄN</t>
        </is>
      </c>
      <c r="E110" t="inlineStr">
        <is>
          <t>TORSBY</t>
        </is>
      </c>
      <c r="F110" t="inlineStr">
        <is>
          <t>Bergvik skog väst AB</t>
        </is>
      </c>
      <c r="G110" t="n">
        <v>5.7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40265-2021 artfynd.xlsx", "A 40265-2021")</f>
        <v/>
      </c>
      <c r="T110">
        <f>HYPERLINK("https://klasma.github.io/Logging_1737/kartor/A 40265-2021 karta.png", "A 40265-2021")</f>
        <v/>
      </c>
      <c r="V110">
        <f>HYPERLINK("https://klasma.github.io/Logging_1737/klagomål/A 40265-2021 FSC-klagomål.docx", "A 40265-2021")</f>
        <v/>
      </c>
      <c r="W110">
        <f>HYPERLINK("https://klasma.github.io/Logging_1737/klagomålsmail/A 40265-2021 FSC-klagomål mail.docx", "A 40265-2021")</f>
        <v/>
      </c>
      <c r="X110">
        <f>HYPERLINK("https://klasma.github.io/Logging_1737/tillsyn/A 40265-2021 tillsynsbegäran.docx", "A 40265-2021")</f>
        <v/>
      </c>
      <c r="Y110">
        <f>HYPERLINK("https://klasma.github.io/Logging_1737/tillsynsmail/A 40265-2021 tillsynsbegäran mail.docx", "A 40265-2021")</f>
        <v/>
      </c>
    </row>
    <row r="111" ht="15" customHeight="1">
      <c r="A111" t="inlineStr">
        <is>
          <t>A 43784-2021</t>
        </is>
      </c>
      <c r="B111" s="1" t="n">
        <v>44433</v>
      </c>
      <c r="C111" s="1" t="n">
        <v>45574</v>
      </c>
      <c r="D111" t="inlineStr">
        <is>
          <t>VÄRMLANDS LÄN</t>
        </is>
      </c>
      <c r="E111" t="inlineStr">
        <is>
          <t>TORSBY</t>
        </is>
      </c>
      <c r="G111" t="n">
        <v>5.2</v>
      </c>
      <c r="H111" t="n">
        <v>1</v>
      </c>
      <c r="I111" t="n">
        <v>0</v>
      </c>
      <c r="J111" t="n">
        <v>0</v>
      </c>
      <c r="K111" t="n">
        <v>0</v>
      </c>
      <c r="L111" t="n">
        <v>0</v>
      </c>
      <c r="M111" t="n">
        <v>0</v>
      </c>
      <c r="N111" t="n">
        <v>0</v>
      </c>
      <c r="O111" t="n">
        <v>0</v>
      </c>
      <c r="P111" t="n">
        <v>0</v>
      </c>
      <c r="Q111" t="n">
        <v>1</v>
      </c>
      <c r="R111" s="2" t="inlineStr">
        <is>
          <t>Kopparödla</t>
        </is>
      </c>
      <c r="S111">
        <f>HYPERLINK("https://klasma.github.io/Logging_1737/artfynd/A 43784-2021 artfynd.xlsx", "A 43784-2021")</f>
        <v/>
      </c>
      <c r="T111">
        <f>HYPERLINK("https://klasma.github.io/Logging_1737/kartor/A 43784-2021 karta.png", "A 43784-2021")</f>
        <v/>
      </c>
      <c r="V111">
        <f>HYPERLINK("https://klasma.github.io/Logging_1737/klagomål/A 43784-2021 FSC-klagomål.docx", "A 43784-2021")</f>
        <v/>
      </c>
      <c r="W111">
        <f>HYPERLINK("https://klasma.github.io/Logging_1737/klagomålsmail/A 43784-2021 FSC-klagomål mail.docx", "A 43784-2021")</f>
        <v/>
      </c>
      <c r="X111">
        <f>HYPERLINK("https://klasma.github.io/Logging_1737/tillsyn/A 43784-2021 tillsynsbegäran.docx", "A 43784-2021")</f>
        <v/>
      </c>
      <c r="Y111">
        <f>HYPERLINK("https://klasma.github.io/Logging_1737/tillsynsmail/A 43784-2021 tillsynsbegäran mail.docx", "A 43784-2021")</f>
        <v/>
      </c>
    </row>
    <row r="112" ht="15" customHeight="1">
      <c r="A112" t="inlineStr">
        <is>
          <t>A 49110-2021</t>
        </is>
      </c>
      <c r="B112" s="1" t="n">
        <v>44453</v>
      </c>
      <c r="C112" s="1" t="n">
        <v>45574</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54982-2021</t>
        </is>
      </c>
      <c r="B113" s="1" t="n">
        <v>44469</v>
      </c>
      <c r="C113" s="1" t="n">
        <v>45574</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58471-2021</t>
        </is>
      </c>
      <c r="B114" s="1" t="n">
        <v>44488</v>
      </c>
      <c r="C114" s="1" t="n">
        <v>45574</v>
      </c>
      <c r="D114" t="inlineStr">
        <is>
          <t>VÄRMLANDS LÄN</t>
        </is>
      </c>
      <c r="E114" t="inlineStr">
        <is>
          <t>TORSBY</t>
        </is>
      </c>
      <c r="G114" t="n">
        <v>2.5</v>
      </c>
      <c r="H114" t="n">
        <v>0</v>
      </c>
      <c r="I114" t="n">
        <v>1</v>
      </c>
      <c r="J114" t="n">
        <v>0</v>
      </c>
      <c r="K114" t="n">
        <v>0</v>
      </c>
      <c r="L114" t="n">
        <v>0</v>
      </c>
      <c r="M114" t="n">
        <v>0</v>
      </c>
      <c r="N114" t="n">
        <v>0</v>
      </c>
      <c r="O114" t="n">
        <v>0</v>
      </c>
      <c r="P114" t="n">
        <v>0</v>
      </c>
      <c r="Q114" t="n">
        <v>1</v>
      </c>
      <c r="R114" s="2" t="inlineStr">
        <is>
          <t>Korallblylav</t>
        </is>
      </c>
      <c r="S114">
        <f>HYPERLINK("https://klasma.github.io/Logging_1737/artfynd/A 58471-2021 artfynd.xlsx", "A 58471-2021")</f>
        <v/>
      </c>
      <c r="T114">
        <f>HYPERLINK("https://klasma.github.io/Logging_1737/kartor/A 58471-2021 karta.png", "A 58471-2021")</f>
        <v/>
      </c>
      <c r="V114">
        <f>HYPERLINK("https://klasma.github.io/Logging_1737/klagomål/A 58471-2021 FSC-klagomål.docx", "A 58471-2021")</f>
        <v/>
      </c>
      <c r="W114">
        <f>HYPERLINK("https://klasma.github.io/Logging_1737/klagomålsmail/A 58471-2021 FSC-klagomål mail.docx", "A 58471-2021")</f>
        <v/>
      </c>
      <c r="X114">
        <f>HYPERLINK("https://klasma.github.io/Logging_1737/tillsyn/A 58471-2021 tillsynsbegäran.docx", "A 58471-2021")</f>
        <v/>
      </c>
      <c r="Y114">
        <f>HYPERLINK("https://klasma.github.io/Logging_1737/tillsynsmail/A 58471-2021 tillsynsbegäran mail.docx", "A 58471-2021")</f>
        <v/>
      </c>
    </row>
    <row r="115" ht="15" customHeight="1">
      <c r="A115" t="inlineStr">
        <is>
          <t>A 61813-2021</t>
        </is>
      </c>
      <c r="B115" s="1" t="n">
        <v>44501</v>
      </c>
      <c r="C115" s="1" t="n">
        <v>45574</v>
      </c>
      <c r="D115" t="inlineStr">
        <is>
          <t>VÄRMLANDS LÄN</t>
        </is>
      </c>
      <c r="E115" t="inlineStr">
        <is>
          <t>TORSBY</t>
        </is>
      </c>
      <c r="G115" t="n">
        <v>4.9</v>
      </c>
      <c r="H115" t="n">
        <v>0</v>
      </c>
      <c r="I115" t="n">
        <v>0</v>
      </c>
      <c r="J115" t="n">
        <v>1</v>
      </c>
      <c r="K115" t="n">
        <v>0</v>
      </c>
      <c r="L115" t="n">
        <v>0</v>
      </c>
      <c r="M115" t="n">
        <v>0</v>
      </c>
      <c r="N115" t="n">
        <v>0</v>
      </c>
      <c r="O115" t="n">
        <v>1</v>
      </c>
      <c r="P115" t="n">
        <v>0</v>
      </c>
      <c r="Q115" t="n">
        <v>1</v>
      </c>
      <c r="R115" s="2" t="inlineStr">
        <is>
          <t>Tallticka</t>
        </is>
      </c>
      <c r="S115">
        <f>HYPERLINK("https://klasma.github.io/Logging_1737/artfynd/A 61813-2021 artfynd.xlsx", "A 61813-2021")</f>
        <v/>
      </c>
      <c r="T115">
        <f>HYPERLINK("https://klasma.github.io/Logging_1737/kartor/A 61813-2021 karta.png", "A 61813-2021")</f>
        <v/>
      </c>
      <c r="V115">
        <f>HYPERLINK("https://klasma.github.io/Logging_1737/klagomål/A 61813-2021 FSC-klagomål.docx", "A 61813-2021")</f>
        <v/>
      </c>
      <c r="W115">
        <f>HYPERLINK("https://klasma.github.io/Logging_1737/klagomålsmail/A 61813-2021 FSC-klagomål mail.docx", "A 61813-2021")</f>
        <v/>
      </c>
      <c r="X115">
        <f>HYPERLINK("https://klasma.github.io/Logging_1737/tillsyn/A 61813-2021 tillsynsbegäran.docx", "A 61813-2021")</f>
        <v/>
      </c>
      <c r="Y115">
        <f>HYPERLINK("https://klasma.github.io/Logging_1737/tillsynsmail/A 61813-2021 tillsynsbegäran mail.docx", "A 61813-2021")</f>
        <v/>
      </c>
    </row>
    <row r="116" ht="15" customHeight="1">
      <c r="A116" t="inlineStr">
        <is>
          <t>A 65767-2021</t>
        </is>
      </c>
      <c r="B116" s="1" t="n">
        <v>44516</v>
      </c>
      <c r="C116" s="1" t="n">
        <v>45574</v>
      </c>
      <c r="D116" t="inlineStr">
        <is>
          <t>VÄRMLANDS LÄN</t>
        </is>
      </c>
      <c r="E116" t="inlineStr">
        <is>
          <t>TORSBY</t>
        </is>
      </c>
      <c r="G116" t="n">
        <v>7.5</v>
      </c>
      <c r="H116" t="n">
        <v>0</v>
      </c>
      <c r="I116" t="n">
        <v>1</v>
      </c>
      <c r="J116" t="n">
        <v>0</v>
      </c>
      <c r="K116" t="n">
        <v>0</v>
      </c>
      <c r="L116" t="n">
        <v>0</v>
      </c>
      <c r="M116" t="n">
        <v>0</v>
      </c>
      <c r="N116" t="n">
        <v>0</v>
      </c>
      <c r="O116" t="n">
        <v>0</v>
      </c>
      <c r="P116" t="n">
        <v>0</v>
      </c>
      <c r="Q116" t="n">
        <v>1</v>
      </c>
      <c r="R116" s="2" t="inlineStr">
        <is>
          <t>Mörk husmossa</t>
        </is>
      </c>
      <c r="S116">
        <f>HYPERLINK("https://klasma.github.io/Logging_1737/artfynd/A 65767-2021 artfynd.xlsx", "A 65767-2021")</f>
        <v/>
      </c>
      <c r="T116">
        <f>HYPERLINK("https://klasma.github.io/Logging_1737/kartor/A 65767-2021 karta.png", "A 65767-2021")</f>
        <v/>
      </c>
      <c r="V116">
        <f>HYPERLINK("https://klasma.github.io/Logging_1737/klagomål/A 65767-2021 FSC-klagomål.docx", "A 65767-2021")</f>
        <v/>
      </c>
      <c r="W116">
        <f>HYPERLINK("https://klasma.github.io/Logging_1737/klagomålsmail/A 65767-2021 FSC-klagomål mail.docx", "A 65767-2021")</f>
        <v/>
      </c>
      <c r="X116">
        <f>HYPERLINK("https://klasma.github.io/Logging_1737/tillsyn/A 65767-2021 tillsynsbegäran.docx", "A 65767-2021")</f>
        <v/>
      </c>
      <c r="Y116">
        <f>HYPERLINK("https://klasma.github.io/Logging_1737/tillsynsmail/A 65767-2021 tillsynsbegäran mail.docx", "A 65767-2021")</f>
        <v/>
      </c>
    </row>
    <row r="117" ht="15" customHeight="1">
      <c r="A117" t="inlineStr">
        <is>
          <t>A 71594-2021</t>
        </is>
      </c>
      <c r="B117" s="1" t="n">
        <v>44541</v>
      </c>
      <c r="C117" s="1" t="n">
        <v>45574</v>
      </c>
      <c r="D117" t="inlineStr">
        <is>
          <t>VÄRMLANDS LÄN</t>
        </is>
      </c>
      <c r="E117" t="inlineStr">
        <is>
          <t>TORSBY</t>
        </is>
      </c>
      <c r="G117" t="n">
        <v>13.1</v>
      </c>
      <c r="H117" t="n">
        <v>0</v>
      </c>
      <c r="I117" t="n">
        <v>0</v>
      </c>
      <c r="J117" t="n">
        <v>1</v>
      </c>
      <c r="K117" t="n">
        <v>0</v>
      </c>
      <c r="L117" t="n">
        <v>0</v>
      </c>
      <c r="M117" t="n">
        <v>0</v>
      </c>
      <c r="N117" t="n">
        <v>0</v>
      </c>
      <c r="O117" t="n">
        <v>1</v>
      </c>
      <c r="P117" t="n">
        <v>0</v>
      </c>
      <c r="Q117" t="n">
        <v>1</v>
      </c>
      <c r="R117" s="2" t="inlineStr">
        <is>
          <t>Garnlav</t>
        </is>
      </c>
      <c r="S117">
        <f>HYPERLINK("https://klasma.github.io/Logging_1737/artfynd/A 71594-2021 artfynd.xlsx", "A 71594-2021")</f>
        <v/>
      </c>
      <c r="T117">
        <f>HYPERLINK("https://klasma.github.io/Logging_1737/kartor/A 71594-2021 karta.png", "A 71594-2021")</f>
        <v/>
      </c>
      <c r="V117">
        <f>HYPERLINK("https://klasma.github.io/Logging_1737/klagomål/A 71594-2021 FSC-klagomål.docx", "A 71594-2021")</f>
        <v/>
      </c>
      <c r="W117">
        <f>HYPERLINK("https://klasma.github.io/Logging_1737/klagomålsmail/A 71594-2021 FSC-klagomål mail.docx", "A 71594-2021")</f>
        <v/>
      </c>
      <c r="X117">
        <f>HYPERLINK("https://klasma.github.io/Logging_1737/tillsyn/A 71594-2021 tillsynsbegäran.docx", "A 71594-2021")</f>
        <v/>
      </c>
      <c r="Y117">
        <f>HYPERLINK("https://klasma.github.io/Logging_1737/tillsynsmail/A 71594-2021 tillsynsbegäran mail.docx", "A 71594-2021")</f>
        <v/>
      </c>
    </row>
    <row r="118" ht="15" customHeight="1">
      <c r="A118" t="inlineStr">
        <is>
          <t>A 3404-2022</t>
        </is>
      </c>
      <c r="B118" s="1" t="n">
        <v>44585</v>
      </c>
      <c r="C118" s="1" t="n">
        <v>45574</v>
      </c>
      <c r="D118" t="inlineStr">
        <is>
          <t>VÄRMLANDS LÄN</t>
        </is>
      </c>
      <c r="E118" t="inlineStr">
        <is>
          <t>TORSBY</t>
        </is>
      </c>
      <c r="G118" t="n">
        <v>1</v>
      </c>
      <c r="H118" t="n">
        <v>0</v>
      </c>
      <c r="I118" t="n">
        <v>0</v>
      </c>
      <c r="J118" t="n">
        <v>1</v>
      </c>
      <c r="K118" t="n">
        <v>0</v>
      </c>
      <c r="L118" t="n">
        <v>0</v>
      </c>
      <c r="M118" t="n">
        <v>0</v>
      </c>
      <c r="N118" t="n">
        <v>0</v>
      </c>
      <c r="O118" t="n">
        <v>1</v>
      </c>
      <c r="P118" t="n">
        <v>0</v>
      </c>
      <c r="Q118" t="n">
        <v>1</v>
      </c>
      <c r="R118" s="2" t="inlineStr">
        <is>
          <t>Vedtrappmossa</t>
        </is>
      </c>
      <c r="S118">
        <f>HYPERLINK("https://klasma.github.io/Logging_1737/artfynd/A 3404-2022 artfynd.xlsx", "A 3404-2022")</f>
        <v/>
      </c>
      <c r="T118">
        <f>HYPERLINK("https://klasma.github.io/Logging_1737/kartor/A 3404-2022 karta.png", "A 3404-2022")</f>
        <v/>
      </c>
      <c r="V118">
        <f>HYPERLINK("https://klasma.github.io/Logging_1737/klagomål/A 3404-2022 FSC-klagomål.docx", "A 3404-2022")</f>
        <v/>
      </c>
      <c r="W118">
        <f>HYPERLINK("https://klasma.github.io/Logging_1737/klagomålsmail/A 3404-2022 FSC-klagomål mail.docx", "A 3404-2022")</f>
        <v/>
      </c>
      <c r="X118">
        <f>HYPERLINK("https://klasma.github.io/Logging_1737/tillsyn/A 3404-2022 tillsynsbegäran.docx", "A 3404-2022")</f>
        <v/>
      </c>
      <c r="Y118">
        <f>HYPERLINK("https://klasma.github.io/Logging_1737/tillsynsmail/A 3404-2022 tillsynsbegäran mail.docx", "A 3404-2022")</f>
        <v/>
      </c>
    </row>
    <row r="119" ht="15" customHeight="1">
      <c r="A119" t="inlineStr">
        <is>
          <t>A 16572-2022</t>
        </is>
      </c>
      <c r="B119" s="1" t="n">
        <v>44672</v>
      </c>
      <c r="C119" s="1" t="n">
        <v>45574</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Skogsklocka</t>
        </is>
      </c>
      <c r="S119">
        <f>HYPERLINK("https://klasma.github.io/Logging_1737/artfynd/A 16572-2022 artfynd.xlsx", "A 16572-2022")</f>
        <v/>
      </c>
      <c r="T119">
        <f>HYPERLINK("https://klasma.github.io/Logging_1737/kartor/A 16572-2022 karta.png", "A 16572-2022")</f>
        <v/>
      </c>
      <c r="V119">
        <f>HYPERLINK("https://klasma.github.io/Logging_1737/klagomål/A 16572-2022 FSC-klagomål.docx", "A 16572-2022")</f>
        <v/>
      </c>
      <c r="W119">
        <f>HYPERLINK("https://klasma.github.io/Logging_1737/klagomålsmail/A 16572-2022 FSC-klagomål mail.docx", "A 16572-2022")</f>
        <v/>
      </c>
      <c r="X119">
        <f>HYPERLINK("https://klasma.github.io/Logging_1737/tillsyn/A 16572-2022 tillsynsbegäran.docx", "A 16572-2022")</f>
        <v/>
      </c>
      <c r="Y119">
        <f>HYPERLINK("https://klasma.github.io/Logging_1737/tillsynsmail/A 16572-2022 tillsynsbegäran mail.docx", "A 16572-2022")</f>
        <v/>
      </c>
    </row>
    <row r="120" ht="15" customHeight="1">
      <c r="A120" t="inlineStr">
        <is>
          <t>A 23486-2022</t>
        </is>
      </c>
      <c r="B120" s="1" t="n">
        <v>44721</v>
      </c>
      <c r="C120" s="1" t="n">
        <v>45574</v>
      </c>
      <c r="D120" t="inlineStr">
        <is>
          <t>VÄRMLANDS LÄN</t>
        </is>
      </c>
      <c r="E120" t="inlineStr">
        <is>
          <t>TORSBY</t>
        </is>
      </c>
      <c r="G120" t="n">
        <v>1</v>
      </c>
      <c r="H120" t="n">
        <v>0</v>
      </c>
      <c r="I120" t="n">
        <v>0</v>
      </c>
      <c r="J120" t="n">
        <v>1</v>
      </c>
      <c r="K120" t="n">
        <v>0</v>
      </c>
      <c r="L120" t="n">
        <v>0</v>
      </c>
      <c r="M120" t="n">
        <v>0</v>
      </c>
      <c r="N120" t="n">
        <v>0</v>
      </c>
      <c r="O120" t="n">
        <v>1</v>
      </c>
      <c r="P120" t="n">
        <v>0</v>
      </c>
      <c r="Q120" t="n">
        <v>1</v>
      </c>
      <c r="R120" s="2" t="inlineStr">
        <is>
          <t>Tallriska</t>
        </is>
      </c>
      <c r="S120">
        <f>HYPERLINK("https://klasma.github.io/Logging_1737/artfynd/A 23486-2022 artfynd.xlsx", "A 23486-2022")</f>
        <v/>
      </c>
      <c r="T120">
        <f>HYPERLINK("https://klasma.github.io/Logging_1737/kartor/A 23486-2022 karta.png", "A 23486-2022")</f>
        <v/>
      </c>
      <c r="V120">
        <f>HYPERLINK("https://klasma.github.io/Logging_1737/klagomål/A 23486-2022 FSC-klagomål.docx", "A 23486-2022")</f>
        <v/>
      </c>
      <c r="W120">
        <f>HYPERLINK("https://klasma.github.io/Logging_1737/klagomålsmail/A 23486-2022 FSC-klagomål mail.docx", "A 23486-2022")</f>
        <v/>
      </c>
      <c r="X120">
        <f>HYPERLINK("https://klasma.github.io/Logging_1737/tillsyn/A 23486-2022 tillsynsbegäran.docx", "A 23486-2022")</f>
        <v/>
      </c>
      <c r="Y120">
        <f>HYPERLINK("https://klasma.github.io/Logging_1737/tillsynsmail/A 23486-2022 tillsynsbegäran mail.docx", "A 23486-2022")</f>
        <v/>
      </c>
    </row>
    <row r="121" ht="15" customHeight="1">
      <c r="A121" t="inlineStr">
        <is>
          <t>A 25999-2022</t>
        </is>
      </c>
      <c r="B121" s="1" t="n">
        <v>44734</v>
      </c>
      <c r="C121" s="1" t="n">
        <v>45574</v>
      </c>
      <c r="D121" t="inlineStr">
        <is>
          <t>VÄRMLANDS LÄN</t>
        </is>
      </c>
      <c r="E121" t="inlineStr">
        <is>
          <t>TORSBY</t>
        </is>
      </c>
      <c r="G121" t="n">
        <v>0.6</v>
      </c>
      <c r="H121" t="n">
        <v>0</v>
      </c>
      <c r="I121" t="n">
        <v>1</v>
      </c>
      <c r="J121" t="n">
        <v>0</v>
      </c>
      <c r="K121" t="n">
        <v>0</v>
      </c>
      <c r="L121" t="n">
        <v>0</v>
      </c>
      <c r="M121" t="n">
        <v>0</v>
      </c>
      <c r="N121" t="n">
        <v>0</v>
      </c>
      <c r="O121" t="n">
        <v>0</v>
      </c>
      <c r="P121" t="n">
        <v>0</v>
      </c>
      <c r="Q121" t="n">
        <v>1</v>
      </c>
      <c r="R121" s="2" t="inlineStr">
        <is>
          <t>Korallblylav</t>
        </is>
      </c>
      <c r="S121">
        <f>HYPERLINK("https://klasma.github.io/Logging_1737/artfynd/A 25999-2022 artfynd.xlsx", "A 25999-2022")</f>
        <v/>
      </c>
      <c r="T121">
        <f>HYPERLINK("https://klasma.github.io/Logging_1737/kartor/A 25999-2022 karta.png", "A 25999-2022")</f>
        <v/>
      </c>
      <c r="V121">
        <f>HYPERLINK("https://klasma.github.io/Logging_1737/klagomål/A 25999-2022 FSC-klagomål.docx", "A 25999-2022")</f>
        <v/>
      </c>
      <c r="W121">
        <f>HYPERLINK("https://klasma.github.io/Logging_1737/klagomålsmail/A 25999-2022 FSC-klagomål mail.docx", "A 25999-2022")</f>
        <v/>
      </c>
      <c r="X121">
        <f>HYPERLINK("https://klasma.github.io/Logging_1737/tillsyn/A 25999-2022 tillsynsbegäran.docx", "A 25999-2022")</f>
        <v/>
      </c>
      <c r="Y121">
        <f>HYPERLINK("https://klasma.github.io/Logging_1737/tillsynsmail/A 25999-2022 tillsynsbegäran mail.docx", "A 25999-2022")</f>
        <v/>
      </c>
    </row>
    <row r="122" ht="15" customHeight="1">
      <c r="A122" t="inlineStr">
        <is>
          <t>A 35709-2022</t>
        </is>
      </c>
      <c r="B122" s="1" t="n">
        <v>44799</v>
      </c>
      <c r="C122" s="1" t="n">
        <v>45574</v>
      </c>
      <c r="D122" t="inlineStr">
        <is>
          <t>VÄRMLANDS LÄN</t>
        </is>
      </c>
      <c r="E122" t="inlineStr">
        <is>
          <t>TORSBY</t>
        </is>
      </c>
      <c r="G122" t="n">
        <v>4.4</v>
      </c>
      <c r="H122" t="n">
        <v>0</v>
      </c>
      <c r="I122" t="n">
        <v>1</v>
      </c>
      <c r="J122" t="n">
        <v>0</v>
      </c>
      <c r="K122" t="n">
        <v>0</v>
      </c>
      <c r="L122" t="n">
        <v>0</v>
      </c>
      <c r="M122" t="n">
        <v>0</v>
      </c>
      <c r="N122" t="n">
        <v>0</v>
      </c>
      <c r="O122" t="n">
        <v>0</v>
      </c>
      <c r="P122" t="n">
        <v>0</v>
      </c>
      <c r="Q122" t="n">
        <v>1</v>
      </c>
      <c r="R122" s="2" t="inlineStr">
        <is>
          <t>Dropptaggsvamp</t>
        </is>
      </c>
      <c r="S122">
        <f>HYPERLINK("https://klasma.github.io/Logging_1737/artfynd/A 35709-2022 artfynd.xlsx", "A 35709-2022")</f>
        <v/>
      </c>
      <c r="T122">
        <f>HYPERLINK("https://klasma.github.io/Logging_1737/kartor/A 35709-2022 karta.png", "A 35709-2022")</f>
        <v/>
      </c>
      <c r="V122">
        <f>HYPERLINK("https://klasma.github.io/Logging_1737/klagomål/A 35709-2022 FSC-klagomål.docx", "A 35709-2022")</f>
        <v/>
      </c>
      <c r="W122">
        <f>HYPERLINK("https://klasma.github.io/Logging_1737/klagomålsmail/A 35709-2022 FSC-klagomål mail.docx", "A 35709-2022")</f>
        <v/>
      </c>
      <c r="X122">
        <f>HYPERLINK("https://klasma.github.io/Logging_1737/tillsyn/A 35709-2022 tillsynsbegäran.docx", "A 35709-2022")</f>
        <v/>
      </c>
      <c r="Y122">
        <f>HYPERLINK("https://klasma.github.io/Logging_1737/tillsynsmail/A 35709-2022 tillsynsbegäran mail.docx", "A 35709-2022")</f>
        <v/>
      </c>
    </row>
    <row r="123" ht="15" customHeight="1">
      <c r="A123" t="inlineStr">
        <is>
          <t>A 42500-2022</t>
        </is>
      </c>
      <c r="B123" s="1" t="n">
        <v>44831</v>
      </c>
      <c r="C123" s="1" t="n">
        <v>45574</v>
      </c>
      <c r="D123" t="inlineStr">
        <is>
          <t>VÄRMLANDS LÄN</t>
        </is>
      </c>
      <c r="E123" t="inlineStr">
        <is>
          <t>TORSBY</t>
        </is>
      </c>
      <c r="F123" t="inlineStr">
        <is>
          <t>Kommuner</t>
        </is>
      </c>
      <c r="G123" t="n">
        <v>2.3</v>
      </c>
      <c r="H123" t="n">
        <v>0</v>
      </c>
      <c r="I123" t="n">
        <v>0</v>
      </c>
      <c r="J123" t="n">
        <v>1</v>
      </c>
      <c r="K123" t="n">
        <v>0</v>
      </c>
      <c r="L123" t="n">
        <v>0</v>
      </c>
      <c r="M123" t="n">
        <v>0</v>
      </c>
      <c r="N123" t="n">
        <v>0</v>
      </c>
      <c r="O123" t="n">
        <v>1</v>
      </c>
      <c r="P123" t="n">
        <v>0</v>
      </c>
      <c r="Q123" t="n">
        <v>1</v>
      </c>
      <c r="R123" s="2" t="inlineStr">
        <is>
          <t>Violettgrå tagellav</t>
        </is>
      </c>
      <c r="S123">
        <f>HYPERLINK("https://klasma.github.io/Logging_1737/artfynd/A 42500-2022 artfynd.xlsx", "A 42500-2022")</f>
        <v/>
      </c>
      <c r="T123">
        <f>HYPERLINK("https://klasma.github.io/Logging_1737/kartor/A 42500-2022 karta.png", "A 42500-2022")</f>
        <v/>
      </c>
      <c r="U123">
        <f>HYPERLINK("https://klasma.github.io/Logging_1737/knärot/A 42500-2022 karta knärot.png", "A 42500-2022")</f>
        <v/>
      </c>
      <c r="V123">
        <f>HYPERLINK("https://klasma.github.io/Logging_1737/klagomål/A 42500-2022 FSC-klagomål.docx", "A 42500-2022")</f>
        <v/>
      </c>
      <c r="W123">
        <f>HYPERLINK("https://klasma.github.io/Logging_1737/klagomålsmail/A 42500-2022 FSC-klagomål mail.docx", "A 42500-2022")</f>
        <v/>
      </c>
      <c r="X123">
        <f>HYPERLINK("https://klasma.github.io/Logging_1737/tillsyn/A 42500-2022 tillsynsbegäran.docx", "A 42500-2022")</f>
        <v/>
      </c>
      <c r="Y123">
        <f>HYPERLINK("https://klasma.github.io/Logging_1737/tillsynsmail/A 42500-2022 tillsynsbegäran mail.docx", "A 42500-2022")</f>
        <v/>
      </c>
    </row>
    <row r="124" ht="15" customHeight="1">
      <c r="A124" t="inlineStr">
        <is>
          <t>A 44007-2022</t>
        </is>
      </c>
      <c r="B124" s="1" t="n">
        <v>44838</v>
      </c>
      <c r="C124" s="1" t="n">
        <v>45574</v>
      </c>
      <c r="D124" t="inlineStr">
        <is>
          <t>VÄRMLANDS LÄN</t>
        </is>
      </c>
      <c r="E124" t="inlineStr">
        <is>
          <t>TORSBY</t>
        </is>
      </c>
      <c r="F124" t="inlineStr">
        <is>
          <t>Bergvik skog väst AB</t>
        </is>
      </c>
      <c r="G124" t="n">
        <v>8</v>
      </c>
      <c r="H124" t="n">
        <v>1</v>
      </c>
      <c r="I124" t="n">
        <v>0</v>
      </c>
      <c r="J124" t="n">
        <v>1</v>
      </c>
      <c r="K124" t="n">
        <v>0</v>
      </c>
      <c r="L124" t="n">
        <v>0</v>
      </c>
      <c r="M124" t="n">
        <v>0</v>
      </c>
      <c r="N124" t="n">
        <v>0</v>
      </c>
      <c r="O124" t="n">
        <v>1</v>
      </c>
      <c r="P124" t="n">
        <v>0</v>
      </c>
      <c r="Q124" t="n">
        <v>1</v>
      </c>
      <c r="R124" s="2" t="inlineStr">
        <is>
          <t>Utter</t>
        </is>
      </c>
      <c r="S124">
        <f>HYPERLINK("https://klasma.github.io/Logging_1737/artfynd/A 44007-2022 artfynd.xlsx", "A 44007-2022")</f>
        <v/>
      </c>
      <c r="T124">
        <f>HYPERLINK("https://klasma.github.io/Logging_1737/kartor/A 44007-2022 karta.png", "A 44007-2022")</f>
        <v/>
      </c>
      <c r="V124">
        <f>HYPERLINK("https://klasma.github.io/Logging_1737/klagomål/A 44007-2022 FSC-klagomål.docx", "A 44007-2022")</f>
        <v/>
      </c>
      <c r="W124">
        <f>HYPERLINK("https://klasma.github.io/Logging_1737/klagomålsmail/A 44007-2022 FSC-klagomål mail.docx", "A 44007-2022")</f>
        <v/>
      </c>
      <c r="X124">
        <f>HYPERLINK("https://klasma.github.io/Logging_1737/tillsyn/A 44007-2022 tillsynsbegäran.docx", "A 44007-2022")</f>
        <v/>
      </c>
      <c r="Y124">
        <f>HYPERLINK("https://klasma.github.io/Logging_1737/tillsynsmail/A 44007-2022 tillsynsbegäran mail.docx", "A 44007-2022")</f>
        <v/>
      </c>
    </row>
    <row r="125" ht="15" customHeight="1">
      <c r="A125" t="inlineStr">
        <is>
          <t>A 50236-2022</t>
        </is>
      </c>
      <c r="B125" s="1" t="n">
        <v>44865</v>
      </c>
      <c r="C125" s="1" t="n">
        <v>45574</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Garnlav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51288-2022</t>
        </is>
      </c>
      <c r="B126" s="1" t="n">
        <v>44868</v>
      </c>
      <c r="C126" s="1" t="n">
        <v>45574</v>
      </c>
      <c r="D126" t="inlineStr">
        <is>
          <t>VÄRMLANDS LÄN</t>
        </is>
      </c>
      <c r="E126" t="inlineStr">
        <is>
          <t>TORSBY</t>
        </is>
      </c>
      <c r="G126" t="n">
        <v>1.9</v>
      </c>
      <c r="H126" t="n">
        <v>1</v>
      </c>
      <c r="I126" t="n">
        <v>0</v>
      </c>
      <c r="J126" t="n">
        <v>0</v>
      </c>
      <c r="K126" t="n">
        <v>1</v>
      </c>
      <c r="L126" t="n">
        <v>0</v>
      </c>
      <c r="M126" t="n">
        <v>0</v>
      </c>
      <c r="N126" t="n">
        <v>0</v>
      </c>
      <c r="O126" t="n">
        <v>1</v>
      </c>
      <c r="P126" t="n">
        <v>1</v>
      </c>
      <c r="Q126" t="n">
        <v>1</v>
      </c>
      <c r="R126" s="2" t="inlineStr">
        <is>
          <t>Bombmurkla</t>
        </is>
      </c>
      <c r="S126">
        <f>HYPERLINK("https://klasma.github.io/Logging_1737/artfynd/A 51288-2022 artfynd.xlsx", "A 51288-2022")</f>
        <v/>
      </c>
      <c r="T126">
        <f>HYPERLINK("https://klasma.github.io/Logging_1737/kartor/A 51288-2022 karta.png", "A 51288-2022")</f>
        <v/>
      </c>
      <c r="V126">
        <f>HYPERLINK("https://klasma.github.io/Logging_1737/klagomål/A 51288-2022 FSC-klagomål.docx", "A 51288-2022")</f>
        <v/>
      </c>
      <c r="W126">
        <f>HYPERLINK("https://klasma.github.io/Logging_1737/klagomålsmail/A 51288-2022 FSC-klagomål mail.docx", "A 51288-2022")</f>
        <v/>
      </c>
      <c r="X126">
        <f>HYPERLINK("https://klasma.github.io/Logging_1737/tillsyn/A 51288-2022 tillsynsbegäran.docx", "A 51288-2022")</f>
        <v/>
      </c>
      <c r="Y126">
        <f>HYPERLINK("https://klasma.github.io/Logging_1737/tillsynsmail/A 51288-2022 tillsynsbegäran mail.docx", "A 51288-2022")</f>
        <v/>
      </c>
    </row>
    <row r="127" ht="15" customHeight="1">
      <c r="A127" t="inlineStr">
        <is>
          <t>A 13361-2023</t>
        </is>
      </c>
      <c r="B127" s="1" t="n">
        <v>45005</v>
      </c>
      <c r="C127" s="1" t="n">
        <v>45574</v>
      </c>
      <c r="D127" t="inlineStr">
        <is>
          <t>VÄRMLANDS LÄN</t>
        </is>
      </c>
      <c r="E127" t="inlineStr">
        <is>
          <t>TORSBY</t>
        </is>
      </c>
      <c r="G127" t="n">
        <v>8.5</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13361-2023 artfynd.xlsx", "A 13361-2023")</f>
        <v/>
      </c>
      <c r="T127">
        <f>HYPERLINK("https://klasma.github.io/Logging_1737/kartor/A 13361-2023 karta.png", "A 13361-2023")</f>
        <v/>
      </c>
      <c r="V127">
        <f>HYPERLINK("https://klasma.github.io/Logging_1737/klagomål/A 13361-2023 FSC-klagomål.docx", "A 13361-2023")</f>
        <v/>
      </c>
      <c r="W127">
        <f>HYPERLINK("https://klasma.github.io/Logging_1737/klagomålsmail/A 13361-2023 FSC-klagomål mail.docx", "A 13361-2023")</f>
        <v/>
      </c>
      <c r="X127">
        <f>HYPERLINK("https://klasma.github.io/Logging_1737/tillsyn/A 13361-2023 tillsynsbegäran.docx", "A 13361-2023")</f>
        <v/>
      </c>
      <c r="Y127">
        <f>HYPERLINK("https://klasma.github.io/Logging_1737/tillsynsmail/A 13361-2023 tillsynsbegäran mail.docx", "A 13361-2023")</f>
        <v/>
      </c>
    </row>
    <row r="128" ht="15" customHeight="1">
      <c r="A128" t="inlineStr">
        <is>
          <t>A 13359-2023</t>
        </is>
      </c>
      <c r="B128" s="1" t="n">
        <v>45005</v>
      </c>
      <c r="C128" s="1" t="n">
        <v>45574</v>
      </c>
      <c r="D128" t="inlineStr">
        <is>
          <t>VÄRMLANDS LÄN</t>
        </is>
      </c>
      <c r="E128" t="inlineStr">
        <is>
          <t>TORSBY</t>
        </is>
      </c>
      <c r="G128" t="n">
        <v>12.9</v>
      </c>
      <c r="H128" t="n">
        <v>0</v>
      </c>
      <c r="I128" t="n">
        <v>1</v>
      </c>
      <c r="J128" t="n">
        <v>0</v>
      </c>
      <c r="K128" t="n">
        <v>0</v>
      </c>
      <c r="L128" t="n">
        <v>0</v>
      </c>
      <c r="M128" t="n">
        <v>0</v>
      </c>
      <c r="N128" t="n">
        <v>0</v>
      </c>
      <c r="O128" t="n">
        <v>0</v>
      </c>
      <c r="P128" t="n">
        <v>0</v>
      </c>
      <c r="Q128" t="n">
        <v>1</v>
      </c>
      <c r="R128" s="2" t="inlineStr">
        <is>
          <t>Dropptaggsvamp</t>
        </is>
      </c>
      <c r="S128">
        <f>HYPERLINK("https://klasma.github.io/Logging_1737/artfynd/A 13359-2023 artfynd.xlsx", "A 13359-2023")</f>
        <v/>
      </c>
      <c r="T128">
        <f>HYPERLINK("https://klasma.github.io/Logging_1737/kartor/A 13359-2023 karta.png", "A 13359-2023")</f>
        <v/>
      </c>
      <c r="V128">
        <f>HYPERLINK("https://klasma.github.io/Logging_1737/klagomål/A 13359-2023 FSC-klagomål.docx", "A 13359-2023")</f>
        <v/>
      </c>
      <c r="W128">
        <f>HYPERLINK("https://klasma.github.io/Logging_1737/klagomålsmail/A 13359-2023 FSC-klagomål mail.docx", "A 13359-2023")</f>
        <v/>
      </c>
      <c r="X128">
        <f>HYPERLINK("https://klasma.github.io/Logging_1737/tillsyn/A 13359-2023 tillsynsbegäran.docx", "A 13359-2023")</f>
        <v/>
      </c>
      <c r="Y128">
        <f>HYPERLINK("https://klasma.github.io/Logging_1737/tillsynsmail/A 13359-2023 tillsynsbegäran mail.docx", "A 13359-2023")</f>
        <v/>
      </c>
    </row>
    <row r="129" ht="15" customHeight="1">
      <c r="A129" t="inlineStr">
        <is>
          <t>A 15548-2023</t>
        </is>
      </c>
      <c r="B129" s="1" t="n">
        <v>45020</v>
      </c>
      <c r="C129" s="1" t="n">
        <v>45574</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18882-2023</t>
        </is>
      </c>
      <c r="B130" s="1" t="n">
        <v>45044</v>
      </c>
      <c r="C130" s="1" t="n">
        <v>45574</v>
      </c>
      <c r="D130" t="inlineStr">
        <is>
          <t>VÄRMLANDS LÄN</t>
        </is>
      </c>
      <c r="E130" t="inlineStr">
        <is>
          <t>TORSBY</t>
        </is>
      </c>
      <c r="G130" t="n">
        <v>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18882-2023 artfynd.xlsx", "A 18882-2023")</f>
        <v/>
      </c>
      <c r="T130">
        <f>HYPERLINK("https://klasma.github.io/Logging_1737/kartor/A 18882-2023 karta.png", "A 18882-2023")</f>
        <v/>
      </c>
      <c r="V130">
        <f>HYPERLINK("https://klasma.github.io/Logging_1737/klagomål/A 18882-2023 FSC-klagomål.docx", "A 18882-2023")</f>
        <v/>
      </c>
      <c r="W130">
        <f>HYPERLINK("https://klasma.github.io/Logging_1737/klagomålsmail/A 18882-2023 FSC-klagomål mail.docx", "A 18882-2023")</f>
        <v/>
      </c>
      <c r="X130">
        <f>HYPERLINK("https://klasma.github.io/Logging_1737/tillsyn/A 18882-2023 tillsynsbegäran.docx", "A 18882-2023")</f>
        <v/>
      </c>
      <c r="Y130">
        <f>HYPERLINK("https://klasma.github.io/Logging_1737/tillsynsmail/A 18882-2023 tillsynsbegäran mail.docx", "A 18882-2023")</f>
        <v/>
      </c>
    </row>
    <row r="131" ht="15" customHeight="1">
      <c r="A131" t="inlineStr">
        <is>
          <t>A 19669-2023</t>
        </is>
      </c>
      <c r="B131" s="1" t="n">
        <v>45051</v>
      </c>
      <c r="C131" s="1" t="n">
        <v>45574</v>
      </c>
      <c r="D131" t="inlineStr">
        <is>
          <t>VÄRMLANDS LÄN</t>
        </is>
      </c>
      <c r="E131" t="inlineStr">
        <is>
          <t>TORSBY</t>
        </is>
      </c>
      <c r="F131" t="inlineStr">
        <is>
          <t>Kyrkan</t>
        </is>
      </c>
      <c r="G131" t="n">
        <v>5.2</v>
      </c>
      <c r="H131" t="n">
        <v>1</v>
      </c>
      <c r="I131" t="n">
        <v>0</v>
      </c>
      <c r="J131" t="n">
        <v>1</v>
      </c>
      <c r="K131" t="n">
        <v>0</v>
      </c>
      <c r="L131" t="n">
        <v>0</v>
      </c>
      <c r="M131" t="n">
        <v>0</v>
      </c>
      <c r="N131" t="n">
        <v>0</v>
      </c>
      <c r="O131" t="n">
        <v>1</v>
      </c>
      <c r="P131" t="n">
        <v>0</v>
      </c>
      <c r="Q131" t="n">
        <v>1</v>
      </c>
      <c r="R131" s="2" t="inlineStr">
        <is>
          <t>Utter</t>
        </is>
      </c>
      <c r="S131">
        <f>HYPERLINK("https://klasma.github.io/Logging_1737/artfynd/A 19669-2023 artfynd.xlsx", "A 19669-2023")</f>
        <v/>
      </c>
      <c r="T131">
        <f>HYPERLINK("https://klasma.github.io/Logging_1737/kartor/A 19669-2023 karta.png", "A 19669-2023")</f>
        <v/>
      </c>
      <c r="V131">
        <f>HYPERLINK("https://klasma.github.io/Logging_1737/klagomål/A 19669-2023 FSC-klagomål.docx", "A 19669-2023")</f>
        <v/>
      </c>
      <c r="W131">
        <f>HYPERLINK("https://klasma.github.io/Logging_1737/klagomålsmail/A 19669-2023 FSC-klagomål mail.docx", "A 19669-2023")</f>
        <v/>
      </c>
      <c r="X131">
        <f>HYPERLINK("https://klasma.github.io/Logging_1737/tillsyn/A 19669-2023 tillsynsbegäran.docx", "A 19669-2023")</f>
        <v/>
      </c>
      <c r="Y131">
        <f>HYPERLINK("https://klasma.github.io/Logging_1737/tillsynsmail/A 19669-2023 tillsynsbegäran mail.docx", "A 19669-2023")</f>
        <v/>
      </c>
    </row>
    <row r="132" ht="15" customHeight="1">
      <c r="A132" t="inlineStr">
        <is>
          <t>A 26747-2023</t>
        </is>
      </c>
      <c r="B132" s="1" t="n">
        <v>45090</v>
      </c>
      <c r="C132" s="1" t="n">
        <v>45574</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33835-2023</t>
        </is>
      </c>
      <c r="B133" s="1" t="n">
        <v>45133</v>
      </c>
      <c r="C133" s="1" t="n">
        <v>45574</v>
      </c>
      <c r="D133" t="inlineStr">
        <is>
          <t>VÄRMLANDS LÄN</t>
        </is>
      </c>
      <c r="E133" t="inlineStr">
        <is>
          <t>TORSBY</t>
        </is>
      </c>
      <c r="F133" t="inlineStr">
        <is>
          <t>Bergvik skog väst AB</t>
        </is>
      </c>
      <c r="G133" t="n">
        <v>17.3</v>
      </c>
      <c r="H133" t="n">
        <v>1</v>
      </c>
      <c r="I133" t="n">
        <v>0</v>
      </c>
      <c r="J133" t="n">
        <v>0</v>
      </c>
      <c r="K133" t="n">
        <v>0</v>
      </c>
      <c r="L133" t="n">
        <v>0</v>
      </c>
      <c r="M133" t="n">
        <v>0</v>
      </c>
      <c r="N133" t="n">
        <v>0</v>
      </c>
      <c r="O133" t="n">
        <v>0</v>
      </c>
      <c r="P133" t="n">
        <v>0</v>
      </c>
      <c r="Q133" t="n">
        <v>1</v>
      </c>
      <c r="R133" s="2" t="inlineStr">
        <is>
          <t>Sparvuggla</t>
        </is>
      </c>
      <c r="S133">
        <f>HYPERLINK("https://klasma.github.io/Logging_1737/artfynd/A 33835-2023 artfynd.xlsx", "A 33835-2023")</f>
        <v/>
      </c>
      <c r="T133">
        <f>HYPERLINK("https://klasma.github.io/Logging_1737/kartor/A 33835-2023 karta.png", "A 33835-2023")</f>
        <v/>
      </c>
      <c r="V133">
        <f>HYPERLINK("https://klasma.github.io/Logging_1737/klagomål/A 33835-2023 FSC-klagomål.docx", "A 33835-2023")</f>
        <v/>
      </c>
      <c r="W133">
        <f>HYPERLINK("https://klasma.github.io/Logging_1737/klagomålsmail/A 33835-2023 FSC-klagomål mail.docx", "A 33835-2023")</f>
        <v/>
      </c>
      <c r="X133">
        <f>HYPERLINK("https://klasma.github.io/Logging_1737/tillsyn/A 33835-2023 tillsynsbegäran.docx", "A 33835-2023")</f>
        <v/>
      </c>
      <c r="Y133">
        <f>HYPERLINK("https://klasma.github.io/Logging_1737/tillsynsmail/A 33835-2023 tillsynsbegäran mail.docx", "A 33835-2023")</f>
        <v/>
      </c>
      <c r="Z133">
        <f>HYPERLINK("https://klasma.github.io/Logging_1737/fåglar/A 33835-2023 prioriterade fågelarter.docx", "A 33835-2023")</f>
        <v/>
      </c>
    </row>
    <row r="134" ht="15" customHeight="1">
      <c r="A134" t="inlineStr">
        <is>
          <t>A 35809-2023</t>
        </is>
      </c>
      <c r="B134" s="1" t="n">
        <v>45147</v>
      </c>
      <c r="C134" s="1" t="n">
        <v>45574</v>
      </c>
      <c r="D134" t="inlineStr">
        <is>
          <t>VÄRMLANDS LÄN</t>
        </is>
      </c>
      <c r="E134" t="inlineStr">
        <is>
          <t>TORSBY</t>
        </is>
      </c>
      <c r="F134" t="inlineStr">
        <is>
          <t>Övriga statliga verk och myndigheter</t>
        </is>
      </c>
      <c r="G134" t="n">
        <v>7.2</v>
      </c>
      <c r="H134" t="n">
        <v>1</v>
      </c>
      <c r="I134" t="n">
        <v>0</v>
      </c>
      <c r="J134" t="n">
        <v>0</v>
      </c>
      <c r="K134" t="n">
        <v>0</v>
      </c>
      <c r="L134" t="n">
        <v>0</v>
      </c>
      <c r="M134" t="n">
        <v>0</v>
      </c>
      <c r="N134" t="n">
        <v>0</v>
      </c>
      <c r="O134" t="n">
        <v>0</v>
      </c>
      <c r="P134" t="n">
        <v>0</v>
      </c>
      <c r="Q134" t="n">
        <v>1</v>
      </c>
      <c r="R134" s="2" t="inlineStr">
        <is>
          <t>Fläcknycklar</t>
        </is>
      </c>
      <c r="S134">
        <f>HYPERLINK("https://klasma.github.io/Logging_1737/artfynd/A 35809-2023 artfynd.xlsx", "A 35809-2023")</f>
        <v/>
      </c>
      <c r="T134">
        <f>HYPERLINK("https://klasma.github.io/Logging_1737/kartor/A 35809-2023 karta.png", "A 35809-2023")</f>
        <v/>
      </c>
      <c r="V134">
        <f>HYPERLINK("https://klasma.github.io/Logging_1737/klagomål/A 35809-2023 FSC-klagomål.docx", "A 35809-2023")</f>
        <v/>
      </c>
      <c r="W134">
        <f>HYPERLINK("https://klasma.github.io/Logging_1737/klagomålsmail/A 35809-2023 FSC-klagomål mail.docx", "A 35809-2023")</f>
        <v/>
      </c>
      <c r="X134">
        <f>HYPERLINK("https://klasma.github.io/Logging_1737/tillsyn/A 35809-2023 tillsynsbegäran.docx", "A 35809-2023")</f>
        <v/>
      </c>
      <c r="Y134">
        <f>HYPERLINK("https://klasma.github.io/Logging_1737/tillsynsmail/A 35809-2023 tillsynsbegäran mail.docx", "A 35809-2023")</f>
        <v/>
      </c>
    </row>
    <row r="135" ht="15" customHeight="1">
      <c r="A135" t="inlineStr">
        <is>
          <t>A 39681-2023</t>
        </is>
      </c>
      <c r="B135" s="1" t="n">
        <v>45167</v>
      </c>
      <c r="C135" s="1" t="n">
        <v>45574</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39983-2023</t>
        </is>
      </c>
      <c r="B136" s="1" t="n">
        <v>45168</v>
      </c>
      <c r="C136" s="1" t="n">
        <v>45574</v>
      </c>
      <c r="D136" t="inlineStr">
        <is>
          <t>VÄRMLANDS LÄN</t>
        </is>
      </c>
      <c r="E136" t="inlineStr">
        <is>
          <t>TORSBY</t>
        </is>
      </c>
      <c r="G136" t="n">
        <v>17.2</v>
      </c>
      <c r="H136" t="n">
        <v>1</v>
      </c>
      <c r="I136" t="n">
        <v>0</v>
      </c>
      <c r="J136" t="n">
        <v>1</v>
      </c>
      <c r="K136" t="n">
        <v>0</v>
      </c>
      <c r="L136" t="n">
        <v>0</v>
      </c>
      <c r="M136" t="n">
        <v>0</v>
      </c>
      <c r="N136" t="n">
        <v>0</v>
      </c>
      <c r="O136" t="n">
        <v>1</v>
      </c>
      <c r="P136" t="n">
        <v>0</v>
      </c>
      <c r="Q136" t="n">
        <v>1</v>
      </c>
      <c r="R136" s="2" t="inlineStr">
        <is>
          <t>Kråka</t>
        </is>
      </c>
      <c r="S136">
        <f>HYPERLINK("https://klasma.github.io/Logging_1737/artfynd/A 39983-2023 artfynd.xlsx", "A 39983-2023")</f>
        <v/>
      </c>
      <c r="T136">
        <f>HYPERLINK("https://klasma.github.io/Logging_1737/kartor/A 39983-2023 karta.png", "A 39983-2023")</f>
        <v/>
      </c>
      <c r="V136">
        <f>HYPERLINK("https://klasma.github.io/Logging_1737/klagomål/A 39983-2023 FSC-klagomål.docx", "A 39983-2023")</f>
        <v/>
      </c>
      <c r="W136">
        <f>HYPERLINK("https://klasma.github.io/Logging_1737/klagomålsmail/A 39983-2023 FSC-klagomål mail.docx", "A 39983-2023")</f>
        <v/>
      </c>
      <c r="X136">
        <f>HYPERLINK("https://klasma.github.io/Logging_1737/tillsyn/A 39983-2023 tillsynsbegäran.docx", "A 39983-2023")</f>
        <v/>
      </c>
      <c r="Y136">
        <f>HYPERLINK("https://klasma.github.io/Logging_1737/tillsynsmail/A 39983-2023 tillsynsbegäran mail.docx", "A 39983-2023")</f>
        <v/>
      </c>
      <c r="Z136">
        <f>HYPERLINK("https://klasma.github.io/Logging_1737/fåglar/A 39983-2023 prioriterade fågelarter.docx", "A 39983-2023")</f>
        <v/>
      </c>
    </row>
    <row r="137" ht="15" customHeight="1">
      <c r="A137" t="inlineStr">
        <is>
          <t>A 46099-2023</t>
        </is>
      </c>
      <c r="B137" s="1" t="n">
        <v>45196</v>
      </c>
      <c r="C137" s="1" t="n">
        <v>45574</v>
      </c>
      <c r="D137" t="inlineStr">
        <is>
          <t>VÄRMLANDS LÄN</t>
        </is>
      </c>
      <c r="E137" t="inlineStr">
        <is>
          <t>TORSBY</t>
        </is>
      </c>
      <c r="G137" t="n">
        <v>8.4</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46099-2023 artfynd.xlsx", "A 46099-2023")</f>
        <v/>
      </c>
      <c r="T137">
        <f>HYPERLINK("https://klasma.github.io/Logging_1737/kartor/A 46099-2023 karta.png", "A 46099-2023")</f>
        <v/>
      </c>
      <c r="V137">
        <f>HYPERLINK("https://klasma.github.io/Logging_1737/klagomål/A 46099-2023 FSC-klagomål.docx", "A 46099-2023")</f>
        <v/>
      </c>
      <c r="W137">
        <f>HYPERLINK("https://klasma.github.io/Logging_1737/klagomålsmail/A 46099-2023 FSC-klagomål mail.docx", "A 46099-2023")</f>
        <v/>
      </c>
      <c r="X137">
        <f>HYPERLINK("https://klasma.github.io/Logging_1737/tillsyn/A 46099-2023 tillsynsbegäran.docx", "A 46099-2023")</f>
        <v/>
      </c>
      <c r="Y137">
        <f>HYPERLINK("https://klasma.github.io/Logging_1737/tillsynsmail/A 46099-2023 tillsynsbegäran mail.docx", "A 46099-2023")</f>
        <v/>
      </c>
    </row>
    <row r="138" ht="15" customHeight="1">
      <c r="A138" t="inlineStr">
        <is>
          <t>A 49724-2023</t>
        </is>
      </c>
      <c r="B138" s="1" t="n">
        <v>45208</v>
      </c>
      <c r="C138" s="1" t="n">
        <v>45574</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57971-2023</t>
        </is>
      </c>
      <c r="B139" s="1" t="n">
        <v>45247</v>
      </c>
      <c r="C139" s="1" t="n">
        <v>45574</v>
      </c>
      <c r="D139" t="inlineStr">
        <is>
          <t>VÄRMLANDS LÄN</t>
        </is>
      </c>
      <c r="E139" t="inlineStr">
        <is>
          <t>TORSBY</t>
        </is>
      </c>
      <c r="G139" t="n">
        <v>12.4</v>
      </c>
      <c r="H139" t="n">
        <v>0</v>
      </c>
      <c r="I139" t="n">
        <v>0</v>
      </c>
      <c r="J139" t="n">
        <v>1</v>
      </c>
      <c r="K139" t="n">
        <v>0</v>
      </c>
      <c r="L139" t="n">
        <v>0</v>
      </c>
      <c r="M139" t="n">
        <v>0</v>
      </c>
      <c r="N139" t="n">
        <v>0</v>
      </c>
      <c r="O139" t="n">
        <v>1</v>
      </c>
      <c r="P139" t="n">
        <v>0</v>
      </c>
      <c r="Q139" t="n">
        <v>1</v>
      </c>
      <c r="R139" s="2" t="inlineStr">
        <is>
          <t>Garnlav</t>
        </is>
      </c>
      <c r="S139">
        <f>HYPERLINK("https://klasma.github.io/Logging_1737/artfynd/A 57971-2023 artfynd.xlsx", "A 57971-2023")</f>
        <v/>
      </c>
      <c r="T139">
        <f>HYPERLINK("https://klasma.github.io/Logging_1737/kartor/A 57971-2023 karta.png", "A 57971-2023")</f>
        <v/>
      </c>
      <c r="V139">
        <f>HYPERLINK("https://klasma.github.io/Logging_1737/klagomål/A 57971-2023 FSC-klagomål.docx", "A 57971-2023")</f>
        <v/>
      </c>
      <c r="W139">
        <f>HYPERLINK("https://klasma.github.io/Logging_1737/klagomålsmail/A 57971-2023 FSC-klagomål mail.docx", "A 57971-2023")</f>
        <v/>
      </c>
      <c r="X139">
        <f>HYPERLINK("https://klasma.github.io/Logging_1737/tillsyn/A 57971-2023 tillsynsbegäran.docx", "A 57971-2023")</f>
        <v/>
      </c>
      <c r="Y139">
        <f>HYPERLINK("https://klasma.github.io/Logging_1737/tillsynsmail/A 57971-2023 tillsynsbegäran mail.docx", "A 57971-2023")</f>
        <v/>
      </c>
    </row>
    <row r="140" ht="15" customHeight="1">
      <c r="A140" t="inlineStr">
        <is>
          <t>A 61911-2023</t>
        </is>
      </c>
      <c r="B140" s="1" t="n">
        <v>45266</v>
      </c>
      <c r="C140" s="1" t="n">
        <v>45574</v>
      </c>
      <c r="D140" t="inlineStr">
        <is>
          <t>VÄRMLANDS LÄN</t>
        </is>
      </c>
      <c r="E140" t="inlineStr">
        <is>
          <t>TORSBY</t>
        </is>
      </c>
      <c r="F140" t="inlineStr">
        <is>
          <t>Kommuner</t>
        </is>
      </c>
      <c r="G140" t="n">
        <v>9.1</v>
      </c>
      <c r="H140" t="n">
        <v>0</v>
      </c>
      <c r="I140" t="n">
        <v>0</v>
      </c>
      <c r="J140" t="n">
        <v>1</v>
      </c>
      <c r="K140" t="n">
        <v>0</v>
      </c>
      <c r="L140" t="n">
        <v>0</v>
      </c>
      <c r="M140" t="n">
        <v>0</v>
      </c>
      <c r="N140" t="n">
        <v>0</v>
      </c>
      <c r="O140" t="n">
        <v>1</v>
      </c>
      <c r="P140" t="n">
        <v>0</v>
      </c>
      <c r="Q140" t="n">
        <v>1</v>
      </c>
      <c r="R140" s="2" t="inlineStr">
        <is>
          <t>Dvärgbägarlav</t>
        </is>
      </c>
      <c r="S140">
        <f>HYPERLINK("https://klasma.github.io/Logging_1737/artfynd/A 61911-2023 artfynd.xlsx", "A 61911-2023")</f>
        <v/>
      </c>
      <c r="T140">
        <f>HYPERLINK("https://klasma.github.io/Logging_1737/kartor/A 61911-2023 karta.png", "A 61911-2023")</f>
        <v/>
      </c>
      <c r="V140">
        <f>HYPERLINK("https://klasma.github.io/Logging_1737/klagomål/A 61911-2023 FSC-klagomål.docx", "A 61911-2023")</f>
        <v/>
      </c>
      <c r="W140">
        <f>HYPERLINK("https://klasma.github.io/Logging_1737/klagomålsmail/A 61911-2023 FSC-klagomål mail.docx", "A 61911-2023")</f>
        <v/>
      </c>
      <c r="X140">
        <f>HYPERLINK("https://klasma.github.io/Logging_1737/tillsyn/A 61911-2023 tillsynsbegäran.docx", "A 61911-2023")</f>
        <v/>
      </c>
      <c r="Y140">
        <f>HYPERLINK("https://klasma.github.io/Logging_1737/tillsynsmail/A 61911-2023 tillsynsbegäran mail.docx", "A 61911-2023")</f>
        <v/>
      </c>
    </row>
    <row r="141" ht="15" customHeight="1">
      <c r="A141" t="inlineStr">
        <is>
          <t>A 1811-2024</t>
        </is>
      </c>
      <c r="B141" s="1" t="n">
        <v>45307</v>
      </c>
      <c r="C141" s="1" t="n">
        <v>45574</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2039-2024</t>
        </is>
      </c>
      <c r="B142" s="1" t="n">
        <v>45308</v>
      </c>
      <c r="C142" s="1" t="n">
        <v>45574</v>
      </c>
      <c r="D142" t="inlineStr">
        <is>
          <t>VÄRMLANDS LÄN</t>
        </is>
      </c>
      <c r="E142" t="inlineStr">
        <is>
          <t>TORSBY</t>
        </is>
      </c>
      <c r="G142" t="n">
        <v>6.4</v>
      </c>
      <c r="H142" t="n">
        <v>1</v>
      </c>
      <c r="I142" t="n">
        <v>0</v>
      </c>
      <c r="J142" t="n">
        <v>1</v>
      </c>
      <c r="K142" t="n">
        <v>0</v>
      </c>
      <c r="L142" t="n">
        <v>0</v>
      </c>
      <c r="M142" t="n">
        <v>0</v>
      </c>
      <c r="N142" t="n">
        <v>0</v>
      </c>
      <c r="O142" t="n">
        <v>1</v>
      </c>
      <c r="P142" t="n">
        <v>0</v>
      </c>
      <c r="Q142" t="n">
        <v>1</v>
      </c>
      <c r="R142" s="2" t="inlineStr">
        <is>
          <t>Kungsörn</t>
        </is>
      </c>
      <c r="S142">
        <f>HYPERLINK("https://klasma.github.io/Logging_1737/artfynd/A 2039-2024 artfynd.xlsx", "A 2039-2024")</f>
        <v/>
      </c>
      <c r="T142">
        <f>HYPERLINK("https://klasma.github.io/Logging_1737/kartor/A 2039-2024 karta.png", "A 2039-2024")</f>
        <v/>
      </c>
      <c r="V142">
        <f>HYPERLINK("https://klasma.github.io/Logging_1737/klagomål/A 2039-2024 FSC-klagomål.docx", "A 2039-2024")</f>
        <v/>
      </c>
      <c r="W142">
        <f>HYPERLINK("https://klasma.github.io/Logging_1737/klagomålsmail/A 2039-2024 FSC-klagomål mail.docx", "A 2039-2024")</f>
        <v/>
      </c>
      <c r="X142">
        <f>HYPERLINK("https://klasma.github.io/Logging_1737/tillsyn/A 2039-2024 tillsynsbegäran.docx", "A 2039-2024")</f>
        <v/>
      </c>
      <c r="Y142">
        <f>HYPERLINK("https://klasma.github.io/Logging_1737/tillsynsmail/A 2039-2024 tillsynsbegäran mail.docx", "A 2039-2024")</f>
        <v/>
      </c>
      <c r="Z142">
        <f>HYPERLINK("https://klasma.github.io/Logging_1737/fåglar/A 2039-2024 prioriterade fågelarter.docx", "A 2039-2024")</f>
        <v/>
      </c>
    </row>
    <row r="143" ht="15" customHeight="1">
      <c r="A143" t="inlineStr">
        <is>
          <t>A 4985-2024</t>
        </is>
      </c>
      <c r="B143" s="1" t="n">
        <v>45329</v>
      </c>
      <c r="C143" s="1" t="n">
        <v>45574</v>
      </c>
      <c r="D143" t="inlineStr">
        <is>
          <t>VÄRMLANDS LÄN</t>
        </is>
      </c>
      <c r="E143" t="inlineStr">
        <is>
          <t>TORSBY</t>
        </is>
      </c>
      <c r="G143" t="n">
        <v>4.9</v>
      </c>
      <c r="H143" t="n">
        <v>0</v>
      </c>
      <c r="I143" t="n">
        <v>0</v>
      </c>
      <c r="J143" t="n">
        <v>1</v>
      </c>
      <c r="K143" t="n">
        <v>0</v>
      </c>
      <c r="L143" t="n">
        <v>0</v>
      </c>
      <c r="M143" t="n">
        <v>0</v>
      </c>
      <c r="N143" t="n">
        <v>0</v>
      </c>
      <c r="O143" t="n">
        <v>1</v>
      </c>
      <c r="P143" t="n">
        <v>0</v>
      </c>
      <c r="Q143" t="n">
        <v>1</v>
      </c>
      <c r="R143" s="2" t="inlineStr">
        <is>
          <t>Garnlav</t>
        </is>
      </c>
      <c r="S143">
        <f>HYPERLINK("https://klasma.github.io/Logging_1737/artfynd/A 4985-2024 artfynd.xlsx", "A 4985-2024")</f>
        <v/>
      </c>
      <c r="T143">
        <f>HYPERLINK("https://klasma.github.io/Logging_1737/kartor/A 4985-2024 karta.png", "A 4985-2024")</f>
        <v/>
      </c>
      <c r="V143">
        <f>HYPERLINK("https://klasma.github.io/Logging_1737/klagomål/A 4985-2024 FSC-klagomål.docx", "A 4985-2024")</f>
        <v/>
      </c>
      <c r="W143">
        <f>HYPERLINK("https://klasma.github.io/Logging_1737/klagomålsmail/A 4985-2024 FSC-klagomål mail.docx", "A 4985-2024")</f>
        <v/>
      </c>
      <c r="X143">
        <f>HYPERLINK("https://klasma.github.io/Logging_1737/tillsyn/A 4985-2024 tillsynsbegäran.docx", "A 4985-2024")</f>
        <v/>
      </c>
      <c r="Y143">
        <f>HYPERLINK("https://klasma.github.io/Logging_1737/tillsynsmail/A 4985-2024 tillsynsbegäran mail.docx", "A 4985-2024")</f>
        <v/>
      </c>
    </row>
    <row r="144" ht="15" customHeight="1">
      <c r="A144" t="inlineStr">
        <is>
          <t>A 18306-2024</t>
        </is>
      </c>
      <c r="B144" s="1" t="n">
        <v>45422</v>
      </c>
      <c r="C144" s="1" t="n">
        <v>45574</v>
      </c>
      <c r="D144" t="inlineStr">
        <is>
          <t>VÄRMLANDS LÄN</t>
        </is>
      </c>
      <c r="E144" t="inlineStr">
        <is>
          <t>TORSBY</t>
        </is>
      </c>
      <c r="G144" t="n">
        <v>5.5</v>
      </c>
      <c r="H144" t="n">
        <v>0</v>
      </c>
      <c r="I144" t="n">
        <v>0</v>
      </c>
      <c r="J144" t="n">
        <v>1</v>
      </c>
      <c r="K144" t="n">
        <v>0</v>
      </c>
      <c r="L144" t="n">
        <v>0</v>
      </c>
      <c r="M144" t="n">
        <v>0</v>
      </c>
      <c r="N144" t="n">
        <v>0</v>
      </c>
      <c r="O144" t="n">
        <v>1</v>
      </c>
      <c r="P144" t="n">
        <v>0</v>
      </c>
      <c r="Q144" t="n">
        <v>1</v>
      </c>
      <c r="R144" s="2" t="inlineStr">
        <is>
          <t>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19760-2024</t>
        </is>
      </c>
      <c r="B145" s="1" t="n">
        <v>45432</v>
      </c>
      <c r="C145" s="1" t="n">
        <v>45574</v>
      </c>
      <c r="D145" t="inlineStr">
        <is>
          <t>VÄRMLANDS LÄN</t>
        </is>
      </c>
      <c r="E145" t="inlineStr">
        <is>
          <t>TORSBY</t>
        </is>
      </c>
      <c r="F145" t="inlineStr">
        <is>
          <t>Bergvik skog väst AB</t>
        </is>
      </c>
      <c r="G145" t="n">
        <v>7.9</v>
      </c>
      <c r="H145" t="n">
        <v>1</v>
      </c>
      <c r="I145" t="n">
        <v>0</v>
      </c>
      <c r="J145" t="n">
        <v>1</v>
      </c>
      <c r="K145" t="n">
        <v>0</v>
      </c>
      <c r="L145" t="n">
        <v>0</v>
      </c>
      <c r="M145" t="n">
        <v>0</v>
      </c>
      <c r="N145" t="n">
        <v>0</v>
      </c>
      <c r="O145" t="n">
        <v>1</v>
      </c>
      <c r="P145" t="n">
        <v>0</v>
      </c>
      <c r="Q145" t="n">
        <v>1</v>
      </c>
      <c r="R145" s="2" t="inlineStr">
        <is>
          <t>Utter</t>
        </is>
      </c>
      <c r="S145">
        <f>HYPERLINK("https://klasma.github.io/Logging_1737/artfynd/A 19760-2024 artfynd.xlsx", "A 19760-2024")</f>
        <v/>
      </c>
      <c r="T145">
        <f>HYPERLINK("https://klasma.github.io/Logging_1737/kartor/A 19760-2024 karta.png", "A 19760-2024")</f>
        <v/>
      </c>
      <c r="V145">
        <f>HYPERLINK("https://klasma.github.io/Logging_1737/klagomål/A 19760-2024 FSC-klagomål.docx", "A 19760-2024")</f>
        <v/>
      </c>
      <c r="W145">
        <f>HYPERLINK("https://klasma.github.io/Logging_1737/klagomålsmail/A 19760-2024 FSC-klagomål mail.docx", "A 19760-2024")</f>
        <v/>
      </c>
      <c r="X145">
        <f>HYPERLINK("https://klasma.github.io/Logging_1737/tillsyn/A 19760-2024 tillsynsbegäran.docx", "A 19760-2024")</f>
        <v/>
      </c>
      <c r="Y145">
        <f>HYPERLINK("https://klasma.github.io/Logging_1737/tillsynsmail/A 19760-2024 tillsynsbegäran mail.docx", "A 19760-2024")</f>
        <v/>
      </c>
    </row>
    <row r="146" ht="15" customHeight="1">
      <c r="A146" t="inlineStr">
        <is>
          <t>A 25789-2024</t>
        </is>
      </c>
      <c r="B146" s="1" t="n">
        <v>45467</v>
      </c>
      <c r="C146" s="1" t="n">
        <v>45574</v>
      </c>
      <c r="D146" t="inlineStr">
        <is>
          <t>VÄRMLANDS LÄN</t>
        </is>
      </c>
      <c r="E146" t="inlineStr">
        <is>
          <t>TORSBY</t>
        </is>
      </c>
      <c r="F146" t="inlineStr">
        <is>
          <t>Bergvik skog väst AB</t>
        </is>
      </c>
      <c r="G146" t="n">
        <v>9</v>
      </c>
      <c r="H146" t="n">
        <v>1</v>
      </c>
      <c r="I146" t="n">
        <v>0</v>
      </c>
      <c r="J146" t="n">
        <v>1</v>
      </c>
      <c r="K146" t="n">
        <v>0</v>
      </c>
      <c r="L146" t="n">
        <v>0</v>
      </c>
      <c r="M146" t="n">
        <v>0</v>
      </c>
      <c r="N146" t="n">
        <v>0</v>
      </c>
      <c r="O146" t="n">
        <v>1</v>
      </c>
      <c r="P146" t="n">
        <v>0</v>
      </c>
      <c r="Q146" t="n">
        <v>1</v>
      </c>
      <c r="R146" s="2" t="inlineStr">
        <is>
          <t>Järpe</t>
        </is>
      </c>
      <c r="S146">
        <f>HYPERLINK("https://klasma.github.io/Logging_1737/artfynd/A 25789-2024 artfynd.xlsx", "A 25789-2024")</f>
        <v/>
      </c>
      <c r="T146">
        <f>HYPERLINK("https://klasma.github.io/Logging_1737/kartor/A 25789-2024 karta.png", "A 25789-2024")</f>
        <v/>
      </c>
      <c r="V146">
        <f>HYPERLINK("https://klasma.github.io/Logging_1737/klagomål/A 25789-2024 FSC-klagomål.docx", "A 25789-2024")</f>
        <v/>
      </c>
      <c r="W146">
        <f>HYPERLINK("https://klasma.github.io/Logging_1737/klagomålsmail/A 25789-2024 FSC-klagomål mail.docx", "A 25789-2024")</f>
        <v/>
      </c>
      <c r="X146">
        <f>HYPERLINK("https://klasma.github.io/Logging_1737/tillsyn/A 25789-2024 tillsynsbegäran.docx", "A 25789-2024")</f>
        <v/>
      </c>
      <c r="Y146">
        <f>HYPERLINK("https://klasma.github.io/Logging_1737/tillsynsmail/A 25789-2024 tillsynsbegäran mail.docx", "A 25789-2024")</f>
        <v/>
      </c>
      <c r="Z146">
        <f>HYPERLINK("https://klasma.github.io/Logging_1737/fåglar/A 25789-2024 prioriterade fågelarter.docx", "A 25789-2024")</f>
        <v/>
      </c>
    </row>
    <row r="147" ht="15" customHeight="1">
      <c r="A147" t="inlineStr">
        <is>
          <t>A 36962-2024</t>
        </is>
      </c>
      <c r="B147" s="1" t="n">
        <v>45538</v>
      </c>
      <c r="C147" s="1" t="n">
        <v>45574</v>
      </c>
      <c r="D147" t="inlineStr">
        <is>
          <t>VÄRMLANDS LÄN</t>
        </is>
      </c>
      <c r="E147" t="inlineStr">
        <is>
          <t>TORSBY</t>
        </is>
      </c>
      <c r="G147" t="n">
        <v>17</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36962-2024 artfynd.xlsx", "A 36962-2024")</f>
        <v/>
      </c>
      <c r="T147">
        <f>HYPERLINK("https://klasma.github.io/Logging_1737/kartor/A 36962-2024 karta.png", "A 36962-2024")</f>
        <v/>
      </c>
      <c r="V147">
        <f>HYPERLINK("https://klasma.github.io/Logging_1737/klagomål/A 36962-2024 FSC-klagomål.docx", "A 36962-2024")</f>
        <v/>
      </c>
      <c r="W147">
        <f>HYPERLINK("https://klasma.github.io/Logging_1737/klagomålsmail/A 36962-2024 FSC-klagomål mail.docx", "A 36962-2024")</f>
        <v/>
      </c>
      <c r="X147">
        <f>HYPERLINK("https://klasma.github.io/Logging_1737/tillsyn/A 36962-2024 tillsynsbegäran.docx", "A 36962-2024")</f>
        <v/>
      </c>
      <c r="Y147">
        <f>HYPERLINK("https://klasma.github.io/Logging_1737/tillsynsmail/A 36962-2024 tillsynsbegäran mail.docx", "A 36962-2024")</f>
        <v/>
      </c>
    </row>
    <row r="148" ht="15" customHeight="1">
      <c r="A148" t="inlineStr">
        <is>
          <t>A 40033-2024</t>
        </is>
      </c>
      <c r="B148" s="1" t="n">
        <v>45553</v>
      </c>
      <c r="C148" s="1" t="n">
        <v>45574</v>
      </c>
      <c r="D148" t="inlineStr">
        <is>
          <t>VÄRMLANDS LÄN</t>
        </is>
      </c>
      <c r="E148" t="inlineStr">
        <is>
          <t>TORSBY</t>
        </is>
      </c>
      <c r="G148" t="n">
        <v>6.2</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40033-2024 artfynd.xlsx", "A 40033-2024")</f>
        <v/>
      </c>
      <c r="T148">
        <f>HYPERLINK("https://klasma.github.io/Logging_1737/kartor/A 40033-2024 karta.png", "A 40033-2024")</f>
        <v/>
      </c>
      <c r="V148">
        <f>HYPERLINK("https://klasma.github.io/Logging_1737/klagomål/A 40033-2024 FSC-klagomål.docx", "A 40033-2024")</f>
        <v/>
      </c>
      <c r="W148">
        <f>HYPERLINK("https://klasma.github.io/Logging_1737/klagomålsmail/A 40033-2024 FSC-klagomål mail.docx", "A 40033-2024")</f>
        <v/>
      </c>
      <c r="X148">
        <f>HYPERLINK("https://klasma.github.io/Logging_1737/tillsyn/A 40033-2024 tillsynsbegäran.docx", "A 40033-2024")</f>
        <v/>
      </c>
      <c r="Y148">
        <f>HYPERLINK("https://klasma.github.io/Logging_1737/tillsynsmail/A 40033-2024 tillsynsbegäran mail.docx", "A 40033-2024")</f>
        <v/>
      </c>
    </row>
    <row r="149" ht="15" customHeight="1">
      <c r="A149" t="inlineStr">
        <is>
          <t>A 40934-2024</t>
        </is>
      </c>
      <c r="B149" s="1" t="n">
        <v>45558</v>
      </c>
      <c r="C149" s="1" t="n">
        <v>45574</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41350-2024</t>
        </is>
      </c>
      <c r="B150" s="1" t="n">
        <v>45559</v>
      </c>
      <c r="C150" s="1" t="n">
        <v>45574</v>
      </c>
      <c r="D150" t="inlineStr">
        <is>
          <t>VÄRMLANDS LÄN</t>
        </is>
      </c>
      <c r="E150" t="inlineStr">
        <is>
          <t>TORSBY</t>
        </is>
      </c>
      <c r="G150" t="n">
        <v>5.5</v>
      </c>
      <c r="H150" t="n">
        <v>0</v>
      </c>
      <c r="I150" t="n">
        <v>0</v>
      </c>
      <c r="J150" t="n">
        <v>1</v>
      </c>
      <c r="K150" t="n">
        <v>0</v>
      </c>
      <c r="L150" t="n">
        <v>0</v>
      </c>
      <c r="M150" t="n">
        <v>0</v>
      </c>
      <c r="N150" t="n">
        <v>0</v>
      </c>
      <c r="O150" t="n">
        <v>1</v>
      </c>
      <c r="P150" t="n">
        <v>0</v>
      </c>
      <c r="Q150" t="n">
        <v>1</v>
      </c>
      <c r="R150" s="2" t="inlineStr">
        <is>
          <t>Garnlav</t>
        </is>
      </c>
      <c r="S150">
        <f>HYPERLINK("https://klasma.github.io/Logging_1737/artfynd/A 41350-2024 artfynd.xlsx", "A 41350-2024")</f>
        <v/>
      </c>
      <c r="T150">
        <f>HYPERLINK("https://klasma.github.io/Logging_1737/kartor/A 41350-2024 karta.png", "A 41350-2024")</f>
        <v/>
      </c>
      <c r="V150">
        <f>HYPERLINK("https://klasma.github.io/Logging_1737/klagomål/A 41350-2024 FSC-klagomål.docx", "A 41350-2024")</f>
        <v/>
      </c>
      <c r="W150">
        <f>HYPERLINK("https://klasma.github.io/Logging_1737/klagomålsmail/A 41350-2024 FSC-klagomål mail.docx", "A 41350-2024")</f>
        <v/>
      </c>
      <c r="X150">
        <f>HYPERLINK("https://klasma.github.io/Logging_1737/tillsyn/A 41350-2024 tillsynsbegäran.docx", "A 41350-2024")</f>
        <v/>
      </c>
      <c r="Y150">
        <f>HYPERLINK("https://klasma.github.io/Logging_1737/tillsynsmail/A 41350-2024 tillsynsbegäran mail.docx", "A 41350-2024")</f>
        <v/>
      </c>
    </row>
    <row r="151" ht="15" customHeight="1">
      <c r="A151" t="inlineStr">
        <is>
          <t>A 41477-2024</t>
        </is>
      </c>
      <c r="B151" s="1" t="n">
        <v>45560</v>
      </c>
      <c r="C151" s="1" t="n">
        <v>45574</v>
      </c>
      <c r="D151" t="inlineStr">
        <is>
          <t>VÄRMLANDS LÄN</t>
        </is>
      </c>
      <c r="E151" t="inlineStr">
        <is>
          <t>TORSBY</t>
        </is>
      </c>
      <c r="G151" t="n">
        <v>6.7</v>
      </c>
      <c r="H151" t="n">
        <v>0</v>
      </c>
      <c r="I151" t="n">
        <v>0</v>
      </c>
      <c r="J151" t="n">
        <v>1</v>
      </c>
      <c r="K151" t="n">
        <v>0</v>
      </c>
      <c r="L151" t="n">
        <v>0</v>
      </c>
      <c r="M151" t="n">
        <v>0</v>
      </c>
      <c r="N151" t="n">
        <v>0</v>
      </c>
      <c r="O151" t="n">
        <v>1</v>
      </c>
      <c r="P151" t="n">
        <v>0</v>
      </c>
      <c r="Q151" t="n">
        <v>1</v>
      </c>
      <c r="R151" s="2" t="inlineStr">
        <is>
          <t>Garnlav</t>
        </is>
      </c>
      <c r="S151">
        <f>HYPERLINK("https://klasma.github.io/Logging_1737/artfynd/A 41477-2024 artfynd.xlsx", "A 41477-2024")</f>
        <v/>
      </c>
      <c r="T151">
        <f>HYPERLINK("https://klasma.github.io/Logging_1737/kartor/A 41477-2024 karta.png", "A 41477-2024")</f>
        <v/>
      </c>
      <c r="V151">
        <f>HYPERLINK("https://klasma.github.io/Logging_1737/klagomål/A 41477-2024 FSC-klagomål.docx", "A 41477-2024")</f>
        <v/>
      </c>
      <c r="W151">
        <f>HYPERLINK("https://klasma.github.io/Logging_1737/klagomålsmail/A 41477-2024 FSC-klagomål mail.docx", "A 41477-2024")</f>
        <v/>
      </c>
      <c r="X151">
        <f>HYPERLINK("https://klasma.github.io/Logging_1737/tillsyn/A 41477-2024 tillsynsbegäran.docx", "A 41477-2024")</f>
        <v/>
      </c>
      <c r="Y151">
        <f>HYPERLINK("https://klasma.github.io/Logging_1737/tillsynsmail/A 41477-2024 tillsynsbegäran mail.docx", "A 41477-2024")</f>
        <v/>
      </c>
    </row>
    <row r="152" ht="15" customHeight="1">
      <c r="A152" t="inlineStr">
        <is>
          <t>A 17808-2019</t>
        </is>
      </c>
      <c r="B152" s="1" t="n">
        <v>43556</v>
      </c>
      <c r="C152" s="1" t="n">
        <v>45574</v>
      </c>
      <c r="D152" t="inlineStr">
        <is>
          <t>VÄRMLANDS LÄN</t>
        </is>
      </c>
      <c r="E152" t="inlineStr">
        <is>
          <t>TORSBY</t>
        </is>
      </c>
      <c r="G152" t="n">
        <v>2.1</v>
      </c>
      <c r="H152" t="n">
        <v>0</v>
      </c>
      <c r="I152" t="n">
        <v>0</v>
      </c>
      <c r="J152" t="n">
        <v>0</v>
      </c>
      <c r="K152" t="n">
        <v>0</v>
      </c>
      <c r="L152" t="n">
        <v>0</v>
      </c>
      <c r="M152" t="n">
        <v>0</v>
      </c>
      <c r="N152" t="n">
        <v>0</v>
      </c>
      <c r="O152" t="n">
        <v>0</v>
      </c>
      <c r="P152" t="n">
        <v>0</v>
      </c>
      <c r="Q152" t="n">
        <v>0</v>
      </c>
      <c r="R152" s="2" t="inlineStr"/>
    </row>
    <row r="153" ht="15" customHeight="1">
      <c r="A153" t="inlineStr">
        <is>
          <t>A 17788-2019</t>
        </is>
      </c>
      <c r="B153" s="1" t="n">
        <v>43556</v>
      </c>
      <c r="C153" s="1" t="n">
        <v>45574</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17957-2019</t>
        </is>
      </c>
      <c r="B154" s="1" t="n">
        <v>43557</v>
      </c>
      <c r="C154" s="1" t="n">
        <v>45574</v>
      </c>
      <c r="D154" t="inlineStr">
        <is>
          <t>VÄRMLANDS LÄN</t>
        </is>
      </c>
      <c r="E154" t="inlineStr">
        <is>
          <t>TORSBY</t>
        </is>
      </c>
      <c r="G154" t="n">
        <v>1.6</v>
      </c>
      <c r="H154" t="n">
        <v>0</v>
      </c>
      <c r="I154" t="n">
        <v>0</v>
      </c>
      <c r="J154" t="n">
        <v>0</v>
      </c>
      <c r="K154" t="n">
        <v>0</v>
      </c>
      <c r="L154" t="n">
        <v>0</v>
      </c>
      <c r="M154" t="n">
        <v>0</v>
      </c>
      <c r="N154" t="n">
        <v>0</v>
      </c>
      <c r="O154" t="n">
        <v>0</v>
      </c>
      <c r="P154" t="n">
        <v>0</v>
      </c>
      <c r="Q154" t="n">
        <v>0</v>
      </c>
      <c r="R154" s="2" t="inlineStr"/>
    </row>
    <row r="155" ht="15" customHeight="1">
      <c r="A155" t="inlineStr">
        <is>
          <t>A 17864-2019</t>
        </is>
      </c>
      <c r="B155" s="1" t="n">
        <v>43557</v>
      </c>
      <c r="C155" s="1" t="n">
        <v>45574</v>
      </c>
      <c r="D155" t="inlineStr">
        <is>
          <t>VÄRMLANDS LÄN</t>
        </is>
      </c>
      <c r="E155" t="inlineStr">
        <is>
          <t>TORSBY</t>
        </is>
      </c>
      <c r="G155" t="n">
        <v>1.4</v>
      </c>
      <c r="H155" t="n">
        <v>0</v>
      </c>
      <c r="I155" t="n">
        <v>0</v>
      </c>
      <c r="J155" t="n">
        <v>0</v>
      </c>
      <c r="K155" t="n">
        <v>0</v>
      </c>
      <c r="L155" t="n">
        <v>0</v>
      </c>
      <c r="M155" t="n">
        <v>0</v>
      </c>
      <c r="N155" t="n">
        <v>0</v>
      </c>
      <c r="O155" t="n">
        <v>0</v>
      </c>
      <c r="P155" t="n">
        <v>0</v>
      </c>
      <c r="Q155" t="n">
        <v>0</v>
      </c>
      <c r="R155" s="2" t="inlineStr"/>
    </row>
    <row r="156" ht="15" customHeight="1">
      <c r="A156" t="inlineStr">
        <is>
          <t>A 18551-2019</t>
        </is>
      </c>
      <c r="B156" s="1" t="n">
        <v>43559</v>
      </c>
      <c r="C156" s="1" t="n">
        <v>45574</v>
      </c>
      <c r="D156" t="inlineStr">
        <is>
          <t>VÄRMLANDS LÄN</t>
        </is>
      </c>
      <c r="E156" t="inlineStr">
        <is>
          <t>TORSBY</t>
        </is>
      </c>
      <c r="G156" t="n">
        <v>1.5</v>
      </c>
      <c r="H156" t="n">
        <v>0</v>
      </c>
      <c r="I156" t="n">
        <v>0</v>
      </c>
      <c r="J156" t="n">
        <v>0</v>
      </c>
      <c r="K156" t="n">
        <v>0</v>
      </c>
      <c r="L156" t="n">
        <v>0</v>
      </c>
      <c r="M156" t="n">
        <v>0</v>
      </c>
      <c r="N156" t="n">
        <v>0</v>
      </c>
      <c r="O156" t="n">
        <v>0</v>
      </c>
      <c r="P156" t="n">
        <v>0</v>
      </c>
      <c r="Q156" t="n">
        <v>0</v>
      </c>
      <c r="R156" s="2" t="inlineStr"/>
    </row>
    <row r="157" ht="15" customHeight="1">
      <c r="A157" t="inlineStr">
        <is>
          <t>A 18947-2019</t>
        </is>
      </c>
      <c r="B157" s="1" t="n">
        <v>43563</v>
      </c>
      <c r="C157" s="1" t="n">
        <v>45574</v>
      </c>
      <c r="D157" t="inlineStr">
        <is>
          <t>VÄRMLANDS LÄN</t>
        </is>
      </c>
      <c r="E157" t="inlineStr">
        <is>
          <t>TORSBY</t>
        </is>
      </c>
      <c r="G157" t="n">
        <v>7.6</v>
      </c>
      <c r="H157" t="n">
        <v>0</v>
      </c>
      <c r="I157" t="n">
        <v>0</v>
      </c>
      <c r="J157" t="n">
        <v>0</v>
      </c>
      <c r="K157" t="n">
        <v>0</v>
      </c>
      <c r="L157" t="n">
        <v>0</v>
      </c>
      <c r="M157" t="n">
        <v>0</v>
      </c>
      <c r="N157" t="n">
        <v>0</v>
      </c>
      <c r="O157" t="n">
        <v>0</v>
      </c>
      <c r="P157" t="n">
        <v>0</v>
      </c>
      <c r="Q157" t="n">
        <v>0</v>
      </c>
      <c r="R157" s="2" t="inlineStr"/>
    </row>
    <row r="158" ht="15" customHeight="1">
      <c r="A158" t="inlineStr">
        <is>
          <t>A 19974-2019</t>
        </is>
      </c>
      <c r="B158" s="1" t="n">
        <v>43564</v>
      </c>
      <c r="C158" s="1" t="n">
        <v>45574</v>
      </c>
      <c r="D158" t="inlineStr">
        <is>
          <t>VÄRMLANDS LÄN</t>
        </is>
      </c>
      <c r="E158" t="inlineStr">
        <is>
          <t>TORSBY</t>
        </is>
      </c>
      <c r="G158" t="n">
        <v>5.1</v>
      </c>
      <c r="H158" t="n">
        <v>0</v>
      </c>
      <c r="I158" t="n">
        <v>0</v>
      </c>
      <c r="J158" t="n">
        <v>0</v>
      </c>
      <c r="K158" t="n">
        <v>0</v>
      </c>
      <c r="L158" t="n">
        <v>0</v>
      </c>
      <c r="M158" t="n">
        <v>0</v>
      </c>
      <c r="N158" t="n">
        <v>0</v>
      </c>
      <c r="O158" t="n">
        <v>0</v>
      </c>
      <c r="P158" t="n">
        <v>0</v>
      </c>
      <c r="Q158" t="n">
        <v>0</v>
      </c>
      <c r="R158" s="2" t="inlineStr"/>
    </row>
    <row r="159" ht="15" customHeight="1">
      <c r="A159" t="inlineStr">
        <is>
          <t>A 19125-2019</t>
        </is>
      </c>
      <c r="B159" s="1" t="n">
        <v>43564</v>
      </c>
      <c r="C159" s="1" t="n">
        <v>45574</v>
      </c>
      <c r="D159" t="inlineStr">
        <is>
          <t>VÄRMLANDS LÄN</t>
        </is>
      </c>
      <c r="E159" t="inlineStr">
        <is>
          <t>TORSBY</t>
        </is>
      </c>
      <c r="G159" t="n">
        <v>18.3</v>
      </c>
      <c r="H159" t="n">
        <v>0</v>
      </c>
      <c r="I159" t="n">
        <v>0</v>
      </c>
      <c r="J159" t="n">
        <v>0</v>
      </c>
      <c r="K159" t="n">
        <v>0</v>
      </c>
      <c r="L159" t="n">
        <v>0</v>
      </c>
      <c r="M159" t="n">
        <v>0</v>
      </c>
      <c r="N159" t="n">
        <v>0</v>
      </c>
      <c r="O159" t="n">
        <v>0</v>
      </c>
      <c r="P159" t="n">
        <v>0</v>
      </c>
      <c r="Q159" t="n">
        <v>0</v>
      </c>
      <c r="R159" s="2" t="inlineStr"/>
    </row>
    <row r="160" ht="15" customHeight="1">
      <c r="A160" t="inlineStr">
        <is>
          <t>A 19591-2019</t>
        </is>
      </c>
      <c r="B160" s="1" t="n">
        <v>43566</v>
      </c>
      <c r="C160" s="1" t="n">
        <v>45574</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20167-2019</t>
        </is>
      </c>
      <c r="B161" s="1" t="n">
        <v>43570</v>
      </c>
      <c r="C161" s="1" t="n">
        <v>45574</v>
      </c>
      <c r="D161" t="inlineStr">
        <is>
          <t>VÄRMLANDS LÄN</t>
        </is>
      </c>
      <c r="E161" t="inlineStr">
        <is>
          <t>TORSBY</t>
        </is>
      </c>
      <c r="G161" t="n">
        <v>5</v>
      </c>
      <c r="H161" t="n">
        <v>0</v>
      </c>
      <c r="I161" t="n">
        <v>0</v>
      </c>
      <c r="J161" t="n">
        <v>0</v>
      </c>
      <c r="K161" t="n">
        <v>0</v>
      </c>
      <c r="L161" t="n">
        <v>0</v>
      </c>
      <c r="M161" t="n">
        <v>0</v>
      </c>
      <c r="N161" t="n">
        <v>0</v>
      </c>
      <c r="O161" t="n">
        <v>0</v>
      </c>
      <c r="P161" t="n">
        <v>0</v>
      </c>
      <c r="Q161" t="n">
        <v>0</v>
      </c>
      <c r="R161" s="2" t="inlineStr"/>
    </row>
    <row r="162" ht="15" customHeight="1">
      <c r="A162" t="inlineStr">
        <is>
          <t>A 20190-2019</t>
        </is>
      </c>
      <c r="B162" s="1" t="n">
        <v>43570</v>
      </c>
      <c r="C162" s="1" t="n">
        <v>45574</v>
      </c>
      <c r="D162" t="inlineStr">
        <is>
          <t>VÄRMLANDS LÄN</t>
        </is>
      </c>
      <c r="E162" t="inlineStr">
        <is>
          <t>TORSBY</t>
        </is>
      </c>
      <c r="G162" t="n">
        <v>2.1</v>
      </c>
      <c r="H162" t="n">
        <v>0</v>
      </c>
      <c r="I162" t="n">
        <v>0</v>
      </c>
      <c r="J162" t="n">
        <v>0</v>
      </c>
      <c r="K162" t="n">
        <v>0</v>
      </c>
      <c r="L162" t="n">
        <v>0</v>
      </c>
      <c r="M162" t="n">
        <v>0</v>
      </c>
      <c r="N162" t="n">
        <v>0</v>
      </c>
      <c r="O162" t="n">
        <v>0</v>
      </c>
      <c r="P162" t="n">
        <v>0</v>
      </c>
      <c r="Q162" t="n">
        <v>0</v>
      </c>
      <c r="R162" s="2" t="inlineStr"/>
    </row>
    <row r="163" ht="15" customHeight="1">
      <c r="A163" t="inlineStr">
        <is>
          <t>A 20244-2019</t>
        </is>
      </c>
      <c r="B163" s="1" t="n">
        <v>43571</v>
      </c>
      <c r="C163" s="1" t="n">
        <v>45574</v>
      </c>
      <c r="D163" t="inlineStr">
        <is>
          <t>VÄRMLANDS LÄN</t>
        </is>
      </c>
      <c r="E163" t="inlineStr">
        <is>
          <t>TORSBY</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20616-2019</t>
        </is>
      </c>
      <c r="B164" s="1" t="n">
        <v>43572</v>
      </c>
      <c r="C164" s="1" t="n">
        <v>45574</v>
      </c>
      <c r="D164" t="inlineStr">
        <is>
          <t>VÄRMLANDS LÄN</t>
        </is>
      </c>
      <c r="E164" t="inlineStr">
        <is>
          <t>TORSBY</t>
        </is>
      </c>
      <c r="G164" t="n">
        <v>0.4</v>
      </c>
      <c r="H164" t="n">
        <v>0</v>
      </c>
      <c r="I164" t="n">
        <v>0</v>
      </c>
      <c r="J164" t="n">
        <v>0</v>
      </c>
      <c r="K164" t="n">
        <v>0</v>
      </c>
      <c r="L164" t="n">
        <v>0</v>
      </c>
      <c r="M164" t="n">
        <v>0</v>
      </c>
      <c r="N164" t="n">
        <v>0</v>
      </c>
      <c r="O164" t="n">
        <v>0</v>
      </c>
      <c r="P164" t="n">
        <v>0</v>
      </c>
      <c r="Q164" t="n">
        <v>0</v>
      </c>
      <c r="R164" s="2" t="inlineStr"/>
    </row>
    <row r="165" ht="15" customHeight="1">
      <c r="A165" t="inlineStr">
        <is>
          <t>A 20468-2019</t>
        </is>
      </c>
      <c r="B165" s="1" t="n">
        <v>43572</v>
      </c>
      <c r="C165" s="1" t="n">
        <v>45574</v>
      </c>
      <c r="D165" t="inlineStr">
        <is>
          <t>VÄRMLANDS LÄN</t>
        </is>
      </c>
      <c r="E165" t="inlineStr">
        <is>
          <t>TORSBY</t>
        </is>
      </c>
      <c r="G165" t="n">
        <v>2.9</v>
      </c>
      <c r="H165" t="n">
        <v>0</v>
      </c>
      <c r="I165" t="n">
        <v>0</v>
      </c>
      <c r="J165" t="n">
        <v>0</v>
      </c>
      <c r="K165" t="n">
        <v>0</v>
      </c>
      <c r="L165" t="n">
        <v>0</v>
      </c>
      <c r="M165" t="n">
        <v>0</v>
      </c>
      <c r="N165" t="n">
        <v>0</v>
      </c>
      <c r="O165" t="n">
        <v>0</v>
      </c>
      <c r="P165" t="n">
        <v>0</v>
      </c>
      <c r="Q165" t="n">
        <v>0</v>
      </c>
      <c r="R165" s="2" t="inlineStr"/>
    </row>
    <row r="166" ht="15" customHeight="1">
      <c r="A166" t="inlineStr">
        <is>
          <t>A 21166-2019</t>
        </is>
      </c>
      <c r="B166" s="1" t="n">
        <v>43578</v>
      </c>
      <c r="C166" s="1" t="n">
        <v>45574</v>
      </c>
      <c r="D166" t="inlineStr">
        <is>
          <t>VÄRMLANDS LÄN</t>
        </is>
      </c>
      <c r="E166" t="inlineStr">
        <is>
          <t>TORSBY</t>
        </is>
      </c>
      <c r="G166" t="n">
        <v>3.4</v>
      </c>
      <c r="H166" t="n">
        <v>0</v>
      </c>
      <c r="I166" t="n">
        <v>0</v>
      </c>
      <c r="J166" t="n">
        <v>0</v>
      </c>
      <c r="K166" t="n">
        <v>0</v>
      </c>
      <c r="L166" t="n">
        <v>0</v>
      </c>
      <c r="M166" t="n">
        <v>0</v>
      </c>
      <c r="N166" t="n">
        <v>0</v>
      </c>
      <c r="O166" t="n">
        <v>0</v>
      </c>
      <c r="P166" t="n">
        <v>0</v>
      </c>
      <c r="Q166" t="n">
        <v>0</v>
      </c>
      <c r="R166" s="2" t="inlineStr"/>
    </row>
    <row r="167" ht="15" customHeight="1">
      <c r="A167" t="inlineStr">
        <is>
          <t>A 21387-2019</t>
        </is>
      </c>
      <c r="B167" s="1" t="n">
        <v>43580</v>
      </c>
      <c r="C167" s="1" t="n">
        <v>45574</v>
      </c>
      <c r="D167" t="inlineStr">
        <is>
          <t>VÄRMLANDS LÄN</t>
        </is>
      </c>
      <c r="E167" t="inlineStr">
        <is>
          <t>TORSBY</t>
        </is>
      </c>
      <c r="G167" t="n">
        <v>2.4</v>
      </c>
      <c r="H167" t="n">
        <v>0</v>
      </c>
      <c r="I167" t="n">
        <v>0</v>
      </c>
      <c r="J167" t="n">
        <v>0</v>
      </c>
      <c r="K167" t="n">
        <v>0</v>
      </c>
      <c r="L167" t="n">
        <v>0</v>
      </c>
      <c r="M167" t="n">
        <v>0</v>
      </c>
      <c r="N167" t="n">
        <v>0</v>
      </c>
      <c r="O167" t="n">
        <v>0</v>
      </c>
      <c r="P167" t="n">
        <v>0</v>
      </c>
      <c r="Q167" t="n">
        <v>0</v>
      </c>
      <c r="R167" s="2" t="inlineStr"/>
    </row>
    <row r="168" ht="15" customHeight="1">
      <c r="A168" t="inlineStr">
        <is>
          <t>A 21958-2019</t>
        </is>
      </c>
      <c r="B168" s="1" t="n">
        <v>43584</v>
      </c>
      <c r="C168" s="1" t="n">
        <v>45574</v>
      </c>
      <c r="D168" t="inlineStr">
        <is>
          <t>VÄRMLANDS LÄN</t>
        </is>
      </c>
      <c r="E168" t="inlineStr">
        <is>
          <t>TORSBY</t>
        </is>
      </c>
      <c r="G168" t="n">
        <v>3.5</v>
      </c>
      <c r="H168" t="n">
        <v>0</v>
      </c>
      <c r="I168" t="n">
        <v>0</v>
      </c>
      <c r="J168" t="n">
        <v>0</v>
      </c>
      <c r="K168" t="n">
        <v>0</v>
      </c>
      <c r="L168" t="n">
        <v>0</v>
      </c>
      <c r="M168" t="n">
        <v>0</v>
      </c>
      <c r="N168" t="n">
        <v>0</v>
      </c>
      <c r="O168" t="n">
        <v>0</v>
      </c>
      <c r="P168" t="n">
        <v>0</v>
      </c>
      <c r="Q168" t="n">
        <v>0</v>
      </c>
      <c r="R168" s="2" t="inlineStr"/>
    </row>
    <row r="169" ht="15" customHeight="1">
      <c r="A169" t="inlineStr">
        <is>
          <t>A 22252-2019</t>
        </is>
      </c>
      <c r="B169" s="1" t="n">
        <v>43585</v>
      </c>
      <c r="C169" s="1" t="n">
        <v>45574</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22158-2019</t>
        </is>
      </c>
      <c r="B170" s="1" t="n">
        <v>43585</v>
      </c>
      <c r="C170" s="1" t="n">
        <v>45574</v>
      </c>
      <c r="D170" t="inlineStr">
        <is>
          <t>VÄRMLANDS LÄN</t>
        </is>
      </c>
      <c r="E170" t="inlineStr">
        <is>
          <t>TORSBY</t>
        </is>
      </c>
      <c r="G170" t="n">
        <v>4.5</v>
      </c>
      <c r="H170" t="n">
        <v>0</v>
      </c>
      <c r="I170" t="n">
        <v>0</v>
      </c>
      <c r="J170" t="n">
        <v>0</v>
      </c>
      <c r="K170" t="n">
        <v>0</v>
      </c>
      <c r="L170" t="n">
        <v>0</v>
      </c>
      <c r="M170" t="n">
        <v>0</v>
      </c>
      <c r="N170" t="n">
        <v>0</v>
      </c>
      <c r="O170" t="n">
        <v>0</v>
      </c>
      <c r="P170" t="n">
        <v>0</v>
      </c>
      <c r="Q170" t="n">
        <v>0</v>
      </c>
      <c r="R170" s="2" t="inlineStr"/>
    </row>
    <row r="171" ht="15" customHeight="1">
      <c r="A171" t="inlineStr">
        <is>
          <t>A 22416-2019</t>
        </is>
      </c>
      <c r="B171" s="1" t="n">
        <v>43587</v>
      </c>
      <c r="C171" s="1" t="n">
        <v>45574</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22351-2019</t>
        </is>
      </c>
      <c r="B172" s="1" t="n">
        <v>43587</v>
      </c>
      <c r="C172" s="1" t="n">
        <v>45574</v>
      </c>
      <c r="D172" t="inlineStr">
        <is>
          <t>VÄRMLANDS LÄN</t>
        </is>
      </c>
      <c r="E172" t="inlineStr">
        <is>
          <t>TORSBY</t>
        </is>
      </c>
      <c r="G172" t="n">
        <v>4.3</v>
      </c>
      <c r="H172" t="n">
        <v>0</v>
      </c>
      <c r="I172" t="n">
        <v>0</v>
      </c>
      <c r="J172" t="n">
        <v>0</v>
      </c>
      <c r="K172" t="n">
        <v>0</v>
      </c>
      <c r="L172" t="n">
        <v>0</v>
      </c>
      <c r="M172" t="n">
        <v>0</v>
      </c>
      <c r="N172" t="n">
        <v>0</v>
      </c>
      <c r="O172" t="n">
        <v>0</v>
      </c>
      <c r="P172" t="n">
        <v>0</v>
      </c>
      <c r="Q172" t="n">
        <v>0</v>
      </c>
      <c r="R172" s="2" t="inlineStr"/>
    </row>
    <row r="173" ht="15" customHeight="1">
      <c r="A173" t="inlineStr">
        <is>
          <t>A 22692-2019</t>
        </is>
      </c>
      <c r="B173" s="1" t="n">
        <v>43588</v>
      </c>
      <c r="C173" s="1" t="n">
        <v>45574</v>
      </c>
      <c r="D173" t="inlineStr">
        <is>
          <t>VÄRMLANDS LÄN</t>
        </is>
      </c>
      <c r="E173" t="inlineStr">
        <is>
          <t>TORSBY</t>
        </is>
      </c>
      <c r="F173" t="inlineStr">
        <is>
          <t>Bergvik skog väst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22717-2019</t>
        </is>
      </c>
      <c r="B174" s="1" t="n">
        <v>43588</v>
      </c>
      <c r="C174" s="1" t="n">
        <v>45574</v>
      </c>
      <c r="D174" t="inlineStr">
        <is>
          <t>VÄRMLANDS LÄN</t>
        </is>
      </c>
      <c r="E174" t="inlineStr">
        <is>
          <t>TORSBY</t>
        </is>
      </c>
      <c r="G174" t="n">
        <v>8</v>
      </c>
      <c r="H174" t="n">
        <v>0</v>
      </c>
      <c r="I174" t="n">
        <v>0</v>
      </c>
      <c r="J174" t="n">
        <v>0</v>
      </c>
      <c r="K174" t="n">
        <v>0</v>
      </c>
      <c r="L174" t="n">
        <v>0</v>
      </c>
      <c r="M174" t="n">
        <v>0</v>
      </c>
      <c r="N174" t="n">
        <v>0</v>
      </c>
      <c r="O174" t="n">
        <v>0</v>
      </c>
      <c r="P174" t="n">
        <v>0</v>
      </c>
      <c r="Q174" t="n">
        <v>0</v>
      </c>
      <c r="R174" s="2" t="inlineStr"/>
    </row>
    <row r="175" ht="15" customHeight="1">
      <c r="A175" t="inlineStr">
        <is>
          <t>A 23412-2019</t>
        </is>
      </c>
      <c r="B175" s="1" t="n">
        <v>43593</v>
      </c>
      <c r="C175" s="1" t="n">
        <v>45574</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23892-2019</t>
        </is>
      </c>
      <c r="B176" s="1" t="n">
        <v>43595</v>
      </c>
      <c r="C176" s="1" t="n">
        <v>45574</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23771-2019</t>
        </is>
      </c>
      <c r="B177" s="1" t="n">
        <v>43595</v>
      </c>
      <c r="C177" s="1" t="n">
        <v>45574</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24667-2019</t>
        </is>
      </c>
      <c r="B178" s="1" t="n">
        <v>43599</v>
      </c>
      <c r="C178" s="1" t="n">
        <v>45574</v>
      </c>
      <c r="D178" t="inlineStr">
        <is>
          <t>VÄRMLANDS LÄN</t>
        </is>
      </c>
      <c r="E178" t="inlineStr">
        <is>
          <t>TORSBY</t>
        </is>
      </c>
      <c r="G178" t="n">
        <v>6.7</v>
      </c>
      <c r="H178" t="n">
        <v>0</v>
      </c>
      <c r="I178" t="n">
        <v>0</v>
      </c>
      <c r="J178" t="n">
        <v>0</v>
      </c>
      <c r="K178" t="n">
        <v>0</v>
      </c>
      <c r="L178" t="n">
        <v>0</v>
      </c>
      <c r="M178" t="n">
        <v>0</v>
      </c>
      <c r="N178" t="n">
        <v>0</v>
      </c>
      <c r="O178" t="n">
        <v>0</v>
      </c>
      <c r="P178" t="n">
        <v>0</v>
      </c>
      <c r="Q178" t="n">
        <v>0</v>
      </c>
      <c r="R178" s="2" t="inlineStr"/>
    </row>
    <row r="179" ht="15" customHeight="1">
      <c r="A179" t="inlineStr">
        <is>
          <t>A 24703-2019</t>
        </is>
      </c>
      <c r="B179" s="1" t="n">
        <v>43601</v>
      </c>
      <c r="C179" s="1" t="n">
        <v>45574</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26493-2019</t>
        </is>
      </c>
      <c r="B180" s="1" t="n">
        <v>43612</v>
      </c>
      <c r="C180" s="1" t="n">
        <v>45574</v>
      </c>
      <c r="D180" t="inlineStr">
        <is>
          <t>VÄRMLANDS LÄN</t>
        </is>
      </c>
      <c r="E180" t="inlineStr">
        <is>
          <t>TORSBY</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27907-2019</t>
        </is>
      </c>
      <c r="B181" s="1" t="n">
        <v>43612</v>
      </c>
      <c r="C181" s="1" t="n">
        <v>45574</v>
      </c>
      <c r="D181" t="inlineStr">
        <is>
          <t>VÄRMLANDS LÄN</t>
        </is>
      </c>
      <c r="E181" t="inlineStr">
        <is>
          <t>TORSBY</t>
        </is>
      </c>
      <c r="G181" t="n">
        <v>7.5</v>
      </c>
      <c r="H181" t="n">
        <v>0</v>
      </c>
      <c r="I181" t="n">
        <v>0</v>
      </c>
      <c r="J181" t="n">
        <v>0</v>
      </c>
      <c r="K181" t="n">
        <v>0</v>
      </c>
      <c r="L181" t="n">
        <v>0</v>
      </c>
      <c r="M181" t="n">
        <v>0</v>
      </c>
      <c r="N181" t="n">
        <v>0</v>
      </c>
      <c r="O181" t="n">
        <v>0</v>
      </c>
      <c r="P181" t="n">
        <v>0</v>
      </c>
      <c r="Q181" t="n">
        <v>0</v>
      </c>
      <c r="R181" s="2" t="inlineStr"/>
    </row>
    <row r="182" ht="15" customHeight="1">
      <c r="A182" t="inlineStr">
        <is>
          <t>A 26783-2019</t>
        </is>
      </c>
      <c r="B182" s="1" t="n">
        <v>43613</v>
      </c>
      <c r="C182" s="1" t="n">
        <v>45574</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27711-2019</t>
        </is>
      </c>
      <c r="B183" s="1" t="n">
        <v>43619</v>
      </c>
      <c r="C183" s="1" t="n">
        <v>45574</v>
      </c>
      <c r="D183" t="inlineStr">
        <is>
          <t>VÄRMLANDS LÄN</t>
        </is>
      </c>
      <c r="E183" t="inlineStr">
        <is>
          <t>TORSBY</t>
        </is>
      </c>
      <c r="G183" t="n">
        <v>0.7</v>
      </c>
      <c r="H183" t="n">
        <v>0</v>
      </c>
      <c r="I183" t="n">
        <v>0</v>
      </c>
      <c r="J183" t="n">
        <v>0</v>
      </c>
      <c r="K183" t="n">
        <v>0</v>
      </c>
      <c r="L183" t="n">
        <v>0</v>
      </c>
      <c r="M183" t="n">
        <v>0</v>
      </c>
      <c r="N183" t="n">
        <v>0</v>
      </c>
      <c r="O183" t="n">
        <v>0</v>
      </c>
      <c r="P183" t="n">
        <v>0</v>
      </c>
      <c r="Q183" t="n">
        <v>0</v>
      </c>
      <c r="R183" s="2" t="inlineStr"/>
    </row>
    <row r="184" ht="15" customHeight="1">
      <c r="A184" t="inlineStr">
        <is>
          <t>A 27682-2019</t>
        </is>
      </c>
      <c r="B184" s="1" t="n">
        <v>43619</v>
      </c>
      <c r="C184" s="1" t="n">
        <v>45574</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28975-2019</t>
        </is>
      </c>
      <c r="B185" s="1" t="n">
        <v>43619</v>
      </c>
      <c r="C185" s="1" t="n">
        <v>45574</v>
      </c>
      <c r="D185" t="inlineStr">
        <is>
          <t>VÄRMLANDS LÄN</t>
        </is>
      </c>
      <c r="E185" t="inlineStr">
        <is>
          <t>TORSBY</t>
        </is>
      </c>
      <c r="G185" t="n">
        <v>6.5</v>
      </c>
      <c r="H185" t="n">
        <v>0</v>
      </c>
      <c r="I185" t="n">
        <v>0</v>
      </c>
      <c r="J185" t="n">
        <v>0</v>
      </c>
      <c r="K185" t="n">
        <v>0</v>
      </c>
      <c r="L185" t="n">
        <v>0</v>
      </c>
      <c r="M185" t="n">
        <v>0</v>
      </c>
      <c r="N185" t="n">
        <v>0</v>
      </c>
      <c r="O185" t="n">
        <v>0</v>
      </c>
      <c r="P185" t="n">
        <v>0</v>
      </c>
      <c r="Q185" t="n">
        <v>0</v>
      </c>
      <c r="R185" s="2" t="inlineStr"/>
    </row>
    <row r="186" ht="15" customHeight="1">
      <c r="A186" t="inlineStr">
        <is>
          <t>A 28487-2019</t>
        </is>
      </c>
      <c r="B186" s="1" t="n">
        <v>43621</v>
      </c>
      <c r="C186" s="1" t="n">
        <v>45574</v>
      </c>
      <c r="D186" t="inlineStr">
        <is>
          <t>VÄRMLANDS LÄN</t>
        </is>
      </c>
      <c r="E186" t="inlineStr">
        <is>
          <t>TORSBY</t>
        </is>
      </c>
      <c r="G186" t="n">
        <v>1.6</v>
      </c>
      <c r="H186" t="n">
        <v>0</v>
      </c>
      <c r="I186" t="n">
        <v>0</v>
      </c>
      <c r="J186" t="n">
        <v>0</v>
      </c>
      <c r="K186" t="n">
        <v>0</v>
      </c>
      <c r="L186" t="n">
        <v>0</v>
      </c>
      <c r="M186" t="n">
        <v>0</v>
      </c>
      <c r="N186" t="n">
        <v>0</v>
      </c>
      <c r="O186" t="n">
        <v>0</v>
      </c>
      <c r="P186" t="n">
        <v>0</v>
      </c>
      <c r="Q186" t="n">
        <v>0</v>
      </c>
      <c r="R186" s="2" t="inlineStr"/>
    </row>
    <row r="187" ht="15" customHeight="1">
      <c r="A187" t="inlineStr">
        <is>
          <t>A 28653-2019</t>
        </is>
      </c>
      <c r="B187" s="1" t="n">
        <v>43627</v>
      </c>
      <c r="C187" s="1" t="n">
        <v>45574</v>
      </c>
      <c r="D187" t="inlineStr">
        <is>
          <t>VÄRMLANDS LÄN</t>
        </is>
      </c>
      <c r="E187" t="inlineStr">
        <is>
          <t>TORSBY</t>
        </is>
      </c>
      <c r="G187" t="n">
        <v>5.2</v>
      </c>
      <c r="H187" t="n">
        <v>0</v>
      </c>
      <c r="I187" t="n">
        <v>0</v>
      </c>
      <c r="J187" t="n">
        <v>0</v>
      </c>
      <c r="K187" t="n">
        <v>0</v>
      </c>
      <c r="L187" t="n">
        <v>0</v>
      </c>
      <c r="M187" t="n">
        <v>0</v>
      </c>
      <c r="N187" t="n">
        <v>0</v>
      </c>
      <c r="O187" t="n">
        <v>0</v>
      </c>
      <c r="P187" t="n">
        <v>0</v>
      </c>
      <c r="Q187" t="n">
        <v>0</v>
      </c>
      <c r="R187" s="2" t="inlineStr"/>
    </row>
    <row r="188" ht="15" customHeight="1">
      <c r="A188" t="inlineStr">
        <is>
          <t>A 28818-2019</t>
        </is>
      </c>
      <c r="B188" s="1" t="n">
        <v>43627</v>
      </c>
      <c r="C188" s="1" t="n">
        <v>45574</v>
      </c>
      <c r="D188" t="inlineStr">
        <is>
          <t>VÄRMLANDS LÄN</t>
        </is>
      </c>
      <c r="E188" t="inlineStr">
        <is>
          <t>TORSBY</t>
        </is>
      </c>
      <c r="F188" t="inlineStr">
        <is>
          <t>Bergvik skog väst AB</t>
        </is>
      </c>
      <c r="G188" t="n">
        <v>58.6</v>
      </c>
      <c r="H188" t="n">
        <v>0</v>
      </c>
      <c r="I188" t="n">
        <v>0</v>
      </c>
      <c r="J188" t="n">
        <v>0</v>
      </c>
      <c r="K188" t="n">
        <v>0</v>
      </c>
      <c r="L188" t="n">
        <v>0</v>
      </c>
      <c r="M188" t="n">
        <v>0</v>
      </c>
      <c r="N188" t="n">
        <v>0</v>
      </c>
      <c r="O188" t="n">
        <v>0</v>
      </c>
      <c r="P188" t="n">
        <v>0</v>
      </c>
      <c r="Q188" t="n">
        <v>0</v>
      </c>
      <c r="R188" s="2" t="inlineStr"/>
    </row>
    <row r="189" ht="15" customHeight="1">
      <c r="A189" t="inlineStr">
        <is>
          <t>A 28889-2019</t>
        </is>
      </c>
      <c r="B189" s="1" t="n">
        <v>43628</v>
      </c>
      <c r="C189" s="1" t="n">
        <v>45574</v>
      </c>
      <c r="D189" t="inlineStr">
        <is>
          <t>VÄRMLANDS LÄN</t>
        </is>
      </c>
      <c r="E189" t="inlineStr">
        <is>
          <t>TORSBY</t>
        </is>
      </c>
      <c r="G189" t="n">
        <v>2</v>
      </c>
      <c r="H189" t="n">
        <v>0</v>
      </c>
      <c r="I189" t="n">
        <v>0</v>
      </c>
      <c r="J189" t="n">
        <v>0</v>
      </c>
      <c r="K189" t="n">
        <v>0</v>
      </c>
      <c r="L189" t="n">
        <v>0</v>
      </c>
      <c r="M189" t="n">
        <v>0</v>
      </c>
      <c r="N189" t="n">
        <v>0</v>
      </c>
      <c r="O189" t="n">
        <v>0</v>
      </c>
      <c r="P189" t="n">
        <v>0</v>
      </c>
      <c r="Q189" t="n">
        <v>0</v>
      </c>
      <c r="R189" s="2" t="inlineStr"/>
    </row>
    <row r="190" ht="15" customHeight="1">
      <c r="A190" t="inlineStr">
        <is>
          <t>A 29436-2019</t>
        </is>
      </c>
      <c r="B190" s="1" t="n">
        <v>43629</v>
      </c>
      <c r="C190" s="1" t="n">
        <v>45574</v>
      </c>
      <c r="D190" t="inlineStr">
        <is>
          <t>VÄRMLANDS LÄN</t>
        </is>
      </c>
      <c r="E190" t="inlineStr">
        <is>
          <t>TORSBY</t>
        </is>
      </c>
      <c r="F190" t="inlineStr">
        <is>
          <t>Bergvik skog väst AB</t>
        </is>
      </c>
      <c r="G190" t="n">
        <v>33.7</v>
      </c>
      <c r="H190" t="n">
        <v>0</v>
      </c>
      <c r="I190" t="n">
        <v>0</v>
      </c>
      <c r="J190" t="n">
        <v>0</v>
      </c>
      <c r="K190" t="n">
        <v>0</v>
      </c>
      <c r="L190" t="n">
        <v>0</v>
      </c>
      <c r="M190" t="n">
        <v>0</v>
      </c>
      <c r="N190" t="n">
        <v>0</v>
      </c>
      <c r="O190" t="n">
        <v>0</v>
      </c>
      <c r="P190" t="n">
        <v>0</v>
      </c>
      <c r="Q190" t="n">
        <v>0</v>
      </c>
      <c r="R190" s="2" t="inlineStr"/>
    </row>
    <row r="191" ht="15" customHeight="1">
      <c r="A191" t="inlineStr">
        <is>
          <t>A 30031-2019</t>
        </is>
      </c>
      <c r="B191" s="1" t="n">
        <v>43633</v>
      </c>
      <c r="C191" s="1" t="n">
        <v>45574</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30049-2019</t>
        </is>
      </c>
      <c r="B192" s="1" t="n">
        <v>43633</v>
      </c>
      <c r="C192" s="1" t="n">
        <v>45574</v>
      </c>
      <c r="D192" t="inlineStr">
        <is>
          <t>VÄRMLANDS LÄN</t>
        </is>
      </c>
      <c r="E192" t="inlineStr">
        <is>
          <t>TORSBY</t>
        </is>
      </c>
      <c r="G192" t="n">
        <v>7.1</v>
      </c>
      <c r="H192" t="n">
        <v>0</v>
      </c>
      <c r="I192" t="n">
        <v>0</v>
      </c>
      <c r="J192" t="n">
        <v>0</v>
      </c>
      <c r="K192" t="n">
        <v>0</v>
      </c>
      <c r="L192" t="n">
        <v>0</v>
      </c>
      <c r="M192" t="n">
        <v>0</v>
      </c>
      <c r="N192" t="n">
        <v>0</v>
      </c>
      <c r="O192" t="n">
        <v>0</v>
      </c>
      <c r="P192" t="n">
        <v>0</v>
      </c>
      <c r="Q192" t="n">
        <v>0</v>
      </c>
      <c r="R192" s="2" t="inlineStr"/>
    </row>
    <row r="193" ht="15" customHeight="1">
      <c r="A193" t="inlineStr">
        <is>
          <t>A 29984-2019</t>
        </is>
      </c>
      <c r="B193" s="1" t="n">
        <v>43633</v>
      </c>
      <c r="C193" s="1" t="n">
        <v>45574</v>
      </c>
      <c r="D193" t="inlineStr">
        <is>
          <t>VÄRMLANDS LÄN</t>
        </is>
      </c>
      <c r="E193" t="inlineStr">
        <is>
          <t>TORSBY</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30158-2019</t>
        </is>
      </c>
      <c r="B194" s="1" t="n">
        <v>43634</v>
      </c>
      <c r="C194" s="1" t="n">
        <v>45574</v>
      </c>
      <c r="D194" t="inlineStr">
        <is>
          <t>VÄRMLANDS LÄN</t>
        </is>
      </c>
      <c r="E194" t="inlineStr">
        <is>
          <t>TORSBY</t>
        </is>
      </c>
      <c r="G194" t="n">
        <v>3.3</v>
      </c>
      <c r="H194" t="n">
        <v>0</v>
      </c>
      <c r="I194" t="n">
        <v>0</v>
      </c>
      <c r="J194" t="n">
        <v>0</v>
      </c>
      <c r="K194" t="n">
        <v>0</v>
      </c>
      <c r="L194" t="n">
        <v>0</v>
      </c>
      <c r="M194" t="n">
        <v>0</v>
      </c>
      <c r="N194" t="n">
        <v>0</v>
      </c>
      <c r="O194" t="n">
        <v>0</v>
      </c>
      <c r="P194" t="n">
        <v>0</v>
      </c>
      <c r="Q194" t="n">
        <v>0</v>
      </c>
      <c r="R194" s="2" t="inlineStr"/>
    </row>
    <row r="195" ht="15" customHeight="1">
      <c r="A195" t="inlineStr">
        <is>
          <t>A 30596-2019</t>
        </is>
      </c>
      <c r="B195" s="1" t="n">
        <v>43635</v>
      </c>
      <c r="C195" s="1" t="n">
        <v>45574</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30860-2019</t>
        </is>
      </c>
      <c r="B196" s="1" t="n">
        <v>43636</v>
      </c>
      <c r="C196" s="1" t="n">
        <v>45574</v>
      </c>
      <c r="D196" t="inlineStr">
        <is>
          <t>VÄRMLANDS LÄN</t>
        </is>
      </c>
      <c r="E196" t="inlineStr">
        <is>
          <t>TORSBY</t>
        </is>
      </c>
      <c r="G196" t="n">
        <v>11.7</v>
      </c>
      <c r="H196" t="n">
        <v>0</v>
      </c>
      <c r="I196" t="n">
        <v>0</v>
      </c>
      <c r="J196" t="n">
        <v>0</v>
      </c>
      <c r="K196" t="n">
        <v>0</v>
      </c>
      <c r="L196" t="n">
        <v>0</v>
      </c>
      <c r="M196" t="n">
        <v>0</v>
      </c>
      <c r="N196" t="n">
        <v>0</v>
      </c>
      <c r="O196" t="n">
        <v>0</v>
      </c>
      <c r="P196" t="n">
        <v>0</v>
      </c>
      <c r="Q196" t="n">
        <v>0</v>
      </c>
      <c r="R196" s="2" t="inlineStr"/>
    </row>
    <row r="197" ht="15" customHeight="1">
      <c r="A197" t="inlineStr">
        <is>
          <t>A 31109-2019</t>
        </is>
      </c>
      <c r="B197" s="1" t="n">
        <v>43640</v>
      </c>
      <c r="C197" s="1" t="n">
        <v>45574</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31010-2019</t>
        </is>
      </c>
      <c r="B198" s="1" t="n">
        <v>43640</v>
      </c>
      <c r="C198" s="1" t="n">
        <v>45574</v>
      </c>
      <c r="D198" t="inlineStr">
        <is>
          <t>VÄRMLANDS LÄN</t>
        </is>
      </c>
      <c r="E198" t="inlineStr">
        <is>
          <t>TORSBY</t>
        </is>
      </c>
      <c r="G198" t="n">
        <v>4</v>
      </c>
      <c r="H198" t="n">
        <v>0</v>
      </c>
      <c r="I198" t="n">
        <v>0</v>
      </c>
      <c r="J198" t="n">
        <v>0</v>
      </c>
      <c r="K198" t="n">
        <v>0</v>
      </c>
      <c r="L198" t="n">
        <v>0</v>
      </c>
      <c r="M198" t="n">
        <v>0</v>
      </c>
      <c r="N198" t="n">
        <v>0</v>
      </c>
      <c r="O198" t="n">
        <v>0</v>
      </c>
      <c r="P198" t="n">
        <v>0</v>
      </c>
      <c r="Q198" t="n">
        <v>0</v>
      </c>
      <c r="R198" s="2" t="inlineStr"/>
    </row>
    <row r="199" ht="15" customHeight="1">
      <c r="A199" t="inlineStr">
        <is>
          <t>A 31138-2019</t>
        </is>
      </c>
      <c r="B199" s="1" t="n">
        <v>43640</v>
      </c>
      <c r="C199" s="1" t="n">
        <v>45574</v>
      </c>
      <c r="D199" t="inlineStr">
        <is>
          <t>VÄRMLANDS LÄN</t>
        </is>
      </c>
      <c r="E199" t="inlineStr">
        <is>
          <t>TORSBY</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31543-2019</t>
        </is>
      </c>
      <c r="B200" s="1" t="n">
        <v>43641</v>
      </c>
      <c r="C200" s="1" t="n">
        <v>45574</v>
      </c>
      <c r="D200" t="inlineStr">
        <is>
          <t>VÄRMLANDS LÄN</t>
        </is>
      </c>
      <c r="E200" t="inlineStr">
        <is>
          <t>TORSBY</t>
        </is>
      </c>
      <c r="G200" t="n">
        <v>6</v>
      </c>
      <c r="H200" t="n">
        <v>0</v>
      </c>
      <c r="I200" t="n">
        <v>0</v>
      </c>
      <c r="J200" t="n">
        <v>0</v>
      </c>
      <c r="K200" t="n">
        <v>0</v>
      </c>
      <c r="L200" t="n">
        <v>0</v>
      </c>
      <c r="M200" t="n">
        <v>0</v>
      </c>
      <c r="N200" t="n">
        <v>0</v>
      </c>
      <c r="O200" t="n">
        <v>0</v>
      </c>
      <c r="P200" t="n">
        <v>0</v>
      </c>
      <c r="Q200" t="n">
        <v>0</v>
      </c>
      <c r="R200" s="2" t="inlineStr"/>
    </row>
    <row r="201" ht="15" customHeight="1">
      <c r="A201" t="inlineStr">
        <is>
          <t>A 31930-2019</t>
        </is>
      </c>
      <c r="B201" s="1" t="n">
        <v>43642</v>
      </c>
      <c r="C201" s="1" t="n">
        <v>45574</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32170-2019</t>
        </is>
      </c>
      <c r="B202" s="1" t="n">
        <v>43643</v>
      </c>
      <c r="C202" s="1" t="n">
        <v>45574</v>
      </c>
      <c r="D202" t="inlineStr">
        <is>
          <t>VÄRMLANDS LÄN</t>
        </is>
      </c>
      <c r="E202" t="inlineStr">
        <is>
          <t>TORSBY</t>
        </is>
      </c>
      <c r="G202" t="n">
        <v>4.6</v>
      </c>
      <c r="H202" t="n">
        <v>0</v>
      </c>
      <c r="I202" t="n">
        <v>0</v>
      </c>
      <c r="J202" t="n">
        <v>0</v>
      </c>
      <c r="K202" t="n">
        <v>0</v>
      </c>
      <c r="L202" t="n">
        <v>0</v>
      </c>
      <c r="M202" t="n">
        <v>0</v>
      </c>
      <c r="N202" t="n">
        <v>0</v>
      </c>
      <c r="O202" t="n">
        <v>0</v>
      </c>
      <c r="P202" t="n">
        <v>0</v>
      </c>
      <c r="Q202" t="n">
        <v>0</v>
      </c>
      <c r="R202" s="2" t="inlineStr"/>
    </row>
    <row r="203" ht="15" customHeight="1">
      <c r="A203" t="inlineStr">
        <is>
          <t>A 32443-2019</t>
        </is>
      </c>
      <c r="B203" s="1" t="n">
        <v>43644</v>
      </c>
      <c r="C203" s="1" t="n">
        <v>45574</v>
      </c>
      <c r="D203" t="inlineStr">
        <is>
          <t>VÄRMLANDS LÄN</t>
        </is>
      </c>
      <c r="E203" t="inlineStr">
        <is>
          <t>TORSBY</t>
        </is>
      </c>
      <c r="G203" t="n">
        <v>1</v>
      </c>
      <c r="H203" t="n">
        <v>0</v>
      </c>
      <c r="I203" t="n">
        <v>0</v>
      </c>
      <c r="J203" t="n">
        <v>0</v>
      </c>
      <c r="K203" t="n">
        <v>0</v>
      </c>
      <c r="L203" t="n">
        <v>0</v>
      </c>
      <c r="M203" t="n">
        <v>0</v>
      </c>
      <c r="N203" t="n">
        <v>0</v>
      </c>
      <c r="O203" t="n">
        <v>0</v>
      </c>
      <c r="P203" t="n">
        <v>0</v>
      </c>
      <c r="Q203" t="n">
        <v>0</v>
      </c>
      <c r="R203" s="2" t="inlineStr"/>
    </row>
    <row r="204" ht="15" customHeight="1">
      <c r="A204" t="inlineStr">
        <is>
          <t>A 32298-2019</t>
        </is>
      </c>
      <c r="B204" s="1" t="n">
        <v>43644</v>
      </c>
      <c r="C204" s="1" t="n">
        <v>45574</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32468-2019</t>
        </is>
      </c>
      <c r="B205" s="1" t="n">
        <v>43644</v>
      </c>
      <c r="C205" s="1" t="n">
        <v>45574</v>
      </c>
      <c r="D205" t="inlineStr">
        <is>
          <t>VÄRMLANDS LÄN</t>
        </is>
      </c>
      <c r="E205" t="inlineStr">
        <is>
          <t>TORSBY</t>
        </is>
      </c>
      <c r="G205" t="n">
        <v>4.7</v>
      </c>
      <c r="H205" t="n">
        <v>0</v>
      </c>
      <c r="I205" t="n">
        <v>0</v>
      </c>
      <c r="J205" t="n">
        <v>0</v>
      </c>
      <c r="K205" t="n">
        <v>0</v>
      </c>
      <c r="L205" t="n">
        <v>0</v>
      </c>
      <c r="M205" t="n">
        <v>0</v>
      </c>
      <c r="N205" t="n">
        <v>0</v>
      </c>
      <c r="O205" t="n">
        <v>0</v>
      </c>
      <c r="P205" t="n">
        <v>0</v>
      </c>
      <c r="Q205" t="n">
        <v>0</v>
      </c>
      <c r="R205" s="2" t="inlineStr"/>
    </row>
    <row r="206" ht="15" customHeight="1">
      <c r="A206" t="inlineStr">
        <is>
          <t>A 32444-2019</t>
        </is>
      </c>
      <c r="B206" s="1" t="n">
        <v>43644</v>
      </c>
      <c r="C206" s="1" t="n">
        <v>45574</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33918-2019</t>
        </is>
      </c>
      <c r="B207" s="1" t="n">
        <v>43654</v>
      </c>
      <c r="C207" s="1" t="n">
        <v>45574</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35505-2019</t>
        </is>
      </c>
      <c r="B208" s="1" t="n">
        <v>43654</v>
      </c>
      <c r="C208" s="1" t="n">
        <v>45574</v>
      </c>
      <c r="D208" t="inlineStr">
        <is>
          <t>VÄRMLANDS LÄN</t>
        </is>
      </c>
      <c r="E208" t="inlineStr">
        <is>
          <t>TORSBY</t>
        </is>
      </c>
      <c r="G208" t="n">
        <v>0.8</v>
      </c>
      <c r="H208" t="n">
        <v>0</v>
      </c>
      <c r="I208" t="n">
        <v>0</v>
      </c>
      <c r="J208" t="n">
        <v>0</v>
      </c>
      <c r="K208" t="n">
        <v>0</v>
      </c>
      <c r="L208" t="n">
        <v>0</v>
      </c>
      <c r="M208" t="n">
        <v>0</v>
      </c>
      <c r="N208" t="n">
        <v>0</v>
      </c>
      <c r="O208" t="n">
        <v>0</v>
      </c>
      <c r="P208" t="n">
        <v>0</v>
      </c>
      <c r="Q208" t="n">
        <v>0</v>
      </c>
      <c r="R208" s="2" t="inlineStr"/>
    </row>
    <row r="209" ht="15" customHeight="1">
      <c r="A209" t="inlineStr">
        <is>
          <t>A 35788-2019</t>
        </is>
      </c>
      <c r="B209" s="1" t="n">
        <v>43656</v>
      </c>
      <c r="C209" s="1" t="n">
        <v>45574</v>
      </c>
      <c r="D209" t="inlineStr">
        <is>
          <t>VÄRMLANDS LÄN</t>
        </is>
      </c>
      <c r="E209" t="inlineStr">
        <is>
          <t>TORSBY</t>
        </is>
      </c>
      <c r="F209" t="inlineStr">
        <is>
          <t>Kyrkan</t>
        </is>
      </c>
      <c r="G209" t="n">
        <v>0.8</v>
      </c>
      <c r="H209" t="n">
        <v>0</v>
      </c>
      <c r="I209" t="n">
        <v>0</v>
      </c>
      <c r="J209" t="n">
        <v>0</v>
      </c>
      <c r="K209" t="n">
        <v>0</v>
      </c>
      <c r="L209" t="n">
        <v>0</v>
      </c>
      <c r="M209" t="n">
        <v>0</v>
      </c>
      <c r="N209" t="n">
        <v>0</v>
      </c>
      <c r="O209" t="n">
        <v>0</v>
      </c>
      <c r="P209" t="n">
        <v>0</v>
      </c>
      <c r="Q209" t="n">
        <v>0</v>
      </c>
      <c r="R209" s="2" t="inlineStr"/>
    </row>
    <row r="210" ht="15" customHeight="1">
      <c r="A210" t="inlineStr">
        <is>
          <t>A 34541-2019</t>
        </is>
      </c>
      <c r="B210" s="1" t="n">
        <v>43657</v>
      </c>
      <c r="C210" s="1" t="n">
        <v>45574</v>
      </c>
      <c r="D210" t="inlineStr">
        <is>
          <t>VÄRMLANDS LÄN</t>
        </is>
      </c>
      <c r="E210" t="inlineStr">
        <is>
          <t>TORSBY</t>
        </is>
      </c>
      <c r="G210" t="n">
        <v>5.7</v>
      </c>
      <c r="H210" t="n">
        <v>0</v>
      </c>
      <c r="I210" t="n">
        <v>0</v>
      </c>
      <c r="J210" t="n">
        <v>0</v>
      </c>
      <c r="K210" t="n">
        <v>0</v>
      </c>
      <c r="L210" t="n">
        <v>0</v>
      </c>
      <c r="M210" t="n">
        <v>0</v>
      </c>
      <c r="N210" t="n">
        <v>0</v>
      </c>
      <c r="O210" t="n">
        <v>0</v>
      </c>
      <c r="P210" t="n">
        <v>0</v>
      </c>
      <c r="Q210" t="n">
        <v>0</v>
      </c>
      <c r="R210" s="2" t="inlineStr"/>
    </row>
    <row r="211" ht="15" customHeight="1">
      <c r="A211" t="inlineStr">
        <is>
          <t>A 36480-2019</t>
        </is>
      </c>
      <c r="B211" s="1" t="n">
        <v>43668</v>
      </c>
      <c r="C211" s="1" t="n">
        <v>45574</v>
      </c>
      <c r="D211" t="inlineStr">
        <is>
          <t>VÄRMLANDS LÄN</t>
        </is>
      </c>
      <c r="E211" t="inlineStr">
        <is>
          <t>TORSBY</t>
        </is>
      </c>
      <c r="G211" t="n">
        <v>1.3</v>
      </c>
      <c r="H211" t="n">
        <v>0</v>
      </c>
      <c r="I211" t="n">
        <v>0</v>
      </c>
      <c r="J211" t="n">
        <v>0</v>
      </c>
      <c r="K211" t="n">
        <v>0</v>
      </c>
      <c r="L211" t="n">
        <v>0</v>
      </c>
      <c r="M211" t="n">
        <v>0</v>
      </c>
      <c r="N211" t="n">
        <v>0</v>
      </c>
      <c r="O211" t="n">
        <v>0</v>
      </c>
      <c r="P211" t="n">
        <v>0</v>
      </c>
      <c r="Q211" t="n">
        <v>0</v>
      </c>
      <c r="R211" s="2" t="inlineStr"/>
    </row>
    <row r="212" ht="15" customHeight="1">
      <c r="A212" t="inlineStr">
        <is>
          <t>A 38010-2019</t>
        </is>
      </c>
      <c r="B212" s="1" t="n">
        <v>43669</v>
      </c>
      <c r="C212" s="1" t="n">
        <v>45574</v>
      </c>
      <c r="D212" t="inlineStr">
        <is>
          <t>VÄRMLANDS LÄN</t>
        </is>
      </c>
      <c r="E212" t="inlineStr">
        <is>
          <t>TORSBY</t>
        </is>
      </c>
      <c r="G212" t="n">
        <v>6.2</v>
      </c>
      <c r="H212" t="n">
        <v>0</v>
      </c>
      <c r="I212" t="n">
        <v>0</v>
      </c>
      <c r="J212" t="n">
        <v>0</v>
      </c>
      <c r="K212" t="n">
        <v>0</v>
      </c>
      <c r="L212" t="n">
        <v>0</v>
      </c>
      <c r="M212" t="n">
        <v>0</v>
      </c>
      <c r="N212" t="n">
        <v>0</v>
      </c>
      <c r="O212" t="n">
        <v>0</v>
      </c>
      <c r="P212" t="n">
        <v>0</v>
      </c>
      <c r="Q212" t="n">
        <v>0</v>
      </c>
      <c r="R212" s="2" t="inlineStr"/>
    </row>
    <row r="213" ht="15" customHeight="1">
      <c r="A213" t="inlineStr">
        <is>
          <t>A 38003-2019</t>
        </is>
      </c>
      <c r="B213" s="1" t="n">
        <v>43669</v>
      </c>
      <c r="C213" s="1" t="n">
        <v>45574</v>
      </c>
      <c r="D213" t="inlineStr">
        <is>
          <t>VÄRMLANDS LÄN</t>
        </is>
      </c>
      <c r="E213" t="inlineStr">
        <is>
          <t>TORSBY</t>
        </is>
      </c>
      <c r="G213" t="n">
        <v>3.1</v>
      </c>
      <c r="H213" t="n">
        <v>0</v>
      </c>
      <c r="I213" t="n">
        <v>0</v>
      </c>
      <c r="J213" t="n">
        <v>0</v>
      </c>
      <c r="K213" t="n">
        <v>0</v>
      </c>
      <c r="L213" t="n">
        <v>0</v>
      </c>
      <c r="M213" t="n">
        <v>0</v>
      </c>
      <c r="N213" t="n">
        <v>0</v>
      </c>
      <c r="O213" t="n">
        <v>0</v>
      </c>
      <c r="P213" t="n">
        <v>0</v>
      </c>
      <c r="Q213" t="n">
        <v>0</v>
      </c>
      <c r="R213" s="2" t="inlineStr"/>
    </row>
    <row r="214" ht="15" customHeight="1">
      <c r="A214" t="inlineStr">
        <is>
          <t>A 36712-2019</t>
        </is>
      </c>
      <c r="B214" s="1" t="n">
        <v>43669</v>
      </c>
      <c r="C214" s="1" t="n">
        <v>45574</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36682-2019</t>
        </is>
      </c>
      <c r="B215" s="1" t="n">
        <v>43670</v>
      </c>
      <c r="C215" s="1" t="n">
        <v>45574</v>
      </c>
      <c r="D215" t="inlineStr">
        <is>
          <t>VÄRMLANDS LÄN</t>
        </is>
      </c>
      <c r="E215" t="inlineStr">
        <is>
          <t>TORSBY</t>
        </is>
      </c>
      <c r="G215" t="n">
        <v>8.1</v>
      </c>
      <c r="H215" t="n">
        <v>0</v>
      </c>
      <c r="I215" t="n">
        <v>0</v>
      </c>
      <c r="J215" t="n">
        <v>0</v>
      </c>
      <c r="K215" t="n">
        <v>0</v>
      </c>
      <c r="L215" t="n">
        <v>0</v>
      </c>
      <c r="M215" t="n">
        <v>0</v>
      </c>
      <c r="N215" t="n">
        <v>0</v>
      </c>
      <c r="O215" t="n">
        <v>0</v>
      </c>
      <c r="P215" t="n">
        <v>0</v>
      </c>
      <c r="Q215" t="n">
        <v>0</v>
      </c>
      <c r="R215" s="2" t="inlineStr"/>
    </row>
    <row r="216" ht="15" customHeight="1">
      <c r="A216" t="inlineStr">
        <is>
          <t>A 36734-2019</t>
        </is>
      </c>
      <c r="B216" s="1" t="n">
        <v>43672</v>
      </c>
      <c r="C216" s="1" t="n">
        <v>45574</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36820-2019</t>
        </is>
      </c>
      <c r="B217" s="1" t="n">
        <v>43673</v>
      </c>
      <c r="C217" s="1" t="n">
        <v>45574</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37005-2019</t>
        </is>
      </c>
      <c r="B218" s="1" t="n">
        <v>43676</v>
      </c>
      <c r="C218" s="1" t="n">
        <v>45574</v>
      </c>
      <c r="D218" t="inlineStr">
        <is>
          <t>VÄRMLANDS LÄN</t>
        </is>
      </c>
      <c r="E218" t="inlineStr">
        <is>
          <t>TORSBY</t>
        </is>
      </c>
      <c r="G218" t="n">
        <v>1.6</v>
      </c>
      <c r="H218" t="n">
        <v>0</v>
      </c>
      <c r="I218" t="n">
        <v>0</v>
      </c>
      <c r="J218" t="n">
        <v>0</v>
      </c>
      <c r="K218" t="n">
        <v>0</v>
      </c>
      <c r="L218" t="n">
        <v>0</v>
      </c>
      <c r="M218" t="n">
        <v>0</v>
      </c>
      <c r="N218" t="n">
        <v>0</v>
      </c>
      <c r="O218" t="n">
        <v>0</v>
      </c>
      <c r="P218" t="n">
        <v>0</v>
      </c>
      <c r="Q218" t="n">
        <v>0</v>
      </c>
      <c r="R218" s="2" t="inlineStr"/>
    </row>
    <row r="219" ht="15" customHeight="1">
      <c r="A219" t="inlineStr">
        <is>
          <t>A 37719-2019</t>
        </is>
      </c>
      <c r="B219" s="1" t="n">
        <v>43682</v>
      </c>
      <c r="C219" s="1" t="n">
        <v>45574</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38068-2019</t>
        </is>
      </c>
      <c r="B220" s="1" t="n">
        <v>43683</v>
      </c>
      <c r="C220" s="1" t="n">
        <v>45574</v>
      </c>
      <c r="D220" t="inlineStr">
        <is>
          <t>VÄRMLANDS LÄN</t>
        </is>
      </c>
      <c r="E220" t="inlineStr">
        <is>
          <t>TORSBY</t>
        </is>
      </c>
      <c r="G220" t="n">
        <v>2.7</v>
      </c>
      <c r="H220" t="n">
        <v>0</v>
      </c>
      <c r="I220" t="n">
        <v>0</v>
      </c>
      <c r="J220" t="n">
        <v>0</v>
      </c>
      <c r="K220" t="n">
        <v>0</v>
      </c>
      <c r="L220" t="n">
        <v>0</v>
      </c>
      <c r="M220" t="n">
        <v>0</v>
      </c>
      <c r="N220" t="n">
        <v>0</v>
      </c>
      <c r="O220" t="n">
        <v>0</v>
      </c>
      <c r="P220" t="n">
        <v>0</v>
      </c>
      <c r="Q220" t="n">
        <v>0</v>
      </c>
      <c r="R220" s="2" t="inlineStr"/>
    </row>
    <row r="221" ht="15" customHeight="1">
      <c r="A221" t="inlineStr">
        <is>
          <t>A 38265-2019</t>
        </is>
      </c>
      <c r="B221" s="1" t="n">
        <v>43684</v>
      </c>
      <c r="C221" s="1" t="n">
        <v>45574</v>
      </c>
      <c r="D221" t="inlineStr">
        <is>
          <t>VÄRMLANDS LÄN</t>
        </is>
      </c>
      <c r="E221" t="inlineStr">
        <is>
          <t>TORSBY</t>
        </is>
      </c>
      <c r="G221" t="n">
        <v>0.9</v>
      </c>
      <c r="H221" t="n">
        <v>0</v>
      </c>
      <c r="I221" t="n">
        <v>0</v>
      </c>
      <c r="J221" t="n">
        <v>0</v>
      </c>
      <c r="K221" t="n">
        <v>0</v>
      </c>
      <c r="L221" t="n">
        <v>0</v>
      </c>
      <c r="M221" t="n">
        <v>0</v>
      </c>
      <c r="N221" t="n">
        <v>0</v>
      </c>
      <c r="O221" t="n">
        <v>0</v>
      </c>
      <c r="P221" t="n">
        <v>0</v>
      </c>
      <c r="Q221" t="n">
        <v>0</v>
      </c>
      <c r="R221" s="2" t="inlineStr"/>
    </row>
    <row r="222" ht="15" customHeight="1">
      <c r="A222" t="inlineStr">
        <is>
          <t>A 39213-2019</t>
        </is>
      </c>
      <c r="B222" s="1" t="n">
        <v>43690</v>
      </c>
      <c r="C222" s="1" t="n">
        <v>45574</v>
      </c>
      <c r="D222" t="inlineStr">
        <is>
          <t>VÄRMLANDS LÄN</t>
        </is>
      </c>
      <c r="E222" t="inlineStr">
        <is>
          <t>TORSBY</t>
        </is>
      </c>
      <c r="G222" t="n">
        <v>1.8</v>
      </c>
      <c r="H222" t="n">
        <v>0</v>
      </c>
      <c r="I222" t="n">
        <v>0</v>
      </c>
      <c r="J222" t="n">
        <v>0</v>
      </c>
      <c r="K222" t="n">
        <v>0</v>
      </c>
      <c r="L222" t="n">
        <v>0</v>
      </c>
      <c r="M222" t="n">
        <v>0</v>
      </c>
      <c r="N222" t="n">
        <v>0</v>
      </c>
      <c r="O222" t="n">
        <v>0</v>
      </c>
      <c r="P222" t="n">
        <v>0</v>
      </c>
      <c r="Q222" t="n">
        <v>0</v>
      </c>
      <c r="R222" s="2" t="inlineStr"/>
    </row>
    <row r="223" ht="15" customHeight="1">
      <c r="A223" t="inlineStr">
        <is>
          <t>A 40632-2019</t>
        </is>
      </c>
      <c r="B223" s="1" t="n">
        <v>43696</v>
      </c>
      <c r="C223" s="1" t="n">
        <v>45574</v>
      </c>
      <c r="D223" t="inlineStr">
        <is>
          <t>VÄRMLANDS LÄN</t>
        </is>
      </c>
      <c r="E223" t="inlineStr">
        <is>
          <t>TORSBY</t>
        </is>
      </c>
      <c r="G223" t="n">
        <v>4.2</v>
      </c>
      <c r="H223" t="n">
        <v>0</v>
      </c>
      <c r="I223" t="n">
        <v>0</v>
      </c>
      <c r="J223" t="n">
        <v>0</v>
      </c>
      <c r="K223" t="n">
        <v>0</v>
      </c>
      <c r="L223" t="n">
        <v>0</v>
      </c>
      <c r="M223" t="n">
        <v>0</v>
      </c>
      <c r="N223" t="n">
        <v>0</v>
      </c>
      <c r="O223" t="n">
        <v>0</v>
      </c>
      <c r="P223" t="n">
        <v>0</v>
      </c>
      <c r="Q223" t="n">
        <v>0</v>
      </c>
      <c r="R223" s="2" t="inlineStr"/>
    </row>
    <row r="224" ht="15" customHeight="1">
      <c r="A224" t="inlineStr">
        <is>
          <t>A 40589-2019</t>
        </is>
      </c>
      <c r="B224" s="1" t="n">
        <v>43696</v>
      </c>
      <c r="C224" s="1" t="n">
        <v>45574</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40810-2019</t>
        </is>
      </c>
      <c r="B225" s="1" t="n">
        <v>43697</v>
      </c>
      <c r="C225" s="1" t="n">
        <v>45574</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41698-2019</t>
        </is>
      </c>
      <c r="B226" s="1" t="n">
        <v>43697</v>
      </c>
      <c r="C226" s="1" t="n">
        <v>45574</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42441-2019</t>
        </is>
      </c>
      <c r="B227" s="1" t="n">
        <v>43697</v>
      </c>
      <c r="C227" s="1" t="n">
        <v>45574</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41436-2019</t>
        </is>
      </c>
      <c r="B228" s="1" t="n">
        <v>43698</v>
      </c>
      <c r="C228" s="1" t="n">
        <v>45574</v>
      </c>
      <c r="D228" t="inlineStr">
        <is>
          <t>VÄRMLANDS LÄN</t>
        </is>
      </c>
      <c r="E228" t="inlineStr">
        <is>
          <t>TORSBY</t>
        </is>
      </c>
      <c r="G228" t="n">
        <v>0.9</v>
      </c>
      <c r="H228" t="n">
        <v>0</v>
      </c>
      <c r="I228" t="n">
        <v>0</v>
      </c>
      <c r="J228" t="n">
        <v>0</v>
      </c>
      <c r="K228" t="n">
        <v>0</v>
      </c>
      <c r="L228" t="n">
        <v>0</v>
      </c>
      <c r="M228" t="n">
        <v>0</v>
      </c>
      <c r="N228" t="n">
        <v>0</v>
      </c>
      <c r="O228" t="n">
        <v>0</v>
      </c>
      <c r="P228" t="n">
        <v>0</v>
      </c>
      <c r="Q228" t="n">
        <v>0</v>
      </c>
      <c r="R228" s="2" t="inlineStr"/>
    </row>
    <row r="229" ht="15" customHeight="1">
      <c r="A229" t="inlineStr">
        <is>
          <t>A 41435-2019</t>
        </is>
      </c>
      <c r="B229" s="1" t="n">
        <v>43698</v>
      </c>
      <c r="C229" s="1" t="n">
        <v>45574</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41438-2019</t>
        </is>
      </c>
      <c r="B230" s="1" t="n">
        <v>43698</v>
      </c>
      <c r="C230" s="1" t="n">
        <v>45574</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41621-2019</t>
        </is>
      </c>
      <c r="B231" s="1" t="n">
        <v>43699</v>
      </c>
      <c r="C231" s="1" t="n">
        <v>45574</v>
      </c>
      <c r="D231" t="inlineStr">
        <is>
          <t>VÄRMLANDS LÄN</t>
        </is>
      </c>
      <c r="E231" t="inlineStr">
        <is>
          <t>TORSBY</t>
        </is>
      </c>
      <c r="G231" t="n">
        <v>4.2</v>
      </c>
      <c r="H231" t="n">
        <v>0</v>
      </c>
      <c r="I231" t="n">
        <v>0</v>
      </c>
      <c r="J231" t="n">
        <v>0</v>
      </c>
      <c r="K231" t="n">
        <v>0</v>
      </c>
      <c r="L231" t="n">
        <v>0</v>
      </c>
      <c r="M231" t="n">
        <v>0</v>
      </c>
      <c r="N231" t="n">
        <v>0</v>
      </c>
      <c r="O231" t="n">
        <v>0</v>
      </c>
      <c r="P231" t="n">
        <v>0</v>
      </c>
      <c r="Q231" t="n">
        <v>0</v>
      </c>
      <c r="R231" s="2" t="inlineStr"/>
    </row>
    <row r="232" ht="15" customHeight="1">
      <c r="A232" t="inlineStr">
        <is>
          <t>A 42230-2019</t>
        </is>
      </c>
      <c r="B232" s="1" t="n">
        <v>43703</v>
      </c>
      <c r="C232" s="1" t="n">
        <v>45574</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43273-2019</t>
        </is>
      </c>
      <c r="B233" s="1" t="n">
        <v>43704</v>
      </c>
      <c r="C233" s="1" t="n">
        <v>45574</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43897-2019</t>
        </is>
      </c>
      <c r="B234" s="1" t="n">
        <v>43707</v>
      </c>
      <c r="C234" s="1" t="n">
        <v>45574</v>
      </c>
      <c r="D234" t="inlineStr">
        <is>
          <t>VÄRMLANDS LÄN</t>
        </is>
      </c>
      <c r="E234" t="inlineStr">
        <is>
          <t>TORSBY</t>
        </is>
      </c>
      <c r="G234" t="n">
        <v>3.2</v>
      </c>
      <c r="H234" t="n">
        <v>0</v>
      </c>
      <c r="I234" t="n">
        <v>0</v>
      </c>
      <c r="J234" t="n">
        <v>0</v>
      </c>
      <c r="K234" t="n">
        <v>0</v>
      </c>
      <c r="L234" t="n">
        <v>0</v>
      </c>
      <c r="M234" t="n">
        <v>0</v>
      </c>
      <c r="N234" t="n">
        <v>0</v>
      </c>
      <c r="O234" t="n">
        <v>0</v>
      </c>
      <c r="P234" t="n">
        <v>0</v>
      </c>
      <c r="Q234" t="n">
        <v>0</v>
      </c>
      <c r="R234" s="2" t="inlineStr"/>
    </row>
    <row r="235" ht="15" customHeight="1">
      <c r="A235" t="inlineStr">
        <is>
          <t>A 44832-2019</t>
        </is>
      </c>
      <c r="B235" s="1" t="n">
        <v>43707</v>
      </c>
      <c r="C235" s="1" t="n">
        <v>45574</v>
      </c>
      <c r="D235" t="inlineStr">
        <is>
          <t>VÄRMLANDS LÄN</t>
        </is>
      </c>
      <c r="E235" t="inlineStr">
        <is>
          <t>TORSBY</t>
        </is>
      </c>
      <c r="G235" t="n">
        <v>27.1</v>
      </c>
      <c r="H235" t="n">
        <v>0</v>
      </c>
      <c r="I235" t="n">
        <v>0</v>
      </c>
      <c r="J235" t="n">
        <v>0</v>
      </c>
      <c r="K235" t="n">
        <v>0</v>
      </c>
      <c r="L235" t="n">
        <v>0</v>
      </c>
      <c r="M235" t="n">
        <v>0</v>
      </c>
      <c r="N235" t="n">
        <v>0</v>
      </c>
      <c r="O235" t="n">
        <v>0</v>
      </c>
      <c r="P235" t="n">
        <v>0</v>
      </c>
      <c r="Q235" t="n">
        <v>0</v>
      </c>
      <c r="R235" s="2" t="inlineStr"/>
    </row>
    <row r="236" ht="15" customHeight="1">
      <c r="A236" t="inlineStr">
        <is>
          <t>A 44708-2019</t>
        </is>
      </c>
      <c r="B236" s="1" t="n">
        <v>43712</v>
      </c>
      <c r="C236" s="1" t="n">
        <v>45574</v>
      </c>
      <c r="D236" t="inlineStr">
        <is>
          <t>VÄRMLANDS LÄN</t>
        </is>
      </c>
      <c r="E236" t="inlineStr">
        <is>
          <t>TORSBY</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44706-2019</t>
        </is>
      </c>
      <c r="B237" s="1" t="n">
        <v>43712</v>
      </c>
      <c r="C237" s="1" t="n">
        <v>45574</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45053-2019</t>
        </is>
      </c>
      <c r="B238" s="1" t="n">
        <v>43713</v>
      </c>
      <c r="C238" s="1" t="n">
        <v>45574</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45083-2019</t>
        </is>
      </c>
      <c r="B239" s="1" t="n">
        <v>43713</v>
      </c>
      <c r="C239" s="1" t="n">
        <v>45574</v>
      </c>
      <c r="D239" t="inlineStr">
        <is>
          <t>VÄRMLANDS LÄN</t>
        </is>
      </c>
      <c r="E239" t="inlineStr">
        <is>
          <t>TORSBY</t>
        </is>
      </c>
      <c r="F239" t="inlineStr">
        <is>
          <t>Bergvik skog väst AB</t>
        </is>
      </c>
      <c r="G239" t="n">
        <v>37.8</v>
      </c>
      <c r="H239" t="n">
        <v>0</v>
      </c>
      <c r="I239" t="n">
        <v>0</v>
      </c>
      <c r="J239" t="n">
        <v>0</v>
      </c>
      <c r="K239" t="n">
        <v>0</v>
      </c>
      <c r="L239" t="n">
        <v>0</v>
      </c>
      <c r="M239" t="n">
        <v>0</v>
      </c>
      <c r="N239" t="n">
        <v>0</v>
      </c>
      <c r="O239" t="n">
        <v>0</v>
      </c>
      <c r="P239" t="n">
        <v>0</v>
      </c>
      <c r="Q239" t="n">
        <v>0</v>
      </c>
      <c r="R239" s="2" t="inlineStr"/>
    </row>
    <row r="240" ht="15" customHeight="1">
      <c r="A240" t="inlineStr">
        <is>
          <t>A 45189-2019</t>
        </is>
      </c>
      <c r="B240" s="1" t="n">
        <v>43713</v>
      </c>
      <c r="C240" s="1" t="n">
        <v>45574</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45068-2019</t>
        </is>
      </c>
      <c r="B241" s="1" t="n">
        <v>43713</v>
      </c>
      <c r="C241" s="1" t="n">
        <v>45574</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45891-2019</t>
        </is>
      </c>
      <c r="B242" s="1" t="n">
        <v>43717</v>
      </c>
      <c r="C242" s="1" t="n">
        <v>45574</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46738-2019</t>
        </is>
      </c>
      <c r="B243" s="1" t="n">
        <v>43719</v>
      </c>
      <c r="C243" s="1" t="n">
        <v>45574</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46743-2019</t>
        </is>
      </c>
      <c r="B244" s="1" t="n">
        <v>43719</v>
      </c>
      <c r="C244" s="1" t="n">
        <v>45574</v>
      </c>
      <c r="D244" t="inlineStr">
        <is>
          <t>VÄRMLANDS LÄN</t>
        </is>
      </c>
      <c r="E244" t="inlineStr">
        <is>
          <t>TORSBY</t>
        </is>
      </c>
      <c r="G244" t="n">
        <v>7</v>
      </c>
      <c r="H244" t="n">
        <v>0</v>
      </c>
      <c r="I244" t="n">
        <v>0</v>
      </c>
      <c r="J244" t="n">
        <v>0</v>
      </c>
      <c r="K244" t="n">
        <v>0</v>
      </c>
      <c r="L244" t="n">
        <v>0</v>
      </c>
      <c r="M244" t="n">
        <v>0</v>
      </c>
      <c r="N244" t="n">
        <v>0</v>
      </c>
      <c r="O244" t="n">
        <v>0</v>
      </c>
      <c r="P244" t="n">
        <v>0</v>
      </c>
      <c r="Q244" t="n">
        <v>0</v>
      </c>
      <c r="R244" s="2" t="inlineStr"/>
    </row>
    <row r="245" ht="15" customHeight="1">
      <c r="A245" t="inlineStr">
        <is>
          <t>A 47114-2019</t>
        </is>
      </c>
      <c r="B245" s="1" t="n">
        <v>43720</v>
      </c>
      <c r="C245" s="1" t="n">
        <v>45574</v>
      </c>
      <c r="D245" t="inlineStr">
        <is>
          <t>VÄRMLANDS LÄN</t>
        </is>
      </c>
      <c r="E245" t="inlineStr">
        <is>
          <t>TORSBY</t>
        </is>
      </c>
      <c r="G245" t="n">
        <v>2.2</v>
      </c>
      <c r="H245" t="n">
        <v>0</v>
      </c>
      <c r="I245" t="n">
        <v>0</v>
      </c>
      <c r="J245" t="n">
        <v>0</v>
      </c>
      <c r="K245" t="n">
        <v>0</v>
      </c>
      <c r="L245" t="n">
        <v>0</v>
      </c>
      <c r="M245" t="n">
        <v>0</v>
      </c>
      <c r="N245" t="n">
        <v>0</v>
      </c>
      <c r="O245" t="n">
        <v>0</v>
      </c>
      <c r="P245" t="n">
        <v>0</v>
      </c>
      <c r="Q245" t="n">
        <v>0</v>
      </c>
      <c r="R245" s="2" t="inlineStr"/>
    </row>
    <row r="246" ht="15" customHeight="1">
      <c r="A246" t="inlineStr">
        <is>
          <t>A 47214-2019</t>
        </is>
      </c>
      <c r="B246" s="1" t="n">
        <v>43721</v>
      </c>
      <c r="C246" s="1" t="n">
        <v>45574</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47137-2019</t>
        </is>
      </c>
      <c r="B247" s="1" t="n">
        <v>43721</v>
      </c>
      <c r="C247" s="1" t="n">
        <v>45574</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47316-2019</t>
        </is>
      </c>
      <c r="B248" s="1" t="n">
        <v>43721</v>
      </c>
      <c r="C248" s="1" t="n">
        <v>45574</v>
      </c>
      <c r="D248" t="inlineStr">
        <is>
          <t>VÄRMLANDS LÄN</t>
        </is>
      </c>
      <c r="E248" t="inlineStr">
        <is>
          <t>TORSBY</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47608-2019</t>
        </is>
      </c>
      <c r="B249" s="1" t="n">
        <v>43724</v>
      </c>
      <c r="C249" s="1" t="n">
        <v>45574</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47772-2019</t>
        </is>
      </c>
      <c r="B250" s="1" t="n">
        <v>43724</v>
      </c>
      <c r="C250" s="1" t="n">
        <v>45574</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47648-2019</t>
        </is>
      </c>
      <c r="B251" s="1" t="n">
        <v>43724</v>
      </c>
      <c r="C251" s="1" t="n">
        <v>45574</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47502-2019</t>
        </is>
      </c>
      <c r="B252" s="1" t="n">
        <v>43724</v>
      </c>
      <c r="C252" s="1" t="n">
        <v>45574</v>
      </c>
      <c r="D252" t="inlineStr">
        <is>
          <t>VÄRMLANDS LÄN</t>
        </is>
      </c>
      <c r="E252" t="inlineStr">
        <is>
          <t>TORSBY</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47869-2019</t>
        </is>
      </c>
      <c r="B253" s="1" t="n">
        <v>43725</v>
      </c>
      <c r="C253" s="1" t="n">
        <v>45574</v>
      </c>
      <c r="D253" t="inlineStr">
        <is>
          <t>VÄRMLANDS LÄN</t>
        </is>
      </c>
      <c r="E253" t="inlineStr">
        <is>
          <t>TORSBY</t>
        </is>
      </c>
      <c r="G253" t="n">
        <v>4.7</v>
      </c>
      <c r="H253" t="n">
        <v>0</v>
      </c>
      <c r="I253" t="n">
        <v>0</v>
      </c>
      <c r="J253" t="n">
        <v>0</v>
      </c>
      <c r="K253" t="n">
        <v>0</v>
      </c>
      <c r="L253" t="n">
        <v>0</v>
      </c>
      <c r="M253" t="n">
        <v>0</v>
      </c>
      <c r="N253" t="n">
        <v>0</v>
      </c>
      <c r="O253" t="n">
        <v>0</v>
      </c>
      <c r="P253" t="n">
        <v>0</v>
      </c>
      <c r="Q253" t="n">
        <v>0</v>
      </c>
      <c r="R253" s="2" t="inlineStr"/>
    </row>
    <row r="254" ht="15" customHeight="1">
      <c r="A254" t="inlineStr">
        <is>
          <t>A 47979-2019</t>
        </is>
      </c>
      <c r="B254" s="1" t="n">
        <v>43725</v>
      </c>
      <c r="C254" s="1" t="n">
        <v>45574</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48040-2019</t>
        </is>
      </c>
      <c r="B255" s="1" t="n">
        <v>43725</v>
      </c>
      <c r="C255" s="1" t="n">
        <v>45574</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48346-2019</t>
        </is>
      </c>
      <c r="B256" s="1" t="n">
        <v>43726</v>
      </c>
      <c r="C256" s="1" t="n">
        <v>45574</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48366-2019</t>
        </is>
      </c>
      <c r="B257" s="1" t="n">
        <v>43726</v>
      </c>
      <c r="C257" s="1" t="n">
        <v>45574</v>
      </c>
      <c r="D257" t="inlineStr">
        <is>
          <t>VÄRMLANDS LÄN</t>
        </is>
      </c>
      <c r="E257" t="inlineStr">
        <is>
          <t>TORSBY</t>
        </is>
      </c>
      <c r="G257" t="n">
        <v>2.3</v>
      </c>
      <c r="H257" t="n">
        <v>0</v>
      </c>
      <c r="I257" t="n">
        <v>0</v>
      </c>
      <c r="J257" t="n">
        <v>0</v>
      </c>
      <c r="K257" t="n">
        <v>0</v>
      </c>
      <c r="L257" t="n">
        <v>0</v>
      </c>
      <c r="M257" t="n">
        <v>0</v>
      </c>
      <c r="N257" t="n">
        <v>0</v>
      </c>
      <c r="O257" t="n">
        <v>0</v>
      </c>
      <c r="P257" t="n">
        <v>0</v>
      </c>
      <c r="Q257" t="n">
        <v>0</v>
      </c>
      <c r="R257" s="2" t="inlineStr"/>
    </row>
    <row r="258" ht="15" customHeight="1">
      <c r="A258" t="inlineStr">
        <is>
          <t>A 49550-2019</t>
        </is>
      </c>
      <c r="B258" s="1" t="n">
        <v>43727</v>
      </c>
      <c r="C258" s="1" t="n">
        <v>45574</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51497-2019</t>
        </is>
      </c>
      <c r="B259" s="1" t="n">
        <v>43734</v>
      </c>
      <c r="C259" s="1" t="n">
        <v>45574</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50428-2019</t>
        </is>
      </c>
      <c r="B260" s="1" t="n">
        <v>43735</v>
      </c>
      <c r="C260" s="1" t="n">
        <v>45574</v>
      </c>
      <c r="D260" t="inlineStr">
        <is>
          <t>VÄRMLANDS LÄN</t>
        </is>
      </c>
      <c r="E260" t="inlineStr">
        <is>
          <t>TORSBY</t>
        </is>
      </c>
      <c r="G260" t="n">
        <v>0.4</v>
      </c>
      <c r="H260" t="n">
        <v>0</v>
      </c>
      <c r="I260" t="n">
        <v>0</v>
      </c>
      <c r="J260" t="n">
        <v>0</v>
      </c>
      <c r="K260" t="n">
        <v>0</v>
      </c>
      <c r="L260" t="n">
        <v>0</v>
      </c>
      <c r="M260" t="n">
        <v>0</v>
      </c>
      <c r="N260" t="n">
        <v>0</v>
      </c>
      <c r="O260" t="n">
        <v>0</v>
      </c>
      <c r="P260" t="n">
        <v>0</v>
      </c>
      <c r="Q260" t="n">
        <v>0</v>
      </c>
      <c r="R260" s="2" t="inlineStr"/>
    </row>
    <row r="261" ht="15" customHeight="1">
      <c r="A261" t="inlineStr">
        <is>
          <t>A 52319-2019</t>
        </is>
      </c>
      <c r="B261" s="1" t="n">
        <v>43735</v>
      </c>
      <c r="C261" s="1" t="n">
        <v>45574</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52326-2019</t>
        </is>
      </c>
      <c r="B262" s="1" t="n">
        <v>43735</v>
      </c>
      <c r="C262" s="1" t="n">
        <v>45574</v>
      </c>
      <c r="D262" t="inlineStr">
        <is>
          <t>VÄRMLANDS LÄN</t>
        </is>
      </c>
      <c r="E262" t="inlineStr">
        <is>
          <t>TORSBY</t>
        </is>
      </c>
      <c r="G262" t="n">
        <v>6.2</v>
      </c>
      <c r="H262" t="n">
        <v>0</v>
      </c>
      <c r="I262" t="n">
        <v>0</v>
      </c>
      <c r="J262" t="n">
        <v>0</v>
      </c>
      <c r="K262" t="n">
        <v>0</v>
      </c>
      <c r="L262" t="n">
        <v>0</v>
      </c>
      <c r="M262" t="n">
        <v>0</v>
      </c>
      <c r="N262" t="n">
        <v>0</v>
      </c>
      <c r="O262" t="n">
        <v>0</v>
      </c>
      <c r="P262" t="n">
        <v>0</v>
      </c>
      <c r="Q262" t="n">
        <v>0</v>
      </c>
      <c r="R262" s="2" t="inlineStr"/>
    </row>
    <row r="263" ht="15" customHeight="1">
      <c r="A263" t="inlineStr">
        <is>
          <t>A 52317-2019</t>
        </is>
      </c>
      <c r="B263" s="1" t="n">
        <v>43735</v>
      </c>
      <c r="C263" s="1" t="n">
        <v>45574</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51254-2019</t>
        </is>
      </c>
      <c r="B264" s="1" t="n">
        <v>43739</v>
      </c>
      <c r="C264" s="1" t="n">
        <v>45574</v>
      </c>
      <c r="D264" t="inlineStr">
        <is>
          <t>VÄRMLANDS LÄN</t>
        </is>
      </c>
      <c r="E264" t="inlineStr">
        <is>
          <t>TORSBY</t>
        </is>
      </c>
      <c r="F264" t="inlineStr">
        <is>
          <t>Bergvik skog väst AB</t>
        </is>
      </c>
      <c r="G264" t="n">
        <v>4.5</v>
      </c>
      <c r="H264" t="n">
        <v>0</v>
      </c>
      <c r="I264" t="n">
        <v>0</v>
      </c>
      <c r="J264" t="n">
        <v>0</v>
      </c>
      <c r="K264" t="n">
        <v>0</v>
      </c>
      <c r="L264" t="n">
        <v>0</v>
      </c>
      <c r="M264" t="n">
        <v>0</v>
      </c>
      <c r="N264" t="n">
        <v>0</v>
      </c>
      <c r="O264" t="n">
        <v>0</v>
      </c>
      <c r="P264" t="n">
        <v>0</v>
      </c>
      <c r="Q264" t="n">
        <v>0</v>
      </c>
      <c r="R264" s="2" t="inlineStr"/>
    </row>
    <row r="265" ht="15" customHeight="1">
      <c r="A265" t="inlineStr">
        <is>
          <t>A 52186-2019</t>
        </is>
      </c>
      <c r="B265" s="1" t="n">
        <v>43742</v>
      </c>
      <c r="C265" s="1" t="n">
        <v>45574</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52311-2019</t>
        </is>
      </c>
      <c r="B266" s="1" t="n">
        <v>43745</v>
      </c>
      <c r="C266" s="1" t="n">
        <v>45574</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52674-2019</t>
        </is>
      </c>
      <c r="B267" s="1" t="n">
        <v>43746</v>
      </c>
      <c r="C267" s="1" t="n">
        <v>45574</v>
      </c>
      <c r="D267" t="inlineStr">
        <is>
          <t>VÄRMLANDS LÄN</t>
        </is>
      </c>
      <c r="E267" t="inlineStr">
        <is>
          <t>TORSBY</t>
        </is>
      </c>
      <c r="F267" t="inlineStr">
        <is>
          <t>Bergvik skog väst AB</t>
        </is>
      </c>
      <c r="G267" t="n">
        <v>26.4</v>
      </c>
      <c r="H267" t="n">
        <v>0</v>
      </c>
      <c r="I267" t="n">
        <v>0</v>
      </c>
      <c r="J267" t="n">
        <v>0</v>
      </c>
      <c r="K267" t="n">
        <v>0</v>
      </c>
      <c r="L267" t="n">
        <v>0</v>
      </c>
      <c r="M267" t="n">
        <v>0</v>
      </c>
      <c r="N267" t="n">
        <v>0</v>
      </c>
      <c r="O267" t="n">
        <v>0</v>
      </c>
      <c r="P267" t="n">
        <v>0</v>
      </c>
      <c r="Q267" t="n">
        <v>0</v>
      </c>
      <c r="R267" s="2" t="inlineStr"/>
    </row>
    <row r="268" ht="15" customHeight="1">
      <c r="A268" t="inlineStr">
        <is>
          <t>A 52885-2019</t>
        </is>
      </c>
      <c r="B268" s="1" t="n">
        <v>43746</v>
      </c>
      <c r="C268" s="1" t="n">
        <v>45574</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53271-2019</t>
        </is>
      </c>
      <c r="B269" s="1" t="n">
        <v>43748</v>
      </c>
      <c r="C269" s="1" t="n">
        <v>45574</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54764-2019</t>
        </is>
      </c>
      <c r="B270" s="1" t="n">
        <v>43748</v>
      </c>
      <c r="C270" s="1" t="n">
        <v>45574</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53635-2019</t>
        </is>
      </c>
      <c r="B271" s="1" t="n">
        <v>43749</v>
      </c>
      <c r="C271" s="1" t="n">
        <v>45574</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53746-2019</t>
        </is>
      </c>
      <c r="B272" s="1" t="n">
        <v>43749</v>
      </c>
      <c r="C272" s="1" t="n">
        <v>45574</v>
      </c>
      <c r="D272" t="inlineStr">
        <is>
          <t>VÄRMLANDS LÄN</t>
        </is>
      </c>
      <c r="E272" t="inlineStr">
        <is>
          <t>TORSBY</t>
        </is>
      </c>
      <c r="G272" t="n">
        <v>0.3</v>
      </c>
      <c r="H272" t="n">
        <v>0</v>
      </c>
      <c r="I272" t="n">
        <v>0</v>
      </c>
      <c r="J272" t="n">
        <v>0</v>
      </c>
      <c r="K272" t="n">
        <v>0</v>
      </c>
      <c r="L272" t="n">
        <v>0</v>
      </c>
      <c r="M272" t="n">
        <v>0</v>
      </c>
      <c r="N272" t="n">
        <v>0</v>
      </c>
      <c r="O272" t="n">
        <v>0</v>
      </c>
      <c r="P272" t="n">
        <v>0</v>
      </c>
      <c r="Q272" t="n">
        <v>0</v>
      </c>
      <c r="R272" s="2" t="inlineStr"/>
    </row>
    <row r="273" ht="15" customHeight="1">
      <c r="A273" t="inlineStr">
        <is>
          <t>A 53744-2019</t>
        </is>
      </c>
      <c r="B273" s="1" t="n">
        <v>43749</v>
      </c>
      <c r="C273" s="1" t="n">
        <v>45574</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54437-2019</t>
        </is>
      </c>
      <c r="B274" s="1" t="n">
        <v>43754</v>
      </c>
      <c r="C274" s="1" t="n">
        <v>45574</v>
      </c>
      <c r="D274" t="inlineStr">
        <is>
          <t>VÄRMLANDS LÄN</t>
        </is>
      </c>
      <c r="E274" t="inlineStr">
        <is>
          <t>TORSBY</t>
        </is>
      </c>
      <c r="G274" t="n">
        <v>1.5</v>
      </c>
      <c r="H274" t="n">
        <v>0</v>
      </c>
      <c r="I274" t="n">
        <v>0</v>
      </c>
      <c r="J274" t="n">
        <v>0</v>
      </c>
      <c r="K274" t="n">
        <v>0</v>
      </c>
      <c r="L274" t="n">
        <v>0</v>
      </c>
      <c r="M274" t="n">
        <v>0</v>
      </c>
      <c r="N274" t="n">
        <v>0</v>
      </c>
      <c r="O274" t="n">
        <v>0</v>
      </c>
      <c r="P274" t="n">
        <v>0</v>
      </c>
      <c r="Q274" t="n">
        <v>0</v>
      </c>
      <c r="R274" s="2" t="inlineStr"/>
    </row>
    <row r="275" ht="15" customHeight="1">
      <c r="A275" t="inlineStr">
        <is>
          <t>A 56256-2019</t>
        </is>
      </c>
      <c r="B275" s="1" t="n">
        <v>43756</v>
      </c>
      <c r="C275" s="1" t="n">
        <v>45574</v>
      </c>
      <c r="D275" t="inlineStr">
        <is>
          <t>VÄRMLANDS LÄN</t>
        </is>
      </c>
      <c r="E275" t="inlineStr">
        <is>
          <t>TORSBY</t>
        </is>
      </c>
      <c r="G275" t="n">
        <v>2.2</v>
      </c>
      <c r="H275" t="n">
        <v>0</v>
      </c>
      <c r="I275" t="n">
        <v>0</v>
      </c>
      <c r="J275" t="n">
        <v>0</v>
      </c>
      <c r="K275" t="n">
        <v>0</v>
      </c>
      <c r="L275" t="n">
        <v>0</v>
      </c>
      <c r="M275" t="n">
        <v>0</v>
      </c>
      <c r="N275" t="n">
        <v>0</v>
      </c>
      <c r="O275" t="n">
        <v>0</v>
      </c>
      <c r="P275" t="n">
        <v>0</v>
      </c>
      <c r="Q275" t="n">
        <v>0</v>
      </c>
      <c r="R275" s="2" t="inlineStr"/>
    </row>
    <row r="276" ht="15" customHeight="1">
      <c r="A276" t="inlineStr">
        <is>
          <t>A 55988-2019</t>
        </is>
      </c>
      <c r="B276" s="1" t="n">
        <v>43759</v>
      </c>
      <c r="C276" s="1" t="n">
        <v>45574</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56704-2019</t>
        </is>
      </c>
      <c r="B277" s="1" t="n">
        <v>43759</v>
      </c>
      <c r="C277" s="1" t="n">
        <v>45574</v>
      </c>
      <c r="D277" t="inlineStr">
        <is>
          <t>VÄRMLANDS LÄN</t>
        </is>
      </c>
      <c r="E277" t="inlineStr">
        <is>
          <t>TORSBY</t>
        </is>
      </c>
      <c r="G277" t="n">
        <v>2.6</v>
      </c>
      <c r="H277" t="n">
        <v>0</v>
      </c>
      <c r="I277" t="n">
        <v>0</v>
      </c>
      <c r="J277" t="n">
        <v>0</v>
      </c>
      <c r="K277" t="n">
        <v>0</v>
      </c>
      <c r="L277" t="n">
        <v>0</v>
      </c>
      <c r="M277" t="n">
        <v>0</v>
      </c>
      <c r="N277" t="n">
        <v>0</v>
      </c>
      <c r="O277" t="n">
        <v>0</v>
      </c>
      <c r="P277" t="n">
        <v>0</v>
      </c>
      <c r="Q277" t="n">
        <v>0</v>
      </c>
      <c r="R277" s="2" t="inlineStr"/>
    </row>
    <row r="278" ht="15" customHeight="1">
      <c r="A278" t="inlineStr">
        <is>
          <t>A 55927-2019</t>
        </is>
      </c>
      <c r="B278" s="1" t="n">
        <v>43761</v>
      </c>
      <c r="C278" s="1" t="n">
        <v>45574</v>
      </c>
      <c r="D278" t="inlineStr">
        <is>
          <t>VÄRMLANDS LÄN</t>
        </is>
      </c>
      <c r="E278" t="inlineStr">
        <is>
          <t>TORSBY</t>
        </is>
      </c>
      <c r="G278" t="n">
        <v>2.8</v>
      </c>
      <c r="H278" t="n">
        <v>0</v>
      </c>
      <c r="I278" t="n">
        <v>0</v>
      </c>
      <c r="J278" t="n">
        <v>0</v>
      </c>
      <c r="K278" t="n">
        <v>0</v>
      </c>
      <c r="L278" t="n">
        <v>0</v>
      </c>
      <c r="M278" t="n">
        <v>0</v>
      </c>
      <c r="N278" t="n">
        <v>0</v>
      </c>
      <c r="O278" t="n">
        <v>0</v>
      </c>
      <c r="P278" t="n">
        <v>0</v>
      </c>
      <c r="Q278" t="n">
        <v>0</v>
      </c>
      <c r="R278" s="2" t="inlineStr"/>
    </row>
    <row r="279" ht="15" customHeight="1">
      <c r="A279" t="inlineStr">
        <is>
          <t>A 56021-2019</t>
        </is>
      </c>
      <c r="B279" s="1" t="n">
        <v>43761</v>
      </c>
      <c r="C279" s="1" t="n">
        <v>45574</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56305-2019</t>
        </is>
      </c>
      <c r="B280" s="1" t="n">
        <v>43762</v>
      </c>
      <c r="C280" s="1" t="n">
        <v>45574</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56594-2019</t>
        </is>
      </c>
      <c r="B281" s="1" t="n">
        <v>43763</v>
      </c>
      <c r="C281" s="1" t="n">
        <v>45574</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56633-2019</t>
        </is>
      </c>
      <c r="B282" s="1" t="n">
        <v>43763</v>
      </c>
      <c r="C282" s="1" t="n">
        <v>45574</v>
      </c>
      <c r="D282" t="inlineStr">
        <is>
          <t>VÄRMLANDS LÄN</t>
        </is>
      </c>
      <c r="E282" t="inlineStr">
        <is>
          <t>TORSBY</t>
        </is>
      </c>
      <c r="G282" t="n">
        <v>1.6</v>
      </c>
      <c r="H282" t="n">
        <v>0</v>
      </c>
      <c r="I282" t="n">
        <v>0</v>
      </c>
      <c r="J282" t="n">
        <v>0</v>
      </c>
      <c r="K282" t="n">
        <v>0</v>
      </c>
      <c r="L282" t="n">
        <v>0</v>
      </c>
      <c r="M282" t="n">
        <v>0</v>
      </c>
      <c r="N282" t="n">
        <v>0</v>
      </c>
      <c r="O282" t="n">
        <v>0</v>
      </c>
      <c r="P282" t="n">
        <v>0</v>
      </c>
      <c r="Q282" t="n">
        <v>0</v>
      </c>
      <c r="R282" s="2" t="inlineStr"/>
    </row>
    <row r="283" ht="15" customHeight="1">
      <c r="A283" t="inlineStr">
        <is>
          <t>A 56824-2019</t>
        </is>
      </c>
      <c r="B283" s="1" t="n">
        <v>43764</v>
      </c>
      <c r="C283" s="1" t="n">
        <v>45574</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56935-2019</t>
        </is>
      </c>
      <c r="B284" s="1" t="n">
        <v>43766</v>
      </c>
      <c r="C284" s="1" t="n">
        <v>45574</v>
      </c>
      <c r="D284" t="inlineStr">
        <is>
          <t>VÄRMLANDS LÄN</t>
        </is>
      </c>
      <c r="E284" t="inlineStr">
        <is>
          <t>TORSBY</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57399-2019</t>
        </is>
      </c>
      <c r="B285" s="1" t="n">
        <v>43767</v>
      </c>
      <c r="C285" s="1" t="n">
        <v>45574</v>
      </c>
      <c r="D285" t="inlineStr">
        <is>
          <t>VÄRMLANDS LÄN</t>
        </is>
      </c>
      <c r="E285" t="inlineStr">
        <is>
          <t>TORSBY</t>
        </is>
      </c>
      <c r="F285" t="inlineStr">
        <is>
          <t>Bergvik skog väst AB</t>
        </is>
      </c>
      <c r="G285" t="n">
        <v>18.9</v>
      </c>
      <c r="H285" t="n">
        <v>0</v>
      </c>
      <c r="I285" t="n">
        <v>0</v>
      </c>
      <c r="J285" t="n">
        <v>0</v>
      </c>
      <c r="K285" t="n">
        <v>0</v>
      </c>
      <c r="L285" t="n">
        <v>0</v>
      </c>
      <c r="M285" t="n">
        <v>0</v>
      </c>
      <c r="N285" t="n">
        <v>0</v>
      </c>
      <c r="O285" t="n">
        <v>0</v>
      </c>
      <c r="P285" t="n">
        <v>0</v>
      </c>
      <c r="Q285" t="n">
        <v>0</v>
      </c>
      <c r="R285" s="2" t="inlineStr"/>
    </row>
    <row r="286" ht="15" customHeight="1">
      <c r="A286" t="inlineStr">
        <is>
          <t>A 57251-2019</t>
        </is>
      </c>
      <c r="B286" s="1" t="n">
        <v>43767</v>
      </c>
      <c r="C286" s="1" t="n">
        <v>45574</v>
      </c>
      <c r="D286" t="inlineStr">
        <is>
          <t>VÄRMLANDS LÄN</t>
        </is>
      </c>
      <c r="E286" t="inlineStr">
        <is>
          <t>TORSBY</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57301-2019</t>
        </is>
      </c>
      <c r="B287" s="1" t="n">
        <v>43767</v>
      </c>
      <c r="C287" s="1" t="n">
        <v>45574</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57268-2019</t>
        </is>
      </c>
      <c r="B288" s="1" t="n">
        <v>43767</v>
      </c>
      <c r="C288" s="1" t="n">
        <v>45574</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58530-2019</t>
        </is>
      </c>
      <c r="B289" s="1" t="n">
        <v>43767</v>
      </c>
      <c r="C289" s="1" t="n">
        <v>45574</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57223-2019</t>
        </is>
      </c>
      <c r="B290" s="1" t="n">
        <v>43767</v>
      </c>
      <c r="C290" s="1" t="n">
        <v>45574</v>
      </c>
      <c r="D290" t="inlineStr">
        <is>
          <t>VÄRMLANDS LÄN</t>
        </is>
      </c>
      <c r="E290" t="inlineStr">
        <is>
          <t>TORSBY</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57566-2019</t>
        </is>
      </c>
      <c r="B291" s="1" t="n">
        <v>43768</v>
      </c>
      <c r="C291" s="1" t="n">
        <v>45574</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57704-2019</t>
        </is>
      </c>
      <c r="B292" s="1" t="n">
        <v>43768</v>
      </c>
      <c r="C292" s="1" t="n">
        <v>45574</v>
      </c>
      <c r="D292" t="inlineStr">
        <is>
          <t>VÄRMLANDS LÄN</t>
        </is>
      </c>
      <c r="E292" t="inlineStr">
        <is>
          <t>TORSBY</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57565-2019</t>
        </is>
      </c>
      <c r="B293" s="1" t="n">
        <v>43768</v>
      </c>
      <c r="C293" s="1" t="n">
        <v>45574</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58004-2019</t>
        </is>
      </c>
      <c r="B294" s="1" t="n">
        <v>43769</v>
      </c>
      <c r="C294" s="1" t="n">
        <v>45574</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58678-2019</t>
        </is>
      </c>
      <c r="B295" s="1" t="n">
        <v>43773</v>
      </c>
      <c r="C295" s="1" t="n">
        <v>45574</v>
      </c>
      <c r="D295" t="inlineStr">
        <is>
          <t>VÄRMLANDS LÄN</t>
        </is>
      </c>
      <c r="E295" t="inlineStr">
        <is>
          <t>TORSBY</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59127-2019</t>
        </is>
      </c>
      <c r="B296" s="1" t="n">
        <v>43775</v>
      </c>
      <c r="C296" s="1" t="n">
        <v>45574</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59593-2019</t>
        </is>
      </c>
      <c r="B297" s="1" t="n">
        <v>43776</v>
      </c>
      <c r="C297" s="1" t="n">
        <v>45574</v>
      </c>
      <c r="D297" t="inlineStr">
        <is>
          <t>VÄRMLANDS LÄN</t>
        </is>
      </c>
      <c r="E297" t="inlineStr">
        <is>
          <t>TORSBY</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60545-2019</t>
        </is>
      </c>
      <c r="B298" s="1" t="n">
        <v>43781</v>
      </c>
      <c r="C298" s="1" t="n">
        <v>45574</v>
      </c>
      <c r="D298" t="inlineStr">
        <is>
          <t>VÄRMLANDS LÄN</t>
        </is>
      </c>
      <c r="E298" t="inlineStr">
        <is>
          <t>TORSBY</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61074-2019</t>
        </is>
      </c>
      <c r="B299" s="1" t="n">
        <v>43782</v>
      </c>
      <c r="C299" s="1" t="n">
        <v>45574</v>
      </c>
      <c r="D299" t="inlineStr">
        <is>
          <t>VÄRMLANDS LÄN</t>
        </is>
      </c>
      <c r="E299" t="inlineStr">
        <is>
          <t>TORSBY</t>
        </is>
      </c>
      <c r="G299" t="n">
        <v>6.4</v>
      </c>
      <c r="H299" t="n">
        <v>0</v>
      </c>
      <c r="I299" t="n">
        <v>0</v>
      </c>
      <c r="J299" t="n">
        <v>0</v>
      </c>
      <c r="K299" t="n">
        <v>0</v>
      </c>
      <c r="L299" t="n">
        <v>0</v>
      </c>
      <c r="M299" t="n">
        <v>0</v>
      </c>
      <c r="N299" t="n">
        <v>0</v>
      </c>
      <c r="O299" t="n">
        <v>0</v>
      </c>
      <c r="P299" t="n">
        <v>0</v>
      </c>
      <c r="Q299" t="n">
        <v>0</v>
      </c>
      <c r="R299" s="2" t="inlineStr"/>
    </row>
    <row r="300" ht="15" customHeight="1">
      <c r="A300" t="inlineStr">
        <is>
          <t>A 62050-2019</t>
        </is>
      </c>
      <c r="B300" s="1" t="n">
        <v>43787</v>
      </c>
      <c r="C300" s="1" t="n">
        <v>45574</v>
      </c>
      <c r="D300" t="inlineStr">
        <is>
          <t>VÄRMLANDS LÄN</t>
        </is>
      </c>
      <c r="E300" t="inlineStr">
        <is>
          <t>TORSBY</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61958-2019</t>
        </is>
      </c>
      <c r="B301" s="1" t="n">
        <v>43787</v>
      </c>
      <c r="C301" s="1" t="n">
        <v>45574</v>
      </c>
      <c r="D301" t="inlineStr">
        <is>
          <t>VÄRMLANDS LÄN</t>
        </is>
      </c>
      <c r="E301" t="inlineStr">
        <is>
          <t>TORSBY</t>
        </is>
      </c>
      <c r="G301" t="n">
        <v>2.4</v>
      </c>
      <c r="H301" t="n">
        <v>0</v>
      </c>
      <c r="I301" t="n">
        <v>0</v>
      </c>
      <c r="J301" t="n">
        <v>0</v>
      </c>
      <c r="K301" t="n">
        <v>0</v>
      </c>
      <c r="L301" t="n">
        <v>0</v>
      </c>
      <c r="M301" t="n">
        <v>0</v>
      </c>
      <c r="N301" t="n">
        <v>0</v>
      </c>
      <c r="O301" t="n">
        <v>0</v>
      </c>
      <c r="P301" t="n">
        <v>0</v>
      </c>
      <c r="Q301" t="n">
        <v>0</v>
      </c>
      <c r="R301" s="2" t="inlineStr"/>
    </row>
    <row r="302" ht="15" customHeight="1">
      <c r="A302" t="inlineStr">
        <is>
          <t>A 62255-2019</t>
        </is>
      </c>
      <c r="B302" s="1" t="n">
        <v>43788</v>
      </c>
      <c r="C302" s="1" t="n">
        <v>45574</v>
      </c>
      <c r="D302" t="inlineStr">
        <is>
          <t>VÄRMLANDS LÄN</t>
        </is>
      </c>
      <c r="E302" t="inlineStr">
        <is>
          <t>TORSBY</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62286-2019</t>
        </is>
      </c>
      <c r="B303" s="1" t="n">
        <v>43788</v>
      </c>
      <c r="C303" s="1" t="n">
        <v>45574</v>
      </c>
      <c r="D303" t="inlineStr">
        <is>
          <t>VÄRMLANDS LÄN</t>
        </is>
      </c>
      <c r="E303" t="inlineStr">
        <is>
          <t>TORSBY</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63743-2019</t>
        </is>
      </c>
      <c r="B304" s="1" t="n">
        <v>43795</v>
      </c>
      <c r="C304" s="1" t="n">
        <v>45574</v>
      </c>
      <c r="D304" t="inlineStr">
        <is>
          <t>VÄRMLANDS LÄN</t>
        </is>
      </c>
      <c r="E304" t="inlineStr">
        <is>
          <t>TORSBY</t>
        </is>
      </c>
      <c r="F304" t="inlineStr">
        <is>
          <t>Bergvik skog väst AB</t>
        </is>
      </c>
      <c r="G304" t="n">
        <v>6.3</v>
      </c>
      <c r="H304" t="n">
        <v>0</v>
      </c>
      <c r="I304" t="n">
        <v>0</v>
      </c>
      <c r="J304" t="n">
        <v>0</v>
      </c>
      <c r="K304" t="n">
        <v>0</v>
      </c>
      <c r="L304" t="n">
        <v>0</v>
      </c>
      <c r="M304" t="n">
        <v>0</v>
      </c>
      <c r="N304" t="n">
        <v>0</v>
      </c>
      <c r="O304" t="n">
        <v>0</v>
      </c>
      <c r="P304" t="n">
        <v>0</v>
      </c>
      <c r="Q304" t="n">
        <v>0</v>
      </c>
      <c r="R304" s="2" t="inlineStr"/>
    </row>
    <row r="305" ht="15" customHeight="1">
      <c r="A305" t="inlineStr">
        <is>
          <t>A 64114-2019</t>
        </is>
      </c>
      <c r="B305" s="1" t="n">
        <v>43796</v>
      </c>
      <c r="C305" s="1" t="n">
        <v>45574</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64444-2019</t>
        </is>
      </c>
      <c r="B306" s="1" t="n">
        <v>43797</v>
      </c>
      <c r="C306" s="1" t="n">
        <v>45574</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65187-2019</t>
        </is>
      </c>
      <c r="B307" s="1" t="n">
        <v>43797</v>
      </c>
      <c r="C307" s="1" t="n">
        <v>45574</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65243-2019</t>
        </is>
      </c>
      <c r="B308" s="1" t="n">
        <v>43797</v>
      </c>
      <c r="C308" s="1" t="n">
        <v>45574</v>
      </c>
      <c r="D308" t="inlineStr">
        <is>
          <t>VÄRMLANDS LÄN</t>
        </is>
      </c>
      <c r="E308" t="inlineStr">
        <is>
          <t>TORSBY</t>
        </is>
      </c>
      <c r="F308" t="inlineStr">
        <is>
          <t>Övriga statliga verk och myndigheter</t>
        </is>
      </c>
      <c r="G308" t="n">
        <v>20.3</v>
      </c>
      <c r="H308" t="n">
        <v>0</v>
      </c>
      <c r="I308" t="n">
        <v>0</v>
      </c>
      <c r="J308" t="n">
        <v>0</v>
      </c>
      <c r="K308" t="n">
        <v>0</v>
      </c>
      <c r="L308" t="n">
        <v>0</v>
      </c>
      <c r="M308" t="n">
        <v>0</v>
      </c>
      <c r="N308" t="n">
        <v>0</v>
      </c>
      <c r="O308" t="n">
        <v>0</v>
      </c>
      <c r="P308" t="n">
        <v>0</v>
      </c>
      <c r="Q308" t="n">
        <v>0</v>
      </c>
      <c r="R308" s="2" t="inlineStr"/>
    </row>
    <row r="309" ht="15" customHeight="1">
      <c r="A309" t="inlineStr">
        <is>
          <t>A 64803-2019</t>
        </is>
      </c>
      <c r="B309" s="1" t="n">
        <v>43801</v>
      </c>
      <c r="C309" s="1" t="n">
        <v>45574</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65132-2019</t>
        </is>
      </c>
      <c r="B310" s="1" t="n">
        <v>43802</v>
      </c>
      <c r="C310" s="1" t="n">
        <v>45574</v>
      </c>
      <c r="D310" t="inlineStr">
        <is>
          <t>VÄRMLANDS LÄN</t>
        </is>
      </c>
      <c r="E310" t="inlineStr">
        <is>
          <t>TORSBY</t>
        </is>
      </c>
      <c r="G310" t="n">
        <v>2.4</v>
      </c>
      <c r="H310" t="n">
        <v>0</v>
      </c>
      <c r="I310" t="n">
        <v>0</v>
      </c>
      <c r="J310" t="n">
        <v>0</v>
      </c>
      <c r="K310" t="n">
        <v>0</v>
      </c>
      <c r="L310" t="n">
        <v>0</v>
      </c>
      <c r="M310" t="n">
        <v>0</v>
      </c>
      <c r="N310" t="n">
        <v>0</v>
      </c>
      <c r="O310" t="n">
        <v>0</v>
      </c>
      <c r="P310" t="n">
        <v>0</v>
      </c>
      <c r="Q310" t="n">
        <v>0</v>
      </c>
      <c r="R310" s="2" t="inlineStr"/>
    </row>
    <row r="311" ht="15" customHeight="1">
      <c r="A311" t="inlineStr">
        <is>
          <t>A 65076-2019</t>
        </is>
      </c>
      <c r="B311" s="1" t="n">
        <v>43802</v>
      </c>
      <c r="C311" s="1" t="n">
        <v>45574</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65465-2019</t>
        </is>
      </c>
      <c r="B312" s="1" t="n">
        <v>43803</v>
      </c>
      <c r="C312" s="1" t="n">
        <v>45574</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65914-2019</t>
        </is>
      </c>
      <c r="B313" s="1" t="n">
        <v>43805</v>
      </c>
      <c r="C313" s="1" t="n">
        <v>45574</v>
      </c>
      <c r="D313" t="inlineStr">
        <is>
          <t>VÄRMLANDS LÄN</t>
        </is>
      </c>
      <c r="E313" t="inlineStr">
        <is>
          <t>TORSBY</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67527-2019</t>
        </is>
      </c>
      <c r="B314" s="1" t="n">
        <v>43808</v>
      </c>
      <c r="C314" s="1" t="n">
        <v>45574</v>
      </c>
      <c r="D314" t="inlineStr">
        <is>
          <t>VÄRMLANDS LÄN</t>
        </is>
      </c>
      <c r="E314" t="inlineStr">
        <is>
          <t>TORSBY</t>
        </is>
      </c>
      <c r="G314" t="n">
        <v>1.2</v>
      </c>
      <c r="H314" t="n">
        <v>0</v>
      </c>
      <c r="I314" t="n">
        <v>0</v>
      </c>
      <c r="J314" t="n">
        <v>0</v>
      </c>
      <c r="K314" t="n">
        <v>0</v>
      </c>
      <c r="L314" t="n">
        <v>0</v>
      </c>
      <c r="M314" t="n">
        <v>0</v>
      </c>
      <c r="N314" t="n">
        <v>0</v>
      </c>
      <c r="O314" t="n">
        <v>0</v>
      </c>
      <c r="P314" t="n">
        <v>0</v>
      </c>
      <c r="Q314" t="n">
        <v>0</v>
      </c>
      <c r="R314" s="2" t="inlineStr"/>
    </row>
    <row r="315" ht="15" customHeight="1">
      <c r="A315" t="inlineStr">
        <is>
          <t>A 66690-2019</t>
        </is>
      </c>
      <c r="B315" s="1" t="n">
        <v>43809</v>
      </c>
      <c r="C315" s="1" t="n">
        <v>45574</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66689-2019</t>
        </is>
      </c>
      <c r="B316" s="1" t="n">
        <v>43809</v>
      </c>
      <c r="C316" s="1" t="n">
        <v>45574</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67686-2019</t>
        </is>
      </c>
      <c r="B317" s="1" t="n">
        <v>43809</v>
      </c>
      <c r="C317" s="1" t="n">
        <v>45574</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66688-2019</t>
        </is>
      </c>
      <c r="B318" s="1" t="n">
        <v>43809</v>
      </c>
      <c r="C318" s="1" t="n">
        <v>45574</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67690-2019</t>
        </is>
      </c>
      <c r="B319" s="1" t="n">
        <v>43809</v>
      </c>
      <c r="C319" s="1" t="n">
        <v>45574</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67671-2019</t>
        </is>
      </c>
      <c r="B320" s="1" t="n">
        <v>43810</v>
      </c>
      <c r="C320" s="1" t="n">
        <v>45574</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67728-2019</t>
        </is>
      </c>
      <c r="B321" s="1" t="n">
        <v>43815</v>
      </c>
      <c r="C321" s="1" t="n">
        <v>45574</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68354-2019</t>
        </is>
      </c>
      <c r="B322" s="1" t="n">
        <v>43818</v>
      </c>
      <c r="C322" s="1" t="n">
        <v>45574</v>
      </c>
      <c r="D322" t="inlineStr">
        <is>
          <t>VÄRMLANDS LÄN</t>
        </is>
      </c>
      <c r="E322" t="inlineStr">
        <is>
          <t>TORSBY</t>
        </is>
      </c>
      <c r="G322" t="n">
        <v>61.1</v>
      </c>
      <c r="H322" t="n">
        <v>0</v>
      </c>
      <c r="I322" t="n">
        <v>0</v>
      </c>
      <c r="J322" t="n">
        <v>0</v>
      </c>
      <c r="K322" t="n">
        <v>0</v>
      </c>
      <c r="L322" t="n">
        <v>0</v>
      </c>
      <c r="M322" t="n">
        <v>0</v>
      </c>
      <c r="N322" t="n">
        <v>0</v>
      </c>
      <c r="O322" t="n">
        <v>0</v>
      </c>
      <c r="P322" t="n">
        <v>0</v>
      </c>
      <c r="Q322" t="n">
        <v>0</v>
      </c>
      <c r="R322" s="2" t="inlineStr"/>
    </row>
    <row r="323" ht="15" customHeight="1">
      <c r="A323" t="inlineStr">
        <is>
          <t>A 68360-2019</t>
        </is>
      </c>
      <c r="B323" s="1" t="n">
        <v>43818</v>
      </c>
      <c r="C323" s="1" t="n">
        <v>45574</v>
      </c>
      <c r="D323" t="inlineStr">
        <is>
          <t>VÄRMLANDS LÄN</t>
        </is>
      </c>
      <c r="E323" t="inlineStr">
        <is>
          <t>TORSBY</t>
        </is>
      </c>
      <c r="G323" t="n">
        <v>9</v>
      </c>
      <c r="H323" t="n">
        <v>0</v>
      </c>
      <c r="I323" t="n">
        <v>0</v>
      </c>
      <c r="J323" t="n">
        <v>0</v>
      </c>
      <c r="K323" t="n">
        <v>0</v>
      </c>
      <c r="L323" t="n">
        <v>0</v>
      </c>
      <c r="M323" t="n">
        <v>0</v>
      </c>
      <c r="N323" t="n">
        <v>0</v>
      </c>
      <c r="O323" t="n">
        <v>0</v>
      </c>
      <c r="P323" t="n">
        <v>0</v>
      </c>
      <c r="Q323" t="n">
        <v>0</v>
      </c>
      <c r="R323" s="2" t="inlineStr"/>
    </row>
    <row r="324" ht="15" customHeight="1">
      <c r="A324" t="inlineStr">
        <is>
          <t>A 68553-2019</t>
        </is>
      </c>
      <c r="B324" s="1" t="n">
        <v>43818</v>
      </c>
      <c r="C324" s="1" t="n">
        <v>45574</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140-2020</t>
        </is>
      </c>
      <c r="B325" s="1" t="n">
        <v>43833</v>
      </c>
      <c r="C325" s="1" t="n">
        <v>45574</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338-2020</t>
        </is>
      </c>
      <c r="B326" s="1" t="n">
        <v>43837</v>
      </c>
      <c r="C326" s="1" t="n">
        <v>45574</v>
      </c>
      <c r="D326" t="inlineStr">
        <is>
          <t>VÄRMLANDS LÄN</t>
        </is>
      </c>
      <c r="E326" t="inlineStr">
        <is>
          <t>TORSBY</t>
        </is>
      </c>
      <c r="G326" t="n">
        <v>3.2</v>
      </c>
      <c r="H326" t="n">
        <v>0</v>
      </c>
      <c r="I326" t="n">
        <v>0</v>
      </c>
      <c r="J326" t="n">
        <v>0</v>
      </c>
      <c r="K326" t="n">
        <v>0</v>
      </c>
      <c r="L326" t="n">
        <v>0</v>
      </c>
      <c r="M326" t="n">
        <v>0</v>
      </c>
      <c r="N326" t="n">
        <v>0</v>
      </c>
      <c r="O326" t="n">
        <v>0</v>
      </c>
      <c r="P326" t="n">
        <v>0</v>
      </c>
      <c r="Q326" t="n">
        <v>0</v>
      </c>
      <c r="R326" s="2" t="inlineStr"/>
    </row>
    <row r="327" ht="15" customHeight="1">
      <c r="A327" t="inlineStr">
        <is>
          <t>A 388-2020</t>
        </is>
      </c>
      <c r="B327" s="1" t="n">
        <v>43837</v>
      </c>
      <c r="C327" s="1" t="n">
        <v>45574</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3263-2020</t>
        </is>
      </c>
      <c r="B328" s="1" t="n">
        <v>43844</v>
      </c>
      <c r="C328" s="1" t="n">
        <v>45574</v>
      </c>
      <c r="D328" t="inlineStr">
        <is>
          <t>VÄRMLANDS LÄN</t>
        </is>
      </c>
      <c r="E328" t="inlineStr">
        <is>
          <t>TORSBY</t>
        </is>
      </c>
      <c r="G328" t="n">
        <v>14.7</v>
      </c>
      <c r="H328" t="n">
        <v>0</v>
      </c>
      <c r="I328" t="n">
        <v>0</v>
      </c>
      <c r="J328" t="n">
        <v>0</v>
      </c>
      <c r="K328" t="n">
        <v>0</v>
      </c>
      <c r="L328" t="n">
        <v>0</v>
      </c>
      <c r="M328" t="n">
        <v>0</v>
      </c>
      <c r="N328" t="n">
        <v>0</v>
      </c>
      <c r="O328" t="n">
        <v>0</v>
      </c>
      <c r="P328" t="n">
        <v>0</v>
      </c>
      <c r="Q328" t="n">
        <v>0</v>
      </c>
      <c r="R328" s="2" t="inlineStr"/>
    </row>
    <row r="329" ht="15" customHeight="1">
      <c r="A329" t="inlineStr">
        <is>
          <t>A 3172-2020</t>
        </is>
      </c>
      <c r="B329" s="1" t="n">
        <v>43844</v>
      </c>
      <c r="C329" s="1" t="n">
        <v>45574</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2082-2020</t>
        </is>
      </c>
      <c r="B330" s="1" t="n">
        <v>43845</v>
      </c>
      <c r="C330" s="1" t="n">
        <v>45574</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1875-2020</t>
        </is>
      </c>
      <c r="B331" s="1" t="n">
        <v>43845</v>
      </c>
      <c r="C331" s="1" t="n">
        <v>45574</v>
      </c>
      <c r="D331" t="inlineStr">
        <is>
          <t>VÄRMLANDS LÄN</t>
        </is>
      </c>
      <c r="E331" t="inlineStr">
        <is>
          <t>TORSBY</t>
        </is>
      </c>
      <c r="G331" t="n">
        <v>3</v>
      </c>
      <c r="H331" t="n">
        <v>0</v>
      </c>
      <c r="I331" t="n">
        <v>0</v>
      </c>
      <c r="J331" t="n">
        <v>0</v>
      </c>
      <c r="K331" t="n">
        <v>0</v>
      </c>
      <c r="L331" t="n">
        <v>0</v>
      </c>
      <c r="M331" t="n">
        <v>0</v>
      </c>
      <c r="N331" t="n">
        <v>0</v>
      </c>
      <c r="O331" t="n">
        <v>0</v>
      </c>
      <c r="P331" t="n">
        <v>0</v>
      </c>
      <c r="Q331" t="n">
        <v>0</v>
      </c>
      <c r="R331" s="2" t="inlineStr"/>
    </row>
    <row r="332" ht="15" customHeight="1">
      <c r="A332" t="inlineStr">
        <is>
          <t>A 2068-2020</t>
        </is>
      </c>
      <c r="B332" s="1" t="n">
        <v>43845</v>
      </c>
      <c r="C332" s="1" t="n">
        <v>45574</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4017-2020</t>
        </is>
      </c>
      <c r="B333" s="1" t="n">
        <v>43846</v>
      </c>
      <c r="C333" s="1" t="n">
        <v>45574</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4753-2020</t>
        </is>
      </c>
      <c r="B334" s="1" t="n">
        <v>43859</v>
      </c>
      <c r="C334" s="1" t="n">
        <v>45574</v>
      </c>
      <c r="D334" t="inlineStr">
        <is>
          <t>VÄRMLANDS LÄN</t>
        </is>
      </c>
      <c r="E334" t="inlineStr">
        <is>
          <t>TORSBY</t>
        </is>
      </c>
      <c r="G334" t="n">
        <v>4.5</v>
      </c>
      <c r="H334" t="n">
        <v>0</v>
      </c>
      <c r="I334" t="n">
        <v>0</v>
      </c>
      <c r="J334" t="n">
        <v>0</v>
      </c>
      <c r="K334" t="n">
        <v>0</v>
      </c>
      <c r="L334" t="n">
        <v>0</v>
      </c>
      <c r="M334" t="n">
        <v>0</v>
      </c>
      <c r="N334" t="n">
        <v>0</v>
      </c>
      <c r="O334" t="n">
        <v>0</v>
      </c>
      <c r="P334" t="n">
        <v>0</v>
      </c>
      <c r="Q334" t="n">
        <v>0</v>
      </c>
      <c r="R334" s="2" t="inlineStr"/>
    </row>
    <row r="335" ht="15" customHeight="1">
      <c r="A335" t="inlineStr">
        <is>
          <t>A 5180-2020</t>
        </is>
      </c>
      <c r="B335" s="1" t="n">
        <v>43860</v>
      </c>
      <c r="C335" s="1" t="n">
        <v>45574</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5426-2020</t>
        </is>
      </c>
      <c r="B336" s="1" t="n">
        <v>43861</v>
      </c>
      <c r="C336" s="1" t="n">
        <v>45574</v>
      </c>
      <c r="D336" t="inlineStr">
        <is>
          <t>VÄRMLANDS LÄN</t>
        </is>
      </c>
      <c r="E336" t="inlineStr">
        <is>
          <t>TORSBY</t>
        </is>
      </c>
      <c r="G336" t="n">
        <v>7.2</v>
      </c>
      <c r="H336" t="n">
        <v>0</v>
      </c>
      <c r="I336" t="n">
        <v>0</v>
      </c>
      <c r="J336" t="n">
        <v>0</v>
      </c>
      <c r="K336" t="n">
        <v>0</v>
      </c>
      <c r="L336" t="n">
        <v>0</v>
      </c>
      <c r="M336" t="n">
        <v>0</v>
      </c>
      <c r="N336" t="n">
        <v>0</v>
      </c>
      <c r="O336" t="n">
        <v>0</v>
      </c>
      <c r="P336" t="n">
        <v>0</v>
      </c>
      <c r="Q336" t="n">
        <v>0</v>
      </c>
      <c r="R336" s="2" t="inlineStr"/>
    </row>
    <row r="337" ht="15" customHeight="1">
      <c r="A337" t="inlineStr">
        <is>
          <t>A 5425-2020</t>
        </is>
      </c>
      <c r="B337" s="1" t="n">
        <v>43861</v>
      </c>
      <c r="C337" s="1" t="n">
        <v>45574</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5427-2020</t>
        </is>
      </c>
      <c r="B338" s="1" t="n">
        <v>43861</v>
      </c>
      <c r="C338" s="1" t="n">
        <v>45574</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7000-2020</t>
        </is>
      </c>
      <c r="B339" s="1" t="n">
        <v>43868</v>
      </c>
      <c r="C339" s="1" t="n">
        <v>45574</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6862-2020</t>
        </is>
      </c>
      <c r="B340" s="1" t="n">
        <v>43868</v>
      </c>
      <c r="C340" s="1" t="n">
        <v>45574</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7153-2020</t>
        </is>
      </c>
      <c r="B341" s="1" t="n">
        <v>43870</v>
      </c>
      <c r="C341" s="1" t="n">
        <v>45574</v>
      </c>
      <c r="D341" t="inlineStr">
        <is>
          <t>VÄRMLANDS LÄN</t>
        </is>
      </c>
      <c r="E341" t="inlineStr">
        <is>
          <t>TORSBY</t>
        </is>
      </c>
      <c r="G341" t="n">
        <v>2.5</v>
      </c>
      <c r="H341" t="n">
        <v>0</v>
      </c>
      <c r="I341" t="n">
        <v>0</v>
      </c>
      <c r="J341" t="n">
        <v>0</v>
      </c>
      <c r="K341" t="n">
        <v>0</v>
      </c>
      <c r="L341" t="n">
        <v>0</v>
      </c>
      <c r="M341" t="n">
        <v>0</v>
      </c>
      <c r="N341" t="n">
        <v>0</v>
      </c>
      <c r="O341" t="n">
        <v>0</v>
      </c>
      <c r="P341" t="n">
        <v>0</v>
      </c>
      <c r="Q341" t="n">
        <v>0</v>
      </c>
      <c r="R341" s="2" t="inlineStr"/>
    </row>
    <row r="342" ht="15" customHeight="1">
      <c r="A342" t="inlineStr">
        <is>
          <t>A 7279-2020</t>
        </is>
      </c>
      <c r="B342" s="1" t="n">
        <v>43871</v>
      </c>
      <c r="C342" s="1" t="n">
        <v>45574</v>
      </c>
      <c r="D342" t="inlineStr">
        <is>
          <t>VÄRMLANDS LÄN</t>
        </is>
      </c>
      <c r="E342" t="inlineStr">
        <is>
          <t>TORSBY</t>
        </is>
      </c>
      <c r="G342" t="n">
        <v>6.7</v>
      </c>
      <c r="H342" t="n">
        <v>0</v>
      </c>
      <c r="I342" t="n">
        <v>0</v>
      </c>
      <c r="J342" t="n">
        <v>0</v>
      </c>
      <c r="K342" t="n">
        <v>0</v>
      </c>
      <c r="L342" t="n">
        <v>0</v>
      </c>
      <c r="M342" t="n">
        <v>0</v>
      </c>
      <c r="N342" t="n">
        <v>0</v>
      </c>
      <c r="O342" t="n">
        <v>0</v>
      </c>
      <c r="P342" t="n">
        <v>0</v>
      </c>
      <c r="Q342" t="n">
        <v>0</v>
      </c>
      <c r="R342" s="2" t="inlineStr"/>
    </row>
    <row r="343" ht="15" customHeight="1">
      <c r="A343" t="inlineStr">
        <is>
          <t>A 7526-2020</t>
        </is>
      </c>
      <c r="B343" s="1" t="n">
        <v>43871</v>
      </c>
      <c r="C343" s="1" t="n">
        <v>45574</v>
      </c>
      <c r="D343" t="inlineStr">
        <is>
          <t>VÄRMLANDS LÄN</t>
        </is>
      </c>
      <c r="E343" t="inlineStr">
        <is>
          <t>TORSBY</t>
        </is>
      </c>
      <c r="G343" t="n">
        <v>11.8</v>
      </c>
      <c r="H343" t="n">
        <v>0</v>
      </c>
      <c r="I343" t="n">
        <v>0</v>
      </c>
      <c r="J343" t="n">
        <v>0</v>
      </c>
      <c r="K343" t="n">
        <v>0</v>
      </c>
      <c r="L343" t="n">
        <v>0</v>
      </c>
      <c r="M343" t="n">
        <v>0</v>
      </c>
      <c r="N343" t="n">
        <v>0</v>
      </c>
      <c r="O343" t="n">
        <v>0</v>
      </c>
      <c r="P343" t="n">
        <v>0</v>
      </c>
      <c r="Q343" t="n">
        <v>0</v>
      </c>
      <c r="R343" s="2" t="inlineStr"/>
    </row>
    <row r="344" ht="15" customHeight="1">
      <c r="A344" t="inlineStr">
        <is>
          <t>A 7582-2020</t>
        </is>
      </c>
      <c r="B344" s="1" t="n">
        <v>43871</v>
      </c>
      <c r="C344" s="1" t="n">
        <v>45574</v>
      </c>
      <c r="D344" t="inlineStr">
        <is>
          <t>VÄRMLANDS LÄN</t>
        </is>
      </c>
      <c r="E344" t="inlineStr">
        <is>
          <t>TORSBY</t>
        </is>
      </c>
      <c r="G344" t="n">
        <v>7.4</v>
      </c>
      <c r="H344" t="n">
        <v>0</v>
      </c>
      <c r="I344" t="n">
        <v>0</v>
      </c>
      <c r="J344" t="n">
        <v>0</v>
      </c>
      <c r="K344" t="n">
        <v>0</v>
      </c>
      <c r="L344" t="n">
        <v>0</v>
      </c>
      <c r="M344" t="n">
        <v>0</v>
      </c>
      <c r="N344" t="n">
        <v>0</v>
      </c>
      <c r="O344" t="n">
        <v>0</v>
      </c>
      <c r="P344" t="n">
        <v>0</v>
      </c>
      <c r="Q344" t="n">
        <v>0</v>
      </c>
      <c r="R344" s="2" t="inlineStr"/>
    </row>
    <row r="345" ht="15" customHeight="1">
      <c r="A345" t="inlineStr">
        <is>
          <t>A 7749-2020</t>
        </is>
      </c>
      <c r="B345" s="1" t="n">
        <v>43872</v>
      </c>
      <c r="C345" s="1" t="n">
        <v>45574</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7856-2020</t>
        </is>
      </c>
      <c r="B346" s="1" t="n">
        <v>43873</v>
      </c>
      <c r="C346" s="1" t="n">
        <v>45574</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8631-2020</t>
        </is>
      </c>
      <c r="B347" s="1" t="n">
        <v>43874</v>
      </c>
      <c r="C347" s="1" t="n">
        <v>45574</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8899-2020</t>
        </is>
      </c>
      <c r="B348" s="1" t="n">
        <v>43878</v>
      </c>
      <c r="C348" s="1" t="n">
        <v>45574</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9192-2020</t>
        </is>
      </c>
      <c r="B349" s="1" t="n">
        <v>43879</v>
      </c>
      <c r="C349" s="1" t="n">
        <v>45574</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9766-2020</t>
        </is>
      </c>
      <c r="B350" s="1" t="n">
        <v>43879</v>
      </c>
      <c r="C350" s="1" t="n">
        <v>45574</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9760-2020</t>
        </is>
      </c>
      <c r="B351" s="1" t="n">
        <v>43879</v>
      </c>
      <c r="C351" s="1" t="n">
        <v>45574</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9600-2020</t>
        </is>
      </c>
      <c r="B352" s="1" t="n">
        <v>43881</v>
      </c>
      <c r="C352" s="1" t="n">
        <v>45574</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10899-2020</t>
        </is>
      </c>
      <c r="B353" s="1" t="n">
        <v>43885</v>
      </c>
      <c r="C353" s="1" t="n">
        <v>45574</v>
      </c>
      <c r="D353" t="inlineStr">
        <is>
          <t>VÄRMLANDS LÄN</t>
        </is>
      </c>
      <c r="E353" t="inlineStr">
        <is>
          <t>TORSBY</t>
        </is>
      </c>
      <c r="G353" t="n">
        <v>7.4</v>
      </c>
      <c r="H353" t="n">
        <v>0</v>
      </c>
      <c r="I353" t="n">
        <v>0</v>
      </c>
      <c r="J353" t="n">
        <v>0</v>
      </c>
      <c r="K353" t="n">
        <v>0</v>
      </c>
      <c r="L353" t="n">
        <v>0</v>
      </c>
      <c r="M353" t="n">
        <v>0</v>
      </c>
      <c r="N353" t="n">
        <v>0</v>
      </c>
      <c r="O353" t="n">
        <v>0</v>
      </c>
      <c r="P353" t="n">
        <v>0</v>
      </c>
      <c r="Q353" t="n">
        <v>0</v>
      </c>
      <c r="R353" s="2" t="inlineStr"/>
    </row>
    <row r="354" ht="15" customHeight="1">
      <c r="A354" t="inlineStr">
        <is>
          <t>A 10422-2020</t>
        </is>
      </c>
      <c r="B354" s="1" t="n">
        <v>43886</v>
      </c>
      <c r="C354" s="1" t="n">
        <v>45574</v>
      </c>
      <c r="D354" t="inlineStr">
        <is>
          <t>VÄRMLANDS LÄN</t>
        </is>
      </c>
      <c r="E354" t="inlineStr">
        <is>
          <t>TORSBY</t>
        </is>
      </c>
      <c r="G354" t="n">
        <v>3.4</v>
      </c>
      <c r="H354" t="n">
        <v>0</v>
      </c>
      <c r="I354" t="n">
        <v>0</v>
      </c>
      <c r="J354" t="n">
        <v>0</v>
      </c>
      <c r="K354" t="n">
        <v>0</v>
      </c>
      <c r="L354" t="n">
        <v>0</v>
      </c>
      <c r="M354" t="n">
        <v>0</v>
      </c>
      <c r="N354" t="n">
        <v>0</v>
      </c>
      <c r="O354" t="n">
        <v>0</v>
      </c>
      <c r="P354" t="n">
        <v>0</v>
      </c>
      <c r="Q354" t="n">
        <v>0</v>
      </c>
      <c r="R354" s="2" t="inlineStr"/>
    </row>
    <row r="355" ht="15" customHeight="1">
      <c r="A355" t="inlineStr">
        <is>
          <t>A 10449-2020</t>
        </is>
      </c>
      <c r="B355" s="1" t="n">
        <v>43886</v>
      </c>
      <c r="C355" s="1" t="n">
        <v>45574</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11213-2020</t>
        </is>
      </c>
      <c r="B356" s="1" t="n">
        <v>43892</v>
      </c>
      <c r="C356" s="1" t="n">
        <v>45574</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12428-2020</t>
        </is>
      </c>
      <c r="B357" s="1" t="n">
        <v>43896</v>
      </c>
      <c r="C357" s="1" t="n">
        <v>45574</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12855-2020</t>
        </is>
      </c>
      <c r="B358" s="1" t="n">
        <v>43899</v>
      </c>
      <c r="C358" s="1" t="n">
        <v>45574</v>
      </c>
      <c r="D358" t="inlineStr">
        <is>
          <t>VÄRMLANDS LÄN</t>
        </is>
      </c>
      <c r="E358" t="inlineStr">
        <is>
          <t>TORSBY</t>
        </is>
      </c>
      <c r="G358" t="n">
        <v>5.9</v>
      </c>
      <c r="H358" t="n">
        <v>0</v>
      </c>
      <c r="I358" t="n">
        <v>0</v>
      </c>
      <c r="J358" t="n">
        <v>0</v>
      </c>
      <c r="K358" t="n">
        <v>0</v>
      </c>
      <c r="L358" t="n">
        <v>0</v>
      </c>
      <c r="M358" t="n">
        <v>0</v>
      </c>
      <c r="N358" t="n">
        <v>0</v>
      </c>
      <c r="O358" t="n">
        <v>0</v>
      </c>
      <c r="P358" t="n">
        <v>0</v>
      </c>
      <c r="Q358" t="n">
        <v>0</v>
      </c>
      <c r="R358" s="2" t="inlineStr"/>
    </row>
    <row r="359" ht="15" customHeight="1">
      <c r="A359" t="inlineStr">
        <is>
          <t>A 12881-2020</t>
        </is>
      </c>
      <c r="B359" s="1" t="n">
        <v>43900</v>
      </c>
      <c r="C359" s="1" t="n">
        <v>45574</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14246-2020</t>
        </is>
      </c>
      <c r="B360" s="1" t="n">
        <v>43900</v>
      </c>
      <c r="C360" s="1" t="n">
        <v>45574</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13153-2020</t>
        </is>
      </c>
      <c r="B361" s="1" t="n">
        <v>43901</v>
      </c>
      <c r="C361" s="1" t="n">
        <v>45574</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13250-2020</t>
        </is>
      </c>
      <c r="B362" s="1" t="n">
        <v>43901</v>
      </c>
      <c r="C362" s="1" t="n">
        <v>45574</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14695-2020</t>
        </is>
      </c>
      <c r="B363" s="1" t="n">
        <v>43903</v>
      </c>
      <c r="C363" s="1" t="n">
        <v>45574</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14693-2020</t>
        </is>
      </c>
      <c r="B364" s="1" t="n">
        <v>43903</v>
      </c>
      <c r="C364" s="1" t="n">
        <v>45574</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14962-2020</t>
        </is>
      </c>
      <c r="B365" s="1" t="n">
        <v>43907</v>
      </c>
      <c r="C365" s="1" t="n">
        <v>45574</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14968-2020</t>
        </is>
      </c>
      <c r="B366" s="1" t="n">
        <v>43907</v>
      </c>
      <c r="C366" s="1" t="n">
        <v>45574</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14702-2020</t>
        </is>
      </c>
      <c r="B367" s="1" t="n">
        <v>43909</v>
      </c>
      <c r="C367" s="1" t="n">
        <v>45574</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14694-2020</t>
        </is>
      </c>
      <c r="B368" s="1" t="n">
        <v>43909</v>
      </c>
      <c r="C368" s="1" t="n">
        <v>45574</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14851-2020</t>
        </is>
      </c>
      <c r="B369" s="1" t="n">
        <v>43909</v>
      </c>
      <c r="C369" s="1" t="n">
        <v>45574</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15161-2020</t>
        </is>
      </c>
      <c r="B370" s="1" t="n">
        <v>43912</v>
      </c>
      <c r="C370" s="1" t="n">
        <v>45574</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15280-2020</t>
        </is>
      </c>
      <c r="B371" s="1" t="n">
        <v>43913</v>
      </c>
      <c r="C371" s="1" t="n">
        <v>45574</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15589-2020</t>
        </is>
      </c>
      <c r="B372" s="1" t="n">
        <v>43914</v>
      </c>
      <c r="C372" s="1" t="n">
        <v>45574</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15701-2020</t>
        </is>
      </c>
      <c r="B373" s="1" t="n">
        <v>43915</v>
      </c>
      <c r="C373" s="1" t="n">
        <v>45574</v>
      </c>
      <c r="D373" t="inlineStr">
        <is>
          <t>VÄRMLANDS LÄN</t>
        </is>
      </c>
      <c r="E373" t="inlineStr">
        <is>
          <t>TORSBY</t>
        </is>
      </c>
      <c r="G373" t="n">
        <v>2.9</v>
      </c>
      <c r="H373" t="n">
        <v>0</v>
      </c>
      <c r="I373" t="n">
        <v>0</v>
      </c>
      <c r="J373" t="n">
        <v>0</v>
      </c>
      <c r="K373" t="n">
        <v>0</v>
      </c>
      <c r="L373" t="n">
        <v>0</v>
      </c>
      <c r="M373" t="n">
        <v>0</v>
      </c>
      <c r="N373" t="n">
        <v>0</v>
      </c>
      <c r="O373" t="n">
        <v>0</v>
      </c>
      <c r="P373" t="n">
        <v>0</v>
      </c>
      <c r="Q373" t="n">
        <v>0</v>
      </c>
      <c r="R373" s="2" t="inlineStr"/>
    </row>
    <row r="374" ht="15" customHeight="1">
      <c r="A374" t="inlineStr">
        <is>
          <t>A 15768-2020</t>
        </is>
      </c>
      <c r="B374" s="1" t="n">
        <v>43915</v>
      </c>
      <c r="C374" s="1" t="n">
        <v>45574</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16101-2020</t>
        </is>
      </c>
      <c r="B375" s="1" t="n">
        <v>43916</v>
      </c>
      <c r="C375" s="1" t="n">
        <v>45574</v>
      </c>
      <c r="D375" t="inlineStr">
        <is>
          <t>VÄRMLANDS LÄN</t>
        </is>
      </c>
      <c r="E375" t="inlineStr">
        <is>
          <t>TORSBY</t>
        </is>
      </c>
      <c r="G375" t="n">
        <v>14.6</v>
      </c>
      <c r="H375" t="n">
        <v>0</v>
      </c>
      <c r="I375" t="n">
        <v>0</v>
      </c>
      <c r="J375" t="n">
        <v>0</v>
      </c>
      <c r="K375" t="n">
        <v>0</v>
      </c>
      <c r="L375" t="n">
        <v>0</v>
      </c>
      <c r="M375" t="n">
        <v>0</v>
      </c>
      <c r="N375" t="n">
        <v>0</v>
      </c>
      <c r="O375" t="n">
        <v>0</v>
      </c>
      <c r="P375" t="n">
        <v>0</v>
      </c>
      <c r="Q375" t="n">
        <v>0</v>
      </c>
      <c r="R375" s="2" t="inlineStr"/>
    </row>
    <row r="376" ht="15" customHeight="1">
      <c r="A376" t="inlineStr">
        <is>
          <t>A 16364-2020</t>
        </is>
      </c>
      <c r="B376" s="1" t="n">
        <v>43917</v>
      </c>
      <c r="C376" s="1" t="n">
        <v>45574</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16437-2020</t>
        </is>
      </c>
      <c r="B377" s="1" t="n">
        <v>43919</v>
      </c>
      <c r="C377" s="1" t="n">
        <v>45574</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17021-2020</t>
        </is>
      </c>
      <c r="B378" s="1" t="n">
        <v>43921</v>
      </c>
      <c r="C378" s="1" t="n">
        <v>45574</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16999-2020</t>
        </is>
      </c>
      <c r="B379" s="1" t="n">
        <v>43921</v>
      </c>
      <c r="C379" s="1" t="n">
        <v>45574</v>
      </c>
      <c r="D379" t="inlineStr">
        <is>
          <t>VÄRMLANDS LÄN</t>
        </is>
      </c>
      <c r="E379" t="inlineStr">
        <is>
          <t>TORSBY</t>
        </is>
      </c>
      <c r="G379" t="n">
        <v>6.6</v>
      </c>
      <c r="H379" t="n">
        <v>0</v>
      </c>
      <c r="I379" t="n">
        <v>0</v>
      </c>
      <c r="J379" t="n">
        <v>0</v>
      </c>
      <c r="K379" t="n">
        <v>0</v>
      </c>
      <c r="L379" t="n">
        <v>0</v>
      </c>
      <c r="M379" t="n">
        <v>0</v>
      </c>
      <c r="N379" t="n">
        <v>0</v>
      </c>
      <c r="O379" t="n">
        <v>0</v>
      </c>
      <c r="P379" t="n">
        <v>0</v>
      </c>
      <c r="Q379" t="n">
        <v>0</v>
      </c>
      <c r="R379" s="2" t="inlineStr"/>
    </row>
    <row r="380" ht="15" customHeight="1">
      <c r="A380" t="inlineStr">
        <is>
          <t>A 17009-2020</t>
        </is>
      </c>
      <c r="B380" s="1" t="n">
        <v>43921</v>
      </c>
      <c r="C380" s="1" t="n">
        <v>45574</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18155-2020</t>
        </is>
      </c>
      <c r="B381" s="1" t="n">
        <v>43927</v>
      </c>
      <c r="C381" s="1" t="n">
        <v>45574</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18641-2020</t>
        </is>
      </c>
      <c r="B382" s="1" t="n">
        <v>43928</v>
      </c>
      <c r="C382" s="1" t="n">
        <v>45574</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18769-2020</t>
        </is>
      </c>
      <c r="B383" s="1" t="n">
        <v>43930</v>
      </c>
      <c r="C383" s="1" t="n">
        <v>45574</v>
      </c>
      <c r="D383" t="inlineStr">
        <is>
          <t>VÄRMLANDS LÄN</t>
        </is>
      </c>
      <c r="E383" t="inlineStr">
        <is>
          <t>TORSBY</t>
        </is>
      </c>
      <c r="G383" t="n">
        <v>5.2</v>
      </c>
      <c r="H383" t="n">
        <v>0</v>
      </c>
      <c r="I383" t="n">
        <v>0</v>
      </c>
      <c r="J383" t="n">
        <v>0</v>
      </c>
      <c r="K383" t="n">
        <v>0</v>
      </c>
      <c r="L383" t="n">
        <v>0</v>
      </c>
      <c r="M383" t="n">
        <v>0</v>
      </c>
      <c r="N383" t="n">
        <v>0</v>
      </c>
      <c r="O383" t="n">
        <v>0</v>
      </c>
      <c r="P383" t="n">
        <v>0</v>
      </c>
      <c r="Q383" t="n">
        <v>0</v>
      </c>
      <c r="R383" s="2" t="inlineStr"/>
    </row>
    <row r="384" ht="15" customHeight="1">
      <c r="A384" t="inlineStr">
        <is>
          <t>A 18770-2020</t>
        </is>
      </c>
      <c r="B384" s="1" t="n">
        <v>43930</v>
      </c>
      <c r="C384" s="1" t="n">
        <v>45574</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18972-2020</t>
        </is>
      </c>
      <c r="B385" s="1" t="n">
        <v>43935</v>
      </c>
      <c r="C385" s="1" t="n">
        <v>45574</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19032-2020</t>
        </is>
      </c>
      <c r="B386" s="1" t="n">
        <v>43936</v>
      </c>
      <c r="C386" s="1" t="n">
        <v>45574</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19181-2020</t>
        </is>
      </c>
      <c r="B387" s="1" t="n">
        <v>43937</v>
      </c>
      <c r="C387" s="1" t="n">
        <v>45574</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19384-2020</t>
        </is>
      </c>
      <c r="B388" s="1" t="n">
        <v>43938</v>
      </c>
      <c r="C388" s="1" t="n">
        <v>45574</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19963-2020</t>
        </is>
      </c>
      <c r="B389" s="1" t="n">
        <v>43941</v>
      </c>
      <c r="C389" s="1" t="n">
        <v>45574</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20025-2020</t>
        </is>
      </c>
      <c r="B390" s="1" t="n">
        <v>43943</v>
      </c>
      <c r="C390" s="1" t="n">
        <v>45574</v>
      </c>
      <c r="D390" t="inlineStr">
        <is>
          <t>VÄRMLANDS LÄN</t>
        </is>
      </c>
      <c r="E390" t="inlineStr">
        <is>
          <t>TORSBY</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20280-2020</t>
        </is>
      </c>
      <c r="B391" s="1" t="n">
        <v>43945</v>
      </c>
      <c r="C391" s="1" t="n">
        <v>45574</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20464-2020</t>
        </is>
      </c>
      <c r="B392" s="1" t="n">
        <v>43948</v>
      </c>
      <c r="C392" s="1" t="n">
        <v>45574</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21099-2020</t>
        </is>
      </c>
      <c r="B393" s="1" t="n">
        <v>43951</v>
      </c>
      <c r="C393" s="1" t="n">
        <v>45574</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21335-2020</t>
        </is>
      </c>
      <c r="B394" s="1" t="n">
        <v>43951</v>
      </c>
      <c r="C394" s="1" t="n">
        <v>45574</v>
      </c>
      <c r="D394" t="inlineStr">
        <is>
          <t>VÄRMLANDS LÄN</t>
        </is>
      </c>
      <c r="E394" t="inlineStr">
        <is>
          <t>TORSBY</t>
        </is>
      </c>
      <c r="F394" t="inlineStr">
        <is>
          <t>Övriga Aktiebolag</t>
        </is>
      </c>
      <c r="G394" t="n">
        <v>4</v>
      </c>
      <c r="H394" t="n">
        <v>0</v>
      </c>
      <c r="I394" t="n">
        <v>0</v>
      </c>
      <c r="J394" t="n">
        <v>0</v>
      </c>
      <c r="K394" t="n">
        <v>0</v>
      </c>
      <c r="L394" t="n">
        <v>0</v>
      </c>
      <c r="M394" t="n">
        <v>0</v>
      </c>
      <c r="N394" t="n">
        <v>0</v>
      </c>
      <c r="O394" t="n">
        <v>0</v>
      </c>
      <c r="P394" t="n">
        <v>0</v>
      </c>
      <c r="Q394" t="n">
        <v>0</v>
      </c>
      <c r="R394" s="2" t="inlineStr"/>
    </row>
    <row r="395" ht="15" customHeight="1">
      <c r="A395" t="inlineStr">
        <is>
          <t>A 21369-2020</t>
        </is>
      </c>
      <c r="B395" s="1" t="n">
        <v>43951</v>
      </c>
      <c r="C395" s="1" t="n">
        <v>45574</v>
      </c>
      <c r="D395" t="inlineStr">
        <is>
          <t>VÄRMLANDS LÄN</t>
        </is>
      </c>
      <c r="E395" t="inlineStr">
        <is>
          <t>TORSBY</t>
        </is>
      </c>
      <c r="F395" t="inlineStr">
        <is>
          <t>Övriga Aktiebolag</t>
        </is>
      </c>
      <c r="G395" t="n">
        <v>3.5</v>
      </c>
      <c r="H395" t="n">
        <v>0</v>
      </c>
      <c r="I395" t="n">
        <v>0</v>
      </c>
      <c r="J395" t="n">
        <v>0</v>
      </c>
      <c r="K395" t="n">
        <v>0</v>
      </c>
      <c r="L395" t="n">
        <v>0</v>
      </c>
      <c r="M395" t="n">
        <v>0</v>
      </c>
      <c r="N395" t="n">
        <v>0</v>
      </c>
      <c r="O395" t="n">
        <v>0</v>
      </c>
      <c r="P395" t="n">
        <v>0</v>
      </c>
      <c r="Q395" t="n">
        <v>0</v>
      </c>
      <c r="R395" s="2" t="inlineStr"/>
    </row>
    <row r="396" ht="15" customHeight="1">
      <c r="A396" t="inlineStr">
        <is>
          <t>A 21045-2020</t>
        </is>
      </c>
      <c r="B396" s="1" t="n">
        <v>43951</v>
      </c>
      <c r="C396" s="1" t="n">
        <v>45574</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21347-2020</t>
        </is>
      </c>
      <c r="B397" s="1" t="n">
        <v>43951</v>
      </c>
      <c r="C397" s="1" t="n">
        <v>45574</v>
      </c>
      <c r="D397" t="inlineStr">
        <is>
          <t>VÄRMLANDS LÄN</t>
        </is>
      </c>
      <c r="E397" t="inlineStr">
        <is>
          <t>TORSBY</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21900-2020</t>
        </is>
      </c>
      <c r="B398" s="1" t="n">
        <v>43955</v>
      </c>
      <c r="C398" s="1" t="n">
        <v>45574</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21672-2020</t>
        </is>
      </c>
      <c r="B399" s="1" t="n">
        <v>43957</v>
      </c>
      <c r="C399" s="1" t="n">
        <v>45574</v>
      </c>
      <c r="D399" t="inlineStr">
        <is>
          <t>VÄRMLANDS LÄN</t>
        </is>
      </c>
      <c r="E399" t="inlineStr">
        <is>
          <t>TORSBY</t>
        </is>
      </c>
      <c r="F399" t="inlineStr">
        <is>
          <t>Bergvik skog väst AB</t>
        </is>
      </c>
      <c r="G399" t="n">
        <v>44.1</v>
      </c>
      <c r="H399" t="n">
        <v>0</v>
      </c>
      <c r="I399" t="n">
        <v>0</v>
      </c>
      <c r="J399" t="n">
        <v>0</v>
      </c>
      <c r="K399" t="n">
        <v>0</v>
      </c>
      <c r="L399" t="n">
        <v>0</v>
      </c>
      <c r="M399" t="n">
        <v>0</v>
      </c>
      <c r="N399" t="n">
        <v>0</v>
      </c>
      <c r="O399" t="n">
        <v>0</v>
      </c>
      <c r="P399" t="n">
        <v>0</v>
      </c>
      <c r="Q399" t="n">
        <v>0</v>
      </c>
      <c r="R399" s="2" t="inlineStr"/>
    </row>
    <row r="400" ht="15" customHeight="1">
      <c r="A400" t="inlineStr">
        <is>
          <t>A 22194-2020</t>
        </is>
      </c>
      <c r="B400" s="1" t="n">
        <v>43962</v>
      </c>
      <c r="C400" s="1" t="n">
        <v>45574</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22209-2020</t>
        </is>
      </c>
      <c r="B401" s="1" t="n">
        <v>43962</v>
      </c>
      <c r="C401" s="1" t="n">
        <v>45574</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25518-2020</t>
        </is>
      </c>
      <c r="B402" s="1" t="n">
        <v>43983</v>
      </c>
      <c r="C402" s="1" t="n">
        <v>45574</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26915-2020</t>
        </is>
      </c>
      <c r="B403" s="1" t="n">
        <v>43986</v>
      </c>
      <c r="C403" s="1" t="n">
        <v>45574</v>
      </c>
      <c r="D403" t="inlineStr">
        <is>
          <t>VÄRMLANDS LÄN</t>
        </is>
      </c>
      <c r="E403" t="inlineStr">
        <is>
          <t>TORSBY</t>
        </is>
      </c>
      <c r="G403" t="n">
        <v>0.5</v>
      </c>
      <c r="H403" t="n">
        <v>0</v>
      </c>
      <c r="I403" t="n">
        <v>0</v>
      </c>
      <c r="J403" t="n">
        <v>0</v>
      </c>
      <c r="K403" t="n">
        <v>0</v>
      </c>
      <c r="L403" t="n">
        <v>0</v>
      </c>
      <c r="M403" t="n">
        <v>0</v>
      </c>
      <c r="N403" t="n">
        <v>0</v>
      </c>
      <c r="O403" t="n">
        <v>0</v>
      </c>
      <c r="P403" t="n">
        <v>0</v>
      </c>
      <c r="Q403" t="n">
        <v>0</v>
      </c>
      <c r="R403" s="2" t="inlineStr"/>
    </row>
    <row r="404" ht="15" customHeight="1">
      <c r="A404" t="inlineStr">
        <is>
          <t>A 26926-2020</t>
        </is>
      </c>
      <c r="B404" s="1" t="n">
        <v>43986</v>
      </c>
      <c r="C404" s="1" t="n">
        <v>45574</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26919-2020</t>
        </is>
      </c>
      <c r="B405" s="1" t="n">
        <v>43986</v>
      </c>
      <c r="C405" s="1" t="n">
        <v>45574</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26666-2020</t>
        </is>
      </c>
      <c r="B406" s="1" t="n">
        <v>43989</v>
      </c>
      <c r="C406" s="1" t="n">
        <v>45574</v>
      </c>
      <c r="D406" t="inlineStr">
        <is>
          <t>VÄRMLANDS LÄN</t>
        </is>
      </c>
      <c r="E406" t="inlineStr">
        <is>
          <t>TORSBY</t>
        </is>
      </c>
      <c r="G406" t="n">
        <v>8.4</v>
      </c>
      <c r="H406" t="n">
        <v>0</v>
      </c>
      <c r="I406" t="n">
        <v>0</v>
      </c>
      <c r="J406" t="n">
        <v>0</v>
      </c>
      <c r="K406" t="n">
        <v>0</v>
      </c>
      <c r="L406" t="n">
        <v>0</v>
      </c>
      <c r="M406" t="n">
        <v>0</v>
      </c>
      <c r="N406" t="n">
        <v>0</v>
      </c>
      <c r="O406" t="n">
        <v>0</v>
      </c>
      <c r="P406" t="n">
        <v>0</v>
      </c>
      <c r="Q406" t="n">
        <v>0</v>
      </c>
      <c r="R406" s="2" t="inlineStr"/>
    </row>
    <row r="407" ht="15" customHeight="1">
      <c r="A407" t="inlineStr">
        <is>
          <t>A 27339-2020</t>
        </is>
      </c>
      <c r="B407" s="1" t="n">
        <v>43990</v>
      </c>
      <c r="C407" s="1" t="n">
        <v>45574</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27009-2020</t>
        </is>
      </c>
      <c r="B408" s="1" t="n">
        <v>43991</v>
      </c>
      <c r="C408" s="1" t="n">
        <v>45574</v>
      </c>
      <c r="D408" t="inlineStr">
        <is>
          <t>VÄRMLANDS LÄN</t>
        </is>
      </c>
      <c r="E408" t="inlineStr">
        <is>
          <t>TORSBY</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28397-2020</t>
        </is>
      </c>
      <c r="B409" s="1" t="n">
        <v>43998</v>
      </c>
      <c r="C409" s="1" t="n">
        <v>45574</v>
      </c>
      <c r="D409" t="inlineStr">
        <is>
          <t>VÄRMLANDS LÄN</t>
        </is>
      </c>
      <c r="E409" t="inlineStr">
        <is>
          <t>TORSBY</t>
        </is>
      </c>
      <c r="G409" t="n">
        <v>7.3</v>
      </c>
      <c r="H409" t="n">
        <v>0</v>
      </c>
      <c r="I409" t="n">
        <v>0</v>
      </c>
      <c r="J409" t="n">
        <v>0</v>
      </c>
      <c r="K409" t="n">
        <v>0</v>
      </c>
      <c r="L409" t="n">
        <v>0</v>
      </c>
      <c r="M409" t="n">
        <v>0</v>
      </c>
      <c r="N409" t="n">
        <v>0</v>
      </c>
      <c r="O409" t="n">
        <v>0</v>
      </c>
      <c r="P409" t="n">
        <v>0</v>
      </c>
      <c r="Q409" t="n">
        <v>0</v>
      </c>
      <c r="R409" s="2" t="inlineStr"/>
    </row>
    <row r="410" ht="15" customHeight="1">
      <c r="A410" t="inlineStr">
        <is>
          <t>A 28416-2020</t>
        </is>
      </c>
      <c r="B410" s="1" t="n">
        <v>43998</v>
      </c>
      <c r="C410" s="1" t="n">
        <v>45574</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28703-2020</t>
        </is>
      </c>
      <c r="B411" s="1" t="n">
        <v>43999</v>
      </c>
      <c r="C411" s="1" t="n">
        <v>45574</v>
      </c>
      <c r="D411" t="inlineStr">
        <is>
          <t>VÄRMLANDS LÄN</t>
        </is>
      </c>
      <c r="E411" t="inlineStr">
        <is>
          <t>TORSBY</t>
        </is>
      </c>
      <c r="G411" t="n">
        <v>4.3</v>
      </c>
      <c r="H411" t="n">
        <v>0</v>
      </c>
      <c r="I411" t="n">
        <v>0</v>
      </c>
      <c r="J411" t="n">
        <v>0</v>
      </c>
      <c r="K411" t="n">
        <v>0</v>
      </c>
      <c r="L411" t="n">
        <v>0</v>
      </c>
      <c r="M411" t="n">
        <v>0</v>
      </c>
      <c r="N411" t="n">
        <v>0</v>
      </c>
      <c r="O411" t="n">
        <v>0</v>
      </c>
      <c r="P411" t="n">
        <v>0</v>
      </c>
      <c r="Q411" t="n">
        <v>0</v>
      </c>
      <c r="R411" s="2" t="inlineStr"/>
    </row>
    <row r="412" ht="15" customHeight="1">
      <c r="A412" t="inlineStr">
        <is>
          <t>A 28849-2020</t>
        </is>
      </c>
      <c r="B412" s="1" t="n">
        <v>44000</v>
      </c>
      <c r="C412" s="1" t="n">
        <v>45574</v>
      </c>
      <c r="D412" t="inlineStr">
        <is>
          <t>VÄRMLANDS LÄN</t>
        </is>
      </c>
      <c r="E412" t="inlineStr">
        <is>
          <t>TORSBY</t>
        </is>
      </c>
      <c r="G412" t="n">
        <v>10.9</v>
      </c>
      <c r="H412" t="n">
        <v>0</v>
      </c>
      <c r="I412" t="n">
        <v>0</v>
      </c>
      <c r="J412" t="n">
        <v>0</v>
      </c>
      <c r="K412" t="n">
        <v>0</v>
      </c>
      <c r="L412" t="n">
        <v>0</v>
      </c>
      <c r="M412" t="n">
        <v>0</v>
      </c>
      <c r="N412" t="n">
        <v>0</v>
      </c>
      <c r="O412" t="n">
        <v>0</v>
      </c>
      <c r="P412" t="n">
        <v>0</v>
      </c>
      <c r="Q412" t="n">
        <v>0</v>
      </c>
      <c r="R412" s="2" t="inlineStr"/>
    </row>
    <row r="413" ht="15" customHeight="1">
      <c r="A413" t="inlineStr">
        <is>
          <t>A 28897-2020</t>
        </is>
      </c>
      <c r="B413" s="1" t="n">
        <v>44000</v>
      </c>
      <c r="C413" s="1" t="n">
        <v>45574</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28911-2020</t>
        </is>
      </c>
      <c r="B414" s="1" t="n">
        <v>44000</v>
      </c>
      <c r="C414" s="1" t="n">
        <v>45574</v>
      </c>
      <c r="D414" t="inlineStr">
        <is>
          <t>VÄRMLANDS LÄN</t>
        </is>
      </c>
      <c r="E414" t="inlineStr">
        <is>
          <t>TORSBY</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28976-2020</t>
        </is>
      </c>
      <c r="B415" s="1" t="n">
        <v>44000</v>
      </c>
      <c r="C415" s="1" t="n">
        <v>45574</v>
      </c>
      <c r="D415" t="inlineStr">
        <is>
          <t>VÄRMLANDS LÄN</t>
        </is>
      </c>
      <c r="E415" t="inlineStr">
        <is>
          <t>TORSBY</t>
        </is>
      </c>
      <c r="G415" t="n">
        <v>2.2</v>
      </c>
      <c r="H415" t="n">
        <v>0</v>
      </c>
      <c r="I415" t="n">
        <v>0</v>
      </c>
      <c r="J415" t="n">
        <v>0</v>
      </c>
      <c r="K415" t="n">
        <v>0</v>
      </c>
      <c r="L415" t="n">
        <v>0</v>
      </c>
      <c r="M415" t="n">
        <v>0</v>
      </c>
      <c r="N415" t="n">
        <v>0</v>
      </c>
      <c r="O415" t="n">
        <v>0</v>
      </c>
      <c r="P415" t="n">
        <v>0</v>
      </c>
      <c r="Q415" t="n">
        <v>0</v>
      </c>
      <c r="R415" s="2" t="inlineStr"/>
    </row>
    <row r="416" ht="15" customHeight="1">
      <c r="A416" t="inlineStr">
        <is>
          <t>A 28987-2020</t>
        </is>
      </c>
      <c r="B416" s="1" t="n">
        <v>44000</v>
      </c>
      <c r="C416" s="1" t="n">
        <v>45574</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29970-2020</t>
        </is>
      </c>
      <c r="B417" s="1" t="n">
        <v>44006</v>
      </c>
      <c r="C417" s="1" t="n">
        <v>45574</v>
      </c>
      <c r="D417" t="inlineStr">
        <is>
          <t>VÄRMLANDS LÄN</t>
        </is>
      </c>
      <c r="E417" t="inlineStr">
        <is>
          <t>TORSBY</t>
        </is>
      </c>
      <c r="F417" t="inlineStr">
        <is>
          <t>Bergvik skog väst AB</t>
        </is>
      </c>
      <c r="G417" t="n">
        <v>7.4</v>
      </c>
      <c r="H417" t="n">
        <v>0</v>
      </c>
      <c r="I417" t="n">
        <v>0</v>
      </c>
      <c r="J417" t="n">
        <v>0</v>
      </c>
      <c r="K417" t="n">
        <v>0</v>
      </c>
      <c r="L417" t="n">
        <v>0</v>
      </c>
      <c r="M417" t="n">
        <v>0</v>
      </c>
      <c r="N417" t="n">
        <v>0</v>
      </c>
      <c r="O417" t="n">
        <v>0</v>
      </c>
      <c r="P417" t="n">
        <v>0</v>
      </c>
      <c r="Q417" t="n">
        <v>0</v>
      </c>
      <c r="R417" s="2" t="inlineStr"/>
    </row>
    <row r="418" ht="15" customHeight="1">
      <c r="A418" t="inlineStr">
        <is>
          <t>A 30572-2020</t>
        </is>
      </c>
      <c r="B418" s="1" t="n">
        <v>44008</v>
      </c>
      <c r="C418" s="1" t="n">
        <v>45574</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30996-2020</t>
        </is>
      </c>
      <c r="B419" s="1" t="n">
        <v>44011</v>
      </c>
      <c r="C419" s="1" t="n">
        <v>45574</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30930-2020</t>
        </is>
      </c>
      <c r="B420" s="1" t="n">
        <v>44011</v>
      </c>
      <c r="C420" s="1" t="n">
        <v>45574</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31298-2020</t>
        </is>
      </c>
      <c r="B421" s="1" t="n">
        <v>44012</v>
      </c>
      <c r="C421" s="1" t="n">
        <v>45574</v>
      </c>
      <c r="D421" t="inlineStr">
        <is>
          <t>VÄRMLANDS LÄN</t>
        </is>
      </c>
      <c r="E421" t="inlineStr">
        <is>
          <t>TORSBY</t>
        </is>
      </c>
      <c r="G421" t="n">
        <v>4.3</v>
      </c>
      <c r="H421" t="n">
        <v>0</v>
      </c>
      <c r="I421" t="n">
        <v>0</v>
      </c>
      <c r="J421" t="n">
        <v>0</v>
      </c>
      <c r="K421" t="n">
        <v>0</v>
      </c>
      <c r="L421" t="n">
        <v>0</v>
      </c>
      <c r="M421" t="n">
        <v>0</v>
      </c>
      <c r="N421" t="n">
        <v>0</v>
      </c>
      <c r="O421" t="n">
        <v>0</v>
      </c>
      <c r="P421" t="n">
        <v>0</v>
      </c>
      <c r="Q421" t="n">
        <v>0</v>
      </c>
      <c r="R421" s="2" t="inlineStr"/>
    </row>
    <row r="422" ht="15" customHeight="1">
      <c r="A422" t="inlineStr">
        <is>
          <t>A 31436-2020</t>
        </is>
      </c>
      <c r="B422" s="1" t="n">
        <v>44013</v>
      </c>
      <c r="C422" s="1" t="n">
        <v>45574</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31577-2020</t>
        </is>
      </c>
      <c r="B423" s="1" t="n">
        <v>44013</v>
      </c>
      <c r="C423" s="1" t="n">
        <v>45574</v>
      </c>
      <c r="D423" t="inlineStr">
        <is>
          <t>VÄRMLANDS LÄN</t>
        </is>
      </c>
      <c r="E423" t="inlineStr">
        <is>
          <t>TORSBY</t>
        </is>
      </c>
      <c r="F423" t="inlineStr">
        <is>
          <t>Kommuner</t>
        </is>
      </c>
      <c r="G423" t="n">
        <v>1</v>
      </c>
      <c r="H423" t="n">
        <v>0</v>
      </c>
      <c r="I423" t="n">
        <v>0</v>
      </c>
      <c r="J423" t="n">
        <v>0</v>
      </c>
      <c r="K423" t="n">
        <v>0</v>
      </c>
      <c r="L423" t="n">
        <v>0</v>
      </c>
      <c r="M423" t="n">
        <v>0</v>
      </c>
      <c r="N423" t="n">
        <v>0</v>
      </c>
      <c r="O423" t="n">
        <v>0</v>
      </c>
      <c r="P423" t="n">
        <v>0</v>
      </c>
      <c r="Q423" t="n">
        <v>0</v>
      </c>
      <c r="R423" s="2" t="inlineStr"/>
    </row>
    <row r="424" ht="15" customHeight="1">
      <c r="A424" t="inlineStr">
        <is>
          <t>A 31759-2020</t>
        </is>
      </c>
      <c r="B424" s="1" t="n">
        <v>44014</v>
      </c>
      <c r="C424" s="1" t="n">
        <v>45574</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32122-2020</t>
        </is>
      </c>
      <c r="B425" s="1" t="n">
        <v>44015</v>
      </c>
      <c r="C425" s="1" t="n">
        <v>45574</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32623-2020</t>
        </is>
      </c>
      <c r="B426" s="1" t="n">
        <v>44019</v>
      </c>
      <c r="C426" s="1" t="n">
        <v>45574</v>
      </c>
      <c r="D426" t="inlineStr">
        <is>
          <t>VÄRMLANDS LÄN</t>
        </is>
      </c>
      <c r="E426" t="inlineStr">
        <is>
          <t>TORSBY</t>
        </is>
      </c>
      <c r="F426" t="inlineStr">
        <is>
          <t>Kommuner</t>
        </is>
      </c>
      <c r="G426" t="n">
        <v>13.9</v>
      </c>
      <c r="H426" t="n">
        <v>0</v>
      </c>
      <c r="I426" t="n">
        <v>0</v>
      </c>
      <c r="J426" t="n">
        <v>0</v>
      </c>
      <c r="K426" t="n">
        <v>0</v>
      </c>
      <c r="L426" t="n">
        <v>0</v>
      </c>
      <c r="M426" t="n">
        <v>0</v>
      </c>
      <c r="N426" t="n">
        <v>0</v>
      </c>
      <c r="O426" t="n">
        <v>0</v>
      </c>
      <c r="P426" t="n">
        <v>0</v>
      </c>
      <c r="Q426" t="n">
        <v>0</v>
      </c>
      <c r="R426" s="2" t="inlineStr"/>
    </row>
    <row r="427" ht="15" customHeight="1">
      <c r="A427" t="inlineStr">
        <is>
          <t>A 32651-2020</t>
        </is>
      </c>
      <c r="B427" s="1" t="n">
        <v>44019</v>
      </c>
      <c r="C427" s="1" t="n">
        <v>45574</v>
      </c>
      <c r="D427" t="inlineStr">
        <is>
          <t>VÄRMLANDS LÄN</t>
        </is>
      </c>
      <c r="E427" t="inlineStr">
        <is>
          <t>TORSBY</t>
        </is>
      </c>
      <c r="F427" t="inlineStr">
        <is>
          <t>Kommuner</t>
        </is>
      </c>
      <c r="G427" t="n">
        <v>8.6</v>
      </c>
      <c r="H427" t="n">
        <v>0</v>
      </c>
      <c r="I427" t="n">
        <v>0</v>
      </c>
      <c r="J427" t="n">
        <v>0</v>
      </c>
      <c r="K427" t="n">
        <v>0</v>
      </c>
      <c r="L427" t="n">
        <v>0</v>
      </c>
      <c r="M427" t="n">
        <v>0</v>
      </c>
      <c r="N427" t="n">
        <v>0</v>
      </c>
      <c r="O427" t="n">
        <v>0</v>
      </c>
      <c r="P427" t="n">
        <v>0</v>
      </c>
      <c r="Q427" t="n">
        <v>0</v>
      </c>
      <c r="R427" s="2" t="inlineStr"/>
    </row>
    <row r="428" ht="15" customHeight="1">
      <c r="A428" t="inlineStr">
        <is>
          <t>A 33124-2020</t>
        </is>
      </c>
      <c r="B428" s="1" t="n">
        <v>44021</v>
      </c>
      <c r="C428" s="1" t="n">
        <v>45574</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33095-2020</t>
        </is>
      </c>
      <c r="B429" s="1" t="n">
        <v>44021</v>
      </c>
      <c r="C429" s="1" t="n">
        <v>45574</v>
      </c>
      <c r="D429" t="inlineStr">
        <is>
          <t>VÄRMLANDS LÄN</t>
        </is>
      </c>
      <c r="E429" t="inlineStr">
        <is>
          <t>TORSBY</t>
        </is>
      </c>
      <c r="G429" t="n">
        <v>3.1</v>
      </c>
      <c r="H429" t="n">
        <v>0</v>
      </c>
      <c r="I429" t="n">
        <v>0</v>
      </c>
      <c r="J429" t="n">
        <v>0</v>
      </c>
      <c r="K429" t="n">
        <v>0</v>
      </c>
      <c r="L429" t="n">
        <v>0</v>
      </c>
      <c r="M429" t="n">
        <v>0</v>
      </c>
      <c r="N429" t="n">
        <v>0</v>
      </c>
      <c r="O429" t="n">
        <v>0</v>
      </c>
      <c r="P429" t="n">
        <v>0</v>
      </c>
      <c r="Q429" t="n">
        <v>0</v>
      </c>
      <c r="R429" s="2" t="inlineStr"/>
    </row>
    <row r="430" ht="15" customHeight="1">
      <c r="A430" t="inlineStr">
        <is>
          <t>A 33126-2020</t>
        </is>
      </c>
      <c r="B430" s="1" t="n">
        <v>44021</v>
      </c>
      <c r="C430" s="1" t="n">
        <v>45574</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33691-2020</t>
        </is>
      </c>
      <c r="B431" s="1" t="n">
        <v>44022</v>
      </c>
      <c r="C431" s="1" t="n">
        <v>45574</v>
      </c>
      <c r="D431" t="inlineStr">
        <is>
          <t>VÄRMLANDS LÄN</t>
        </is>
      </c>
      <c r="E431" t="inlineStr">
        <is>
          <t>TORSBY</t>
        </is>
      </c>
      <c r="F431" t="inlineStr">
        <is>
          <t>Övriga Aktiebolag</t>
        </is>
      </c>
      <c r="G431" t="n">
        <v>3.8</v>
      </c>
      <c r="H431" t="n">
        <v>0</v>
      </c>
      <c r="I431" t="n">
        <v>0</v>
      </c>
      <c r="J431" t="n">
        <v>0</v>
      </c>
      <c r="K431" t="n">
        <v>0</v>
      </c>
      <c r="L431" t="n">
        <v>0</v>
      </c>
      <c r="M431" t="n">
        <v>0</v>
      </c>
      <c r="N431" t="n">
        <v>0</v>
      </c>
      <c r="O431" t="n">
        <v>0</v>
      </c>
      <c r="P431" t="n">
        <v>0</v>
      </c>
      <c r="Q431" t="n">
        <v>0</v>
      </c>
      <c r="R431" s="2" t="inlineStr"/>
    </row>
    <row r="432" ht="15" customHeight="1">
      <c r="A432" t="inlineStr">
        <is>
          <t>A 34901-2020</t>
        </is>
      </c>
      <c r="B432" s="1" t="n">
        <v>44022</v>
      </c>
      <c r="C432" s="1" t="n">
        <v>45574</v>
      </c>
      <c r="D432" t="inlineStr">
        <is>
          <t>VÄRMLANDS LÄN</t>
        </is>
      </c>
      <c r="E432" t="inlineStr">
        <is>
          <t>TORSBY</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33908-2020</t>
        </is>
      </c>
      <c r="B433" s="1" t="n">
        <v>44027</v>
      </c>
      <c r="C433" s="1" t="n">
        <v>45574</v>
      </c>
      <c r="D433" t="inlineStr">
        <is>
          <t>VÄRMLANDS LÄN</t>
        </is>
      </c>
      <c r="E433" t="inlineStr">
        <is>
          <t>TORSBY</t>
        </is>
      </c>
      <c r="G433" t="n">
        <v>3.6</v>
      </c>
      <c r="H433" t="n">
        <v>0</v>
      </c>
      <c r="I433" t="n">
        <v>0</v>
      </c>
      <c r="J433" t="n">
        <v>0</v>
      </c>
      <c r="K433" t="n">
        <v>0</v>
      </c>
      <c r="L433" t="n">
        <v>0</v>
      </c>
      <c r="M433" t="n">
        <v>0</v>
      </c>
      <c r="N433" t="n">
        <v>0</v>
      </c>
      <c r="O433" t="n">
        <v>0</v>
      </c>
      <c r="P433" t="n">
        <v>0</v>
      </c>
      <c r="Q433" t="n">
        <v>0</v>
      </c>
      <c r="R433" s="2" t="inlineStr"/>
    </row>
    <row r="434" ht="15" customHeight="1">
      <c r="A434" t="inlineStr">
        <is>
          <t>A 33864-2020</t>
        </is>
      </c>
      <c r="B434" s="1" t="n">
        <v>44027</v>
      </c>
      <c r="C434" s="1" t="n">
        <v>45574</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34118-2020</t>
        </is>
      </c>
      <c r="B435" s="1" t="n">
        <v>44028</v>
      </c>
      <c r="C435" s="1" t="n">
        <v>45574</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34247-2020</t>
        </is>
      </c>
      <c r="B436" s="1" t="n">
        <v>44029</v>
      </c>
      <c r="C436" s="1" t="n">
        <v>45574</v>
      </c>
      <c r="D436" t="inlineStr">
        <is>
          <t>VÄRMLANDS LÄN</t>
        </is>
      </c>
      <c r="E436" t="inlineStr">
        <is>
          <t>TORSBY</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35132-2020</t>
        </is>
      </c>
      <c r="B437" s="1" t="n">
        <v>44040</v>
      </c>
      <c r="C437" s="1" t="n">
        <v>45574</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35174-2020</t>
        </is>
      </c>
      <c r="B438" s="1" t="n">
        <v>44040</v>
      </c>
      <c r="C438" s="1" t="n">
        <v>45574</v>
      </c>
      <c r="D438" t="inlineStr">
        <is>
          <t>VÄRMLANDS LÄN</t>
        </is>
      </c>
      <c r="E438" t="inlineStr">
        <is>
          <t>TORSBY</t>
        </is>
      </c>
      <c r="F438" t="inlineStr">
        <is>
          <t>Kommuner</t>
        </is>
      </c>
      <c r="G438" t="n">
        <v>5.3</v>
      </c>
      <c r="H438" t="n">
        <v>0</v>
      </c>
      <c r="I438" t="n">
        <v>0</v>
      </c>
      <c r="J438" t="n">
        <v>0</v>
      </c>
      <c r="K438" t="n">
        <v>0</v>
      </c>
      <c r="L438" t="n">
        <v>0</v>
      </c>
      <c r="M438" t="n">
        <v>0</v>
      </c>
      <c r="N438" t="n">
        <v>0</v>
      </c>
      <c r="O438" t="n">
        <v>0</v>
      </c>
      <c r="P438" t="n">
        <v>0</v>
      </c>
      <c r="Q438" t="n">
        <v>0</v>
      </c>
      <c r="R438" s="2" t="inlineStr"/>
    </row>
    <row r="439" ht="15" customHeight="1">
      <c r="A439" t="inlineStr">
        <is>
          <t>A 35500-2020</t>
        </is>
      </c>
      <c r="B439" s="1" t="n">
        <v>44043</v>
      </c>
      <c r="C439" s="1" t="n">
        <v>45574</v>
      </c>
      <c r="D439" t="inlineStr">
        <is>
          <t>VÄRMLANDS LÄN</t>
        </is>
      </c>
      <c r="E439" t="inlineStr">
        <is>
          <t>TORSBY</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35778-2020</t>
        </is>
      </c>
      <c r="B440" s="1" t="n">
        <v>44046</v>
      </c>
      <c r="C440" s="1" t="n">
        <v>45574</v>
      </c>
      <c r="D440" t="inlineStr">
        <is>
          <t>VÄRMLANDS LÄN</t>
        </is>
      </c>
      <c r="E440" t="inlineStr">
        <is>
          <t>TORSBY</t>
        </is>
      </c>
      <c r="G440" t="n">
        <v>10.2</v>
      </c>
      <c r="H440" t="n">
        <v>0</v>
      </c>
      <c r="I440" t="n">
        <v>0</v>
      </c>
      <c r="J440" t="n">
        <v>0</v>
      </c>
      <c r="K440" t="n">
        <v>0</v>
      </c>
      <c r="L440" t="n">
        <v>0</v>
      </c>
      <c r="M440" t="n">
        <v>0</v>
      </c>
      <c r="N440" t="n">
        <v>0</v>
      </c>
      <c r="O440" t="n">
        <v>0</v>
      </c>
      <c r="P440" t="n">
        <v>0</v>
      </c>
      <c r="Q440" t="n">
        <v>0</v>
      </c>
      <c r="R440" s="2" t="inlineStr"/>
    </row>
    <row r="441" ht="15" customHeight="1">
      <c r="A441" t="inlineStr">
        <is>
          <t>A 35900-2020</t>
        </is>
      </c>
      <c r="B441" s="1" t="n">
        <v>44047</v>
      </c>
      <c r="C441" s="1" t="n">
        <v>45574</v>
      </c>
      <c r="D441" t="inlineStr">
        <is>
          <t>VÄRMLANDS LÄN</t>
        </is>
      </c>
      <c r="E441" t="inlineStr">
        <is>
          <t>TORSBY</t>
        </is>
      </c>
      <c r="G441" t="n">
        <v>7.2</v>
      </c>
      <c r="H441" t="n">
        <v>0</v>
      </c>
      <c r="I441" t="n">
        <v>0</v>
      </c>
      <c r="J441" t="n">
        <v>0</v>
      </c>
      <c r="K441" t="n">
        <v>0</v>
      </c>
      <c r="L441" t="n">
        <v>0</v>
      </c>
      <c r="M441" t="n">
        <v>0</v>
      </c>
      <c r="N441" t="n">
        <v>0</v>
      </c>
      <c r="O441" t="n">
        <v>0</v>
      </c>
      <c r="P441" t="n">
        <v>0</v>
      </c>
      <c r="Q441" t="n">
        <v>0</v>
      </c>
      <c r="R441" s="2" t="inlineStr"/>
    </row>
    <row r="442" ht="15" customHeight="1">
      <c r="A442" t="inlineStr">
        <is>
          <t>A 35955-2020</t>
        </is>
      </c>
      <c r="B442" s="1" t="n">
        <v>44047</v>
      </c>
      <c r="C442" s="1" t="n">
        <v>45574</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35826-2020</t>
        </is>
      </c>
      <c r="B443" s="1" t="n">
        <v>44047</v>
      </c>
      <c r="C443" s="1" t="n">
        <v>45574</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35905-2020</t>
        </is>
      </c>
      <c r="B444" s="1" t="n">
        <v>44047</v>
      </c>
      <c r="C444" s="1" t="n">
        <v>45574</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36482-2020</t>
        </is>
      </c>
      <c r="B445" s="1" t="n">
        <v>44048</v>
      </c>
      <c r="C445" s="1" t="n">
        <v>45574</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36104-2020</t>
        </is>
      </c>
      <c r="B446" s="1" t="n">
        <v>44048</v>
      </c>
      <c r="C446" s="1" t="n">
        <v>45574</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36265-2020</t>
        </is>
      </c>
      <c r="B447" s="1" t="n">
        <v>44049</v>
      </c>
      <c r="C447" s="1" t="n">
        <v>45574</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36396-2020</t>
        </is>
      </c>
      <c r="B448" s="1" t="n">
        <v>44049</v>
      </c>
      <c r="C448" s="1" t="n">
        <v>45574</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36394-2020</t>
        </is>
      </c>
      <c r="B449" s="1" t="n">
        <v>44049</v>
      </c>
      <c r="C449" s="1" t="n">
        <v>45574</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36847-2020</t>
        </is>
      </c>
      <c r="B450" s="1" t="n">
        <v>44053</v>
      </c>
      <c r="C450" s="1" t="n">
        <v>45574</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36901-2020</t>
        </is>
      </c>
      <c r="B451" s="1" t="n">
        <v>44053</v>
      </c>
      <c r="C451" s="1" t="n">
        <v>45574</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37305-2020</t>
        </is>
      </c>
      <c r="B452" s="1" t="n">
        <v>44055</v>
      </c>
      <c r="C452" s="1" t="n">
        <v>45574</v>
      </c>
      <c r="D452" t="inlineStr">
        <is>
          <t>VÄRMLANDS LÄN</t>
        </is>
      </c>
      <c r="E452" t="inlineStr">
        <is>
          <t>TORSBY</t>
        </is>
      </c>
      <c r="G452" t="n">
        <v>0.5</v>
      </c>
      <c r="H452" t="n">
        <v>0</v>
      </c>
      <c r="I452" t="n">
        <v>0</v>
      </c>
      <c r="J452" t="n">
        <v>0</v>
      </c>
      <c r="K452" t="n">
        <v>0</v>
      </c>
      <c r="L452" t="n">
        <v>0</v>
      </c>
      <c r="M452" t="n">
        <v>0</v>
      </c>
      <c r="N452" t="n">
        <v>0</v>
      </c>
      <c r="O452" t="n">
        <v>0</v>
      </c>
      <c r="P452" t="n">
        <v>0</v>
      </c>
      <c r="Q452" t="n">
        <v>0</v>
      </c>
      <c r="R452" s="2" t="inlineStr"/>
    </row>
    <row r="453" ht="15" customHeight="1">
      <c r="A453" t="inlineStr">
        <is>
          <t>A 37302-2020</t>
        </is>
      </c>
      <c r="B453" s="1" t="n">
        <v>44055</v>
      </c>
      <c r="C453" s="1" t="n">
        <v>45574</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37307-2020</t>
        </is>
      </c>
      <c r="B454" s="1" t="n">
        <v>44055</v>
      </c>
      <c r="C454" s="1" t="n">
        <v>45574</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37303-2020</t>
        </is>
      </c>
      <c r="B455" s="1" t="n">
        <v>44055</v>
      </c>
      <c r="C455" s="1" t="n">
        <v>45574</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38506-2020</t>
        </is>
      </c>
      <c r="B456" s="1" t="n">
        <v>44061</v>
      </c>
      <c r="C456" s="1" t="n">
        <v>45574</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38978-2020</t>
        </is>
      </c>
      <c r="B457" s="1" t="n">
        <v>44062</v>
      </c>
      <c r="C457" s="1" t="n">
        <v>45574</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40218-2020</t>
        </is>
      </c>
      <c r="B458" s="1" t="n">
        <v>44064</v>
      </c>
      <c r="C458" s="1" t="n">
        <v>45574</v>
      </c>
      <c r="D458" t="inlineStr">
        <is>
          <t>VÄRMLANDS LÄN</t>
        </is>
      </c>
      <c r="E458" t="inlineStr">
        <is>
          <t>TORSBY</t>
        </is>
      </c>
      <c r="G458" t="n">
        <v>3.7</v>
      </c>
      <c r="H458" t="n">
        <v>0</v>
      </c>
      <c r="I458" t="n">
        <v>0</v>
      </c>
      <c r="J458" t="n">
        <v>0</v>
      </c>
      <c r="K458" t="n">
        <v>0</v>
      </c>
      <c r="L458" t="n">
        <v>0</v>
      </c>
      <c r="M458" t="n">
        <v>0</v>
      </c>
      <c r="N458" t="n">
        <v>0</v>
      </c>
      <c r="O458" t="n">
        <v>0</v>
      </c>
      <c r="P458" t="n">
        <v>0</v>
      </c>
      <c r="Q458" t="n">
        <v>0</v>
      </c>
      <c r="R458" s="2" t="inlineStr"/>
    </row>
    <row r="459" ht="15" customHeight="1">
      <c r="A459" t="inlineStr">
        <is>
          <t>A 40015-2020</t>
        </is>
      </c>
      <c r="B459" s="1" t="n">
        <v>44067</v>
      </c>
      <c r="C459" s="1" t="n">
        <v>45574</v>
      </c>
      <c r="D459" t="inlineStr">
        <is>
          <t>VÄRMLANDS LÄN</t>
        </is>
      </c>
      <c r="E459" t="inlineStr">
        <is>
          <t>TORSBY</t>
        </is>
      </c>
      <c r="G459" t="n">
        <v>5.7</v>
      </c>
      <c r="H459" t="n">
        <v>0</v>
      </c>
      <c r="I459" t="n">
        <v>0</v>
      </c>
      <c r="J459" t="n">
        <v>0</v>
      </c>
      <c r="K459" t="n">
        <v>0</v>
      </c>
      <c r="L459" t="n">
        <v>0</v>
      </c>
      <c r="M459" t="n">
        <v>0</v>
      </c>
      <c r="N459" t="n">
        <v>0</v>
      </c>
      <c r="O459" t="n">
        <v>0</v>
      </c>
      <c r="P459" t="n">
        <v>0</v>
      </c>
      <c r="Q459" t="n">
        <v>0</v>
      </c>
      <c r="R459" s="2" t="inlineStr"/>
    </row>
    <row r="460" ht="15" customHeight="1">
      <c r="A460" t="inlineStr">
        <is>
          <t>A 40550-2020</t>
        </is>
      </c>
      <c r="B460" s="1" t="n">
        <v>44069</v>
      </c>
      <c r="C460" s="1" t="n">
        <v>45574</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40594-2020</t>
        </is>
      </c>
      <c r="B461" s="1" t="n">
        <v>44069</v>
      </c>
      <c r="C461" s="1" t="n">
        <v>45574</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40509-2020</t>
        </is>
      </c>
      <c r="B462" s="1" t="n">
        <v>44069</v>
      </c>
      <c r="C462" s="1" t="n">
        <v>45574</v>
      </c>
      <c r="D462" t="inlineStr">
        <is>
          <t>VÄRMLANDS LÄN</t>
        </is>
      </c>
      <c r="E462" t="inlineStr">
        <is>
          <t>TORSBY</t>
        </is>
      </c>
      <c r="F462" t="inlineStr">
        <is>
          <t>Naturvårdsverket</t>
        </is>
      </c>
      <c r="G462" t="n">
        <v>57</v>
      </c>
      <c r="H462" t="n">
        <v>0</v>
      </c>
      <c r="I462" t="n">
        <v>0</v>
      </c>
      <c r="J462" t="n">
        <v>0</v>
      </c>
      <c r="K462" t="n">
        <v>0</v>
      </c>
      <c r="L462" t="n">
        <v>0</v>
      </c>
      <c r="M462" t="n">
        <v>0</v>
      </c>
      <c r="N462" t="n">
        <v>0</v>
      </c>
      <c r="O462" t="n">
        <v>0</v>
      </c>
      <c r="P462" t="n">
        <v>0</v>
      </c>
      <c r="Q462" t="n">
        <v>0</v>
      </c>
      <c r="R462" s="2" t="inlineStr"/>
    </row>
    <row r="463" ht="15" customHeight="1">
      <c r="A463" t="inlineStr">
        <is>
          <t>A 40601-2020</t>
        </is>
      </c>
      <c r="B463" s="1" t="n">
        <v>44069</v>
      </c>
      <c r="C463" s="1" t="n">
        <v>45574</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40994-2020</t>
        </is>
      </c>
      <c r="B464" s="1" t="n">
        <v>44070</v>
      </c>
      <c r="C464" s="1" t="n">
        <v>45574</v>
      </c>
      <c r="D464" t="inlineStr">
        <is>
          <t>VÄRMLANDS LÄN</t>
        </is>
      </c>
      <c r="E464" t="inlineStr">
        <is>
          <t>TORSBY</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40987-2020</t>
        </is>
      </c>
      <c r="B465" s="1" t="n">
        <v>44070</v>
      </c>
      <c r="C465" s="1" t="n">
        <v>45574</v>
      </c>
      <c r="D465" t="inlineStr">
        <is>
          <t>VÄRMLANDS LÄN</t>
        </is>
      </c>
      <c r="E465" t="inlineStr">
        <is>
          <t>TORSBY</t>
        </is>
      </c>
      <c r="F465" t="inlineStr">
        <is>
          <t>Bergvik skog väst AB</t>
        </is>
      </c>
      <c r="G465" t="n">
        <v>0.4</v>
      </c>
      <c r="H465" t="n">
        <v>0</v>
      </c>
      <c r="I465" t="n">
        <v>0</v>
      </c>
      <c r="J465" t="n">
        <v>0</v>
      </c>
      <c r="K465" t="n">
        <v>0</v>
      </c>
      <c r="L465" t="n">
        <v>0</v>
      </c>
      <c r="M465" t="n">
        <v>0</v>
      </c>
      <c r="N465" t="n">
        <v>0</v>
      </c>
      <c r="O465" t="n">
        <v>0</v>
      </c>
      <c r="P465" t="n">
        <v>0</v>
      </c>
      <c r="Q465" t="n">
        <v>0</v>
      </c>
      <c r="R465" s="2" t="inlineStr"/>
    </row>
    <row r="466" ht="15" customHeight="1">
      <c r="A466" t="inlineStr">
        <is>
          <t>A 40993-2020</t>
        </is>
      </c>
      <c r="B466" s="1" t="n">
        <v>44070</v>
      </c>
      <c r="C466" s="1" t="n">
        <v>45574</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41469-2020</t>
        </is>
      </c>
      <c r="B467" s="1" t="n">
        <v>44074</v>
      </c>
      <c r="C467" s="1" t="n">
        <v>45574</v>
      </c>
      <c r="D467" t="inlineStr">
        <is>
          <t>VÄRMLANDS LÄN</t>
        </is>
      </c>
      <c r="E467" t="inlineStr">
        <is>
          <t>TORSBY</t>
        </is>
      </c>
      <c r="F467" t="inlineStr">
        <is>
          <t>Bergvik skog väst AB</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42391-2020</t>
        </is>
      </c>
      <c r="B468" s="1" t="n">
        <v>44076</v>
      </c>
      <c r="C468" s="1" t="n">
        <v>45574</v>
      </c>
      <c r="D468" t="inlineStr">
        <is>
          <t>VÄRMLANDS LÄN</t>
        </is>
      </c>
      <c r="E468" t="inlineStr">
        <is>
          <t>TORSBY</t>
        </is>
      </c>
      <c r="G468" t="n">
        <v>3.9</v>
      </c>
      <c r="H468" t="n">
        <v>0</v>
      </c>
      <c r="I468" t="n">
        <v>0</v>
      </c>
      <c r="J468" t="n">
        <v>0</v>
      </c>
      <c r="K468" t="n">
        <v>0</v>
      </c>
      <c r="L468" t="n">
        <v>0</v>
      </c>
      <c r="M468" t="n">
        <v>0</v>
      </c>
      <c r="N468" t="n">
        <v>0</v>
      </c>
      <c r="O468" t="n">
        <v>0</v>
      </c>
      <c r="P468" t="n">
        <v>0</v>
      </c>
      <c r="Q468" t="n">
        <v>0</v>
      </c>
      <c r="R468" s="2" t="inlineStr"/>
    </row>
    <row r="469" ht="15" customHeight="1">
      <c r="A469" t="inlineStr">
        <is>
          <t>A 42566-2020</t>
        </is>
      </c>
      <c r="B469" s="1" t="n">
        <v>44077</v>
      </c>
      <c r="C469" s="1" t="n">
        <v>45574</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42982-2020</t>
        </is>
      </c>
      <c r="B470" s="1" t="n">
        <v>44078</v>
      </c>
      <c r="C470" s="1" t="n">
        <v>45574</v>
      </c>
      <c r="D470" t="inlineStr">
        <is>
          <t>VÄRMLANDS LÄN</t>
        </is>
      </c>
      <c r="E470" t="inlineStr">
        <is>
          <t>TORSBY</t>
        </is>
      </c>
      <c r="G470" t="n">
        <v>1.5</v>
      </c>
      <c r="H470" t="n">
        <v>0</v>
      </c>
      <c r="I470" t="n">
        <v>0</v>
      </c>
      <c r="J470" t="n">
        <v>0</v>
      </c>
      <c r="K470" t="n">
        <v>0</v>
      </c>
      <c r="L470" t="n">
        <v>0</v>
      </c>
      <c r="M470" t="n">
        <v>0</v>
      </c>
      <c r="N470" t="n">
        <v>0</v>
      </c>
      <c r="O470" t="n">
        <v>0</v>
      </c>
      <c r="P470" t="n">
        <v>0</v>
      </c>
      <c r="Q470" t="n">
        <v>0</v>
      </c>
      <c r="R470" s="2" t="inlineStr"/>
    </row>
    <row r="471" ht="15" customHeight="1">
      <c r="A471" t="inlineStr">
        <is>
          <t>A 44722-2020</t>
        </is>
      </c>
      <c r="B471" s="1" t="n">
        <v>44078</v>
      </c>
      <c r="C471" s="1" t="n">
        <v>45574</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43547-2020</t>
        </is>
      </c>
      <c r="B472" s="1" t="n">
        <v>44078</v>
      </c>
      <c r="C472" s="1" t="n">
        <v>45574</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44715-2020</t>
        </is>
      </c>
      <c r="B473" s="1" t="n">
        <v>44078</v>
      </c>
      <c r="C473" s="1" t="n">
        <v>45574</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44720-2020</t>
        </is>
      </c>
      <c r="B474" s="1" t="n">
        <v>44078</v>
      </c>
      <c r="C474" s="1" t="n">
        <v>45574</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43725-2020</t>
        </is>
      </c>
      <c r="B475" s="1" t="n">
        <v>44082</v>
      </c>
      <c r="C475" s="1" t="n">
        <v>45574</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44666-2020</t>
        </is>
      </c>
      <c r="B476" s="1" t="n">
        <v>44085</v>
      </c>
      <c r="C476" s="1" t="n">
        <v>45574</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46482-2020</t>
        </is>
      </c>
      <c r="B477" s="1" t="n">
        <v>44089</v>
      </c>
      <c r="C477" s="1" t="n">
        <v>45574</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45404-2020</t>
        </is>
      </c>
      <c r="B478" s="1" t="n">
        <v>44089</v>
      </c>
      <c r="C478" s="1" t="n">
        <v>45574</v>
      </c>
      <c r="D478" t="inlineStr">
        <is>
          <t>VÄRMLANDS LÄN</t>
        </is>
      </c>
      <c r="E478" t="inlineStr">
        <is>
          <t>TORSBY</t>
        </is>
      </c>
      <c r="G478" t="n">
        <v>3.2</v>
      </c>
      <c r="H478" t="n">
        <v>0</v>
      </c>
      <c r="I478" t="n">
        <v>0</v>
      </c>
      <c r="J478" t="n">
        <v>0</v>
      </c>
      <c r="K478" t="n">
        <v>0</v>
      </c>
      <c r="L478" t="n">
        <v>0</v>
      </c>
      <c r="M478" t="n">
        <v>0</v>
      </c>
      <c r="N478" t="n">
        <v>0</v>
      </c>
      <c r="O478" t="n">
        <v>0</v>
      </c>
      <c r="P478" t="n">
        <v>0</v>
      </c>
      <c r="Q478" t="n">
        <v>0</v>
      </c>
      <c r="R478" s="2" t="inlineStr"/>
    </row>
    <row r="479" ht="15" customHeight="1">
      <c r="A479" t="inlineStr">
        <is>
          <t>A 45872-2020</t>
        </is>
      </c>
      <c r="B479" s="1" t="n">
        <v>44091</v>
      </c>
      <c r="C479" s="1" t="n">
        <v>45574</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45898-2020</t>
        </is>
      </c>
      <c r="B480" s="1" t="n">
        <v>44091</v>
      </c>
      <c r="C480" s="1" t="n">
        <v>45574</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46271-2020</t>
        </is>
      </c>
      <c r="B481" s="1" t="n">
        <v>44092</v>
      </c>
      <c r="C481" s="1" t="n">
        <v>45574</v>
      </c>
      <c r="D481" t="inlineStr">
        <is>
          <t>VÄRMLANDS LÄN</t>
        </is>
      </c>
      <c r="E481" t="inlineStr">
        <is>
          <t>TORSBY</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47707-2020</t>
        </is>
      </c>
      <c r="B482" s="1" t="n">
        <v>44096</v>
      </c>
      <c r="C482" s="1" t="n">
        <v>45574</v>
      </c>
      <c r="D482" t="inlineStr">
        <is>
          <t>VÄRMLANDS LÄN</t>
        </is>
      </c>
      <c r="E482" t="inlineStr">
        <is>
          <t>TORSBY</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47709-2020</t>
        </is>
      </c>
      <c r="B483" s="1" t="n">
        <v>44096</v>
      </c>
      <c r="C483" s="1" t="n">
        <v>45574</v>
      </c>
      <c r="D483" t="inlineStr">
        <is>
          <t>VÄRMLANDS LÄN</t>
        </is>
      </c>
      <c r="E483" t="inlineStr">
        <is>
          <t>TORSBY</t>
        </is>
      </c>
      <c r="F483" t="inlineStr">
        <is>
          <t>Kyrkan</t>
        </is>
      </c>
      <c r="G483" t="n">
        <v>1.8</v>
      </c>
      <c r="H483" t="n">
        <v>0</v>
      </c>
      <c r="I483" t="n">
        <v>0</v>
      </c>
      <c r="J483" t="n">
        <v>0</v>
      </c>
      <c r="K483" t="n">
        <v>0</v>
      </c>
      <c r="L483" t="n">
        <v>0</v>
      </c>
      <c r="M483" t="n">
        <v>0</v>
      </c>
      <c r="N483" t="n">
        <v>0</v>
      </c>
      <c r="O483" t="n">
        <v>0</v>
      </c>
      <c r="P483" t="n">
        <v>0</v>
      </c>
      <c r="Q483" t="n">
        <v>0</v>
      </c>
      <c r="R483" s="2" t="inlineStr"/>
    </row>
    <row r="484" ht="15" customHeight="1">
      <c r="A484" t="inlineStr">
        <is>
          <t>A 47490-2020</t>
        </is>
      </c>
      <c r="B484" s="1" t="n">
        <v>44098</v>
      </c>
      <c r="C484" s="1" t="n">
        <v>45574</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48231-2020</t>
        </is>
      </c>
      <c r="B485" s="1" t="n">
        <v>44102</v>
      </c>
      <c r="C485" s="1" t="n">
        <v>45574</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48383-2020</t>
        </is>
      </c>
      <c r="B486" s="1" t="n">
        <v>44102</v>
      </c>
      <c r="C486" s="1" t="n">
        <v>45574</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48488-2020</t>
        </is>
      </c>
      <c r="B487" s="1" t="n">
        <v>44103</v>
      </c>
      <c r="C487" s="1" t="n">
        <v>45574</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53557-2020</t>
        </is>
      </c>
      <c r="B488" s="1" t="n">
        <v>44104</v>
      </c>
      <c r="C488" s="1" t="n">
        <v>45574</v>
      </c>
      <c r="D488" t="inlineStr">
        <is>
          <t>VÄRMLANDS LÄN</t>
        </is>
      </c>
      <c r="E488" t="inlineStr">
        <is>
          <t>TORSBY</t>
        </is>
      </c>
      <c r="F488" t="inlineStr">
        <is>
          <t>Övriga statliga verk och myndigheter</t>
        </is>
      </c>
      <c r="G488" t="n">
        <v>1</v>
      </c>
      <c r="H488" t="n">
        <v>0</v>
      </c>
      <c r="I488" t="n">
        <v>0</v>
      </c>
      <c r="J488" t="n">
        <v>0</v>
      </c>
      <c r="K488" t="n">
        <v>0</v>
      </c>
      <c r="L488" t="n">
        <v>0</v>
      </c>
      <c r="M488" t="n">
        <v>0</v>
      </c>
      <c r="N488" t="n">
        <v>0</v>
      </c>
      <c r="O488" t="n">
        <v>0</v>
      </c>
      <c r="P488" t="n">
        <v>0</v>
      </c>
      <c r="Q488" t="n">
        <v>0</v>
      </c>
      <c r="R488" s="2" t="inlineStr"/>
    </row>
    <row r="489" ht="15" customHeight="1">
      <c r="A489" t="inlineStr">
        <is>
          <t>A 50084-2020</t>
        </is>
      </c>
      <c r="B489" s="1" t="n">
        <v>44109</v>
      </c>
      <c r="C489" s="1" t="n">
        <v>45574</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50092-2020</t>
        </is>
      </c>
      <c r="B490" s="1" t="n">
        <v>44109</v>
      </c>
      <c r="C490" s="1" t="n">
        <v>45574</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50103-2020</t>
        </is>
      </c>
      <c r="B491" s="1" t="n">
        <v>44109</v>
      </c>
      <c r="C491" s="1" t="n">
        <v>45574</v>
      </c>
      <c r="D491" t="inlineStr">
        <is>
          <t>VÄRMLANDS LÄN</t>
        </is>
      </c>
      <c r="E491" t="inlineStr">
        <is>
          <t>TORSBY</t>
        </is>
      </c>
      <c r="G491" t="n">
        <v>1.6</v>
      </c>
      <c r="H491" t="n">
        <v>0</v>
      </c>
      <c r="I491" t="n">
        <v>0</v>
      </c>
      <c r="J491" t="n">
        <v>0</v>
      </c>
      <c r="K491" t="n">
        <v>0</v>
      </c>
      <c r="L491" t="n">
        <v>0</v>
      </c>
      <c r="M491" t="n">
        <v>0</v>
      </c>
      <c r="N491" t="n">
        <v>0</v>
      </c>
      <c r="O491" t="n">
        <v>0</v>
      </c>
      <c r="P491" t="n">
        <v>0</v>
      </c>
      <c r="Q491" t="n">
        <v>0</v>
      </c>
      <c r="R491" s="2" t="inlineStr"/>
    </row>
    <row r="492" ht="15" customHeight="1">
      <c r="A492" t="inlineStr">
        <is>
          <t>A 50096-2020</t>
        </is>
      </c>
      <c r="B492" s="1" t="n">
        <v>44109</v>
      </c>
      <c r="C492" s="1" t="n">
        <v>45574</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50486-2020</t>
        </is>
      </c>
      <c r="B493" s="1" t="n">
        <v>44110</v>
      </c>
      <c r="C493" s="1" t="n">
        <v>45574</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50943-2020</t>
        </is>
      </c>
      <c r="B494" s="1" t="n">
        <v>44111</v>
      </c>
      <c r="C494" s="1" t="n">
        <v>45574</v>
      </c>
      <c r="D494" t="inlineStr">
        <is>
          <t>VÄRMLANDS LÄN</t>
        </is>
      </c>
      <c r="E494" t="inlineStr">
        <is>
          <t>TORSBY</t>
        </is>
      </c>
      <c r="F494" t="inlineStr">
        <is>
          <t>Bergvik skog väst AB</t>
        </is>
      </c>
      <c r="G494" t="n">
        <v>18.4</v>
      </c>
      <c r="H494" t="n">
        <v>0</v>
      </c>
      <c r="I494" t="n">
        <v>0</v>
      </c>
      <c r="J494" t="n">
        <v>0</v>
      </c>
      <c r="K494" t="n">
        <v>0</v>
      </c>
      <c r="L494" t="n">
        <v>0</v>
      </c>
      <c r="M494" t="n">
        <v>0</v>
      </c>
      <c r="N494" t="n">
        <v>0</v>
      </c>
      <c r="O494" t="n">
        <v>0</v>
      </c>
      <c r="P494" t="n">
        <v>0</v>
      </c>
      <c r="Q494" t="n">
        <v>0</v>
      </c>
      <c r="R494" s="2" t="inlineStr"/>
    </row>
    <row r="495" ht="15" customHeight="1">
      <c r="A495" t="inlineStr">
        <is>
          <t>A 51380-2020</t>
        </is>
      </c>
      <c r="B495" s="1" t="n">
        <v>44113</v>
      </c>
      <c r="C495" s="1" t="n">
        <v>45574</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51385-2020</t>
        </is>
      </c>
      <c r="B496" s="1" t="n">
        <v>44113</v>
      </c>
      <c r="C496" s="1" t="n">
        <v>45574</v>
      </c>
      <c r="D496" t="inlineStr">
        <is>
          <t>VÄRMLANDS LÄN</t>
        </is>
      </c>
      <c r="E496" t="inlineStr">
        <is>
          <t>TORSBY</t>
        </is>
      </c>
      <c r="G496" t="n">
        <v>6.8</v>
      </c>
      <c r="H496" t="n">
        <v>0</v>
      </c>
      <c r="I496" t="n">
        <v>0</v>
      </c>
      <c r="J496" t="n">
        <v>0</v>
      </c>
      <c r="K496" t="n">
        <v>0</v>
      </c>
      <c r="L496" t="n">
        <v>0</v>
      </c>
      <c r="M496" t="n">
        <v>0</v>
      </c>
      <c r="N496" t="n">
        <v>0</v>
      </c>
      <c r="O496" t="n">
        <v>0</v>
      </c>
      <c r="P496" t="n">
        <v>0</v>
      </c>
      <c r="Q496" t="n">
        <v>0</v>
      </c>
      <c r="R496" s="2" t="inlineStr"/>
    </row>
    <row r="497" ht="15" customHeight="1">
      <c r="A497" t="inlineStr">
        <is>
          <t>A 51389-2020</t>
        </is>
      </c>
      <c r="B497" s="1" t="n">
        <v>44113</v>
      </c>
      <c r="C497" s="1" t="n">
        <v>45574</v>
      </c>
      <c r="D497" t="inlineStr">
        <is>
          <t>VÄRMLANDS LÄN</t>
        </is>
      </c>
      <c r="E497" t="inlineStr">
        <is>
          <t>TORSBY</t>
        </is>
      </c>
      <c r="G497" t="n">
        <v>15.4</v>
      </c>
      <c r="H497" t="n">
        <v>0</v>
      </c>
      <c r="I497" t="n">
        <v>0</v>
      </c>
      <c r="J497" t="n">
        <v>0</v>
      </c>
      <c r="K497" t="n">
        <v>0</v>
      </c>
      <c r="L497" t="n">
        <v>0</v>
      </c>
      <c r="M497" t="n">
        <v>0</v>
      </c>
      <c r="N497" t="n">
        <v>0</v>
      </c>
      <c r="O497" t="n">
        <v>0</v>
      </c>
      <c r="P497" t="n">
        <v>0</v>
      </c>
      <c r="Q497" t="n">
        <v>0</v>
      </c>
      <c r="R497" s="2" t="inlineStr"/>
    </row>
    <row r="498" ht="15" customHeight="1">
      <c r="A498" t="inlineStr">
        <is>
          <t>A 51382-2020</t>
        </is>
      </c>
      <c r="B498" s="1" t="n">
        <v>44113</v>
      </c>
      <c r="C498" s="1" t="n">
        <v>45574</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51381-2020</t>
        </is>
      </c>
      <c r="B499" s="1" t="n">
        <v>44113</v>
      </c>
      <c r="C499" s="1" t="n">
        <v>45574</v>
      </c>
      <c r="D499" t="inlineStr">
        <is>
          <t>VÄRMLANDS LÄN</t>
        </is>
      </c>
      <c r="E499" t="inlineStr">
        <is>
          <t>TORSBY</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51386-2020</t>
        </is>
      </c>
      <c r="B500" s="1" t="n">
        <v>44113</v>
      </c>
      <c r="C500" s="1" t="n">
        <v>45574</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51635-2020</t>
        </is>
      </c>
      <c r="B501" s="1" t="n">
        <v>44113</v>
      </c>
      <c r="C501" s="1" t="n">
        <v>45574</v>
      </c>
      <c r="D501" t="inlineStr">
        <is>
          <t>VÄRMLANDS LÄN</t>
        </is>
      </c>
      <c r="E501" t="inlineStr">
        <is>
          <t>TORSBY</t>
        </is>
      </c>
      <c r="F501" t="inlineStr">
        <is>
          <t>Bergvik skog väst AB</t>
        </is>
      </c>
      <c r="G501" t="n">
        <v>0.4</v>
      </c>
      <c r="H501" t="n">
        <v>0</v>
      </c>
      <c r="I501" t="n">
        <v>0</v>
      </c>
      <c r="J501" t="n">
        <v>0</v>
      </c>
      <c r="K501" t="n">
        <v>0</v>
      </c>
      <c r="L501" t="n">
        <v>0</v>
      </c>
      <c r="M501" t="n">
        <v>0</v>
      </c>
      <c r="N501" t="n">
        <v>0</v>
      </c>
      <c r="O501" t="n">
        <v>0</v>
      </c>
      <c r="P501" t="n">
        <v>0</v>
      </c>
      <c r="Q501" t="n">
        <v>0</v>
      </c>
      <c r="R501" s="2" t="inlineStr"/>
    </row>
    <row r="502" ht="15" customHeight="1">
      <c r="A502" t="inlineStr">
        <is>
          <t>A 51383-2020</t>
        </is>
      </c>
      <c r="B502" s="1" t="n">
        <v>44113</v>
      </c>
      <c r="C502" s="1" t="n">
        <v>45574</v>
      </c>
      <c r="D502" t="inlineStr">
        <is>
          <t>VÄRMLANDS LÄN</t>
        </is>
      </c>
      <c r="E502" t="inlineStr">
        <is>
          <t>TORSBY</t>
        </is>
      </c>
      <c r="G502" t="n">
        <v>3.8</v>
      </c>
      <c r="H502" t="n">
        <v>0</v>
      </c>
      <c r="I502" t="n">
        <v>0</v>
      </c>
      <c r="J502" t="n">
        <v>0</v>
      </c>
      <c r="K502" t="n">
        <v>0</v>
      </c>
      <c r="L502" t="n">
        <v>0</v>
      </c>
      <c r="M502" t="n">
        <v>0</v>
      </c>
      <c r="N502" t="n">
        <v>0</v>
      </c>
      <c r="O502" t="n">
        <v>0</v>
      </c>
      <c r="P502" t="n">
        <v>0</v>
      </c>
      <c r="Q502" t="n">
        <v>0</v>
      </c>
      <c r="R502" s="2" t="inlineStr"/>
    </row>
    <row r="503" ht="15" customHeight="1">
      <c r="A503" t="inlineStr">
        <is>
          <t>A 51838-2020</t>
        </is>
      </c>
      <c r="B503" s="1" t="n">
        <v>44116</v>
      </c>
      <c r="C503" s="1" t="n">
        <v>45574</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52460-2020</t>
        </is>
      </c>
      <c r="B504" s="1" t="n">
        <v>44116</v>
      </c>
      <c r="C504" s="1" t="n">
        <v>45574</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51837-2020</t>
        </is>
      </c>
      <c r="B505" s="1" t="n">
        <v>44116</v>
      </c>
      <c r="C505" s="1" t="n">
        <v>45574</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52141-2020</t>
        </is>
      </c>
      <c r="B506" s="1" t="n">
        <v>44117</v>
      </c>
      <c r="C506" s="1" t="n">
        <v>45574</v>
      </c>
      <c r="D506" t="inlineStr">
        <is>
          <t>VÄRMLANDS LÄN</t>
        </is>
      </c>
      <c r="E506" t="inlineStr">
        <is>
          <t>TORSBY</t>
        </is>
      </c>
      <c r="G506" t="n">
        <v>4.1</v>
      </c>
      <c r="H506" t="n">
        <v>0</v>
      </c>
      <c r="I506" t="n">
        <v>0</v>
      </c>
      <c r="J506" t="n">
        <v>0</v>
      </c>
      <c r="K506" t="n">
        <v>0</v>
      </c>
      <c r="L506" t="n">
        <v>0</v>
      </c>
      <c r="M506" t="n">
        <v>0</v>
      </c>
      <c r="N506" t="n">
        <v>0</v>
      </c>
      <c r="O506" t="n">
        <v>0</v>
      </c>
      <c r="P506" t="n">
        <v>0</v>
      </c>
      <c r="Q506" t="n">
        <v>0</v>
      </c>
      <c r="R506" s="2" t="inlineStr"/>
    </row>
    <row r="507" ht="15" customHeight="1">
      <c r="A507" t="inlineStr">
        <is>
          <t>A 52799-2020</t>
        </is>
      </c>
      <c r="B507" s="1" t="n">
        <v>44119</v>
      </c>
      <c r="C507" s="1" t="n">
        <v>45574</v>
      </c>
      <c r="D507" t="inlineStr">
        <is>
          <t>VÄRMLANDS LÄN</t>
        </is>
      </c>
      <c r="E507" t="inlineStr">
        <is>
          <t>TORSBY</t>
        </is>
      </c>
      <c r="G507" t="n">
        <v>6.2</v>
      </c>
      <c r="H507" t="n">
        <v>0</v>
      </c>
      <c r="I507" t="n">
        <v>0</v>
      </c>
      <c r="J507" t="n">
        <v>0</v>
      </c>
      <c r="K507" t="n">
        <v>0</v>
      </c>
      <c r="L507" t="n">
        <v>0</v>
      </c>
      <c r="M507" t="n">
        <v>0</v>
      </c>
      <c r="N507" t="n">
        <v>0</v>
      </c>
      <c r="O507" t="n">
        <v>0</v>
      </c>
      <c r="P507" t="n">
        <v>0</v>
      </c>
      <c r="Q507" t="n">
        <v>0</v>
      </c>
      <c r="R507" s="2" t="inlineStr"/>
    </row>
    <row r="508" ht="15" customHeight="1">
      <c r="A508" t="inlineStr">
        <is>
          <t>A 52979-2020</t>
        </is>
      </c>
      <c r="B508" s="1" t="n">
        <v>44120</v>
      </c>
      <c r="C508" s="1" t="n">
        <v>45574</v>
      </c>
      <c r="D508" t="inlineStr">
        <is>
          <t>VÄRMLANDS LÄN</t>
        </is>
      </c>
      <c r="E508" t="inlineStr">
        <is>
          <t>TORSBY</t>
        </is>
      </c>
      <c r="G508" t="n">
        <v>3.6</v>
      </c>
      <c r="H508" t="n">
        <v>0</v>
      </c>
      <c r="I508" t="n">
        <v>0</v>
      </c>
      <c r="J508" t="n">
        <v>0</v>
      </c>
      <c r="K508" t="n">
        <v>0</v>
      </c>
      <c r="L508" t="n">
        <v>0</v>
      </c>
      <c r="M508" t="n">
        <v>0</v>
      </c>
      <c r="N508" t="n">
        <v>0</v>
      </c>
      <c r="O508" t="n">
        <v>0</v>
      </c>
      <c r="P508" t="n">
        <v>0</v>
      </c>
      <c r="Q508" t="n">
        <v>0</v>
      </c>
      <c r="R508" s="2" t="inlineStr"/>
    </row>
    <row r="509" ht="15" customHeight="1">
      <c r="A509" t="inlineStr">
        <is>
          <t>A 53111-2020</t>
        </is>
      </c>
      <c r="B509" s="1" t="n">
        <v>44120</v>
      </c>
      <c r="C509" s="1" t="n">
        <v>45574</v>
      </c>
      <c r="D509" t="inlineStr">
        <is>
          <t>VÄRMLANDS LÄN</t>
        </is>
      </c>
      <c r="E509" t="inlineStr">
        <is>
          <t>TORSBY</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53771-2020</t>
        </is>
      </c>
      <c r="B510" s="1" t="n">
        <v>44124</v>
      </c>
      <c r="C510" s="1" t="n">
        <v>45574</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53733-2020</t>
        </is>
      </c>
      <c r="B511" s="1" t="n">
        <v>44124</v>
      </c>
      <c r="C511" s="1" t="n">
        <v>45574</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54331-2020</t>
        </is>
      </c>
      <c r="B512" s="1" t="n">
        <v>44124</v>
      </c>
      <c r="C512" s="1" t="n">
        <v>45574</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54060-2020</t>
        </is>
      </c>
      <c r="B513" s="1" t="n">
        <v>44125</v>
      </c>
      <c r="C513" s="1" t="n">
        <v>45574</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54072-2020</t>
        </is>
      </c>
      <c r="B514" s="1" t="n">
        <v>44125</v>
      </c>
      <c r="C514" s="1" t="n">
        <v>45574</v>
      </c>
      <c r="D514" t="inlineStr">
        <is>
          <t>VÄRMLANDS LÄN</t>
        </is>
      </c>
      <c r="E514" t="inlineStr">
        <is>
          <t>TORSBY</t>
        </is>
      </c>
      <c r="G514" t="n">
        <v>5</v>
      </c>
      <c r="H514" t="n">
        <v>0</v>
      </c>
      <c r="I514" t="n">
        <v>0</v>
      </c>
      <c r="J514" t="n">
        <v>0</v>
      </c>
      <c r="K514" t="n">
        <v>0</v>
      </c>
      <c r="L514" t="n">
        <v>0</v>
      </c>
      <c r="M514" t="n">
        <v>0</v>
      </c>
      <c r="N514" t="n">
        <v>0</v>
      </c>
      <c r="O514" t="n">
        <v>0</v>
      </c>
      <c r="P514" t="n">
        <v>0</v>
      </c>
      <c r="Q514" t="n">
        <v>0</v>
      </c>
      <c r="R514" s="2" t="inlineStr"/>
    </row>
    <row r="515" ht="15" customHeight="1">
      <c r="A515" t="inlineStr">
        <is>
          <t>A 54916-2020</t>
        </is>
      </c>
      <c r="B515" s="1" t="n">
        <v>44127</v>
      </c>
      <c r="C515" s="1" t="n">
        <v>45574</v>
      </c>
      <c r="D515" t="inlineStr">
        <is>
          <t>VÄRMLANDS LÄN</t>
        </is>
      </c>
      <c r="E515" t="inlineStr">
        <is>
          <t>TORSBY</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54924-2020</t>
        </is>
      </c>
      <c r="B516" s="1" t="n">
        <v>44127</v>
      </c>
      <c r="C516" s="1" t="n">
        <v>45574</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55058-2020</t>
        </is>
      </c>
      <c r="B517" s="1" t="n">
        <v>44130</v>
      </c>
      <c r="C517" s="1" t="n">
        <v>45574</v>
      </c>
      <c r="D517" t="inlineStr">
        <is>
          <t>VÄRMLANDS LÄN</t>
        </is>
      </c>
      <c r="E517" t="inlineStr">
        <is>
          <t>TORSBY</t>
        </is>
      </c>
      <c r="F517" t="inlineStr">
        <is>
          <t>Bergvik skog väst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55217-2020</t>
        </is>
      </c>
      <c r="B518" s="1" t="n">
        <v>44130</v>
      </c>
      <c r="C518" s="1" t="n">
        <v>45574</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55401-2020</t>
        </is>
      </c>
      <c r="B519" s="1" t="n">
        <v>44131</v>
      </c>
      <c r="C519" s="1" t="n">
        <v>45574</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56979-2020</t>
        </is>
      </c>
      <c r="B520" s="1" t="n">
        <v>44138</v>
      </c>
      <c r="C520" s="1" t="n">
        <v>45574</v>
      </c>
      <c r="D520" t="inlineStr">
        <is>
          <t>VÄRMLANDS LÄN</t>
        </is>
      </c>
      <c r="E520" t="inlineStr">
        <is>
          <t>TORSBY</t>
        </is>
      </c>
      <c r="G520" t="n">
        <v>3.2</v>
      </c>
      <c r="H520" t="n">
        <v>0</v>
      </c>
      <c r="I520" t="n">
        <v>0</v>
      </c>
      <c r="J520" t="n">
        <v>0</v>
      </c>
      <c r="K520" t="n">
        <v>0</v>
      </c>
      <c r="L520" t="n">
        <v>0</v>
      </c>
      <c r="M520" t="n">
        <v>0</v>
      </c>
      <c r="N520" t="n">
        <v>0</v>
      </c>
      <c r="O520" t="n">
        <v>0</v>
      </c>
      <c r="P520" t="n">
        <v>0</v>
      </c>
      <c r="Q520" t="n">
        <v>0</v>
      </c>
      <c r="R520" s="2" t="inlineStr"/>
    </row>
    <row r="521" ht="15" customHeight="1">
      <c r="A521" t="inlineStr">
        <is>
          <t>A 57119-2020</t>
        </is>
      </c>
      <c r="B521" s="1" t="n">
        <v>44139</v>
      </c>
      <c r="C521" s="1" t="n">
        <v>45574</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57896-2020</t>
        </is>
      </c>
      <c r="B522" s="1" t="n">
        <v>44141</v>
      </c>
      <c r="C522" s="1" t="n">
        <v>45574</v>
      </c>
      <c r="D522" t="inlineStr">
        <is>
          <t>VÄRMLANDS LÄN</t>
        </is>
      </c>
      <c r="E522" t="inlineStr">
        <is>
          <t>TORSBY</t>
        </is>
      </c>
      <c r="F522" t="inlineStr">
        <is>
          <t>Bergvik skog väst AB</t>
        </is>
      </c>
      <c r="G522" t="n">
        <v>5.2</v>
      </c>
      <c r="H522" t="n">
        <v>0</v>
      </c>
      <c r="I522" t="n">
        <v>0</v>
      </c>
      <c r="J522" t="n">
        <v>0</v>
      </c>
      <c r="K522" t="n">
        <v>0</v>
      </c>
      <c r="L522" t="n">
        <v>0</v>
      </c>
      <c r="M522" t="n">
        <v>0</v>
      </c>
      <c r="N522" t="n">
        <v>0</v>
      </c>
      <c r="O522" t="n">
        <v>0</v>
      </c>
      <c r="P522" t="n">
        <v>0</v>
      </c>
      <c r="Q522" t="n">
        <v>0</v>
      </c>
      <c r="R522" s="2" t="inlineStr"/>
    </row>
    <row r="523" ht="15" customHeight="1">
      <c r="A523" t="inlineStr">
        <is>
          <t>A 57980-2020</t>
        </is>
      </c>
      <c r="B523" s="1" t="n">
        <v>44143</v>
      </c>
      <c r="C523" s="1" t="n">
        <v>45574</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58078-2020</t>
        </is>
      </c>
      <c r="B524" s="1" t="n">
        <v>44144</v>
      </c>
      <c r="C524" s="1" t="n">
        <v>45574</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58599-2020</t>
        </is>
      </c>
      <c r="B525" s="1" t="n">
        <v>44145</v>
      </c>
      <c r="C525" s="1" t="n">
        <v>45574</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58574-2020</t>
        </is>
      </c>
      <c r="B526" s="1" t="n">
        <v>44145</v>
      </c>
      <c r="C526" s="1" t="n">
        <v>45574</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58643-2020</t>
        </is>
      </c>
      <c r="B527" s="1" t="n">
        <v>44145</v>
      </c>
      <c r="C527" s="1" t="n">
        <v>45574</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58680-2020</t>
        </is>
      </c>
      <c r="B528" s="1" t="n">
        <v>44146</v>
      </c>
      <c r="C528" s="1" t="n">
        <v>45574</v>
      </c>
      <c r="D528" t="inlineStr">
        <is>
          <t>VÄRMLANDS LÄN</t>
        </is>
      </c>
      <c r="E528" t="inlineStr">
        <is>
          <t>TORSBY</t>
        </is>
      </c>
      <c r="G528" t="n">
        <v>4.7</v>
      </c>
      <c r="H528" t="n">
        <v>0</v>
      </c>
      <c r="I528" t="n">
        <v>0</v>
      </c>
      <c r="J528" t="n">
        <v>0</v>
      </c>
      <c r="K528" t="n">
        <v>0</v>
      </c>
      <c r="L528" t="n">
        <v>0</v>
      </c>
      <c r="M528" t="n">
        <v>0</v>
      </c>
      <c r="N528" t="n">
        <v>0</v>
      </c>
      <c r="O528" t="n">
        <v>0</v>
      </c>
      <c r="P528" t="n">
        <v>0</v>
      </c>
      <c r="Q528" t="n">
        <v>0</v>
      </c>
      <c r="R528" s="2" t="inlineStr"/>
    </row>
    <row r="529" ht="15" customHeight="1">
      <c r="A529" t="inlineStr">
        <is>
          <t>A 58877-2020</t>
        </is>
      </c>
      <c r="B529" s="1" t="n">
        <v>44146</v>
      </c>
      <c r="C529" s="1" t="n">
        <v>45574</v>
      </c>
      <c r="D529" t="inlineStr">
        <is>
          <t>VÄRMLANDS LÄN</t>
        </is>
      </c>
      <c r="E529" t="inlineStr">
        <is>
          <t>TORSBY</t>
        </is>
      </c>
      <c r="G529" t="n">
        <v>2</v>
      </c>
      <c r="H529" t="n">
        <v>0</v>
      </c>
      <c r="I529" t="n">
        <v>0</v>
      </c>
      <c r="J529" t="n">
        <v>0</v>
      </c>
      <c r="K529" t="n">
        <v>0</v>
      </c>
      <c r="L529" t="n">
        <v>0</v>
      </c>
      <c r="M529" t="n">
        <v>0</v>
      </c>
      <c r="N529" t="n">
        <v>0</v>
      </c>
      <c r="O529" t="n">
        <v>0</v>
      </c>
      <c r="P529" t="n">
        <v>0</v>
      </c>
      <c r="Q529" t="n">
        <v>0</v>
      </c>
      <c r="R529" s="2" t="inlineStr"/>
    </row>
    <row r="530" ht="15" customHeight="1">
      <c r="A530" t="inlineStr">
        <is>
          <t>A 58930-2020</t>
        </is>
      </c>
      <c r="B530" s="1" t="n">
        <v>44146</v>
      </c>
      <c r="C530" s="1" t="n">
        <v>45574</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59800-2020</t>
        </is>
      </c>
      <c r="B531" s="1" t="n">
        <v>44151</v>
      </c>
      <c r="C531" s="1" t="n">
        <v>45574</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60167-2020</t>
        </is>
      </c>
      <c r="B532" s="1" t="n">
        <v>44152</v>
      </c>
      <c r="C532" s="1" t="n">
        <v>45574</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60533-2020</t>
        </is>
      </c>
      <c r="B533" s="1" t="n">
        <v>44153</v>
      </c>
      <c r="C533" s="1" t="n">
        <v>45574</v>
      </c>
      <c r="D533" t="inlineStr">
        <is>
          <t>VÄRMLANDS LÄN</t>
        </is>
      </c>
      <c r="E533" t="inlineStr">
        <is>
          <t>TORSBY</t>
        </is>
      </c>
      <c r="G533" t="n">
        <v>1.6</v>
      </c>
      <c r="H533" t="n">
        <v>0</v>
      </c>
      <c r="I533" t="n">
        <v>0</v>
      </c>
      <c r="J533" t="n">
        <v>0</v>
      </c>
      <c r="K533" t="n">
        <v>0</v>
      </c>
      <c r="L533" t="n">
        <v>0</v>
      </c>
      <c r="M533" t="n">
        <v>0</v>
      </c>
      <c r="N533" t="n">
        <v>0</v>
      </c>
      <c r="O533" t="n">
        <v>0</v>
      </c>
      <c r="P533" t="n">
        <v>0</v>
      </c>
      <c r="Q533" t="n">
        <v>0</v>
      </c>
      <c r="R533" s="2" t="inlineStr"/>
    </row>
    <row r="534" ht="15" customHeight="1">
      <c r="A534" t="inlineStr">
        <is>
          <t>A 60719-2020</t>
        </is>
      </c>
      <c r="B534" s="1" t="n">
        <v>44153</v>
      </c>
      <c r="C534" s="1" t="n">
        <v>45574</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60823-2020</t>
        </is>
      </c>
      <c r="B535" s="1" t="n">
        <v>44153</v>
      </c>
      <c r="C535" s="1" t="n">
        <v>45574</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60941-2020</t>
        </is>
      </c>
      <c r="B536" s="1" t="n">
        <v>44154</v>
      </c>
      <c r="C536" s="1" t="n">
        <v>45574</v>
      </c>
      <c r="D536" t="inlineStr">
        <is>
          <t>VÄRMLANDS LÄN</t>
        </is>
      </c>
      <c r="E536" t="inlineStr">
        <is>
          <t>TORSBY</t>
        </is>
      </c>
      <c r="G536" t="n">
        <v>4.1</v>
      </c>
      <c r="H536" t="n">
        <v>0</v>
      </c>
      <c r="I536" t="n">
        <v>0</v>
      </c>
      <c r="J536" t="n">
        <v>0</v>
      </c>
      <c r="K536" t="n">
        <v>0</v>
      </c>
      <c r="L536" t="n">
        <v>0</v>
      </c>
      <c r="M536" t="n">
        <v>0</v>
      </c>
      <c r="N536" t="n">
        <v>0</v>
      </c>
      <c r="O536" t="n">
        <v>0</v>
      </c>
      <c r="P536" t="n">
        <v>0</v>
      </c>
      <c r="Q536" t="n">
        <v>0</v>
      </c>
      <c r="R536" s="2" t="inlineStr"/>
    </row>
    <row r="537" ht="15" customHeight="1">
      <c r="A537" t="inlineStr">
        <is>
          <t>A 61009-2020</t>
        </is>
      </c>
      <c r="B537" s="1" t="n">
        <v>44154</v>
      </c>
      <c r="C537" s="1" t="n">
        <v>45574</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61594-2020</t>
        </is>
      </c>
      <c r="B538" s="1" t="n">
        <v>44154</v>
      </c>
      <c r="C538" s="1" t="n">
        <v>45574</v>
      </c>
      <c r="D538" t="inlineStr">
        <is>
          <t>VÄRMLANDS LÄN</t>
        </is>
      </c>
      <c r="E538" t="inlineStr">
        <is>
          <t>TORSBY</t>
        </is>
      </c>
      <c r="G538" t="n">
        <v>6</v>
      </c>
      <c r="H538" t="n">
        <v>0</v>
      </c>
      <c r="I538" t="n">
        <v>0</v>
      </c>
      <c r="J538" t="n">
        <v>0</v>
      </c>
      <c r="K538" t="n">
        <v>0</v>
      </c>
      <c r="L538" t="n">
        <v>0</v>
      </c>
      <c r="M538" t="n">
        <v>0</v>
      </c>
      <c r="N538" t="n">
        <v>0</v>
      </c>
      <c r="O538" t="n">
        <v>0</v>
      </c>
      <c r="P538" t="n">
        <v>0</v>
      </c>
      <c r="Q538" t="n">
        <v>0</v>
      </c>
      <c r="R538" s="2" t="inlineStr"/>
    </row>
    <row r="539" ht="15" customHeight="1">
      <c r="A539" t="inlineStr">
        <is>
          <t>A 61970-2020</t>
        </is>
      </c>
      <c r="B539" s="1" t="n">
        <v>44155</v>
      </c>
      <c r="C539" s="1" t="n">
        <v>45574</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61738-2020</t>
        </is>
      </c>
      <c r="B540" s="1" t="n">
        <v>44158</v>
      </c>
      <c r="C540" s="1" t="n">
        <v>45574</v>
      </c>
      <c r="D540" t="inlineStr">
        <is>
          <t>VÄRMLANDS LÄN</t>
        </is>
      </c>
      <c r="E540" t="inlineStr">
        <is>
          <t>TORSBY</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61753-2020</t>
        </is>
      </c>
      <c r="B541" s="1" t="n">
        <v>44158</v>
      </c>
      <c r="C541" s="1" t="n">
        <v>45574</v>
      </c>
      <c r="D541" t="inlineStr">
        <is>
          <t>VÄRMLANDS LÄN</t>
        </is>
      </c>
      <c r="E541" t="inlineStr">
        <is>
          <t>TORSBY</t>
        </is>
      </c>
      <c r="G541" t="n">
        <v>2.2</v>
      </c>
      <c r="H541" t="n">
        <v>0</v>
      </c>
      <c r="I541" t="n">
        <v>0</v>
      </c>
      <c r="J541" t="n">
        <v>0</v>
      </c>
      <c r="K541" t="n">
        <v>0</v>
      </c>
      <c r="L541" t="n">
        <v>0</v>
      </c>
      <c r="M541" t="n">
        <v>0</v>
      </c>
      <c r="N541" t="n">
        <v>0</v>
      </c>
      <c r="O541" t="n">
        <v>0</v>
      </c>
      <c r="P541" t="n">
        <v>0</v>
      </c>
      <c r="Q541" t="n">
        <v>0</v>
      </c>
      <c r="R541" s="2" t="inlineStr"/>
    </row>
    <row r="542" ht="15" customHeight="1">
      <c r="A542" t="inlineStr">
        <is>
          <t>A 61998-2020</t>
        </is>
      </c>
      <c r="B542" s="1" t="n">
        <v>44158</v>
      </c>
      <c r="C542" s="1" t="n">
        <v>45574</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61910-2020</t>
        </is>
      </c>
      <c r="B543" s="1" t="n">
        <v>44159</v>
      </c>
      <c r="C543" s="1" t="n">
        <v>45574</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61956-2020</t>
        </is>
      </c>
      <c r="B544" s="1" t="n">
        <v>44159</v>
      </c>
      <c r="C544" s="1" t="n">
        <v>45574</v>
      </c>
      <c r="D544" t="inlineStr">
        <is>
          <t>VÄRMLANDS LÄN</t>
        </is>
      </c>
      <c r="E544" t="inlineStr">
        <is>
          <t>TORSBY</t>
        </is>
      </c>
      <c r="F544" t="inlineStr">
        <is>
          <t>Kommuner</t>
        </is>
      </c>
      <c r="G544" t="n">
        <v>7.5</v>
      </c>
      <c r="H544" t="n">
        <v>0</v>
      </c>
      <c r="I544" t="n">
        <v>0</v>
      </c>
      <c r="J544" t="n">
        <v>0</v>
      </c>
      <c r="K544" t="n">
        <v>0</v>
      </c>
      <c r="L544" t="n">
        <v>0</v>
      </c>
      <c r="M544" t="n">
        <v>0</v>
      </c>
      <c r="N544" t="n">
        <v>0</v>
      </c>
      <c r="O544" t="n">
        <v>0</v>
      </c>
      <c r="P544" t="n">
        <v>0</v>
      </c>
      <c r="Q544" t="n">
        <v>0</v>
      </c>
      <c r="R544" s="2" t="inlineStr"/>
    </row>
    <row r="545" ht="15" customHeight="1">
      <c r="A545" t="inlineStr">
        <is>
          <t>A 62209-2020</t>
        </is>
      </c>
      <c r="B545" s="1" t="n">
        <v>44159</v>
      </c>
      <c r="C545" s="1" t="n">
        <v>45574</v>
      </c>
      <c r="D545" t="inlineStr">
        <is>
          <t>VÄRMLANDS LÄN</t>
        </is>
      </c>
      <c r="E545" t="inlineStr">
        <is>
          <t>TORSBY</t>
        </is>
      </c>
      <c r="F545" t="inlineStr">
        <is>
          <t>Kommuner</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62211-2020</t>
        </is>
      </c>
      <c r="B546" s="1" t="n">
        <v>44159</v>
      </c>
      <c r="C546" s="1" t="n">
        <v>45574</v>
      </c>
      <c r="D546" t="inlineStr">
        <is>
          <t>VÄRMLANDS LÄN</t>
        </is>
      </c>
      <c r="E546" t="inlineStr">
        <is>
          <t>TORSBY</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62915-2020</t>
        </is>
      </c>
      <c r="B547" s="1" t="n">
        <v>44162</v>
      </c>
      <c r="C547" s="1" t="n">
        <v>45574</v>
      </c>
      <c r="D547" t="inlineStr">
        <is>
          <t>VÄRMLANDS LÄN</t>
        </is>
      </c>
      <c r="E547" t="inlineStr">
        <is>
          <t>TORSBY</t>
        </is>
      </c>
      <c r="G547" t="n">
        <v>4.6</v>
      </c>
      <c r="H547" t="n">
        <v>0</v>
      </c>
      <c r="I547" t="n">
        <v>0</v>
      </c>
      <c r="J547" t="n">
        <v>0</v>
      </c>
      <c r="K547" t="n">
        <v>0</v>
      </c>
      <c r="L547" t="n">
        <v>0</v>
      </c>
      <c r="M547" t="n">
        <v>0</v>
      </c>
      <c r="N547" t="n">
        <v>0</v>
      </c>
      <c r="O547" t="n">
        <v>0</v>
      </c>
      <c r="P547" t="n">
        <v>0</v>
      </c>
      <c r="Q547" t="n">
        <v>0</v>
      </c>
      <c r="R547" s="2" t="inlineStr"/>
    </row>
    <row r="548" ht="15" customHeight="1">
      <c r="A548" t="inlineStr">
        <is>
          <t>A 63565-2020</t>
        </is>
      </c>
      <c r="B548" s="1" t="n">
        <v>44165</v>
      </c>
      <c r="C548" s="1" t="n">
        <v>45574</v>
      </c>
      <c r="D548" t="inlineStr">
        <is>
          <t>VÄRMLANDS LÄN</t>
        </is>
      </c>
      <c r="E548" t="inlineStr">
        <is>
          <t>TORSBY</t>
        </is>
      </c>
      <c r="G548" t="n">
        <v>10.3</v>
      </c>
      <c r="H548" t="n">
        <v>0</v>
      </c>
      <c r="I548" t="n">
        <v>0</v>
      </c>
      <c r="J548" t="n">
        <v>0</v>
      </c>
      <c r="K548" t="n">
        <v>0</v>
      </c>
      <c r="L548" t="n">
        <v>0</v>
      </c>
      <c r="M548" t="n">
        <v>0</v>
      </c>
      <c r="N548" t="n">
        <v>0</v>
      </c>
      <c r="O548" t="n">
        <v>0</v>
      </c>
      <c r="P548" t="n">
        <v>0</v>
      </c>
      <c r="Q548" t="n">
        <v>0</v>
      </c>
      <c r="R548" s="2" t="inlineStr"/>
    </row>
    <row r="549" ht="15" customHeight="1">
      <c r="A549" t="inlineStr">
        <is>
          <t>A 64396-2020</t>
        </is>
      </c>
      <c r="B549" s="1" t="n">
        <v>44168</v>
      </c>
      <c r="C549" s="1" t="n">
        <v>45574</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64434-2020</t>
        </is>
      </c>
      <c r="B550" s="1" t="n">
        <v>44168</v>
      </c>
      <c r="C550" s="1" t="n">
        <v>45574</v>
      </c>
      <c r="D550" t="inlineStr">
        <is>
          <t>VÄRMLANDS LÄN</t>
        </is>
      </c>
      <c r="E550" t="inlineStr">
        <is>
          <t>TORSBY</t>
        </is>
      </c>
      <c r="G550" t="n">
        <v>7.7</v>
      </c>
      <c r="H550" t="n">
        <v>0</v>
      </c>
      <c r="I550" t="n">
        <v>0</v>
      </c>
      <c r="J550" t="n">
        <v>0</v>
      </c>
      <c r="K550" t="n">
        <v>0</v>
      </c>
      <c r="L550" t="n">
        <v>0</v>
      </c>
      <c r="M550" t="n">
        <v>0</v>
      </c>
      <c r="N550" t="n">
        <v>0</v>
      </c>
      <c r="O550" t="n">
        <v>0</v>
      </c>
      <c r="P550" t="n">
        <v>0</v>
      </c>
      <c r="Q550" t="n">
        <v>0</v>
      </c>
      <c r="R550" s="2" t="inlineStr"/>
    </row>
    <row r="551" ht="15" customHeight="1">
      <c r="A551" t="inlineStr">
        <is>
          <t>A 65369-2020</t>
        </is>
      </c>
      <c r="B551" s="1" t="n">
        <v>44169</v>
      </c>
      <c r="C551" s="1" t="n">
        <v>45574</v>
      </c>
      <c r="D551" t="inlineStr">
        <is>
          <t>VÄRMLANDS LÄN</t>
        </is>
      </c>
      <c r="E551" t="inlineStr">
        <is>
          <t>TORSBY</t>
        </is>
      </c>
      <c r="G551" t="n">
        <v>32.5</v>
      </c>
      <c r="H551" t="n">
        <v>0</v>
      </c>
      <c r="I551" t="n">
        <v>0</v>
      </c>
      <c r="J551" t="n">
        <v>0</v>
      </c>
      <c r="K551" t="n">
        <v>0</v>
      </c>
      <c r="L551" t="n">
        <v>0</v>
      </c>
      <c r="M551" t="n">
        <v>0</v>
      </c>
      <c r="N551" t="n">
        <v>0</v>
      </c>
      <c r="O551" t="n">
        <v>0</v>
      </c>
      <c r="P551" t="n">
        <v>0</v>
      </c>
      <c r="Q551" t="n">
        <v>0</v>
      </c>
      <c r="R551" s="2" t="inlineStr"/>
    </row>
    <row r="552" ht="15" customHeight="1">
      <c r="A552" t="inlineStr">
        <is>
          <t>A 65482-2020</t>
        </is>
      </c>
      <c r="B552" s="1" t="n">
        <v>44169</v>
      </c>
      <c r="C552" s="1" t="n">
        <v>45574</v>
      </c>
      <c r="D552" t="inlineStr">
        <is>
          <t>VÄRMLANDS LÄN</t>
        </is>
      </c>
      <c r="E552" t="inlineStr">
        <is>
          <t>TORSBY</t>
        </is>
      </c>
      <c r="F552" t="inlineStr">
        <is>
          <t>Kyrkan</t>
        </is>
      </c>
      <c r="G552" t="n">
        <v>21.6</v>
      </c>
      <c r="H552" t="n">
        <v>0</v>
      </c>
      <c r="I552" t="n">
        <v>0</v>
      </c>
      <c r="J552" t="n">
        <v>0</v>
      </c>
      <c r="K552" t="n">
        <v>0</v>
      </c>
      <c r="L552" t="n">
        <v>0</v>
      </c>
      <c r="M552" t="n">
        <v>0</v>
      </c>
      <c r="N552" t="n">
        <v>0</v>
      </c>
      <c r="O552" t="n">
        <v>0</v>
      </c>
      <c r="P552" t="n">
        <v>0</v>
      </c>
      <c r="Q552" t="n">
        <v>0</v>
      </c>
      <c r="R552" s="2" t="inlineStr"/>
    </row>
    <row r="553" ht="15" customHeight="1">
      <c r="A553" t="inlineStr">
        <is>
          <t>A 65398-2020</t>
        </is>
      </c>
      <c r="B553" s="1" t="n">
        <v>44169</v>
      </c>
      <c r="C553" s="1" t="n">
        <v>45574</v>
      </c>
      <c r="D553" t="inlineStr">
        <is>
          <t>VÄRMLANDS LÄN</t>
        </is>
      </c>
      <c r="E553" t="inlineStr">
        <is>
          <t>TORSBY</t>
        </is>
      </c>
      <c r="G553" t="n">
        <v>3.6</v>
      </c>
      <c r="H553" t="n">
        <v>0</v>
      </c>
      <c r="I553" t="n">
        <v>0</v>
      </c>
      <c r="J553" t="n">
        <v>0</v>
      </c>
      <c r="K553" t="n">
        <v>0</v>
      </c>
      <c r="L553" t="n">
        <v>0</v>
      </c>
      <c r="M553" t="n">
        <v>0</v>
      </c>
      <c r="N553" t="n">
        <v>0</v>
      </c>
      <c r="O553" t="n">
        <v>0</v>
      </c>
      <c r="P553" t="n">
        <v>0</v>
      </c>
      <c r="Q553" t="n">
        <v>0</v>
      </c>
      <c r="R553" s="2" t="inlineStr"/>
    </row>
    <row r="554" ht="15" customHeight="1">
      <c r="A554" t="inlineStr">
        <is>
          <t>A 65678-2020</t>
        </is>
      </c>
      <c r="B554" s="1" t="n">
        <v>44172</v>
      </c>
      <c r="C554" s="1" t="n">
        <v>45574</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65827-2020</t>
        </is>
      </c>
      <c r="B555" s="1" t="n">
        <v>44173</v>
      </c>
      <c r="C555" s="1" t="n">
        <v>45574</v>
      </c>
      <c r="D555" t="inlineStr">
        <is>
          <t>VÄRMLANDS LÄN</t>
        </is>
      </c>
      <c r="E555" t="inlineStr">
        <is>
          <t>TORSBY</t>
        </is>
      </c>
      <c r="G555" t="n">
        <v>6.7</v>
      </c>
      <c r="H555" t="n">
        <v>0</v>
      </c>
      <c r="I555" t="n">
        <v>0</v>
      </c>
      <c r="J555" t="n">
        <v>0</v>
      </c>
      <c r="K555" t="n">
        <v>0</v>
      </c>
      <c r="L555" t="n">
        <v>0</v>
      </c>
      <c r="M555" t="n">
        <v>0</v>
      </c>
      <c r="N555" t="n">
        <v>0</v>
      </c>
      <c r="O555" t="n">
        <v>0</v>
      </c>
      <c r="P555" t="n">
        <v>0</v>
      </c>
      <c r="Q555" t="n">
        <v>0</v>
      </c>
      <c r="R555" s="2" t="inlineStr"/>
    </row>
    <row r="556" ht="15" customHeight="1">
      <c r="A556" t="inlineStr">
        <is>
          <t>A 66703-2020</t>
        </is>
      </c>
      <c r="B556" s="1" t="n">
        <v>44174</v>
      </c>
      <c r="C556" s="1" t="n">
        <v>45574</v>
      </c>
      <c r="D556" t="inlineStr">
        <is>
          <t>VÄRMLANDS LÄN</t>
        </is>
      </c>
      <c r="E556" t="inlineStr">
        <is>
          <t>TORSBY</t>
        </is>
      </c>
      <c r="G556" t="n">
        <v>6.3</v>
      </c>
      <c r="H556" t="n">
        <v>0</v>
      </c>
      <c r="I556" t="n">
        <v>0</v>
      </c>
      <c r="J556" t="n">
        <v>0</v>
      </c>
      <c r="K556" t="n">
        <v>0</v>
      </c>
      <c r="L556" t="n">
        <v>0</v>
      </c>
      <c r="M556" t="n">
        <v>0</v>
      </c>
      <c r="N556" t="n">
        <v>0</v>
      </c>
      <c r="O556" t="n">
        <v>0</v>
      </c>
      <c r="P556" t="n">
        <v>0</v>
      </c>
      <c r="Q556" t="n">
        <v>0</v>
      </c>
      <c r="R556" s="2" t="inlineStr"/>
    </row>
    <row r="557" ht="15" customHeight="1">
      <c r="A557" t="inlineStr">
        <is>
          <t>A 66194-2020</t>
        </is>
      </c>
      <c r="B557" s="1" t="n">
        <v>44175</v>
      </c>
      <c r="C557" s="1" t="n">
        <v>45574</v>
      </c>
      <c r="D557" t="inlineStr">
        <is>
          <t>VÄRMLANDS LÄN</t>
        </is>
      </c>
      <c r="E557" t="inlineStr">
        <is>
          <t>TORSBY</t>
        </is>
      </c>
      <c r="F557" t="inlineStr">
        <is>
          <t>Bergvik skog väst AB</t>
        </is>
      </c>
      <c r="G557" t="n">
        <v>18.4</v>
      </c>
      <c r="H557" t="n">
        <v>0</v>
      </c>
      <c r="I557" t="n">
        <v>0</v>
      </c>
      <c r="J557" t="n">
        <v>0</v>
      </c>
      <c r="K557" t="n">
        <v>0</v>
      </c>
      <c r="L557" t="n">
        <v>0</v>
      </c>
      <c r="M557" t="n">
        <v>0</v>
      </c>
      <c r="N557" t="n">
        <v>0</v>
      </c>
      <c r="O557" t="n">
        <v>0</v>
      </c>
      <c r="P557" t="n">
        <v>0</v>
      </c>
      <c r="Q557" t="n">
        <v>0</v>
      </c>
      <c r="R557" s="2" t="inlineStr"/>
    </row>
    <row r="558" ht="15" customHeight="1">
      <c r="A558" t="inlineStr">
        <is>
          <t>A 66326-2020</t>
        </is>
      </c>
      <c r="B558" s="1" t="n">
        <v>44176</v>
      </c>
      <c r="C558" s="1" t="n">
        <v>45574</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67084-2020</t>
        </is>
      </c>
      <c r="B559" s="1" t="n">
        <v>44179</v>
      </c>
      <c r="C559" s="1" t="n">
        <v>45574</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67547-2020</t>
        </is>
      </c>
      <c r="B560" s="1" t="n">
        <v>44181</v>
      </c>
      <c r="C560" s="1" t="n">
        <v>45574</v>
      </c>
      <c r="D560" t="inlineStr">
        <is>
          <t>VÄRMLANDS LÄN</t>
        </is>
      </c>
      <c r="E560" t="inlineStr">
        <is>
          <t>TORSBY</t>
        </is>
      </c>
      <c r="G560" t="n">
        <v>3</v>
      </c>
      <c r="H560" t="n">
        <v>0</v>
      </c>
      <c r="I560" t="n">
        <v>0</v>
      </c>
      <c r="J560" t="n">
        <v>0</v>
      </c>
      <c r="K560" t="n">
        <v>0</v>
      </c>
      <c r="L560" t="n">
        <v>0</v>
      </c>
      <c r="M560" t="n">
        <v>0</v>
      </c>
      <c r="N560" t="n">
        <v>0</v>
      </c>
      <c r="O560" t="n">
        <v>0</v>
      </c>
      <c r="P560" t="n">
        <v>0</v>
      </c>
      <c r="Q560" t="n">
        <v>0</v>
      </c>
      <c r="R560" s="2" t="inlineStr"/>
    </row>
    <row r="561" ht="15" customHeight="1">
      <c r="A561" t="inlineStr">
        <is>
          <t>A 67464-2020</t>
        </is>
      </c>
      <c r="B561" s="1" t="n">
        <v>44181</v>
      </c>
      <c r="C561" s="1" t="n">
        <v>45574</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67734-2020</t>
        </is>
      </c>
      <c r="B562" s="1" t="n">
        <v>44182</v>
      </c>
      <c r="C562" s="1" t="n">
        <v>45574</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68220-2020</t>
        </is>
      </c>
      <c r="B563" s="1" t="n">
        <v>44183</v>
      </c>
      <c r="C563" s="1" t="n">
        <v>45574</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68238-2020</t>
        </is>
      </c>
      <c r="B564" s="1" t="n">
        <v>44183</v>
      </c>
      <c r="C564" s="1" t="n">
        <v>45574</v>
      </c>
      <c r="D564" t="inlineStr">
        <is>
          <t>VÄRMLANDS LÄN</t>
        </is>
      </c>
      <c r="E564" t="inlineStr">
        <is>
          <t>TORSBY</t>
        </is>
      </c>
      <c r="F564" t="inlineStr">
        <is>
          <t>Bergvik skog väst AB</t>
        </is>
      </c>
      <c r="G564" t="n">
        <v>6.7</v>
      </c>
      <c r="H564" t="n">
        <v>0</v>
      </c>
      <c r="I564" t="n">
        <v>0</v>
      </c>
      <c r="J564" t="n">
        <v>0</v>
      </c>
      <c r="K564" t="n">
        <v>0</v>
      </c>
      <c r="L564" t="n">
        <v>0</v>
      </c>
      <c r="M564" t="n">
        <v>0</v>
      </c>
      <c r="N564" t="n">
        <v>0</v>
      </c>
      <c r="O564" t="n">
        <v>0</v>
      </c>
      <c r="P564" t="n">
        <v>0</v>
      </c>
      <c r="Q564" t="n">
        <v>0</v>
      </c>
      <c r="R564" s="2" t="inlineStr"/>
    </row>
    <row r="565" ht="15" customHeight="1">
      <c r="A565" t="inlineStr">
        <is>
          <t>A 68246-2020</t>
        </is>
      </c>
      <c r="B565" s="1" t="n">
        <v>44183</v>
      </c>
      <c r="C565" s="1" t="n">
        <v>45574</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68603-2020</t>
        </is>
      </c>
      <c r="B566" s="1" t="n">
        <v>44186</v>
      </c>
      <c r="C566" s="1" t="n">
        <v>45574</v>
      </c>
      <c r="D566" t="inlineStr">
        <is>
          <t>VÄRMLANDS LÄN</t>
        </is>
      </c>
      <c r="E566" t="inlineStr">
        <is>
          <t>TORSBY</t>
        </is>
      </c>
      <c r="G566" t="n">
        <v>11.2</v>
      </c>
      <c r="H566" t="n">
        <v>0</v>
      </c>
      <c r="I566" t="n">
        <v>0</v>
      </c>
      <c r="J566" t="n">
        <v>0</v>
      </c>
      <c r="K566" t="n">
        <v>0</v>
      </c>
      <c r="L566" t="n">
        <v>0</v>
      </c>
      <c r="M566" t="n">
        <v>0</v>
      </c>
      <c r="N566" t="n">
        <v>0</v>
      </c>
      <c r="O566" t="n">
        <v>0</v>
      </c>
      <c r="P566" t="n">
        <v>0</v>
      </c>
      <c r="Q566" t="n">
        <v>0</v>
      </c>
      <c r="R566" s="2" t="inlineStr"/>
    </row>
    <row r="567" ht="15" customHeight="1">
      <c r="A567" t="inlineStr">
        <is>
          <t>A 69245-2020</t>
        </is>
      </c>
      <c r="B567" s="1" t="n">
        <v>44192</v>
      </c>
      <c r="C567" s="1" t="n">
        <v>45574</v>
      </c>
      <c r="D567" t="inlineStr">
        <is>
          <t>VÄRMLANDS LÄN</t>
        </is>
      </c>
      <c r="E567" t="inlineStr">
        <is>
          <t>TORSBY</t>
        </is>
      </c>
      <c r="G567" t="n">
        <v>0.2</v>
      </c>
      <c r="H567" t="n">
        <v>0</v>
      </c>
      <c r="I567" t="n">
        <v>0</v>
      </c>
      <c r="J567" t="n">
        <v>0</v>
      </c>
      <c r="K567" t="n">
        <v>0</v>
      </c>
      <c r="L567" t="n">
        <v>0</v>
      </c>
      <c r="M567" t="n">
        <v>0</v>
      </c>
      <c r="N567" t="n">
        <v>0</v>
      </c>
      <c r="O567" t="n">
        <v>0</v>
      </c>
      <c r="P567" t="n">
        <v>0</v>
      </c>
      <c r="Q567" t="n">
        <v>0</v>
      </c>
      <c r="R567" s="2" t="inlineStr"/>
    </row>
    <row r="568" ht="15" customHeight="1">
      <c r="A568" t="inlineStr">
        <is>
          <t>A 69250-2020</t>
        </is>
      </c>
      <c r="B568" s="1" t="n">
        <v>44192</v>
      </c>
      <c r="C568" s="1" t="n">
        <v>45574</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69242-2020</t>
        </is>
      </c>
      <c r="B569" s="1" t="n">
        <v>44192</v>
      </c>
      <c r="C569" s="1" t="n">
        <v>45574</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69247-2020</t>
        </is>
      </c>
      <c r="B570" s="1" t="n">
        <v>44192</v>
      </c>
      <c r="C570" s="1" t="n">
        <v>45574</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69244-2020</t>
        </is>
      </c>
      <c r="B571" s="1" t="n">
        <v>44192</v>
      </c>
      <c r="C571" s="1" t="n">
        <v>45574</v>
      </c>
      <c r="D571" t="inlineStr">
        <is>
          <t>VÄRMLANDS LÄN</t>
        </is>
      </c>
      <c r="E571" t="inlineStr">
        <is>
          <t>TORSBY</t>
        </is>
      </c>
      <c r="G571" t="n">
        <v>2.6</v>
      </c>
      <c r="H571" t="n">
        <v>0</v>
      </c>
      <c r="I571" t="n">
        <v>0</v>
      </c>
      <c r="J571" t="n">
        <v>0</v>
      </c>
      <c r="K571" t="n">
        <v>0</v>
      </c>
      <c r="L571" t="n">
        <v>0</v>
      </c>
      <c r="M571" t="n">
        <v>0</v>
      </c>
      <c r="N571" t="n">
        <v>0</v>
      </c>
      <c r="O571" t="n">
        <v>0</v>
      </c>
      <c r="P571" t="n">
        <v>0</v>
      </c>
      <c r="Q571" t="n">
        <v>0</v>
      </c>
      <c r="R571" s="2" t="inlineStr"/>
    </row>
    <row r="572" ht="15" customHeight="1">
      <c r="A572" t="inlineStr">
        <is>
          <t>A 69248-2020</t>
        </is>
      </c>
      <c r="B572" s="1" t="n">
        <v>44192</v>
      </c>
      <c r="C572" s="1" t="n">
        <v>45574</v>
      </c>
      <c r="D572" t="inlineStr">
        <is>
          <t>VÄRMLANDS LÄN</t>
        </is>
      </c>
      <c r="E572" t="inlineStr">
        <is>
          <t>TORSBY</t>
        </is>
      </c>
      <c r="G572" t="n">
        <v>0.4</v>
      </c>
      <c r="H572" t="n">
        <v>0</v>
      </c>
      <c r="I572" t="n">
        <v>0</v>
      </c>
      <c r="J572" t="n">
        <v>0</v>
      </c>
      <c r="K572" t="n">
        <v>0</v>
      </c>
      <c r="L572" t="n">
        <v>0</v>
      </c>
      <c r="M572" t="n">
        <v>0</v>
      </c>
      <c r="N572" t="n">
        <v>0</v>
      </c>
      <c r="O572" t="n">
        <v>0</v>
      </c>
      <c r="P572" t="n">
        <v>0</v>
      </c>
      <c r="Q572" t="n">
        <v>0</v>
      </c>
      <c r="R572" s="2" t="inlineStr"/>
    </row>
    <row r="573" ht="15" customHeight="1">
      <c r="A573" t="inlineStr">
        <is>
          <t>A 69241-2020</t>
        </is>
      </c>
      <c r="B573" s="1" t="n">
        <v>44192</v>
      </c>
      <c r="C573" s="1" t="n">
        <v>45574</v>
      </c>
      <c r="D573" t="inlineStr">
        <is>
          <t>VÄRMLANDS LÄN</t>
        </is>
      </c>
      <c r="E573" t="inlineStr">
        <is>
          <t>TORSBY</t>
        </is>
      </c>
      <c r="G573" t="n">
        <v>2.3</v>
      </c>
      <c r="H573" t="n">
        <v>0</v>
      </c>
      <c r="I573" t="n">
        <v>0</v>
      </c>
      <c r="J573" t="n">
        <v>0</v>
      </c>
      <c r="K573" t="n">
        <v>0</v>
      </c>
      <c r="L573" t="n">
        <v>0</v>
      </c>
      <c r="M573" t="n">
        <v>0</v>
      </c>
      <c r="N573" t="n">
        <v>0</v>
      </c>
      <c r="O573" t="n">
        <v>0</v>
      </c>
      <c r="P573" t="n">
        <v>0</v>
      </c>
      <c r="Q573" t="n">
        <v>0</v>
      </c>
      <c r="R573" s="2" t="inlineStr"/>
    </row>
    <row r="574" ht="15" customHeight="1">
      <c r="A574" t="inlineStr">
        <is>
          <t>A 69246-2020</t>
        </is>
      </c>
      <c r="B574" s="1" t="n">
        <v>44192</v>
      </c>
      <c r="C574" s="1" t="n">
        <v>45574</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69434-2020</t>
        </is>
      </c>
      <c r="B575" s="1" t="n">
        <v>44194</v>
      </c>
      <c r="C575" s="1" t="n">
        <v>45574</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69448-2020</t>
        </is>
      </c>
      <c r="B576" s="1" t="n">
        <v>44194</v>
      </c>
      <c r="C576" s="1" t="n">
        <v>45574</v>
      </c>
      <c r="D576" t="inlineStr">
        <is>
          <t>VÄRMLANDS LÄN</t>
        </is>
      </c>
      <c r="E576" t="inlineStr">
        <is>
          <t>TORSBY</t>
        </is>
      </c>
      <c r="G576" t="n">
        <v>4.8</v>
      </c>
      <c r="H576" t="n">
        <v>0</v>
      </c>
      <c r="I576" t="n">
        <v>0</v>
      </c>
      <c r="J576" t="n">
        <v>0</v>
      </c>
      <c r="K576" t="n">
        <v>0</v>
      </c>
      <c r="L576" t="n">
        <v>0</v>
      </c>
      <c r="M576" t="n">
        <v>0</v>
      </c>
      <c r="N576" t="n">
        <v>0</v>
      </c>
      <c r="O576" t="n">
        <v>0</v>
      </c>
      <c r="P576" t="n">
        <v>0</v>
      </c>
      <c r="Q576" t="n">
        <v>0</v>
      </c>
      <c r="R576" s="2" t="inlineStr"/>
    </row>
    <row r="577" ht="15" customHeight="1">
      <c r="A577" t="inlineStr">
        <is>
          <t>A 69628-2020</t>
        </is>
      </c>
      <c r="B577" s="1" t="n">
        <v>44195</v>
      </c>
      <c r="C577" s="1" t="n">
        <v>45574</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339-2021</t>
        </is>
      </c>
      <c r="B578" s="1" t="n">
        <v>44201</v>
      </c>
      <c r="C578" s="1" t="n">
        <v>45574</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1516-2021</t>
        </is>
      </c>
      <c r="B579" s="1" t="n">
        <v>44209</v>
      </c>
      <c r="C579" s="1" t="n">
        <v>45574</v>
      </c>
      <c r="D579" t="inlineStr">
        <is>
          <t>VÄRMLANDS LÄN</t>
        </is>
      </c>
      <c r="E579" t="inlineStr">
        <is>
          <t>TORSBY</t>
        </is>
      </c>
      <c r="G579" t="n">
        <v>0.9</v>
      </c>
      <c r="H579" t="n">
        <v>0</v>
      </c>
      <c r="I579" t="n">
        <v>0</v>
      </c>
      <c r="J579" t="n">
        <v>0</v>
      </c>
      <c r="K579" t="n">
        <v>0</v>
      </c>
      <c r="L579" t="n">
        <v>0</v>
      </c>
      <c r="M579" t="n">
        <v>0</v>
      </c>
      <c r="N579" t="n">
        <v>0</v>
      </c>
      <c r="O579" t="n">
        <v>0</v>
      </c>
      <c r="P579" t="n">
        <v>0</v>
      </c>
      <c r="Q579" t="n">
        <v>0</v>
      </c>
      <c r="R579" s="2" t="inlineStr"/>
    </row>
    <row r="580" ht="15" customHeight="1">
      <c r="A580" t="inlineStr">
        <is>
          <t>A 1526-2021</t>
        </is>
      </c>
      <c r="B580" s="1" t="n">
        <v>44209</v>
      </c>
      <c r="C580" s="1" t="n">
        <v>45574</v>
      </c>
      <c r="D580" t="inlineStr">
        <is>
          <t>VÄRMLANDS LÄN</t>
        </is>
      </c>
      <c r="E580" t="inlineStr">
        <is>
          <t>TORSBY</t>
        </is>
      </c>
      <c r="G580" t="n">
        <v>0.7</v>
      </c>
      <c r="H580" t="n">
        <v>0</v>
      </c>
      <c r="I580" t="n">
        <v>0</v>
      </c>
      <c r="J580" t="n">
        <v>0</v>
      </c>
      <c r="K580" t="n">
        <v>0</v>
      </c>
      <c r="L580" t="n">
        <v>0</v>
      </c>
      <c r="M580" t="n">
        <v>0</v>
      </c>
      <c r="N580" t="n">
        <v>0</v>
      </c>
      <c r="O580" t="n">
        <v>0</v>
      </c>
      <c r="P580" t="n">
        <v>0</v>
      </c>
      <c r="Q580" t="n">
        <v>0</v>
      </c>
      <c r="R580" s="2" t="inlineStr"/>
    </row>
    <row r="581" ht="15" customHeight="1">
      <c r="A581" t="inlineStr">
        <is>
          <t>A 1535-2021</t>
        </is>
      </c>
      <c r="B581" s="1" t="n">
        <v>44209</v>
      </c>
      <c r="C581" s="1" t="n">
        <v>45574</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1544-2021</t>
        </is>
      </c>
      <c r="B582" s="1" t="n">
        <v>44209</v>
      </c>
      <c r="C582" s="1" t="n">
        <v>45574</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2321-2021</t>
        </is>
      </c>
      <c r="B583" s="1" t="n">
        <v>44214</v>
      </c>
      <c r="C583" s="1" t="n">
        <v>45574</v>
      </c>
      <c r="D583" t="inlineStr">
        <is>
          <t>VÄRMLANDS LÄN</t>
        </is>
      </c>
      <c r="E583" t="inlineStr">
        <is>
          <t>TORSBY</t>
        </is>
      </c>
      <c r="G583" t="n">
        <v>4.8</v>
      </c>
      <c r="H583" t="n">
        <v>0</v>
      </c>
      <c r="I583" t="n">
        <v>0</v>
      </c>
      <c r="J583" t="n">
        <v>0</v>
      </c>
      <c r="K583" t="n">
        <v>0</v>
      </c>
      <c r="L583" t="n">
        <v>0</v>
      </c>
      <c r="M583" t="n">
        <v>0</v>
      </c>
      <c r="N583" t="n">
        <v>0</v>
      </c>
      <c r="O583" t="n">
        <v>0</v>
      </c>
      <c r="P583" t="n">
        <v>0</v>
      </c>
      <c r="Q583" t="n">
        <v>0</v>
      </c>
      <c r="R583" s="2" t="inlineStr"/>
    </row>
    <row r="584" ht="15" customHeight="1">
      <c r="A584" t="inlineStr">
        <is>
          <t>A 2576-2021</t>
        </is>
      </c>
      <c r="B584" s="1" t="n">
        <v>44214</v>
      </c>
      <c r="C584" s="1" t="n">
        <v>45574</v>
      </c>
      <c r="D584" t="inlineStr">
        <is>
          <t>VÄRMLANDS LÄN</t>
        </is>
      </c>
      <c r="E584" t="inlineStr">
        <is>
          <t>TORSBY</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2758-2021</t>
        </is>
      </c>
      <c r="B585" s="1" t="n">
        <v>44215</v>
      </c>
      <c r="C585" s="1" t="n">
        <v>45574</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3160-2021</t>
        </is>
      </c>
      <c r="B586" s="1" t="n">
        <v>44217</v>
      </c>
      <c r="C586" s="1" t="n">
        <v>45574</v>
      </c>
      <c r="D586" t="inlineStr">
        <is>
          <t>VÄRMLANDS LÄN</t>
        </is>
      </c>
      <c r="E586" t="inlineStr">
        <is>
          <t>TORSBY</t>
        </is>
      </c>
      <c r="G586" t="n">
        <v>4.4</v>
      </c>
      <c r="H586" t="n">
        <v>0</v>
      </c>
      <c r="I586" t="n">
        <v>0</v>
      </c>
      <c r="J586" t="n">
        <v>0</v>
      </c>
      <c r="K586" t="n">
        <v>0</v>
      </c>
      <c r="L586" t="n">
        <v>0</v>
      </c>
      <c r="M586" t="n">
        <v>0</v>
      </c>
      <c r="N586" t="n">
        <v>0</v>
      </c>
      <c r="O586" t="n">
        <v>0</v>
      </c>
      <c r="P586" t="n">
        <v>0</v>
      </c>
      <c r="Q586" t="n">
        <v>0</v>
      </c>
      <c r="R586" s="2" t="inlineStr"/>
    </row>
    <row r="587" ht="15" customHeight="1">
      <c r="A587" t="inlineStr">
        <is>
          <t>A 3336-2021</t>
        </is>
      </c>
      <c r="B587" s="1" t="n">
        <v>44217</v>
      </c>
      <c r="C587" s="1" t="n">
        <v>45574</v>
      </c>
      <c r="D587" t="inlineStr">
        <is>
          <t>VÄRMLANDS LÄN</t>
        </is>
      </c>
      <c r="E587" t="inlineStr">
        <is>
          <t>TORSBY</t>
        </is>
      </c>
      <c r="G587" t="n">
        <v>3.7</v>
      </c>
      <c r="H587" t="n">
        <v>0</v>
      </c>
      <c r="I587" t="n">
        <v>0</v>
      </c>
      <c r="J587" t="n">
        <v>0</v>
      </c>
      <c r="K587" t="n">
        <v>0</v>
      </c>
      <c r="L587" t="n">
        <v>0</v>
      </c>
      <c r="M587" t="n">
        <v>0</v>
      </c>
      <c r="N587" t="n">
        <v>0</v>
      </c>
      <c r="O587" t="n">
        <v>0</v>
      </c>
      <c r="P587" t="n">
        <v>0</v>
      </c>
      <c r="Q587" t="n">
        <v>0</v>
      </c>
      <c r="R587" s="2" t="inlineStr"/>
    </row>
    <row r="588" ht="15" customHeight="1">
      <c r="A588" t="inlineStr">
        <is>
          <t>A 4392-2021</t>
        </is>
      </c>
      <c r="B588" s="1" t="n">
        <v>44223</v>
      </c>
      <c r="C588" s="1" t="n">
        <v>45574</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4558-2021</t>
        </is>
      </c>
      <c r="B589" s="1" t="n">
        <v>44223</v>
      </c>
      <c r="C589" s="1" t="n">
        <v>45574</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4393-2021</t>
        </is>
      </c>
      <c r="B590" s="1" t="n">
        <v>44223</v>
      </c>
      <c r="C590" s="1" t="n">
        <v>45574</v>
      </c>
      <c r="D590" t="inlineStr">
        <is>
          <t>VÄRMLANDS LÄN</t>
        </is>
      </c>
      <c r="E590" t="inlineStr">
        <is>
          <t>TORSBY</t>
        </is>
      </c>
      <c r="G590" t="n">
        <v>2.8</v>
      </c>
      <c r="H590" t="n">
        <v>0</v>
      </c>
      <c r="I590" t="n">
        <v>0</v>
      </c>
      <c r="J590" t="n">
        <v>0</v>
      </c>
      <c r="K590" t="n">
        <v>0</v>
      </c>
      <c r="L590" t="n">
        <v>0</v>
      </c>
      <c r="M590" t="n">
        <v>0</v>
      </c>
      <c r="N590" t="n">
        <v>0</v>
      </c>
      <c r="O590" t="n">
        <v>0</v>
      </c>
      <c r="P590" t="n">
        <v>0</v>
      </c>
      <c r="Q590" t="n">
        <v>0</v>
      </c>
      <c r="R590" s="2" t="inlineStr"/>
    </row>
    <row r="591" ht="15" customHeight="1">
      <c r="A591" t="inlineStr">
        <is>
          <t>A 4564-2021</t>
        </is>
      </c>
      <c r="B591" s="1" t="n">
        <v>44223</v>
      </c>
      <c r="C591" s="1" t="n">
        <v>45574</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4479-2021</t>
        </is>
      </c>
      <c r="B592" s="1" t="n">
        <v>44224</v>
      </c>
      <c r="C592" s="1" t="n">
        <v>45574</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4711-2021</t>
        </is>
      </c>
      <c r="B593" s="1" t="n">
        <v>44225</v>
      </c>
      <c r="C593" s="1" t="n">
        <v>45574</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5050-2021</t>
        </is>
      </c>
      <c r="B594" s="1" t="n">
        <v>44228</v>
      </c>
      <c r="C594" s="1" t="n">
        <v>45574</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5105-2021</t>
        </is>
      </c>
      <c r="B595" s="1" t="n">
        <v>44228</v>
      </c>
      <c r="C595" s="1" t="n">
        <v>45574</v>
      </c>
      <c r="D595" t="inlineStr">
        <is>
          <t>VÄRMLANDS LÄN</t>
        </is>
      </c>
      <c r="E595" t="inlineStr">
        <is>
          <t>TORSBY</t>
        </is>
      </c>
      <c r="G595" t="n">
        <v>5.6</v>
      </c>
      <c r="H595" t="n">
        <v>0</v>
      </c>
      <c r="I595" t="n">
        <v>0</v>
      </c>
      <c r="J595" t="n">
        <v>0</v>
      </c>
      <c r="K595" t="n">
        <v>0</v>
      </c>
      <c r="L595" t="n">
        <v>0</v>
      </c>
      <c r="M595" t="n">
        <v>0</v>
      </c>
      <c r="N595" t="n">
        <v>0</v>
      </c>
      <c r="O595" t="n">
        <v>0</v>
      </c>
      <c r="P595" t="n">
        <v>0</v>
      </c>
      <c r="Q595" t="n">
        <v>0</v>
      </c>
      <c r="R595" s="2" t="inlineStr"/>
    </row>
    <row r="596" ht="15" customHeight="1">
      <c r="A596" t="inlineStr">
        <is>
          <t>A 5365-2021</t>
        </is>
      </c>
      <c r="B596" s="1" t="n">
        <v>44229</v>
      </c>
      <c r="C596" s="1" t="n">
        <v>45574</v>
      </c>
      <c r="D596" t="inlineStr">
        <is>
          <t>VÄRMLANDS LÄN</t>
        </is>
      </c>
      <c r="E596" t="inlineStr">
        <is>
          <t>TORSBY</t>
        </is>
      </c>
      <c r="G596" t="n">
        <v>8.1</v>
      </c>
      <c r="H596" t="n">
        <v>0</v>
      </c>
      <c r="I596" t="n">
        <v>0</v>
      </c>
      <c r="J596" t="n">
        <v>0</v>
      </c>
      <c r="K596" t="n">
        <v>0</v>
      </c>
      <c r="L596" t="n">
        <v>0</v>
      </c>
      <c r="M596" t="n">
        <v>0</v>
      </c>
      <c r="N596" t="n">
        <v>0</v>
      </c>
      <c r="O596" t="n">
        <v>0</v>
      </c>
      <c r="P596" t="n">
        <v>0</v>
      </c>
      <c r="Q596" t="n">
        <v>0</v>
      </c>
      <c r="R596" s="2" t="inlineStr"/>
    </row>
    <row r="597" ht="15" customHeight="1">
      <c r="A597" t="inlineStr">
        <is>
          <t>A 5572-2021</t>
        </is>
      </c>
      <c r="B597" s="1" t="n">
        <v>44230</v>
      </c>
      <c r="C597" s="1" t="n">
        <v>45574</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5839-2021</t>
        </is>
      </c>
      <c r="B598" s="1" t="n">
        <v>44231</v>
      </c>
      <c r="C598" s="1" t="n">
        <v>45574</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6063-2021</t>
        </is>
      </c>
      <c r="B599" s="1" t="n">
        <v>44232</v>
      </c>
      <c r="C599" s="1" t="n">
        <v>45574</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6111-2021</t>
        </is>
      </c>
      <c r="B600" s="1" t="n">
        <v>44232</v>
      </c>
      <c r="C600" s="1" t="n">
        <v>45574</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6121-2021</t>
        </is>
      </c>
      <c r="B601" s="1" t="n">
        <v>44232</v>
      </c>
      <c r="C601" s="1" t="n">
        <v>45574</v>
      </c>
      <c r="D601" t="inlineStr">
        <is>
          <t>VÄRMLANDS LÄN</t>
        </is>
      </c>
      <c r="E601" t="inlineStr">
        <is>
          <t>TORSBY</t>
        </is>
      </c>
      <c r="G601" t="n">
        <v>2.9</v>
      </c>
      <c r="H601" t="n">
        <v>0</v>
      </c>
      <c r="I601" t="n">
        <v>0</v>
      </c>
      <c r="J601" t="n">
        <v>0</v>
      </c>
      <c r="K601" t="n">
        <v>0</v>
      </c>
      <c r="L601" t="n">
        <v>0</v>
      </c>
      <c r="M601" t="n">
        <v>0</v>
      </c>
      <c r="N601" t="n">
        <v>0</v>
      </c>
      <c r="O601" t="n">
        <v>0</v>
      </c>
      <c r="P601" t="n">
        <v>0</v>
      </c>
      <c r="Q601" t="n">
        <v>0</v>
      </c>
      <c r="R601" s="2" t="inlineStr"/>
    </row>
    <row r="602" ht="15" customHeight="1">
      <c r="A602" t="inlineStr">
        <is>
          <t>A 6068-2021</t>
        </is>
      </c>
      <c r="B602" s="1" t="n">
        <v>44232</v>
      </c>
      <c r="C602" s="1" t="n">
        <v>45574</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6102-2021</t>
        </is>
      </c>
      <c r="B603" s="1" t="n">
        <v>44232</v>
      </c>
      <c r="C603" s="1" t="n">
        <v>45574</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6656-2021</t>
        </is>
      </c>
      <c r="B604" s="1" t="n">
        <v>44236</v>
      </c>
      <c r="C604" s="1" t="n">
        <v>45574</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7661-2021</t>
        </is>
      </c>
      <c r="B605" s="1" t="n">
        <v>44242</v>
      </c>
      <c r="C605" s="1" t="n">
        <v>45574</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8034-2021</t>
        </is>
      </c>
      <c r="B606" s="1" t="n">
        <v>44243</v>
      </c>
      <c r="C606" s="1" t="n">
        <v>45574</v>
      </c>
      <c r="D606" t="inlineStr">
        <is>
          <t>VÄRMLANDS LÄN</t>
        </is>
      </c>
      <c r="E606" t="inlineStr">
        <is>
          <t>TORSBY</t>
        </is>
      </c>
      <c r="G606" t="n">
        <v>15.4</v>
      </c>
      <c r="H606" t="n">
        <v>0</v>
      </c>
      <c r="I606" t="n">
        <v>0</v>
      </c>
      <c r="J606" t="n">
        <v>0</v>
      </c>
      <c r="K606" t="n">
        <v>0</v>
      </c>
      <c r="L606" t="n">
        <v>0</v>
      </c>
      <c r="M606" t="n">
        <v>0</v>
      </c>
      <c r="N606" t="n">
        <v>0</v>
      </c>
      <c r="O606" t="n">
        <v>0</v>
      </c>
      <c r="P606" t="n">
        <v>0</v>
      </c>
      <c r="Q606" t="n">
        <v>0</v>
      </c>
      <c r="R606" s="2" t="inlineStr"/>
    </row>
    <row r="607" ht="15" customHeight="1">
      <c r="A607" t="inlineStr">
        <is>
          <t>A 7898-2021</t>
        </is>
      </c>
      <c r="B607" s="1" t="n">
        <v>44243</v>
      </c>
      <c r="C607" s="1" t="n">
        <v>45574</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8910-2021</t>
        </is>
      </c>
      <c r="B608" s="1" t="n">
        <v>44246</v>
      </c>
      <c r="C608" s="1" t="n">
        <v>45574</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9775-2021</t>
        </is>
      </c>
      <c r="B609" s="1" t="n">
        <v>44252</v>
      </c>
      <c r="C609" s="1" t="n">
        <v>45574</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10133-2021</t>
        </is>
      </c>
      <c r="B610" s="1" t="n">
        <v>44256</v>
      </c>
      <c r="C610" s="1" t="n">
        <v>45574</v>
      </c>
      <c r="D610" t="inlineStr">
        <is>
          <t>VÄRMLANDS LÄN</t>
        </is>
      </c>
      <c r="E610" t="inlineStr">
        <is>
          <t>TORSBY</t>
        </is>
      </c>
      <c r="G610" t="n">
        <v>5</v>
      </c>
      <c r="H610" t="n">
        <v>0</v>
      </c>
      <c r="I610" t="n">
        <v>0</v>
      </c>
      <c r="J610" t="n">
        <v>0</v>
      </c>
      <c r="K610" t="n">
        <v>0</v>
      </c>
      <c r="L610" t="n">
        <v>0</v>
      </c>
      <c r="M610" t="n">
        <v>0</v>
      </c>
      <c r="N610" t="n">
        <v>0</v>
      </c>
      <c r="O610" t="n">
        <v>0</v>
      </c>
      <c r="P610" t="n">
        <v>0</v>
      </c>
      <c r="Q610" t="n">
        <v>0</v>
      </c>
      <c r="R610" s="2" t="inlineStr"/>
    </row>
    <row r="611" ht="15" customHeight="1">
      <c r="A611" t="inlineStr">
        <is>
          <t>A 10118-2021</t>
        </is>
      </c>
      <c r="B611" s="1" t="n">
        <v>44256</v>
      </c>
      <c r="C611" s="1" t="n">
        <v>45574</v>
      </c>
      <c r="D611" t="inlineStr">
        <is>
          <t>VÄRMLANDS LÄN</t>
        </is>
      </c>
      <c r="E611" t="inlineStr">
        <is>
          <t>TORSBY</t>
        </is>
      </c>
      <c r="G611" t="n">
        <v>12.5</v>
      </c>
      <c r="H611" t="n">
        <v>0</v>
      </c>
      <c r="I611" t="n">
        <v>0</v>
      </c>
      <c r="J611" t="n">
        <v>0</v>
      </c>
      <c r="K611" t="n">
        <v>0</v>
      </c>
      <c r="L611" t="n">
        <v>0</v>
      </c>
      <c r="M611" t="n">
        <v>0</v>
      </c>
      <c r="N611" t="n">
        <v>0</v>
      </c>
      <c r="O611" t="n">
        <v>0</v>
      </c>
      <c r="P611" t="n">
        <v>0</v>
      </c>
      <c r="Q611" t="n">
        <v>0</v>
      </c>
      <c r="R611" s="2" t="inlineStr"/>
    </row>
    <row r="612" ht="15" customHeight="1">
      <c r="A612" t="inlineStr">
        <is>
          <t>A 10579-2021</t>
        </is>
      </c>
      <c r="B612" s="1" t="n">
        <v>44257</v>
      </c>
      <c r="C612" s="1" t="n">
        <v>45574</v>
      </c>
      <c r="D612" t="inlineStr">
        <is>
          <t>VÄRMLANDS LÄN</t>
        </is>
      </c>
      <c r="E612" t="inlineStr">
        <is>
          <t>TORSBY</t>
        </is>
      </c>
      <c r="G612" t="n">
        <v>1.2</v>
      </c>
      <c r="H612" t="n">
        <v>0</v>
      </c>
      <c r="I612" t="n">
        <v>0</v>
      </c>
      <c r="J612" t="n">
        <v>0</v>
      </c>
      <c r="K612" t="n">
        <v>0</v>
      </c>
      <c r="L612" t="n">
        <v>0</v>
      </c>
      <c r="M612" t="n">
        <v>0</v>
      </c>
      <c r="N612" t="n">
        <v>0</v>
      </c>
      <c r="O612" t="n">
        <v>0</v>
      </c>
      <c r="P612" t="n">
        <v>0</v>
      </c>
      <c r="Q612" t="n">
        <v>0</v>
      </c>
      <c r="R612" s="2" t="inlineStr"/>
    </row>
    <row r="613" ht="15" customHeight="1">
      <c r="A613" t="inlineStr">
        <is>
          <t>A 10778-2021</t>
        </is>
      </c>
      <c r="B613" s="1" t="n">
        <v>44259</v>
      </c>
      <c r="C613" s="1" t="n">
        <v>45574</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11695-2021</t>
        </is>
      </c>
      <c r="B614" s="1" t="n">
        <v>44264</v>
      </c>
      <c r="C614" s="1" t="n">
        <v>45574</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11947-2021</t>
        </is>
      </c>
      <c r="B615" s="1" t="n">
        <v>44265</v>
      </c>
      <c r="C615" s="1" t="n">
        <v>45574</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13013-2021</t>
        </is>
      </c>
      <c r="B616" s="1" t="n">
        <v>44271</v>
      </c>
      <c r="C616" s="1" t="n">
        <v>45574</v>
      </c>
      <c r="D616" t="inlineStr">
        <is>
          <t>VÄRMLANDS LÄN</t>
        </is>
      </c>
      <c r="E616" t="inlineStr">
        <is>
          <t>TORSBY</t>
        </is>
      </c>
      <c r="G616" t="n">
        <v>7.7</v>
      </c>
      <c r="H616" t="n">
        <v>0</v>
      </c>
      <c r="I616" t="n">
        <v>0</v>
      </c>
      <c r="J616" t="n">
        <v>0</v>
      </c>
      <c r="K616" t="n">
        <v>0</v>
      </c>
      <c r="L616" t="n">
        <v>0</v>
      </c>
      <c r="M616" t="n">
        <v>0</v>
      </c>
      <c r="N616" t="n">
        <v>0</v>
      </c>
      <c r="O616" t="n">
        <v>0</v>
      </c>
      <c r="P616" t="n">
        <v>0</v>
      </c>
      <c r="Q616" t="n">
        <v>0</v>
      </c>
      <c r="R616" s="2" t="inlineStr"/>
    </row>
    <row r="617" ht="15" customHeight="1">
      <c r="A617" t="inlineStr">
        <is>
          <t>A 14942-2021</t>
        </is>
      </c>
      <c r="B617" s="1" t="n">
        <v>44281</v>
      </c>
      <c r="C617" s="1" t="n">
        <v>45574</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15279-2021</t>
        </is>
      </c>
      <c r="B618" s="1" t="n">
        <v>44284</v>
      </c>
      <c r="C618" s="1" t="n">
        <v>45574</v>
      </c>
      <c r="D618" t="inlineStr">
        <is>
          <t>VÄRMLANDS LÄN</t>
        </is>
      </c>
      <c r="E618" t="inlineStr">
        <is>
          <t>TORSBY</t>
        </is>
      </c>
      <c r="G618" t="n">
        <v>3.9</v>
      </c>
      <c r="H618" t="n">
        <v>0</v>
      </c>
      <c r="I618" t="n">
        <v>0</v>
      </c>
      <c r="J618" t="n">
        <v>0</v>
      </c>
      <c r="K618" t="n">
        <v>0</v>
      </c>
      <c r="L618" t="n">
        <v>0</v>
      </c>
      <c r="M618" t="n">
        <v>0</v>
      </c>
      <c r="N618" t="n">
        <v>0</v>
      </c>
      <c r="O618" t="n">
        <v>0</v>
      </c>
      <c r="P618" t="n">
        <v>0</v>
      </c>
      <c r="Q618" t="n">
        <v>0</v>
      </c>
      <c r="R618" s="2" t="inlineStr"/>
    </row>
    <row r="619" ht="15" customHeight="1">
      <c r="A619" t="inlineStr">
        <is>
          <t>A 16191-2021</t>
        </is>
      </c>
      <c r="B619" s="1" t="n">
        <v>44285</v>
      </c>
      <c r="C619" s="1" t="n">
        <v>45574</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15854-2021</t>
        </is>
      </c>
      <c r="B620" s="1" t="n">
        <v>44286</v>
      </c>
      <c r="C620" s="1" t="n">
        <v>45574</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15853-2021</t>
        </is>
      </c>
      <c r="B621" s="1" t="n">
        <v>44286</v>
      </c>
      <c r="C621" s="1" t="n">
        <v>45574</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15945-2021</t>
        </is>
      </c>
      <c r="B622" s="1" t="n">
        <v>44287</v>
      </c>
      <c r="C622" s="1" t="n">
        <v>45574</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15939-2021</t>
        </is>
      </c>
      <c r="B623" s="1" t="n">
        <v>44287</v>
      </c>
      <c r="C623" s="1" t="n">
        <v>45574</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16303-2021</t>
        </is>
      </c>
      <c r="B624" s="1" t="n">
        <v>44292</v>
      </c>
      <c r="C624" s="1" t="n">
        <v>45574</v>
      </c>
      <c r="D624" t="inlineStr">
        <is>
          <t>VÄRMLANDS LÄN</t>
        </is>
      </c>
      <c r="E624" t="inlineStr">
        <is>
          <t>TORSBY</t>
        </is>
      </c>
      <c r="G624" t="n">
        <v>3.5</v>
      </c>
      <c r="H624" t="n">
        <v>0</v>
      </c>
      <c r="I624" t="n">
        <v>0</v>
      </c>
      <c r="J624" t="n">
        <v>0</v>
      </c>
      <c r="K624" t="n">
        <v>0</v>
      </c>
      <c r="L624" t="n">
        <v>0</v>
      </c>
      <c r="M624" t="n">
        <v>0</v>
      </c>
      <c r="N624" t="n">
        <v>0</v>
      </c>
      <c r="O624" t="n">
        <v>0</v>
      </c>
      <c r="P624" t="n">
        <v>0</v>
      </c>
      <c r="Q624" t="n">
        <v>0</v>
      </c>
      <c r="R624" s="2" t="inlineStr"/>
    </row>
    <row r="625" ht="15" customHeight="1">
      <c r="A625" t="inlineStr">
        <is>
          <t>A 16299-2021</t>
        </is>
      </c>
      <c r="B625" s="1" t="n">
        <v>44292</v>
      </c>
      <c r="C625" s="1" t="n">
        <v>45574</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16375-2021</t>
        </is>
      </c>
      <c r="B626" s="1" t="n">
        <v>44292</v>
      </c>
      <c r="C626" s="1" t="n">
        <v>45574</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17249-2021</t>
        </is>
      </c>
      <c r="B627" s="1" t="n">
        <v>44298</v>
      </c>
      <c r="C627" s="1" t="n">
        <v>45574</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17941-2021</t>
        </is>
      </c>
      <c r="B628" s="1" t="n">
        <v>44301</v>
      </c>
      <c r="C628" s="1" t="n">
        <v>45574</v>
      </c>
      <c r="D628" t="inlineStr">
        <is>
          <t>VÄRMLANDS LÄN</t>
        </is>
      </c>
      <c r="E628" t="inlineStr">
        <is>
          <t>TORSBY</t>
        </is>
      </c>
      <c r="F628" t="inlineStr">
        <is>
          <t>Kommuner</t>
        </is>
      </c>
      <c r="G628" t="n">
        <v>8</v>
      </c>
      <c r="H628" t="n">
        <v>0</v>
      </c>
      <c r="I628" t="n">
        <v>0</v>
      </c>
      <c r="J628" t="n">
        <v>0</v>
      </c>
      <c r="K628" t="n">
        <v>0</v>
      </c>
      <c r="L628" t="n">
        <v>0</v>
      </c>
      <c r="M628" t="n">
        <v>0</v>
      </c>
      <c r="N628" t="n">
        <v>0</v>
      </c>
      <c r="O628" t="n">
        <v>0</v>
      </c>
      <c r="P628" t="n">
        <v>0</v>
      </c>
      <c r="Q628" t="n">
        <v>0</v>
      </c>
      <c r="R628" s="2" t="inlineStr"/>
    </row>
    <row r="629" ht="15" customHeight="1">
      <c r="A629" t="inlineStr">
        <is>
          <t>A 17962-2021</t>
        </is>
      </c>
      <c r="B629" s="1" t="n">
        <v>44301</v>
      </c>
      <c r="C629" s="1" t="n">
        <v>45574</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17944-2021</t>
        </is>
      </c>
      <c r="B630" s="1" t="n">
        <v>44301</v>
      </c>
      <c r="C630" s="1" t="n">
        <v>45574</v>
      </c>
      <c r="D630" t="inlineStr">
        <is>
          <t>VÄRMLANDS LÄN</t>
        </is>
      </c>
      <c r="E630" t="inlineStr">
        <is>
          <t>TORSBY</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23524-2021</t>
        </is>
      </c>
      <c r="B631" s="1" t="n">
        <v>44301</v>
      </c>
      <c r="C631" s="1" t="n">
        <v>45574</v>
      </c>
      <c r="D631" t="inlineStr">
        <is>
          <t>VÄRMLANDS LÄN</t>
        </is>
      </c>
      <c r="E631" t="inlineStr">
        <is>
          <t>TORSBY</t>
        </is>
      </c>
      <c r="G631" t="n">
        <v>0.5</v>
      </c>
      <c r="H631" t="n">
        <v>0</v>
      </c>
      <c r="I631" t="n">
        <v>0</v>
      </c>
      <c r="J631" t="n">
        <v>0</v>
      </c>
      <c r="K631" t="n">
        <v>0</v>
      </c>
      <c r="L631" t="n">
        <v>0</v>
      </c>
      <c r="M631" t="n">
        <v>0</v>
      </c>
      <c r="N631" t="n">
        <v>0</v>
      </c>
      <c r="O631" t="n">
        <v>0</v>
      </c>
      <c r="P631" t="n">
        <v>0</v>
      </c>
      <c r="Q631" t="n">
        <v>0</v>
      </c>
      <c r="R631" s="2" t="inlineStr"/>
    </row>
    <row r="632" ht="15" customHeight="1">
      <c r="A632" t="inlineStr">
        <is>
          <t>A 18174-2021</t>
        </is>
      </c>
      <c r="B632" s="1" t="n">
        <v>44302</v>
      </c>
      <c r="C632" s="1" t="n">
        <v>45574</v>
      </c>
      <c r="D632" t="inlineStr">
        <is>
          <t>VÄRMLANDS LÄN</t>
        </is>
      </c>
      <c r="E632" t="inlineStr">
        <is>
          <t>TORSBY</t>
        </is>
      </c>
      <c r="G632" t="n">
        <v>4.5</v>
      </c>
      <c r="H632" t="n">
        <v>0</v>
      </c>
      <c r="I632" t="n">
        <v>0</v>
      </c>
      <c r="J632" t="n">
        <v>0</v>
      </c>
      <c r="K632" t="n">
        <v>0</v>
      </c>
      <c r="L632" t="n">
        <v>0</v>
      </c>
      <c r="M632" t="n">
        <v>0</v>
      </c>
      <c r="N632" t="n">
        <v>0</v>
      </c>
      <c r="O632" t="n">
        <v>0</v>
      </c>
      <c r="P632" t="n">
        <v>0</v>
      </c>
      <c r="Q632" t="n">
        <v>0</v>
      </c>
      <c r="R632" s="2" t="inlineStr"/>
    </row>
    <row r="633" ht="15" customHeight="1">
      <c r="A633" t="inlineStr">
        <is>
          <t>A 18033-2021</t>
        </is>
      </c>
      <c r="B633" s="1" t="n">
        <v>44302</v>
      </c>
      <c r="C633" s="1" t="n">
        <v>45574</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18354-2021</t>
        </is>
      </c>
      <c r="B634" s="1" t="n">
        <v>44305</v>
      </c>
      <c r="C634" s="1" t="n">
        <v>45574</v>
      </c>
      <c r="D634" t="inlineStr">
        <is>
          <t>VÄRMLANDS LÄN</t>
        </is>
      </c>
      <c r="E634" t="inlineStr">
        <is>
          <t>TORSBY</t>
        </is>
      </c>
      <c r="F634" t="inlineStr">
        <is>
          <t>Kommuner</t>
        </is>
      </c>
      <c r="G634" t="n">
        <v>2.4</v>
      </c>
      <c r="H634" t="n">
        <v>0</v>
      </c>
      <c r="I634" t="n">
        <v>0</v>
      </c>
      <c r="J634" t="n">
        <v>0</v>
      </c>
      <c r="K634" t="n">
        <v>0</v>
      </c>
      <c r="L634" t="n">
        <v>0</v>
      </c>
      <c r="M634" t="n">
        <v>0</v>
      </c>
      <c r="N634" t="n">
        <v>0</v>
      </c>
      <c r="O634" t="n">
        <v>0</v>
      </c>
      <c r="P634" t="n">
        <v>0</v>
      </c>
      <c r="Q634" t="n">
        <v>0</v>
      </c>
      <c r="R634" s="2" t="inlineStr"/>
    </row>
    <row r="635" ht="15" customHeight="1">
      <c r="A635" t="inlineStr">
        <is>
          <t>A 18344-2021</t>
        </is>
      </c>
      <c r="B635" s="1" t="n">
        <v>44305</v>
      </c>
      <c r="C635" s="1" t="n">
        <v>45574</v>
      </c>
      <c r="D635" t="inlineStr">
        <is>
          <t>VÄRMLANDS LÄN</t>
        </is>
      </c>
      <c r="E635" t="inlineStr">
        <is>
          <t>TORSBY</t>
        </is>
      </c>
      <c r="F635" t="inlineStr">
        <is>
          <t>Kommuner</t>
        </is>
      </c>
      <c r="G635" t="n">
        <v>4.3</v>
      </c>
      <c r="H635" t="n">
        <v>0</v>
      </c>
      <c r="I635" t="n">
        <v>0</v>
      </c>
      <c r="J635" t="n">
        <v>0</v>
      </c>
      <c r="K635" t="n">
        <v>0</v>
      </c>
      <c r="L635" t="n">
        <v>0</v>
      </c>
      <c r="M635" t="n">
        <v>0</v>
      </c>
      <c r="N635" t="n">
        <v>0</v>
      </c>
      <c r="O635" t="n">
        <v>0</v>
      </c>
      <c r="P635" t="n">
        <v>0</v>
      </c>
      <c r="Q635" t="n">
        <v>0</v>
      </c>
      <c r="R635" s="2" t="inlineStr"/>
    </row>
    <row r="636" ht="15" customHeight="1">
      <c r="A636" t="inlineStr">
        <is>
          <t>A 18349-2021</t>
        </is>
      </c>
      <c r="B636" s="1" t="n">
        <v>44305</v>
      </c>
      <c r="C636" s="1" t="n">
        <v>45574</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18560-2021</t>
        </is>
      </c>
      <c r="B637" s="1" t="n">
        <v>44306</v>
      </c>
      <c r="C637" s="1" t="n">
        <v>45574</v>
      </c>
      <c r="D637" t="inlineStr">
        <is>
          <t>VÄRMLANDS LÄN</t>
        </is>
      </c>
      <c r="E637" t="inlineStr">
        <is>
          <t>TORSBY</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19031-2021</t>
        </is>
      </c>
      <c r="B638" s="1" t="n">
        <v>44308</v>
      </c>
      <c r="C638" s="1" t="n">
        <v>45574</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19338-2021</t>
        </is>
      </c>
      <c r="B639" s="1" t="n">
        <v>44309</v>
      </c>
      <c r="C639" s="1" t="n">
        <v>45574</v>
      </c>
      <c r="D639" t="inlineStr">
        <is>
          <t>VÄRMLANDS LÄN</t>
        </is>
      </c>
      <c r="E639" t="inlineStr">
        <is>
          <t>TORSBY</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19375-2021</t>
        </is>
      </c>
      <c r="B640" s="1" t="n">
        <v>44309</v>
      </c>
      <c r="C640" s="1" t="n">
        <v>45574</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20182-2021</t>
        </is>
      </c>
      <c r="B641" s="1" t="n">
        <v>44312</v>
      </c>
      <c r="C641" s="1" t="n">
        <v>45574</v>
      </c>
      <c r="D641" t="inlineStr">
        <is>
          <t>VÄRMLANDS LÄN</t>
        </is>
      </c>
      <c r="E641" t="inlineStr">
        <is>
          <t>TORSBY</t>
        </is>
      </c>
      <c r="G641" t="n">
        <v>14.4</v>
      </c>
      <c r="H641" t="n">
        <v>0</v>
      </c>
      <c r="I641" t="n">
        <v>0</v>
      </c>
      <c r="J641" t="n">
        <v>0</v>
      </c>
      <c r="K641" t="n">
        <v>0</v>
      </c>
      <c r="L641" t="n">
        <v>0</v>
      </c>
      <c r="M641" t="n">
        <v>0</v>
      </c>
      <c r="N641" t="n">
        <v>0</v>
      </c>
      <c r="O641" t="n">
        <v>0</v>
      </c>
      <c r="P641" t="n">
        <v>0</v>
      </c>
      <c r="Q641" t="n">
        <v>0</v>
      </c>
      <c r="R641" s="2" t="inlineStr"/>
    </row>
    <row r="642" ht="15" customHeight="1">
      <c r="A642" t="inlineStr">
        <is>
          <t>A 20199-2021</t>
        </is>
      </c>
      <c r="B642" s="1" t="n">
        <v>44312</v>
      </c>
      <c r="C642" s="1" t="n">
        <v>45574</v>
      </c>
      <c r="D642" t="inlineStr">
        <is>
          <t>VÄRMLANDS LÄN</t>
        </is>
      </c>
      <c r="E642" t="inlineStr">
        <is>
          <t>TORSBY</t>
        </is>
      </c>
      <c r="G642" t="n">
        <v>11.4</v>
      </c>
      <c r="H642" t="n">
        <v>0</v>
      </c>
      <c r="I642" t="n">
        <v>0</v>
      </c>
      <c r="J642" t="n">
        <v>0</v>
      </c>
      <c r="K642" t="n">
        <v>0</v>
      </c>
      <c r="L642" t="n">
        <v>0</v>
      </c>
      <c r="M642" t="n">
        <v>0</v>
      </c>
      <c r="N642" t="n">
        <v>0</v>
      </c>
      <c r="O642" t="n">
        <v>0</v>
      </c>
      <c r="P642" t="n">
        <v>0</v>
      </c>
      <c r="Q642" t="n">
        <v>0</v>
      </c>
      <c r="R642" s="2" t="inlineStr"/>
    </row>
    <row r="643" ht="15" customHeight="1">
      <c r="A643" t="inlineStr">
        <is>
          <t>A 20170-2021</t>
        </is>
      </c>
      <c r="B643" s="1" t="n">
        <v>44312</v>
      </c>
      <c r="C643" s="1" t="n">
        <v>45574</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19877-2021</t>
        </is>
      </c>
      <c r="B644" s="1" t="n">
        <v>44313</v>
      </c>
      <c r="C644" s="1" t="n">
        <v>45574</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19974-2021</t>
        </is>
      </c>
      <c r="B645" s="1" t="n">
        <v>44313</v>
      </c>
      <c r="C645" s="1" t="n">
        <v>45574</v>
      </c>
      <c r="D645" t="inlineStr">
        <is>
          <t>VÄRMLANDS LÄN</t>
        </is>
      </c>
      <c r="E645" t="inlineStr">
        <is>
          <t>TORSBY</t>
        </is>
      </c>
      <c r="G645" t="n">
        <v>0.4</v>
      </c>
      <c r="H645" t="n">
        <v>0</v>
      </c>
      <c r="I645" t="n">
        <v>0</v>
      </c>
      <c r="J645" t="n">
        <v>0</v>
      </c>
      <c r="K645" t="n">
        <v>0</v>
      </c>
      <c r="L645" t="n">
        <v>0</v>
      </c>
      <c r="M645" t="n">
        <v>0</v>
      </c>
      <c r="N645" t="n">
        <v>0</v>
      </c>
      <c r="O645" t="n">
        <v>0</v>
      </c>
      <c r="P645" t="n">
        <v>0</v>
      </c>
      <c r="Q645" t="n">
        <v>0</v>
      </c>
      <c r="R645" s="2" t="inlineStr"/>
    </row>
    <row r="646" ht="15" customHeight="1">
      <c r="A646" t="inlineStr">
        <is>
          <t>A 20122-2021</t>
        </is>
      </c>
      <c r="B646" s="1" t="n">
        <v>44314</v>
      </c>
      <c r="C646" s="1" t="n">
        <v>45574</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20895-2021</t>
        </is>
      </c>
      <c r="B647" s="1" t="n">
        <v>44319</v>
      </c>
      <c r="C647" s="1" t="n">
        <v>45574</v>
      </c>
      <c r="D647" t="inlineStr">
        <is>
          <t>VÄRMLANDS LÄN</t>
        </is>
      </c>
      <c r="E647" t="inlineStr">
        <is>
          <t>TORSBY</t>
        </is>
      </c>
      <c r="G647" t="n">
        <v>16.6</v>
      </c>
      <c r="H647" t="n">
        <v>0</v>
      </c>
      <c r="I647" t="n">
        <v>0</v>
      </c>
      <c r="J647" t="n">
        <v>0</v>
      </c>
      <c r="K647" t="n">
        <v>0</v>
      </c>
      <c r="L647" t="n">
        <v>0</v>
      </c>
      <c r="M647" t="n">
        <v>0</v>
      </c>
      <c r="N647" t="n">
        <v>0</v>
      </c>
      <c r="O647" t="n">
        <v>0</v>
      </c>
      <c r="P647" t="n">
        <v>0</v>
      </c>
      <c r="Q647" t="n">
        <v>0</v>
      </c>
      <c r="R647" s="2" t="inlineStr"/>
    </row>
    <row r="648" ht="15" customHeight="1">
      <c r="A648" t="inlineStr">
        <is>
          <t>A 21031-2021</t>
        </is>
      </c>
      <c r="B648" s="1" t="n">
        <v>44319</v>
      </c>
      <c r="C648" s="1" t="n">
        <v>45574</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21206-2021</t>
        </is>
      </c>
      <c r="B649" s="1" t="n">
        <v>44320</v>
      </c>
      <c r="C649" s="1" t="n">
        <v>45574</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22038-2021</t>
        </is>
      </c>
      <c r="B650" s="1" t="n">
        <v>44323</v>
      </c>
      <c r="C650" s="1" t="n">
        <v>45574</v>
      </c>
      <c r="D650" t="inlineStr">
        <is>
          <t>VÄRMLANDS LÄN</t>
        </is>
      </c>
      <c r="E650" t="inlineStr">
        <is>
          <t>TORSBY</t>
        </is>
      </c>
      <c r="G650" t="n">
        <v>4</v>
      </c>
      <c r="H650" t="n">
        <v>0</v>
      </c>
      <c r="I650" t="n">
        <v>0</v>
      </c>
      <c r="J650" t="n">
        <v>0</v>
      </c>
      <c r="K650" t="n">
        <v>0</v>
      </c>
      <c r="L650" t="n">
        <v>0</v>
      </c>
      <c r="M650" t="n">
        <v>0</v>
      </c>
      <c r="N650" t="n">
        <v>0</v>
      </c>
      <c r="O650" t="n">
        <v>0</v>
      </c>
      <c r="P650" t="n">
        <v>0</v>
      </c>
      <c r="Q650" t="n">
        <v>0</v>
      </c>
      <c r="R650" s="2" t="inlineStr"/>
    </row>
    <row r="651" ht="15" customHeight="1">
      <c r="A651" t="inlineStr">
        <is>
          <t>A 22113-2021</t>
        </is>
      </c>
      <c r="B651" s="1" t="n">
        <v>44323</v>
      </c>
      <c r="C651" s="1" t="n">
        <v>45574</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22464-2021</t>
        </is>
      </c>
      <c r="B652" s="1" t="n">
        <v>44326</v>
      </c>
      <c r="C652" s="1" t="n">
        <v>45574</v>
      </c>
      <c r="D652" t="inlineStr">
        <is>
          <t>VÄRMLANDS LÄN</t>
        </is>
      </c>
      <c r="E652" t="inlineStr">
        <is>
          <t>TORSBY</t>
        </is>
      </c>
      <c r="G652" t="n">
        <v>6</v>
      </c>
      <c r="H652" t="n">
        <v>0</v>
      </c>
      <c r="I652" t="n">
        <v>0</v>
      </c>
      <c r="J652" t="n">
        <v>0</v>
      </c>
      <c r="K652" t="n">
        <v>0</v>
      </c>
      <c r="L652" t="n">
        <v>0</v>
      </c>
      <c r="M652" t="n">
        <v>0</v>
      </c>
      <c r="N652" t="n">
        <v>0</v>
      </c>
      <c r="O652" t="n">
        <v>0</v>
      </c>
      <c r="P652" t="n">
        <v>0</v>
      </c>
      <c r="Q652" t="n">
        <v>0</v>
      </c>
      <c r="R652" s="2" t="inlineStr"/>
    </row>
    <row r="653" ht="15" customHeight="1">
      <c r="A653" t="inlineStr">
        <is>
          <t>A 22463-2021</t>
        </is>
      </c>
      <c r="B653" s="1" t="n">
        <v>44326</v>
      </c>
      <c r="C653" s="1" t="n">
        <v>45574</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22671-2021</t>
        </is>
      </c>
      <c r="B654" s="1" t="n">
        <v>44327</v>
      </c>
      <c r="C654" s="1" t="n">
        <v>45574</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22638-2021</t>
        </is>
      </c>
      <c r="B655" s="1" t="n">
        <v>44327</v>
      </c>
      <c r="C655" s="1" t="n">
        <v>45574</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23191-2021</t>
        </is>
      </c>
      <c r="B656" s="1" t="n">
        <v>44328</v>
      </c>
      <c r="C656" s="1" t="n">
        <v>45574</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23194-2021</t>
        </is>
      </c>
      <c r="B657" s="1" t="n">
        <v>44328</v>
      </c>
      <c r="C657" s="1" t="n">
        <v>45574</v>
      </c>
      <c r="D657" t="inlineStr">
        <is>
          <t>VÄRMLANDS LÄN</t>
        </is>
      </c>
      <c r="E657" t="inlineStr">
        <is>
          <t>TORSBY</t>
        </is>
      </c>
      <c r="G657" t="n">
        <v>4.3</v>
      </c>
      <c r="H657" t="n">
        <v>0</v>
      </c>
      <c r="I657" t="n">
        <v>0</v>
      </c>
      <c r="J657" t="n">
        <v>0</v>
      </c>
      <c r="K657" t="n">
        <v>0</v>
      </c>
      <c r="L657" t="n">
        <v>0</v>
      </c>
      <c r="M657" t="n">
        <v>0</v>
      </c>
      <c r="N657" t="n">
        <v>0</v>
      </c>
      <c r="O657" t="n">
        <v>0</v>
      </c>
      <c r="P657" t="n">
        <v>0</v>
      </c>
      <c r="Q657" t="n">
        <v>0</v>
      </c>
      <c r="R657" s="2" t="inlineStr"/>
    </row>
    <row r="658" ht="15" customHeight="1">
      <c r="A658" t="inlineStr">
        <is>
          <t>A 23435-2021</t>
        </is>
      </c>
      <c r="B658" s="1" t="n">
        <v>44333</v>
      </c>
      <c r="C658" s="1" t="n">
        <v>45574</v>
      </c>
      <c r="D658" t="inlineStr">
        <is>
          <t>VÄRMLANDS LÄN</t>
        </is>
      </c>
      <c r="E658" t="inlineStr">
        <is>
          <t>TORSBY</t>
        </is>
      </c>
      <c r="G658" t="n">
        <v>4.9</v>
      </c>
      <c r="H658" t="n">
        <v>0</v>
      </c>
      <c r="I658" t="n">
        <v>0</v>
      </c>
      <c r="J658" t="n">
        <v>0</v>
      </c>
      <c r="K658" t="n">
        <v>0</v>
      </c>
      <c r="L658" t="n">
        <v>0</v>
      </c>
      <c r="M658" t="n">
        <v>0</v>
      </c>
      <c r="N658" t="n">
        <v>0</v>
      </c>
      <c r="O658" t="n">
        <v>0</v>
      </c>
      <c r="P658" t="n">
        <v>0</v>
      </c>
      <c r="Q658" t="n">
        <v>0</v>
      </c>
      <c r="R658" s="2" t="inlineStr"/>
    </row>
    <row r="659" ht="15" customHeight="1">
      <c r="A659" t="inlineStr">
        <is>
          <t>A 23548-2021</t>
        </is>
      </c>
      <c r="B659" s="1" t="n">
        <v>44333</v>
      </c>
      <c r="C659" s="1" t="n">
        <v>45574</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23842-2021</t>
        </is>
      </c>
      <c r="B660" s="1" t="n">
        <v>44335</v>
      </c>
      <c r="C660" s="1" t="n">
        <v>45574</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23823-2021</t>
        </is>
      </c>
      <c r="B661" s="1" t="n">
        <v>44335</v>
      </c>
      <c r="C661" s="1" t="n">
        <v>45574</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24054-2021</t>
        </is>
      </c>
      <c r="B662" s="1" t="n">
        <v>44336</v>
      </c>
      <c r="C662" s="1" t="n">
        <v>45574</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24150-2021</t>
        </is>
      </c>
      <c r="B663" s="1" t="n">
        <v>44336</v>
      </c>
      <c r="C663" s="1" t="n">
        <v>45574</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24165-2021</t>
        </is>
      </c>
      <c r="B664" s="1" t="n">
        <v>44336</v>
      </c>
      <c r="C664" s="1" t="n">
        <v>45574</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25096-2021</t>
        </is>
      </c>
      <c r="B665" s="1" t="n">
        <v>44341</v>
      </c>
      <c r="C665" s="1" t="n">
        <v>45574</v>
      </c>
      <c r="D665" t="inlineStr">
        <is>
          <t>VÄRMLANDS LÄN</t>
        </is>
      </c>
      <c r="E665" t="inlineStr">
        <is>
          <t>TORSBY</t>
        </is>
      </c>
      <c r="F665" t="inlineStr">
        <is>
          <t>Bergvik skog väst AB</t>
        </is>
      </c>
      <c r="G665" t="n">
        <v>14.7</v>
      </c>
      <c r="H665" t="n">
        <v>0</v>
      </c>
      <c r="I665" t="n">
        <v>0</v>
      </c>
      <c r="J665" t="n">
        <v>0</v>
      </c>
      <c r="K665" t="n">
        <v>0</v>
      </c>
      <c r="L665" t="n">
        <v>0</v>
      </c>
      <c r="M665" t="n">
        <v>0</v>
      </c>
      <c r="N665" t="n">
        <v>0</v>
      </c>
      <c r="O665" t="n">
        <v>0</v>
      </c>
      <c r="P665" t="n">
        <v>0</v>
      </c>
      <c r="Q665" t="n">
        <v>0</v>
      </c>
      <c r="R665" s="2" t="inlineStr"/>
    </row>
    <row r="666" ht="15" customHeight="1">
      <c r="A666" t="inlineStr">
        <is>
          <t>A 25247-2021</t>
        </is>
      </c>
      <c r="B666" s="1" t="n">
        <v>44342</v>
      </c>
      <c r="C666" s="1" t="n">
        <v>45574</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25920-2021</t>
        </is>
      </c>
      <c r="B667" s="1" t="n">
        <v>44344</v>
      </c>
      <c r="C667" s="1" t="n">
        <v>45574</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26082-2021</t>
        </is>
      </c>
      <c r="B668" s="1" t="n">
        <v>44344</v>
      </c>
      <c r="C668" s="1" t="n">
        <v>45574</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26223-2021</t>
        </is>
      </c>
      <c r="B669" s="1" t="n">
        <v>44347</v>
      </c>
      <c r="C669" s="1" t="n">
        <v>45574</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26558-2021</t>
        </is>
      </c>
      <c r="B670" s="1" t="n">
        <v>44348</v>
      </c>
      <c r="C670" s="1" t="n">
        <v>45574</v>
      </c>
      <c r="D670" t="inlineStr">
        <is>
          <t>VÄRMLANDS LÄN</t>
        </is>
      </c>
      <c r="E670" t="inlineStr">
        <is>
          <t>TORSBY</t>
        </is>
      </c>
      <c r="G670" t="n">
        <v>19.7</v>
      </c>
      <c r="H670" t="n">
        <v>0</v>
      </c>
      <c r="I670" t="n">
        <v>0</v>
      </c>
      <c r="J670" t="n">
        <v>0</v>
      </c>
      <c r="K670" t="n">
        <v>0</v>
      </c>
      <c r="L670" t="n">
        <v>0</v>
      </c>
      <c r="M670" t="n">
        <v>0</v>
      </c>
      <c r="N670" t="n">
        <v>0</v>
      </c>
      <c r="O670" t="n">
        <v>0</v>
      </c>
      <c r="P670" t="n">
        <v>0</v>
      </c>
      <c r="Q670" t="n">
        <v>0</v>
      </c>
      <c r="R670" s="2" t="inlineStr"/>
    </row>
    <row r="671" ht="15" customHeight="1">
      <c r="A671" t="inlineStr">
        <is>
          <t>A 27446-2021</t>
        </is>
      </c>
      <c r="B671" s="1" t="n">
        <v>44351</v>
      </c>
      <c r="C671" s="1" t="n">
        <v>45574</v>
      </c>
      <c r="D671" t="inlineStr">
        <is>
          <t>VÄRMLANDS LÄN</t>
        </is>
      </c>
      <c r="E671" t="inlineStr">
        <is>
          <t>TORSBY</t>
        </is>
      </c>
      <c r="G671" t="n">
        <v>7.6</v>
      </c>
      <c r="H671" t="n">
        <v>0</v>
      </c>
      <c r="I671" t="n">
        <v>0</v>
      </c>
      <c r="J671" t="n">
        <v>0</v>
      </c>
      <c r="K671" t="n">
        <v>0</v>
      </c>
      <c r="L671" t="n">
        <v>0</v>
      </c>
      <c r="M671" t="n">
        <v>0</v>
      </c>
      <c r="N671" t="n">
        <v>0</v>
      </c>
      <c r="O671" t="n">
        <v>0</v>
      </c>
      <c r="P671" t="n">
        <v>0</v>
      </c>
      <c r="Q671" t="n">
        <v>0</v>
      </c>
      <c r="R671" s="2" t="inlineStr"/>
    </row>
    <row r="672" ht="15" customHeight="1">
      <c r="A672" t="inlineStr">
        <is>
          <t>A 27411-2021</t>
        </is>
      </c>
      <c r="B672" s="1" t="n">
        <v>44351</v>
      </c>
      <c r="C672" s="1" t="n">
        <v>45574</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27362-2021</t>
        </is>
      </c>
      <c r="B673" s="1" t="n">
        <v>44351</v>
      </c>
      <c r="C673" s="1" t="n">
        <v>45574</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27932-2021</t>
        </is>
      </c>
      <c r="B674" s="1" t="n">
        <v>44354</v>
      </c>
      <c r="C674" s="1" t="n">
        <v>45574</v>
      </c>
      <c r="D674" t="inlineStr">
        <is>
          <t>VÄRMLANDS LÄN</t>
        </is>
      </c>
      <c r="E674" t="inlineStr">
        <is>
          <t>TORSBY</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28559-2021</t>
        </is>
      </c>
      <c r="B675" s="1" t="n">
        <v>44356</v>
      </c>
      <c r="C675" s="1" t="n">
        <v>45574</v>
      </c>
      <c r="D675" t="inlineStr">
        <is>
          <t>VÄRMLANDS LÄN</t>
        </is>
      </c>
      <c r="E675" t="inlineStr">
        <is>
          <t>TORSBY</t>
        </is>
      </c>
      <c r="G675" t="n">
        <v>2.3</v>
      </c>
      <c r="H675" t="n">
        <v>0</v>
      </c>
      <c r="I675" t="n">
        <v>0</v>
      </c>
      <c r="J675" t="n">
        <v>0</v>
      </c>
      <c r="K675" t="n">
        <v>0</v>
      </c>
      <c r="L675" t="n">
        <v>0</v>
      </c>
      <c r="M675" t="n">
        <v>0</v>
      </c>
      <c r="N675" t="n">
        <v>0</v>
      </c>
      <c r="O675" t="n">
        <v>0</v>
      </c>
      <c r="P675" t="n">
        <v>0</v>
      </c>
      <c r="Q675" t="n">
        <v>0</v>
      </c>
      <c r="R675" s="2" t="inlineStr"/>
    </row>
    <row r="676" ht="15" customHeight="1">
      <c r="A676" t="inlineStr">
        <is>
          <t>A 28562-2021</t>
        </is>
      </c>
      <c r="B676" s="1" t="n">
        <v>44356</v>
      </c>
      <c r="C676" s="1" t="n">
        <v>45574</v>
      </c>
      <c r="D676" t="inlineStr">
        <is>
          <t>VÄRMLANDS LÄN</t>
        </is>
      </c>
      <c r="E676" t="inlineStr">
        <is>
          <t>TORSBY</t>
        </is>
      </c>
      <c r="G676" t="n">
        <v>4.4</v>
      </c>
      <c r="H676" t="n">
        <v>0</v>
      </c>
      <c r="I676" t="n">
        <v>0</v>
      </c>
      <c r="J676" t="n">
        <v>0</v>
      </c>
      <c r="K676" t="n">
        <v>0</v>
      </c>
      <c r="L676" t="n">
        <v>0</v>
      </c>
      <c r="M676" t="n">
        <v>0</v>
      </c>
      <c r="N676" t="n">
        <v>0</v>
      </c>
      <c r="O676" t="n">
        <v>0</v>
      </c>
      <c r="P676" t="n">
        <v>0</v>
      </c>
      <c r="Q676" t="n">
        <v>0</v>
      </c>
      <c r="R676" s="2" t="inlineStr"/>
    </row>
    <row r="677" ht="15" customHeight="1">
      <c r="A677" t="inlineStr">
        <is>
          <t>A 28940-2021</t>
        </is>
      </c>
      <c r="B677" s="1" t="n">
        <v>44358</v>
      </c>
      <c r="C677" s="1" t="n">
        <v>45574</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29495-2021</t>
        </is>
      </c>
      <c r="B678" s="1" t="n">
        <v>44361</v>
      </c>
      <c r="C678" s="1" t="n">
        <v>45574</v>
      </c>
      <c r="D678" t="inlineStr">
        <is>
          <t>VÄRMLANDS LÄN</t>
        </is>
      </c>
      <c r="E678" t="inlineStr">
        <is>
          <t>TORSBY</t>
        </is>
      </c>
      <c r="F678" t="inlineStr">
        <is>
          <t>Övriga Aktiebolag</t>
        </is>
      </c>
      <c r="G678" t="n">
        <v>38.2</v>
      </c>
      <c r="H678" t="n">
        <v>0</v>
      </c>
      <c r="I678" t="n">
        <v>0</v>
      </c>
      <c r="J678" t="n">
        <v>0</v>
      </c>
      <c r="K678" t="n">
        <v>0</v>
      </c>
      <c r="L678" t="n">
        <v>0</v>
      </c>
      <c r="M678" t="n">
        <v>0</v>
      </c>
      <c r="N678" t="n">
        <v>0</v>
      </c>
      <c r="O678" t="n">
        <v>0</v>
      </c>
      <c r="P678" t="n">
        <v>0</v>
      </c>
      <c r="Q678" t="n">
        <v>0</v>
      </c>
      <c r="R678" s="2" t="inlineStr"/>
    </row>
    <row r="679" ht="15" customHeight="1">
      <c r="A679" t="inlineStr">
        <is>
          <t>A 29457-2021</t>
        </is>
      </c>
      <c r="B679" s="1" t="n">
        <v>44361</v>
      </c>
      <c r="C679" s="1" t="n">
        <v>45574</v>
      </c>
      <c r="D679" t="inlineStr">
        <is>
          <t>VÄRMLANDS LÄN</t>
        </is>
      </c>
      <c r="E679" t="inlineStr">
        <is>
          <t>TORSBY</t>
        </is>
      </c>
      <c r="G679" t="n">
        <v>7.6</v>
      </c>
      <c r="H679" t="n">
        <v>0</v>
      </c>
      <c r="I679" t="n">
        <v>0</v>
      </c>
      <c r="J679" t="n">
        <v>0</v>
      </c>
      <c r="K679" t="n">
        <v>0</v>
      </c>
      <c r="L679" t="n">
        <v>0</v>
      </c>
      <c r="M679" t="n">
        <v>0</v>
      </c>
      <c r="N679" t="n">
        <v>0</v>
      </c>
      <c r="O679" t="n">
        <v>0</v>
      </c>
      <c r="P679" t="n">
        <v>0</v>
      </c>
      <c r="Q679" t="n">
        <v>0</v>
      </c>
      <c r="R679" s="2" t="inlineStr"/>
    </row>
    <row r="680" ht="15" customHeight="1">
      <c r="A680" t="inlineStr">
        <is>
          <t>A 29518-2021</t>
        </is>
      </c>
      <c r="B680" s="1" t="n">
        <v>44361</v>
      </c>
      <c r="C680" s="1" t="n">
        <v>45574</v>
      </c>
      <c r="D680" t="inlineStr">
        <is>
          <t>VÄRMLANDS LÄN</t>
        </is>
      </c>
      <c r="E680" t="inlineStr">
        <is>
          <t>TORSBY</t>
        </is>
      </c>
      <c r="F680" t="inlineStr">
        <is>
          <t>Bergvik skog väst AB</t>
        </is>
      </c>
      <c r="G680" t="n">
        <v>16.7</v>
      </c>
      <c r="H680" t="n">
        <v>0</v>
      </c>
      <c r="I680" t="n">
        <v>0</v>
      </c>
      <c r="J680" t="n">
        <v>0</v>
      </c>
      <c r="K680" t="n">
        <v>0</v>
      </c>
      <c r="L680" t="n">
        <v>0</v>
      </c>
      <c r="M680" t="n">
        <v>0</v>
      </c>
      <c r="N680" t="n">
        <v>0</v>
      </c>
      <c r="O680" t="n">
        <v>0</v>
      </c>
      <c r="P680" t="n">
        <v>0</v>
      </c>
      <c r="Q680" t="n">
        <v>0</v>
      </c>
      <c r="R680" s="2" t="inlineStr"/>
    </row>
    <row r="681" ht="15" customHeight="1">
      <c r="A681" t="inlineStr">
        <is>
          <t>A 29746-2021</t>
        </is>
      </c>
      <c r="B681" s="1" t="n">
        <v>44362</v>
      </c>
      <c r="C681" s="1" t="n">
        <v>45574</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30162-2021</t>
        </is>
      </c>
      <c r="B682" s="1" t="n">
        <v>44363</v>
      </c>
      <c r="C682" s="1" t="n">
        <v>45574</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30384-2021</t>
        </is>
      </c>
      <c r="B683" s="1" t="n">
        <v>44364</v>
      </c>
      <c r="C683" s="1" t="n">
        <v>45574</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30802-2021</t>
        </is>
      </c>
      <c r="B684" s="1" t="n">
        <v>44365</v>
      </c>
      <c r="C684" s="1" t="n">
        <v>45574</v>
      </c>
      <c r="D684" t="inlineStr">
        <is>
          <t>VÄRMLANDS LÄN</t>
        </is>
      </c>
      <c r="E684" t="inlineStr">
        <is>
          <t>TORSBY</t>
        </is>
      </c>
      <c r="G684" t="n">
        <v>0.6</v>
      </c>
      <c r="H684" t="n">
        <v>0</v>
      </c>
      <c r="I684" t="n">
        <v>0</v>
      </c>
      <c r="J684" t="n">
        <v>0</v>
      </c>
      <c r="K684" t="n">
        <v>0</v>
      </c>
      <c r="L684" t="n">
        <v>0</v>
      </c>
      <c r="M684" t="n">
        <v>0</v>
      </c>
      <c r="N684" t="n">
        <v>0</v>
      </c>
      <c r="O684" t="n">
        <v>0</v>
      </c>
      <c r="P684" t="n">
        <v>0</v>
      </c>
      <c r="Q684" t="n">
        <v>0</v>
      </c>
      <c r="R684" s="2" t="inlineStr"/>
    </row>
    <row r="685" ht="15" customHeight="1">
      <c r="A685" t="inlineStr">
        <is>
          <t>A 31494-2021</t>
        </is>
      </c>
      <c r="B685" s="1" t="n">
        <v>44369</v>
      </c>
      <c r="C685" s="1" t="n">
        <v>45574</v>
      </c>
      <c r="D685" t="inlineStr">
        <is>
          <t>VÄRMLANDS LÄN</t>
        </is>
      </c>
      <c r="E685" t="inlineStr">
        <is>
          <t>TORSBY</t>
        </is>
      </c>
      <c r="G685" t="n">
        <v>3.5</v>
      </c>
      <c r="H685" t="n">
        <v>0</v>
      </c>
      <c r="I685" t="n">
        <v>0</v>
      </c>
      <c r="J685" t="n">
        <v>0</v>
      </c>
      <c r="K685" t="n">
        <v>0</v>
      </c>
      <c r="L685" t="n">
        <v>0</v>
      </c>
      <c r="M685" t="n">
        <v>0</v>
      </c>
      <c r="N685" t="n">
        <v>0</v>
      </c>
      <c r="O685" t="n">
        <v>0</v>
      </c>
      <c r="P685" t="n">
        <v>0</v>
      </c>
      <c r="Q685" t="n">
        <v>0</v>
      </c>
      <c r="R685" s="2" t="inlineStr"/>
    </row>
    <row r="686" ht="15" customHeight="1">
      <c r="A686" t="inlineStr">
        <is>
          <t>A 31493-2021</t>
        </is>
      </c>
      <c r="B686" s="1" t="n">
        <v>44369</v>
      </c>
      <c r="C686" s="1" t="n">
        <v>45574</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31511-2021</t>
        </is>
      </c>
      <c r="B687" s="1" t="n">
        <v>44369</v>
      </c>
      <c r="C687" s="1" t="n">
        <v>45574</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31894-2021</t>
        </is>
      </c>
      <c r="B688" s="1" t="n">
        <v>44370</v>
      </c>
      <c r="C688" s="1" t="n">
        <v>45574</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31911-2021</t>
        </is>
      </c>
      <c r="B689" s="1" t="n">
        <v>44370</v>
      </c>
      <c r="C689" s="1" t="n">
        <v>45574</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32696-2021</t>
        </is>
      </c>
      <c r="B690" s="1" t="n">
        <v>44375</v>
      </c>
      <c r="C690" s="1" t="n">
        <v>45574</v>
      </c>
      <c r="D690" t="inlineStr">
        <is>
          <t>VÄRMLANDS LÄN</t>
        </is>
      </c>
      <c r="E690" t="inlineStr">
        <is>
          <t>TORSBY</t>
        </is>
      </c>
      <c r="F690" t="inlineStr">
        <is>
          <t>Bergvik skog väst AB</t>
        </is>
      </c>
      <c r="G690" t="n">
        <v>14.8</v>
      </c>
      <c r="H690" t="n">
        <v>0</v>
      </c>
      <c r="I690" t="n">
        <v>0</v>
      </c>
      <c r="J690" t="n">
        <v>0</v>
      </c>
      <c r="K690" t="n">
        <v>0</v>
      </c>
      <c r="L690" t="n">
        <v>0</v>
      </c>
      <c r="M690" t="n">
        <v>0</v>
      </c>
      <c r="N690" t="n">
        <v>0</v>
      </c>
      <c r="O690" t="n">
        <v>0</v>
      </c>
      <c r="P690" t="n">
        <v>0</v>
      </c>
      <c r="Q690" t="n">
        <v>0</v>
      </c>
      <c r="R690" s="2" t="inlineStr"/>
    </row>
    <row r="691" ht="15" customHeight="1">
      <c r="A691" t="inlineStr">
        <is>
          <t>A 32821-2021</t>
        </is>
      </c>
      <c r="B691" s="1" t="n">
        <v>44375</v>
      </c>
      <c r="C691" s="1" t="n">
        <v>45574</v>
      </c>
      <c r="D691" t="inlineStr">
        <is>
          <t>VÄRMLANDS LÄN</t>
        </is>
      </c>
      <c r="E691" t="inlineStr">
        <is>
          <t>TORSBY</t>
        </is>
      </c>
      <c r="G691" t="n">
        <v>3.9</v>
      </c>
      <c r="H691" t="n">
        <v>0</v>
      </c>
      <c r="I691" t="n">
        <v>0</v>
      </c>
      <c r="J691" t="n">
        <v>0</v>
      </c>
      <c r="K691" t="n">
        <v>0</v>
      </c>
      <c r="L691" t="n">
        <v>0</v>
      </c>
      <c r="M691" t="n">
        <v>0</v>
      </c>
      <c r="N691" t="n">
        <v>0</v>
      </c>
      <c r="O691" t="n">
        <v>0</v>
      </c>
      <c r="P691" t="n">
        <v>0</v>
      </c>
      <c r="Q691" t="n">
        <v>0</v>
      </c>
      <c r="R691" s="2" t="inlineStr"/>
    </row>
    <row r="692" ht="15" customHeight="1">
      <c r="A692" t="inlineStr">
        <is>
          <t>A 32747-2021</t>
        </is>
      </c>
      <c r="B692" s="1" t="n">
        <v>44375</v>
      </c>
      <c r="C692" s="1" t="n">
        <v>45574</v>
      </c>
      <c r="D692" t="inlineStr">
        <is>
          <t>VÄRMLANDS LÄN</t>
        </is>
      </c>
      <c r="E692" t="inlineStr">
        <is>
          <t>TORSBY</t>
        </is>
      </c>
      <c r="G692" t="n">
        <v>6.3</v>
      </c>
      <c r="H692" t="n">
        <v>0</v>
      </c>
      <c r="I692" t="n">
        <v>0</v>
      </c>
      <c r="J692" t="n">
        <v>0</v>
      </c>
      <c r="K692" t="n">
        <v>0</v>
      </c>
      <c r="L692" t="n">
        <v>0</v>
      </c>
      <c r="M692" t="n">
        <v>0</v>
      </c>
      <c r="N692" t="n">
        <v>0</v>
      </c>
      <c r="O692" t="n">
        <v>0</v>
      </c>
      <c r="P692" t="n">
        <v>0</v>
      </c>
      <c r="Q692" t="n">
        <v>0</v>
      </c>
      <c r="R692" s="2" t="inlineStr"/>
    </row>
    <row r="693" ht="15" customHeight="1">
      <c r="A693" t="inlineStr">
        <is>
          <t>A 33146-2021</t>
        </is>
      </c>
      <c r="B693" s="1" t="n">
        <v>44376</v>
      </c>
      <c r="C693" s="1" t="n">
        <v>45574</v>
      </c>
      <c r="D693" t="inlineStr">
        <is>
          <t>VÄRMLANDS LÄN</t>
        </is>
      </c>
      <c r="E693" t="inlineStr">
        <is>
          <t>TORSBY</t>
        </is>
      </c>
      <c r="F693" t="inlineStr">
        <is>
          <t>Bergvik skog väst AB</t>
        </is>
      </c>
      <c r="G693" t="n">
        <v>44.5</v>
      </c>
      <c r="H693" t="n">
        <v>0</v>
      </c>
      <c r="I693" t="n">
        <v>0</v>
      </c>
      <c r="J693" t="n">
        <v>0</v>
      </c>
      <c r="K693" t="n">
        <v>0</v>
      </c>
      <c r="L693" t="n">
        <v>0</v>
      </c>
      <c r="M693" t="n">
        <v>0</v>
      </c>
      <c r="N693" t="n">
        <v>0</v>
      </c>
      <c r="O693" t="n">
        <v>0</v>
      </c>
      <c r="P693" t="n">
        <v>0</v>
      </c>
      <c r="Q693" t="n">
        <v>0</v>
      </c>
      <c r="R693" s="2" t="inlineStr"/>
    </row>
    <row r="694" ht="15" customHeight="1">
      <c r="A694" t="inlineStr">
        <is>
          <t>A 33182-2021</t>
        </is>
      </c>
      <c r="B694" s="1" t="n">
        <v>44376</v>
      </c>
      <c r="C694" s="1" t="n">
        <v>45574</v>
      </c>
      <c r="D694" t="inlineStr">
        <is>
          <t>VÄRMLANDS LÄN</t>
        </is>
      </c>
      <c r="E694" t="inlineStr">
        <is>
          <t>TORSBY</t>
        </is>
      </c>
      <c r="G694" t="n">
        <v>1.5</v>
      </c>
      <c r="H694" t="n">
        <v>0</v>
      </c>
      <c r="I694" t="n">
        <v>0</v>
      </c>
      <c r="J694" t="n">
        <v>0</v>
      </c>
      <c r="K694" t="n">
        <v>0</v>
      </c>
      <c r="L694" t="n">
        <v>0</v>
      </c>
      <c r="M694" t="n">
        <v>0</v>
      </c>
      <c r="N694" t="n">
        <v>0</v>
      </c>
      <c r="O694" t="n">
        <v>0</v>
      </c>
      <c r="P694" t="n">
        <v>0</v>
      </c>
      <c r="Q694" t="n">
        <v>0</v>
      </c>
      <c r="R694" s="2" t="inlineStr"/>
    </row>
    <row r="695" ht="15" customHeight="1">
      <c r="A695" t="inlineStr">
        <is>
          <t>A 33145-2021</t>
        </is>
      </c>
      <c r="B695" s="1" t="n">
        <v>44376</v>
      </c>
      <c r="C695" s="1" t="n">
        <v>45574</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33149-2021</t>
        </is>
      </c>
      <c r="B696" s="1" t="n">
        <v>44376</v>
      </c>
      <c r="C696" s="1" t="n">
        <v>45574</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33183-2021</t>
        </is>
      </c>
      <c r="B697" s="1" t="n">
        <v>44376</v>
      </c>
      <c r="C697" s="1" t="n">
        <v>45574</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33517-2021</t>
        </is>
      </c>
      <c r="B698" s="1" t="n">
        <v>44377</v>
      </c>
      <c r="C698" s="1" t="n">
        <v>45574</v>
      </c>
      <c r="D698" t="inlineStr">
        <is>
          <t>VÄRMLANDS LÄN</t>
        </is>
      </c>
      <c r="E698" t="inlineStr">
        <is>
          <t>TORSBY</t>
        </is>
      </c>
      <c r="G698" t="n">
        <v>2.2</v>
      </c>
      <c r="H698" t="n">
        <v>0</v>
      </c>
      <c r="I698" t="n">
        <v>0</v>
      </c>
      <c r="J698" t="n">
        <v>0</v>
      </c>
      <c r="K698" t="n">
        <v>0</v>
      </c>
      <c r="L698" t="n">
        <v>0</v>
      </c>
      <c r="M698" t="n">
        <v>0</v>
      </c>
      <c r="N698" t="n">
        <v>0</v>
      </c>
      <c r="O698" t="n">
        <v>0</v>
      </c>
      <c r="P698" t="n">
        <v>0</v>
      </c>
      <c r="Q698" t="n">
        <v>0</v>
      </c>
      <c r="R698" s="2" t="inlineStr"/>
    </row>
    <row r="699" ht="15" customHeight="1">
      <c r="A699" t="inlineStr">
        <is>
          <t>A 33515-2021</t>
        </is>
      </c>
      <c r="B699" s="1" t="n">
        <v>44377</v>
      </c>
      <c r="C699" s="1" t="n">
        <v>45574</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33839-2021</t>
        </is>
      </c>
      <c r="B700" s="1" t="n">
        <v>44378</v>
      </c>
      <c r="C700" s="1" t="n">
        <v>45574</v>
      </c>
      <c r="D700" t="inlineStr">
        <is>
          <t>VÄRMLANDS LÄN</t>
        </is>
      </c>
      <c r="E700" t="inlineStr">
        <is>
          <t>TORSBY</t>
        </is>
      </c>
      <c r="F700" t="inlineStr">
        <is>
          <t>Bergvik skog väst AB</t>
        </is>
      </c>
      <c r="G700" t="n">
        <v>2.5</v>
      </c>
      <c r="H700" t="n">
        <v>0</v>
      </c>
      <c r="I700" t="n">
        <v>0</v>
      </c>
      <c r="J700" t="n">
        <v>0</v>
      </c>
      <c r="K700" t="n">
        <v>0</v>
      </c>
      <c r="L700" t="n">
        <v>0</v>
      </c>
      <c r="M700" t="n">
        <v>0</v>
      </c>
      <c r="N700" t="n">
        <v>0</v>
      </c>
      <c r="O700" t="n">
        <v>0</v>
      </c>
      <c r="P700" t="n">
        <v>0</v>
      </c>
      <c r="Q700" t="n">
        <v>0</v>
      </c>
      <c r="R700" s="2" t="inlineStr"/>
    </row>
    <row r="701" ht="15" customHeight="1">
      <c r="A701" t="inlineStr">
        <is>
          <t>A 33853-2021</t>
        </is>
      </c>
      <c r="B701" s="1" t="n">
        <v>44378</v>
      </c>
      <c r="C701" s="1" t="n">
        <v>45574</v>
      </c>
      <c r="D701" t="inlineStr">
        <is>
          <t>VÄRMLANDS LÄN</t>
        </is>
      </c>
      <c r="E701" t="inlineStr">
        <is>
          <t>TORSBY</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33937-2021</t>
        </is>
      </c>
      <c r="B702" s="1" t="n">
        <v>44378</v>
      </c>
      <c r="C702" s="1" t="n">
        <v>45574</v>
      </c>
      <c r="D702" t="inlineStr">
        <is>
          <t>VÄRMLANDS LÄN</t>
        </is>
      </c>
      <c r="E702" t="inlineStr">
        <is>
          <t>TORSBY</t>
        </is>
      </c>
      <c r="G702" t="n">
        <v>3.1</v>
      </c>
      <c r="H702" t="n">
        <v>0</v>
      </c>
      <c r="I702" t="n">
        <v>0</v>
      </c>
      <c r="J702" t="n">
        <v>0</v>
      </c>
      <c r="K702" t="n">
        <v>0</v>
      </c>
      <c r="L702" t="n">
        <v>0</v>
      </c>
      <c r="M702" t="n">
        <v>0</v>
      </c>
      <c r="N702" t="n">
        <v>0</v>
      </c>
      <c r="O702" t="n">
        <v>0</v>
      </c>
      <c r="P702" t="n">
        <v>0</v>
      </c>
      <c r="Q702" t="n">
        <v>0</v>
      </c>
      <c r="R702" s="2" t="inlineStr"/>
    </row>
    <row r="703" ht="15" customHeight="1">
      <c r="A703" t="inlineStr">
        <is>
          <t>A 34626-2021</t>
        </is>
      </c>
      <c r="B703" s="1" t="n">
        <v>44382</v>
      </c>
      <c r="C703" s="1" t="n">
        <v>45574</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34694-2021</t>
        </is>
      </c>
      <c r="B704" s="1" t="n">
        <v>44382</v>
      </c>
      <c r="C704" s="1" t="n">
        <v>45574</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34885-2021</t>
        </is>
      </c>
      <c r="B705" s="1" t="n">
        <v>44383</v>
      </c>
      <c r="C705" s="1" t="n">
        <v>45574</v>
      </c>
      <c r="D705" t="inlineStr">
        <is>
          <t>VÄRMLANDS LÄN</t>
        </is>
      </c>
      <c r="E705" t="inlineStr">
        <is>
          <t>TORSBY</t>
        </is>
      </c>
      <c r="G705" t="n">
        <v>8.9</v>
      </c>
      <c r="H705" t="n">
        <v>0</v>
      </c>
      <c r="I705" t="n">
        <v>0</v>
      </c>
      <c r="J705" t="n">
        <v>0</v>
      </c>
      <c r="K705" t="n">
        <v>0</v>
      </c>
      <c r="L705" t="n">
        <v>0</v>
      </c>
      <c r="M705" t="n">
        <v>0</v>
      </c>
      <c r="N705" t="n">
        <v>0</v>
      </c>
      <c r="O705" t="n">
        <v>0</v>
      </c>
      <c r="P705" t="n">
        <v>0</v>
      </c>
      <c r="Q705" t="n">
        <v>0</v>
      </c>
      <c r="R705" s="2" t="inlineStr"/>
    </row>
    <row r="706" ht="15" customHeight="1">
      <c r="A706" t="inlineStr">
        <is>
          <t>A 35221-2021</t>
        </is>
      </c>
      <c r="B706" s="1" t="n">
        <v>44384</v>
      </c>
      <c r="C706" s="1" t="n">
        <v>45574</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35586-2021</t>
        </is>
      </c>
      <c r="B707" s="1" t="n">
        <v>44386</v>
      </c>
      <c r="C707" s="1" t="n">
        <v>45574</v>
      </c>
      <c r="D707" t="inlineStr">
        <is>
          <t>VÄRMLANDS LÄN</t>
        </is>
      </c>
      <c r="E707" t="inlineStr">
        <is>
          <t>TORSBY</t>
        </is>
      </c>
      <c r="F707" t="inlineStr">
        <is>
          <t>Bergvik skog väst AB</t>
        </is>
      </c>
      <c r="G707" t="n">
        <v>5.1</v>
      </c>
      <c r="H707" t="n">
        <v>0</v>
      </c>
      <c r="I707" t="n">
        <v>0</v>
      </c>
      <c r="J707" t="n">
        <v>0</v>
      </c>
      <c r="K707" t="n">
        <v>0</v>
      </c>
      <c r="L707" t="n">
        <v>0</v>
      </c>
      <c r="M707" t="n">
        <v>0</v>
      </c>
      <c r="N707" t="n">
        <v>0</v>
      </c>
      <c r="O707" t="n">
        <v>0</v>
      </c>
      <c r="P707" t="n">
        <v>0</v>
      </c>
      <c r="Q707" t="n">
        <v>0</v>
      </c>
      <c r="R707" s="2" t="inlineStr"/>
    </row>
    <row r="708" ht="15" customHeight="1">
      <c r="A708" t="inlineStr">
        <is>
          <t>A 35907-2021</t>
        </is>
      </c>
      <c r="B708" s="1" t="n">
        <v>44387</v>
      </c>
      <c r="C708" s="1" t="n">
        <v>45574</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35909-2021</t>
        </is>
      </c>
      <c r="B709" s="1" t="n">
        <v>44387</v>
      </c>
      <c r="C709" s="1" t="n">
        <v>45574</v>
      </c>
      <c r="D709" t="inlineStr">
        <is>
          <t>VÄRMLANDS LÄN</t>
        </is>
      </c>
      <c r="E709" t="inlineStr">
        <is>
          <t>TORSBY</t>
        </is>
      </c>
      <c r="G709" t="n">
        <v>3.3</v>
      </c>
      <c r="H709" t="n">
        <v>0</v>
      </c>
      <c r="I709" t="n">
        <v>0</v>
      </c>
      <c r="J709" t="n">
        <v>0</v>
      </c>
      <c r="K709" t="n">
        <v>0</v>
      </c>
      <c r="L709" t="n">
        <v>0</v>
      </c>
      <c r="M709" t="n">
        <v>0</v>
      </c>
      <c r="N709" t="n">
        <v>0</v>
      </c>
      <c r="O709" t="n">
        <v>0</v>
      </c>
      <c r="P709" t="n">
        <v>0</v>
      </c>
      <c r="Q709" t="n">
        <v>0</v>
      </c>
      <c r="R709" s="2" t="inlineStr"/>
    </row>
    <row r="710" ht="15" customHeight="1">
      <c r="A710" t="inlineStr">
        <is>
          <t>A 36189-2021</t>
        </is>
      </c>
      <c r="B710" s="1" t="n">
        <v>44389</v>
      </c>
      <c r="C710" s="1" t="n">
        <v>45574</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36186-2021</t>
        </is>
      </c>
      <c r="B711" s="1" t="n">
        <v>44389</v>
      </c>
      <c r="C711" s="1" t="n">
        <v>45574</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36327-2021</t>
        </is>
      </c>
      <c r="B712" s="1" t="n">
        <v>44390</v>
      </c>
      <c r="C712" s="1" t="n">
        <v>45574</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36589-2021</t>
        </is>
      </c>
      <c r="B713" s="1" t="n">
        <v>44391</v>
      </c>
      <c r="C713" s="1" t="n">
        <v>45574</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36700-2021</t>
        </is>
      </c>
      <c r="B714" s="1" t="n">
        <v>44392</v>
      </c>
      <c r="C714" s="1" t="n">
        <v>45574</v>
      </c>
      <c r="D714" t="inlineStr">
        <is>
          <t>VÄRMLANDS LÄN</t>
        </is>
      </c>
      <c r="E714" t="inlineStr">
        <is>
          <t>TORSBY</t>
        </is>
      </c>
      <c r="F714" t="inlineStr">
        <is>
          <t>Bergvik skog väst AB</t>
        </is>
      </c>
      <c r="G714" t="n">
        <v>9.9</v>
      </c>
      <c r="H714" t="n">
        <v>0</v>
      </c>
      <c r="I714" t="n">
        <v>0</v>
      </c>
      <c r="J714" t="n">
        <v>0</v>
      </c>
      <c r="K714" t="n">
        <v>0</v>
      </c>
      <c r="L714" t="n">
        <v>0</v>
      </c>
      <c r="M714" t="n">
        <v>0</v>
      </c>
      <c r="N714" t="n">
        <v>0</v>
      </c>
      <c r="O714" t="n">
        <v>0</v>
      </c>
      <c r="P714" t="n">
        <v>0</v>
      </c>
      <c r="Q714" t="n">
        <v>0</v>
      </c>
      <c r="R714" s="2" t="inlineStr"/>
    </row>
    <row r="715" ht="15" customHeight="1">
      <c r="A715" t="inlineStr">
        <is>
          <t>A 37074-2021</t>
        </is>
      </c>
      <c r="B715" s="1" t="n">
        <v>44394</v>
      </c>
      <c r="C715" s="1" t="n">
        <v>45574</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37075-2021</t>
        </is>
      </c>
      <c r="B716" s="1" t="n">
        <v>44394</v>
      </c>
      <c r="C716" s="1" t="n">
        <v>45574</v>
      </c>
      <c r="D716" t="inlineStr">
        <is>
          <t>VÄRMLANDS LÄN</t>
        </is>
      </c>
      <c r="E716" t="inlineStr">
        <is>
          <t>TORSBY</t>
        </is>
      </c>
      <c r="G716" t="n">
        <v>3.2</v>
      </c>
      <c r="H716" t="n">
        <v>0</v>
      </c>
      <c r="I716" t="n">
        <v>0</v>
      </c>
      <c r="J716" t="n">
        <v>0</v>
      </c>
      <c r="K716" t="n">
        <v>0</v>
      </c>
      <c r="L716" t="n">
        <v>0</v>
      </c>
      <c r="M716" t="n">
        <v>0</v>
      </c>
      <c r="N716" t="n">
        <v>0</v>
      </c>
      <c r="O716" t="n">
        <v>0</v>
      </c>
      <c r="P716" t="n">
        <v>0</v>
      </c>
      <c r="Q716" t="n">
        <v>0</v>
      </c>
      <c r="R716" s="2" t="inlineStr"/>
    </row>
    <row r="717" ht="15" customHeight="1">
      <c r="A717" t="inlineStr">
        <is>
          <t>A 37225-2021</t>
        </is>
      </c>
      <c r="B717" s="1" t="n">
        <v>44396</v>
      </c>
      <c r="C717" s="1" t="n">
        <v>45574</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37609-2021</t>
        </is>
      </c>
      <c r="B718" s="1" t="n">
        <v>44399</v>
      </c>
      <c r="C718" s="1" t="n">
        <v>45574</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37608-2021</t>
        </is>
      </c>
      <c r="B719" s="1" t="n">
        <v>44399</v>
      </c>
      <c r="C719" s="1" t="n">
        <v>45574</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38467-2021</t>
        </is>
      </c>
      <c r="B720" s="1" t="n">
        <v>44405</v>
      </c>
      <c r="C720" s="1" t="n">
        <v>45574</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38229-2021</t>
        </is>
      </c>
      <c r="B721" s="1" t="n">
        <v>44405</v>
      </c>
      <c r="C721" s="1" t="n">
        <v>45574</v>
      </c>
      <c r="D721" t="inlineStr">
        <is>
          <t>VÄRMLANDS LÄN</t>
        </is>
      </c>
      <c r="E721" t="inlineStr">
        <is>
          <t>TORSBY</t>
        </is>
      </c>
      <c r="F721" t="inlineStr">
        <is>
          <t>Bergvik skog väst AB</t>
        </is>
      </c>
      <c r="G721" t="n">
        <v>2.7</v>
      </c>
      <c r="H721" t="n">
        <v>0</v>
      </c>
      <c r="I721" t="n">
        <v>0</v>
      </c>
      <c r="J721" t="n">
        <v>0</v>
      </c>
      <c r="K721" t="n">
        <v>0</v>
      </c>
      <c r="L721" t="n">
        <v>0</v>
      </c>
      <c r="M721" t="n">
        <v>0</v>
      </c>
      <c r="N721" t="n">
        <v>0</v>
      </c>
      <c r="O721" t="n">
        <v>0</v>
      </c>
      <c r="P721" t="n">
        <v>0</v>
      </c>
      <c r="Q721" t="n">
        <v>0</v>
      </c>
      <c r="R721" s="2" t="inlineStr"/>
    </row>
    <row r="722" ht="15" customHeight="1">
      <c r="A722" t="inlineStr">
        <is>
          <t>A 38298-2021</t>
        </is>
      </c>
      <c r="B722" s="1" t="n">
        <v>44406</v>
      </c>
      <c r="C722" s="1" t="n">
        <v>45574</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38564-2021</t>
        </is>
      </c>
      <c r="B723" s="1" t="n">
        <v>44407</v>
      </c>
      <c r="C723" s="1" t="n">
        <v>45574</v>
      </c>
      <c r="D723" t="inlineStr">
        <is>
          <t>VÄRMLANDS LÄN</t>
        </is>
      </c>
      <c r="E723" t="inlineStr">
        <is>
          <t>TORSBY</t>
        </is>
      </c>
      <c r="F723" t="inlineStr">
        <is>
          <t>Bergvik skog väst AB</t>
        </is>
      </c>
      <c r="G723" t="n">
        <v>15.7</v>
      </c>
      <c r="H723" t="n">
        <v>0</v>
      </c>
      <c r="I723" t="n">
        <v>0</v>
      </c>
      <c r="J723" t="n">
        <v>0</v>
      </c>
      <c r="K723" t="n">
        <v>0</v>
      </c>
      <c r="L723" t="n">
        <v>0</v>
      </c>
      <c r="M723" t="n">
        <v>0</v>
      </c>
      <c r="N723" t="n">
        <v>0</v>
      </c>
      <c r="O723" t="n">
        <v>0</v>
      </c>
      <c r="P723" t="n">
        <v>0</v>
      </c>
      <c r="Q723" t="n">
        <v>0</v>
      </c>
      <c r="R723" s="2" t="inlineStr"/>
    </row>
    <row r="724" ht="15" customHeight="1">
      <c r="A724" t="inlineStr">
        <is>
          <t>A 38528-2021</t>
        </is>
      </c>
      <c r="B724" s="1" t="n">
        <v>44407</v>
      </c>
      <c r="C724" s="1" t="n">
        <v>45574</v>
      </c>
      <c r="D724" t="inlineStr">
        <is>
          <t>VÄRMLANDS LÄN</t>
        </is>
      </c>
      <c r="E724" t="inlineStr">
        <is>
          <t>TORSBY</t>
        </is>
      </c>
      <c r="F724" t="inlineStr">
        <is>
          <t>Bergvik skog väst AB</t>
        </is>
      </c>
      <c r="G724" t="n">
        <v>12.5</v>
      </c>
      <c r="H724" t="n">
        <v>0</v>
      </c>
      <c r="I724" t="n">
        <v>0</v>
      </c>
      <c r="J724" t="n">
        <v>0</v>
      </c>
      <c r="K724" t="n">
        <v>0</v>
      </c>
      <c r="L724" t="n">
        <v>0</v>
      </c>
      <c r="M724" t="n">
        <v>0</v>
      </c>
      <c r="N724" t="n">
        <v>0</v>
      </c>
      <c r="O724" t="n">
        <v>0</v>
      </c>
      <c r="P724" t="n">
        <v>0</v>
      </c>
      <c r="Q724" t="n">
        <v>0</v>
      </c>
      <c r="R724" s="2" t="inlineStr"/>
    </row>
    <row r="725" ht="15" customHeight="1">
      <c r="A725" t="inlineStr">
        <is>
          <t>A 38767-2021</t>
        </is>
      </c>
      <c r="B725" s="1" t="n">
        <v>44410</v>
      </c>
      <c r="C725" s="1" t="n">
        <v>45574</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38841-2021</t>
        </is>
      </c>
      <c r="B726" s="1" t="n">
        <v>44411</v>
      </c>
      <c r="C726" s="1" t="n">
        <v>45574</v>
      </c>
      <c r="D726" t="inlineStr">
        <is>
          <t>VÄRMLANDS LÄN</t>
        </is>
      </c>
      <c r="E726" t="inlineStr">
        <is>
          <t>TORSBY</t>
        </is>
      </c>
      <c r="F726" t="inlineStr">
        <is>
          <t>Bergvik skog väst AB</t>
        </is>
      </c>
      <c r="G726" t="n">
        <v>13.8</v>
      </c>
      <c r="H726" t="n">
        <v>0</v>
      </c>
      <c r="I726" t="n">
        <v>0</v>
      </c>
      <c r="J726" t="n">
        <v>0</v>
      </c>
      <c r="K726" t="n">
        <v>0</v>
      </c>
      <c r="L726" t="n">
        <v>0</v>
      </c>
      <c r="M726" t="n">
        <v>0</v>
      </c>
      <c r="N726" t="n">
        <v>0</v>
      </c>
      <c r="O726" t="n">
        <v>0</v>
      </c>
      <c r="P726" t="n">
        <v>0</v>
      </c>
      <c r="Q726" t="n">
        <v>0</v>
      </c>
      <c r="R726" s="2" t="inlineStr"/>
    </row>
    <row r="727" ht="15" customHeight="1">
      <c r="A727" t="inlineStr">
        <is>
          <t>A 39003-2021</t>
        </is>
      </c>
      <c r="B727" s="1" t="n">
        <v>44412</v>
      </c>
      <c r="C727" s="1" t="n">
        <v>45574</v>
      </c>
      <c r="D727" t="inlineStr">
        <is>
          <t>VÄRMLANDS LÄN</t>
        </is>
      </c>
      <c r="E727" t="inlineStr">
        <is>
          <t>TORSBY</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39260-2021</t>
        </is>
      </c>
      <c r="B728" s="1" t="n">
        <v>44413</v>
      </c>
      <c r="C728" s="1" t="n">
        <v>45574</v>
      </c>
      <c r="D728" t="inlineStr">
        <is>
          <t>VÄRMLANDS LÄN</t>
        </is>
      </c>
      <c r="E728" t="inlineStr">
        <is>
          <t>TORSBY</t>
        </is>
      </c>
      <c r="G728" t="n">
        <v>4.7</v>
      </c>
      <c r="H728" t="n">
        <v>0</v>
      </c>
      <c r="I728" t="n">
        <v>0</v>
      </c>
      <c r="J728" t="n">
        <v>0</v>
      </c>
      <c r="K728" t="n">
        <v>0</v>
      </c>
      <c r="L728" t="n">
        <v>0</v>
      </c>
      <c r="M728" t="n">
        <v>0</v>
      </c>
      <c r="N728" t="n">
        <v>0</v>
      </c>
      <c r="O728" t="n">
        <v>0</v>
      </c>
      <c r="P728" t="n">
        <v>0</v>
      </c>
      <c r="Q728" t="n">
        <v>0</v>
      </c>
      <c r="R728" s="2" t="inlineStr"/>
    </row>
    <row r="729" ht="15" customHeight="1">
      <c r="A729" t="inlineStr">
        <is>
          <t>A 39642-2021</t>
        </is>
      </c>
      <c r="B729" s="1" t="n">
        <v>44417</v>
      </c>
      <c r="C729" s="1" t="n">
        <v>45574</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39826-2021</t>
        </is>
      </c>
      <c r="B730" s="1" t="n">
        <v>44417</v>
      </c>
      <c r="C730" s="1" t="n">
        <v>45574</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39967-2021</t>
        </is>
      </c>
      <c r="B731" s="1" t="n">
        <v>44418</v>
      </c>
      <c r="C731" s="1" t="n">
        <v>45574</v>
      </c>
      <c r="D731" t="inlineStr">
        <is>
          <t>VÄRMLANDS LÄN</t>
        </is>
      </c>
      <c r="E731" t="inlineStr">
        <is>
          <t>TORSBY</t>
        </is>
      </c>
      <c r="F731" t="inlineStr">
        <is>
          <t>Bergvik skog väst AB</t>
        </is>
      </c>
      <c r="G731" t="n">
        <v>11.8</v>
      </c>
      <c r="H731" t="n">
        <v>0</v>
      </c>
      <c r="I731" t="n">
        <v>0</v>
      </c>
      <c r="J731" t="n">
        <v>0</v>
      </c>
      <c r="K731" t="n">
        <v>0</v>
      </c>
      <c r="L731" t="n">
        <v>0</v>
      </c>
      <c r="M731" t="n">
        <v>0</v>
      </c>
      <c r="N731" t="n">
        <v>0</v>
      </c>
      <c r="O731" t="n">
        <v>0</v>
      </c>
      <c r="P731" t="n">
        <v>0</v>
      </c>
      <c r="Q731" t="n">
        <v>0</v>
      </c>
      <c r="R731" s="2" t="inlineStr"/>
    </row>
    <row r="732" ht="15" customHeight="1">
      <c r="A732" t="inlineStr">
        <is>
          <t>A 40281-2021</t>
        </is>
      </c>
      <c r="B732" s="1" t="n">
        <v>44419</v>
      </c>
      <c r="C732" s="1" t="n">
        <v>45574</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40276-2021</t>
        </is>
      </c>
      <c r="B733" s="1" t="n">
        <v>44419</v>
      </c>
      <c r="C733" s="1" t="n">
        <v>45574</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40278-2021</t>
        </is>
      </c>
      <c r="B734" s="1" t="n">
        <v>44419</v>
      </c>
      <c r="C734" s="1" t="n">
        <v>45574</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40282-2021</t>
        </is>
      </c>
      <c r="B735" s="1" t="n">
        <v>44419</v>
      </c>
      <c r="C735" s="1" t="n">
        <v>45574</v>
      </c>
      <c r="D735" t="inlineStr">
        <is>
          <t>VÄRMLANDS LÄN</t>
        </is>
      </c>
      <c r="E735" t="inlineStr">
        <is>
          <t>TORSBY</t>
        </is>
      </c>
      <c r="G735" t="n">
        <v>3.1</v>
      </c>
      <c r="H735" t="n">
        <v>0</v>
      </c>
      <c r="I735" t="n">
        <v>0</v>
      </c>
      <c r="J735" t="n">
        <v>0</v>
      </c>
      <c r="K735" t="n">
        <v>0</v>
      </c>
      <c r="L735" t="n">
        <v>0</v>
      </c>
      <c r="M735" t="n">
        <v>0</v>
      </c>
      <c r="N735" t="n">
        <v>0</v>
      </c>
      <c r="O735" t="n">
        <v>0</v>
      </c>
      <c r="P735" t="n">
        <v>0</v>
      </c>
      <c r="Q735" t="n">
        <v>0</v>
      </c>
      <c r="R735" s="2" t="inlineStr"/>
    </row>
    <row r="736" ht="15" customHeight="1">
      <c r="A736" t="inlineStr">
        <is>
          <t>A 40590-2021</t>
        </is>
      </c>
      <c r="B736" s="1" t="n">
        <v>44420</v>
      </c>
      <c r="C736" s="1" t="n">
        <v>45574</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40876-2021</t>
        </is>
      </c>
      <c r="B737" s="1" t="n">
        <v>44421</v>
      </c>
      <c r="C737" s="1" t="n">
        <v>45574</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41253-2021</t>
        </is>
      </c>
      <c r="B738" s="1" t="n">
        <v>44424</v>
      </c>
      <c r="C738" s="1" t="n">
        <v>45574</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41377-2021</t>
        </is>
      </c>
      <c r="B739" s="1" t="n">
        <v>44424</v>
      </c>
      <c r="C739" s="1" t="n">
        <v>45574</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41633-2021</t>
        </is>
      </c>
      <c r="B740" s="1" t="n">
        <v>44425</v>
      </c>
      <c r="C740" s="1" t="n">
        <v>45574</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41671-2021</t>
        </is>
      </c>
      <c r="B741" s="1" t="n">
        <v>44425</v>
      </c>
      <c r="C741" s="1" t="n">
        <v>45574</v>
      </c>
      <c r="D741" t="inlineStr">
        <is>
          <t>VÄRMLANDS LÄN</t>
        </is>
      </c>
      <c r="E741" t="inlineStr">
        <is>
          <t>TORSBY</t>
        </is>
      </c>
      <c r="F741" t="inlineStr">
        <is>
          <t>Övriga Aktiebolag</t>
        </is>
      </c>
      <c r="G741" t="n">
        <v>10.1</v>
      </c>
      <c r="H741" t="n">
        <v>0</v>
      </c>
      <c r="I741" t="n">
        <v>0</v>
      </c>
      <c r="J741" t="n">
        <v>0</v>
      </c>
      <c r="K741" t="n">
        <v>0</v>
      </c>
      <c r="L741" t="n">
        <v>0</v>
      </c>
      <c r="M741" t="n">
        <v>0</v>
      </c>
      <c r="N741" t="n">
        <v>0</v>
      </c>
      <c r="O741" t="n">
        <v>0</v>
      </c>
      <c r="P741" t="n">
        <v>0</v>
      </c>
      <c r="Q741" t="n">
        <v>0</v>
      </c>
      <c r="R741" s="2" t="inlineStr"/>
    </row>
    <row r="742" ht="15" customHeight="1">
      <c r="A742" t="inlineStr">
        <is>
          <t>A 41678-2021</t>
        </is>
      </c>
      <c r="B742" s="1" t="n">
        <v>44425</v>
      </c>
      <c r="C742" s="1" t="n">
        <v>45574</v>
      </c>
      <c r="D742" t="inlineStr">
        <is>
          <t>VÄRMLANDS LÄN</t>
        </is>
      </c>
      <c r="E742" t="inlineStr">
        <is>
          <t>TORSBY</t>
        </is>
      </c>
      <c r="G742" t="n">
        <v>4.3</v>
      </c>
      <c r="H742" t="n">
        <v>0</v>
      </c>
      <c r="I742" t="n">
        <v>0</v>
      </c>
      <c r="J742" t="n">
        <v>0</v>
      </c>
      <c r="K742" t="n">
        <v>0</v>
      </c>
      <c r="L742" t="n">
        <v>0</v>
      </c>
      <c r="M742" t="n">
        <v>0</v>
      </c>
      <c r="N742" t="n">
        <v>0</v>
      </c>
      <c r="O742" t="n">
        <v>0</v>
      </c>
      <c r="P742" t="n">
        <v>0</v>
      </c>
      <c r="Q742" t="n">
        <v>0</v>
      </c>
      <c r="R742" s="2" t="inlineStr"/>
    </row>
    <row r="743" ht="15" customHeight="1">
      <c r="A743" t="inlineStr">
        <is>
          <t>A 41808-2021</t>
        </is>
      </c>
      <c r="B743" s="1" t="n">
        <v>44425</v>
      </c>
      <c r="C743" s="1" t="n">
        <v>45574</v>
      </c>
      <c r="D743" t="inlineStr">
        <is>
          <t>VÄRMLANDS LÄN</t>
        </is>
      </c>
      <c r="E743" t="inlineStr">
        <is>
          <t>TORSBY</t>
        </is>
      </c>
      <c r="G743" t="n">
        <v>2.7</v>
      </c>
      <c r="H743" t="n">
        <v>0</v>
      </c>
      <c r="I743" t="n">
        <v>0</v>
      </c>
      <c r="J743" t="n">
        <v>0</v>
      </c>
      <c r="K743" t="n">
        <v>0</v>
      </c>
      <c r="L743" t="n">
        <v>0</v>
      </c>
      <c r="M743" t="n">
        <v>0</v>
      </c>
      <c r="N743" t="n">
        <v>0</v>
      </c>
      <c r="O743" t="n">
        <v>0</v>
      </c>
      <c r="P743" t="n">
        <v>0</v>
      </c>
      <c r="Q743" t="n">
        <v>0</v>
      </c>
      <c r="R743" s="2" t="inlineStr"/>
    </row>
    <row r="744" ht="15" customHeight="1">
      <c r="A744" t="inlineStr">
        <is>
          <t>A 42347-2021</t>
        </is>
      </c>
      <c r="B744" s="1" t="n">
        <v>44427</v>
      </c>
      <c r="C744" s="1" t="n">
        <v>45574</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42615-2021</t>
        </is>
      </c>
      <c r="B745" s="1" t="n">
        <v>44428</v>
      </c>
      <c r="C745" s="1" t="n">
        <v>45574</v>
      </c>
      <c r="D745" t="inlineStr">
        <is>
          <t>VÄRMLANDS LÄN</t>
        </is>
      </c>
      <c r="E745" t="inlineStr">
        <is>
          <t>TORSBY</t>
        </is>
      </c>
      <c r="F745" t="inlineStr">
        <is>
          <t>Bergvik skog väst AB</t>
        </is>
      </c>
      <c r="G745" t="n">
        <v>37.2</v>
      </c>
      <c r="H745" t="n">
        <v>0</v>
      </c>
      <c r="I745" t="n">
        <v>0</v>
      </c>
      <c r="J745" t="n">
        <v>0</v>
      </c>
      <c r="K745" t="n">
        <v>0</v>
      </c>
      <c r="L745" t="n">
        <v>0</v>
      </c>
      <c r="M745" t="n">
        <v>0</v>
      </c>
      <c r="N745" t="n">
        <v>0</v>
      </c>
      <c r="O745" t="n">
        <v>0</v>
      </c>
      <c r="P745" t="n">
        <v>0</v>
      </c>
      <c r="Q745" t="n">
        <v>0</v>
      </c>
      <c r="R745" s="2" t="inlineStr"/>
    </row>
    <row r="746" ht="15" customHeight="1">
      <c r="A746" t="inlineStr">
        <is>
          <t>A 42646-2021</t>
        </is>
      </c>
      <c r="B746" s="1" t="n">
        <v>44428</v>
      </c>
      <c r="C746" s="1" t="n">
        <v>45574</v>
      </c>
      <c r="D746" t="inlineStr">
        <is>
          <t>VÄRMLANDS LÄN</t>
        </is>
      </c>
      <c r="E746" t="inlineStr">
        <is>
          <t>TORSBY</t>
        </is>
      </c>
      <c r="F746" t="inlineStr">
        <is>
          <t>Bergvik skog väst AB</t>
        </is>
      </c>
      <c r="G746" t="n">
        <v>21.4</v>
      </c>
      <c r="H746" t="n">
        <v>0</v>
      </c>
      <c r="I746" t="n">
        <v>0</v>
      </c>
      <c r="J746" t="n">
        <v>0</v>
      </c>
      <c r="K746" t="n">
        <v>0</v>
      </c>
      <c r="L746" t="n">
        <v>0</v>
      </c>
      <c r="M746" t="n">
        <v>0</v>
      </c>
      <c r="N746" t="n">
        <v>0</v>
      </c>
      <c r="O746" t="n">
        <v>0</v>
      </c>
      <c r="P746" t="n">
        <v>0</v>
      </c>
      <c r="Q746" t="n">
        <v>0</v>
      </c>
      <c r="R746" s="2" t="inlineStr"/>
    </row>
    <row r="747" ht="15" customHeight="1">
      <c r="A747" t="inlineStr">
        <is>
          <t>A 43052-2021</t>
        </is>
      </c>
      <c r="B747" s="1" t="n">
        <v>44431</v>
      </c>
      <c r="C747" s="1" t="n">
        <v>45574</v>
      </c>
      <c r="D747" t="inlineStr">
        <is>
          <t>VÄRMLANDS LÄN</t>
        </is>
      </c>
      <c r="E747" t="inlineStr">
        <is>
          <t>TORSBY</t>
        </is>
      </c>
      <c r="G747" t="n">
        <v>25.1</v>
      </c>
      <c r="H747" t="n">
        <v>0</v>
      </c>
      <c r="I747" t="n">
        <v>0</v>
      </c>
      <c r="J747" t="n">
        <v>0</v>
      </c>
      <c r="K747" t="n">
        <v>0</v>
      </c>
      <c r="L747" t="n">
        <v>0</v>
      </c>
      <c r="M747" t="n">
        <v>0</v>
      </c>
      <c r="N747" t="n">
        <v>0</v>
      </c>
      <c r="O747" t="n">
        <v>0</v>
      </c>
      <c r="P747" t="n">
        <v>0</v>
      </c>
      <c r="Q747" t="n">
        <v>0</v>
      </c>
      <c r="R747" s="2" t="inlineStr"/>
    </row>
    <row r="748" ht="15" customHeight="1">
      <c r="A748" t="inlineStr">
        <is>
          <t>A 43060-2021</t>
        </is>
      </c>
      <c r="B748" s="1" t="n">
        <v>44431</v>
      </c>
      <c r="C748" s="1" t="n">
        <v>45574</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43128-2021</t>
        </is>
      </c>
      <c r="B749" s="1" t="n">
        <v>44431</v>
      </c>
      <c r="C749" s="1" t="n">
        <v>45574</v>
      </c>
      <c r="D749" t="inlineStr">
        <is>
          <t>VÄRMLANDS LÄN</t>
        </is>
      </c>
      <c r="E749" t="inlineStr">
        <is>
          <t>TORSBY</t>
        </is>
      </c>
      <c r="G749" t="n">
        <v>10.9</v>
      </c>
      <c r="H749" t="n">
        <v>0</v>
      </c>
      <c r="I749" t="n">
        <v>0</v>
      </c>
      <c r="J749" t="n">
        <v>0</v>
      </c>
      <c r="K749" t="n">
        <v>0</v>
      </c>
      <c r="L749" t="n">
        <v>0</v>
      </c>
      <c r="M749" t="n">
        <v>0</v>
      </c>
      <c r="N749" t="n">
        <v>0</v>
      </c>
      <c r="O749" t="n">
        <v>0</v>
      </c>
      <c r="P749" t="n">
        <v>0</v>
      </c>
      <c r="Q749" t="n">
        <v>0</v>
      </c>
      <c r="R749" s="2" t="inlineStr"/>
    </row>
    <row r="750" ht="15" customHeight="1">
      <c r="A750" t="inlineStr">
        <is>
          <t>A 43136-2021</t>
        </is>
      </c>
      <c r="B750" s="1" t="n">
        <v>44431</v>
      </c>
      <c r="C750" s="1" t="n">
        <v>45574</v>
      </c>
      <c r="D750" t="inlineStr">
        <is>
          <t>VÄRMLANDS LÄN</t>
        </is>
      </c>
      <c r="E750" t="inlineStr">
        <is>
          <t>TORSBY</t>
        </is>
      </c>
      <c r="G750" t="n">
        <v>14.4</v>
      </c>
      <c r="H750" t="n">
        <v>0</v>
      </c>
      <c r="I750" t="n">
        <v>0</v>
      </c>
      <c r="J750" t="n">
        <v>0</v>
      </c>
      <c r="K750" t="n">
        <v>0</v>
      </c>
      <c r="L750" t="n">
        <v>0</v>
      </c>
      <c r="M750" t="n">
        <v>0</v>
      </c>
      <c r="N750" t="n">
        <v>0</v>
      </c>
      <c r="O750" t="n">
        <v>0</v>
      </c>
      <c r="P750" t="n">
        <v>0</v>
      </c>
      <c r="Q750" t="n">
        <v>0</v>
      </c>
      <c r="R750" s="2" t="inlineStr"/>
    </row>
    <row r="751" ht="15" customHeight="1">
      <c r="A751" t="inlineStr">
        <is>
          <t>A 43169-2021</t>
        </is>
      </c>
      <c r="B751" s="1" t="n">
        <v>44431</v>
      </c>
      <c r="C751" s="1" t="n">
        <v>45574</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43095-2021</t>
        </is>
      </c>
      <c r="B752" s="1" t="n">
        <v>44431</v>
      </c>
      <c r="C752" s="1" t="n">
        <v>45574</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43157-2021</t>
        </is>
      </c>
      <c r="B753" s="1" t="n">
        <v>44431</v>
      </c>
      <c r="C753" s="1" t="n">
        <v>45574</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43127-2021</t>
        </is>
      </c>
      <c r="B754" s="1" t="n">
        <v>44431</v>
      </c>
      <c r="C754" s="1" t="n">
        <v>45574</v>
      </c>
      <c r="D754" t="inlineStr">
        <is>
          <t>VÄRMLANDS LÄN</t>
        </is>
      </c>
      <c r="E754" t="inlineStr">
        <is>
          <t>TORSBY</t>
        </is>
      </c>
      <c r="G754" t="n">
        <v>23.3</v>
      </c>
      <c r="H754" t="n">
        <v>0</v>
      </c>
      <c r="I754" t="n">
        <v>0</v>
      </c>
      <c r="J754" t="n">
        <v>0</v>
      </c>
      <c r="K754" t="n">
        <v>0</v>
      </c>
      <c r="L754" t="n">
        <v>0</v>
      </c>
      <c r="M754" t="n">
        <v>0</v>
      </c>
      <c r="N754" t="n">
        <v>0</v>
      </c>
      <c r="O754" t="n">
        <v>0</v>
      </c>
      <c r="P754" t="n">
        <v>0</v>
      </c>
      <c r="Q754" t="n">
        <v>0</v>
      </c>
      <c r="R754" s="2" t="inlineStr"/>
    </row>
    <row r="755" ht="15" customHeight="1">
      <c r="A755" t="inlineStr">
        <is>
          <t>A 43161-2021</t>
        </is>
      </c>
      <c r="B755" s="1" t="n">
        <v>44431</v>
      </c>
      <c r="C755" s="1" t="n">
        <v>45574</v>
      </c>
      <c r="D755" t="inlineStr">
        <is>
          <t>VÄRMLANDS LÄN</t>
        </is>
      </c>
      <c r="E755" t="inlineStr">
        <is>
          <t>TORSBY</t>
        </is>
      </c>
      <c r="G755" t="n">
        <v>3.7</v>
      </c>
      <c r="H755" t="n">
        <v>0</v>
      </c>
      <c r="I755" t="n">
        <v>0</v>
      </c>
      <c r="J755" t="n">
        <v>0</v>
      </c>
      <c r="K755" t="n">
        <v>0</v>
      </c>
      <c r="L755" t="n">
        <v>0</v>
      </c>
      <c r="M755" t="n">
        <v>0</v>
      </c>
      <c r="N755" t="n">
        <v>0</v>
      </c>
      <c r="O755" t="n">
        <v>0</v>
      </c>
      <c r="P755" t="n">
        <v>0</v>
      </c>
      <c r="Q755" t="n">
        <v>0</v>
      </c>
      <c r="R755" s="2" t="inlineStr"/>
    </row>
    <row r="756" ht="15" customHeight="1">
      <c r="A756" t="inlineStr">
        <is>
          <t>A 44018-2021</t>
        </is>
      </c>
      <c r="B756" s="1" t="n">
        <v>44434</v>
      </c>
      <c r="C756" s="1" t="n">
        <v>45574</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44418-2021</t>
        </is>
      </c>
      <c r="B757" s="1" t="n">
        <v>44435</v>
      </c>
      <c r="C757" s="1" t="n">
        <v>45574</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44490-2021</t>
        </is>
      </c>
      <c r="B758" s="1" t="n">
        <v>44435</v>
      </c>
      <c r="C758" s="1" t="n">
        <v>45574</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44761-2021</t>
        </is>
      </c>
      <c r="B759" s="1" t="n">
        <v>44438</v>
      </c>
      <c r="C759" s="1" t="n">
        <v>45574</v>
      </c>
      <c r="D759" t="inlineStr">
        <is>
          <t>VÄRMLANDS LÄN</t>
        </is>
      </c>
      <c r="E759" t="inlineStr">
        <is>
          <t>TORSBY</t>
        </is>
      </c>
      <c r="G759" t="n">
        <v>6.5</v>
      </c>
      <c r="H759" t="n">
        <v>0</v>
      </c>
      <c r="I759" t="n">
        <v>0</v>
      </c>
      <c r="J759" t="n">
        <v>0</v>
      </c>
      <c r="K759" t="n">
        <v>0</v>
      </c>
      <c r="L759" t="n">
        <v>0</v>
      </c>
      <c r="M759" t="n">
        <v>0</v>
      </c>
      <c r="N759" t="n">
        <v>0</v>
      </c>
      <c r="O759" t="n">
        <v>0</v>
      </c>
      <c r="P759" t="n">
        <v>0</v>
      </c>
      <c r="Q759" t="n">
        <v>0</v>
      </c>
      <c r="R759" s="2" t="inlineStr"/>
    </row>
    <row r="760" ht="15" customHeight="1">
      <c r="A760" t="inlineStr">
        <is>
          <t>A 44979-2021</t>
        </is>
      </c>
      <c r="B760" s="1" t="n">
        <v>44438</v>
      </c>
      <c r="C760" s="1" t="n">
        <v>45574</v>
      </c>
      <c r="D760" t="inlineStr">
        <is>
          <t>VÄRMLANDS LÄN</t>
        </is>
      </c>
      <c r="E760" t="inlineStr">
        <is>
          <t>TORSBY</t>
        </is>
      </c>
      <c r="F760" t="inlineStr">
        <is>
          <t>Bergvik skog väst AB</t>
        </is>
      </c>
      <c r="G760" t="n">
        <v>22.2</v>
      </c>
      <c r="H760" t="n">
        <v>0</v>
      </c>
      <c r="I760" t="n">
        <v>0</v>
      </c>
      <c r="J760" t="n">
        <v>0</v>
      </c>
      <c r="K760" t="n">
        <v>0</v>
      </c>
      <c r="L760" t="n">
        <v>0</v>
      </c>
      <c r="M760" t="n">
        <v>0</v>
      </c>
      <c r="N760" t="n">
        <v>0</v>
      </c>
      <c r="O760" t="n">
        <v>0</v>
      </c>
      <c r="P760" t="n">
        <v>0</v>
      </c>
      <c r="Q760" t="n">
        <v>0</v>
      </c>
      <c r="R760" s="2" t="inlineStr"/>
    </row>
    <row r="761" ht="15" customHeight="1">
      <c r="A761" t="inlineStr">
        <is>
          <t>A 44923-2021</t>
        </is>
      </c>
      <c r="B761" s="1" t="n">
        <v>44438</v>
      </c>
      <c r="C761" s="1" t="n">
        <v>45574</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45445-2021</t>
        </is>
      </c>
      <c r="B762" s="1" t="n">
        <v>44440</v>
      </c>
      <c r="C762" s="1" t="n">
        <v>45574</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45447-2021</t>
        </is>
      </c>
      <c r="B763" s="1" t="n">
        <v>44440</v>
      </c>
      <c r="C763" s="1" t="n">
        <v>45574</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46302-2021</t>
        </is>
      </c>
      <c r="B764" s="1" t="n">
        <v>44442</v>
      </c>
      <c r="C764" s="1" t="n">
        <v>45574</v>
      </c>
      <c r="D764" t="inlineStr">
        <is>
          <t>VÄRMLANDS LÄN</t>
        </is>
      </c>
      <c r="E764" t="inlineStr">
        <is>
          <t>TORSBY</t>
        </is>
      </c>
      <c r="F764" t="inlineStr">
        <is>
          <t>Bergvik skog väst AB</t>
        </is>
      </c>
      <c r="G764" t="n">
        <v>3.1</v>
      </c>
      <c r="H764" t="n">
        <v>0</v>
      </c>
      <c r="I764" t="n">
        <v>0</v>
      </c>
      <c r="J764" t="n">
        <v>0</v>
      </c>
      <c r="K764" t="n">
        <v>0</v>
      </c>
      <c r="L764" t="n">
        <v>0</v>
      </c>
      <c r="M764" t="n">
        <v>0</v>
      </c>
      <c r="N764" t="n">
        <v>0</v>
      </c>
      <c r="O764" t="n">
        <v>0</v>
      </c>
      <c r="P764" t="n">
        <v>0</v>
      </c>
      <c r="Q764" t="n">
        <v>0</v>
      </c>
      <c r="R764" s="2" t="inlineStr"/>
    </row>
    <row r="765" ht="15" customHeight="1">
      <c r="A765" t="inlineStr">
        <is>
          <t>A 46503-2021</t>
        </is>
      </c>
      <c r="B765" s="1" t="n">
        <v>44445</v>
      </c>
      <c r="C765" s="1" t="n">
        <v>45574</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46610-2021</t>
        </is>
      </c>
      <c r="B766" s="1" t="n">
        <v>44445</v>
      </c>
      <c r="C766" s="1" t="n">
        <v>45574</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46795-2021</t>
        </is>
      </c>
      <c r="B767" s="1" t="n">
        <v>44446</v>
      </c>
      <c r="C767" s="1" t="n">
        <v>45574</v>
      </c>
      <c r="D767" t="inlineStr">
        <is>
          <t>VÄRMLANDS LÄN</t>
        </is>
      </c>
      <c r="E767" t="inlineStr">
        <is>
          <t>TORSBY</t>
        </is>
      </c>
      <c r="G767" t="n">
        <v>6</v>
      </c>
      <c r="H767" t="n">
        <v>0</v>
      </c>
      <c r="I767" t="n">
        <v>0</v>
      </c>
      <c r="J767" t="n">
        <v>0</v>
      </c>
      <c r="K767" t="n">
        <v>0</v>
      </c>
      <c r="L767" t="n">
        <v>0</v>
      </c>
      <c r="M767" t="n">
        <v>0</v>
      </c>
      <c r="N767" t="n">
        <v>0</v>
      </c>
      <c r="O767" t="n">
        <v>0</v>
      </c>
      <c r="P767" t="n">
        <v>0</v>
      </c>
      <c r="Q767" t="n">
        <v>0</v>
      </c>
      <c r="R767" s="2" t="inlineStr"/>
    </row>
    <row r="768" ht="15" customHeight="1">
      <c r="A768" t="inlineStr">
        <is>
          <t>A 46934-2021</t>
        </is>
      </c>
      <c r="B768" s="1" t="n">
        <v>44446</v>
      </c>
      <c r="C768" s="1" t="n">
        <v>45574</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46880-2021</t>
        </is>
      </c>
      <c r="B769" s="1" t="n">
        <v>44446</v>
      </c>
      <c r="C769" s="1" t="n">
        <v>45574</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47083-2021</t>
        </is>
      </c>
      <c r="B770" s="1" t="n">
        <v>44446</v>
      </c>
      <c r="C770" s="1" t="n">
        <v>45574</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47098-2021</t>
        </is>
      </c>
      <c r="B771" s="1" t="n">
        <v>44446</v>
      </c>
      <c r="C771" s="1" t="n">
        <v>45574</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47271-2021</t>
        </is>
      </c>
      <c r="B772" s="1" t="n">
        <v>44447</v>
      </c>
      <c r="C772" s="1" t="n">
        <v>45574</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47299-2021</t>
        </is>
      </c>
      <c r="B773" s="1" t="n">
        <v>44447</v>
      </c>
      <c r="C773" s="1" t="n">
        <v>45574</v>
      </c>
      <c r="D773" t="inlineStr">
        <is>
          <t>VÄRMLANDS LÄN</t>
        </is>
      </c>
      <c r="E773" t="inlineStr">
        <is>
          <t>TORSBY</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47602-2021</t>
        </is>
      </c>
      <c r="B774" s="1" t="n">
        <v>44448</v>
      </c>
      <c r="C774" s="1" t="n">
        <v>45574</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48159-2021</t>
        </is>
      </c>
      <c r="B775" s="1" t="n">
        <v>44449</v>
      </c>
      <c r="C775" s="1" t="n">
        <v>45574</v>
      </c>
      <c r="D775" t="inlineStr">
        <is>
          <t>VÄRMLANDS LÄN</t>
        </is>
      </c>
      <c r="E775" t="inlineStr">
        <is>
          <t>TORSBY</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48188-2021</t>
        </is>
      </c>
      <c r="B776" s="1" t="n">
        <v>44449</v>
      </c>
      <c r="C776" s="1" t="n">
        <v>45574</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48324-2021</t>
        </is>
      </c>
      <c r="B777" s="1" t="n">
        <v>44450</v>
      </c>
      <c r="C777" s="1" t="n">
        <v>45574</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48657-2021</t>
        </is>
      </c>
      <c r="B778" s="1" t="n">
        <v>44452</v>
      </c>
      <c r="C778" s="1" t="n">
        <v>45574</v>
      </c>
      <c r="D778" t="inlineStr">
        <is>
          <t>VÄRMLANDS LÄN</t>
        </is>
      </c>
      <c r="E778" t="inlineStr">
        <is>
          <t>TORSBY</t>
        </is>
      </c>
      <c r="F778" t="inlineStr">
        <is>
          <t>Bergvik skog väst AB</t>
        </is>
      </c>
      <c r="G778" t="n">
        <v>7.8</v>
      </c>
      <c r="H778" t="n">
        <v>0</v>
      </c>
      <c r="I778" t="n">
        <v>0</v>
      </c>
      <c r="J778" t="n">
        <v>0</v>
      </c>
      <c r="K778" t="n">
        <v>0</v>
      </c>
      <c r="L778" t="n">
        <v>0</v>
      </c>
      <c r="M778" t="n">
        <v>0</v>
      </c>
      <c r="N778" t="n">
        <v>0</v>
      </c>
      <c r="O778" t="n">
        <v>0</v>
      </c>
      <c r="P778" t="n">
        <v>0</v>
      </c>
      <c r="Q778" t="n">
        <v>0</v>
      </c>
      <c r="R778" s="2" t="inlineStr"/>
    </row>
    <row r="779" ht="15" customHeight="1">
      <c r="A779" t="inlineStr">
        <is>
          <t>A 48771-2021</t>
        </is>
      </c>
      <c r="B779" s="1" t="n">
        <v>44452</v>
      </c>
      <c r="C779" s="1" t="n">
        <v>45574</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49192-2021</t>
        </is>
      </c>
      <c r="B780" s="1" t="n">
        <v>44454</v>
      </c>
      <c r="C780" s="1" t="n">
        <v>45574</v>
      </c>
      <c r="D780" t="inlineStr">
        <is>
          <t>VÄRMLANDS LÄN</t>
        </is>
      </c>
      <c r="E780" t="inlineStr">
        <is>
          <t>TORSBY</t>
        </is>
      </c>
      <c r="F780" t="inlineStr">
        <is>
          <t>Bergvik skog väst AB</t>
        </is>
      </c>
      <c r="G780" t="n">
        <v>2.3</v>
      </c>
      <c r="H780" t="n">
        <v>0</v>
      </c>
      <c r="I780" t="n">
        <v>0</v>
      </c>
      <c r="J780" t="n">
        <v>0</v>
      </c>
      <c r="K780" t="n">
        <v>0</v>
      </c>
      <c r="L780" t="n">
        <v>0</v>
      </c>
      <c r="M780" t="n">
        <v>0</v>
      </c>
      <c r="N780" t="n">
        <v>0</v>
      </c>
      <c r="O780" t="n">
        <v>0</v>
      </c>
      <c r="P780" t="n">
        <v>0</v>
      </c>
      <c r="Q780" t="n">
        <v>0</v>
      </c>
      <c r="R780" s="2" t="inlineStr"/>
    </row>
    <row r="781" ht="15" customHeight="1">
      <c r="A781" t="inlineStr">
        <is>
          <t>A 49900-2021</t>
        </is>
      </c>
      <c r="B781" s="1" t="n">
        <v>44455</v>
      </c>
      <c r="C781" s="1" t="n">
        <v>45574</v>
      </c>
      <c r="D781" t="inlineStr">
        <is>
          <t>VÄRMLANDS LÄN</t>
        </is>
      </c>
      <c r="E781" t="inlineStr">
        <is>
          <t>TORSBY</t>
        </is>
      </c>
      <c r="G781" t="n">
        <v>4.1</v>
      </c>
      <c r="H781" t="n">
        <v>0</v>
      </c>
      <c r="I781" t="n">
        <v>0</v>
      </c>
      <c r="J781" t="n">
        <v>0</v>
      </c>
      <c r="K781" t="n">
        <v>0</v>
      </c>
      <c r="L781" t="n">
        <v>0</v>
      </c>
      <c r="M781" t="n">
        <v>0</v>
      </c>
      <c r="N781" t="n">
        <v>0</v>
      </c>
      <c r="O781" t="n">
        <v>0</v>
      </c>
      <c r="P781" t="n">
        <v>0</v>
      </c>
      <c r="Q781" t="n">
        <v>0</v>
      </c>
      <c r="R781" s="2" t="inlineStr"/>
    </row>
    <row r="782" ht="15" customHeight="1">
      <c r="A782" t="inlineStr">
        <is>
          <t>A 50100-2021</t>
        </is>
      </c>
      <c r="B782" s="1" t="n">
        <v>44456</v>
      </c>
      <c r="C782" s="1" t="n">
        <v>45574</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50596-2021</t>
        </is>
      </c>
      <c r="B783" s="1" t="n">
        <v>44459</v>
      </c>
      <c r="C783" s="1" t="n">
        <v>45574</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50549-2021</t>
        </is>
      </c>
      <c r="B784" s="1" t="n">
        <v>44459</v>
      </c>
      <c r="C784" s="1" t="n">
        <v>45574</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50988-2021</t>
        </is>
      </c>
      <c r="B785" s="1" t="n">
        <v>44460</v>
      </c>
      <c r="C785" s="1" t="n">
        <v>45574</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51505-2021</t>
        </is>
      </c>
      <c r="B786" s="1" t="n">
        <v>44460</v>
      </c>
      <c r="C786" s="1" t="n">
        <v>45574</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51494-2021</t>
        </is>
      </c>
      <c r="B787" s="1" t="n">
        <v>44460</v>
      </c>
      <c r="C787" s="1" t="n">
        <v>45574</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51510-2021</t>
        </is>
      </c>
      <c r="B788" s="1" t="n">
        <v>44460</v>
      </c>
      <c r="C788" s="1" t="n">
        <v>45574</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51099-2021</t>
        </is>
      </c>
      <c r="B789" s="1" t="n">
        <v>44461</v>
      </c>
      <c r="C789" s="1" t="n">
        <v>45574</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51247-2021</t>
        </is>
      </c>
      <c r="B790" s="1" t="n">
        <v>44461</v>
      </c>
      <c r="C790" s="1" t="n">
        <v>45574</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51372-2021</t>
        </is>
      </c>
      <c r="B791" s="1" t="n">
        <v>44461</v>
      </c>
      <c r="C791" s="1" t="n">
        <v>45574</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51819-2021</t>
        </is>
      </c>
      <c r="B792" s="1" t="n">
        <v>44462</v>
      </c>
      <c r="C792" s="1" t="n">
        <v>45574</v>
      </c>
      <c r="D792" t="inlineStr">
        <is>
          <t>VÄRMLANDS LÄN</t>
        </is>
      </c>
      <c r="E792" t="inlineStr">
        <is>
          <t>TORSBY</t>
        </is>
      </c>
      <c r="F792" t="inlineStr">
        <is>
          <t>Bergvik skog väst AB</t>
        </is>
      </c>
      <c r="G792" t="n">
        <v>14.7</v>
      </c>
      <c r="H792" t="n">
        <v>0</v>
      </c>
      <c r="I792" t="n">
        <v>0</v>
      </c>
      <c r="J792" t="n">
        <v>0</v>
      </c>
      <c r="K792" t="n">
        <v>0</v>
      </c>
      <c r="L792" t="n">
        <v>0</v>
      </c>
      <c r="M792" t="n">
        <v>0</v>
      </c>
      <c r="N792" t="n">
        <v>0</v>
      </c>
      <c r="O792" t="n">
        <v>0</v>
      </c>
      <c r="P792" t="n">
        <v>0</v>
      </c>
      <c r="Q792" t="n">
        <v>0</v>
      </c>
      <c r="R792" s="2" t="inlineStr"/>
    </row>
    <row r="793" ht="15" customHeight="1">
      <c r="A793" t="inlineStr">
        <is>
          <t>A 51522-2021</t>
        </is>
      </c>
      <c r="B793" s="1" t="n">
        <v>44462</v>
      </c>
      <c r="C793" s="1" t="n">
        <v>45574</v>
      </c>
      <c r="D793" t="inlineStr">
        <is>
          <t>VÄRMLANDS LÄN</t>
        </is>
      </c>
      <c r="E793" t="inlineStr">
        <is>
          <t>TORSBY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52121-2021</t>
        </is>
      </c>
      <c r="B794" s="1" t="n">
        <v>44463</v>
      </c>
      <c r="C794" s="1" t="n">
        <v>45574</v>
      </c>
      <c r="D794" t="inlineStr">
        <is>
          <t>VÄRMLANDS LÄN</t>
        </is>
      </c>
      <c r="E794" t="inlineStr">
        <is>
          <t>TORSBY</t>
        </is>
      </c>
      <c r="G794" t="n">
        <v>0</v>
      </c>
      <c r="H794" t="n">
        <v>0</v>
      </c>
      <c r="I794" t="n">
        <v>0</v>
      </c>
      <c r="J794" t="n">
        <v>0</v>
      </c>
      <c r="K794" t="n">
        <v>0</v>
      </c>
      <c r="L794" t="n">
        <v>0</v>
      </c>
      <c r="M794" t="n">
        <v>0</v>
      </c>
      <c r="N794" t="n">
        <v>0</v>
      </c>
      <c r="O794" t="n">
        <v>0</v>
      </c>
      <c r="P794" t="n">
        <v>0</v>
      </c>
      <c r="Q794" t="n">
        <v>0</v>
      </c>
      <c r="R794" s="2" t="inlineStr"/>
    </row>
    <row r="795" ht="15" customHeight="1">
      <c r="A795" t="inlineStr">
        <is>
          <t>A 52520-2021</t>
        </is>
      </c>
      <c r="B795" s="1" t="n">
        <v>44466</v>
      </c>
      <c r="C795" s="1" t="n">
        <v>45574</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52728-2021</t>
        </is>
      </c>
      <c r="B796" s="1" t="n">
        <v>44467</v>
      </c>
      <c r="C796" s="1" t="n">
        <v>45574</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52900-2021</t>
        </is>
      </c>
      <c r="B797" s="1" t="n">
        <v>44467</v>
      </c>
      <c r="C797" s="1" t="n">
        <v>45574</v>
      </c>
      <c r="D797" t="inlineStr">
        <is>
          <t>VÄRMLANDS LÄN</t>
        </is>
      </c>
      <c r="E797" t="inlineStr">
        <is>
          <t>TORSBY</t>
        </is>
      </c>
      <c r="G797" t="n">
        <v>3.8</v>
      </c>
      <c r="H797" t="n">
        <v>0</v>
      </c>
      <c r="I797" t="n">
        <v>0</v>
      </c>
      <c r="J797" t="n">
        <v>0</v>
      </c>
      <c r="K797" t="n">
        <v>0</v>
      </c>
      <c r="L797" t="n">
        <v>0</v>
      </c>
      <c r="M797" t="n">
        <v>0</v>
      </c>
      <c r="N797" t="n">
        <v>0</v>
      </c>
      <c r="O797" t="n">
        <v>0</v>
      </c>
      <c r="P797" t="n">
        <v>0</v>
      </c>
      <c r="Q797" t="n">
        <v>0</v>
      </c>
      <c r="R797" s="2" t="inlineStr"/>
    </row>
    <row r="798" ht="15" customHeight="1">
      <c r="A798" t="inlineStr">
        <is>
          <t>A 53705-2021</t>
        </is>
      </c>
      <c r="B798" s="1" t="n">
        <v>44469</v>
      </c>
      <c r="C798" s="1" t="n">
        <v>45574</v>
      </c>
      <c r="D798" t="inlineStr">
        <is>
          <t>VÄRMLANDS LÄN</t>
        </is>
      </c>
      <c r="E798" t="inlineStr">
        <is>
          <t>TORSBY</t>
        </is>
      </c>
      <c r="F798" t="inlineStr">
        <is>
          <t>Kyrkan</t>
        </is>
      </c>
      <c r="G798" t="n">
        <v>12.4</v>
      </c>
      <c r="H798" t="n">
        <v>0</v>
      </c>
      <c r="I798" t="n">
        <v>0</v>
      </c>
      <c r="J798" t="n">
        <v>0</v>
      </c>
      <c r="K798" t="n">
        <v>0</v>
      </c>
      <c r="L798" t="n">
        <v>0</v>
      </c>
      <c r="M798" t="n">
        <v>0</v>
      </c>
      <c r="N798" t="n">
        <v>0</v>
      </c>
      <c r="O798" t="n">
        <v>0</v>
      </c>
      <c r="P798" t="n">
        <v>0</v>
      </c>
      <c r="Q798" t="n">
        <v>0</v>
      </c>
      <c r="R798" s="2" t="inlineStr"/>
    </row>
    <row r="799" ht="15" customHeight="1">
      <c r="A799" t="inlineStr">
        <is>
          <t>A 54029-2021</t>
        </is>
      </c>
      <c r="B799" s="1" t="n">
        <v>44470</v>
      </c>
      <c r="C799" s="1" t="n">
        <v>45574</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54033-2021</t>
        </is>
      </c>
      <c r="B800" s="1" t="n">
        <v>44470</v>
      </c>
      <c r="C800" s="1" t="n">
        <v>45574</v>
      </c>
      <c r="D800" t="inlineStr">
        <is>
          <t>VÄRMLANDS LÄN</t>
        </is>
      </c>
      <c r="E800" t="inlineStr">
        <is>
          <t>TORSBY</t>
        </is>
      </c>
      <c r="G800" t="n">
        <v>6</v>
      </c>
      <c r="H800" t="n">
        <v>0</v>
      </c>
      <c r="I800" t="n">
        <v>0</v>
      </c>
      <c r="J800" t="n">
        <v>0</v>
      </c>
      <c r="K800" t="n">
        <v>0</v>
      </c>
      <c r="L800" t="n">
        <v>0</v>
      </c>
      <c r="M800" t="n">
        <v>0</v>
      </c>
      <c r="N800" t="n">
        <v>0</v>
      </c>
      <c r="O800" t="n">
        <v>0</v>
      </c>
      <c r="P800" t="n">
        <v>0</v>
      </c>
      <c r="Q800" t="n">
        <v>0</v>
      </c>
      <c r="R800" s="2" t="inlineStr"/>
    </row>
    <row r="801" ht="15" customHeight="1">
      <c r="A801" t="inlineStr">
        <is>
          <t>A 55794-2021</t>
        </is>
      </c>
      <c r="B801" s="1" t="n">
        <v>44476</v>
      </c>
      <c r="C801" s="1" t="n">
        <v>45574</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55811-2021</t>
        </is>
      </c>
      <c r="B802" s="1" t="n">
        <v>44476</v>
      </c>
      <c r="C802" s="1" t="n">
        <v>45574</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56102-2021</t>
        </is>
      </c>
      <c r="B803" s="1" t="n">
        <v>44477</v>
      </c>
      <c r="C803" s="1" t="n">
        <v>45574</v>
      </c>
      <c r="D803" t="inlineStr">
        <is>
          <t>VÄRMLANDS LÄN</t>
        </is>
      </c>
      <c r="E803" t="inlineStr">
        <is>
          <t>TORSBY</t>
        </is>
      </c>
      <c r="G803" t="n">
        <v>4.6</v>
      </c>
      <c r="H803" t="n">
        <v>0</v>
      </c>
      <c r="I803" t="n">
        <v>0</v>
      </c>
      <c r="J803" t="n">
        <v>0</v>
      </c>
      <c r="K803" t="n">
        <v>0</v>
      </c>
      <c r="L803" t="n">
        <v>0</v>
      </c>
      <c r="M803" t="n">
        <v>0</v>
      </c>
      <c r="N803" t="n">
        <v>0</v>
      </c>
      <c r="O803" t="n">
        <v>0</v>
      </c>
      <c r="P803" t="n">
        <v>0</v>
      </c>
      <c r="Q803" t="n">
        <v>0</v>
      </c>
      <c r="R803" s="2" t="inlineStr"/>
    </row>
    <row r="804" ht="15" customHeight="1">
      <c r="A804" t="inlineStr">
        <is>
          <t>A 56037-2021</t>
        </is>
      </c>
      <c r="B804" s="1" t="n">
        <v>44477</v>
      </c>
      <c r="C804" s="1" t="n">
        <v>45574</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56062-2021</t>
        </is>
      </c>
      <c r="B805" s="1" t="n">
        <v>44477</v>
      </c>
      <c r="C805" s="1" t="n">
        <v>45574</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56981-2021</t>
        </is>
      </c>
      <c r="B806" s="1" t="n">
        <v>44482</v>
      </c>
      <c r="C806" s="1" t="n">
        <v>45574</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57287-2021</t>
        </is>
      </c>
      <c r="B807" s="1" t="n">
        <v>44482</v>
      </c>
      <c r="C807" s="1" t="n">
        <v>45574</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58062-2021</t>
        </is>
      </c>
      <c r="B808" s="1" t="n">
        <v>44487</v>
      </c>
      <c r="C808" s="1" t="n">
        <v>45574</v>
      </c>
      <c r="D808" t="inlineStr">
        <is>
          <t>VÄRMLANDS LÄN</t>
        </is>
      </c>
      <c r="E808" t="inlineStr">
        <is>
          <t>TORSBY</t>
        </is>
      </c>
      <c r="G808" t="n">
        <v>6</v>
      </c>
      <c r="H808" t="n">
        <v>0</v>
      </c>
      <c r="I808" t="n">
        <v>0</v>
      </c>
      <c r="J808" t="n">
        <v>0</v>
      </c>
      <c r="K808" t="n">
        <v>0</v>
      </c>
      <c r="L808" t="n">
        <v>0</v>
      </c>
      <c r="M808" t="n">
        <v>0</v>
      </c>
      <c r="N808" t="n">
        <v>0</v>
      </c>
      <c r="O808" t="n">
        <v>0</v>
      </c>
      <c r="P808" t="n">
        <v>0</v>
      </c>
      <c r="Q808" t="n">
        <v>0</v>
      </c>
      <c r="R808" s="2" t="inlineStr"/>
    </row>
    <row r="809" ht="15" customHeight="1">
      <c r="A809" t="inlineStr">
        <is>
          <t>A 58479-2021</t>
        </is>
      </c>
      <c r="B809" s="1" t="n">
        <v>44488</v>
      </c>
      <c r="C809" s="1" t="n">
        <v>45574</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58476-2021</t>
        </is>
      </c>
      <c r="B810" s="1" t="n">
        <v>44488</v>
      </c>
      <c r="C810" s="1" t="n">
        <v>45574</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58543-2021</t>
        </is>
      </c>
      <c r="B811" s="1" t="n">
        <v>44488</v>
      </c>
      <c r="C811" s="1" t="n">
        <v>45574</v>
      </c>
      <c r="D811" t="inlineStr">
        <is>
          <t>VÄRMLANDS LÄN</t>
        </is>
      </c>
      <c r="E811" t="inlineStr">
        <is>
          <t>TORSBY</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58728-2021</t>
        </is>
      </c>
      <c r="B812" s="1" t="n">
        <v>44489</v>
      </c>
      <c r="C812" s="1" t="n">
        <v>45574</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59425-2021</t>
        </is>
      </c>
      <c r="B813" s="1" t="n">
        <v>44491</v>
      </c>
      <c r="C813" s="1" t="n">
        <v>45574</v>
      </c>
      <c r="D813" t="inlineStr">
        <is>
          <t>VÄRMLANDS LÄN</t>
        </is>
      </c>
      <c r="E813" t="inlineStr">
        <is>
          <t>TORSBY</t>
        </is>
      </c>
      <c r="F813" t="inlineStr">
        <is>
          <t>Bergvik skog väst AB</t>
        </is>
      </c>
      <c r="G813" t="n">
        <v>14.9</v>
      </c>
      <c r="H813" t="n">
        <v>0</v>
      </c>
      <c r="I813" t="n">
        <v>0</v>
      </c>
      <c r="J813" t="n">
        <v>0</v>
      </c>
      <c r="K813" t="n">
        <v>0</v>
      </c>
      <c r="L813" t="n">
        <v>0</v>
      </c>
      <c r="M813" t="n">
        <v>0</v>
      </c>
      <c r="N813" t="n">
        <v>0</v>
      </c>
      <c r="O813" t="n">
        <v>0</v>
      </c>
      <c r="P813" t="n">
        <v>0</v>
      </c>
      <c r="Q813" t="n">
        <v>0</v>
      </c>
      <c r="R813" s="2" t="inlineStr"/>
    </row>
    <row r="814" ht="15" customHeight="1">
      <c r="A814" t="inlineStr">
        <is>
          <t>A 60428-2021</t>
        </is>
      </c>
      <c r="B814" s="1" t="n">
        <v>44496</v>
      </c>
      <c r="C814" s="1" t="n">
        <v>45574</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60430-2021</t>
        </is>
      </c>
      <c r="B815" s="1" t="n">
        <v>44496</v>
      </c>
      <c r="C815" s="1" t="n">
        <v>45574</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60698-2021</t>
        </is>
      </c>
      <c r="B816" s="1" t="n">
        <v>44496</v>
      </c>
      <c r="C816" s="1" t="n">
        <v>45574</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61231-2021</t>
        </is>
      </c>
      <c r="B817" s="1" t="n">
        <v>44496</v>
      </c>
      <c r="C817" s="1" t="n">
        <v>45574</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61812-2021</t>
        </is>
      </c>
      <c r="B818" s="1" t="n">
        <v>44501</v>
      </c>
      <c r="C818" s="1" t="n">
        <v>45574</v>
      </c>
      <c r="D818" t="inlineStr">
        <is>
          <t>VÄRMLANDS LÄN</t>
        </is>
      </c>
      <c r="E818" t="inlineStr">
        <is>
          <t>TORSBY</t>
        </is>
      </c>
      <c r="G818" t="n">
        <v>5.3</v>
      </c>
      <c r="H818" t="n">
        <v>0</v>
      </c>
      <c r="I818" t="n">
        <v>0</v>
      </c>
      <c r="J818" t="n">
        <v>0</v>
      </c>
      <c r="K818" t="n">
        <v>0</v>
      </c>
      <c r="L818" t="n">
        <v>0</v>
      </c>
      <c r="M818" t="n">
        <v>0</v>
      </c>
      <c r="N818" t="n">
        <v>0</v>
      </c>
      <c r="O818" t="n">
        <v>0</v>
      </c>
      <c r="P818" t="n">
        <v>0</v>
      </c>
      <c r="Q818" t="n">
        <v>0</v>
      </c>
      <c r="R818" s="2" t="inlineStr"/>
    </row>
    <row r="819" ht="15" customHeight="1">
      <c r="A819" t="inlineStr">
        <is>
          <t>A 61809-2021</t>
        </is>
      </c>
      <c r="B819" s="1" t="n">
        <v>44501</v>
      </c>
      <c r="C819" s="1" t="n">
        <v>45574</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62045-2021</t>
        </is>
      </c>
      <c r="B820" s="1" t="n">
        <v>44502</v>
      </c>
      <c r="C820" s="1" t="n">
        <v>45574</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62039-2021</t>
        </is>
      </c>
      <c r="B821" s="1" t="n">
        <v>44502</v>
      </c>
      <c r="C821" s="1" t="n">
        <v>45574</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62576-2021</t>
        </is>
      </c>
      <c r="B822" s="1" t="n">
        <v>44502</v>
      </c>
      <c r="C822" s="1" t="n">
        <v>45574</v>
      </c>
      <c r="D822" t="inlineStr">
        <is>
          <t>VÄRMLANDS LÄN</t>
        </is>
      </c>
      <c r="E822" t="inlineStr">
        <is>
          <t>TORSBY</t>
        </is>
      </c>
      <c r="G822" t="n">
        <v>3.3</v>
      </c>
      <c r="H822" t="n">
        <v>0</v>
      </c>
      <c r="I822" t="n">
        <v>0</v>
      </c>
      <c r="J822" t="n">
        <v>0</v>
      </c>
      <c r="K822" t="n">
        <v>0</v>
      </c>
      <c r="L822" t="n">
        <v>0</v>
      </c>
      <c r="M822" t="n">
        <v>0</v>
      </c>
      <c r="N822" t="n">
        <v>0</v>
      </c>
      <c r="O822" t="n">
        <v>0</v>
      </c>
      <c r="P822" t="n">
        <v>0</v>
      </c>
      <c r="Q822" t="n">
        <v>0</v>
      </c>
      <c r="R822" s="2" t="inlineStr"/>
    </row>
    <row r="823" ht="15" customHeight="1">
      <c r="A823" t="inlineStr">
        <is>
          <t>A 62845-2021</t>
        </is>
      </c>
      <c r="B823" s="1" t="n">
        <v>44504</v>
      </c>
      <c r="C823" s="1" t="n">
        <v>45574</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63251-2021</t>
        </is>
      </c>
      <c r="B824" s="1" t="n">
        <v>44508</v>
      </c>
      <c r="C824" s="1" t="n">
        <v>45574</v>
      </c>
      <c r="D824" t="inlineStr">
        <is>
          <t>VÄRMLANDS LÄN</t>
        </is>
      </c>
      <c r="E824" t="inlineStr">
        <is>
          <t>TORSBY</t>
        </is>
      </c>
      <c r="G824" t="n">
        <v>0.7</v>
      </c>
      <c r="H824" t="n">
        <v>0</v>
      </c>
      <c r="I824" t="n">
        <v>0</v>
      </c>
      <c r="J824" t="n">
        <v>0</v>
      </c>
      <c r="K824" t="n">
        <v>0</v>
      </c>
      <c r="L824" t="n">
        <v>0</v>
      </c>
      <c r="M824" t="n">
        <v>0</v>
      </c>
      <c r="N824" t="n">
        <v>0</v>
      </c>
      <c r="O824" t="n">
        <v>0</v>
      </c>
      <c r="P824" t="n">
        <v>0</v>
      </c>
      <c r="Q824" t="n">
        <v>0</v>
      </c>
      <c r="R824" s="2" t="inlineStr"/>
    </row>
    <row r="825" ht="15" customHeight="1">
      <c r="A825" t="inlineStr">
        <is>
          <t>A 63527-2021</t>
        </is>
      </c>
      <c r="B825" s="1" t="n">
        <v>44508</v>
      </c>
      <c r="C825" s="1" t="n">
        <v>45574</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64780-2021</t>
        </is>
      </c>
      <c r="B826" s="1" t="n">
        <v>44512</v>
      </c>
      <c r="C826" s="1" t="n">
        <v>45574</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64902-2021</t>
        </is>
      </c>
      <c r="B827" s="1" t="n">
        <v>44512</v>
      </c>
      <c r="C827" s="1" t="n">
        <v>45574</v>
      </c>
      <c r="D827" t="inlineStr">
        <is>
          <t>VÄRMLANDS LÄN</t>
        </is>
      </c>
      <c r="E827" t="inlineStr">
        <is>
          <t>TORSBY</t>
        </is>
      </c>
      <c r="G827" t="n">
        <v>6.1</v>
      </c>
      <c r="H827" t="n">
        <v>0</v>
      </c>
      <c r="I827" t="n">
        <v>0</v>
      </c>
      <c r="J827" t="n">
        <v>0</v>
      </c>
      <c r="K827" t="n">
        <v>0</v>
      </c>
      <c r="L827" t="n">
        <v>0</v>
      </c>
      <c r="M827" t="n">
        <v>0</v>
      </c>
      <c r="N827" t="n">
        <v>0</v>
      </c>
      <c r="O827" t="n">
        <v>0</v>
      </c>
      <c r="P827" t="n">
        <v>0</v>
      </c>
      <c r="Q827" t="n">
        <v>0</v>
      </c>
      <c r="R827" s="2" t="inlineStr"/>
    </row>
    <row r="828" ht="15" customHeight="1">
      <c r="A828" t="inlineStr">
        <is>
          <t>A 65182-2021</t>
        </is>
      </c>
      <c r="B828" s="1" t="n">
        <v>44515</v>
      </c>
      <c r="C828" s="1" t="n">
        <v>45574</v>
      </c>
      <c r="D828" t="inlineStr">
        <is>
          <t>VÄRMLANDS LÄN</t>
        </is>
      </c>
      <c r="E828" t="inlineStr">
        <is>
          <t>TORSBY</t>
        </is>
      </c>
      <c r="G828" t="n">
        <v>5.9</v>
      </c>
      <c r="H828" t="n">
        <v>0</v>
      </c>
      <c r="I828" t="n">
        <v>0</v>
      </c>
      <c r="J828" t="n">
        <v>0</v>
      </c>
      <c r="K828" t="n">
        <v>0</v>
      </c>
      <c r="L828" t="n">
        <v>0</v>
      </c>
      <c r="M828" t="n">
        <v>0</v>
      </c>
      <c r="N828" t="n">
        <v>0</v>
      </c>
      <c r="O828" t="n">
        <v>0</v>
      </c>
      <c r="P828" t="n">
        <v>0</v>
      </c>
      <c r="Q828" t="n">
        <v>0</v>
      </c>
      <c r="R828" s="2" t="inlineStr"/>
    </row>
    <row r="829" ht="15" customHeight="1">
      <c r="A829" t="inlineStr">
        <is>
          <t>A 65301-2021</t>
        </is>
      </c>
      <c r="B829" s="1" t="n">
        <v>44515</v>
      </c>
      <c r="C829" s="1" t="n">
        <v>45574</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65537-2021</t>
        </is>
      </c>
      <c r="B830" s="1" t="n">
        <v>44516</v>
      </c>
      <c r="C830" s="1" t="n">
        <v>45574</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65713-2021</t>
        </is>
      </c>
      <c r="B831" s="1" t="n">
        <v>44516</v>
      </c>
      <c r="C831" s="1" t="n">
        <v>45574</v>
      </c>
      <c r="D831" t="inlineStr">
        <is>
          <t>VÄRMLANDS LÄN</t>
        </is>
      </c>
      <c r="E831" t="inlineStr">
        <is>
          <t>TORSBY</t>
        </is>
      </c>
      <c r="G831" t="n">
        <v>7</v>
      </c>
      <c r="H831" t="n">
        <v>0</v>
      </c>
      <c r="I831" t="n">
        <v>0</v>
      </c>
      <c r="J831" t="n">
        <v>0</v>
      </c>
      <c r="K831" t="n">
        <v>0</v>
      </c>
      <c r="L831" t="n">
        <v>0</v>
      </c>
      <c r="M831" t="n">
        <v>0</v>
      </c>
      <c r="N831" t="n">
        <v>0</v>
      </c>
      <c r="O831" t="n">
        <v>0</v>
      </c>
      <c r="P831" t="n">
        <v>0</v>
      </c>
      <c r="Q831" t="n">
        <v>0</v>
      </c>
      <c r="R831" s="2" t="inlineStr"/>
    </row>
    <row r="832" ht="15" customHeight="1">
      <c r="A832" t="inlineStr">
        <is>
          <t>A 65705-2021</t>
        </is>
      </c>
      <c r="B832" s="1" t="n">
        <v>44516</v>
      </c>
      <c r="C832" s="1" t="n">
        <v>45574</v>
      </c>
      <c r="D832" t="inlineStr">
        <is>
          <t>VÄRMLANDS LÄN</t>
        </is>
      </c>
      <c r="E832" t="inlineStr">
        <is>
          <t>TORSBY</t>
        </is>
      </c>
      <c r="G832" t="n">
        <v>4.5</v>
      </c>
      <c r="H832" t="n">
        <v>0</v>
      </c>
      <c r="I832" t="n">
        <v>0</v>
      </c>
      <c r="J832" t="n">
        <v>0</v>
      </c>
      <c r="K832" t="n">
        <v>0</v>
      </c>
      <c r="L832" t="n">
        <v>0</v>
      </c>
      <c r="M832" t="n">
        <v>0</v>
      </c>
      <c r="N832" t="n">
        <v>0</v>
      </c>
      <c r="O832" t="n">
        <v>0</v>
      </c>
      <c r="P832" t="n">
        <v>0</v>
      </c>
      <c r="Q832" t="n">
        <v>0</v>
      </c>
      <c r="R832" s="2" t="inlineStr"/>
    </row>
    <row r="833" ht="15" customHeight="1">
      <c r="A833" t="inlineStr">
        <is>
          <t>A 65959-2021</t>
        </is>
      </c>
      <c r="B833" s="1" t="n">
        <v>44517</v>
      </c>
      <c r="C833" s="1" t="n">
        <v>45574</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65998-2021</t>
        </is>
      </c>
      <c r="B834" s="1" t="n">
        <v>44517</v>
      </c>
      <c r="C834" s="1" t="n">
        <v>45574</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66103-2021</t>
        </is>
      </c>
      <c r="B835" s="1" t="n">
        <v>44517</v>
      </c>
      <c r="C835" s="1" t="n">
        <v>45574</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66133-2021</t>
        </is>
      </c>
      <c r="B836" s="1" t="n">
        <v>44517</v>
      </c>
      <c r="C836" s="1" t="n">
        <v>45574</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66978-2021</t>
        </is>
      </c>
      <c r="B837" s="1" t="n">
        <v>44522</v>
      </c>
      <c r="C837" s="1" t="n">
        <v>45574</v>
      </c>
      <c r="D837" t="inlineStr">
        <is>
          <t>VÄRMLANDS LÄN</t>
        </is>
      </c>
      <c r="E837" t="inlineStr">
        <is>
          <t>TORSBY</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67006-2021</t>
        </is>
      </c>
      <c r="B838" s="1" t="n">
        <v>44522</v>
      </c>
      <c r="C838" s="1" t="n">
        <v>45574</v>
      </c>
      <c r="D838" t="inlineStr">
        <is>
          <t>VÄRMLANDS LÄN</t>
        </is>
      </c>
      <c r="E838" t="inlineStr">
        <is>
          <t>TORSBY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67147-2021</t>
        </is>
      </c>
      <c r="B839" s="1" t="n">
        <v>44523</v>
      </c>
      <c r="C839" s="1" t="n">
        <v>45574</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67172-2021</t>
        </is>
      </c>
      <c r="B840" s="1" t="n">
        <v>44523</v>
      </c>
      <c r="C840" s="1" t="n">
        <v>45574</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67567-2021</t>
        </is>
      </c>
      <c r="B841" s="1" t="n">
        <v>44524</v>
      </c>
      <c r="C841" s="1" t="n">
        <v>45574</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67457-2021</t>
        </is>
      </c>
      <c r="B842" s="1" t="n">
        <v>44524</v>
      </c>
      <c r="C842" s="1" t="n">
        <v>45574</v>
      </c>
      <c r="D842" t="inlineStr">
        <is>
          <t>VÄRMLANDS LÄN</t>
        </is>
      </c>
      <c r="E842" t="inlineStr">
        <is>
          <t>TORSBY</t>
        </is>
      </c>
      <c r="G842" t="n">
        <v>7.6</v>
      </c>
      <c r="H842" t="n">
        <v>0</v>
      </c>
      <c r="I842" t="n">
        <v>0</v>
      </c>
      <c r="J842" t="n">
        <v>0</v>
      </c>
      <c r="K842" t="n">
        <v>0</v>
      </c>
      <c r="L842" t="n">
        <v>0</v>
      </c>
      <c r="M842" t="n">
        <v>0</v>
      </c>
      <c r="N842" t="n">
        <v>0</v>
      </c>
      <c r="O842" t="n">
        <v>0</v>
      </c>
      <c r="P842" t="n">
        <v>0</v>
      </c>
      <c r="Q842" t="n">
        <v>0</v>
      </c>
      <c r="R842" s="2" t="inlineStr"/>
    </row>
    <row r="843" ht="15" customHeight="1">
      <c r="A843" t="inlineStr">
        <is>
          <t>A 67933-2021</t>
        </is>
      </c>
      <c r="B843" s="1" t="n">
        <v>44525</v>
      </c>
      <c r="C843" s="1" t="n">
        <v>45574</v>
      </c>
      <c r="D843" t="inlineStr">
        <is>
          <t>VÄRMLANDS LÄN</t>
        </is>
      </c>
      <c r="E843" t="inlineStr">
        <is>
          <t>TORSBY</t>
        </is>
      </c>
      <c r="F843" t="inlineStr">
        <is>
          <t>Bergvik skog väst AB</t>
        </is>
      </c>
      <c r="G843" t="n">
        <v>4</v>
      </c>
      <c r="H843" t="n">
        <v>0</v>
      </c>
      <c r="I843" t="n">
        <v>0</v>
      </c>
      <c r="J843" t="n">
        <v>0</v>
      </c>
      <c r="K843" t="n">
        <v>0</v>
      </c>
      <c r="L843" t="n">
        <v>0</v>
      </c>
      <c r="M843" t="n">
        <v>0</v>
      </c>
      <c r="N843" t="n">
        <v>0</v>
      </c>
      <c r="O843" t="n">
        <v>0</v>
      </c>
      <c r="P843" t="n">
        <v>0</v>
      </c>
      <c r="Q843" t="n">
        <v>0</v>
      </c>
      <c r="R843" s="2" t="inlineStr"/>
    </row>
    <row r="844" ht="15" customHeight="1">
      <c r="A844" t="inlineStr">
        <is>
          <t>A 67913-2021</t>
        </is>
      </c>
      <c r="B844" s="1" t="n">
        <v>44525</v>
      </c>
      <c r="C844" s="1" t="n">
        <v>45574</v>
      </c>
      <c r="D844" t="inlineStr">
        <is>
          <t>VÄRMLANDS LÄN</t>
        </is>
      </c>
      <c r="E844" t="inlineStr">
        <is>
          <t>TORSBY</t>
        </is>
      </c>
      <c r="F844" t="inlineStr">
        <is>
          <t>Bergvik skog väst AB</t>
        </is>
      </c>
      <c r="G844" t="n">
        <v>8</v>
      </c>
      <c r="H844" t="n">
        <v>0</v>
      </c>
      <c r="I844" t="n">
        <v>0</v>
      </c>
      <c r="J844" t="n">
        <v>0</v>
      </c>
      <c r="K844" t="n">
        <v>0</v>
      </c>
      <c r="L844" t="n">
        <v>0</v>
      </c>
      <c r="M844" t="n">
        <v>0</v>
      </c>
      <c r="N844" t="n">
        <v>0</v>
      </c>
      <c r="O844" t="n">
        <v>0</v>
      </c>
      <c r="P844" t="n">
        <v>0</v>
      </c>
      <c r="Q844" t="n">
        <v>0</v>
      </c>
      <c r="R844" s="2" t="inlineStr"/>
    </row>
    <row r="845" ht="15" customHeight="1">
      <c r="A845" t="inlineStr">
        <is>
          <t>A 69279-2021</t>
        </is>
      </c>
      <c r="B845" s="1" t="n">
        <v>44526</v>
      </c>
      <c r="C845" s="1" t="n">
        <v>45574</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69265-2021</t>
        </is>
      </c>
      <c r="B846" s="1" t="n">
        <v>44526</v>
      </c>
      <c r="C846" s="1" t="n">
        <v>45574</v>
      </c>
      <c r="D846" t="inlineStr">
        <is>
          <t>VÄRMLANDS LÄN</t>
        </is>
      </c>
      <c r="E846" t="inlineStr">
        <is>
          <t>TORSBY</t>
        </is>
      </c>
      <c r="G846" t="n">
        <v>11.1</v>
      </c>
      <c r="H846" t="n">
        <v>0</v>
      </c>
      <c r="I846" t="n">
        <v>0</v>
      </c>
      <c r="J846" t="n">
        <v>0</v>
      </c>
      <c r="K846" t="n">
        <v>0</v>
      </c>
      <c r="L846" t="n">
        <v>0</v>
      </c>
      <c r="M846" t="n">
        <v>0</v>
      </c>
      <c r="N846" t="n">
        <v>0</v>
      </c>
      <c r="O846" t="n">
        <v>0</v>
      </c>
      <c r="P846" t="n">
        <v>0</v>
      </c>
      <c r="Q846" t="n">
        <v>0</v>
      </c>
      <c r="R846" s="2" t="inlineStr"/>
    </row>
    <row r="847" ht="15" customHeight="1">
      <c r="A847" t="inlineStr">
        <is>
          <t>A 69275-2021</t>
        </is>
      </c>
      <c r="B847" s="1" t="n">
        <v>44526</v>
      </c>
      <c r="C847" s="1" t="n">
        <v>45574</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68153-2021</t>
        </is>
      </c>
      <c r="B848" s="1" t="n">
        <v>44526</v>
      </c>
      <c r="C848" s="1" t="n">
        <v>45574</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69281-2021</t>
        </is>
      </c>
      <c r="B849" s="1" t="n">
        <v>44526</v>
      </c>
      <c r="C849" s="1" t="n">
        <v>45574</v>
      </c>
      <c r="D849" t="inlineStr">
        <is>
          <t>VÄRMLANDS LÄN</t>
        </is>
      </c>
      <c r="E849" t="inlineStr">
        <is>
          <t>TORSBY</t>
        </is>
      </c>
      <c r="G849" t="n">
        <v>7.5</v>
      </c>
      <c r="H849" t="n">
        <v>0</v>
      </c>
      <c r="I849" t="n">
        <v>0</v>
      </c>
      <c r="J849" t="n">
        <v>0</v>
      </c>
      <c r="K849" t="n">
        <v>0</v>
      </c>
      <c r="L849" t="n">
        <v>0</v>
      </c>
      <c r="M849" t="n">
        <v>0</v>
      </c>
      <c r="N849" t="n">
        <v>0</v>
      </c>
      <c r="O849" t="n">
        <v>0</v>
      </c>
      <c r="P849" t="n">
        <v>0</v>
      </c>
      <c r="Q849" t="n">
        <v>0</v>
      </c>
      <c r="R849" s="2" t="inlineStr"/>
    </row>
    <row r="850" ht="15" customHeight="1">
      <c r="A850" t="inlineStr">
        <is>
          <t>A 68266-2021</t>
        </is>
      </c>
      <c r="B850" s="1" t="n">
        <v>44526</v>
      </c>
      <c r="C850" s="1" t="n">
        <v>45574</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68136-2021</t>
        </is>
      </c>
      <c r="B851" s="1" t="n">
        <v>44526</v>
      </c>
      <c r="C851" s="1" t="n">
        <v>45574</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68650-2021</t>
        </is>
      </c>
      <c r="B852" s="1" t="n">
        <v>44529</v>
      </c>
      <c r="C852" s="1" t="n">
        <v>45574</v>
      </c>
      <c r="D852" t="inlineStr">
        <is>
          <t>VÄRMLANDS LÄN</t>
        </is>
      </c>
      <c r="E852" t="inlineStr">
        <is>
          <t>TORSBY</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68850-2021</t>
        </is>
      </c>
      <c r="B853" s="1" t="n">
        <v>44530</v>
      </c>
      <c r="C853" s="1" t="n">
        <v>45574</v>
      </c>
      <c r="D853" t="inlineStr">
        <is>
          <t>VÄRMLANDS LÄN</t>
        </is>
      </c>
      <c r="E853" t="inlineStr">
        <is>
          <t>TORSBY</t>
        </is>
      </c>
      <c r="G853" t="n">
        <v>13.1</v>
      </c>
      <c r="H853" t="n">
        <v>0</v>
      </c>
      <c r="I853" t="n">
        <v>0</v>
      </c>
      <c r="J853" t="n">
        <v>0</v>
      </c>
      <c r="K853" t="n">
        <v>0</v>
      </c>
      <c r="L853" t="n">
        <v>0</v>
      </c>
      <c r="M853" t="n">
        <v>0</v>
      </c>
      <c r="N853" t="n">
        <v>0</v>
      </c>
      <c r="O853" t="n">
        <v>0</v>
      </c>
      <c r="P853" t="n">
        <v>0</v>
      </c>
      <c r="Q853" t="n">
        <v>0</v>
      </c>
      <c r="R853" s="2" t="inlineStr"/>
    </row>
    <row r="854" ht="15" customHeight="1">
      <c r="A854" t="inlineStr">
        <is>
          <t>A 68855-2021</t>
        </is>
      </c>
      <c r="B854" s="1" t="n">
        <v>44530</v>
      </c>
      <c r="C854" s="1" t="n">
        <v>45574</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69026-2021</t>
        </is>
      </c>
      <c r="B855" s="1" t="n">
        <v>44530</v>
      </c>
      <c r="C855" s="1" t="n">
        <v>45574</v>
      </c>
      <c r="D855" t="inlineStr">
        <is>
          <t>VÄRMLANDS LÄN</t>
        </is>
      </c>
      <c r="E855" t="inlineStr">
        <is>
          <t>TORSBY</t>
        </is>
      </c>
      <c r="F855" t="inlineStr">
        <is>
          <t>Bergvik skog väst AB</t>
        </is>
      </c>
      <c r="G855" t="n">
        <v>11.3</v>
      </c>
      <c r="H855" t="n">
        <v>0</v>
      </c>
      <c r="I855" t="n">
        <v>0</v>
      </c>
      <c r="J855" t="n">
        <v>0</v>
      </c>
      <c r="K855" t="n">
        <v>0</v>
      </c>
      <c r="L855" t="n">
        <v>0</v>
      </c>
      <c r="M855" t="n">
        <v>0</v>
      </c>
      <c r="N855" t="n">
        <v>0</v>
      </c>
      <c r="O855" t="n">
        <v>0</v>
      </c>
      <c r="P855" t="n">
        <v>0</v>
      </c>
      <c r="Q855" t="n">
        <v>0</v>
      </c>
      <c r="R855" s="2" t="inlineStr"/>
    </row>
    <row r="856" ht="15" customHeight="1">
      <c r="A856" t="inlineStr">
        <is>
          <t>A 69086-2021</t>
        </is>
      </c>
      <c r="B856" s="1" t="n">
        <v>44530</v>
      </c>
      <c r="C856" s="1" t="n">
        <v>45574</v>
      </c>
      <c r="D856" t="inlineStr">
        <is>
          <t>VÄRMLANDS LÄN</t>
        </is>
      </c>
      <c r="E856" t="inlineStr">
        <is>
          <t>TORSBY</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69877-2021</t>
        </is>
      </c>
      <c r="B857" s="1" t="n">
        <v>44532</v>
      </c>
      <c r="C857" s="1" t="n">
        <v>45574</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69878-2021</t>
        </is>
      </c>
      <c r="B858" s="1" t="n">
        <v>44532</v>
      </c>
      <c r="C858" s="1" t="n">
        <v>45574</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70166-2021</t>
        </is>
      </c>
      <c r="B859" s="1" t="n">
        <v>44533</v>
      </c>
      <c r="C859" s="1" t="n">
        <v>45574</v>
      </c>
      <c r="D859" t="inlineStr">
        <is>
          <t>VÄRMLANDS LÄN</t>
        </is>
      </c>
      <c r="E859" t="inlineStr">
        <is>
          <t>TORSBY</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69974-2021</t>
        </is>
      </c>
      <c r="B860" s="1" t="n">
        <v>44533</v>
      </c>
      <c r="C860" s="1" t="n">
        <v>45574</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45574</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70253-2021</t>
        </is>
      </c>
      <c r="B862" s="1" t="n">
        <v>44536</v>
      </c>
      <c r="C862" s="1" t="n">
        <v>45574</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70658-2021</t>
        </is>
      </c>
      <c r="B863" s="1" t="n">
        <v>44537</v>
      </c>
      <c r="C863" s="1" t="n">
        <v>45574</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70787-2021</t>
        </is>
      </c>
      <c r="B864" s="1" t="n">
        <v>44537</v>
      </c>
      <c r="C864" s="1" t="n">
        <v>45574</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70775-2021</t>
        </is>
      </c>
      <c r="B865" s="1" t="n">
        <v>44537</v>
      </c>
      <c r="C865" s="1" t="n">
        <v>45574</v>
      </c>
      <c r="D865" t="inlineStr">
        <is>
          <t>VÄRMLANDS LÄN</t>
        </is>
      </c>
      <c r="E865" t="inlineStr">
        <is>
          <t>TORSBY</t>
        </is>
      </c>
      <c r="G865" t="n">
        <v>0.3</v>
      </c>
      <c r="H865" t="n">
        <v>0</v>
      </c>
      <c r="I865" t="n">
        <v>0</v>
      </c>
      <c r="J865" t="n">
        <v>0</v>
      </c>
      <c r="K865" t="n">
        <v>0</v>
      </c>
      <c r="L865" t="n">
        <v>0</v>
      </c>
      <c r="M865" t="n">
        <v>0</v>
      </c>
      <c r="N865" t="n">
        <v>0</v>
      </c>
      <c r="O865" t="n">
        <v>0</v>
      </c>
      <c r="P865" t="n">
        <v>0</v>
      </c>
      <c r="Q865" t="n">
        <v>0</v>
      </c>
      <c r="R865" s="2" t="inlineStr"/>
    </row>
    <row r="866" ht="15" customHeight="1">
      <c r="A866" t="inlineStr">
        <is>
          <t>A 70785-2021</t>
        </is>
      </c>
      <c r="B866" s="1" t="n">
        <v>44537</v>
      </c>
      <c r="C866" s="1" t="n">
        <v>45574</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70978-2021</t>
        </is>
      </c>
      <c r="B867" s="1" t="n">
        <v>44537</v>
      </c>
      <c r="C867" s="1" t="n">
        <v>45574</v>
      </c>
      <c r="D867" t="inlineStr">
        <is>
          <t>VÄRMLANDS LÄN</t>
        </is>
      </c>
      <c r="E867" t="inlineStr">
        <is>
          <t>TORSBY</t>
        </is>
      </c>
      <c r="G867" t="n">
        <v>12.6</v>
      </c>
      <c r="H867" t="n">
        <v>0</v>
      </c>
      <c r="I867" t="n">
        <v>0</v>
      </c>
      <c r="J867" t="n">
        <v>0</v>
      </c>
      <c r="K867" t="n">
        <v>0</v>
      </c>
      <c r="L867" t="n">
        <v>0</v>
      </c>
      <c r="M867" t="n">
        <v>0</v>
      </c>
      <c r="N867" t="n">
        <v>0</v>
      </c>
      <c r="O867" t="n">
        <v>0</v>
      </c>
      <c r="P867" t="n">
        <v>0</v>
      </c>
      <c r="Q867" t="n">
        <v>0</v>
      </c>
      <c r="R867" s="2" t="inlineStr"/>
    </row>
    <row r="868" ht="15" customHeight="1">
      <c r="A868" t="inlineStr">
        <is>
          <t>A 70926-2021</t>
        </is>
      </c>
      <c r="B868" s="1" t="n">
        <v>44538</v>
      </c>
      <c r="C868" s="1" t="n">
        <v>45574</v>
      </c>
      <c r="D868" t="inlineStr">
        <is>
          <t>VÄRMLANDS LÄN</t>
        </is>
      </c>
      <c r="E868" t="inlineStr">
        <is>
          <t>TORSBY</t>
        </is>
      </c>
      <c r="G868" t="n">
        <v>6.5</v>
      </c>
      <c r="H868" t="n">
        <v>0</v>
      </c>
      <c r="I868" t="n">
        <v>0</v>
      </c>
      <c r="J868" t="n">
        <v>0</v>
      </c>
      <c r="K868" t="n">
        <v>0</v>
      </c>
      <c r="L868" t="n">
        <v>0</v>
      </c>
      <c r="M868" t="n">
        <v>0</v>
      </c>
      <c r="N868" t="n">
        <v>0</v>
      </c>
      <c r="O868" t="n">
        <v>0</v>
      </c>
      <c r="P868" t="n">
        <v>0</v>
      </c>
      <c r="Q868" t="n">
        <v>0</v>
      </c>
      <c r="R868" s="2" t="inlineStr"/>
    </row>
    <row r="869" ht="15" customHeight="1">
      <c r="A869" t="inlineStr">
        <is>
          <t>A 70924-2021</t>
        </is>
      </c>
      <c r="B869" s="1" t="n">
        <v>44538</v>
      </c>
      <c r="C869" s="1" t="n">
        <v>45574</v>
      </c>
      <c r="D869" t="inlineStr">
        <is>
          <t>VÄRMLANDS LÄN</t>
        </is>
      </c>
      <c r="E869" t="inlineStr">
        <is>
          <t>TORSBY</t>
        </is>
      </c>
      <c r="G869" t="n">
        <v>3.8</v>
      </c>
      <c r="H869" t="n">
        <v>0</v>
      </c>
      <c r="I869" t="n">
        <v>0</v>
      </c>
      <c r="J869" t="n">
        <v>0</v>
      </c>
      <c r="K869" t="n">
        <v>0</v>
      </c>
      <c r="L869" t="n">
        <v>0</v>
      </c>
      <c r="M869" t="n">
        <v>0</v>
      </c>
      <c r="N869" t="n">
        <v>0</v>
      </c>
      <c r="O869" t="n">
        <v>0</v>
      </c>
      <c r="P869" t="n">
        <v>0</v>
      </c>
      <c r="Q869" t="n">
        <v>0</v>
      </c>
      <c r="R869" s="2" t="inlineStr"/>
    </row>
    <row r="870" ht="15" customHeight="1">
      <c r="A870" t="inlineStr">
        <is>
          <t>A 71255-2021</t>
        </is>
      </c>
      <c r="B870" s="1" t="n">
        <v>44538</v>
      </c>
      <c r="C870" s="1" t="n">
        <v>45574</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71084-2021</t>
        </is>
      </c>
      <c r="B871" s="1" t="n">
        <v>44539</v>
      </c>
      <c r="C871" s="1" t="n">
        <v>45574</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71469-2021</t>
        </is>
      </c>
      <c r="B872" s="1" t="n">
        <v>44540</v>
      </c>
      <c r="C872" s="1" t="n">
        <v>45574</v>
      </c>
      <c r="D872" t="inlineStr">
        <is>
          <t>VÄRMLANDS LÄN</t>
        </is>
      </c>
      <c r="E872" t="inlineStr">
        <is>
          <t>TORSBY</t>
        </is>
      </c>
      <c r="F872" t="inlineStr">
        <is>
          <t>Övriga Aktiebolag</t>
        </is>
      </c>
      <c r="G872" t="n">
        <v>4.1</v>
      </c>
      <c r="H872" t="n">
        <v>0</v>
      </c>
      <c r="I872" t="n">
        <v>0</v>
      </c>
      <c r="J872" t="n">
        <v>0</v>
      </c>
      <c r="K872" t="n">
        <v>0</v>
      </c>
      <c r="L872" t="n">
        <v>0</v>
      </c>
      <c r="M872" t="n">
        <v>0</v>
      </c>
      <c r="N872" t="n">
        <v>0</v>
      </c>
      <c r="O872" t="n">
        <v>0</v>
      </c>
      <c r="P872" t="n">
        <v>0</v>
      </c>
      <c r="Q872" t="n">
        <v>0</v>
      </c>
      <c r="R872" s="2" t="inlineStr"/>
    </row>
    <row r="873" ht="15" customHeight="1">
      <c r="A873" t="inlineStr">
        <is>
          <t>A 71679-2021</t>
        </is>
      </c>
      <c r="B873" s="1" t="n">
        <v>44543</v>
      </c>
      <c r="C873" s="1" t="n">
        <v>45574</v>
      </c>
      <c r="D873" t="inlineStr">
        <is>
          <t>VÄRMLANDS LÄN</t>
        </is>
      </c>
      <c r="E873" t="inlineStr">
        <is>
          <t>TORSBY</t>
        </is>
      </c>
      <c r="G873" t="n">
        <v>2.3</v>
      </c>
      <c r="H873" t="n">
        <v>0</v>
      </c>
      <c r="I873" t="n">
        <v>0</v>
      </c>
      <c r="J873" t="n">
        <v>0</v>
      </c>
      <c r="K873" t="n">
        <v>0</v>
      </c>
      <c r="L873" t="n">
        <v>0</v>
      </c>
      <c r="M873" t="n">
        <v>0</v>
      </c>
      <c r="N873" t="n">
        <v>0</v>
      </c>
      <c r="O873" t="n">
        <v>0</v>
      </c>
      <c r="P873" t="n">
        <v>0</v>
      </c>
      <c r="Q873" t="n">
        <v>0</v>
      </c>
      <c r="R873" s="2" t="inlineStr"/>
    </row>
    <row r="874" ht="15" customHeight="1">
      <c r="A874" t="inlineStr">
        <is>
          <t>A 71990-2021</t>
        </is>
      </c>
      <c r="B874" s="1" t="n">
        <v>44544</v>
      </c>
      <c r="C874" s="1" t="n">
        <v>45574</v>
      </c>
      <c r="D874" t="inlineStr">
        <is>
          <t>VÄRMLANDS LÄN</t>
        </is>
      </c>
      <c r="E874" t="inlineStr">
        <is>
          <t>TORSBY</t>
        </is>
      </c>
      <c r="G874" t="n">
        <v>4.6</v>
      </c>
      <c r="H874" t="n">
        <v>0</v>
      </c>
      <c r="I874" t="n">
        <v>0</v>
      </c>
      <c r="J874" t="n">
        <v>0</v>
      </c>
      <c r="K874" t="n">
        <v>0</v>
      </c>
      <c r="L874" t="n">
        <v>0</v>
      </c>
      <c r="M874" t="n">
        <v>0</v>
      </c>
      <c r="N874" t="n">
        <v>0</v>
      </c>
      <c r="O874" t="n">
        <v>0</v>
      </c>
      <c r="P874" t="n">
        <v>0</v>
      </c>
      <c r="Q874" t="n">
        <v>0</v>
      </c>
      <c r="R874" s="2" t="inlineStr"/>
    </row>
    <row r="875" ht="15" customHeight="1">
      <c r="A875" t="inlineStr">
        <is>
          <t>A 72200-2021</t>
        </is>
      </c>
      <c r="B875" s="1" t="n">
        <v>44544</v>
      </c>
      <c r="C875" s="1" t="n">
        <v>45574</v>
      </c>
      <c r="D875" t="inlineStr">
        <is>
          <t>VÄRMLANDS LÄN</t>
        </is>
      </c>
      <c r="E875" t="inlineStr">
        <is>
          <t>TORSBY</t>
        </is>
      </c>
      <c r="G875" t="n">
        <v>3.3</v>
      </c>
      <c r="H875" t="n">
        <v>0</v>
      </c>
      <c r="I875" t="n">
        <v>0</v>
      </c>
      <c r="J875" t="n">
        <v>0</v>
      </c>
      <c r="K875" t="n">
        <v>0</v>
      </c>
      <c r="L875" t="n">
        <v>0</v>
      </c>
      <c r="M875" t="n">
        <v>0</v>
      </c>
      <c r="N875" t="n">
        <v>0</v>
      </c>
      <c r="O875" t="n">
        <v>0</v>
      </c>
      <c r="P875" t="n">
        <v>0</v>
      </c>
      <c r="Q875" t="n">
        <v>0</v>
      </c>
      <c r="R875" s="2" t="inlineStr"/>
    </row>
    <row r="876" ht="15" customHeight="1">
      <c r="A876" t="inlineStr">
        <is>
          <t>A 72250-2021</t>
        </is>
      </c>
      <c r="B876" s="1" t="n">
        <v>44544</v>
      </c>
      <c r="C876" s="1" t="n">
        <v>45574</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73055-2021</t>
        </is>
      </c>
      <c r="B877" s="1" t="n">
        <v>44550</v>
      </c>
      <c r="C877" s="1" t="n">
        <v>45574</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73324-2021</t>
        </is>
      </c>
      <c r="B878" s="1" t="n">
        <v>44550</v>
      </c>
      <c r="C878" s="1" t="n">
        <v>45574</v>
      </c>
      <c r="D878" t="inlineStr">
        <is>
          <t>VÄRMLANDS LÄN</t>
        </is>
      </c>
      <c r="E878" t="inlineStr">
        <is>
          <t>TORSBY</t>
        </is>
      </c>
      <c r="G878" t="n">
        <v>9.9</v>
      </c>
      <c r="H878" t="n">
        <v>0</v>
      </c>
      <c r="I878" t="n">
        <v>0</v>
      </c>
      <c r="J878" t="n">
        <v>0</v>
      </c>
      <c r="K878" t="n">
        <v>0</v>
      </c>
      <c r="L878" t="n">
        <v>0</v>
      </c>
      <c r="M878" t="n">
        <v>0</v>
      </c>
      <c r="N878" t="n">
        <v>0</v>
      </c>
      <c r="O878" t="n">
        <v>0</v>
      </c>
      <c r="P878" t="n">
        <v>0</v>
      </c>
      <c r="Q878" t="n">
        <v>0</v>
      </c>
      <c r="R878" s="2" t="inlineStr"/>
    </row>
    <row r="879" ht="15" customHeight="1">
      <c r="A879" t="inlineStr">
        <is>
          <t>A 73165-2021</t>
        </is>
      </c>
      <c r="B879" s="1" t="n">
        <v>44550</v>
      </c>
      <c r="C879" s="1" t="n">
        <v>45574</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73442-2021</t>
        </is>
      </c>
      <c r="B880" s="1" t="n">
        <v>44551</v>
      </c>
      <c r="C880" s="1" t="n">
        <v>45574</v>
      </c>
      <c r="D880" t="inlineStr">
        <is>
          <t>VÄRMLANDS LÄN</t>
        </is>
      </c>
      <c r="E880" t="inlineStr">
        <is>
          <t>TORSBY</t>
        </is>
      </c>
      <c r="F880" t="inlineStr">
        <is>
          <t>Bergvik skog väst AB</t>
        </is>
      </c>
      <c r="G880" t="n">
        <v>4.1</v>
      </c>
      <c r="H880" t="n">
        <v>0</v>
      </c>
      <c r="I880" t="n">
        <v>0</v>
      </c>
      <c r="J880" t="n">
        <v>0</v>
      </c>
      <c r="K880" t="n">
        <v>0</v>
      </c>
      <c r="L880" t="n">
        <v>0</v>
      </c>
      <c r="M880" t="n">
        <v>0</v>
      </c>
      <c r="N880" t="n">
        <v>0</v>
      </c>
      <c r="O880" t="n">
        <v>0</v>
      </c>
      <c r="P880" t="n">
        <v>0</v>
      </c>
      <c r="Q880" t="n">
        <v>0</v>
      </c>
      <c r="R880" s="2" t="inlineStr"/>
    </row>
    <row r="881" ht="15" customHeight="1">
      <c r="A881" t="inlineStr">
        <is>
          <t>A 73553-2021</t>
        </is>
      </c>
      <c r="B881" s="1" t="n">
        <v>44551</v>
      </c>
      <c r="C881" s="1" t="n">
        <v>45574</v>
      </c>
      <c r="D881" t="inlineStr">
        <is>
          <t>VÄRMLANDS LÄN</t>
        </is>
      </c>
      <c r="E881" t="inlineStr">
        <is>
          <t>TORSBY</t>
        </is>
      </c>
      <c r="G881" t="n">
        <v>5.1</v>
      </c>
      <c r="H881" t="n">
        <v>0</v>
      </c>
      <c r="I881" t="n">
        <v>0</v>
      </c>
      <c r="J881" t="n">
        <v>0</v>
      </c>
      <c r="K881" t="n">
        <v>0</v>
      </c>
      <c r="L881" t="n">
        <v>0</v>
      </c>
      <c r="M881" t="n">
        <v>0</v>
      </c>
      <c r="N881" t="n">
        <v>0</v>
      </c>
      <c r="O881" t="n">
        <v>0</v>
      </c>
      <c r="P881" t="n">
        <v>0</v>
      </c>
      <c r="Q881" t="n">
        <v>0</v>
      </c>
      <c r="R881" s="2" t="inlineStr"/>
    </row>
    <row r="882" ht="15" customHeight="1">
      <c r="A882" t="inlineStr">
        <is>
          <t>A 73521-2021</t>
        </is>
      </c>
      <c r="B882" s="1" t="n">
        <v>44551</v>
      </c>
      <c r="C882" s="1" t="n">
        <v>45574</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73882-2021</t>
        </is>
      </c>
      <c r="B883" s="1" t="n">
        <v>44553</v>
      </c>
      <c r="C883" s="1" t="n">
        <v>45574</v>
      </c>
      <c r="D883" t="inlineStr">
        <is>
          <t>VÄRMLANDS LÄN</t>
        </is>
      </c>
      <c r="E883" t="inlineStr">
        <is>
          <t>TORSBY</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73874-2021</t>
        </is>
      </c>
      <c r="B884" s="1" t="n">
        <v>44553</v>
      </c>
      <c r="C884" s="1" t="n">
        <v>45574</v>
      </c>
      <c r="D884" t="inlineStr">
        <is>
          <t>VÄRMLANDS LÄN</t>
        </is>
      </c>
      <c r="E884" t="inlineStr">
        <is>
          <t>TORSBY</t>
        </is>
      </c>
      <c r="G884" t="n">
        <v>6.6</v>
      </c>
      <c r="H884" t="n">
        <v>0</v>
      </c>
      <c r="I884" t="n">
        <v>0</v>
      </c>
      <c r="J884" t="n">
        <v>0</v>
      </c>
      <c r="K884" t="n">
        <v>0</v>
      </c>
      <c r="L884" t="n">
        <v>0</v>
      </c>
      <c r="M884" t="n">
        <v>0</v>
      </c>
      <c r="N884" t="n">
        <v>0</v>
      </c>
      <c r="O884" t="n">
        <v>0</v>
      </c>
      <c r="P884" t="n">
        <v>0</v>
      </c>
      <c r="Q884" t="n">
        <v>0</v>
      </c>
      <c r="R884" s="2" t="inlineStr"/>
    </row>
    <row r="885" ht="15" customHeight="1">
      <c r="A885" t="inlineStr">
        <is>
          <t>A 74012-2021</t>
        </is>
      </c>
      <c r="B885" s="1" t="n">
        <v>44553</v>
      </c>
      <c r="C885" s="1" t="n">
        <v>45574</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74079-2021</t>
        </is>
      </c>
      <c r="B886" s="1" t="n">
        <v>44557</v>
      </c>
      <c r="C886" s="1" t="n">
        <v>45574</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74375-2021</t>
        </is>
      </c>
      <c r="B887" s="1" t="n">
        <v>44559</v>
      </c>
      <c r="C887" s="1" t="n">
        <v>45574</v>
      </c>
      <c r="D887" t="inlineStr">
        <is>
          <t>VÄRMLANDS LÄN</t>
        </is>
      </c>
      <c r="E887" t="inlineStr">
        <is>
          <t>TORSBY</t>
        </is>
      </c>
      <c r="G887" t="n">
        <v>2.4</v>
      </c>
      <c r="H887" t="n">
        <v>0</v>
      </c>
      <c r="I887" t="n">
        <v>0</v>
      </c>
      <c r="J887" t="n">
        <v>0</v>
      </c>
      <c r="K887" t="n">
        <v>0</v>
      </c>
      <c r="L887" t="n">
        <v>0</v>
      </c>
      <c r="M887" t="n">
        <v>0</v>
      </c>
      <c r="N887" t="n">
        <v>0</v>
      </c>
      <c r="O887" t="n">
        <v>0</v>
      </c>
      <c r="P887" t="n">
        <v>0</v>
      </c>
      <c r="Q887" t="n">
        <v>0</v>
      </c>
      <c r="R887" s="2" t="inlineStr"/>
    </row>
    <row r="888" ht="15" customHeight="1">
      <c r="A888" t="inlineStr">
        <is>
          <t>A 74374-2021</t>
        </is>
      </c>
      <c r="B888" s="1" t="n">
        <v>44559</v>
      </c>
      <c r="C888" s="1" t="n">
        <v>45574</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74351-2021</t>
        </is>
      </c>
      <c r="B889" s="1" t="n">
        <v>44559</v>
      </c>
      <c r="C889" s="1" t="n">
        <v>45574</v>
      </c>
      <c r="D889" t="inlineStr">
        <is>
          <t>VÄRMLANDS LÄN</t>
        </is>
      </c>
      <c r="E889" t="inlineStr">
        <is>
          <t>TORSBY</t>
        </is>
      </c>
      <c r="F889" t="inlineStr">
        <is>
          <t>Bergvik skog väst AB</t>
        </is>
      </c>
      <c r="G889" t="n">
        <v>9.1</v>
      </c>
      <c r="H889" t="n">
        <v>0</v>
      </c>
      <c r="I889" t="n">
        <v>0</v>
      </c>
      <c r="J889" t="n">
        <v>0</v>
      </c>
      <c r="K889" t="n">
        <v>0</v>
      </c>
      <c r="L889" t="n">
        <v>0</v>
      </c>
      <c r="M889" t="n">
        <v>0</v>
      </c>
      <c r="N889" t="n">
        <v>0</v>
      </c>
      <c r="O889" t="n">
        <v>0</v>
      </c>
      <c r="P889" t="n">
        <v>0</v>
      </c>
      <c r="Q889" t="n">
        <v>0</v>
      </c>
      <c r="R889" s="2" t="inlineStr"/>
    </row>
    <row r="890" ht="15" customHeight="1">
      <c r="A890" t="inlineStr">
        <is>
          <t>A 361-2022</t>
        </is>
      </c>
      <c r="B890" s="1" t="n">
        <v>44565</v>
      </c>
      <c r="C890" s="1" t="n">
        <v>45574</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739-2022</t>
        </is>
      </c>
      <c r="B891" s="1" t="n">
        <v>44568</v>
      </c>
      <c r="C891" s="1" t="n">
        <v>45574</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997-2022</t>
        </is>
      </c>
      <c r="B892" s="1" t="n">
        <v>44571</v>
      </c>
      <c r="C892" s="1" t="n">
        <v>45574</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1839-2022</t>
        </is>
      </c>
      <c r="B893" s="1" t="n">
        <v>44574</v>
      </c>
      <c r="C893" s="1" t="n">
        <v>45574</v>
      </c>
      <c r="D893" t="inlineStr">
        <is>
          <t>VÄRMLANDS LÄN</t>
        </is>
      </c>
      <c r="E893" t="inlineStr">
        <is>
          <t>TORSBY</t>
        </is>
      </c>
      <c r="G893" t="n">
        <v>5.3</v>
      </c>
      <c r="H893" t="n">
        <v>0</v>
      </c>
      <c r="I893" t="n">
        <v>0</v>
      </c>
      <c r="J893" t="n">
        <v>0</v>
      </c>
      <c r="K893" t="n">
        <v>0</v>
      </c>
      <c r="L893" t="n">
        <v>0</v>
      </c>
      <c r="M893" t="n">
        <v>0</v>
      </c>
      <c r="N893" t="n">
        <v>0</v>
      </c>
      <c r="O893" t="n">
        <v>0</v>
      </c>
      <c r="P893" t="n">
        <v>0</v>
      </c>
      <c r="Q893" t="n">
        <v>0</v>
      </c>
      <c r="R893" s="2" t="inlineStr"/>
    </row>
    <row r="894" ht="15" customHeight="1">
      <c r="A894" t="inlineStr">
        <is>
          <t>A 1911-2022</t>
        </is>
      </c>
      <c r="B894" s="1" t="n">
        <v>44575</v>
      </c>
      <c r="C894" s="1" t="n">
        <v>45574</v>
      </c>
      <c r="D894" t="inlineStr">
        <is>
          <t>VÄRMLANDS LÄN</t>
        </is>
      </c>
      <c r="E894" t="inlineStr">
        <is>
          <t>TORSBY</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2414-2022</t>
        </is>
      </c>
      <c r="B895" s="1" t="n">
        <v>44579</v>
      </c>
      <c r="C895" s="1" t="n">
        <v>45574</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2421-2022</t>
        </is>
      </c>
      <c r="B896" s="1" t="n">
        <v>44579</v>
      </c>
      <c r="C896" s="1" t="n">
        <v>45574</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2699-2022</t>
        </is>
      </c>
      <c r="B897" s="1" t="n">
        <v>44580</v>
      </c>
      <c r="C897" s="1" t="n">
        <v>45574</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3071-2022</t>
        </is>
      </c>
      <c r="B898" s="1" t="n">
        <v>44582</v>
      </c>
      <c r="C898" s="1" t="n">
        <v>45574</v>
      </c>
      <c r="D898" t="inlineStr">
        <is>
          <t>VÄRMLANDS LÄN</t>
        </is>
      </c>
      <c r="E898" t="inlineStr">
        <is>
          <t>TORSBY</t>
        </is>
      </c>
      <c r="G898" t="n">
        <v>7.9</v>
      </c>
      <c r="H898" t="n">
        <v>0</v>
      </c>
      <c r="I898" t="n">
        <v>0</v>
      </c>
      <c r="J898" t="n">
        <v>0</v>
      </c>
      <c r="K898" t="n">
        <v>0</v>
      </c>
      <c r="L898" t="n">
        <v>0</v>
      </c>
      <c r="M898" t="n">
        <v>0</v>
      </c>
      <c r="N898" t="n">
        <v>0</v>
      </c>
      <c r="O898" t="n">
        <v>0</v>
      </c>
      <c r="P898" t="n">
        <v>0</v>
      </c>
      <c r="Q898" t="n">
        <v>0</v>
      </c>
      <c r="R898" s="2" t="inlineStr"/>
    </row>
    <row r="899" ht="15" customHeight="1">
      <c r="A899" t="inlineStr">
        <is>
          <t>A 3369-2022</t>
        </is>
      </c>
      <c r="B899" s="1" t="n">
        <v>44585</v>
      </c>
      <c r="C899" s="1" t="n">
        <v>45574</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3385-2022</t>
        </is>
      </c>
      <c r="B900" s="1" t="n">
        <v>44585</v>
      </c>
      <c r="C900" s="1" t="n">
        <v>45574</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3397-2022</t>
        </is>
      </c>
      <c r="B901" s="1" t="n">
        <v>44585</v>
      </c>
      <c r="C901" s="1" t="n">
        <v>45574</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3387-2022</t>
        </is>
      </c>
      <c r="B902" s="1" t="n">
        <v>44585</v>
      </c>
      <c r="C902" s="1" t="n">
        <v>45574</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3382-2022</t>
        </is>
      </c>
      <c r="B903" s="1" t="n">
        <v>44585</v>
      </c>
      <c r="C903" s="1" t="n">
        <v>45574</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3390-2022</t>
        </is>
      </c>
      <c r="B904" s="1" t="n">
        <v>44585</v>
      </c>
      <c r="C904" s="1" t="n">
        <v>45574</v>
      </c>
      <c r="D904" t="inlineStr">
        <is>
          <t>VÄRMLANDS LÄN</t>
        </is>
      </c>
      <c r="E904" t="inlineStr">
        <is>
          <t>TORSBY</t>
        </is>
      </c>
      <c r="G904" t="n">
        <v>4.3</v>
      </c>
      <c r="H904" t="n">
        <v>0</v>
      </c>
      <c r="I904" t="n">
        <v>0</v>
      </c>
      <c r="J904" t="n">
        <v>0</v>
      </c>
      <c r="K904" t="n">
        <v>0</v>
      </c>
      <c r="L904" t="n">
        <v>0</v>
      </c>
      <c r="M904" t="n">
        <v>0</v>
      </c>
      <c r="N904" t="n">
        <v>0</v>
      </c>
      <c r="O904" t="n">
        <v>0</v>
      </c>
      <c r="P904" t="n">
        <v>0</v>
      </c>
      <c r="Q904" t="n">
        <v>0</v>
      </c>
      <c r="R904" s="2" t="inlineStr"/>
    </row>
    <row r="905" ht="15" customHeight="1">
      <c r="A905" t="inlineStr">
        <is>
          <t>A 3393-2022</t>
        </is>
      </c>
      <c r="B905" s="1" t="n">
        <v>44585</v>
      </c>
      <c r="C905" s="1" t="n">
        <v>45574</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3749-2022</t>
        </is>
      </c>
      <c r="B906" s="1" t="n">
        <v>44586</v>
      </c>
      <c r="C906" s="1" t="n">
        <v>45574</v>
      </c>
      <c r="D906" t="inlineStr">
        <is>
          <t>VÄRMLANDS LÄN</t>
        </is>
      </c>
      <c r="E906" t="inlineStr">
        <is>
          <t>TORSBY</t>
        </is>
      </c>
      <c r="G906" t="n">
        <v>6.3</v>
      </c>
      <c r="H906" t="n">
        <v>0</v>
      </c>
      <c r="I906" t="n">
        <v>0</v>
      </c>
      <c r="J906" t="n">
        <v>0</v>
      </c>
      <c r="K906" t="n">
        <v>0</v>
      </c>
      <c r="L906" t="n">
        <v>0</v>
      </c>
      <c r="M906" t="n">
        <v>0</v>
      </c>
      <c r="N906" t="n">
        <v>0</v>
      </c>
      <c r="O906" t="n">
        <v>0</v>
      </c>
      <c r="P906" t="n">
        <v>0</v>
      </c>
      <c r="Q906" t="n">
        <v>0</v>
      </c>
      <c r="R906" s="2" t="inlineStr"/>
    </row>
    <row r="907" ht="15" customHeight="1">
      <c r="A907" t="inlineStr">
        <is>
          <t>A 3841-2022</t>
        </is>
      </c>
      <c r="B907" s="1" t="n">
        <v>44587</v>
      </c>
      <c r="C907" s="1" t="n">
        <v>45574</v>
      </c>
      <c r="D907" t="inlineStr">
        <is>
          <t>VÄRMLANDS LÄN</t>
        </is>
      </c>
      <c r="E907" t="inlineStr">
        <is>
          <t>TORSBY</t>
        </is>
      </c>
      <c r="G907" t="n">
        <v>6.4</v>
      </c>
      <c r="H907" t="n">
        <v>0</v>
      </c>
      <c r="I907" t="n">
        <v>0</v>
      </c>
      <c r="J907" t="n">
        <v>0</v>
      </c>
      <c r="K907" t="n">
        <v>0</v>
      </c>
      <c r="L907" t="n">
        <v>0</v>
      </c>
      <c r="M907" t="n">
        <v>0</v>
      </c>
      <c r="N907" t="n">
        <v>0</v>
      </c>
      <c r="O907" t="n">
        <v>0</v>
      </c>
      <c r="P907" t="n">
        <v>0</v>
      </c>
      <c r="Q907" t="n">
        <v>0</v>
      </c>
      <c r="R907" s="2" t="inlineStr"/>
    </row>
    <row r="908" ht="15" customHeight="1">
      <c r="A908" t="inlineStr">
        <is>
          <t>A 3887-2022</t>
        </is>
      </c>
      <c r="B908" s="1" t="n">
        <v>44587</v>
      </c>
      <c r="C908" s="1" t="n">
        <v>45574</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4172-2022</t>
        </is>
      </c>
      <c r="B909" s="1" t="n">
        <v>44588</v>
      </c>
      <c r="C909" s="1" t="n">
        <v>45574</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4557-2022</t>
        </is>
      </c>
      <c r="B910" s="1" t="n">
        <v>44591</v>
      </c>
      <c r="C910" s="1" t="n">
        <v>45574</v>
      </c>
      <c r="D910" t="inlineStr">
        <is>
          <t>VÄRMLANDS LÄN</t>
        </is>
      </c>
      <c r="E910" t="inlineStr">
        <is>
          <t>TORSBY</t>
        </is>
      </c>
      <c r="G910" t="n">
        <v>2.7</v>
      </c>
      <c r="H910" t="n">
        <v>0</v>
      </c>
      <c r="I910" t="n">
        <v>0</v>
      </c>
      <c r="J910" t="n">
        <v>0</v>
      </c>
      <c r="K910" t="n">
        <v>0</v>
      </c>
      <c r="L910" t="n">
        <v>0</v>
      </c>
      <c r="M910" t="n">
        <v>0</v>
      </c>
      <c r="N910" t="n">
        <v>0</v>
      </c>
      <c r="O910" t="n">
        <v>0</v>
      </c>
      <c r="P910" t="n">
        <v>0</v>
      </c>
      <c r="Q910" t="n">
        <v>0</v>
      </c>
      <c r="R910" s="2" t="inlineStr"/>
    </row>
    <row r="911" ht="15" customHeight="1">
      <c r="A911" t="inlineStr">
        <is>
          <t>A 4640-2022</t>
        </is>
      </c>
      <c r="B911" s="1" t="n">
        <v>44592</v>
      </c>
      <c r="C911" s="1" t="n">
        <v>45574</v>
      </c>
      <c r="D911" t="inlineStr">
        <is>
          <t>VÄRMLANDS LÄN</t>
        </is>
      </c>
      <c r="E911" t="inlineStr">
        <is>
          <t>TORSBY</t>
        </is>
      </c>
      <c r="G911" t="n">
        <v>9</v>
      </c>
      <c r="H911" t="n">
        <v>0</v>
      </c>
      <c r="I911" t="n">
        <v>0</v>
      </c>
      <c r="J911" t="n">
        <v>0</v>
      </c>
      <c r="K911" t="n">
        <v>0</v>
      </c>
      <c r="L911" t="n">
        <v>0</v>
      </c>
      <c r="M911" t="n">
        <v>0</v>
      </c>
      <c r="N911" t="n">
        <v>0</v>
      </c>
      <c r="O911" t="n">
        <v>0</v>
      </c>
      <c r="P911" t="n">
        <v>0</v>
      </c>
      <c r="Q911" t="n">
        <v>0</v>
      </c>
      <c r="R911" s="2" t="inlineStr"/>
    </row>
    <row r="912" ht="15" customHeight="1">
      <c r="A912" t="inlineStr">
        <is>
          <t>A 4967-2022</t>
        </is>
      </c>
      <c r="B912" s="1" t="n">
        <v>44593</v>
      </c>
      <c r="C912" s="1" t="n">
        <v>45574</v>
      </c>
      <c r="D912" t="inlineStr">
        <is>
          <t>VÄRMLANDS LÄN</t>
        </is>
      </c>
      <c r="E912" t="inlineStr">
        <is>
          <t>TORSBY</t>
        </is>
      </c>
      <c r="G912" t="n">
        <v>1.6</v>
      </c>
      <c r="H912" t="n">
        <v>0</v>
      </c>
      <c r="I912" t="n">
        <v>0</v>
      </c>
      <c r="J912" t="n">
        <v>0</v>
      </c>
      <c r="K912" t="n">
        <v>0</v>
      </c>
      <c r="L912" t="n">
        <v>0</v>
      </c>
      <c r="M912" t="n">
        <v>0</v>
      </c>
      <c r="N912" t="n">
        <v>0</v>
      </c>
      <c r="O912" t="n">
        <v>0</v>
      </c>
      <c r="P912" t="n">
        <v>0</v>
      </c>
      <c r="Q912" t="n">
        <v>0</v>
      </c>
      <c r="R912" s="2" t="inlineStr"/>
    </row>
    <row r="913" ht="15" customHeight="1">
      <c r="A913" t="inlineStr">
        <is>
          <t>A 4960-2022</t>
        </is>
      </c>
      <c r="B913" s="1" t="n">
        <v>44593</v>
      </c>
      <c r="C913" s="1" t="n">
        <v>45574</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5040-2022</t>
        </is>
      </c>
      <c r="B914" s="1" t="n">
        <v>44593</v>
      </c>
      <c r="C914" s="1" t="n">
        <v>45574</v>
      </c>
      <c r="D914" t="inlineStr">
        <is>
          <t>VÄRMLANDS LÄN</t>
        </is>
      </c>
      <c r="E914" t="inlineStr">
        <is>
          <t>TORSBY</t>
        </is>
      </c>
      <c r="G914" t="n">
        <v>1.7</v>
      </c>
      <c r="H914" t="n">
        <v>0</v>
      </c>
      <c r="I914" t="n">
        <v>0</v>
      </c>
      <c r="J914" t="n">
        <v>0</v>
      </c>
      <c r="K914" t="n">
        <v>0</v>
      </c>
      <c r="L914" t="n">
        <v>0</v>
      </c>
      <c r="M914" t="n">
        <v>0</v>
      </c>
      <c r="N914" t="n">
        <v>0</v>
      </c>
      <c r="O914" t="n">
        <v>0</v>
      </c>
      <c r="P914" t="n">
        <v>0</v>
      </c>
      <c r="Q914" t="n">
        <v>0</v>
      </c>
      <c r="R914" s="2" t="inlineStr"/>
    </row>
    <row r="915" ht="15" customHeight="1">
      <c r="A915" t="inlineStr">
        <is>
          <t>A 5015-2022</t>
        </is>
      </c>
      <c r="B915" s="1" t="n">
        <v>44593</v>
      </c>
      <c r="C915" s="1" t="n">
        <v>45574</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5289-2022</t>
        </is>
      </c>
      <c r="B916" s="1" t="n">
        <v>44594</v>
      </c>
      <c r="C916" s="1" t="n">
        <v>45574</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6438-2022</t>
        </is>
      </c>
      <c r="B917" s="1" t="n">
        <v>44601</v>
      </c>
      <c r="C917" s="1" t="n">
        <v>45574</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7091-2022</t>
        </is>
      </c>
      <c r="B918" s="1" t="n">
        <v>44603</v>
      </c>
      <c r="C918" s="1" t="n">
        <v>45574</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7069-2022</t>
        </is>
      </c>
      <c r="B919" s="1" t="n">
        <v>44603</v>
      </c>
      <c r="C919" s="1" t="n">
        <v>45574</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7544-2022</t>
        </is>
      </c>
      <c r="B920" s="1" t="n">
        <v>44607</v>
      </c>
      <c r="C920" s="1" t="n">
        <v>45574</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7543-2022</t>
        </is>
      </c>
      <c r="B921" s="1" t="n">
        <v>44607</v>
      </c>
      <c r="C921" s="1" t="n">
        <v>45574</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7921-2022</t>
        </is>
      </c>
      <c r="B922" s="1" t="n">
        <v>44608</v>
      </c>
      <c r="C922" s="1" t="n">
        <v>45574</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8048-2022</t>
        </is>
      </c>
      <c r="B923" s="1" t="n">
        <v>44609</v>
      </c>
      <c r="C923" s="1" t="n">
        <v>45574</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8054-2022</t>
        </is>
      </c>
      <c r="B924" s="1" t="n">
        <v>44609</v>
      </c>
      <c r="C924" s="1" t="n">
        <v>45574</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8033-2022</t>
        </is>
      </c>
      <c r="B925" s="1" t="n">
        <v>44609</v>
      </c>
      <c r="C925" s="1" t="n">
        <v>45574</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8739-2022</t>
        </is>
      </c>
      <c r="B926" s="1" t="n">
        <v>44615</v>
      </c>
      <c r="C926" s="1" t="n">
        <v>45574</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9057-2022</t>
        </is>
      </c>
      <c r="B927" s="1" t="n">
        <v>44615</v>
      </c>
      <c r="C927" s="1" t="n">
        <v>45574</v>
      </c>
      <c r="D927" t="inlineStr">
        <is>
          <t>VÄRMLANDS LÄN</t>
        </is>
      </c>
      <c r="E927" t="inlineStr">
        <is>
          <t>TORSBY</t>
        </is>
      </c>
      <c r="G927" t="n">
        <v>2.9</v>
      </c>
      <c r="H927" t="n">
        <v>0</v>
      </c>
      <c r="I927" t="n">
        <v>0</v>
      </c>
      <c r="J927" t="n">
        <v>0</v>
      </c>
      <c r="K927" t="n">
        <v>0</v>
      </c>
      <c r="L927" t="n">
        <v>0</v>
      </c>
      <c r="M927" t="n">
        <v>0</v>
      </c>
      <c r="N927" t="n">
        <v>0</v>
      </c>
      <c r="O927" t="n">
        <v>0</v>
      </c>
      <c r="P927" t="n">
        <v>0</v>
      </c>
      <c r="Q927" t="n">
        <v>0</v>
      </c>
      <c r="R927" s="2" t="inlineStr"/>
    </row>
    <row r="928" ht="15" customHeight="1">
      <c r="A928" t="inlineStr">
        <is>
          <t>A 10608-2022</t>
        </is>
      </c>
      <c r="B928" s="1" t="n">
        <v>44624</v>
      </c>
      <c r="C928" s="1" t="n">
        <v>45574</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11050-2022</t>
        </is>
      </c>
      <c r="B929" s="1" t="n">
        <v>44628</v>
      </c>
      <c r="C929" s="1" t="n">
        <v>45574</v>
      </c>
      <c r="D929" t="inlineStr">
        <is>
          <t>VÄRMLANDS LÄN</t>
        </is>
      </c>
      <c r="E929" t="inlineStr">
        <is>
          <t>TORSBY</t>
        </is>
      </c>
      <c r="G929" t="n">
        <v>4.9</v>
      </c>
      <c r="H929" t="n">
        <v>0</v>
      </c>
      <c r="I929" t="n">
        <v>0</v>
      </c>
      <c r="J929" t="n">
        <v>0</v>
      </c>
      <c r="K929" t="n">
        <v>0</v>
      </c>
      <c r="L929" t="n">
        <v>0</v>
      </c>
      <c r="M929" t="n">
        <v>0</v>
      </c>
      <c r="N929" t="n">
        <v>0</v>
      </c>
      <c r="O929" t="n">
        <v>0</v>
      </c>
      <c r="P929" t="n">
        <v>0</v>
      </c>
      <c r="Q929" t="n">
        <v>0</v>
      </c>
      <c r="R929" s="2" t="inlineStr"/>
    </row>
    <row r="930" ht="15" customHeight="1">
      <c r="A930" t="inlineStr">
        <is>
          <t>A 11447-2022</t>
        </is>
      </c>
      <c r="B930" s="1" t="n">
        <v>44630</v>
      </c>
      <c r="C930" s="1" t="n">
        <v>45574</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11665-2022</t>
        </is>
      </c>
      <c r="B931" s="1" t="n">
        <v>44632</v>
      </c>
      <c r="C931" s="1" t="n">
        <v>45574</v>
      </c>
      <c r="D931" t="inlineStr">
        <is>
          <t>VÄRMLANDS LÄN</t>
        </is>
      </c>
      <c r="E931" t="inlineStr">
        <is>
          <t>TORSBY</t>
        </is>
      </c>
      <c r="G931" t="n">
        <v>4.1</v>
      </c>
      <c r="H931" t="n">
        <v>0</v>
      </c>
      <c r="I931" t="n">
        <v>0</v>
      </c>
      <c r="J931" t="n">
        <v>0</v>
      </c>
      <c r="K931" t="n">
        <v>0</v>
      </c>
      <c r="L931" t="n">
        <v>0</v>
      </c>
      <c r="M931" t="n">
        <v>0</v>
      </c>
      <c r="N931" t="n">
        <v>0</v>
      </c>
      <c r="O931" t="n">
        <v>0</v>
      </c>
      <c r="P931" t="n">
        <v>0</v>
      </c>
      <c r="Q931" t="n">
        <v>0</v>
      </c>
      <c r="R931" s="2" t="inlineStr"/>
    </row>
    <row r="932" ht="15" customHeight="1">
      <c r="A932" t="inlineStr">
        <is>
          <t>A 11667-2022</t>
        </is>
      </c>
      <c r="B932" s="1" t="n">
        <v>44632</v>
      </c>
      <c r="C932" s="1" t="n">
        <v>45574</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11664-2022</t>
        </is>
      </c>
      <c r="B933" s="1" t="n">
        <v>44632</v>
      </c>
      <c r="C933" s="1" t="n">
        <v>45574</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11666-2022</t>
        </is>
      </c>
      <c r="B934" s="1" t="n">
        <v>44632</v>
      </c>
      <c r="C934" s="1" t="n">
        <v>45574</v>
      </c>
      <c r="D934" t="inlineStr">
        <is>
          <t>VÄRMLANDS LÄN</t>
        </is>
      </c>
      <c r="E934" t="inlineStr">
        <is>
          <t>TORSBY</t>
        </is>
      </c>
      <c r="G934" t="n">
        <v>3.6</v>
      </c>
      <c r="H934" t="n">
        <v>0</v>
      </c>
      <c r="I934" t="n">
        <v>0</v>
      </c>
      <c r="J934" t="n">
        <v>0</v>
      </c>
      <c r="K934" t="n">
        <v>0</v>
      </c>
      <c r="L934" t="n">
        <v>0</v>
      </c>
      <c r="M934" t="n">
        <v>0</v>
      </c>
      <c r="N934" t="n">
        <v>0</v>
      </c>
      <c r="O934" t="n">
        <v>0</v>
      </c>
      <c r="P934" t="n">
        <v>0</v>
      </c>
      <c r="Q934" t="n">
        <v>0</v>
      </c>
      <c r="R934" s="2" t="inlineStr"/>
    </row>
    <row r="935" ht="15" customHeight="1">
      <c r="A935" t="inlineStr">
        <is>
          <t>A 11922-2022</t>
        </is>
      </c>
      <c r="B935" s="1" t="n">
        <v>44635</v>
      </c>
      <c r="C935" s="1" t="n">
        <v>45574</v>
      </c>
      <c r="D935" t="inlineStr">
        <is>
          <t>VÄRMLANDS LÄN</t>
        </is>
      </c>
      <c r="E935" t="inlineStr">
        <is>
          <t>TORSBY</t>
        </is>
      </c>
      <c r="G935" t="n">
        <v>2.6</v>
      </c>
      <c r="H935" t="n">
        <v>0</v>
      </c>
      <c r="I935" t="n">
        <v>0</v>
      </c>
      <c r="J935" t="n">
        <v>0</v>
      </c>
      <c r="K935" t="n">
        <v>0</v>
      </c>
      <c r="L935" t="n">
        <v>0</v>
      </c>
      <c r="M935" t="n">
        <v>0</v>
      </c>
      <c r="N935" t="n">
        <v>0</v>
      </c>
      <c r="O935" t="n">
        <v>0</v>
      </c>
      <c r="P935" t="n">
        <v>0</v>
      </c>
      <c r="Q935" t="n">
        <v>0</v>
      </c>
      <c r="R935" s="2" t="inlineStr"/>
    </row>
    <row r="936" ht="15" customHeight="1">
      <c r="A936" t="inlineStr">
        <is>
          <t>A 11918-2022</t>
        </is>
      </c>
      <c r="B936" s="1" t="n">
        <v>44635</v>
      </c>
      <c r="C936" s="1" t="n">
        <v>45574</v>
      </c>
      <c r="D936" t="inlineStr">
        <is>
          <t>VÄRMLANDS LÄN</t>
        </is>
      </c>
      <c r="E936" t="inlineStr">
        <is>
          <t>TORSBY</t>
        </is>
      </c>
      <c r="G936" t="n">
        <v>6.4</v>
      </c>
      <c r="H936" t="n">
        <v>0</v>
      </c>
      <c r="I936" t="n">
        <v>0</v>
      </c>
      <c r="J936" t="n">
        <v>0</v>
      </c>
      <c r="K936" t="n">
        <v>0</v>
      </c>
      <c r="L936" t="n">
        <v>0</v>
      </c>
      <c r="M936" t="n">
        <v>0</v>
      </c>
      <c r="N936" t="n">
        <v>0</v>
      </c>
      <c r="O936" t="n">
        <v>0</v>
      </c>
      <c r="P936" t="n">
        <v>0</v>
      </c>
      <c r="Q936" t="n">
        <v>0</v>
      </c>
      <c r="R936" s="2" t="inlineStr"/>
    </row>
    <row r="937" ht="15" customHeight="1">
      <c r="A937" t="inlineStr">
        <is>
          <t>A 12310-2022</t>
        </is>
      </c>
      <c r="B937" s="1" t="n">
        <v>44636</v>
      </c>
      <c r="C937" s="1" t="n">
        <v>45574</v>
      </c>
      <c r="D937" t="inlineStr">
        <is>
          <t>VÄRMLANDS LÄN</t>
        </is>
      </c>
      <c r="E937" t="inlineStr">
        <is>
          <t>TORSBY</t>
        </is>
      </c>
      <c r="G937" t="n">
        <v>7.2</v>
      </c>
      <c r="H937" t="n">
        <v>0</v>
      </c>
      <c r="I937" t="n">
        <v>0</v>
      </c>
      <c r="J937" t="n">
        <v>0</v>
      </c>
      <c r="K937" t="n">
        <v>0</v>
      </c>
      <c r="L937" t="n">
        <v>0</v>
      </c>
      <c r="M937" t="n">
        <v>0</v>
      </c>
      <c r="N937" t="n">
        <v>0</v>
      </c>
      <c r="O937" t="n">
        <v>0</v>
      </c>
      <c r="P937" t="n">
        <v>0</v>
      </c>
      <c r="Q937" t="n">
        <v>0</v>
      </c>
      <c r="R937" s="2" t="inlineStr"/>
    </row>
    <row r="938" ht="15" customHeight="1">
      <c r="A938" t="inlineStr">
        <is>
          <t>A 12365-2022</t>
        </is>
      </c>
      <c r="B938" s="1" t="n">
        <v>44637</v>
      </c>
      <c r="C938" s="1" t="n">
        <v>45574</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13207-2022</t>
        </is>
      </c>
      <c r="B939" s="1" t="n">
        <v>44644</v>
      </c>
      <c r="C939" s="1" t="n">
        <v>45574</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13698-2022</t>
        </is>
      </c>
      <c r="B940" s="1" t="n">
        <v>44648</v>
      </c>
      <c r="C940" s="1" t="n">
        <v>45574</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13896-2022</t>
        </is>
      </c>
      <c r="B941" s="1" t="n">
        <v>44650</v>
      </c>
      <c r="C941" s="1" t="n">
        <v>45574</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14145-2022</t>
        </is>
      </c>
      <c r="B942" s="1" t="n">
        <v>44651</v>
      </c>
      <c r="C942" s="1" t="n">
        <v>45574</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14168-2022</t>
        </is>
      </c>
      <c r="B943" s="1" t="n">
        <v>44651</v>
      </c>
      <c r="C943" s="1" t="n">
        <v>45574</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14320-2022</t>
        </is>
      </c>
      <c r="B944" s="1" t="n">
        <v>44652</v>
      </c>
      <c r="C944" s="1" t="n">
        <v>45574</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15461-2022</t>
        </is>
      </c>
      <c r="B945" s="1" t="n">
        <v>44661</v>
      </c>
      <c r="C945" s="1" t="n">
        <v>45574</v>
      </c>
      <c r="D945" t="inlineStr">
        <is>
          <t>VÄRMLANDS LÄN</t>
        </is>
      </c>
      <c r="E945" t="inlineStr">
        <is>
          <t>TORSBY</t>
        </is>
      </c>
      <c r="G945" t="n">
        <v>13.1</v>
      </c>
      <c r="H945" t="n">
        <v>0</v>
      </c>
      <c r="I945" t="n">
        <v>0</v>
      </c>
      <c r="J945" t="n">
        <v>0</v>
      </c>
      <c r="K945" t="n">
        <v>0</v>
      </c>
      <c r="L945" t="n">
        <v>0</v>
      </c>
      <c r="M945" t="n">
        <v>0</v>
      </c>
      <c r="N945" t="n">
        <v>0</v>
      </c>
      <c r="O945" t="n">
        <v>0</v>
      </c>
      <c r="P945" t="n">
        <v>0</v>
      </c>
      <c r="Q945" t="n">
        <v>0</v>
      </c>
      <c r="R945" s="2" t="inlineStr"/>
    </row>
    <row r="946" ht="15" customHeight="1">
      <c r="A946" t="inlineStr">
        <is>
          <t>A 15460-2022</t>
        </is>
      </c>
      <c r="B946" s="1" t="n">
        <v>44661</v>
      </c>
      <c r="C946" s="1" t="n">
        <v>45574</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16080-2022</t>
        </is>
      </c>
      <c r="B947" s="1" t="n">
        <v>44665</v>
      </c>
      <c r="C947" s="1" t="n">
        <v>45574</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16010-2022</t>
        </is>
      </c>
      <c r="B948" s="1" t="n">
        <v>44665</v>
      </c>
      <c r="C948" s="1" t="n">
        <v>45574</v>
      </c>
      <c r="D948" t="inlineStr">
        <is>
          <t>VÄRMLANDS LÄN</t>
        </is>
      </c>
      <c r="E948" t="inlineStr">
        <is>
          <t>TORSBY</t>
        </is>
      </c>
      <c r="F948" t="inlineStr">
        <is>
          <t>Bergvik skog väst AB</t>
        </is>
      </c>
      <c r="G948" t="n">
        <v>18.7</v>
      </c>
      <c r="H948" t="n">
        <v>0</v>
      </c>
      <c r="I948" t="n">
        <v>0</v>
      </c>
      <c r="J948" t="n">
        <v>0</v>
      </c>
      <c r="K948" t="n">
        <v>0</v>
      </c>
      <c r="L948" t="n">
        <v>0</v>
      </c>
      <c r="M948" t="n">
        <v>0</v>
      </c>
      <c r="N948" t="n">
        <v>0</v>
      </c>
      <c r="O948" t="n">
        <v>0</v>
      </c>
      <c r="P948" t="n">
        <v>0</v>
      </c>
      <c r="Q948" t="n">
        <v>0</v>
      </c>
      <c r="R948" s="2" t="inlineStr"/>
    </row>
    <row r="949" ht="15" customHeight="1">
      <c r="A949" t="inlineStr">
        <is>
          <t>A 16425-2022</t>
        </is>
      </c>
      <c r="B949" s="1" t="n">
        <v>44671</v>
      </c>
      <c r="C949" s="1" t="n">
        <v>45574</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16498-2022</t>
        </is>
      </c>
      <c r="B950" s="1" t="n">
        <v>44671</v>
      </c>
      <c r="C950" s="1" t="n">
        <v>45574</v>
      </c>
      <c r="D950" t="inlineStr">
        <is>
          <t>VÄRMLANDS LÄN</t>
        </is>
      </c>
      <c r="E950" t="inlineStr">
        <is>
          <t>TORSBY</t>
        </is>
      </c>
      <c r="F950" t="inlineStr">
        <is>
          <t>Kommuner</t>
        </is>
      </c>
      <c r="G950" t="n">
        <v>1</v>
      </c>
      <c r="H950" t="n">
        <v>0</v>
      </c>
      <c r="I950" t="n">
        <v>0</v>
      </c>
      <c r="J950" t="n">
        <v>0</v>
      </c>
      <c r="K950" t="n">
        <v>0</v>
      </c>
      <c r="L950" t="n">
        <v>0</v>
      </c>
      <c r="M950" t="n">
        <v>0</v>
      </c>
      <c r="N950" t="n">
        <v>0</v>
      </c>
      <c r="O950" t="n">
        <v>0</v>
      </c>
      <c r="P950" t="n">
        <v>0</v>
      </c>
      <c r="Q950" t="n">
        <v>0</v>
      </c>
      <c r="R950" s="2" t="inlineStr"/>
    </row>
    <row r="951" ht="15" customHeight="1">
      <c r="A951" t="inlineStr">
        <is>
          <t>A 17765-2022</t>
        </is>
      </c>
      <c r="B951" s="1" t="n">
        <v>44681</v>
      </c>
      <c r="C951" s="1" t="n">
        <v>45574</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18101-2022</t>
        </is>
      </c>
      <c r="B952" s="1" t="n">
        <v>44684</v>
      </c>
      <c r="C952" s="1" t="n">
        <v>45574</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18105-2022</t>
        </is>
      </c>
      <c r="B953" s="1" t="n">
        <v>44684</v>
      </c>
      <c r="C953" s="1" t="n">
        <v>45574</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18099-2022</t>
        </is>
      </c>
      <c r="B954" s="1" t="n">
        <v>44684</v>
      </c>
      <c r="C954" s="1" t="n">
        <v>45574</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18347-2022</t>
        </is>
      </c>
      <c r="B955" s="1" t="n">
        <v>44685</v>
      </c>
      <c r="C955" s="1" t="n">
        <v>45574</v>
      </c>
      <c r="D955" t="inlineStr">
        <is>
          <t>VÄRMLANDS LÄN</t>
        </is>
      </c>
      <c r="E955" t="inlineStr">
        <is>
          <t>TORSBY</t>
        </is>
      </c>
      <c r="F955" t="inlineStr">
        <is>
          <t>Bergvik skog väst AB</t>
        </is>
      </c>
      <c r="G955" t="n">
        <v>14.6</v>
      </c>
      <c r="H955" t="n">
        <v>0</v>
      </c>
      <c r="I955" t="n">
        <v>0</v>
      </c>
      <c r="J955" t="n">
        <v>0</v>
      </c>
      <c r="K955" t="n">
        <v>0</v>
      </c>
      <c r="L955" t="n">
        <v>0</v>
      </c>
      <c r="M955" t="n">
        <v>0</v>
      </c>
      <c r="N955" t="n">
        <v>0</v>
      </c>
      <c r="O955" t="n">
        <v>0</v>
      </c>
      <c r="P955" t="n">
        <v>0</v>
      </c>
      <c r="Q955" t="n">
        <v>0</v>
      </c>
      <c r="R955" s="2" t="inlineStr"/>
    </row>
    <row r="956" ht="15" customHeight="1">
      <c r="A956" t="inlineStr">
        <is>
          <t>A 18628-2022</t>
        </is>
      </c>
      <c r="B956" s="1" t="n">
        <v>44687</v>
      </c>
      <c r="C956" s="1" t="n">
        <v>45574</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18779-2022</t>
        </is>
      </c>
      <c r="B957" s="1" t="n">
        <v>44689</v>
      </c>
      <c r="C957" s="1" t="n">
        <v>45574</v>
      </c>
      <c r="D957" t="inlineStr">
        <is>
          <t>VÄRMLANDS LÄN</t>
        </is>
      </c>
      <c r="E957" t="inlineStr">
        <is>
          <t>TORSBY</t>
        </is>
      </c>
      <c r="G957" t="n">
        <v>5.1</v>
      </c>
      <c r="H957" t="n">
        <v>0</v>
      </c>
      <c r="I957" t="n">
        <v>0</v>
      </c>
      <c r="J957" t="n">
        <v>0</v>
      </c>
      <c r="K957" t="n">
        <v>0</v>
      </c>
      <c r="L957" t="n">
        <v>0</v>
      </c>
      <c r="M957" t="n">
        <v>0</v>
      </c>
      <c r="N957" t="n">
        <v>0</v>
      </c>
      <c r="O957" t="n">
        <v>0</v>
      </c>
      <c r="P957" t="n">
        <v>0</v>
      </c>
      <c r="Q957" t="n">
        <v>0</v>
      </c>
      <c r="R957" s="2" t="inlineStr"/>
    </row>
    <row r="958" ht="15" customHeight="1">
      <c r="A958" t="inlineStr">
        <is>
          <t>A 18897-2022</t>
        </is>
      </c>
      <c r="B958" s="1" t="n">
        <v>44690</v>
      </c>
      <c r="C958" s="1" t="n">
        <v>45574</v>
      </c>
      <c r="D958" t="inlineStr">
        <is>
          <t>VÄRMLANDS LÄN</t>
        </is>
      </c>
      <c r="E958" t="inlineStr">
        <is>
          <t>TORSBY</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18877-2022</t>
        </is>
      </c>
      <c r="B959" s="1" t="n">
        <v>44690</v>
      </c>
      <c r="C959" s="1" t="n">
        <v>45574</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18903-2022</t>
        </is>
      </c>
      <c r="B960" s="1" t="n">
        <v>44690</v>
      </c>
      <c r="C960" s="1" t="n">
        <v>45574</v>
      </c>
      <c r="D960" t="inlineStr">
        <is>
          <t>VÄRMLANDS LÄN</t>
        </is>
      </c>
      <c r="E960" t="inlineStr">
        <is>
          <t>TORSBY</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19171-2022</t>
        </is>
      </c>
      <c r="B961" s="1" t="n">
        <v>44691</v>
      </c>
      <c r="C961" s="1" t="n">
        <v>45574</v>
      </c>
      <c r="D961" t="inlineStr">
        <is>
          <t>VÄRMLANDS LÄN</t>
        </is>
      </c>
      <c r="E961" t="inlineStr">
        <is>
          <t>TORSBY</t>
        </is>
      </c>
      <c r="F961" t="inlineStr">
        <is>
          <t>Bergvik skog väst AB</t>
        </is>
      </c>
      <c r="G961" t="n">
        <v>23.3</v>
      </c>
      <c r="H961" t="n">
        <v>0</v>
      </c>
      <c r="I961" t="n">
        <v>0</v>
      </c>
      <c r="J961" t="n">
        <v>0</v>
      </c>
      <c r="K961" t="n">
        <v>0</v>
      </c>
      <c r="L961" t="n">
        <v>0</v>
      </c>
      <c r="M961" t="n">
        <v>0</v>
      </c>
      <c r="N961" t="n">
        <v>0</v>
      </c>
      <c r="O961" t="n">
        <v>0</v>
      </c>
      <c r="P961" t="n">
        <v>0</v>
      </c>
      <c r="Q961" t="n">
        <v>0</v>
      </c>
      <c r="R961" s="2" t="inlineStr"/>
    </row>
    <row r="962" ht="15" customHeight="1">
      <c r="A962" t="inlineStr">
        <is>
          <t>A 19307-2022</t>
        </is>
      </c>
      <c r="B962" s="1" t="n">
        <v>44692</v>
      </c>
      <c r="C962" s="1" t="n">
        <v>45574</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19489-2022</t>
        </is>
      </c>
      <c r="B963" s="1" t="n">
        <v>44693</v>
      </c>
      <c r="C963" s="1" t="n">
        <v>45574</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19632-2022</t>
        </is>
      </c>
      <c r="B964" s="1" t="n">
        <v>44694</v>
      </c>
      <c r="C964" s="1" t="n">
        <v>45574</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19614-2022</t>
        </is>
      </c>
      <c r="B965" s="1" t="n">
        <v>44694</v>
      </c>
      <c r="C965" s="1" t="n">
        <v>45574</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20045-2022</t>
        </is>
      </c>
      <c r="B966" s="1" t="n">
        <v>44697</v>
      </c>
      <c r="C966" s="1" t="n">
        <v>45574</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20046-2022</t>
        </is>
      </c>
      <c r="B967" s="1" t="n">
        <v>44697</v>
      </c>
      <c r="C967" s="1" t="n">
        <v>45574</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45574</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20168-2022</t>
        </is>
      </c>
      <c r="B969" s="1" t="n">
        <v>44698</v>
      </c>
      <c r="C969" s="1" t="n">
        <v>45574</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20175-2022</t>
        </is>
      </c>
      <c r="B970" s="1" t="n">
        <v>44698</v>
      </c>
      <c r="C970" s="1" t="n">
        <v>45574</v>
      </c>
      <c r="D970" t="inlineStr">
        <is>
          <t>VÄRMLANDS LÄN</t>
        </is>
      </c>
      <c r="E970" t="inlineStr">
        <is>
          <t>TORSBY</t>
        </is>
      </c>
      <c r="G970" t="n">
        <v>2.8</v>
      </c>
      <c r="H970" t="n">
        <v>0</v>
      </c>
      <c r="I970" t="n">
        <v>0</v>
      </c>
      <c r="J970" t="n">
        <v>0</v>
      </c>
      <c r="K970" t="n">
        <v>0</v>
      </c>
      <c r="L970" t="n">
        <v>0</v>
      </c>
      <c r="M970" t="n">
        <v>0</v>
      </c>
      <c r="N970" t="n">
        <v>0</v>
      </c>
      <c r="O970" t="n">
        <v>0</v>
      </c>
      <c r="P970" t="n">
        <v>0</v>
      </c>
      <c r="Q970" t="n">
        <v>0</v>
      </c>
      <c r="R970" s="2" t="inlineStr"/>
    </row>
    <row r="971" ht="15" customHeight="1">
      <c r="A971" t="inlineStr">
        <is>
          <t>A 20174-2022</t>
        </is>
      </c>
      <c r="B971" s="1" t="n">
        <v>44698</v>
      </c>
      <c r="C971" s="1" t="n">
        <v>45574</v>
      </c>
      <c r="D971" t="inlineStr">
        <is>
          <t>VÄRMLANDS LÄN</t>
        </is>
      </c>
      <c r="E971" t="inlineStr">
        <is>
          <t>TORSBY</t>
        </is>
      </c>
      <c r="G971" t="n">
        <v>4.4</v>
      </c>
      <c r="H971" t="n">
        <v>0</v>
      </c>
      <c r="I971" t="n">
        <v>0</v>
      </c>
      <c r="J971" t="n">
        <v>0</v>
      </c>
      <c r="K971" t="n">
        <v>0</v>
      </c>
      <c r="L971" t="n">
        <v>0</v>
      </c>
      <c r="M971" t="n">
        <v>0</v>
      </c>
      <c r="N971" t="n">
        <v>0</v>
      </c>
      <c r="O971" t="n">
        <v>0</v>
      </c>
      <c r="P971" t="n">
        <v>0</v>
      </c>
      <c r="Q971" t="n">
        <v>0</v>
      </c>
      <c r="R971" s="2" t="inlineStr"/>
    </row>
    <row r="972" ht="15" customHeight="1">
      <c r="A972" t="inlineStr">
        <is>
          <t>A 20382-2022</t>
        </is>
      </c>
      <c r="B972" s="1" t="n">
        <v>44699</v>
      </c>
      <c r="C972" s="1" t="n">
        <v>45574</v>
      </c>
      <c r="D972" t="inlineStr">
        <is>
          <t>VÄRMLANDS LÄN</t>
        </is>
      </c>
      <c r="E972" t="inlineStr">
        <is>
          <t>TORSBY</t>
        </is>
      </c>
      <c r="G972" t="n">
        <v>14.3</v>
      </c>
      <c r="H972" t="n">
        <v>0</v>
      </c>
      <c r="I972" t="n">
        <v>0</v>
      </c>
      <c r="J972" t="n">
        <v>0</v>
      </c>
      <c r="K972" t="n">
        <v>0</v>
      </c>
      <c r="L972" t="n">
        <v>0</v>
      </c>
      <c r="M972" t="n">
        <v>0</v>
      </c>
      <c r="N972" t="n">
        <v>0</v>
      </c>
      <c r="O972" t="n">
        <v>0</v>
      </c>
      <c r="P972" t="n">
        <v>0</v>
      </c>
      <c r="Q972" t="n">
        <v>0</v>
      </c>
      <c r="R972" s="2" t="inlineStr"/>
    </row>
    <row r="973" ht="15" customHeight="1">
      <c r="A973" t="inlineStr">
        <is>
          <t>A 20819-2022</t>
        </is>
      </c>
      <c r="B973" s="1" t="n">
        <v>44699</v>
      </c>
      <c r="C973" s="1" t="n">
        <v>45574</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20881-2022</t>
        </is>
      </c>
      <c r="B974" s="1" t="n">
        <v>44701</v>
      </c>
      <c r="C974" s="1" t="n">
        <v>45574</v>
      </c>
      <c r="D974" t="inlineStr">
        <is>
          <t>VÄRMLANDS LÄN</t>
        </is>
      </c>
      <c r="E974" t="inlineStr">
        <is>
          <t>TORSBY</t>
        </is>
      </c>
      <c r="F974" t="inlineStr">
        <is>
          <t>Bergvik skog väst AB</t>
        </is>
      </c>
      <c r="G974" t="n">
        <v>17.2</v>
      </c>
      <c r="H974" t="n">
        <v>0</v>
      </c>
      <c r="I974" t="n">
        <v>0</v>
      </c>
      <c r="J974" t="n">
        <v>0</v>
      </c>
      <c r="K974" t="n">
        <v>0</v>
      </c>
      <c r="L974" t="n">
        <v>0</v>
      </c>
      <c r="M974" t="n">
        <v>0</v>
      </c>
      <c r="N974" t="n">
        <v>0</v>
      </c>
      <c r="O974" t="n">
        <v>0</v>
      </c>
      <c r="P974" t="n">
        <v>0</v>
      </c>
      <c r="Q974" t="n">
        <v>0</v>
      </c>
      <c r="R974" s="2" t="inlineStr"/>
    </row>
    <row r="975" ht="15" customHeight="1">
      <c r="A975" t="inlineStr">
        <is>
          <t>A 20907-2022</t>
        </is>
      </c>
      <c r="B975" s="1" t="n">
        <v>44701</v>
      </c>
      <c r="C975" s="1" t="n">
        <v>45574</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20899-2022</t>
        </is>
      </c>
      <c r="B976" s="1" t="n">
        <v>44701</v>
      </c>
      <c r="C976" s="1" t="n">
        <v>45574</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21094-2022</t>
        </is>
      </c>
      <c r="B977" s="1" t="n">
        <v>44704</v>
      </c>
      <c r="C977" s="1" t="n">
        <v>45574</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21070-2022</t>
        </is>
      </c>
      <c r="B978" s="1" t="n">
        <v>44704</v>
      </c>
      <c r="C978" s="1" t="n">
        <v>45574</v>
      </c>
      <c r="D978" t="inlineStr">
        <is>
          <t>VÄRMLANDS LÄN</t>
        </is>
      </c>
      <c r="E978" t="inlineStr">
        <is>
          <t>TORSBY</t>
        </is>
      </c>
      <c r="G978" t="n">
        <v>13.7</v>
      </c>
      <c r="H978" t="n">
        <v>0</v>
      </c>
      <c r="I978" t="n">
        <v>0</v>
      </c>
      <c r="J978" t="n">
        <v>0</v>
      </c>
      <c r="K978" t="n">
        <v>0</v>
      </c>
      <c r="L978" t="n">
        <v>0</v>
      </c>
      <c r="M978" t="n">
        <v>0</v>
      </c>
      <c r="N978" t="n">
        <v>0</v>
      </c>
      <c r="O978" t="n">
        <v>0</v>
      </c>
      <c r="P978" t="n">
        <v>0</v>
      </c>
      <c r="Q978" t="n">
        <v>0</v>
      </c>
      <c r="R978" s="2" t="inlineStr"/>
    </row>
    <row r="979" ht="15" customHeight="1">
      <c r="A979" t="inlineStr">
        <is>
          <t>A 21089-2022</t>
        </is>
      </c>
      <c r="B979" s="1" t="n">
        <v>44704</v>
      </c>
      <c r="C979" s="1" t="n">
        <v>45574</v>
      </c>
      <c r="D979" t="inlineStr">
        <is>
          <t>VÄRMLANDS LÄN</t>
        </is>
      </c>
      <c r="E979" t="inlineStr">
        <is>
          <t>TORSBY</t>
        </is>
      </c>
      <c r="G979" t="n">
        <v>13.4</v>
      </c>
      <c r="H979" t="n">
        <v>0</v>
      </c>
      <c r="I979" t="n">
        <v>0</v>
      </c>
      <c r="J979" t="n">
        <v>0</v>
      </c>
      <c r="K979" t="n">
        <v>0</v>
      </c>
      <c r="L979" t="n">
        <v>0</v>
      </c>
      <c r="M979" t="n">
        <v>0</v>
      </c>
      <c r="N979" t="n">
        <v>0</v>
      </c>
      <c r="O979" t="n">
        <v>0</v>
      </c>
      <c r="P979" t="n">
        <v>0</v>
      </c>
      <c r="Q979" t="n">
        <v>0</v>
      </c>
      <c r="R979" s="2" t="inlineStr"/>
    </row>
    <row r="980" ht="15" customHeight="1">
      <c r="A980" t="inlineStr">
        <is>
          <t>A 21516-2022</t>
        </is>
      </c>
      <c r="B980" s="1" t="n">
        <v>44706</v>
      </c>
      <c r="C980" s="1" t="n">
        <v>45574</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21465-2022</t>
        </is>
      </c>
      <c r="B981" s="1" t="n">
        <v>44706</v>
      </c>
      <c r="C981" s="1" t="n">
        <v>45574</v>
      </c>
      <c r="D981" t="inlineStr">
        <is>
          <t>VÄRMLANDS LÄN</t>
        </is>
      </c>
      <c r="E981" t="inlineStr">
        <is>
          <t>TORSBY</t>
        </is>
      </c>
      <c r="G981" t="n">
        <v>1.9</v>
      </c>
      <c r="H981" t="n">
        <v>0</v>
      </c>
      <c r="I981" t="n">
        <v>0</v>
      </c>
      <c r="J981" t="n">
        <v>0</v>
      </c>
      <c r="K981" t="n">
        <v>0</v>
      </c>
      <c r="L981" t="n">
        <v>0</v>
      </c>
      <c r="M981" t="n">
        <v>0</v>
      </c>
      <c r="N981" t="n">
        <v>0</v>
      </c>
      <c r="O981" t="n">
        <v>0</v>
      </c>
      <c r="P981" t="n">
        <v>0</v>
      </c>
      <c r="Q981" t="n">
        <v>0</v>
      </c>
      <c r="R981" s="2" t="inlineStr"/>
    </row>
    <row r="982" ht="15" customHeight="1">
      <c r="A982" t="inlineStr">
        <is>
          <t>A 21521-2022</t>
        </is>
      </c>
      <c r="B982" s="1" t="n">
        <v>44706</v>
      </c>
      <c r="C982" s="1" t="n">
        <v>45574</v>
      </c>
      <c r="D982" t="inlineStr">
        <is>
          <t>VÄRMLANDS LÄN</t>
        </is>
      </c>
      <c r="E982" t="inlineStr">
        <is>
          <t>TORSBY</t>
        </is>
      </c>
      <c r="G982" t="n">
        <v>0.1</v>
      </c>
      <c r="H982" t="n">
        <v>0</v>
      </c>
      <c r="I982" t="n">
        <v>0</v>
      </c>
      <c r="J982" t="n">
        <v>0</v>
      </c>
      <c r="K982" t="n">
        <v>0</v>
      </c>
      <c r="L982" t="n">
        <v>0</v>
      </c>
      <c r="M982" t="n">
        <v>0</v>
      </c>
      <c r="N982" t="n">
        <v>0</v>
      </c>
      <c r="O982" t="n">
        <v>0</v>
      </c>
      <c r="P982" t="n">
        <v>0</v>
      </c>
      <c r="Q982" t="n">
        <v>0</v>
      </c>
      <c r="R982" s="2" t="inlineStr"/>
    </row>
    <row r="983" ht="15" customHeight="1">
      <c r="A983" t="inlineStr">
        <is>
          <t>A 22158-2022</t>
        </is>
      </c>
      <c r="B983" s="1" t="n">
        <v>44708</v>
      </c>
      <c r="C983" s="1" t="n">
        <v>45574</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22124-2022</t>
        </is>
      </c>
      <c r="B984" s="1" t="n">
        <v>44712</v>
      </c>
      <c r="C984" s="1" t="n">
        <v>45574</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22635-2022</t>
        </is>
      </c>
      <c r="B985" s="1" t="n">
        <v>44714</v>
      </c>
      <c r="C985" s="1" t="n">
        <v>45574</v>
      </c>
      <c r="D985" t="inlineStr">
        <is>
          <t>VÄRMLANDS LÄN</t>
        </is>
      </c>
      <c r="E985" t="inlineStr">
        <is>
          <t>TORSBY</t>
        </is>
      </c>
      <c r="G985" t="n">
        <v>0.4</v>
      </c>
      <c r="H985" t="n">
        <v>0</v>
      </c>
      <c r="I985" t="n">
        <v>0</v>
      </c>
      <c r="J985" t="n">
        <v>0</v>
      </c>
      <c r="K985" t="n">
        <v>0</v>
      </c>
      <c r="L985" t="n">
        <v>0</v>
      </c>
      <c r="M985" t="n">
        <v>0</v>
      </c>
      <c r="N985" t="n">
        <v>0</v>
      </c>
      <c r="O985" t="n">
        <v>0</v>
      </c>
      <c r="P985" t="n">
        <v>0</v>
      </c>
      <c r="Q985" t="n">
        <v>0</v>
      </c>
      <c r="R985" s="2" t="inlineStr"/>
    </row>
    <row r="986" ht="15" customHeight="1">
      <c r="A986" t="inlineStr">
        <is>
          <t>A 22662-2022</t>
        </is>
      </c>
      <c r="B986" s="1" t="n">
        <v>44714</v>
      </c>
      <c r="C986" s="1" t="n">
        <v>45574</v>
      </c>
      <c r="D986" t="inlineStr">
        <is>
          <t>VÄRMLANDS LÄN</t>
        </is>
      </c>
      <c r="E986" t="inlineStr">
        <is>
          <t>TORSBY</t>
        </is>
      </c>
      <c r="G986" t="n">
        <v>4.8</v>
      </c>
      <c r="H986" t="n">
        <v>0</v>
      </c>
      <c r="I986" t="n">
        <v>0</v>
      </c>
      <c r="J986" t="n">
        <v>0</v>
      </c>
      <c r="K986" t="n">
        <v>0</v>
      </c>
      <c r="L986" t="n">
        <v>0</v>
      </c>
      <c r="M986" t="n">
        <v>0</v>
      </c>
      <c r="N986" t="n">
        <v>0</v>
      </c>
      <c r="O986" t="n">
        <v>0</v>
      </c>
      <c r="P986" t="n">
        <v>0</v>
      </c>
      <c r="Q986" t="n">
        <v>0</v>
      </c>
      <c r="R986" s="2" t="inlineStr"/>
    </row>
    <row r="987" ht="15" customHeight="1">
      <c r="A987" t="inlineStr">
        <is>
          <t>A 22826-2022</t>
        </is>
      </c>
      <c r="B987" s="1" t="n">
        <v>44714</v>
      </c>
      <c r="C987" s="1" t="n">
        <v>45574</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22823-2022</t>
        </is>
      </c>
      <c r="B988" s="1" t="n">
        <v>44714</v>
      </c>
      <c r="C988" s="1" t="n">
        <v>45574</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23185-2022</t>
        </is>
      </c>
      <c r="B989" s="1" t="n">
        <v>44719</v>
      </c>
      <c r="C989" s="1" t="n">
        <v>45574</v>
      </c>
      <c r="D989" t="inlineStr">
        <is>
          <t>VÄRMLANDS LÄN</t>
        </is>
      </c>
      <c r="E989" t="inlineStr">
        <is>
          <t>TORSBY</t>
        </is>
      </c>
      <c r="F989" t="inlineStr">
        <is>
          <t>Naturvårdsverket</t>
        </is>
      </c>
      <c r="G989" t="n">
        <v>2.8</v>
      </c>
      <c r="H989" t="n">
        <v>0</v>
      </c>
      <c r="I989" t="n">
        <v>0</v>
      </c>
      <c r="J989" t="n">
        <v>0</v>
      </c>
      <c r="K989" t="n">
        <v>0</v>
      </c>
      <c r="L989" t="n">
        <v>0</v>
      </c>
      <c r="M989" t="n">
        <v>0</v>
      </c>
      <c r="N989" t="n">
        <v>0</v>
      </c>
      <c r="O989" t="n">
        <v>0</v>
      </c>
      <c r="P989" t="n">
        <v>0</v>
      </c>
      <c r="Q989" t="n">
        <v>0</v>
      </c>
      <c r="R989" s="2" t="inlineStr"/>
    </row>
    <row r="990" ht="15" customHeight="1">
      <c r="A990" t="inlineStr">
        <is>
          <t>A 23011-2022</t>
        </is>
      </c>
      <c r="B990" s="1" t="n">
        <v>44719</v>
      </c>
      <c r="C990" s="1" t="n">
        <v>45574</v>
      </c>
      <c r="D990" t="inlineStr">
        <is>
          <t>VÄRMLANDS LÄN</t>
        </is>
      </c>
      <c r="E990" t="inlineStr">
        <is>
          <t>TORSBY</t>
        </is>
      </c>
      <c r="F990" t="inlineStr">
        <is>
          <t>Bergvik skog väst AB</t>
        </is>
      </c>
      <c r="G990" t="n">
        <v>5.2</v>
      </c>
      <c r="H990" t="n">
        <v>0</v>
      </c>
      <c r="I990" t="n">
        <v>0</v>
      </c>
      <c r="J990" t="n">
        <v>0</v>
      </c>
      <c r="K990" t="n">
        <v>0</v>
      </c>
      <c r="L990" t="n">
        <v>0</v>
      </c>
      <c r="M990" t="n">
        <v>0</v>
      </c>
      <c r="N990" t="n">
        <v>0</v>
      </c>
      <c r="O990" t="n">
        <v>0</v>
      </c>
      <c r="P990" t="n">
        <v>0</v>
      </c>
      <c r="Q990" t="n">
        <v>0</v>
      </c>
      <c r="R990" s="2" t="inlineStr"/>
    </row>
    <row r="991" ht="15" customHeight="1">
      <c r="A991" t="inlineStr">
        <is>
          <t>A 23264-2022</t>
        </is>
      </c>
      <c r="B991" s="1" t="n">
        <v>44720</v>
      </c>
      <c r="C991" s="1" t="n">
        <v>45574</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23343-2022</t>
        </is>
      </c>
      <c r="B992" s="1" t="n">
        <v>44720</v>
      </c>
      <c r="C992" s="1" t="n">
        <v>45574</v>
      </c>
      <c r="D992" t="inlineStr">
        <is>
          <t>VÄRMLANDS LÄN</t>
        </is>
      </c>
      <c r="E992" t="inlineStr">
        <is>
          <t>TORSBY</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23401-2022</t>
        </is>
      </c>
      <c r="B993" s="1" t="n">
        <v>44720</v>
      </c>
      <c r="C993" s="1" t="n">
        <v>45574</v>
      </c>
      <c r="D993" t="inlineStr">
        <is>
          <t>VÄRMLANDS LÄN</t>
        </is>
      </c>
      <c r="E993" t="inlineStr">
        <is>
          <t>TORSBY</t>
        </is>
      </c>
      <c r="F993" t="inlineStr">
        <is>
          <t>Bergvik skog väst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23405-2022</t>
        </is>
      </c>
      <c r="B994" s="1" t="n">
        <v>44720</v>
      </c>
      <c r="C994" s="1" t="n">
        <v>45574</v>
      </c>
      <c r="D994" t="inlineStr">
        <is>
          <t>VÄRMLANDS LÄN</t>
        </is>
      </c>
      <c r="E994" t="inlineStr">
        <is>
          <t>TORSBY</t>
        </is>
      </c>
      <c r="F994" t="inlineStr">
        <is>
          <t>Bergvik skog väst AB</t>
        </is>
      </c>
      <c r="G994" t="n">
        <v>9.1</v>
      </c>
      <c r="H994" t="n">
        <v>0</v>
      </c>
      <c r="I994" t="n">
        <v>0</v>
      </c>
      <c r="J994" t="n">
        <v>0</v>
      </c>
      <c r="K994" t="n">
        <v>0</v>
      </c>
      <c r="L994" t="n">
        <v>0</v>
      </c>
      <c r="M994" t="n">
        <v>0</v>
      </c>
      <c r="N994" t="n">
        <v>0</v>
      </c>
      <c r="O994" t="n">
        <v>0</v>
      </c>
      <c r="P994" t="n">
        <v>0</v>
      </c>
      <c r="Q994" t="n">
        <v>0</v>
      </c>
      <c r="R994" s="2" t="inlineStr"/>
    </row>
    <row r="995" ht="15" customHeight="1">
      <c r="A995" t="inlineStr">
        <is>
          <t>A 23803-2022</t>
        </is>
      </c>
      <c r="B995" s="1" t="n">
        <v>44720</v>
      </c>
      <c r="C995" s="1" t="n">
        <v>45574</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23804-2022</t>
        </is>
      </c>
      <c r="B996" s="1" t="n">
        <v>44722</v>
      </c>
      <c r="C996" s="1" t="n">
        <v>45574</v>
      </c>
      <c r="D996" t="inlineStr">
        <is>
          <t>VÄRMLANDS LÄN</t>
        </is>
      </c>
      <c r="E996" t="inlineStr">
        <is>
          <t>TORSBY</t>
        </is>
      </c>
      <c r="G996" t="n">
        <v>6.1</v>
      </c>
      <c r="H996" t="n">
        <v>0</v>
      </c>
      <c r="I996" t="n">
        <v>0</v>
      </c>
      <c r="J996" t="n">
        <v>0</v>
      </c>
      <c r="K996" t="n">
        <v>0</v>
      </c>
      <c r="L996" t="n">
        <v>0</v>
      </c>
      <c r="M996" t="n">
        <v>0</v>
      </c>
      <c r="N996" t="n">
        <v>0</v>
      </c>
      <c r="O996" t="n">
        <v>0</v>
      </c>
      <c r="P996" t="n">
        <v>0</v>
      </c>
      <c r="Q996" t="n">
        <v>0</v>
      </c>
      <c r="R996" s="2" t="inlineStr"/>
    </row>
    <row r="997" ht="15" customHeight="1">
      <c r="A997" t="inlineStr">
        <is>
          <t>A 23823-2022</t>
        </is>
      </c>
      <c r="B997" s="1" t="n">
        <v>44722</v>
      </c>
      <c r="C997" s="1" t="n">
        <v>45574</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23735-2022</t>
        </is>
      </c>
      <c r="B998" s="1" t="n">
        <v>44722</v>
      </c>
      <c r="C998" s="1" t="n">
        <v>45574</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23818-2022</t>
        </is>
      </c>
      <c r="B999" s="1" t="n">
        <v>44722</v>
      </c>
      <c r="C999" s="1" t="n">
        <v>45574</v>
      </c>
      <c r="D999" t="inlineStr">
        <is>
          <t>VÄRMLANDS LÄN</t>
        </is>
      </c>
      <c r="E999" t="inlineStr">
        <is>
          <t>TORSBY</t>
        </is>
      </c>
      <c r="G999" t="n">
        <v>23.5</v>
      </c>
      <c r="H999" t="n">
        <v>0</v>
      </c>
      <c r="I999" t="n">
        <v>0</v>
      </c>
      <c r="J999" t="n">
        <v>0</v>
      </c>
      <c r="K999" t="n">
        <v>0</v>
      </c>
      <c r="L999" t="n">
        <v>0</v>
      </c>
      <c r="M999" t="n">
        <v>0</v>
      </c>
      <c r="N999" t="n">
        <v>0</v>
      </c>
      <c r="O999" t="n">
        <v>0</v>
      </c>
      <c r="P999" t="n">
        <v>0</v>
      </c>
      <c r="Q999" t="n">
        <v>0</v>
      </c>
      <c r="R999" s="2" t="inlineStr"/>
    </row>
    <row r="1000" ht="15" customHeight="1">
      <c r="A1000" t="inlineStr">
        <is>
          <t>A 23732-2022</t>
        </is>
      </c>
      <c r="B1000" s="1" t="n">
        <v>44722</v>
      </c>
      <c r="C1000" s="1" t="n">
        <v>45574</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23746-2022</t>
        </is>
      </c>
      <c r="B1001" s="1" t="n">
        <v>44722</v>
      </c>
      <c r="C1001" s="1" t="n">
        <v>45574</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23851-2022</t>
        </is>
      </c>
      <c r="B1002" s="1" t="n">
        <v>44722</v>
      </c>
      <c r="C1002" s="1" t="n">
        <v>45574</v>
      </c>
      <c r="D1002" t="inlineStr">
        <is>
          <t>VÄRMLANDS LÄN</t>
        </is>
      </c>
      <c r="E1002" t="inlineStr">
        <is>
          <t>TORSBY</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24960-2022</t>
        </is>
      </c>
      <c r="B1003" s="1" t="n">
        <v>44728</v>
      </c>
      <c r="C1003" s="1" t="n">
        <v>45574</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25537-2022</t>
        </is>
      </c>
      <c r="B1004" s="1" t="n">
        <v>44732</v>
      </c>
      <c r="C1004" s="1" t="n">
        <v>45574</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26686-2022</t>
        </is>
      </c>
      <c r="B1005" s="1" t="n">
        <v>44739</v>
      </c>
      <c r="C1005" s="1" t="n">
        <v>45574</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26842-2022</t>
        </is>
      </c>
      <c r="B1006" s="1" t="n">
        <v>44740</v>
      </c>
      <c r="C1006" s="1" t="n">
        <v>45574</v>
      </c>
      <c r="D1006" t="inlineStr">
        <is>
          <t>VÄRMLANDS LÄN</t>
        </is>
      </c>
      <c r="E1006" t="inlineStr">
        <is>
          <t>TORSBY</t>
        </is>
      </c>
      <c r="F1006" t="inlineStr">
        <is>
          <t>Bergvik skog väst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26988-2022</t>
        </is>
      </c>
      <c r="B1007" s="1" t="n">
        <v>44740</v>
      </c>
      <c r="C1007" s="1" t="n">
        <v>45574</v>
      </c>
      <c r="D1007" t="inlineStr">
        <is>
          <t>VÄRMLANDS LÄN</t>
        </is>
      </c>
      <c r="E1007" t="inlineStr">
        <is>
          <t>TORSBY</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27223-2022</t>
        </is>
      </c>
      <c r="B1008" s="1" t="n">
        <v>44741</v>
      </c>
      <c r="C1008" s="1" t="n">
        <v>45574</v>
      </c>
      <c r="D1008" t="inlineStr">
        <is>
          <t>VÄRMLANDS LÄN</t>
        </is>
      </c>
      <c r="E1008" t="inlineStr">
        <is>
          <t>TORSBY</t>
        </is>
      </c>
      <c r="F1008" t="inlineStr">
        <is>
          <t>Bergvik skog väst AB</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27686-2022</t>
        </is>
      </c>
      <c r="B1009" s="1" t="n">
        <v>44743</v>
      </c>
      <c r="C1009" s="1" t="n">
        <v>45574</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28008-2022</t>
        </is>
      </c>
      <c r="B1010" s="1" t="n">
        <v>44746</v>
      </c>
      <c r="C1010" s="1" t="n">
        <v>45574</v>
      </c>
      <c r="D1010" t="inlineStr">
        <is>
          <t>VÄRMLANDS LÄN</t>
        </is>
      </c>
      <c r="E1010" t="inlineStr">
        <is>
          <t>TORSBY</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28016-2022</t>
        </is>
      </c>
      <c r="B1011" s="1" t="n">
        <v>44746</v>
      </c>
      <c r="C1011" s="1" t="n">
        <v>45574</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45574</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28172-2022</t>
        </is>
      </c>
      <c r="B1013" s="1" t="n">
        <v>44746</v>
      </c>
      <c r="C1013" s="1" t="n">
        <v>45574</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28471-2022</t>
        </is>
      </c>
      <c r="B1014" s="1" t="n">
        <v>44747</v>
      </c>
      <c r="C1014" s="1" t="n">
        <v>45574</v>
      </c>
      <c r="D1014" t="inlineStr">
        <is>
          <t>VÄRMLANDS LÄN</t>
        </is>
      </c>
      <c r="E1014" t="inlineStr">
        <is>
          <t>TORSBY</t>
        </is>
      </c>
      <c r="F1014" t="inlineStr">
        <is>
          <t>Bergvik skog väst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28955-2022</t>
        </is>
      </c>
      <c r="B1015" s="1" t="n">
        <v>44749</v>
      </c>
      <c r="C1015" s="1" t="n">
        <v>45574</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29142-2022</t>
        </is>
      </c>
      <c r="B1016" s="1" t="n">
        <v>44750</v>
      </c>
      <c r="C1016" s="1" t="n">
        <v>45574</v>
      </c>
      <c r="D1016" t="inlineStr">
        <is>
          <t>VÄRMLANDS LÄN</t>
        </is>
      </c>
      <c r="E1016" t="inlineStr">
        <is>
          <t>TORSBY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29509-2022</t>
        </is>
      </c>
      <c r="B1017" s="1" t="n">
        <v>44753</v>
      </c>
      <c r="C1017" s="1" t="n">
        <v>45574</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29596-2022</t>
        </is>
      </c>
      <c r="B1018" s="1" t="n">
        <v>44754</v>
      </c>
      <c r="C1018" s="1" t="n">
        <v>45574</v>
      </c>
      <c r="D1018" t="inlineStr">
        <is>
          <t>VÄRMLANDS LÄN</t>
        </is>
      </c>
      <c r="E1018" t="inlineStr">
        <is>
          <t>TORSBY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29717-2022</t>
        </is>
      </c>
      <c r="B1019" s="1" t="n">
        <v>44755</v>
      </c>
      <c r="C1019" s="1" t="n">
        <v>45574</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29720-2022</t>
        </is>
      </c>
      <c r="B1020" s="1" t="n">
        <v>44755</v>
      </c>
      <c r="C1020" s="1" t="n">
        <v>45574</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29721-2022</t>
        </is>
      </c>
      <c r="B1021" s="1" t="n">
        <v>44755</v>
      </c>
      <c r="C1021" s="1" t="n">
        <v>45574</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29901-2022</t>
        </is>
      </c>
      <c r="B1022" s="1" t="n">
        <v>44756</v>
      </c>
      <c r="C1022" s="1" t="n">
        <v>45574</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29908-2022</t>
        </is>
      </c>
      <c r="B1023" s="1" t="n">
        <v>44756</v>
      </c>
      <c r="C1023" s="1" t="n">
        <v>45574</v>
      </c>
      <c r="D1023" t="inlineStr">
        <is>
          <t>VÄRMLANDS LÄN</t>
        </is>
      </c>
      <c r="E1023" t="inlineStr">
        <is>
          <t>TORSBY</t>
        </is>
      </c>
      <c r="F1023" t="inlineStr">
        <is>
          <t>Kommuner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29921-2022</t>
        </is>
      </c>
      <c r="B1024" s="1" t="n">
        <v>44756</v>
      </c>
      <c r="C1024" s="1" t="n">
        <v>45574</v>
      </c>
      <c r="D1024" t="inlineStr">
        <is>
          <t>VÄRMLANDS LÄN</t>
        </is>
      </c>
      <c r="E1024" t="inlineStr">
        <is>
          <t>TORSBY</t>
        </is>
      </c>
      <c r="F1024" t="inlineStr">
        <is>
          <t>Kommuner</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29990-2022</t>
        </is>
      </c>
      <c r="B1025" s="1" t="n">
        <v>44756</v>
      </c>
      <c r="C1025" s="1" t="n">
        <v>45574</v>
      </c>
      <c r="D1025" t="inlineStr">
        <is>
          <t>VÄRMLANDS LÄN</t>
        </is>
      </c>
      <c r="E1025" t="inlineStr">
        <is>
          <t>TORSBY</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30326-2022</t>
        </is>
      </c>
      <c r="B1026" s="1" t="n">
        <v>44760</v>
      </c>
      <c r="C1026" s="1" t="n">
        <v>45574</v>
      </c>
      <c r="D1026" t="inlineStr">
        <is>
          <t>VÄRMLANDS LÄN</t>
        </is>
      </c>
      <c r="E1026" t="inlineStr">
        <is>
          <t>TORSBY</t>
        </is>
      </c>
      <c r="F1026" t="inlineStr">
        <is>
          <t>Kommuner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30612-2022</t>
        </is>
      </c>
      <c r="B1027" s="1" t="n">
        <v>44763</v>
      </c>
      <c r="C1027" s="1" t="n">
        <v>45574</v>
      </c>
      <c r="D1027" t="inlineStr">
        <is>
          <t>VÄRMLANDS LÄN</t>
        </is>
      </c>
      <c r="E1027" t="inlineStr">
        <is>
          <t>TORSBY</t>
        </is>
      </c>
      <c r="F1027" t="inlineStr">
        <is>
          <t>Kommuner</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32003-2022</t>
        </is>
      </c>
      <c r="B1028" s="1" t="n">
        <v>44778</v>
      </c>
      <c r="C1028" s="1" t="n">
        <v>45574</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32438-2022</t>
        </is>
      </c>
      <c r="B1029" s="1" t="n">
        <v>44782</v>
      </c>
      <c r="C1029" s="1" t="n">
        <v>45574</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32444-2022</t>
        </is>
      </c>
      <c r="B1030" s="1" t="n">
        <v>44782</v>
      </c>
      <c r="C1030" s="1" t="n">
        <v>45574</v>
      </c>
      <c r="D1030" t="inlineStr">
        <is>
          <t>VÄRMLANDS LÄN</t>
        </is>
      </c>
      <c r="E1030" t="inlineStr">
        <is>
          <t>TORSBY</t>
        </is>
      </c>
      <c r="F1030" t="inlineStr">
        <is>
          <t>Bergvik skog väst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32400-2022</t>
        </is>
      </c>
      <c r="B1031" s="1" t="n">
        <v>44782</v>
      </c>
      <c r="C1031" s="1" t="n">
        <v>45574</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32496-2022</t>
        </is>
      </c>
      <c r="B1032" s="1" t="n">
        <v>44782</v>
      </c>
      <c r="C1032" s="1" t="n">
        <v>45574</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33069-2022</t>
        </is>
      </c>
      <c r="B1033" s="1" t="n">
        <v>44785</v>
      </c>
      <c r="C1033" s="1" t="n">
        <v>45574</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33181-2022</t>
        </is>
      </c>
      <c r="B1034" s="1" t="n">
        <v>44785</v>
      </c>
      <c r="C1034" s="1" t="n">
        <v>45574</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33254-2022</t>
        </is>
      </c>
      <c r="B1035" s="1" t="n">
        <v>44787</v>
      </c>
      <c r="C1035" s="1" t="n">
        <v>45574</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33251-2022</t>
        </is>
      </c>
      <c r="B1036" s="1" t="n">
        <v>44787</v>
      </c>
      <c r="C1036" s="1" t="n">
        <v>45574</v>
      </c>
      <c r="D1036" t="inlineStr">
        <is>
          <t>VÄRMLANDS LÄN</t>
        </is>
      </c>
      <c r="E1036" t="inlineStr">
        <is>
          <t>TORSBY</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33579-2022</t>
        </is>
      </c>
      <c r="B1037" s="1" t="n">
        <v>44789</v>
      </c>
      <c r="C1037" s="1" t="n">
        <v>45574</v>
      </c>
      <c r="D1037" t="inlineStr">
        <is>
          <t>VÄRMLANDS LÄN</t>
        </is>
      </c>
      <c r="E1037" t="inlineStr">
        <is>
          <t>TORSBY</t>
        </is>
      </c>
      <c r="F1037" t="inlineStr">
        <is>
          <t>Bergvik skog väst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33802-2022</t>
        </is>
      </c>
      <c r="B1038" s="1" t="n">
        <v>44790</v>
      </c>
      <c r="C1038" s="1" t="n">
        <v>45574</v>
      </c>
      <c r="D1038" t="inlineStr">
        <is>
          <t>VÄRMLANDS LÄN</t>
        </is>
      </c>
      <c r="E1038" t="inlineStr">
        <is>
          <t>TORSBY</t>
        </is>
      </c>
      <c r="F1038" t="inlineStr">
        <is>
          <t>Bergvik skog väst AB</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33960-2022</t>
        </is>
      </c>
      <c r="B1039" s="1" t="n">
        <v>44790</v>
      </c>
      <c r="C1039" s="1" t="n">
        <v>45574</v>
      </c>
      <c r="D1039" t="inlineStr">
        <is>
          <t>VÄRMLANDS LÄN</t>
        </is>
      </c>
      <c r="E1039" t="inlineStr">
        <is>
          <t>TORSBY</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33958-2022</t>
        </is>
      </c>
      <c r="B1040" s="1" t="n">
        <v>44790</v>
      </c>
      <c r="C1040" s="1" t="n">
        <v>45574</v>
      </c>
      <c r="D1040" t="inlineStr">
        <is>
          <t>VÄRMLANDS LÄN</t>
        </is>
      </c>
      <c r="E1040" t="inlineStr">
        <is>
          <t>TORSBY</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33943-2022</t>
        </is>
      </c>
      <c r="B1041" s="1" t="n">
        <v>44790</v>
      </c>
      <c r="C1041" s="1" t="n">
        <v>45574</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33959-2022</t>
        </is>
      </c>
      <c r="B1042" s="1" t="n">
        <v>44790</v>
      </c>
      <c r="C1042" s="1" t="n">
        <v>45574</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34371-2022</t>
        </is>
      </c>
      <c r="B1043" s="1" t="n">
        <v>44792</v>
      </c>
      <c r="C1043" s="1" t="n">
        <v>45574</v>
      </c>
      <c r="D1043" t="inlineStr">
        <is>
          <t>VÄRMLANDS LÄN</t>
        </is>
      </c>
      <c r="E1043" t="inlineStr">
        <is>
          <t>TORSBY</t>
        </is>
      </c>
      <c r="F1043" t="inlineStr">
        <is>
          <t>Bergvik skog väst AB</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34378-2022</t>
        </is>
      </c>
      <c r="B1044" s="1" t="n">
        <v>44792</v>
      </c>
      <c r="C1044" s="1" t="n">
        <v>45574</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34434-2022</t>
        </is>
      </c>
      <c r="B1045" s="1" t="n">
        <v>44792</v>
      </c>
      <c r="C1045" s="1" t="n">
        <v>45574</v>
      </c>
      <c r="D1045" t="inlineStr">
        <is>
          <t>VÄRMLANDS LÄN</t>
        </is>
      </c>
      <c r="E1045" t="inlineStr">
        <is>
          <t>TORSBY</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34440-2022</t>
        </is>
      </c>
      <c r="B1046" s="1" t="n">
        <v>44792</v>
      </c>
      <c r="C1046" s="1" t="n">
        <v>45574</v>
      </c>
      <c r="D1046" t="inlineStr">
        <is>
          <t>VÄRMLANDS LÄN</t>
        </is>
      </c>
      <c r="E1046" t="inlineStr">
        <is>
          <t>TORSBY</t>
        </is>
      </c>
      <c r="F1046" t="inlineStr">
        <is>
          <t>Bergvik skog väst AB</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34581-2022</t>
        </is>
      </c>
      <c r="B1047" s="1" t="n">
        <v>44792</v>
      </c>
      <c r="C1047" s="1" t="n">
        <v>45574</v>
      </c>
      <c r="D1047" t="inlineStr">
        <is>
          <t>VÄRMLANDS LÄN</t>
        </is>
      </c>
      <c r="E1047" t="inlineStr">
        <is>
          <t>TORSBY</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34568-2022</t>
        </is>
      </c>
      <c r="B1048" s="1" t="n">
        <v>44795</v>
      </c>
      <c r="C1048" s="1" t="n">
        <v>45574</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34662-2022</t>
        </is>
      </c>
      <c r="B1049" s="1" t="n">
        <v>44795</v>
      </c>
      <c r="C1049" s="1" t="n">
        <v>45574</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34667-2022</t>
        </is>
      </c>
      <c r="B1050" s="1" t="n">
        <v>44795</v>
      </c>
      <c r="C1050" s="1" t="n">
        <v>45574</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34655-2022</t>
        </is>
      </c>
      <c r="B1051" s="1" t="n">
        <v>44795</v>
      </c>
      <c r="C1051" s="1" t="n">
        <v>45574</v>
      </c>
      <c r="D1051" t="inlineStr">
        <is>
          <t>VÄRMLANDS LÄN</t>
        </is>
      </c>
      <c r="E1051" t="inlineStr">
        <is>
          <t>TORSBY</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34908-2022</t>
        </is>
      </c>
      <c r="B1052" s="1" t="n">
        <v>44796</v>
      </c>
      <c r="C1052" s="1" t="n">
        <v>45574</v>
      </c>
      <c r="D1052" t="inlineStr">
        <is>
          <t>VÄRMLANDS LÄN</t>
        </is>
      </c>
      <c r="E1052" t="inlineStr">
        <is>
          <t>TORSBY</t>
        </is>
      </c>
      <c r="F1052" t="inlineStr">
        <is>
          <t>Bergvik skog väst AB</t>
        </is>
      </c>
      <c r="G1052" t="n">
        <v>33.4</v>
      </c>
      <c r="H1052" t="n">
        <v>0</v>
      </c>
      <c r="I1052" t="n">
        <v>0</v>
      </c>
      <c r="J1052" t="n">
        <v>0</v>
      </c>
      <c r="K1052" t="n">
        <v>0</v>
      </c>
      <c r="L1052" t="n">
        <v>0</v>
      </c>
      <c r="M1052" t="n">
        <v>0</v>
      </c>
      <c r="N1052" t="n">
        <v>0</v>
      </c>
      <c r="O1052" t="n">
        <v>0</v>
      </c>
      <c r="P1052" t="n">
        <v>0</v>
      </c>
      <c r="Q1052" t="n">
        <v>0</v>
      </c>
      <c r="R1052" s="2" t="inlineStr"/>
    </row>
    <row r="1053" ht="15" customHeight="1">
      <c r="A1053" t="inlineStr">
        <is>
          <t>A 35134-2022</t>
        </is>
      </c>
      <c r="B1053" s="1" t="n">
        <v>44797</v>
      </c>
      <c r="C1053" s="1" t="n">
        <v>45574</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35132-2022</t>
        </is>
      </c>
      <c r="B1054" s="1" t="n">
        <v>44797</v>
      </c>
      <c r="C1054" s="1" t="n">
        <v>45574</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35606-2022</t>
        </is>
      </c>
      <c r="B1055" s="1" t="n">
        <v>44799</v>
      </c>
      <c r="C1055" s="1" t="n">
        <v>45574</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35595-2022</t>
        </is>
      </c>
      <c r="B1056" s="1" t="n">
        <v>44799</v>
      </c>
      <c r="C1056" s="1" t="n">
        <v>45574</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35724-2022</t>
        </is>
      </c>
      <c r="B1057" s="1" t="n">
        <v>44799</v>
      </c>
      <c r="C1057" s="1" t="n">
        <v>45574</v>
      </c>
      <c r="D1057" t="inlineStr">
        <is>
          <t>VÄRMLANDS LÄN</t>
        </is>
      </c>
      <c r="E1057" t="inlineStr">
        <is>
          <t>TORSBY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35711-2022</t>
        </is>
      </c>
      <c r="B1058" s="1" t="n">
        <v>44799</v>
      </c>
      <c r="C1058" s="1" t="n">
        <v>45574</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35851-2022</t>
        </is>
      </c>
      <c r="B1059" s="1" t="n">
        <v>44802</v>
      </c>
      <c r="C1059" s="1" t="n">
        <v>45574</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36290-2022</t>
        </is>
      </c>
      <c r="B1060" s="1" t="n">
        <v>44803</v>
      </c>
      <c r="C1060" s="1" t="n">
        <v>45574</v>
      </c>
      <c r="D1060" t="inlineStr">
        <is>
          <t>VÄRMLANDS LÄN</t>
        </is>
      </c>
      <c r="E1060" t="inlineStr">
        <is>
          <t>TORSBY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36318-2022</t>
        </is>
      </c>
      <c r="B1061" s="1" t="n">
        <v>44803</v>
      </c>
      <c r="C1061" s="1" t="n">
        <v>45574</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36514-2022</t>
        </is>
      </c>
      <c r="B1062" s="1" t="n">
        <v>44804</v>
      </c>
      <c r="C1062" s="1" t="n">
        <v>45574</v>
      </c>
      <c r="D1062" t="inlineStr">
        <is>
          <t>VÄRMLANDS LÄN</t>
        </is>
      </c>
      <c r="E1062" t="inlineStr">
        <is>
          <t>TORSBY</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36547-2022</t>
        </is>
      </c>
      <c r="B1063" s="1" t="n">
        <v>44804</v>
      </c>
      <c r="C1063" s="1" t="n">
        <v>45574</v>
      </c>
      <c r="D1063" t="inlineStr">
        <is>
          <t>VÄRMLANDS LÄN</t>
        </is>
      </c>
      <c r="E1063" t="inlineStr">
        <is>
          <t>TORSBY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36545-2022</t>
        </is>
      </c>
      <c r="B1064" s="1" t="n">
        <v>44804</v>
      </c>
      <c r="C1064" s="1" t="n">
        <v>45574</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36527-2022</t>
        </is>
      </c>
      <c r="B1065" s="1" t="n">
        <v>44804</v>
      </c>
      <c r="C1065" s="1" t="n">
        <v>45574</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36537-2022</t>
        </is>
      </c>
      <c r="B1066" s="1" t="n">
        <v>44804</v>
      </c>
      <c r="C1066" s="1" t="n">
        <v>45574</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36582-2022</t>
        </is>
      </c>
      <c r="B1067" s="1" t="n">
        <v>44804</v>
      </c>
      <c r="C1067" s="1" t="n">
        <v>45574</v>
      </c>
      <c r="D1067" t="inlineStr">
        <is>
          <t>VÄRMLANDS LÄN</t>
        </is>
      </c>
      <c r="E1067" t="inlineStr">
        <is>
          <t>TORSBY</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36562-2022</t>
        </is>
      </c>
      <c r="B1068" s="1" t="n">
        <v>44804</v>
      </c>
      <c r="C1068" s="1" t="n">
        <v>45574</v>
      </c>
      <c r="D1068" t="inlineStr">
        <is>
          <t>VÄRMLANDS LÄN</t>
        </is>
      </c>
      <c r="E1068" t="inlineStr">
        <is>
          <t>TORSBY</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36572-2022</t>
        </is>
      </c>
      <c r="B1069" s="1" t="n">
        <v>44804</v>
      </c>
      <c r="C1069" s="1" t="n">
        <v>45574</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36587-2022</t>
        </is>
      </c>
      <c r="B1070" s="1" t="n">
        <v>44804</v>
      </c>
      <c r="C1070" s="1" t="n">
        <v>45574</v>
      </c>
      <c r="D1070" t="inlineStr">
        <is>
          <t>VÄRMLANDS LÄN</t>
        </is>
      </c>
      <c r="E1070" t="inlineStr">
        <is>
          <t>TORSBY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37148-2022</t>
        </is>
      </c>
      <c r="B1071" s="1" t="n">
        <v>44806</v>
      </c>
      <c r="C1071" s="1" t="n">
        <v>45574</v>
      </c>
      <c r="D1071" t="inlineStr">
        <is>
          <t>VÄRMLANDS LÄN</t>
        </is>
      </c>
      <c r="E1071" t="inlineStr">
        <is>
          <t>TORSBY</t>
        </is>
      </c>
      <c r="F1071" t="inlineStr">
        <is>
          <t>Kommuner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37279-2022</t>
        </is>
      </c>
      <c r="B1072" s="1" t="n">
        <v>44807</v>
      </c>
      <c r="C1072" s="1" t="n">
        <v>45574</v>
      </c>
      <c r="D1072" t="inlineStr">
        <is>
          <t>VÄRMLANDS LÄN</t>
        </is>
      </c>
      <c r="E1072" t="inlineStr">
        <is>
          <t>TORSBY</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37401-2022</t>
        </is>
      </c>
      <c r="B1073" s="1" t="n">
        <v>44809</v>
      </c>
      <c r="C1073" s="1" t="n">
        <v>45574</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37449-2022</t>
        </is>
      </c>
      <c r="B1074" s="1" t="n">
        <v>44809</v>
      </c>
      <c r="C1074" s="1" t="n">
        <v>45574</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37340-2022</t>
        </is>
      </c>
      <c r="B1075" s="1" t="n">
        <v>44809</v>
      </c>
      <c r="C1075" s="1" t="n">
        <v>45574</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37752-2022</t>
        </is>
      </c>
      <c r="B1076" s="1" t="n">
        <v>44810</v>
      </c>
      <c r="C1076" s="1" t="n">
        <v>45574</v>
      </c>
      <c r="D1076" t="inlineStr">
        <is>
          <t>VÄRMLANDS LÄN</t>
        </is>
      </c>
      <c r="E1076" t="inlineStr">
        <is>
          <t>TORSBY</t>
        </is>
      </c>
      <c r="F1076" t="inlineStr">
        <is>
          <t>Kyrkan</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37814-2022</t>
        </is>
      </c>
      <c r="B1077" s="1" t="n">
        <v>44810</v>
      </c>
      <c r="C1077" s="1" t="n">
        <v>45574</v>
      </c>
      <c r="D1077" t="inlineStr">
        <is>
          <t>VÄRMLANDS LÄN</t>
        </is>
      </c>
      <c r="E1077" t="inlineStr">
        <is>
          <t>TORSBY</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37754-2022</t>
        </is>
      </c>
      <c r="B1078" s="1" t="n">
        <v>44810</v>
      </c>
      <c r="C1078" s="1" t="n">
        <v>45574</v>
      </c>
      <c r="D1078" t="inlineStr">
        <is>
          <t>VÄRMLANDS LÄN</t>
        </is>
      </c>
      <c r="E1078" t="inlineStr">
        <is>
          <t>TORSBY</t>
        </is>
      </c>
      <c r="F1078" t="inlineStr">
        <is>
          <t>Kyrkan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37913-2022</t>
        </is>
      </c>
      <c r="B1079" s="1" t="n">
        <v>44811</v>
      </c>
      <c r="C1079" s="1" t="n">
        <v>45574</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37929-2022</t>
        </is>
      </c>
      <c r="B1080" s="1" t="n">
        <v>44811</v>
      </c>
      <c r="C1080" s="1" t="n">
        <v>45574</v>
      </c>
      <c r="D1080" t="inlineStr">
        <is>
          <t>VÄRMLANDS LÄN</t>
        </is>
      </c>
      <c r="E1080" t="inlineStr">
        <is>
          <t>TORSBY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37917-2022</t>
        </is>
      </c>
      <c r="B1081" s="1" t="n">
        <v>44811</v>
      </c>
      <c r="C1081" s="1" t="n">
        <v>45574</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37937-2022</t>
        </is>
      </c>
      <c r="B1082" s="1" t="n">
        <v>44811</v>
      </c>
      <c r="C1082" s="1" t="n">
        <v>45574</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37985-2022</t>
        </is>
      </c>
      <c r="B1083" s="1" t="n">
        <v>44811</v>
      </c>
      <c r="C1083" s="1" t="n">
        <v>45574</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38033-2022</t>
        </is>
      </c>
      <c r="B1084" s="1" t="n">
        <v>44811</v>
      </c>
      <c r="C1084" s="1" t="n">
        <v>45574</v>
      </c>
      <c r="D1084" t="inlineStr">
        <is>
          <t>VÄRMLANDS LÄN</t>
        </is>
      </c>
      <c r="E1084" t="inlineStr">
        <is>
          <t>TORSBY</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38200-2022</t>
        </is>
      </c>
      <c r="B1085" s="1" t="n">
        <v>44812</v>
      </c>
      <c r="C1085" s="1" t="n">
        <v>45574</v>
      </c>
      <c r="D1085" t="inlineStr">
        <is>
          <t>VÄRMLANDS LÄN</t>
        </is>
      </c>
      <c r="E1085" t="inlineStr">
        <is>
          <t>TORSBY</t>
        </is>
      </c>
      <c r="F1085" t="inlineStr">
        <is>
          <t>Bergvik skog väst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38179-2022</t>
        </is>
      </c>
      <c r="B1086" s="1" t="n">
        <v>44812</v>
      </c>
      <c r="C1086" s="1" t="n">
        <v>45574</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38378-2022</t>
        </is>
      </c>
      <c r="B1087" s="1" t="n">
        <v>44812</v>
      </c>
      <c r="C1087" s="1" t="n">
        <v>45574</v>
      </c>
      <c r="D1087" t="inlineStr">
        <is>
          <t>VÄRMLANDS LÄN</t>
        </is>
      </c>
      <c r="E1087" t="inlineStr">
        <is>
          <t>TORSBY</t>
        </is>
      </c>
      <c r="F1087" t="inlineStr">
        <is>
          <t>Bergvik skog väst AB</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38486-2022</t>
        </is>
      </c>
      <c r="B1088" s="1" t="n">
        <v>44813</v>
      </c>
      <c r="C1088" s="1" t="n">
        <v>45574</v>
      </c>
      <c r="D1088" t="inlineStr">
        <is>
          <t>VÄRMLANDS LÄN</t>
        </is>
      </c>
      <c r="E1088" t="inlineStr">
        <is>
          <t>TORSBY</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38699-2022</t>
        </is>
      </c>
      <c r="B1089" s="1" t="n">
        <v>44814</v>
      </c>
      <c r="C1089" s="1" t="n">
        <v>45574</v>
      </c>
      <c r="D1089" t="inlineStr">
        <is>
          <t>VÄRMLANDS LÄN</t>
        </is>
      </c>
      <c r="E1089" t="inlineStr">
        <is>
          <t>TORSBY</t>
        </is>
      </c>
      <c r="F1089" t="inlineStr">
        <is>
          <t>Bergvik skog väst AB</t>
        </is>
      </c>
      <c r="G1089" t="n">
        <v>22.6</v>
      </c>
      <c r="H1089" t="n">
        <v>0</v>
      </c>
      <c r="I1089" t="n">
        <v>0</v>
      </c>
      <c r="J1089" t="n">
        <v>0</v>
      </c>
      <c r="K1089" t="n">
        <v>0</v>
      </c>
      <c r="L1089" t="n">
        <v>0</v>
      </c>
      <c r="M1089" t="n">
        <v>0</v>
      </c>
      <c r="N1089" t="n">
        <v>0</v>
      </c>
      <c r="O1089" t="n">
        <v>0</v>
      </c>
      <c r="P1089" t="n">
        <v>0</v>
      </c>
      <c r="Q1089" t="n">
        <v>0</v>
      </c>
      <c r="R1089" s="2" t="inlineStr"/>
    </row>
    <row r="1090" ht="15" customHeight="1">
      <c r="A1090" t="inlineStr">
        <is>
          <t>A 38882-2022</t>
        </is>
      </c>
      <c r="B1090" s="1" t="n">
        <v>44816</v>
      </c>
      <c r="C1090" s="1" t="n">
        <v>45574</v>
      </c>
      <c r="D1090" t="inlineStr">
        <is>
          <t>VÄRMLANDS LÄN</t>
        </is>
      </c>
      <c r="E1090" t="inlineStr">
        <is>
          <t>TORSBY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38914-2022</t>
        </is>
      </c>
      <c r="B1091" s="1" t="n">
        <v>44816</v>
      </c>
      <c r="C1091" s="1" t="n">
        <v>45574</v>
      </c>
      <c r="D1091" t="inlineStr">
        <is>
          <t>VÄRMLANDS LÄN</t>
        </is>
      </c>
      <c r="E1091" t="inlineStr">
        <is>
          <t>TORSBY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39069-2022</t>
        </is>
      </c>
      <c r="B1092" s="1" t="n">
        <v>44816</v>
      </c>
      <c r="C1092" s="1" t="n">
        <v>45574</v>
      </c>
      <c r="D1092" t="inlineStr">
        <is>
          <t>VÄRMLANDS LÄN</t>
        </is>
      </c>
      <c r="E1092" t="inlineStr">
        <is>
          <t>TORSBY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39186-2022</t>
        </is>
      </c>
      <c r="B1093" s="1" t="n">
        <v>44817</v>
      </c>
      <c r="C1093" s="1" t="n">
        <v>45574</v>
      </c>
      <c r="D1093" t="inlineStr">
        <is>
          <t>VÄRMLANDS LÄN</t>
        </is>
      </c>
      <c r="E1093" t="inlineStr">
        <is>
          <t>TORSBY</t>
        </is>
      </c>
      <c r="F1093" t="inlineStr">
        <is>
          <t>Bergvik skog väst AB</t>
        </is>
      </c>
      <c r="G1093" t="n">
        <v>20.3</v>
      </c>
      <c r="H1093" t="n">
        <v>0</v>
      </c>
      <c r="I1093" t="n">
        <v>0</v>
      </c>
      <c r="J1093" t="n">
        <v>0</v>
      </c>
      <c r="K1093" t="n">
        <v>0</v>
      </c>
      <c r="L1093" t="n">
        <v>0</v>
      </c>
      <c r="M1093" t="n">
        <v>0</v>
      </c>
      <c r="N1093" t="n">
        <v>0</v>
      </c>
      <c r="O1093" t="n">
        <v>0</v>
      </c>
      <c r="P1093" t="n">
        <v>0</v>
      </c>
      <c r="Q1093" t="n">
        <v>0</v>
      </c>
      <c r="R1093" s="2" t="inlineStr"/>
    </row>
    <row r="1094" ht="15" customHeight="1">
      <c r="A1094" t="inlineStr">
        <is>
          <t>A 39216-2022</t>
        </is>
      </c>
      <c r="B1094" s="1" t="n">
        <v>44817</v>
      </c>
      <c r="C1094" s="1" t="n">
        <v>45574</v>
      </c>
      <c r="D1094" t="inlineStr">
        <is>
          <t>VÄRMLANDS LÄN</t>
        </is>
      </c>
      <c r="E1094" t="inlineStr">
        <is>
          <t>TORSBY</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39215-2022</t>
        </is>
      </c>
      <c r="B1095" s="1" t="n">
        <v>44817</v>
      </c>
      <c r="C1095" s="1" t="n">
        <v>45574</v>
      </c>
      <c r="D1095" t="inlineStr">
        <is>
          <t>VÄRMLANDS LÄN</t>
        </is>
      </c>
      <c r="E1095" t="inlineStr">
        <is>
          <t>TORSBY</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39221-2022</t>
        </is>
      </c>
      <c r="B1096" s="1" t="n">
        <v>44817</v>
      </c>
      <c r="C1096" s="1" t="n">
        <v>45574</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39217-2022</t>
        </is>
      </c>
      <c r="B1097" s="1" t="n">
        <v>44817</v>
      </c>
      <c r="C1097" s="1" t="n">
        <v>45574</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39781-2022</t>
        </is>
      </c>
      <c r="B1098" s="1" t="n">
        <v>44819</v>
      </c>
      <c r="C1098" s="1" t="n">
        <v>45574</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39780-2022</t>
        </is>
      </c>
      <c r="B1099" s="1" t="n">
        <v>44819</v>
      </c>
      <c r="C1099" s="1" t="n">
        <v>45574</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40009-2022</t>
        </is>
      </c>
      <c r="B1100" s="1" t="n">
        <v>44820</v>
      </c>
      <c r="C1100" s="1" t="n">
        <v>45574</v>
      </c>
      <c r="D1100" t="inlineStr">
        <is>
          <t>VÄRMLANDS LÄN</t>
        </is>
      </c>
      <c r="E1100" t="inlineStr">
        <is>
          <t>TORSBY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40036-2022</t>
        </is>
      </c>
      <c r="B1101" s="1" t="n">
        <v>44820</v>
      </c>
      <c r="C1101" s="1" t="n">
        <v>45574</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40221-2022</t>
        </is>
      </c>
      <c r="B1102" s="1" t="n">
        <v>44820</v>
      </c>
      <c r="C1102" s="1" t="n">
        <v>45574</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40353-2022</t>
        </is>
      </c>
      <c r="B1103" s="1" t="n">
        <v>44823</v>
      </c>
      <c r="C1103" s="1" t="n">
        <v>45574</v>
      </c>
      <c r="D1103" t="inlineStr">
        <is>
          <t>VÄRMLANDS LÄN</t>
        </is>
      </c>
      <c r="E1103" t="inlineStr">
        <is>
          <t>TORSBY</t>
        </is>
      </c>
      <c r="F1103" t="inlineStr">
        <is>
          <t>Bergvik skog väst AB</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41264-2022</t>
        </is>
      </c>
      <c r="B1104" s="1" t="n">
        <v>44823</v>
      </c>
      <c r="C1104" s="1" t="n">
        <v>45574</v>
      </c>
      <c r="D1104" t="inlineStr">
        <is>
          <t>VÄRMLANDS LÄN</t>
        </is>
      </c>
      <c r="E1104" t="inlineStr">
        <is>
          <t>TORSBY</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41295-2022</t>
        </is>
      </c>
      <c r="B1105" s="1" t="n">
        <v>44823</v>
      </c>
      <c r="C1105" s="1" t="n">
        <v>45574</v>
      </c>
      <c r="D1105" t="inlineStr">
        <is>
          <t>VÄRMLANDS LÄN</t>
        </is>
      </c>
      <c r="E1105" t="inlineStr">
        <is>
          <t>TORSBY</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40718-2022</t>
        </is>
      </c>
      <c r="B1106" s="1" t="n">
        <v>44824</v>
      </c>
      <c r="C1106" s="1" t="n">
        <v>45574</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40788-2022</t>
        </is>
      </c>
      <c r="B1107" s="1" t="n">
        <v>44824</v>
      </c>
      <c r="C1107" s="1" t="n">
        <v>45574</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40997-2022</t>
        </is>
      </c>
      <c r="B1108" s="1" t="n">
        <v>44825</v>
      </c>
      <c r="C1108" s="1" t="n">
        <v>45574</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41065-2022</t>
        </is>
      </c>
      <c r="B1109" s="1" t="n">
        <v>44825</v>
      </c>
      <c r="C1109" s="1" t="n">
        <v>45574</v>
      </c>
      <c r="D1109" t="inlineStr">
        <is>
          <t>VÄRMLANDS LÄN</t>
        </is>
      </c>
      <c r="E1109" t="inlineStr">
        <is>
          <t>TORSBY</t>
        </is>
      </c>
      <c r="F1109" t="inlineStr">
        <is>
          <t>Kommuner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41130-2022</t>
        </is>
      </c>
      <c r="B1110" s="1" t="n">
        <v>44825</v>
      </c>
      <c r="C1110" s="1" t="n">
        <v>45574</v>
      </c>
      <c r="D1110" t="inlineStr">
        <is>
          <t>VÄRMLANDS LÄN</t>
        </is>
      </c>
      <c r="E1110" t="inlineStr">
        <is>
          <t>TORSBY</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45574</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45574</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41781-2022</t>
        </is>
      </c>
      <c r="B1113" s="1" t="n">
        <v>44827</v>
      </c>
      <c r="C1113" s="1" t="n">
        <v>45574</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41675-2022</t>
        </is>
      </c>
      <c r="B1114" s="1" t="n">
        <v>44827</v>
      </c>
      <c r="C1114" s="1" t="n">
        <v>45574</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41590-2022</t>
        </is>
      </c>
      <c r="B1115" s="1" t="n">
        <v>44827</v>
      </c>
      <c r="C1115" s="1" t="n">
        <v>45574</v>
      </c>
      <c r="D1115" t="inlineStr">
        <is>
          <t>VÄRMLANDS LÄN</t>
        </is>
      </c>
      <c r="E1115" t="inlineStr">
        <is>
          <t>TORSBY</t>
        </is>
      </c>
      <c r="F1115" t="inlineStr">
        <is>
          <t>Bergvik skog väst AB</t>
        </is>
      </c>
      <c r="G1115" t="n">
        <v>42.5</v>
      </c>
      <c r="H1115" t="n">
        <v>0</v>
      </c>
      <c r="I1115" t="n">
        <v>0</v>
      </c>
      <c r="J1115" t="n">
        <v>0</v>
      </c>
      <c r="K1115" t="n">
        <v>0</v>
      </c>
      <c r="L1115" t="n">
        <v>0</v>
      </c>
      <c r="M1115" t="n">
        <v>0</v>
      </c>
      <c r="N1115" t="n">
        <v>0</v>
      </c>
      <c r="O1115" t="n">
        <v>0</v>
      </c>
      <c r="P1115" t="n">
        <v>0</v>
      </c>
      <c r="Q1115" t="n">
        <v>0</v>
      </c>
      <c r="R1115" s="2" t="inlineStr"/>
    </row>
    <row r="1116" ht="15" customHeight="1">
      <c r="A1116" t="inlineStr">
        <is>
          <t>A 41995-2022</t>
        </is>
      </c>
      <c r="B1116" s="1" t="n">
        <v>44830</v>
      </c>
      <c r="C1116" s="1" t="n">
        <v>45574</v>
      </c>
      <c r="D1116" t="inlineStr">
        <is>
          <t>VÄRMLANDS LÄN</t>
        </is>
      </c>
      <c r="E1116" t="inlineStr">
        <is>
          <t>TORSBY</t>
        </is>
      </c>
      <c r="F1116" t="inlineStr">
        <is>
          <t>Bergvik skog väst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42588-2022</t>
        </is>
      </c>
      <c r="B1117" s="1" t="n">
        <v>44831</v>
      </c>
      <c r="C1117" s="1" t="n">
        <v>45574</v>
      </c>
      <c r="D1117" t="inlineStr">
        <is>
          <t>VÄRMLANDS LÄN</t>
        </is>
      </c>
      <c r="E1117" t="inlineStr">
        <is>
          <t>TORSBY</t>
        </is>
      </c>
      <c r="F1117" t="inlineStr">
        <is>
          <t>Bergvik skog väst AB</t>
        </is>
      </c>
      <c r="G1117" t="n">
        <v>41.4</v>
      </c>
      <c r="H1117" t="n">
        <v>0</v>
      </c>
      <c r="I1117" t="n">
        <v>0</v>
      </c>
      <c r="J1117" t="n">
        <v>0</v>
      </c>
      <c r="K1117" t="n">
        <v>0</v>
      </c>
      <c r="L1117" t="n">
        <v>0</v>
      </c>
      <c r="M1117" t="n">
        <v>0</v>
      </c>
      <c r="N1117" t="n">
        <v>0</v>
      </c>
      <c r="O1117" t="n">
        <v>0</v>
      </c>
      <c r="P1117" t="n">
        <v>0</v>
      </c>
      <c r="Q1117" t="n">
        <v>0</v>
      </c>
      <c r="R1117" s="2" t="inlineStr"/>
    </row>
    <row r="1118" ht="15" customHeight="1">
      <c r="A1118" t="inlineStr">
        <is>
          <t>A 42784-2022</t>
        </is>
      </c>
      <c r="B1118" s="1" t="n">
        <v>44832</v>
      </c>
      <c r="C1118" s="1" t="n">
        <v>45574</v>
      </c>
      <c r="D1118" t="inlineStr">
        <is>
          <t>VÄRMLANDS LÄN</t>
        </is>
      </c>
      <c r="E1118" t="inlineStr">
        <is>
          <t>TORSBY</t>
        </is>
      </c>
      <c r="F1118" t="inlineStr">
        <is>
          <t>Bergvik skog väst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42701-2022</t>
        </is>
      </c>
      <c r="B1119" s="1" t="n">
        <v>44832</v>
      </c>
      <c r="C1119" s="1" t="n">
        <v>45574</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43022-2022</t>
        </is>
      </c>
      <c r="B1120" s="1" t="n">
        <v>44833</v>
      </c>
      <c r="C1120" s="1" t="n">
        <v>45574</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43111-2022</t>
        </is>
      </c>
      <c r="B1121" s="1" t="n">
        <v>44833</v>
      </c>
      <c r="C1121" s="1" t="n">
        <v>45574</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43248-2022</t>
        </is>
      </c>
      <c r="B1122" s="1" t="n">
        <v>44834</v>
      </c>
      <c r="C1122" s="1" t="n">
        <v>45574</v>
      </c>
      <c r="D1122" t="inlineStr">
        <is>
          <t>VÄRMLANDS LÄN</t>
        </is>
      </c>
      <c r="E1122" t="inlineStr">
        <is>
          <t>TORSBY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43289-2022</t>
        </is>
      </c>
      <c r="B1123" s="1" t="n">
        <v>44834</v>
      </c>
      <c r="C1123" s="1" t="n">
        <v>45574</v>
      </c>
      <c r="D1123" t="inlineStr">
        <is>
          <t>VÄRMLANDS LÄN</t>
        </is>
      </c>
      <c r="E1123" t="inlineStr">
        <is>
          <t>TORSBY</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43465-2022</t>
        </is>
      </c>
      <c r="B1124" s="1" t="n">
        <v>44836</v>
      </c>
      <c r="C1124" s="1" t="n">
        <v>45574</v>
      </c>
      <c r="D1124" t="inlineStr">
        <is>
          <t>VÄRMLANDS LÄN</t>
        </is>
      </c>
      <c r="E1124" t="inlineStr">
        <is>
          <t>TORSBY</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43943-2022</t>
        </is>
      </c>
      <c r="B1125" s="1" t="n">
        <v>44838</v>
      </c>
      <c r="C1125" s="1" t="n">
        <v>45574</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43989-2022</t>
        </is>
      </c>
      <c r="B1126" s="1" t="n">
        <v>44838</v>
      </c>
      <c r="C1126" s="1" t="n">
        <v>45574</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44214-2022</t>
        </is>
      </c>
      <c r="B1127" s="1" t="n">
        <v>44838</v>
      </c>
      <c r="C1127" s="1" t="n">
        <v>45574</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44340-2022</t>
        </is>
      </c>
      <c r="B1128" s="1" t="n">
        <v>44838</v>
      </c>
      <c r="C1128" s="1" t="n">
        <v>45574</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44170-2022</t>
        </is>
      </c>
      <c r="B1129" s="1" t="n">
        <v>44838</v>
      </c>
      <c r="C1129" s="1" t="n">
        <v>45574</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44149-2022</t>
        </is>
      </c>
      <c r="B1130" s="1" t="n">
        <v>44839</v>
      </c>
      <c r="C1130" s="1" t="n">
        <v>45574</v>
      </c>
      <c r="D1130" t="inlineStr">
        <is>
          <t>VÄRMLANDS LÄN</t>
        </is>
      </c>
      <c r="E1130" t="inlineStr">
        <is>
          <t>TORSBY</t>
        </is>
      </c>
      <c r="F1130" t="inlineStr">
        <is>
          <t>Bergvik skog väst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44196-2022</t>
        </is>
      </c>
      <c r="B1131" s="1" t="n">
        <v>44839</v>
      </c>
      <c r="C1131" s="1" t="n">
        <v>45574</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44327-2022</t>
        </is>
      </c>
      <c r="B1132" s="1" t="n">
        <v>44839</v>
      </c>
      <c r="C1132" s="1" t="n">
        <v>45574</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44841-2022</t>
        </is>
      </c>
      <c r="B1133" s="1" t="n">
        <v>44839</v>
      </c>
      <c r="C1133" s="1" t="n">
        <v>45574</v>
      </c>
      <c r="D1133" t="inlineStr">
        <is>
          <t>VÄRMLANDS LÄN</t>
        </is>
      </c>
      <c r="E1133" t="inlineStr">
        <is>
          <t>TORSBY</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44879-2022</t>
        </is>
      </c>
      <c r="B1134" s="1" t="n">
        <v>44839</v>
      </c>
      <c r="C1134" s="1" t="n">
        <v>45574</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44498-2022</t>
        </is>
      </c>
      <c r="B1135" s="1" t="n">
        <v>44840</v>
      </c>
      <c r="C1135" s="1" t="n">
        <v>45574</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44516-2022</t>
        </is>
      </c>
      <c r="B1136" s="1" t="n">
        <v>44840</v>
      </c>
      <c r="C1136" s="1" t="n">
        <v>45574</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44517-2022</t>
        </is>
      </c>
      <c r="B1137" s="1" t="n">
        <v>44840</v>
      </c>
      <c r="C1137" s="1" t="n">
        <v>45574</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44532-2022</t>
        </is>
      </c>
      <c r="B1138" s="1" t="n">
        <v>44840</v>
      </c>
      <c r="C1138" s="1" t="n">
        <v>45574</v>
      </c>
      <c r="D1138" t="inlineStr">
        <is>
          <t>VÄRMLANDS LÄN</t>
        </is>
      </c>
      <c r="E1138" t="inlineStr">
        <is>
          <t>TORSBY</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44708-2022</t>
        </is>
      </c>
      <c r="B1139" s="1" t="n">
        <v>44840</v>
      </c>
      <c r="C1139" s="1" t="n">
        <v>45574</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45056-2022</t>
        </is>
      </c>
      <c r="B1140" s="1" t="n">
        <v>44841</v>
      </c>
      <c r="C1140" s="1" t="n">
        <v>45574</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45303-2022</t>
        </is>
      </c>
      <c r="B1141" s="1" t="n">
        <v>44844</v>
      </c>
      <c r="C1141" s="1" t="n">
        <v>45574</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45368-2022</t>
        </is>
      </c>
      <c r="B1142" s="1" t="n">
        <v>44844</v>
      </c>
      <c r="C1142" s="1" t="n">
        <v>45574</v>
      </c>
      <c r="D1142" t="inlineStr">
        <is>
          <t>VÄRMLANDS LÄN</t>
        </is>
      </c>
      <c r="E1142" t="inlineStr">
        <is>
          <t>TORSBY</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45328-2022</t>
        </is>
      </c>
      <c r="B1143" s="1" t="n">
        <v>44844</v>
      </c>
      <c r="C1143" s="1" t="n">
        <v>45574</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45325-2022</t>
        </is>
      </c>
      <c r="B1144" s="1" t="n">
        <v>44844</v>
      </c>
      <c r="C1144" s="1" t="n">
        <v>45574</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45369-2022</t>
        </is>
      </c>
      <c r="B1145" s="1" t="n">
        <v>44844</v>
      </c>
      <c r="C1145" s="1" t="n">
        <v>45574</v>
      </c>
      <c r="D1145" t="inlineStr">
        <is>
          <t>VÄRMLANDS LÄN</t>
        </is>
      </c>
      <c r="E1145" t="inlineStr">
        <is>
          <t>TORSBY</t>
        </is>
      </c>
      <c r="F1145" t="inlineStr">
        <is>
          <t>Bergvik skog väst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45809-2022</t>
        </is>
      </c>
      <c r="B1146" s="1" t="n">
        <v>44844</v>
      </c>
      <c r="C1146" s="1" t="n">
        <v>45574</v>
      </c>
      <c r="D1146" t="inlineStr">
        <is>
          <t>VÄRMLANDS LÄN</t>
        </is>
      </c>
      <c r="E1146" t="inlineStr">
        <is>
          <t>TORSBY</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45666-2022</t>
        </is>
      </c>
      <c r="B1147" s="1" t="n">
        <v>44845</v>
      </c>
      <c r="C1147" s="1" t="n">
        <v>45574</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46551-2022</t>
        </is>
      </c>
      <c r="B1148" s="1" t="n">
        <v>44848</v>
      </c>
      <c r="C1148" s="1" t="n">
        <v>45574</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47167-2022</t>
        </is>
      </c>
      <c r="B1149" s="1" t="n">
        <v>44852</v>
      </c>
      <c r="C1149" s="1" t="n">
        <v>45574</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47141-2022</t>
        </is>
      </c>
      <c r="B1150" s="1" t="n">
        <v>44852</v>
      </c>
      <c r="C1150" s="1" t="n">
        <v>45574</v>
      </c>
      <c r="D1150" t="inlineStr">
        <is>
          <t>VÄRMLANDS LÄN</t>
        </is>
      </c>
      <c r="E1150" t="inlineStr">
        <is>
          <t>TORSBY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47206-2022</t>
        </is>
      </c>
      <c r="B1151" s="1" t="n">
        <v>44852</v>
      </c>
      <c r="C1151" s="1" t="n">
        <v>45574</v>
      </c>
      <c r="D1151" t="inlineStr">
        <is>
          <t>VÄRMLANDS LÄN</t>
        </is>
      </c>
      <c r="E1151" t="inlineStr">
        <is>
          <t>TORSBY</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47466-2022</t>
        </is>
      </c>
      <c r="B1152" s="1" t="n">
        <v>44852</v>
      </c>
      <c r="C1152" s="1" t="n">
        <v>45574</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48328-2022</t>
        </is>
      </c>
      <c r="B1153" s="1" t="n">
        <v>44853</v>
      </c>
      <c r="C1153" s="1" t="n">
        <v>45574</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48356-2022</t>
        </is>
      </c>
      <c r="B1154" s="1" t="n">
        <v>44853</v>
      </c>
      <c r="C1154" s="1" t="n">
        <v>45574</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48320-2022</t>
        </is>
      </c>
      <c r="B1155" s="1" t="n">
        <v>44853</v>
      </c>
      <c r="C1155" s="1" t="n">
        <v>45574</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47694-2022</t>
        </is>
      </c>
      <c r="B1156" s="1" t="n">
        <v>44854</v>
      </c>
      <c r="C1156" s="1" t="n">
        <v>45574</v>
      </c>
      <c r="D1156" t="inlineStr">
        <is>
          <t>VÄRMLANDS LÄN</t>
        </is>
      </c>
      <c r="E1156" t="inlineStr">
        <is>
          <t>TORSBY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48239-2022</t>
        </is>
      </c>
      <c r="B1157" s="1" t="n">
        <v>44858</v>
      </c>
      <c r="C1157" s="1" t="n">
        <v>45574</v>
      </c>
      <c r="D1157" t="inlineStr">
        <is>
          <t>VÄRMLANDS LÄN</t>
        </is>
      </c>
      <c r="E1157" t="inlineStr">
        <is>
          <t>TORSBY</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48712-2022</t>
        </is>
      </c>
      <c r="B1158" s="1" t="n">
        <v>44859</v>
      </c>
      <c r="C1158" s="1" t="n">
        <v>45574</v>
      </c>
      <c r="D1158" t="inlineStr">
        <is>
          <t>VÄRMLANDS LÄN</t>
        </is>
      </c>
      <c r="E1158" t="inlineStr">
        <is>
          <t>TORSBY</t>
        </is>
      </c>
      <c r="F1158" t="inlineStr">
        <is>
          <t>Bergvik skog väst AB</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49699-2022</t>
        </is>
      </c>
      <c r="B1159" s="1" t="n">
        <v>44859</v>
      </c>
      <c r="C1159" s="1" t="n">
        <v>45574</v>
      </c>
      <c r="D1159" t="inlineStr">
        <is>
          <t>VÄRMLANDS LÄN</t>
        </is>
      </c>
      <c r="E1159" t="inlineStr">
        <is>
          <t>TORSBY</t>
        </is>
      </c>
      <c r="F1159" t="inlineStr">
        <is>
          <t>Kyrkan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49814-2022</t>
        </is>
      </c>
      <c r="B1160" s="1" t="n">
        <v>44859</v>
      </c>
      <c r="C1160" s="1" t="n">
        <v>45574</v>
      </c>
      <c r="D1160" t="inlineStr">
        <is>
          <t>VÄRMLANDS LÄN</t>
        </is>
      </c>
      <c r="E1160" t="inlineStr">
        <is>
          <t>TORSBY</t>
        </is>
      </c>
      <c r="F1160" t="inlineStr">
        <is>
          <t>Kyrkan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49608-2022</t>
        </is>
      </c>
      <c r="B1161" s="1" t="n">
        <v>44859</v>
      </c>
      <c r="C1161" s="1" t="n">
        <v>45574</v>
      </c>
      <c r="D1161" t="inlineStr">
        <is>
          <t>VÄRMLANDS LÄN</t>
        </is>
      </c>
      <c r="E1161" t="inlineStr">
        <is>
          <t>TORSBY</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49073-2022</t>
        </is>
      </c>
      <c r="B1162" s="1" t="n">
        <v>44860</v>
      </c>
      <c r="C1162" s="1" t="n">
        <v>45574</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49206-2022</t>
        </is>
      </c>
      <c r="B1163" s="1" t="n">
        <v>44861</v>
      </c>
      <c r="C1163" s="1" t="n">
        <v>45574</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49346-2022</t>
        </is>
      </c>
      <c r="B1164" s="1" t="n">
        <v>44861</v>
      </c>
      <c r="C1164" s="1" t="n">
        <v>45574</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50390-2022</t>
        </is>
      </c>
      <c r="B1165" s="1" t="n">
        <v>44861</v>
      </c>
      <c r="C1165" s="1" t="n">
        <v>45574</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49795-2022</t>
        </is>
      </c>
      <c r="B1166" s="1" t="n">
        <v>44862</v>
      </c>
      <c r="C1166" s="1" t="n">
        <v>45574</v>
      </c>
      <c r="D1166" t="inlineStr">
        <is>
          <t>VÄRMLANDS LÄN</t>
        </is>
      </c>
      <c r="E1166" t="inlineStr">
        <is>
          <t>TORSBY</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49810-2022</t>
        </is>
      </c>
      <c r="B1167" s="1" t="n">
        <v>44862</v>
      </c>
      <c r="C1167" s="1" t="n">
        <v>45574</v>
      </c>
      <c r="D1167" t="inlineStr">
        <is>
          <t>VÄRMLANDS LÄN</t>
        </is>
      </c>
      <c r="E1167" t="inlineStr">
        <is>
          <t>TORSBY</t>
        </is>
      </c>
      <c r="F1167" t="inlineStr">
        <is>
          <t>Bergvik skog väst AB</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49957-2022</t>
        </is>
      </c>
      <c r="B1168" s="1" t="n">
        <v>44865</v>
      </c>
      <c r="C1168" s="1" t="n">
        <v>45574</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49983-2022</t>
        </is>
      </c>
      <c r="B1169" s="1" t="n">
        <v>44865</v>
      </c>
      <c r="C1169" s="1" t="n">
        <v>45574</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49970-2022</t>
        </is>
      </c>
      <c r="B1170" s="1" t="n">
        <v>44865</v>
      </c>
      <c r="C1170" s="1" t="n">
        <v>45574</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49959-2022</t>
        </is>
      </c>
      <c r="B1171" s="1" t="n">
        <v>44865</v>
      </c>
      <c r="C1171" s="1" t="n">
        <v>45574</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50280-2022</t>
        </is>
      </c>
      <c r="B1172" s="1" t="n">
        <v>44865</v>
      </c>
      <c r="C1172" s="1" t="n">
        <v>45574</v>
      </c>
      <c r="D1172" t="inlineStr">
        <is>
          <t>VÄRMLANDS LÄN</t>
        </is>
      </c>
      <c r="E1172" t="inlineStr">
        <is>
          <t>TORSBY</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50417-2022</t>
        </is>
      </c>
      <c r="B1173" s="1" t="n">
        <v>44866</v>
      </c>
      <c r="C1173" s="1" t="n">
        <v>45574</v>
      </c>
      <c r="D1173" t="inlineStr">
        <is>
          <t>VÄRMLANDS LÄN</t>
        </is>
      </c>
      <c r="E1173" t="inlineStr">
        <is>
          <t>TORSBY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50436-2022</t>
        </is>
      </c>
      <c r="B1174" s="1" t="n">
        <v>44866</v>
      </c>
      <c r="C1174" s="1" t="n">
        <v>45574</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50434-2022</t>
        </is>
      </c>
      <c r="B1175" s="1" t="n">
        <v>44866</v>
      </c>
      <c r="C1175" s="1" t="n">
        <v>45574</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50953-2022</t>
        </is>
      </c>
      <c r="B1176" s="1" t="n">
        <v>44866</v>
      </c>
      <c r="C1176" s="1" t="n">
        <v>45574</v>
      </c>
      <c r="D1176" t="inlineStr">
        <is>
          <t>VÄRMLANDS LÄN</t>
        </is>
      </c>
      <c r="E1176" t="inlineStr">
        <is>
          <t>TORSBY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50789-2022</t>
        </is>
      </c>
      <c r="B1177" s="1" t="n">
        <v>44867</v>
      </c>
      <c r="C1177" s="1" t="n">
        <v>45574</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51124-2022</t>
        </is>
      </c>
      <c r="B1178" s="1" t="n">
        <v>44868</v>
      </c>
      <c r="C1178" s="1" t="n">
        <v>45574</v>
      </c>
      <c r="D1178" t="inlineStr">
        <is>
          <t>VÄRMLANDS LÄN</t>
        </is>
      </c>
      <c r="E1178" t="inlineStr">
        <is>
          <t>TORSBY</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51439-2022</t>
        </is>
      </c>
      <c r="B1179" s="1" t="n">
        <v>44869</v>
      </c>
      <c r="C1179" s="1" t="n">
        <v>45574</v>
      </c>
      <c r="D1179" t="inlineStr">
        <is>
          <t>VÄRMLANDS LÄN</t>
        </is>
      </c>
      <c r="E1179" t="inlineStr">
        <is>
          <t>TORSBY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51490-2022</t>
        </is>
      </c>
      <c r="B1180" s="1" t="n">
        <v>44869</v>
      </c>
      <c r="C1180" s="1" t="n">
        <v>45574</v>
      </c>
      <c r="D1180" t="inlineStr">
        <is>
          <t>VÄRMLANDS LÄN</t>
        </is>
      </c>
      <c r="E1180" t="inlineStr">
        <is>
          <t>TORSBY</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51489-2022</t>
        </is>
      </c>
      <c r="B1181" s="1" t="n">
        <v>44869</v>
      </c>
      <c r="C1181" s="1" t="n">
        <v>45574</v>
      </c>
      <c r="D1181" t="inlineStr">
        <is>
          <t>VÄRMLANDS LÄN</t>
        </is>
      </c>
      <c r="E1181" t="inlineStr">
        <is>
          <t>TORSBY</t>
        </is>
      </c>
      <c r="F1181" t="inlineStr">
        <is>
          <t>Bergvik skog väst AB</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51847-2022</t>
        </is>
      </c>
      <c r="B1182" s="1" t="n">
        <v>44872</v>
      </c>
      <c r="C1182" s="1" t="n">
        <v>45574</v>
      </c>
      <c r="D1182" t="inlineStr">
        <is>
          <t>VÄRMLANDS LÄN</t>
        </is>
      </c>
      <c r="E1182" t="inlineStr">
        <is>
          <t>TORSBY</t>
        </is>
      </c>
      <c r="F1182" t="inlineStr">
        <is>
          <t>Bergvik skog väst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51843-2022</t>
        </is>
      </c>
      <c r="B1183" s="1" t="n">
        <v>44872</v>
      </c>
      <c r="C1183" s="1" t="n">
        <v>45574</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51911-2022</t>
        </is>
      </c>
      <c r="B1184" s="1" t="n">
        <v>44872</v>
      </c>
      <c r="C1184" s="1" t="n">
        <v>45574</v>
      </c>
      <c r="D1184" t="inlineStr">
        <is>
          <t>VÄRMLANDS LÄN</t>
        </is>
      </c>
      <c r="E1184" t="inlineStr">
        <is>
          <t>TORSBY</t>
        </is>
      </c>
      <c r="F1184" t="inlineStr">
        <is>
          <t>Bergvik skog väst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52921-2022</t>
        </is>
      </c>
      <c r="B1185" s="1" t="n">
        <v>44872</v>
      </c>
      <c r="C1185" s="1" t="n">
        <v>45574</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52901-2022</t>
        </is>
      </c>
      <c r="B1186" s="1" t="n">
        <v>44872</v>
      </c>
      <c r="C1186" s="1" t="n">
        <v>45574</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52286-2022</t>
        </is>
      </c>
      <c r="B1187" s="1" t="n">
        <v>44873</v>
      </c>
      <c r="C1187" s="1" t="n">
        <v>45574</v>
      </c>
      <c r="D1187" t="inlineStr">
        <is>
          <t>VÄRMLANDS LÄN</t>
        </is>
      </c>
      <c r="E1187" t="inlineStr">
        <is>
          <t>TORSBY</t>
        </is>
      </c>
      <c r="F1187" t="inlineStr">
        <is>
          <t>Bergvik skog väst AB</t>
        </is>
      </c>
      <c r="G1187" t="n">
        <v>51.4</v>
      </c>
      <c r="H1187" t="n">
        <v>0</v>
      </c>
      <c r="I1187" t="n">
        <v>0</v>
      </c>
      <c r="J1187" t="n">
        <v>0</v>
      </c>
      <c r="K1187" t="n">
        <v>0</v>
      </c>
      <c r="L1187" t="n">
        <v>0</v>
      </c>
      <c r="M1187" t="n">
        <v>0</v>
      </c>
      <c r="N1187" t="n">
        <v>0</v>
      </c>
      <c r="O1187" t="n">
        <v>0</v>
      </c>
      <c r="P1187" t="n">
        <v>0</v>
      </c>
      <c r="Q1187" t="n">
        <v>0</v>
      </c>
      <c r="R1187" s="2" t="inlineStr"/>
    </row>
    <row r="1188" ht="15" customHeight="1">
      <c r="A1188" t="inlineStr">
        <is>
          <t>A 52393-2022</t>
        </is>
      </c>
      <c r="B1188" s="1" t="n">
        <v>44874</v>
      </c>
      <c r="C1188" s="1" t="n">
        <v>45574</v>
      </c>
      <c r="D1188" t="inlineStr">
        <is>
          <t>VÄRMLANDS LÄN</t>
        </is>
      </c>
      <c r="E1188" t="inlineStr">
        <is>
          <t>TORSBY</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52546-2022</t>
        </is>
      </c>
      <c r="B1189" s="1" t="n">
        <v>44874</v>
      </c>
      <c r="C1189" s="1" t="n">
        <v>45574</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52386-2022</t>
        </is>
      </c>
      <c r="B1190" s="1" t="n">
        <v>44874</v>
      </c>
      <c r="C1190" s="1" t="n">
        <v>45574</v>
      </c>
      <c r="D1190" t="inlineStr">
        <is>
          <t>VÄRMLANDS LÄN</t>
        </is>
      </c>
      <c r="E1190" t="inlineStr">
        <is>
          <t>TORSBY</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52543-2022</t>
        </is>
      </c>
      <c r="B1191" s="1" t="n">
        <v>44874</v>
      </c>
      <c r="C1191" s="1" t="n">
        <v>45574</v>
      </c>
      <c r="D1191" t="inlineStr">
        <is>
          <t>VÄRMLANDS LÄN</t>
        </is>
      </c>
      <c r="E1191" t="inlineStr">
        <is>
          <t>TORSBY</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52447-2022</t>
        </is>
      </c>
      <c r="B1192" s="1" t="n">
        <v>44874</v>
      </c>
      <c r="C1192" s="1" t="n">
        <v>45574</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52483-2022</t>
        </is>
      </c>
      <c r="B1193" s="1" t="n">
        <v>44874</v>
      </c>
      <c r="C1193" s="1" t="n">
        <v>45574</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52913-2022</t>
        </is>
      </c>
      <c r="B1194" s="1" t="n">
        <v>44875</v>
      </c>
      <c r="C1194" s="1" t="n">
        <v>45574</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52919-2022</t>
        </is>
      </c>
      <c r="B1195" s="1" t="n">
        <v>44875</v>
      </c>
      <c r="C1195" s="1" t="n">
        <v>45574</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53044-2022</t>
        </is>
      </c>
      <c r="B1196" s="1" t="n">
        <v>44876</v>
      </c>
      <c r="C1196" s="1" t="n">
        <v>45574</v>
      </c>
      <c r="D1196" t="inlineStr">
        <is>
          <t>VÄRMLANDS LÄN</t>
        </is>
      </c>
      <c r="E1196" t="inlineStr">
        <is>
          <t>TORSBY</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53076-2022</t>
        </is>
      </c>
      <c r="B1197" s="1" t="n">
        <v>44876</v>
      </c>
      <c r="C1197" s="1" t="n">
        <v>45574</v>
      </c>
      <c r="D1197" t="inlineStr">
        <is>
          <t>VÄRMLANDS LÄN</t>
        </is>
      </c>
      <c r="E1197" t="inlineStr">
        <is>
          <t>TORSBY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53988-2022</t>
        </is>
      </c>
      <c r="B1198" s="1" t="n">
        <v>44876</v>
      </c>
      <c r="C1198" s="1" t="n">
        <v>45574</v>
      </c>
      <c r="D1198" t="inlineStr">
        <is>
          <t>VÄRMLANDS LÄN</t>
        </is>
      </c>
      <c r="E1198" t="inlineStr">
        <is>
          <t>TORSBY</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53381-2022</t>
        </is>
      </c>
      <c r="B1199" s="1" t="n">
        <v>44879</v>
      </c>
      <c r="C1199" s="1" t="n">
        <v>45574</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53492-2022</t>
        </is>
      </c>
      <c r="B1200" s="1" t="n">
        <v>44879</v>
      </c>
      <c r="C1200" s="1" t="n">
        <v>45574</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53781-2022</t>
        </is>
      </c>
      <c r="B1201" s="1" t="n">
        <v>44880</v>
      </c>
      <c r="C1201" s="1" t="n">
        <v>45574</v>
      </c>
      <c r="D1201" t="inlineStr">
        <is>
          <t>VÄRMLANDS LÄN</t>
        </is>
      </c>
      <c r="E1201" t="inlineStr">
        <is>
          <t>TORSBY</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53906-2022</t>
        </is>
      </c>
      <c r="B1202" s="1" t="n">
        <v>44880</v>
      </c>
      <c r="C1202" s="1" t="n">
        <v>45574</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54452-2022</t>
        </is>
      </c>
      <c r="B1203" s="1" t="n">
        <v>44880</v>
      </c>
      <c r="C1203" s="1" t="n">
        <v>45574</v>
      </c>
      <c r="D1203" t="inlineStr">
        <is>
          <t>VÄRMLANDS LÄN</t>
        </is>
      </c>
      <c r="E1203" t="inlineStr">
        <is>
          <t>TORSBY</t>
        </is>
      </c>
      <c r="F1203" t="inlineStr">
        <is>
          <t>Kyrkan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54028-2022</t>
        </is>
      </c>
      <c r="B1204" s="1" t="n">
        <v>44881</v>
      </c>
      <c r="C1204" s="1" t="n">
        <v>45574</v>
      </c>
      <c r="D1204" t="inlineStr">
        <is>
          <t>VÄRMLANDS LÄN</t>
        </is>
      </c>
      <c r="E1204" t="inlineStr">
        <is>
          <t>TORSBY</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54143-2022</t>
        </is>
      </c>
      <c r="B1205" s="1" t="n">
        <v>44881</v>
      </c>
      <c r="C1205" s="1" t="n">
        <v>45574</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54160-2022</t>
        </is>
      </c>
      <c r="B1206" s="1" t="n">
        <v>44881</v>
      </c>
      <c r="C1206" s="1" t="n">
        <v>45574</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54811-2022</t>
        </is>
      </c>
      <c r="B1207" s="1" t="n">
        <v>44883</v>
      </c>
      <c r="C1207" s="1" t="n">
        <v>45574</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54865-2022</t>
        </is>
      </c>
      <c r="B1208" s="1" t="n">
        <v>44884</v>
      </c>
      <c r="C1208" s="1" t="n">
        <v>45574</v>
      </c>
      <c r="D1208" t="inlineStr">
        <is>
          <t>VÄRMLANDS LÄN</t>
        </is>
      </c>
      <c r="E1208" t="inlineStr">
        <is>
          <t>TORSBY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54885-2022</t>
        </is>
      </c>
      <c r="B1209" s="1" t="n">
        <v>44886</v>
      </c>
      <c r="C1209" s="1" t="n">
        <v>45574</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55068-2022</t>
        </is>
      </c>
      <c r="B1210" s="1" t="n">
        <v>44886</v>
      </c>
      <c r="C1210" s="1" t="n">
        <v>45574</v>
      </c>
      <c r="D1210" t="inlineStr">
        <is>
          <t>VÄRMLANDS LÄN</t>
        </is>
      </c>
      <c r="E1210" t="inlineStr">
        <is>
          <t>TORSBY</t>
        </is>
      </c>
      <c r="G1210" t="n">
        <v>8.199999999999999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55092-2022</t>
        </is>
      </c>
      <c r="B1211" s="1" t="n">
        <v>44886</v>
      </c>
      <c r="C1211" s="1" t="n">
        <v>45574</v>
      </c>
      <c r="D1211" t="inlineStr">
        <is>
          <t>VÄRMLANDS LÄN</t>
        </is>
      </c>
      <c r="E1211" t="inlineStr">
        <is>
          <t>TORSBY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55104-2022</t>
        </is>
      </c>
      <c r="B1212" s="1" t="n">
        <v>44886</v>
      </c>
      <c r="C1212" s="1" t="n">
        <v>45574</v>
      </c>
      <c r="D1212" t="inlineStr">
        <is>
          <t>VÄRMLANDS LÄN</t>
        </is>
      </c>
      <c r="E1212" t="inlineStr">
        <is>
          <t>TORSBY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55428-2022</t>
        </is>
      </c>
      <c r="B1213" s="1" t="n">
        <v>44887</v>
      </c>
      <c r="C1213" s="1" t="n">
        <v>45574</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55475-2022</t>
        </is>
      </c>
      <c r="B1214" s="1" t="n">
        <v>44887</v>
      </c>
      <c r="C1214" s="1" t="n">
        <v>45574</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55436-2022</t>
        </is>
      </c>
      <c r="B1215" s="1" t="n">
        <v>44887</v>
      </c>
      <c r="C1215" s="1" t="n">
        <v>45574</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55575-2022</t>
        </is>
      </c>
      <c r="B1216" s="1" t="n">
        <v>44888</v>
      </c>
      <c r="C1216" s="1" t="n">
        <v>45574</v>
      </c>
      <c r="D1216" t="inlineStr">
        <is>
          <t>VÄRMLANDS LÄN</t>
        </is>
      </c>
      <c r="E1216" t="inlineStr">
        <is>
          <t>TORSBY</t>
        </is>
      </c>
      <c r="F1216" t="inlineStr">
        <is>
          <t>Bergvik skog väst AB</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55981-2022</t>
        </is>
      </c>
      <c r="B1217" s="1" t="n">
        <v>44889</v>
      </c>
      <c r="C1217" s="1" t="n">
        <v>45574</v>
      </c>
      <c r="D1217" t="inlineStr">
        <is>
          <t>VÄRMLANDS LÄN</t>
        </is>
      </c>
      <c r="E1217" t="inlineStr">
        <is>
          <t>TORSBY</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55939-2022</t>
        </is>
      </c>
      <c r="B1218" s="1" t="n">
        <v>44889</v>
      </c>
      <c r="C1218" s="1" t="n">
        <v>45574</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55947-2022</t>
        </is>
      </c>
      <c r="B1219" s="1" t="n">
        <v>44889</v>
      </c>
      <c r="C1219" s="1" t="n">
        <v>45574</v>
      </c>
      <c r="D1219" t="inlineStr">
        <is>
          <t>VÄRMLANDS LÄN</t>
        </is>
      </c>
      <c r="E1219" t="inlineStr">
        <is>
          <t>TORSBY</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56281-2022</t>
        </is>
      </c>
      <c r="B1220" s="1" t="n">
        <v>44890</v>
      </c>
      <c r="C1220" s="1" t="n">
        <v>45574</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56361-2022</t>
        </is>
      </c>
      <c r="B1221" s="1" t="n">
        <v>44890</v>
      </c>
      <c r="C1221" s="1" t="n">
        <v>45574</v>
      </c>
      <c r="D1221" t="inlineStr">
        <is>
          <t>VÄRMLANDS LÄN</t>
        </is>
      </c>
      <c r="E1221" t="inlineStr">
        <is>
          <t>TORSBY</t>
        </is>
      </c>
      <c r="F1221" t="inlineStr">
        <is>
          <t>Bergvik skog väst AB</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56432-2022</t>
        </is>
      </c>
      <c r="B1222" s="1" t="n">
        <v>44891</v>
      </c>
      <c r="C1222" s="1" t="n">
        <v>45574</v>
      </c>
      <c r="D1222" t="inlineStr">
        <is>
          <t>VÄRMLANDS LÄN</t>
        </is>
      </c>
      <c r="E1222" t="inlineStr">
        <is>
          <t>TORSBY</t>
        </is>
      </c>
      <c r="F1222" t="inlineStr">
        <is>
          <t>Bergvik skog väst AB</t>
        </is>
      </c>
      <c r="G1222" t="n">
        <v>37.4</v>
      </c>
      <c r="H1222" t="n">
        <v>0</v>
      </c>
      <c r="I1222" t="n">
        <v>0</v>
      </c>
      <c r="J1222" t="n">
        <v>0</v>
      </c>
      <c r="K1222" t="n">
        <v>0</v>
      </c>
      <c r="L1222" t="n">
        <v>0</v>
      </c>
      <c r="M1222" t="n">
        <v>0</v>
      </c>
      <c r="N1222" t="n">
        <v>0</v>
      </c>
      <c r="O1222" t="n">
        <v>0</v>
      </c>
      <c r="P1222" t="n">
        <v>0</v>
      </c>
      <c r="Q1222" t="n">
        <v>0</v>
      </c>
      <c r="R1222" s="2" t="inlineStr"/>
    </row>
    <row r="1223" ht="15" customHeight="1">
      <c r="A1223" t="inlineStr">
        <is>
          <t>A 56434-2022</t>
        </is>
      </c>
      <c r="B1223" s="1" t="n">
        <v>44891</v>
      </c>
      <c r="C1223" s="1" t="n">
        <v>45574</v>
      </c>
      <c r="D1223" t="inlineStr">
        <is>
          <t>VÄRMLANDS LÄN</t>
        </is>
      </c>
      <c r="E1223" t="inlineStr">
        <is>
          <t>TORSBY</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56473-2022</t>
        </is>
      </c>
      <c r="B1224" s="1" t="n">
        <v>44893</v>
      </c>
      <c r="C1224" s="1" t="n">
        <v>45574</v>
      </c>
      <c r="D1224" t="inlineStr">
        <is>
          <t>VÄRMLANDS LÄN</t>
        </is>
      </c>
      <c r="E1224" t="inlineStr">
        <is>
          <t>TORSBY</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57072-2022</t>
        </is>
      </c>
      <c r="B1225" s="1" t="n">
        <v>44895</v>
      </c>
      <c r="C1225" s="1" t="n">
        <v>45574</v>
      </c>
      <c r="D1225" t="inlineStr">
        <is>
          <t>VÄRMLANDS LÄN</t>
        </is>
      </c>
      <c r="E1225" t="inlineStr">
        <is>
          <t>TORSBY</t>
        </is>
      </c>
      <c r="F1225" t="inlineStr">
        <is>
          <t>Övriga statliga verk och myndigheter</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57176-2022</t>
        </is>
      </c>
      <c r="B1226" s="1" t="n">
        <v>44895</v>
      </c>
      <c r="C1226" s="1" t="n">
        <v>45574</v>
      </c>
      <c r="D1226" t="inlineStr">
        <is>
          <t>VÄRMLANDS LÄN</t>
        </is>
      </c>
      <c r="E1226" t="inlineStr">
        <is>
          <t>TORSBY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57071-2022</t>
        </is>
      </c>
      <c r="B1227" s="1" t="n">
        <v>44895</v>
      </c>
      <c r="C1227" s="1" t="n">
        <v>45574</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57172-2022</t>
        </is>
      </c>
      <c r="B1228" s="1" t="n">
        <v>44895</v>
      </c>
      <c r="C1228" s="1" t="n">
        <v>45574</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57408-2022</t>
        </is>
      </c>
      <c r="B1229" s="1" t="n">
        <v>44896</v>
      </c>
      <c r="C1229" s="1" t="n">
        <v>45574</v>
      </c>
      <c r="D1229" t="inlineStr">
        <is>
          <t>VÄRMLANDS LÄN</t>
        </is>
      </c>
      <c r="E1229" t="inlineStr">
        <is>
          <t>TORSBY</t>
        </is>
      </c>
      <c r="F1229" t="inlineStr">
        <is>
          <t>Bergvik skog väst AB</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57418-2022</t>
        </is>
      </c>
      <c r="B1230" s="1" t="n">
        <v>44896</v>
      </c>
      <c r="C1230" s="1" t="n">
        <v>45574</v>
      </c>
      <c r="D1230" t="inlineStr">
        <is>
          <t>VÄRMLANDS LÄN</t>
        </is>
      </c>
      <c r="E1230" t="inlineStr">
        <is>
          <t>TORSBY</t>
        </is>
      </c>
      <c r="F1230" t="inlineStr">
        <is>
          <t>Bergvik skog väst AB</t>
        </is>
      </c>
      <c r="G1230" t="n">
        <v>21.8</v>
      </c>
      <c r="H1230" t="n">
        <v>0</v>
      </c>
      <c r="I1230" t="n">
        <v>0</v>
      </c>
      <c r="J1230" t="n">
        <v>0</v>
      </c>
      <c r="K1230" t="n">
        <v>0</v>
      </c>
      <c r="L1230" t="n">
        <v>0</v>
      </c>
      <c r="M1230" t="n">
        <v>0</v>
      </c>
      <c r="N1230" t="n">
        <v>0</v>
      </c>
      <c r="O1230" t="n">
        <v>0</v>
      </c>
      <c r="P1230" t="n">
        <v>0</v>
      </c>
      <c r="Q1230" t="n">
        <v>0</v>
      </c>
      <c r="R1230" s="2" t="inlineStr"/>
    </row>
    <row r="1231" ht="15" customHeight="1">
      <c r="A1231" t="inlineStr">
        <is>
          <t>A 57393-2022</t>
        </is>
      </c>
      <c r="B1231" s="1" t="n">
        <v>44896</v>
      </c>
      <c r="C1231" s="1" t="n">
        <v>45574</v>
      </c>
      <c r="D1231" t="inlineStr">
        <is>
          <t>VÄRMLANDS LÄN</t>
        </is>
      </c>
      <c r="E1231" t="inlineStr">
        <is>
          <t>TORSBY</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57452-2022</t>
        </is>
      </c>
      <c r="B1232" s="1" t="n">
        <v>44896</v>
      </c>
      <c r="C1232" s="1" t="n">
        <v>45574</v>
      </c>
      <c r="D1232" t="inlineStr">
        <is>
          <t>VÄRMLANDS LÄN</t>
        </is>
      </c>
      <c r="E1232" t="inlineStr">
        <is>
          <t>TORSBY</t>
        </is>
      </c>
      <c r="F1232" t="inlineStr">
        <is>
          <t>Bergvik skog väst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57708-2022</t>
        </is>
      </c>
      <c r="B1233" s="1" t="n">
        <v>44897</v>
      </c>
      <c r="C1233" s="1" t="n">
        <v>45574</v>
      </c>
      <c r="D1233" t="inlineStr">
        <is>
          <t>VÄRMLANDS LÄN</t>
        </is>
      </c>
      <c r="E1233" t="inlineStr">
        <is>
          <t>TORSBY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57726-2022</t>
        </is>
      </c>
      <c r="B1234" s="1" t="n">
        <v>44897</v>
      </c>
      <c r="C1234" s="1" t="n">
        <v>45574</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57721-2022</t>
        </is>
      </c>
      <c r="B1235" s="1" t="n">
        <v>44897</v>
      </c>
      <c r="C1235" s="1" t="n">
        <v>45574</v>
      </c>
      <c r="D1235" t="inlineStr">
        <is>
          <t>VÄRMLANDS LÄN</t>
        </is>
      </c>
      <c r="E1235" t="inlineStr">
        <is>
          <t>TORSBY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57867-2022</t>
        </is>
      </c>
      <c r="B1236" s="1" t="n">
        <v>44899</v>
      </c>
      <c r="C1236" s="1" t="n">
        <v>45574</v>
      </c>
      <c r="D1236" t="inlineStr">
        <is>
          <t>VÄRMLANDS LÄN</t>
        </is>
      </c>
      <c r="E1236" t="inlineStr">
        <is>
          <t>TORSBY</t>
        </is>
      </c>
      <c r="F1236" t="inlineStr">
        <is>
          <t>Bergvik skog väst AB</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57937-2022</t>
        </is>
      </c>
      <c r="B1237" s="1" t="n">
        <v>44900</v>
      </c>
      <c r="C1237" s="1" t="n">
        <v>45574</v>
      </c>
      <c r="D1237" t="inlineStr">
        <is>
          <t>VÄRMLANDS LÄN</t>
        </is>
      </c>
      <c r="E1237" t="inlineStr">
        <is>
          <t>TORSBY</t>
        </is>
      </c>
      <c r="F1237" t="inlineStr">
        <is>
          <t>Bergvik skog väst AB</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58225-2022</t>
        </is>
      </c>
      <c r="B1238" s="1" t="n">
        <v>44901</v>
      </c>
      <c r="C1238" s="1" t="n">
        <v>45574</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58276-2022</t>
        </is>
      </c>
      <c r="B1239" s="1" t="n">
        <v>44901</v>
      </c>
      <c r="C1239" s="1" t="n">
        <v>45574</v>
      </c>
      <c r="D1239" t="inlineStr">
        <is>
          <t>VÄRMLANDS LÄN</t>
        </is>
      </c>
      <c r="E1239" t="inlineStr">
        <is>
          <t>TORSBY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58956-2022</t>
        </is>
      </c>
      <c r="B1240" s="1" t="n">
        <v>44903</v>
      </c>
      <c r="C1240" s="1" t="n">
        <v>45574</v>
      </c>
      <c r="D1240" t="inlineStr">
        <is>
          <t>VÄRMLANDS LÄN</t>
        </is>
      </c>
      <c r="E1240" t="inlineStr">
        <is>
          <t>TORSBY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58869-2022</t>
        </is>
      </c>
      <c r="B1241" s="1" t="n">
        <v>44903</v>
      </c>
      <c r="C1241" s="1" t="n">
        <v>45574</v>
      </c>
      <c r="D1241" t="inlineStr">
        <is>
          <t>VÄRMLANDS LÄN</t>
        </is>
      </c>
      <c r="E1241" t="inlineStr">
        <is>
          <t>TORSBY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58951-2022</t>
        </is>
      </c>
      <c r="B1242" s="1" t="n">
        <v>44903</v>
      </c>
      <c r="C1242" s="1" t="n">
        <v>45574</v>
      </c>
      <c r="D1242" t="inlineStr">
        <is>
          <t>VÄRMLANDS LÄN</t>
        </is>
      </c>
      <c r="E1242" t="inlineStr">
        <is>
          <t>TORSBY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59097-2022</t>
        </is>
      </c>
      <c r="B1243" s="1" t="n">
        <v>44904</v>
      </c>
      <c r="C1243" s="1" t="n">
        <v>45574</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59096-2022</t>
        </is>
      </c>
      <c r="B1244" s="1" t="n">
        <v>44904</v>
      </c>
      <c r="C1244" s="1" t="n">
        <v>45574</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59778-2022</t>
        </is>
      </c>
      <c r="B1245" s="1" t="n">
        <v>44908</v>
      </c>
      <c r="C1245" s="1" t="n">
        <v>45574</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60240-2022</t>
        </is>
      </c>
      <c r="B1246" s="1" t="n">
        <v>44910</v>
      </c>
      <c r="C1246" s="1" t="n">
        <v>45574</v>
      </c>
      <c r="D1246" t="inlineStr">
        <is>
          <t>VÄRMLANDS LÄN</t>
        </is>
      </c>
      <c r="E1246" t="inlineStr">
        <is>
          <t>TORSBY</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61432-2022</t>
        </is>
      </c>
      <c r="B1247" s="1" t="n">
        <v>44910</v>
      </c>
      <c r="C1247" s="1" t="n">
        <v>45574</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61428-2022</t>
        </is>
      </c>
      <c r="B1248" s="1" t="n">
        <v>44910</v>
      </c>
      <c r="C1248" s="1" t="n">
        <v>45574</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60737-2022</t>
        </is>
      </c>
      <c r="B1249" s="1" t="n">
        <v>44913</v>
      </c>
      <c r="C1249" s="1" t="n">
        <v>45574</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60823-2022</t>
        </is>
      </c>
      <c r="B1250" s="1" t="n">
        <v>44914</v>
      </c>
      <c r="C1250" s="1" t="n">
        <v>45574</v>
      </c>
      <c r="D1250" t="inlineStr">
        <is>
          <t>VÄRMLANDS LÄN</t>
        </is>
      </c>
      <c r="E1250" t="inlineStr">
        <is>
          <t>TORSBY</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61128-2022</t>
        </is>
      </c>
      <c r="B1251" s="1" t="n">
        <v>44915</v>
      </c>
      <c r="C1251" s="1" t="n">
        <v>45574</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61151-2022</t>
        </is>
      </c>
      <c r="B1252" s="1" t="n">
        <v>44915</v>
      </c>
      <c r="C1252" s="1" t="n">
        <v>45574</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61286-2022</t>
        </is>
      </c>
      <c r="B1253" s="1" t="n">
        <v>44915</v>
      </c>
      <c r="C1253" s="1" t="n">
        <v>45574</v>
      </c>
      <c r="D1253" t="inlineStr">
        <is>
          <t>VÄRMLANDS LÄN</t>
        </is>
      </c>
      <c r="E1253" t="inlineStr">
        <is>
          <t>TORSBY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61321-2022</t>
        </is>
      </c>
      <c r="B1254" s="1" t="n">
        <v>44915</v>
      </c>
      <c r="C1254" s="1" t="n">
        <v>45574</v>
      </c>
      <c r="D1254" t="inlineStr">
        <is>
          <t>VÄRMLANDS LÄN</t>
        </is>
      </c>
      <c r="E1254" t="inlineStr">
        <is>
          <t>TORSBY</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61138-2022</t>
        </is>
      </c>
      <c r="B1255" s="1" t="n">
        <v>44915</v>
      </c>
      <c r="C1255" s="1" t="n">
        <v>45574</v>
      </c>
      <c r="D1255" t="inlineStr">
        <is>
          <t>VÄRMLANDS LÄN</t>
        </is>
      </c>
      <c r="E1255" t="inlineStr">
        <is>
          <t>TORSBY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61143-2022</t>
        </is>
      </c>
      <c r="B1256" s="1" t="n">
        <v>44915</v>
      </c>
      <c r="C1256" s="1" t="n">
        <v>45574</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61290-2022</t>
        </is>
      </c>
      <c r="B1257" s="1" t="n">
        <v>44915</v>
      </c>
      <c r="C1257" s="1" t="n">
        <v>45574</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61367-2022</t>
        </is>
      </c>
      <c r="B1258" s="1" t="n">
        <v>44915</v>
      </c>
      <c r="C1258" s="1" t="n">
        <v>45574</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61135-2022</t>
        </is>
      </c>
      <c r="B1259" s="1" t="n">
        <v>44915</v>
      </c>
      <c r="C1259" s="1" t="n">
        <v>45574</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61510-2022</t>
        </is>
      </c>
      <c r="B1260" s="1" t="n">
        <v>44916</v>
      </c>
      <c r="C1260" s="1" t="n">
        <v>45574</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62006-2022</t>
        </is>
      </c>
      <c r="B1261" s="1" t="n">
        <v>44918</v>
      </c>
      <c r="C1261" s="1" t="n">
        <v>45574</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80-2023</t>
        </is>
      </c>
      <c r="B1262" s="1" t="n">
        <v>44918</v>
      </c>
      <c r="C1262" s="1" t="n">
        <v>45574</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345-2023</t>
        </is>
      </c>
      <c r="B1263" s="1" t="n">
        <v>44923</v>
      </c>
      <c r="C1263" s="1" t="n">
        <v>45574</v>
      </c>
      <c r="D1263" t="inlineStr">
        <is>
          <t>VÄRMLANDS LÄN</t>
        </is>
      </c>
      <c r="E1263" t="inlineStr">
        <is>
          <t>TORSBY</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363-2023</t>
        </is>
      </c>
      <c r="B1264" s="1" t="n">
        <v>44923</v>
      </c>
      <c r="C1264" s="1" t="n">
        <v>45574</v>
      </c>
      <c r="D1264" t="inlineStr">
        <is>
          <t>VÄRMLANDS LÄN</t>
        </is>
      </c>
      <c r="E1264" t="inlineStr">
        <is>
          <t>TORSBY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62574-2022</t>
        </is>
      </c>
      <c r="B1265" s="1" t="n">
        <v>44924</v>
      </c>
      <c r="C1265" s="1" t="n">
        <v>45574</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522-2023</t>
        </is>
      </c>
      <c r="B1266" s="1" t="n">
        <v>44930</v>
      </c>
      <c r="C1266" s="1" t="n">
        <v>45574</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1003-2023</t>
        </is>
      </c>
      <c r="B1267" s="1" t="n">
        <v>44935</v>
      </c>
      <c r="C1267" s="1" t="n">
        <v>45574</v>
      </c>
      <c r="D1267" t="inlineStr">
        <is>
          <t>VÄRMLANDS LÄN</t>
        </is>
      </c>
      <c r="E1267" t="inlineStr">
        <is>
          <t>TORSBY</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1120-2023</t>
        </is>
      </c>
      <c r="B1268" s="1" t="n">
        <v>44935</v>
      </c>
      <c r="C1268" s="1" t="n">
        <v>45574</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1166-2023</t>
        </is>
      </c>
      <c r="B1269" s="1" t="n">
        <v>44935</v>
      </c>
      <c r="C1269" s="1" t="n">
        <v>45574</v>
      </c>
      <c r="D1269" t="inlineStr">
        <is>
          <t>VÄRMLANDS LÄN</t>
        </is>
      </c>
      <c r="E1269" t="inlineStr">
        <is>
          <t>TORSBY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1123-2023</t>
        </is>
      </c>
      <c r="B1270" s="1" t="n">
        <v>44935</v>
      </c>
      <c r="C1270" s="1" t="n">
        <v>45574</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1386-2023</t>
        </is>
      </c>
      <c r="B1271" s="1" t="n">
        <v>44936</v>
      </c>
      <c r="C1271" s="1" t="n">
        <v>45574</v>
      </c>
      <c r="D1271" t="inlineStr">
        <is>
          <t>VÄRMLANDS LÄN</t>
        </is>
      </c>
      <c r="E1271" t="inlineStr">
        <is>
          <t>TORSBY</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1947-2023</t>
        </is>
      </c>
      <c r="B1272" s="1" t="n">
        <v>44939</v>
      </c>
      <c r="C1272" s="1" t="n">
        <v>45574</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1979-2023</t>
        </is>
      </c>
      <c r="B1273" s="1" t="n">
        <v>44939</v>
      </c>
      <c r="C1273" s="1" t="n">
        <v>45574</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2471-2023</t>
        </is>
      </c>
      <c r="B1274" s="1" t="n">
        <v>44943</v>
      </c>
      <c r="C1274" s="1" t="n">
        <v>45574</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2512-2023</t>
        </is>
      </c>
      <c r="B1275" s="1" t="n">
        <v>44943</v>
      </c>
      <c r="C1275" s="1" t="n">
        <v>45574</v>
      </c>
      <c r="D1275" t="inlineStr">
        <is>
          <t>VÄRMLANDS LÄN</t>
        </is>
      </c>
      <c r="E1275" t="inlineStr">
        <is>
          <t>TORSBY</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3098-2023</t>
        </is>
      </c>
      <c r="B1276" s="1" t="n">
        <v>44946</v>
      </c>
      <c r="C1276" s="1" t="n">
        <v>45574</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3103-2023</t>
        </is>
      </c>
      <c r="B1277" s="1" t="n">
        <v>44946</v>
      </c>
      <c r="C1277" s="1" t="n">
        <v>45574</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3256-2023</t>
        </is>
      </c>
      <c r="B1278" s="1" t="n">
        <v>44948</v>
      </c>
      <c r="C1278" s="1" t="n">
        <v>45574</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3421-2023</t>
        </is>
      </c>
      <c r="B1279" s="1" t="n">
        <v>44949</v>
      </c>
      <c r="C1279" s="1" t="n">
        <v>45574</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3489-2023</t>
        </is>
      </c>
      <c r="B1280" s="1" t="n">
        <v>44949</v>
      </c>
      <c r="C1280" s="1" t="n">
        <v>45574</v>
      </c>
      <c r="D1280" t="inlineStr">
        <is>
          <t>VÄRMLANDS LÄN</t>
        </is>
      </c>
      <c r="E1280" t="inlineStr">
        <is>
          <t>TORSBY</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3491-2023</t>
        </is>
      </c>
      <c r="B1281" s="1" t="n">
        <v>44949</v>
      </c>
      <c r="C1281" s="1" t="n">
        <v>45574</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3542-2023</t>
        </is>
      </c>
      <c r="B1282" s="1" t="n">
        <v>44950</v>
      </c>
      <c r="C1282" s="1" t="n">
        <v>45574</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3666-2023</t>
        </is>
      </c>
      <c r="B1283" s="1" t="n">
        <v>44950</v>
      </c>
      <c r="C1283" s="1" t="n">
        <v>45574</v>
      </c>
      <c r="D1283" t="inlineStr">
        <is>
          <t>VÄRMLANDS LÄN</t>
        </is>
      </c>
      <c r="E1283" t="inlineStr">
        <is>
          <t>TORSBY</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3670-2023</t>
        </is>
      </c>
      <c r="B1284" s="1" t="n">
        <v>44950</v>
      </c>
      <c r="C1284" s="1" t="n">
        <v>45574</v>
      </c>
      <c r="D1284" t="inlineStr">
        <is>
          <t>VÄRMLANDS LÄN</t>
        </is>
      </c>
      <c r="E1284" t="inlineStr">
        <is>
          <t>TORSBY</t>
        </is>
      </c>
      <c r="G1284" t="n">
        <v>15.4</v>
      </c>
      <c r="H1284" t="n">
        <v>0</v>
      </c>
      <c r="I1284" t="n">
        <v>0</v>
      </c>
      <c r="J1284" t="n">
        <v>0</v>
      </c>
      <c r="K1284" t="n">
        <v>0</v>
      </c>
      <c r="L1284" t="n">
        <v>0</v>
      </c>
      <c r="M1284" t="n">
        <v>0</v>
      </c>
      <c r="N1284" t="n">
        <v>0</v>
      </c>
      <c r="O1284" t="n">
        <v>0</v>
      </c>
      <c r="P1284" t="n">
        <v>0</v>
      </c>
      <c r="Q1284" t="n">
        <v>0</v>
      </c>
      <c r="R1284" s="2" t="inlineStr"/>
    </row>
    <row r="1285" ht="15" customHeight="1">
      <c r="A1285" t="inlineStr">
        <is>
          <t>A 3667-2023</t>
        </is>
      </c>
      <c r="B1285" s="1" t="n">
        <v>44950</v>
      </c>
      <c r="C1285" s="1" t="n">
        <v>45574</v>
      </c>
      <c r="D1285" t="inlineStr">
        <is>
          <t>VÄRMLANDS LÄN</t>
        </is>
      </c>
      <c r="E1285" t="inlineStr">
        <is>
          <t>TORSBY</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3672-2023</t>
        </is>
      </c>
      <c r="B1286" s="1" t="n">
        <v>44950</v>
      </c>
      <c r="C1286" s="1" t="n">
        <v>45574</v>
      </c>
      <c r="D1286" t="inlineStr">
        <is>
          <t>VÄRMLANDS LÄN</t>
        </is>
      </c>
      <c r="E1286" t="inlineStr">
        <is>
          <t>TORSBY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3881-2023</t>
        </is>
      </c>
      <c r="B1287" s="1" t="n">
        <v>44951</v>
      </c>
      <c r="C1287" s="1" t="n">
        <v>45574</v>
      </c>
      <c r="D1287" t="inlineStr">
        <is>
          <t>VÄRMLANDS LÄN</t>
        </is>
      </c>
      <c r="E1287" t="inlineStr">
        <is>
          <t>TORSBY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4250-2023</t>
        </is>
      </c>
      <c r="B1288" s="1" t="n">
        <v>44953</v>
      </c>
      <c r="C1288" s="1" t="n">
        <v>45574</v>
      </c>
      <c r="D1288" t="inlineStr">
        <is>
          <t>VÄRMLANDS LÄN</t>
        </is>
      </c>
      <c r="E1288" t="inlineStr">
        <is>
          <t>TORSBY</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4236-2023</t>
        </is>
      </c>
      <c r="B1289" s="1" t="n">
        <v>44953</v>
      </c>
      <c r="C1289" s="1" t="n">
        <v>45574</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4433-2023</t>
        </is>
      </c>
      <c r="B1290" s="1" t="n">
        <v>44956</v>
      </c>
      <c r="C1290" s="1" t="n">
        <v>45574</v>
      </c>
      <c r="D1290" t="inlineStr">
        <is>
          <t>VÄRMLANDS LÄN</t>
        </is>
      </c>
      <c r="E1290" t="inlineStr">
        <is>
          <t>TORSBY</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4510-2023</t>
        </is>
      </c>
      <c r="B1291" s="1" t="n">
        <v>44956</v>
      </c>
      <c r="C1291" s="1" t="n">
        <v>45574</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4568-2023</t>
        </is>
      </c>
      <c r="B1292" s="1" t="n">
        <v>44956</v>
      </c>
      <c r="C1292" s="1" t="n">
        <v>45574</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4585-2023</t>
        </is>
      </c>
      <c r="B1293" s="1" t="n">
        <v>44956</v>
      </c>
      <c r="C1293" s="1" t="n">
        <v>45574</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4707-2023</t>
        </is>
      </c>
      <c r="B1294" s="1" t="n">
        <v>44957</v>
      </c>
      <c r="C1294" s="1" t="n">
        <v>45574</v>
      </c>
      <c r="D1294" t="inlineStr">
        <is>
          <t>VÄRMLANDS LÄN</t>
        </is>
      </c>
      <c r="E1294" t="inlineStr">
        <is>
          <t>TORSBY</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5216-2023</t>
        </is>
      </c>
      <c r="B1295" s="1" t="n">
        <v>44959</v>
      </c>
      <c r="C1295" s="1" t="n">
        <v>45574</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5492-2023</t>
        </is>
      </c>
      <c r="B1296" s="1" t="n">
        <v>44959</v>
      </c>
      <c r="C1296" s="1" t="n">
        <v>45574</v>
      </c>
      <c r="D1296" t="inlineStr">
        <is>
          <t>VÄRMLANDS LÄN</t>
        </is>
      </c>
      <c r="E1296" t="inlineStr">
        <is>
          <t>TORSBY</t>
        </is>
      </c>
      <c r="F1296" t="inlineStr">
        <is>
          <t>Övriga Aktiebolag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6708-2023</t>
        </is>
      </c>
      <c r="B1297" s="1" t="n">
        <v>44960</v>
      </c>
      <c r="C1297" s="1" t="n">
        <v>45574</v>
      </c>
      <c r="D1297" t="inlineStr">
        <is>
          <t>VÄRMLANDS LÄN</t>
        </is>
      </c>
      <c r="E1297" t="inlineStr">
        <is>
          <t>TORSBY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6702-2023</t>
        </is>
      </c>
      <c r="B1298" s="1" t="n">
        <v>44960</v>
      </c>
      <c r="C1298" s="1" t="n">
        <v>45574</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6715-2023</t>
        </is>
      </c>
      <c r="B1299" s="1" t="n">
        <v>44960</v>
      </c>
      <c r="C1299" s="1" t="n">
        <v>45574</v>
      </c>
      <c r="D1299" t="inlineStr">
        <is>
          <t>VÄRMLANDS LÄN</t>
        </is>
      </c>
      <c r="E1299" t="inlineStr">
        <is>
          <t>TORSBY</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6711-2023</t>
        </is>
      </c>
      <c r="B1300" s="1" t="n">
        <v>44960</v>
      </c>
      <c r="C1300" s="1" t="n">
        <v>45574</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6713-2023</t>
        </is>
      </c>
      <c r="B1301" s="1" t="n">
        <v>44960</v>
      </c>
      <c r="C1301" s="1" t="n">
        <v>45574</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5830-2023</t>
        </is>
      </c>
      <c r="B1302" s="1" t="n">
        <v>44963</v>
      </c>
      <c r="C1302" s="1" t="n">
        <v>45574</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5763-2023</t>
        </is>
      </c>
      <c r="B1303" s="1" t="n">
        <v>44963</v>
      </c>
      <c r="C1303" s="1" t="n">
        <v>45574</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6863-2023</t>
        </is>
      </c>
      <c r="B1304" s="1" t="n">
        <v>44964</v>
      </c>
      <c r="C1304" s="1" t="n">
        <v>45574</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7283-2023</t>
        </is>
      </c>
      <c r="B1305" s="1" t="n">
        <v>44970</v>
      </c>
      <c r="C1305" s="1" t="n">
        <v>45574</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7127-2023</t>
        </is>
      </c>
      <c r="B1306" s="1" t="n">
        <v>44970</v>
      </c>
      <c r="C1306" s="1" t="n">
        <v>45574</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7133-2023</t>
        </is>
      </c>
      <c r="B1307" s="1" t="n">
        <v>44970</v>
      </c>
      <c r="C1307" s="1" t="n">
        <v>45574</v>
      </c>
      <c r="D1307" t="inlineStr">
        <is>
          <t>VÄRMLANDS LÄN</t>
        </is>
      </c>
      <c r="E1307" t="inlineStr">
        <is>
          <t>TORSBY</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7405-2023</t>
        </is>
      </c>
      <c r="B1308" s="1" t="n">
        <v>44971</v>
      </c>
      <c r="C1308" s="1" t="n">
        <v>45574</v>
      </c>
      <c r="D1308" t="inlineStr">
        <is>
          <t>VÄRMLANDS LÄN</t>
        </is>
      </c>
      <c r="E1308" t="inlineStr">
        <is>
          <t>TORSBY</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8194-2023</t>
        </is>
      </c>
      <c r="B1309" s="1" t="n">
        <v>44971</v>
      </c>
      <c r="C1309" s="1" t="n">
        <v>45574</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8192-2023</t>
        </is>
      </c>
      <c r="B1310" s="1" t="n">
        <v>44971</v>
      </c>
      <c r="C1310" s="1" t="n">
        <v>45574</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7745-2023</t>
        </is>
      </c>
      <c r="B1311" s="1" t="n">
        <v>44973</v>
      </c>
      <c r="C1311" s="1" t="n">
        <v>45574</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7753-2023</t>
        </is>
      </c>
      <c r="B1312" s="1" t="n">
        <v>44973</v>
      </c>
      <c r="C1312" s="1" t="n">
        <v>45574</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8016-2023</t>
        </is>
      </c>
      <c r="B1313" s="1" t="n">
        <v>44973</v>
      </c>
      <c r="C1313" s="1" t="n">
        <v>45574</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8910-2023</t>
        </is>
      </c>
      <c r="B1314" s="1" t="n">
        <v>44973</v>
      </c>
      <c r="C1314" s="1" t="n">
        <v>45574</v>
      </c>
      <c r="D1314" t="inlineStr">
        <is>
          <t>VÄRMLANDS LÄN</t>
        </is>
      </c>
      <c r="E1314" t="inlineStr">
        <is>
          <t>TORSBY</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8012-2023</t>
        </is>
      </c>
      <c r="B1315" s="1" t="n">
        <v>44973</v>
      </c>
      <c r="C1315" s="1" t="n">
        <v>45574</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8284-2023</t>
        </is>
      </c>
      <c r="B1316" s="1" t="n">
        <v>44974</v>
      </c>
      <c r="C1316" s="1" t="n">
        <v>45574</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8281-2023</t>
        </is>
      </c>
      <c r="B1317" s="1" t="n">
        <v>44974</v>
      </c>
      <c r="C1317" s="1" t="n">
        <v>45574</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8287-2023</t>
        </is>
      </c>
      <c r="B1318" s="1" t="n">
        <v>44974</v>
      </c>
      <c r="C1318" s="1" t="n">
        <v>45574</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8931-2023</t>
        </is>
      </c>
      <c r="B1319" s="1" t="n">
        <v>44974</v>
      </c>
      <c r="C1319" s="1" t="n">
        <v>45574</v>
      </c>
      <c r="D1319" t="inlineStr">
        <is>
          <t>VÄRMLANDS LÄN</t>
        </is>
      </c>
      <c r="E1319" t="inlineStr">
        <is>
          <t>TORSBY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8928-2023</t>
        </is>
      </c>
      <c r="B1320" s="1" t="n">
        <v>44974</v>
      </c>
      <c r="C1320" s="1" t="n">
        <v>45574</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8447-2023</t>
        </is>
      </c>
      <c r="B1321" s="1" t="n">
        <v>44977</v>
      </c>
      <c r="C1321" s="1" t="n">
        <v>45574</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9453-2023</t>
        </is>
      </c>
      <c r="B1322" s="1" t="n">
        <v>44977</v>
      </c>
      <c r="C1322" s="1" t="n">
        <v>45574</v>
      </c>
      <c r="D1322" t="inlineStr">
        <is>
          <t>VÄRMLANDS LÄN</t>
        </is>
      </c>
      <c r="E1322" t="inlineStr">
        <is>
          <t>TORSBY</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8819-2023</t>
        </is>
      </c>
      <c r="B1323" s="1" t="n">
        <v>44978</v>
      </c>
      <c r="C1323" s="1" t="n">
        <v>45574</v>
      </c>
      <c r="D1323" t="inlineStr">
        <is>
          <t>VÄRMLANDS LÄN</t>
        </is>
      </c>
      <c r="E1323" t="inlineStr">
        <is>
          <t>TORSBY</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9067-2023</t>
        </is>
      </c>
      <c r="B1324" s="1" t="n">
        <v>44979</v>
      </c>
      <c r="C1324" s="1" t="n">
        <v>45574</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9056-2023</t>
        </is>
      </c>
      <c r="B1325" s="1" t="n">
        <v>44979</v>
      </c>
      <c r="C1325" s="1" t="n">
        <v>45574</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10027-2023</t>
        </is>
      </c>
      <c r="B1326" s="1" t="n">
        <v>44979</v>
      </c>
      <c r="C1326" s="1" t="n">
        <v>45574</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10033-2023</t>
        </is>
      </c>
      <c r="B1327" s="1" t="n">
        <v>44979</v>
      </c>
      <c r="C1327" s="1" t="n">
        <v>45574</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10024-2023</t>
        </is>
      </c>
      <c r="B1328" s="1" t="n">
        <v>44979</v>
      </c>
      <c r="C1328" s="1" t="n">
        <v>45574</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9327-2023</t>
        </is>
      </c>
      <c r="B1329" s="1" t="n">
        <v>44980</v>
      </c>
      <c r="C1329" s="1" t="n">
        <v>45574</v>
      </c>
      <c r="D1329" t="inlineStr">
        <is>
          <t>VÄRMLANDS LÄN</t>
        </is>
      </c>
      <c r="E1329" t="inlineStr">
        <is>
          <t>TORSBY</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10479-2023</t>
        </is>
      </c>
      <c r="B1330" s="1" t="n">
        <v>44981</v>
      </c>
      <c r="C1330" s="1" t="n">
        <v>45574</v>
      </c>
      <c r="D1330" t="inlineStr">
        <is>
          <t>VÄRMLANDS LÄN</t>
        </is>
      </c>
      <c r="E1330" t="inlineStr">
        <is>
          <t>TORSBY</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10473-2023</t>
        </is>
      </c>
      <c r="B1331" s="1" t="n">
        <v>44981</v>
      </c>
      <c r="C1331" s="1" t="n">
        <v>45574</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10471-2023</t>
        </is>
      </c>
      <c r="B1332" s="1" t="n">
        <v>44981</v>
      </c>
      <c r="C1332" s="1" t="n">
        <v>45574</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9575-2023</t>
        </is>
      </c>
      <c r="B1333" s="1" t="n">
        <v>44982</v>
      </c>
      <c r="C1333" s="1" t="n">
        <v>45574</v>
      </c>
      <c r="D1333" t="inlineStr">
        <is>
          <t>VÄRMLANDS LÄN</t>
        </is>
      </c>
      <c r="E1333" t="inlineStr">
        <is>
          <t>TORSBY</t>
        </is>
      </c>
      <c r="F1333" t="inlineStr">
        <is>
          <t>Övriga statliga verk och myndigheter</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9574-2023</t>
        </is>
      </c>
      <c r="B1334" s="1" t="n">
        <v>44982</v>
      </c>
      <c r="C1334" s="1" t="n">
        <v>45574</v>
      </c>
      <c r="D1334" t="inlineStr">
        <is>
          <t>VÄRMLANDS LÄN</t>
        </is>
      </c>
      <c r="E1334" t="inlineStr">
        <is>
          <t>TORSBY</t>
        </is>
      </c>
      <c r="F1334" t="inlineStr">
        <is>
          <t>Övriga statliga verk och myndigheter</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9578-2023</t>
        </is>
      </c>
      <c r="B1335" s="1" t="n">
        <v>44982</v>
      </c>
      <c r="C1335" s="1" t="n">
        <v>45574</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10888-2023</t>
        </is>
      </c>
      <c r="B1336" s="1" t="n">
        <v>44985</v>
      </c>
      <c r="C1336" s="1" t="n">
        <v>45574</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10155-2023</t>
        </is>
      </c>
      <c r="B1337" s="1" t="n">
        <v>44986</v>
      </c>
      <c r="C1337" s="1" t="n">
        <v>45574</v>
      </c>
      <c r="D1337" t="inlineStr">
        <is>
          <t>VÄRMLANDS LÄN</t>
        </is>
      </c>
      <c r="E1337" t="inlineStr">
        <is>
          <t>TORSBY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10218-2023</t>
        </is>
      </c>
      <c r="B1338" s="1" t="n">
        <v>44986</v>
      </c>
      <c r="C1338" s="1" t="n">
        <v>45574</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10228-2023</t>
        </is>
      </c>
      <c r="B1339" s="1" t="n">
        <v>44986</v>
      </c>
      <c r="C1339" s="1" t="n">
        <v>45574</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10662-2023</t>
        </is>
      </c>
      <c r="B1340" s="1" t="n">
        <v>44988</v>
      </c>
      <c r="C1340" s="1" t="n">
        <v>45574</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10583-2023</t>
        </is>
      </c>
      <c r="B1341" s="1" t="n">
        <v>44988</v>
      </c>
      <c r="C1341" s="1" t="n">
        <v>45574</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10666-2023</t>
        </is>
      </c>
      <c r="B1342" s="1" t="n">
        <v>44988</v>
      </c>
      <c r="C1342" s="1" t="n">
        <v>45574</v>
      </c>
      <c r="D1342" t="inlineStr">
        <is>
          <t>VÄRMLANDS LÄN</t>
        </is>
      </c>
      <c r="E1342" t="inlineStr">
        <is>
          <t>TORSBY</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10698-2023</t>
        </is>
      </c>
      <c r="B1343" s="1" t="n">
        <v>44988</v>
      </c>
      <c r="C1343" s="1" t="n">
        <v>45574</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11364-2023</t>
        </is>
      </c>
      <c r="B1344" s="1" t="n">
        <v>44993</v>
      </c>
      <c r="C1344" s="1" t="n">
        <v>45574</v>
      </c>
      <c r="D1344" t="inlineStr">
        <is>
          <t>VÄRMLANDS LÄN</t>
        </is>
      </c>
      <c r="E1344" t="inlineStr">
        <is>
          <t>TORSBY</t>
        </is>
      </c>
      <c r="G1344" t="n">
        <v>31.9</v>
      </c>
      <c r="H1344" t="n">
        <v>0</v>
      </c>
      <c r="I1344" t="n">
        <v>0</v>
      </c>
      <c r="J1344" t="n">
        <v>0</v>
      </c>
      <c r="K1344" t="n">
        <v>0</v>
      </c>
      <c r="L1344" t="n">
        <v>0</v>
      </c>
      <c r="M1344" t="n">
        <v>0</v>
      </c>
      <c r="N1344" t="n">
        <v>0</v>
      </c>
      <c r="O1344" t="n">
        <v>0</v>
      </c>
      <c r="P1344" t="n">
        <v>0</v>
      </c>
      <c r="Q1344" t="n">
        <v>0</v>
      </c>
      <c r="R1344" s="2" t="inlineStr"/>
    </row>
    <row r="1345" ht="15" customHeight="1">
      <c r="A1345" t="inlineStr">
        <is>
          <t>A 11366-2023</t>
        </is>
      </c>
      <c r="B1345" s="1" t="n">
        <v>44993</v>
      </c>
      <c r="C1345" s="1" t="n">
        <v>45574</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12441-2023</t>
        </is>
      </c>
      <c r="B1346" s="1" t="n">
        <v>44999</v>
      </c>
      <c r="C1346" s="1" t="n">
        <v>45574</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12453-2023</t>
        </is>
      </c>
      <c r="B1347" s="1" t="n">
        <v>44999</v>
      </c>
      <c r="C1347" s="1" t="n">
        <v>45574</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12458-2023</t>
        </is>
      </c>
      <c r="B1348" s="1" t="n">
        <v>44999</v>
      </c>
      <c r="C1348" s="1" t="n">
        <v>45574</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12467-2023</t>
        </is>
      </c>
      <c r="B1349" s="1" t="n">
        <v>44999</v>
      </c>
      <c r="C1349" s="1" t="n">
        <v>45574</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12689-2023</t>
        </is>
      </c>
      <c r="B1350" s="1" t="n">
        <v>45000</v>
      </c>
      <c r="C1350" s="1" t="n">
        <v>45574</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12637-2023</t>
        </is>
      </c>
      <c r="B1351" s="1" t="n">
        <v>45000</v>
      </c>
      <c r="C1351" s="1" t="n">
        <v>45574</v>
      </c>
      <c r="D1351" t="inlineStr">
        <is>
          <t>VÄRMLANDS LÄN</t>
        </is>
      </c>
      <c r="E1351" t="inlineStr">
        <is>
          <t>TORSBY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12670-2023</t>
        </is>
      </c>
      <c r="B1352" s="1" t="n">
        <v>45000</v>
      </c>
      <c r="C1352" s="1" t="n">
        <v>45574</v>
      </c>
      <c r="D1352" t="inlineStr">
        <is>
          <t>VÄRMLANDS LÄN</t>
        </is>
      </c>
      <c r="E1352" t="inlineStr">
        <is>
          <t>TORSBY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12933-2023</t>
        </is>
      </c>
      <c r="B1353" s="1" t="n">
        <v>45001</v>
      </c>
      <c r="C1353" s="1" t="n">
        <v>45574</v>
      </c>
      <c r="D1353" t="inlineStr">
        <is>
          <t>VÄRMLANDS LÄN</t>
        </is>
      </c>
      <c r="E1353" t="inlineStr">
        <is>
          <t>TORSBY</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13054-2023</t>
        </is>
      </c>
      <c r="B1354" s="1" t="n">
        <v>45001</v>
      </c>
      <c r="C1354" s="1" t="n">
        <v>45574</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13048-2023</t>
        </is>
      </c>
      <c r="B1355" s="1" t="n">
        <v>45001</v>
      </c>
      <c r="C1355" s="1" t="n">
        <v>45574</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12968-2023</t>
        </is>
      </c>
      <c r="B1356" s="1" t="n">
        <v>45001</v>
      </c>
      <c r="C1356" s="1" t="n">
        <v>45574</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13791-2023</t>
        </is>
      </c>
      <c r="B1357" s="1" t="n">
        <v>45005</v>
      </c>
      <c r="C1357" s="1" t="n">
        <v>45574</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13561-2023</t>
        </is>
      </c>
      <c r="B1358" s="1" t="n">
        <v>45006</v>
      </c>
      <c r="C1358" s="1" t="n">
        <v>45574</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13586-2023</t>
        </is>
      </c>
      <c r="B1359" s="1" t="n">
        <v>45006</v>
      </c>
      <c r="C1359" s="1" t="n">
        <v>45574</v>
      </c>
      <c r="D1359" t="inlineStr">
        <is>
          <t>VÄRMLANDS LÄN</t>
        </is>
      </c>
      <c r="E1359" t="inlineStr">
        <is>
          <t>TORSBY</t>
        </is>
      </c>
      <c r="F1359" t="inlineStr">
        <is>
          <t>Kommuner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13785-2023</t>
        </is>
      </c>
      <c r="B1360" s="1" t="n">
        <v>45007</v>
      </c>
      <c r="C1360" s="1" t="n">
        <v>45574</v>
      </c>
      <c r="D1360" t="inlineStr">
        <is>
          <t>VÄRMLANDS LÄN</t>
        </is>
      </c>
      <c r="E1360" t="inlineStr">
        <is>
          <t>TORSBY</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13723-2023</t>
        </is>
      </c>
      <c r="B1361" s="1" t="n">
        <v>45007</v>
      </c>
      <c r="C1361" s="1" t="n">
        <v>45574</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14293-2023</t>
        </is>
      </c>
      <c r="B1362" s="1" t="n">
        <v>45011</v>
      </c>
      <c r="C1362" s="1" t="n">
        <v>45574</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14304-2023</t>
        </is>
      </c>
      <c r="B1363" s="1" t="n">
        <v>45011</v>
      </c>
      <c r="C1363" s="1" t="n">
        <v>45574</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14303-2023</t>
        </is>
      </c>
      <c r="B1364" s="1" t="n">
        <v>45011</v>
      </c>
      <c r="C1364" s="1" t="n">
        <v>45574</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14292-2023</t>
        </is>
      </c>
      <c r="B1365" s="1" t="n">
        <v>45011</v>
      </c>
      <c r="C1365" s="1" t="n">
        <v>45574</v>
      </c>
      <c r="D1365" t="inlineStr">
        <is>
          <t>VÄRMLANDS LÄN</t>
        </is>
      </c>
      <c r="E1365" t="inlineStr">
        <is>
          <t>TORSBY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14592-2023</t>
        </is>
      </c>
      <c r="B1366" s="1" t="n">
        <v>45013</v>
      </c>
      <c r="C1366" s="1" t="n">
        <v>45574</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14581-2023</t>
        </is>
      </c>
      <c r="B1367" s="1" t="n">
        <v>45013</v>
      </c>
      <c r="C1367" s="1" t="n">
        <v>45574</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14624-2023</t>
        </is>
      </c>
      <c r="B1368" s="1" t="n">
        <v>45013</v>
      </c>
      <c r="C1368" s="1" t="n">
        <v>45574</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14709-2023</t>
        </is>
      </c>
      <c r="B1369" s="1" t="n">
        <v>45014</v>
      </c>
      <c r="C1369" s="1" t="n">
        <v>45574</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14945-2023</t>
        </is>
      </c>
      <c r="B1370" s="1" t="n">
        <v>45014</v>
      </c>
      <c r="C1370" s="1" t="n">
        <v>45574</v>
      </c>
      <c r="D1370" t="inlineStr">
        <is>
          <t>VÄRMLANDS LÄN</t>
        </is>
      </c>
      <c r="E1370" t="inlineStr">
        <is>
          <t>TORSBY</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14917-2023</t>
        </is>
      </c>
      <c r="B1371" s="1" t="n">
        <v>45015</v>
      </c>
      <c r="C1371" s="1" t="n">
        <v>45574</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15085-2023</t>
        </is>
      </c>
      <c r="B1372" s="1" t="n">
        <v>45016</v>
      </c>
      <c r="C1372" s="1" t="n">
        <v>45574</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15087-2023</t>
        </is>
      </c>
      <c r="B1373" s="1" t="n">
        <v>45016</v>
      </c>
      <c r="C1373" s="1" t="n">
        <v>45574</v>
      </c>
      <c r="D1373" t="inlineStr">
        <is>
          <t>VÄRMLANDS LÄN</t>
        </is>
      </c>
      <c r="E1373" t="inlineStr">
        <is>
          <t>TORSBY</t>
        </is>
      </c>
      <c r="F1373" t="inlineStr">
        <is>
          <t>Bergvik skog väst AB</t>
        </is>
      </c>
      <c r="G1373" t="n">
        <v>11.4</v>
      </c>
      <c r="H1373" t="n">
        <v>0</v>
      </c>
      <c r="I1373" t="n">
        <v>0</v>
      </c>
      <c r="J1373" t="n">
        <v>0</v>
      </c>
      <c r="K1373" t="n">
        <v>0</v>
      </c>
      <c r="L1373" t="n">
        <v>0</v>
      </c>
      <c r="M1373" t="n">
        <v>0</v>
      </c>
      <c r="N1373" t="n">
        <v>0</v>
      </c>
      <c r="O1373" t="n">
        <v>0</v>
      </c>
      <c r="P1373" t="n">
        <v>0</v>
      </c>
      <c r="Q1373" t="n">
        <v>0</v>
      </c>
      <c r="R1373" s="2" t="inlineStr"/>
    </row>
    <row r="1374" ht="15" customHeight="1">
      <c r="A1374" t="inlineStr">
        <is>
          <t>A 15413-2023</t>
        </is>
      </c>
      <c r="B1374" s="1" t="n">
        <v>45019</v>
      </c>
      <c r="C1374" s="1" t="n">
        <v>45574</v>
      </c>
      <c r="D1374" t="inlineStr">
        <is>
          <t>VÄRMLANDS LÄN</t>
        </is>
      </c>
      <c r="E1374" t="inlineStr">
        <is>
          <t>TORSBY</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15450-2023</t>
        </is>
      </c>
      <c r="B1375" s="1" t="n">
        <v>45020</v>
      </c>
      <c r="C1375" s="1" t="n">
        <v>45574</v>
      </c>
      <c r="D1375" t="inlineStr">
        <is>
          <t>VÄRMLANDS LÄN</t>
        </is>
      </c>
      <c r="E1375" t="inlineStr">
        <is>
          <t>TORSBY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15488-2023</t>
        </is>
      </c>
      <c r="B1376" s="1" t="n">
        <v>45020</v>
      </c>
      <c r="C1376" s="1" t="n">
        <v>45574</v>
      </c>
      <c r="D1376" t="inlineStr">
        <is>
          <t>VÄRMLANDS LÄN</t>
        </is>
      </c>
      <c r="E1376" t="inlineStr">
        <is>
          <t>TORSBY</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15773-2023</t>
        </is>
      </c>
      <c r="B1377" s="1" t="n">
        <v>45021</v>
      </c>
      <c r="C1377" s="1" t="n">
        <v>45574</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16093-2023</t>
        </is>
      </c>
      <c r="B1378" s="1" t="n">
        <v>45021</v>
      </c>
      <c r="C1378" s="1" t="n">
        <v>45574</v>
      </c>
      <c r="D1378" t="inlineStr">
        <is>
          <t>VÄRMLANDS LÄN</t>
        </is>
      </c>
      <c r="E1378" t="inlineStr">
        <is>
          <t>TORSBY</t>
        </is>
      </c>
      <c r="F1378" t="inlineStr">
        <is>
          <t>Övriga statliga verk och myndigheter</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16121-2023</t>
        </is>
      </c>
      <c r="B1379" s="1" t="n">
        <v>45022</v>
      </c>
      <c r="C1379" s="1" t="n">
        <v>45574</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16416-2023</t>
        </is>
      </c>
      <c r="B1380" s="1" t="n">
        <v>45022</v>
      </c>
      <c r="C1380" s="1" t="n">
        <v>45574</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16433-2023</t>
        </is>
      </c>
      <c r="B1381" s="1" t="n">
        <v>45022</v>
      </c>
      <c r="C1381" s="1" t="n">
        <v>45574</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16427-2023</t>
        </is>
      </c>
      <c r="B1382" s="1" t="n">
        <v>45022</v>
      </c>
      <c r="C1382" s="1" t="n">
        <v>45574</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15992-2023</t>
        </is>
      </c>
      <c r="B1383" s="1" t="n">
        <v>45023</v>
      </c>
      <c r="C1383" s="1" t="n">
        <v>45574</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16044-2023</t>
        </is>
      </c>
      <c r="B1384" s="1" t="n">
        <v>45027</v>
      </c>
      <c r="C1384" s="1" t="n">
        <v>45574</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16309-2023</t>
        </is>
      </c>
      <c r="B1385" s="1" t="n">
        <v>45028</v>
      </c>
      <c r="C1385" s="1" t="n">
        <v>45574</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16313-2023</t>
        </is>
      </c>
      <c r="B1386" s="1" t="n">
        <v>45028</v>
      </c>
      <c r="C1386" s="1" t="n">
        <v>45574</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16317-2023</t>
        </is>
      </c>
      <c r="B1387" s="1" t="n">
        <v>45028</v>
      </c>
      <c r="C1387" s="1" t="n">
        <v>45574</v>
      </c>
      <c r="D1387" t="inlineStr">
        <is>
          <t>VÄRMLANDS LÄN</t>
        </is>
      </c>
      <c r="E1387" t="inlineStr">
        <is>
          <t>TORSBY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16919-2023</t>
        </is>
      </c>
      <c r="B1388" s="1" t="n">
        <v>45033</v>
      </c>
      <c r="C1388" s="1" t="n">
        <v>45574</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16945-2023</t>
        </is>
      </c>
      <c r="B1389" s="1" t="n">
        <v>45033</v>
      </c>
      <c r="C1389" s="1" t="n">
        <v>45574</v>
      </c>
      <c r="D1389" t="inlineStr">
        <is>
          <t>VÄRMLANDS LÄN</t>
        </is>
      </c>
      <c r="E1389" t="inlineStr">
        <is>
          <t>TORSBY</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16943-2023</t>
        </is>
      </c>
      <c r="B1390" s="1" t="n">
        <v>45033</v>
      </c>
      <c r="C1390" s="1" t="n">
        <v>45574</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17184-2023</t>
        </is>
      </c>
      <c r="B1391" s="1" t="n">
        <v>45034</v>
      </c>
      <c r="C1391" s="1" t="n">
        <v>45574</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17188-2023</t>
        </is>
      </c>
      <c r="B1392" s="1" t="n">
        <v>45034</v>
      </c>
      <c r="C1392" s="1" t="n">
        <v>45574</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17554-2023</t>
        </is>
      </c>
      <c r="B1393" s="1" t="n">
        <v>45034</v>
      </c>
      <c r="C1393" s="1" t="n">
        <v>45574</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17300-2023</t>
        </is>
      </c>
      <c r="B1394" s="1" t="n">
        <v>45035</v>
      </c>
      <c r="C1394" s="1" t="n">
        <v>45574</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17322-2023</t>
        </is>
      </c>
      <c r="B1395" s="1" t="n">
        <v>45035</v>
      </c>
      <c r="C1395" s="1" t="n">
        <v>45574</v>
      </c>
      <c r="D1395" t="inlineStr">
        <is>
          <t>VÄRMLANDS LÄN</t>
        </is>
      </c>
      <c r="E1395" t="inlineStr">
        <is>
          <t>TORSBY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17328-2023</t>
        </is>
      </c>
      <c r="B1396" s="1" t="n">
        <v>45035</v>
      </c>
      <c r="C1396" s="1" t="n">
        <v>45574</v>
      </c>
      <c r="D1396" t="inlineStr">
        <is>
          <t>VÄRMLANDS LÄN</t>
        </is>
      </c>
      <c r="E1396" t="inlineStr">
        <is>
          <t>TORSBY</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17548-2023</t>
        </is>
      </c>
      <c r="B1397" s="1" t="n">
        <v>45036</v>
      </c>
      <c r="C1397" s="1" t="n">
        <v>45574</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17488-2023</t>
        </is>
      </c>
      <c r="B1398" s="1" t="n">
        <v>45036</v>
      </c>
      <c r="C1398" s="1" t="n">
        <v>45574</v>
      </c>
      <c r="D1398" t="inlineStr">
        <is>
          <t>VÄRMLANDS LÄN</t>
        </is>
      </c>
      <c r="E1398" t="inlineStr">
        <is>
          <t>TORSBY</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17546-2023</t>
        </is>
      </c>
      <c r="B1399" s="1" t="n">
        <v>45036</v>
      </c>
      <c r="C1399" s="1" t="n">
        <v>45574</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17898-2023</t>
        </is>
      </c>
      <c r="B1400" s="1" t="n">
        <v>45039</v>
      </c>
      <c r="C1400" s="1" t="n">
        <v>45574</v>
      </c>
      <c r="D1400" t="inlineStr">
        <is>
          <t>VÄRMLANDS LÄN</t>
        </is>
      </c>
      <c r="E1400" t="inlineStr">
        <is>
          <t>TORSBY</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17897-2023</t>
        </is>
      </c>
      <c r="B1401" s="1" t="n">
        <v>45039</v>
      </c>
      <c r="C1401" s="1" t="n">
        <v>45574</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18244-2023</t>
        </is>
      </c>
      <c r="B1402" s="1" t="n">
        <v>45041</v>
      </c>
      <c r="C1402" s="1" t="n">
        <v>45574</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18338-2023</t>
        </is>
      </c>
      <c r="B1403" s="1" t="n">
        <v>45041</v>
      </c>
      <c r="C1403" s="1" t="n">
        <v>45574</v>
      </c>
      <c r="D1403" t="inlineStr">
        <is>
          <t>VÄRMLANDS LÄN</t>
        </is>
      </c>
      <c r="E1403" t="inlineStr">
        <is>
          <t>TORSBY</t>
        </is>
      </c>
      <c r="F1403" t="inlineStr">
        <is>
          <t>Bergvik skog väst AB</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18544-2023</t>
        </is>
      </c>
      <c r="B1404" s="1" t="n">
        <v>45041</v>
      </c>
      <c r="C1404" s="1" t="n">
        <v>45574</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18411-2023</t>
        </is>
      </c>
      <c r="B1405" s="1" t="n">
        <v>45042</v>
      </c>
      <c r="C1405" s="1" t="n">
        <v>45574</v>
      </c>
      <c r="D1405" t="inlineStr">
        <is>
          <t>VÄRMLANDS LÄN</t>
        </is>
      </c>
      <c r="E1405" t="inlineStr">
        <is>
          <t>TORSBY</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18621-2023</t>
        </is>
      </c>
      <c r="B1406" s="1" t="n">
        <v>45043</v>
      </c>
      <c r="C1406" s="1" t="n">
        <v>45574</v>
      </c>
      <c r="D1406" t="inlineStr">
        <is>
          <t>VÄRMLANDS LÄN</t>
        </is>
      </c>
      <c r="E1406" t="inlineStr">
        <is>
          <t>TORSBY</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18675-2023</t>
        </is>
      </c>
      <c r="B1407" s="1" t="n">
        <v>45043</v>
      </c>
      <c r="C1407" s="1" t="n">
        <v>45574</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18876-2023</t>
        </is>
      </c>
      <c r="B1408" s="1" t="n">
        <v>45044</v>
      </c>
      <c r="C1408" s="1" t="n">
        <v>45574</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19042-2023</t>
        </is>
      </c>
      <c r="B1409" s="1" t="n">
        <v>45047</v>
      </c>
      <c r="C1409" s="1" t="n">
        <v>45574</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19527-2023</t>
        </is>
      </c>
      <c r="B1410" s="1" t="n">
        <v>45050</v>
      </c>
      <c r="C1410" s="1" t="n">
        <v>45574</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19675-2023</t>
        </is>
      </c>
      <c r="B1411" s="1" t="n">
        <v>45051</v>
      </c>
      <c r="C1411" s="1" t="n">
        <v>45574</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19714-2023</t>
        </is>
      </c>
      <c r="B1412" s="1" t="n">
        <v>45051</v>
      </c>
      <c r="C1412" s="1" t="n">
        <v>45574</v>
      </c>
      <c r="D1412" t="inlineStr">
        <is>
          <t>VÄRMLANDS LÄN</t>
        </is>
      </c>
      <c r="E1412" t="inlineStr">
        <is>
          <t>TORSBY</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19998-2023</t>
        </is>
      </c>
      <c r="B1413" s="1" t="n">
        <v>45054</v>
      </c>
      <c r="C1413" s="1" t="n">
        <v>45574</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v>
      </c>
      <c r="C1414" s="1" t="n">
        <v>45574</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20107-2023</t>
        </is>
      </c>
      <c r="B1415" s="1" t="n">
        <v>45055</v>
      </c>
      <c r="C1415" s="1" t="n">
        <v>45574</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20120-2023</t>
        </is>
      </c>
      <c r="B1416" s="1" t="n">
        <v>45055</v>
      </c>
      <c r="C1416" s="1" t="n">
        <v>45574</v>
      </c>
      <c r="D1416" t="inlineStr">
        <is>
          <t>VÄRMLANDS LÄN</t>
        </is>
      </c>
      <c r="E1416" t="inlineStr">
        <is>
          <t>TORSBY</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20127-2023</t>
        </is>
      </c>
      <c r="B1417" s="1" t="n">
        <v>45055</v>
      </c>
      <c r="C1417" s="1" t="n">
        <v>45574</v>
      </c>
      <c r="D1417" t="inlineStr">
        <is>
          <t>VÄRMLANDS LÄN</t>
        </is>
      </c>
      <c r="E1417" t="inlineStr">
        <is>
          <t>TORSBY</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20805-2023</t>
        </is>
      </c>
      <c r="B1418" s="1" t="n">
        <v>45055</v>
      </c>
      <c r="C1418" s="1" t="n">
        <v>45574</v>
      </c>
      <c r="D1418" t="inlineStr">
        <is>
          <t>VÄRMLANDS LÄN</t>
        </is>
      </c>
      <c r="E1418" t="inlineStr">
        <is>
          <t>TORSBY</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20293-2023</t>
        </is>
      </c>
      <c r="B1419" s="1" t="n">
        <v>45056</v>
      </c>
      <c r="C1419" s="1" t="n">
        <v>45574</v>
      </c>
      <c r="D1419" t="inlineStr">
        <is>
          <t>VÄRMLANDS LÄN</t>
        </is>
      </c>
      <c r="E1419" t="inlineStr">
        <is>
          <t>TORSBY</t>
        </is>
      </c>
      <c r="F1419" t="inlineStr">
        <is>
          <t>Kyrkan</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20321-2023</t>
        </is>
      </c>
      <c r="B1420" s="1" t="n">
        <v>45056</v>
      </c>
      <c r="C1420" s="1" t="n">
        <v>45574</v>
      </c>
      <c r="D1420" t="inlineStr">
        <is>
          <t>VÄRMLANDS LÄN</t>
        </is>
      </c>
      <c r="E1420" t="inlineStr">
        <is>
          <t>TORSBY</t>
        </is>
      </c>
      <c r="F1420" t="inlineStr">
        <is>
          <t>Kyrkan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20393-2023</t>
        </is>
      </c>
      <c r="B1421" s="1" t="n">
        <v>45056</v>
      </c>
      <c r="C1421" s="1" t="n">
        <v>45574</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20298-2023</t>
        </is>
      </c>
      <c r="B1422" s="1" t="n">
        <v>45056</v>
      </c>
      <c r="C1422" s="1" t="n">
        <v>45574</v>
      </c>
      <c r="D1422" t="inlineStr">
        <is>
          <t>VÄRMLANDS LÄN</t>
        </is>
      </c>
      <c r="E1422" t="inlineStr">
        <is>
          <t>TORSBY</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20847-2023</t>
        </is>
      </c>
      <c r="B1423" s="1" t="n">
        <v>45056</v>
      </c>
      <c r="C1423" s="1" t="n">
        <v>45574</v>
      </c>
      <c r="D1423" t="inlineStr">
        <is>
          <t>VÄRMLANDS LÄN</t>
        </is>
      </c>
      <c r="E1423" t="inlineStr">
        <is>
          <t>TORSBY</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20528-2023</t>
        </is>
      </c>
      <c r="B1424" s="1" t="n">
        <v>45057</v>
      </c>
      <c r="C1424" s="1" t="n">
        <v>45574</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20757-2023</t>
        </is>
      </c>
      <c r="B1425" s="1" t="n">
        <v>45058</v>
      </c>
      <c r="C1425" s="1" t="n">
        <v>45574</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20831-2023</t>
        </is>
      </c>
      <c r="B1426" s="1" t="n">
        <v>45058</v>
      </c>
      <c r="C1426" s="1" t="n">
        <v>45574</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20648-2023</t>
        </is>
      </c>
      <c r="B1427" s="1" t="n">
        <v>45058</v>
      </c>
      <c r="C1427" s="1" t="n">
        <v>45574</v>
      </c>
      <c r="D1427" t="inlineStr">
        <is>
          <t>VÄRMLANDS LÄN</t>
        </is>
      </c>
      <c r="E1427" t="inlineStr">
        <is>
          <t>TORSBY</t>
        </is>
      </c>
      <c r="F1427" t="inlineStr">
        <is>
          <t>Kyrkan</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20740-2023</t>
        </is>
      </c>
      <c r="B1428" s="1" t="n">
        <v>45058</v>
      </c>
      <c r="C1428" s="1" t="n">
        <v>45574</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20737-2023</t>
        </is>
      </c>
      <c r="B1429" s="1" t="n">
        <v>45058</v>
      </c>
      <c r="C1429" s="1" t="n">
        <v>45574</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20829-2023</t>
        </is>
      </c>
      <c r="B1430" s="1" t="n">
        <v>45058</v>
      </c>
      <c r="C1430" s="1" t="n">
        <v>45574</v>
      </c>
      <c r="D1430" t="inlineStr">
        <is>
          <t>VÄRMLANDS LÄN</t>
        </is>
      </c>
      <c r="E1430" t="inlineStr">
        <is>
          <t>TORSBY</t>
        </is>
      </c>
      <c r="F1430" t="inlineStr">
        <is>
          <t>Bergvik skog väst AB</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20830-2023</t>
        </is>
      </c>
      <c r="B1431" s="1" t="n">
        <v>45058</v>
      </c>
      <c r="C1431" s="1" t="n">
        <v>45574</v>
      </c>
      <c r="D1431" t="inlineStr">
        <is>
          <t>VÄRMLANDS LÄN</t>
        </is>
      </c>
      <c r="E1431" t="inlineStr">
        <is>
          <t>TORSBY</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20679-2023</t>
        </is>
      </c>
      <c r="B1432" s="1" t="n">
        <v>45058</v>
      </c>
      <c r="C1432" s="1" t="n">
        <v>45574</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20721-2023</t>
        </is>
      </c>
      <c r="B1433" s="1" t="n">
        <v>45058</v>
      </c>
      <c r="C1433" s="1" t="n">
        <v>45574</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20733-2023</t>
        </is>
      </c>
      <c r="B1434" s="1" t="n">
        <v>45058</v>
      </c>
      <c r="C1434" s="1" t="n">
        <v>45574</v>
      </c>
      <c r="D1434" t="inlineStr">
        <is>
          <t>VÄRMLANDS LÄN</t>
        </is>
      </c>
      <c r="E1434" t="inlineStr">
        <is>
          <t>TORSBY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20745-2023</t>
        </is>
      </c>
      <c r="B1435" s="1" t="n">
        <v>45058</v>
      </c>
      <c r="C1435" s="1" t="n">
        <v>45574</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21258-2023</t>
        </is>
      </c>
      <c r="B1436" s="1" t="n">
        <v>45058</v>
      </c>
      <c r="C1436" s="1" t="n">
        <v>45574</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21255-2023</t>
        </is>
      </c>
      <c r="B1437" s="1" t="n">
        <v>45058</v>
      </c>
      <c r="C1437" s="1" t="n">
        <v>45574</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20898-2023</t>
        </is>
      </c>
      <c r="B1438" s="1" t="n">
        <v>45059</v>
      </c>
      <c r="C1438" s="1" t="n">
        <v>45574</v>
      </c>
      <c r="D1438" t="inlineStr">
        <is>
          <t>VÄRMLANDS LÄN</t>
        </is>
      </c>
      <c r="E1438" t="inlineStr">
        <is>
          <t>TORSBY</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21076-2023</t>
        </is>
      </c>
      <c r="B1439" s="1" t="n">
        <v>45061</v>
      </c>
      <c r="C1439" s="1" t="n">
        <v>45574</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21033-2023</t>
        </is>
      </c>
      <c r="B1440" s="1" t="n">
        <v>45061</v>
      </c>
      <c r="C1440" s="1" t="n">
        <v>45574</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21078-2023</t>
        </is>
      </c>
      <c r="B1441" s="1" t="n">
        <v>45061</v>
      </c>
      <c r="C1441" s="1" t="n">
        <v>45574</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21158-2023</t>
        </is>
      </c>
      <c r="B1442" s="1" t="n">
        <v>45062</v>
      </c>
      <c r="C1442" s="1" t="n">
        <v>45574</v>
      </c>
      <c r="D1442" t="inlineStr">
        <is>
          <t>VÄRMLANDS LÄN</t>
        </is>
      </c>
      <c r="E1442" t="inlineStr">
        <is>
          <t>TORSBY</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21189-2023</t>
        </is>
      </c>
      <c r="B1443" s="1" t="n">
        <v>45062</v>
      </c>
      <c r="C1443" s="1" t="n">
        <v>45574</v>
      </c>
      <c r="D1443" t="inlineStr">
        <is>
          <t>VÄRMLANDS LÄN</t>
        </is>
      </c>
      <c r="E1443" t="inlineStr">
        <is>
          <t>TORSBY</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21154-2023</t>
        </is>
      </c>
      <c r="B1444" s="1" t="n">
        <v>45062</v>
      </c>
      <c r="C1444" s="1" t="n">
        <v>45574</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21409-2023</t>
        </is>
      </c>
      <c r="B1445" s="1" t="n">
        <v>45063</v>
      </c>
      <c r="C1445" s="1" t="n">
        <v>45574</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21365-2023</t>
        </is>
      </c>
      <c r="B1446" s="1" t="n">
        <v>45063</v>
      </c>
      <c r="C1446" s="1" t="n">
        <v>45574</v>
      </c>
      <c r="D1446" t="inlineStr">
        <is>
          <t>VÄRMLANDS LÄN</t>
        </is>
      </c>
      <c r="E1446" t="inlineStr">
        <is>
          <t>TORSBY</t>
        </is>
      </c>
      <c r="F1446" t="inlineStr">
        <is>
          <t>Kyrkan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21390-2023</t>
        </is>
      </c>
      <c r="B1447" s="1" t="n">
        <v>45063</v>
      </c>
      <c r="C1447" s="1" t="n">
        <v>45574</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21411-2023</t>
        </is>
      </c>
      <c r="B1448" s="1" t="n">
        <v>45063</v>
      </c>
      <c r="C1448" s="1" t="n">
        <v>45574</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21786-2023</t>
        </is>
      </c>
      <c r="B1449" s="1" t="n">
        <v>45066</v>
      </c>
      <c r="C1449" s="1" t="n">
        <v>45574</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21790-2023</t>
        </is>
      </c>
      <c r="B1450" s="1" t="n">
        <v>45067</v>
      </c>
      <c r="C1450" s="1" t="n">
        <v>45574</v>
      </c>
      <c r="D1450" t="inlineStr">
        <is>
          <t>VÄRMLANDS LÄN</t>
        </is>
      </c>
      <c r="E1450" t="inlineStr">
        <is>
          <t>TORSBY</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21839-2023</t>
        </is>
      </c>
      <c r="B1451" s="1" t="n">
        <v>45068</v>
      </c>
      <c r="C1451" s="1" t="n">
        <v>45574</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21847-2023</t>
        </is>
      </c>
      <c r="B1452" s="1" t="n">
        <v>45068</v>
      </c>
      <c r="C1452" s="1" t="n">
        <v>45574</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21988-2023</t>
        </is>
      </c>
      <c r="B1453" s="1" t="n">
        <v>45068</v>
      </c>
      <c r="C1453" s="1" t="n">
        <v>45574</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21912-2023</t>
        </is>
      </c>
      <c r="B1454" s="1" t="n">
        <v>45068</v>
      </c>
      <c r="C1454" s="1" t="n">
        <v>45574</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22089-2023</t>
        </is>
      </c>
      <c r="B1455" s="1" t="n">
        <v>45069</v>
      </c>
      <c r="C1455" s="1" t="n">
        <v>45574</v>
      </c>
      <c r="D1455" t="inlineStr">
        <is>
          <t>VÄRMLANDS LÄN</t>
        </is>
      </c>
      <c r="E1455" t="inlineStr">
        <is>
          <t>TORSBY</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22030-2023</t>
        </is>
      </c>
      <c r="B1456" s="1" t="n">
        <v>45069</v>
      </c>
      <c r="C1456" s="1" t="n">
        <v>45574</v>
      </c>
      <c r="D1456" t="inlineStr">
        <is>
          <t>VÄRMLANDS LÄN</t>
        </is>
      </c>
      <c r="E1456" t="inlineStr">
        <is>
          <t>TORSBY</t>
        </is>
      </c>
      <c r="F1456" t="inlineStr">
        <is>
          <t>Bergvik skog väst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22038-2023</t>
        </is>
      </c>
      <c r="B1457" s="1" t="n">
        <v>45069</v>
      </c>
      <c r="C1457" s="1" t="n">
        <v>45574</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22033-2023</t>
        </is>
      </c>
      <c r="B1458" s="1" t="n">
        <v>45069</v>
      </c>
      <c r="C1458" s="1" t="n">
        <v>45574</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22386-2023</t>
        </is>
      </c>
      <c r="B1459" s="1" t="n">
        <v>45070</v>
      </c>
      <c r="C1459" s="1" t="n">
        <v>45574</v>
      </c>
      <c r="D1459" t="inlineStr">
        <is>
          <t>VÄRMLANDS LÄN</t>
        </is>
      </c>
      <c r="E1459" t="inlineStr">
        <is>
          <t>TORSBY</t>
        </is>
      </c>
      <c r="F1459" t="inlineStr">
        <is>
          <t>Bergvik skog väst AB</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22301-2023</t>
        </is>
      </c>
      <c r="B1460" s="1" t="n">
        <v>45070</v>
      </c>
      <c r="C1460" s="1" t="n">
        <v>45574</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23073-2023</t>
        </is>
      </c>
      <c r="B1461" s="1" t="n">
        <v>45070</v>
      </c>
      <c r="C1461" s="1" t="n">
        <v>45574</v>
      </c>
      <c r="D1461" t="inlineStr">
        <is>
          <t>VÄRMLANDS LÄN</t>
        </is>
      </c>
      <c r="E1461" t="inlineStr">
        <is>
          <t>TORSBY</t>
        </is>
      </c>
      <c r="G1461" t="n">
        <v>15.1</v>
      </c>
      <c r="H1461" t="n">
        <v>0</v>
      </c>
      <c r="I1461" t="n">
        <v>0</v>
      </c>
      <c r="J1461" t="n">
        <v>0</v>
      </c>
      <c r="K1461" t="n">
        <v>0</v>
      </c>
      <c r="L1461" t="n">
        <v>0</v>
      </c>
      <c r="M1461" t="n">
        <v>0</v>
      </c>
      <c r="N1461" t="n">
        <v>0</v>
      </c>
      <c r="O1461" t="n">
        <v>0</v>
      </c>
      <c r="P1461" t="n">
        <v>0</v>
      </c>
      <c r="Q1461" t="n">
        <v>0</v>
      </c>
      <c r="R1461" s="2" t="inlineStr"/>
    </row>
    <row r="1462" ht="15" customHeight="1">
      <c r="A1462" t="inlineStr">
        <is>
          <t>A 22920-2023</t>
        </is>
      </c>
      <c r="B1462" s="1" t="n">
        <v>45070</v>
      </c>
      <c r="C1462" s="1" t="n">
        <v>45574</v>
      </c>
      <c r="D1462" t="inlineStr">
        <is>
          <t>VÄRMLANDS LÄN</t>
        </is>
      </c>
      <c r="E1462" t="inlineStr">
        <is>
          <t>TORSBY</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22494-2023</t>
        </is>
      </c>
      <c r="B1463" s="1" t="n">
        <v>45071</v>
      </c>
      <c r="C1463" s="1" t="n">
        <v>45574</v>
      </c>
      <c r="D1463" t="inlineStr">
        <is>
          <t>VÄRMLANDS LÄN</t>
        </is>
      </c>
      <c r="E1463" t="inlineStr">
        <is>
          <t>TORSBY</t>
        </is>
      </c>
      <c r="F1463" t="inlineStr">
        <is>
          <t>Bergvik skog väst AB</t>
        </is>
      </c>
      <c r="G1463" t="n">
        <v>25.7</v>
      </c>
      <c r="H1463" t="n">
        <v>0</v>
      </c>
      <c r="I1463" t="n">
        <v>0</v>
      </c>
      <c r="J1463" t="n">
        <v>0</v>
      </c>
      <c r="K1463" t="n">
        <v>0</v>
      </c>
      <c r="L1463" t="n">
        <v>0</v>
      </c>
      <c r="M1463" t="n">
        <v>0</v>
      </c>
      <c r="N1463" t="n">
        <v>0</v>
      </c>
      <c r="O1463" t="n">
        <v>0</v>
      </c>
      <c r="P1463" t="n">
        <v>0</v>
      </c>
      <c r="Q1463" t="n">
        <v>0</v>
      </c>
      <c r="R1463" s="2" t="inlineStr"/>
    </row>
    <row r="1464" ht="15" customHeight="1">
      <c r="A1464" t="inlineStr">
        <is>
          <t>A 22524-2023</t>
        </is>
      </c>
      <c r="B1464" s="1" t="n">
        <v>45071</v>
      </c>
      <c r="C1464" s="1" t="n">
        <v>45574</v>
      </c>
      <c r="D1464" t="inlineStr">
        <is>
          <t>VÄRMLANDS LÄN</t>
        </is>
      </c>
      <c r="E1464" t="inlineStr">
        <is>
          <t>TORSBY</t>
        </is>
      </c>
      <c r="F1464" t="inlineStr">
        <is>
          <t>Bergvik skog väst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22587-2023</t>
        </is>
      </c>
      <c r="B1465" s="1" t="n">
        <v>45071</v>
      </c>
      <c r="C1465" s="1" t="n">
        <v>45574</v>
      </c>
      <c r="D1465" t="inlineStr">
        <is>
          <t>VÄRMLANDS LÄN</t>
        </is>
      </c>
      <c r="E1465" t="inlineStr">
        <is>
          <t>TORSBY</t>
        </is>
      </c>
      <c r="F1465" t="inlineStr">
        <is>
          <t>Bergvik skog väst AB</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22618-2023</t>
        </is>
      </c>
      <c r="B1466" s="1" t="n">
        <v>45071</v>
      </c>
      <c r="C1466" s="1" t="n">
        <v>45574</v>
      </c>
      <c r="D1466" t="inlineStr">
        <is>
          <t>VÄRMLANDS LÄN</t>
        </is>
      </c>
      <c r="E1466" t="inlineStr">
        <is>
          <t>TORSBY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22655-2023</t>
        </is>
      </c>
      <c r="B1467" s="1" t="n">
        <v>45071</v>
      </c>
      <c r="C1467" s="1" t="n">
        <v>45574</v>
      </c>
      <c r="D1467" t="inlineStr">
        <is>
          <t>VÄRMLANDS LÄN</t>
        </is>
      </c>
      <c r="E1467" t="inlineStr">
        <is>
          <t>TORSBY</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22705-2023</t>
        </is>
      </c>
      <c r="B1468" s="1" t="n">
        <v>45071</v>
      </c>
      <c r="C1468" s="1" t="n">
        <v>45574</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22687-2023</t>
        </is>
      </c>
      <c r="B1469" s="1" t="n">
        <v>45071</v>
      </c>
      <c r="C1469" s="1" t="n">
        <v>45574</v>
      </c>
      <c r="D1469" t="inlineStr">
        <is>
          <t>VÄRMLANDS LÄN</t>
        </is>
      </c>
      <c r="E1469" t="inlineStr">
        <is>
          <t>TORSBY</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22634-2023</t>
        </is>
      </c>
      <c r="B1470" s="1" t="n">
        <v>45071</v>
      </c>
      <c r="C1470" s="1" t="n">
        <v>45574</v>
      </c>
      <c r="D1470" t="inlineStr">
        <is>
          <t>VÄRMLANDS LÄN</t>
        </is>
      </c>
      <c r="E1470" t="inlineStr">
        <is>
          <t>TORSBY</t>
        </is>
      </c>
      <c r="F1470" t="inlineStr">
        <is>
          <t>Bergvik skog väst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22675-2023</t>
        </is>
      </c>
      <c r="B1471" s="1" t="n">
        <v>45071</v>
      </c>
      <c r="C1471" s="1" t="n">
        <v>45574</v>
      </c>
      <c r="D1471" t="inlineStr">
        <is>
          <t>VÄRMLANDS LÄN</t>
        </is>
      </c>
      <c r="E1471" t="inlineStr">
        <is>
          <t>TORSBY</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22702-2023</t>
        </is>
      </c>
      <c r="B1472" s="1" t="n">
        <v>45071</v>
      </c>
      <c r="C1472" s="1" t="n">
        <v>45574</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22939-2023</t>
        </is>
      </c>
      <c r="B1473" s="1" t="n">
        <v>45072</v>
      </c>
      <c r="C1473" s="1" t="n">
        <v>45574</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22943-2023</t>
        </is>
      </c>
      <c r="B1474" s="1" t="n">
        <v>45072</v>
      </c>
      <c r="C1474" s="1" t="n">
        <v>45574</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23572-2023</t>
        </is>
      </c>
      <c r="B1475" s="1" t="n">
        <v>45077</v>
      </c>
      <c r="C1475" s="1" t="n">
        <v>45574</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23624-2023</t>
        </is>
      </c>
      <c r="B1476" s="1" t="n">
        <v>45077</v>
      </c>
      <c r="C1476" s="1" t="n">
        <v>45574</v>
      </c>
      <c r="D1476" t="inlineStr">
        <is>
          <t>VÄRMLANDS LÄN</t>
        </is>
      </c>
      <c r="E1476" t="inlineStr">
        <is>
          <t>TORSBY</t>
        </is>
      </c>
      <c r="F1476" t="inlineStr">
        <is>
          <t>Bergvik skog väst AB</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23894-2023</t>
        </is>
      </c>
      <c r="B1477" s="1" t="n">
        <v>45078</v>
      </c>
      <c r="C1477" s="1" t="n">
        <v>45574</v>
      </c>
      <c r="D1477" t="inlineStr">
        <is>
          <t>VÄRMLANDS LÄN</t>
        </is>
      </c>
      <c r="E1477" t="inlineStr">
        <is>
          <t>TORSBY</t>
        </is>
      </c>
      <c r="F1477" t="inlineStr">
        <is>
          <t>Bergvik skog väst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23912-2023</t>
        </is>
      </c>
      <c r="B1478" s="1" t="n">
        <v>45078</v>
      </c>
      <c r="C1478" s="1" t="n">
        <v>45574</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24244-2023</t>
        </is>
      </c>
      <c r="B1479" s="1" t="n">
        <v>45079</v>
      </c>
      <c r="C1479" s="1" t="n">
        <v>45574</v>
      </c>
      <c r="D1479" t="inlineStr">
        <is>
          <t>VÄRMLANDS LÄN</t>
        </is>
      </c>
      <c r="E1479" t="inlineStr">
        <is>
          <t>TORSBY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24170-2023</t>
        </is>
      </c>
      <c r="B1480" s="1" t="n">
        <v>45079</v>
      </c>
      <c r="C1480" s="1" t="n">
        <v>45574</v>
      </c>
      <c r="D1480" t="inlineStr">
        <is>
          <t>VÄRMLANDS LÄN</t>
        </is>
      </c>
      <c r="E1480" t="inlineStr">
        <is>
          <t>TORSBY</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24101-2023</t>
        </is>
      </c>
      <c r="B1481" s="1" t="n">
        <v>45079</v>
      </c>
      <c r="C1481" s="1" t="n">
        <v>45574</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24196-2023</t>
        </is>
      </c>
      <c r="B1482" s="1" t="n">
        <v>45079</v>
      </c>
      <c r="C1482" s="1" t="n">
        <v>45574</v>
      </c>
      <c r="D1482" t="inlineStr">
        <is>
          <t>VÄRMLANDS LÄN</t>
        </is>
      </c>
      <c r="E1482" t="inlineStr">
        <is>
          <t>TORSBY</t>
        </is>
      </c>
      <c r="F1482" t="inlineStr">
        <is>
          <t>Bergvik skog väst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24518-2023</t>
        </is>
      </c>
      <c r="B1483" s="1" t="n">
        <v>45082</v>
      </c>
      <c r="C1483" s="1" t="n">
        <v>45574</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24696-2023</t>
        </is>
      </c>
      <c r="B1484" s="1" t="n">
        <v>45084</v>
      </c>
      <c r="C1484" s="1" t="n">
        <v>45574</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24639-2023</t>
        </is>
      </c>
      <c r="B1485" s="1" t="n">
        <v>45084</v>
      </c>
      <c r="C1485" s="1" t="n">
        <v>45574</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24643-2023</t>
        </is>
      </c>
      <c r="B1486" s="1" t="n">
        <v>45084</v>
      </c>
      <c r="C1486" s="1" t="n">
        <v>45574</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24703-2023</t>
        </is>
      </c>
      <c r="B1487" s="1" t="n">
        <v>45084</v>
      </c>
      <c r="C1487" s="1" t="n">
        <v>45574</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24849-2023</t>
        </is>
      </c>
      <c r="B1488" s="1" t="n">
        <v>45085</v>
      </c>
      <c r="C1488" s="1" t="n">
        <v>45574</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24896-2023</t>
        </is>
      </c>
      <c r="B1489" s="1" t="n">
        <v>45085</v>
      </c>
      <c r="C1489" s="1" t="n">
        <v>45574</v>
      </c>
      <c r="D1489" t="inlineStr">
        <is>
          <t>VÄRMLANDS LÄN</t>
        </is>
      </c>
      <c r="E1489" t="inlineStr">
        <is>
          <t>TORSBY</t>
        </is>
      </c>
      <c r="F1489" t="inlineStr">
        <is>
          <t>Bergvik skog väst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24876-2023</t>
        </is>
      </c>
      <c r="B1490" s="1" t="n">
        <v>45085</v>
      </c>
      <c r="C1490" s="1" t="n">
        <v>45574</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24909-2023</t>
        </is>
      </c>
      <c r="B1491" s="1" t="n">
        <v>45085</v>
      </c>
      <c r="C1491" s="1" t="n">
        <v>45574</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24897-2023</t>
        </is>
      </c>
      <c r="B1492" s="1" t="n">
        <v>45085</v>
      </c>
      <c r="C1492" s="1" t="n">
        <v>45574</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24847-2023</t>
        </is>
      </c>
      <c r="B1493" s="1" t="n">
        <v>45085</v>
      </c>
      <c r="C1493" s="1" t="n">
        <v>45574</v>
      </c>
      <c r="D1493" t="inlineStr">
        <is>
          <t>VÄRMLANDS LÄN</t>
        </is>
      </c>
      <c r="E1493" t="inlineStr">
        <is>
          <t>TORSBY</t>
        </is>
      </c>
      <c r="F1493" t="inlineStr">
        <is>
          <t>Kommuner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24965-2023</t>
        </is>
      </c>
      <c r="B1494" s="1" t="n">
        <v>45085</v>
      </c>
      <c r="C1494" s="1" t="n">
        <v>45574</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24969-2023</t>
        </is>
      </c>
      <c r="B1495" s="1" t="n">
        <v>45085</v>
      </c>
      <c r="C1495" s="1" t="n">
        <v>45574</v>
      </c>
      <c r="D1495" t="inlineStr">
        <is>
          <t>VÄRMLANDS LÄN</t>
        </is>
      </c>
      <c r="E1495" t="inlineStr">
        <is>
          <t>TORSBY</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25001-2023</t>
        </is>
      </c>
      <c r="B1496" s="1" t="n">
        <v>45085</v>
      </c>
      <c r="C1496" s="1" t="n">
        <v>45574</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25068-2023</t>
        </is>
      </c>
      <c r="B1497" s="1" t="n">
        <v>45085</v>
      </c>
      <c r="C1497" s="1" t="n">
        <v>45574</v>
      </c>
      <c r="D1497" t="inlineStr">
        <is>
          <t>VÄRMLANDS LÄN</t>
        </is>
      </c>
      <c r="E1497" t="inlineStr">
        <is>
          <t>TORSBY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25163-2023</t>
        </is>
      </c>
      <c r="B1498" s="1" t="n">
        <v>45086</v>
      </c>
      <c r="C1498" s="1" t="n">
        <v>45574</v>
      </c>
      <c r="D1498" t="inlineStr">
        <is>
          <t>VÄRMLANDS LÄN</t>
        </is>
      </c>
      <c r="E1498" t="inlineStr">
        <is>
          <t>TORSBY</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25088-2023</t>
        </is>
      </c>
      <c r="B1499" s="1" t="n">
        <v>45086</v>
      </c>
      <c r="C1499" s="1" t="n">
        <v>45574</v>
      </c>
      <c r="D1499" t="inlineStr">
        <is>
          <t>VÄRMLANDS LÄN</t>
        </is>
      </c>
      <c r="E1499" t="inlineStr">
        <is>
          <t>TORSBY</t>
        </is>
      </c>
      <c r="F1499" t="inlineStr">
        <is>
          <t>Bergvik skog väst AB</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25090-2023</t>
        </is>
      </c>
      <c r="B1500" s="1" t="n">
        <v>45086</v>
      </c>
      <c r="C1500" s="1" t="n">
        <v>45574</v>
      </c>
      <c r="D1500" t="inlineStr">
        <is>
          <t>VÄRMLANDS LÄN</t>
        </is>
      </c>
      <c r="E1500" t="inlineStr">
        <is>
          <t>TORSBY</t>
        </is>
      </c>
      <c r="F1500" t="inlineStr">
        <is>
          <t>Bergvik skog väst AB</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25261-2023</t>
        </is>
      </c>
      <c r="B1501" s="1" t="n">
        <v>45086</v>
      </c>
      <c r="C1501" s="1" t="n">
        <v>45574</v>
      </c>
      <c r="D1501" t="inlineStr">
        <is>
          <t>VÄRMLANDS LÄN</t>
        </is>
      </c>
      <c r="E1501" t="inlineStr">
        <is>
          <t>TORSBY</t>
        </is>
      </c>
      <c r="F1501" t="inlineStr">
        <is>
          <t>Bergvik skog väst AB</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25344-2023</t>
        </is>
      </c>
      <c r="B1502" s="1" t="n">
        <v>45087</v>
      </c>
      <c r="C1502" s="1" t="n">
        <v>45574</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25579-2023</t>
        </is>
      </c>
      <c r="B1503" s="1" t="n">
        <v>45089</v>
      </c>
      <c r="C1503" s="1" t="n">
        <v>45574</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26466-2023</t>
        </is>
      </c>
      <c r="B1504" s="1" t="n">
        <v>45089</v>
      </c>
      <c r="C1504" s="1" t="n">
        <v>45574</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26340-2023</t>
        </is>
      </c>
      <c r="B1505" s="1" t="n">
        <v>45091</v>
      </c>
      <c r="C1505" s="1" t="n">
        <v>45574</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26343-2023</t>
        </is>
      </c>
      <c r="B1506" s="1" t="n">
        <v>45091</v>
      </c>
      <c r="C1506" s="1" t="n">
        <v>45574</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26327-2023</t>
        </is>
      </c>
      <c r="B1507" s="1" t="n">
        <v>45091</v>
      </c>
      <c r="C1507" s="1" t="n">
        <v>45574</v>
      </c>
      <c r="D1507" t="inlineStr">
        <is>
          <t>VÄRMLANDS LÄN</t>
        </is>
      </c>
      <c r="E1507" t="inlineStr">
        <is>
          <t>TORSBY</t>
        </is>
      </c>
      <c r="F1507" t="inlineStr">
        <is>
          <t>Bergvik skog väst AB</t>
        </is>
      </c>
      <c r="G1507" t="n">
        <v>33.4</v>
      </c>
      <c r="H1507" t="n">
        <v>0</v>
      </c>
      <c r="I1507" t="n">
        <v>0</v>
      </c>
      <c r="J1507" t="n">
        <v>0</v>
      </c>
      <c r="K1507" t="n">
        <v>0</v>
      </c>
      <c r="L1507" t="n">
        <v>0</v>
      </c>
      <c r="M1507" t="n">
        <v>0</v>
      </c>
      <c r="N1507" t="n">
        <v>0</v>
      </c>
      <c r="O1507" t="n">
        <v>0</v>
      </c>
      <c r="P1507" t="n">
        <v>0</v>
      </c>
      <c r="Q1507" t="n">
        <v>0</v>
      </c>
      <c r="R1507" s="2" t="inlineStr"/>
    </row>
    <row r="1508" ht="15" customHeight="1">
      <c r="A1508" t="inlineStr">
        <is>
          <t>A 26080-2023</t>
        </is>
      </c>
      <c r="B1508" s="1" t="n">
        <v>45091</v>
      </c>
      <c r="C1508" s="1" t="n">
        <v>45574</v>
      </c>
      <c r="D1508" t="inlineStr">
        <is>
          <t>VÄRMLANDS LÄN</t>
        </is>
      </c>
      <c r="E1508" t="inlineStr">
        <is>
          <t>TORSBY</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26092-2023</t>
        </is>
      </c>
      <c r="B1509" s="1" t="n">
        <v>45091</v>
      </c>
      <c r="C1509" s="1" t="n">
        <v>45574</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26979-2023</t>
        </is>
      </c>
      <c r="B1510" s="1" t="n">
        <v>45091</v>
      </c>
      <c r="C1510" s="1" t="n">
        <v>45574</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26376-2023</t>
        </is>
      </c>
      <c r="B1511" s="1" t="n">
        <v>45092</v>
      </c>
      <c r="C1511" s="1" t="n">
        <v>45574</v>
      </c>
      <c r="D1511" t="inlineStr">
        <is>
          <t>VÄRMLANDS LÄN</t>
        </is>
      </c>
      <c r="E1511" t="inlineStr">
        <is>
          <t>TORSBY</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26616-2023</t>
        </is>
      </c>
      <c r="B1512" s="1" t="n">
        <v>45092</v>
      </c>
      <c r="C1512" s="1" t="n">
        <v>45574</v>
      </c>
      <c r="D1512" t="inlineStr">
        <is>
          <t>VÄRMLANDS LÄN</t>
        </is>
      </c>
      <c r="E1512" t="inlineStr">
        <is>
          <t>TORSBY</t>
        </is>
      </c>
      <c r="F1512" t="inlineStr">
        <is>
          <t>Bergvik skog väst AB</t>
        </is>
      </c>
      <c r="G1512" t="n">
        <v>30.3</v>
      </c>
      <c r="H1512" t="n">
        <v>0</v>
      </c>
      <c r="I1512" t="n">
        <v>0</v>
      </c>
      <c r="J1512" t="n">
        <v>0</v>
      </c>
      <c r="K1512" t="n">
        <v>0</v>
      </c>
      <c r="L1512" t="n">
        <v>0</v>
      </c>
      <c r="M1512" t="n">
        <v>0</v>
      </c>
      <c r="N1512" t="n">
        <v>0</v>
      </c>
      <c r="O1512" t="n">
        <v>0</v>
      </c>
      <c r="P1512" t="n">
        <v>0</v>
      </c>
      <c r="Q1512" t="n">
        <v>0</v>
      </c>
      <c r="R1512" s="2" t="inlineStr"/>
    </row>
    <row r="1513" ht="15" customHeight="1">
      <c r="A1513" t="inlineStr">
        <is>
          <t>A 26814-2023</t>
        </is>
      </c>
      <c r="B1513" s="1" t="n">
        <v>45093</v>
      </c>
      <c r="C1513" s="1" t="n">
        <v>45574</v>
      </c>
      <c r="D1513" t="inlineStr">
        <is>
          <t>VÄRMLANDS LÄN</t>
        </is>
      </c>
      <c r="E1513" t="inlineStr">
        <is>
          <t>TORSBY</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26753-2023</t>
        </is>
      </c>
      <c r="B1514" s="1" t="n">
        <v>45093</v>
      </c>
      <c r="C1514" s="1" t="n">
        <v>45574</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26855-2023</t>
        </is>
      </c>
      <c r="B1515" s="1" t="n">
        <v>45093</v>
      </c>
      <c r="C1515" s="1" t="n">
        <v>45574</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27195-2023</t>
        </is>
      </c>
      <c r="B1516" s="1" t="n">
        <v>45096</v>
      </c>
      <c r="C1516" s="1" t="n">
        <v>45574</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27332-2023</t>
        </is>
      </c>
      <c r="B1517" s="1" t="n">
        <v>45096</v>
      </c>
      <c r="C1517" s="1" t="n">
        <v>45574</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27472-2023</t>
        </is>
      </c>
      <c r="B1518" s="1" t="n">
        <v>45097</v>
      </c>
      <c r="C1518" s="1" t="n">
        <v>45574</v>
      </c>
      <c r="D1518" t="inlineStr">
        <is>
          <t>VÄRMLANDS LÄN</t>
        </is>
      </c>
      <c r="E1518" t="inlineStr">
        <is>
          <t>TORSBY</t>
        </is>
      </c>
      <c r="F1518" t="inlineStr">
        <is>
          <t>Övriga Aktiebolag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27594-2023</t>
        </is>
      </c>
      <c r="B1519" s="1" t="n">
        <v>45097</v>
      </c>
      <c r="C1519" s="1" t="n">
        <v>45574</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27458-2023</t>
        </is>
      </c>
      <c r="B1520" s="1" t="n">
        <v>45097</v>
      </c>
      <c r="C1520" s="1" t="n">
        <v>45574</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27787-2023</t>
        </is>
      </c>
      <c r="B1521" s="1" t="n">
        <v>45098</v>
      </c>
      <c r="C1521" s="1" t="n">
        <v>45574</v>
      </c>
      <c r="D1521" t="inlineStr">
        <is>
          <t>VÄRMLANDS LÄN</t>
        </is>
      </c>
      <c r="E1521" t="inlineStr">
        <is>
          <t>TORSBY</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27837-2023</t>
        </is>
      </c>
      <c r="B1522" s="1" t="n">
        <v>45098</v>
      </c>
      <c r="C1522" s="1" t="n">
        <v>45574</v>
      </c>
      <c r="D1522" t="inlineStr">
        <is>
          <t>VÄRMLANDS LÄN</t>
        </is>
      </c>
      <c r="E1522" t="inlineStr">
        <is>
          <t>TORSBY</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27851-2023</t>
        </is>
      </c>
      <c r="B1523" s="1" t="n">
        <v>45098</v>
      </c>
      <c r="C1523" s="1" t="n">
        <v>45574</v>
      </c>
      <c r="D1523" t="inlineStr">
        <is>
          <t>VÄRMLANDS LÄN</t>
        </is>
      </c>
      <c r="E1523" t="inlineStr">
        <is>
          <t>TORSBY</t>
        </is>
      </c>
      <c r="F1523" t="inlineStr">
        <is>
          <t>Bergvik skog väst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27920-2023</t>
        </is>
      </c>
      <c r="B1524" s="1" t="n">
        <v>45098</v>
      </c>
      <c r="C1524" s="1" t="n">
        <v>45574</v>
      </c>
      <c r="D1524" t="inlineStr">
        <is>
          <t>VÄRMLANDS LÄN</t>
        </is>
      </c>
      <c r="E1524" t="inlineStr">
        <is>
          <t>TORSBY</t>
        </is>
      </c>
      <c r="F1524" t="inlineStr">
        <is>
          <t>Kyrkan</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28045-2023</t>
        </is>
      </c>
      <c r="B1525" s="1" t="n">
        <v>45099</v>
      </c>
      <c r="C1525" s="1" t="n">
        <v>45574</v>
      </c>
      <c r="D1525" t="inlineStr">
        <is>
          <t>VÄRMLANDS LÄN</t>
        </is>
      </c>
      <c r="E1525" t="inlineStr">
        <is>
          <t>TORSBY</t>
        </is>
      </c>
      <c r="F1525" t="inlineStr">
        <is>
          <t>Bergvik skog väst AB</t>
        </is>
      </c>
      <c r="G1525" t="n">
        <v>11.5</v>
      </c>
      <c r="H1525" t="n">
        <v>0</v>
      </c>
      <c r="I1525" t="n">
        <v>0</v>
      </c>
      <c r="J1525" t="n">
        <v>0</v>
      </c>
      <c r="K1525" t="n">
        <v>0</v>
      </c>
      <c r="L1525" t="n">
        <v>0</v>
      </c>
      <c r="M1525" t="n">
        <v>0</v>
      </c>
      <c r="N1525" t="n">
        <v>0</v>
      </c>
      <c r="O1525" t="n">
        <v>0</v>
      </c>
      <c r="P1525" t="n">
        <v>0</v>
      </c>
      <c r="Q1525" t="n">
        <v>0</v>
      </c>
      <c r="R1525" s="2" t="inlineStr"/>
    </row>
    <row r="1526" ht="15" customHeight="1">
      <c r="A1526" t="inlineStr">
        <is>
          <t>A 28074-2023</t>
        </is>
      </c>
      <c r="B1526" s="1" t="n">
        <v>45099</v>
      </c>
      <c r="C1526" s="1" t="n">
        <v>45574</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28092-2023</t>
        </is>
      </c>
      <c r="B1527" s="1" t="n">
        <v>45099</v>
      </c>
      <c r="C1527" s="1" t="n">
        <v>45574</v>
      </c>
      <c r="D1527" t="inlineStr">
        <is>
          <t>VÄRMLANDS LÄN</t>
        </is>
      </c>
      <c r="E1527" t="inlineStr">
        <is>
          <t>TORSBY</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28251-2023</t>
        </is>
      </c>
      <c r="B1528" s="1" t="n">
        <v>45099</v>
      </c>
      <c r="C1528" s="1" t="n">
        <v>45574</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30142-2023</t>
        </is>
      </c>
      <c r="B1529" s="1" t="n">
        <v>45099</v>
      </c>
      <c r="C1529" s="1" t="n">
        <v>45574</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30148-2023</t>
        </is>
      </c>
      <c r="B1530" s="1" t="n">
        <v>45099</v>
      </c>
      <c r="C1530" s="1" t="n">
        <v>45574</v>
      </c>
      <c r="D1530" t="inlineStr">
        <is>
          <t>VÄRMLANDS LÄN</t>
        </is>
      </c>
      <c r="E1530" t="inlineStr">
        <is>
          <t>TORSBY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30151-2023</t>
        </is>
      </c>
      <c r="B1531" s="1" t="n">
        <v>45099</v>
      </c>
      <c r="C1531" s="1" t="n">
        <v>45574</v>
      </c>
      <c r="D1531" t="inlineStr">
        <is>
          <t>VÄRMLANDS LÄN</t>
        </is>
      </c>
      <c r="E1531" t="inlineStr">
        <is>
          <t>TORSBY</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28598-2023</t>
        </is>
      </c>
      <c r="B1532" s="1" t="n">
        <v>45103</v>
      </c>
      <c r="C1532" s="1" t="n">
        <v>45574</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28652-2023</t>
        </is>
      </c>
      <c r="B1533" s="1" t="n">
        <v>45103</v>
      </c>
      <c r="C1533" s="1" t="n">
        <v>45574</v>
      </c>
      <c r="D1533" t="inlineStr">
        <is>
          <t>VÄRMLANDS LÄN</t>
        </is>
      </c>
      <c r="E1533" t="inlineStr">
        <is>
          <t>TORSBY</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28818-2023</t>
        </is>
      </c>
      <c r="B1534" s="1" t="n">
        <v>45104</v>
      </c>
      <c r="C1534" s="1" t="n">
        <v>45574</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28869-2023</t>
        </is>
      </c>
      <c r="B1535" s="1" t="n">
        <v>45104</v>
      </c>
      <c r="C1535" s="1" t="n">
        <v>45574</v>
      </c>
      <c r="D1535" t="inlineStr">
        <is>
          <t>VÄRMLANDS LÄN</t>
        </is>
      </c>
      <c r="E1535" t="inlineStr">
        <is>
          <t>TORSBY</t>
        </is>
      </c>
      <c r="F1535" t="inlineStr">
        <is>
          <t>Bergvik skog väst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28948-2023</t>
        </is>
      </c>
      <c r="B1536" s="1" t="n">
        <v>45104</v>
      </c>
      <c r="C1536" s="1" t="n">
        <v>45574</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28814-2023</t>
        </is>
      </c>
      <c r="B1537" s="1" t="n">
        <v>45104</v>
      </c>
      <c r="C1537" s="1" t="n">
        <v>45574</v>
      </c>
      <c r="D1537" t="inlineStr">
        <is>
          <t>VÄRMLANDS LÄN</t>
        </is>
      </c>
      <c r="E1537" t="inlineStr">
        <is>
          <t>TORSBY</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29043-2023</t>
        </is>
      </c>
      <c r="B1538" s="1" t="n">
        <v>45104</v>
      </c>
      <c r="C1538" s="1" t="n">
        <v>45574</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29042-2023</t>
        </is>
      </c>
      <c r="B1539" s="1" t="n">
        <v>45104</v>
      </c>
      <c r="C1539" s="1" t="n">
        <v>45574</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29137-2023</t>
        </is>
      </c>
      <c r="B1540" s="1" t="n">
        <v>45105</v>
      </c>
      <c r="C1540" s="1" t="n">
        <v>45574</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29256-2023</t>
        </is>
      </c>
      <c r="B1541" s="1" t="n">
        <v>45105</v>
      </c>
      <c r="C1541" s="1" t="n">
        <v>45574</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29506-2023</t>
        </is>
      </c>
      <c r="B1542" s="1" t="n">
        <v>45106</v>
      </c>
      <c r="C1542" s="1" t="n">
        <v>45574</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29581-2023</t>
        </is>
      </c>
      <c r="B1543" s="1" t="n">
        <v>45106</v>
      </c>
      <c r="C1543" s="1" t="n">
        <v>45574</v>
      </c>
      <c r="D1543" t="inlineStr">
        <is>
          <t>VÄRMLANDS LÄN</t>
        </is>
      </c>
      <c r="E1543" t="inlineStr">
        <is>
          <t>TORSBY</t>
        </is>
      </c>
      <c r="F1543" t="inlineStr">
        <is>
          <t>Bergvik skog väst AB</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29594-2023</t>
        </is>
      </c>
      <c r="B1544" s="1" t="n">
        <v>45107</v>
      </c>
      <c r="C1544" s="1" t="n">
        <v>45574</v>
      </c>
      <c r="D1544" t="inlineStr">
        <is>
          <t>VÄRMLANDS LÄN</t>
        </is>
      </c>
      <c r="E1544" t="inlineStr">
        <is>
          <t>TORSBY</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29545-2023</t>
        </is>
      </c>
      <c r="B1545" s="1" t="n">
        <v>45106</v>
      </c>
      <c r="C1545" s="1" t="n">
        <v>45574</v>
      </c>
      <c r="D1545" t="inlineStr">
        <is>
          <t>VÄRMLANDS LÄN</t>
        </is>
      </c>
      <c r="E1545" t="inlineStr">
        <is>
          <t>TORSBY</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31858-2023</t>
        </is>
      </c>
      <c r="B1546" s="1" t="n">
        <v>45106</v>
      </c>
      <c r="C1546" s="1" t="n">
        <v>45574</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29792-2023</t>
        </is>
      </c>
      <c r="B1547" s="1" t="n">
        <v>45107</v>
      </c>
      <c r="C1547" s="1" t="n">
        <v>45574</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29796-2023</t>
        </is>
      </c>
      <c r="B1548" s="1" t="n">
        <v>45107</v>
      </c>
      <c r="C1548" s="1" t="n">
        <v>45574</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29795-2023</t>
        </is>
      </c>
      <c r="B1549" s="1" t="n">
        <v>45107</v>
      </c>
      <c r="C1549" s="1" t="n">
        <v>45574</v>
      </c>
      <c r="D1549" t="inlineStr">
        <is>
          <t>VÄRMLANDS LÄN</t>
        </is>
      </c>
      <c r="E1549" t="inlineStr">
        <is>
          <t>TORSBY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31936-2023</t>
        </is>
      </c>
      <c r="B1550" s="1" t="n">
        <v>45107</v>
      </c>
      <c r="C1550" s="1" t="n">
        <v>45574</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30208-2023</t>
        </is>
      </c>
      <c r="B1551" s="1" t="n">
        <v>45110</v>
      </c>
      <c r="C1551" s="1" t="n">
        <v>45574</v>
      </c>
      <c r="D1551" t="inlineStr">
        <is>
          <t>VÄRMLANDS LÄN</t>
        </is>
      </c>
      <c r="E1551" t="inlineStr">
        <is>
          <t>TORSBY</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30213-2023</t>
        </is>
      </c>
      <c r="B1552" s="1" t="n">
        <v>45110</v>
      </c>
      <c r="C1552" s="1" t="n">
        <v>45574</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30267-2023</t>
        </is>
      </c>
      <c r="B1553" s="1" t="n">
        <v>45110</v>
      </c>
      <c r="C1553" s="1" t="n">
        <v>45574</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30104-2023</t>
        </is>
      </c>
      <c r="B1554" s="1" t="n">
        <v>45110</v>
      </c>
      <c r="C1554" s="1" t="n">
        <v>45574</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32332-2023</t>
        </is>
      </c>
      <c r="B1555" s="1" t="n">
        <v>45110</v>
      </c>
      <c r="C1555" s="1" t="n">
        <v>45574</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30160-2023</t>
        </is>
      </c>
      <c r="B1556" s="1" t="n">
        <v>45110</v>
      </c>
      <c r="C1556" s="1" t="n">
        <v>45574</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30269-2023</t>
        </is>
      </c>
      <c r="B1557" s="1" t="n">
        <v>45110</v>
      </c>
      <c r="C1557" s="1" t="n">
        <v>45574</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30110-2023</t>
        </is>
      </c>
      <c r="B1558" s="1" t="n">
        <v>45110</v>
      </c>
      <c r="C1558" s="1" t="n">
        <v>45574</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30530-2023</t>
        </is>
      </c>
      <c r="B1559" s="1" t="n">
        <v>45111</v>
      </c>
      <c r="C1559" s="1" t="n">
        <v>45574</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30455-2023</t>
        </is>
      </c>
      <c r="B1560" s="1" t="n">
        <v>45111</v>
      </c>
      <c r="C1560" s="1" t="n">
        <v>45574</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30370-2023</t>
        </is>
      </c>
      <c r="B1561" s="1" t="n">
        <v>45111</v>
      </c>
      <c r="C1561" s="1" t="n">
        <v>45574</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30531-2023</t>
        </is>
      </c>
      <c r="B1562" s="1" t="n">
        <v>45111</v>
      </c>
      <c r="C1562" s="1" t="n">
        <v>45574</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30344-2023</t>
        </is>
      </c>
      <c r="B1563" s="1" t="n">
        <v>45111</v>
      </c>
      <c r="C1563" s="1" t="n">
        <v>45574</v>
      </c>
      <c r="D1563" t="inlineStr">
        <is>
          <t>VÄRMLANDS LÄN</t>
        </is>
      </c>
      <c r="E1563" t="inlineStr">
        <is>
          <t>TORSBY</t>
        </is>
      </c>
      <c r="F1563" t="inlineStr">
        <is>
          <t>Bergvik skog väst AB</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30670-2023</t>
        </is>
      </c>
      <c r="B1564" s="1" t="n">
        <v>45112</v>
      </c>
      <c r="C1564" s="1" t="n">
        <v>45574</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30624-2023</t>
        </is>
      </c>
      <c r="B1565" s="1" t="n">
        <v>45112</v>
      </c>
      <c r="C1565" s="1" t="n">
        <v>45574</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30741-2023</t>
        </is>
      </c>
      <c r="B1566" s="1" t="n">
        <v>45112</v>
      </c>
      <c r="C1566" s="1" t="n">
        <v>45574</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31052-2023</t>
        </is>
      </c>
      <c r="B1567" s="1" t="n">
        <v>45113</v>
      </c>
      <c r="C1567" s="1" t="n">
        <v>45574</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31112-2023</t>
        </is>
      </c>
      <c r="B1568" s="1" t="n">
        <v>45113</v>
      </c>
      <c r="C1568" s="1" t="n">
        <v>45574</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31465-2023</t>
        </is>
      </c>
      <c r="B1569" s="1" t="n">
        <v>45114</v>
      </c>
      <c r="C1569" s="1" t="n">
        <v>45574</v>
      </c>
      <c r="D1569" t="inlineStr">
        <is>
          <t>VÄRMLANDS LÄN</t>
        </is>
      </c>
      <c r="E1569" t="inlineStr">
        <is>
          <t>TORSBY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31547-2023</t>
        </is>
      </c>
      <c r="B1570" s="1" t="n">
        <v>45117</v>
      </c>
      <c r="C1570" s="1" t="n">
        <v>45574</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31548-2023</t>
        </is>
      </c>
      <c r="B1571" s="1" t="n">
        <v>45117</v>
      </c>
      <c r="C1571" s="1" t="n">
        <v>45574</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33741-2023</t>
        </is>
      </c>
      <c r="B1572" s="1" t="n">
        <v>45119</v>
      </c>
      <c r="C1572" s="1" t="n">
        <v>45574</v>
      </c>
      <c r="D1572" t="inlineStr">
        <is>
          <t>VÄRMLANDS LÄN</t>
        </is>
      </c>
      <c r="E1572" t="inlineStr">
        <is>
          <t>TORSBY</t>
        </is>
      </c>
      <c r="F1572" t="inlineStr">
        <is>
          <t>Övriga Aktiebolag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33738-2023</t>
        </is>
      </c>
      <c r="B1573" s="1" t="n">
        <v>45119</v>
      </c>
      <c r="C1573" s="1" t="n">
        <v>45574</v>
      </c>
      <c r="D1573" t="inlineStr">
        <is>
          <t>VÄRMLANDS LÄN</t>
        </is>
      </c>
      <c r="E1573" t="inlineStr">
        <is>
          <t>TORSBY</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33740-2023</t>
        </is>
      </c>
      <c r="B1574" s="1" t="n">
        <v>45119</v>
      </c>
      <c r="C1574" s="1" t="n">
        <v>45574</v>
      </c>
      <c r="D1574" t="inlineStr">
        <is>
          <t>VÄRMLANDS LÄN</t>
        </is>
      </c>
      <c r="E1574" t="inlineStr">
        <is>
          <t>TORSBY</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33782-2023</t>
        </is>
      </c>
      <c r="B1575" s="1" t="n">
        <v>45120</v>
      </c>
      <c r="C1575" s="1" t="n">
        <v>45574</v>
      </c>
      <c r="D1575" t="inlineStr">
        <is>
          <t>VÄRMLANDS LÄN</t>
        </is>
      </c>
      <c r="E1575" t="inlineStr">
        <is>
          <t>TORSBY</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32576-2023</t>
        </is>
      </c>
      <c r="B1576" s="1" t="n">
        <v>45121</v>
      </c>
      <c r="C1576" s="1" t="n">
        <v>45574</v>
      </c>
      <c r="D1576" t="inlineStr">
        <is>
          <t>VÄRMLANDS LÄN</t>
        </is>
      </c>
      <c r="E1576" t="inlineStr">
        <is>
          <t>TORSBY</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32584-2023</t>
        </is>
      </c>
      <c r="B1577" s="1" t="n">
        <v>45121</v>
      </c>
      <c r="C1577" s="1" t="n">
        <v>45574</v>
      </c>
      <c r="D1577" t="inlineStr">
        <is>
          <t>VÄRMLANDS LÄN</t>
        </is>
      </c>
      <c r="E1577" t="inlineStr">
        <is>
          <t>TORSBY</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32805-2023</t>
        </is>
      </c>
      <c r="B1578" s="1" t="n">
        <v>45124</v>
      </c>
      <c r="C1578" s="1" t="n">
        <v>45574</v>
      </c>
      <c r="D1578" t="inlineStr">
        <is>
          <t>VÄRMLANDS LÄN</t>
        </is>
      </c>
      <c r="E1578" t="inlineStr">
        <is>
          <t>TORSBY</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32819-2023</t>
        </is>
      </c>
      <c r="B1579" s="1" t="n">
        <v>45124</v>
      </c>
      <c r="C1579" s="1" t="n">
        <v>45574</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32787-2023</t>
        </is>
      </c>
      <c r="B1580" s="1" t="n">
        <v>45124</v>
      </c>
      <c r="C1580" s="1" t="n">
        <v>45574</v>
      </c>
      <c r="D1580" t="inlineStr">
        <is>
          <t>VÄRMLANDS LÄN</t>
        </is>
      </c>
      <c r="E1580" t="inlineStr">
        <is>
          <t>TORSBY</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32815-2023</t>
        </is>
      </c>
      <c r="B1581" s="1" t="n">
        <v>45124</v>
      </c>
      <c r="C1581" s="1" t="n">
        <v>45574</v>
      </c>
      <c r="D1581" t="inlineStr">
        <is>
          <t>VÄRMLANDS LÄN</t>
        </is>
      </c>
      <c r="E1581" t="inlineStr">
        <is>
          <t>TORSBY</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33758-2023</t>
        </is>
      </c>
      <c r="B1582" s="1" t="n">
        <v>45125</v>
      </c>
      <c r="C1582" s="1" t="n">
        <v>45574</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33072-2023</t>
        </is>
      </c>
      <c r="B1583" s="1" t="n">
        <v>45126</v>
      </c>
      <c r="C1583" s="1" t="n">
        <v>45574</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34097-2023</t>
        </is>
      </c>
      <c r="B1584" s="1" t="n">
        <v>45126</v>
      </c>
      <c r="C1584" s="1" t="n">
        <v>45574</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34104-2023</t>
        </is>
      </c>
      <c r="B1585" s="1" t="n">
        <v>45126</v>
      </c>
      <c r="C1585" s="1" t="n">
        <v>45574</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34105-2023</t>
        </is>
      </c>
      <c r="B1586" s="1" t="n">
        <v>45126</v>
      </c>
      <c r="C1586" s="1" t="n">
        <v>45574</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33263-2023</t>
        </is>
      </c>
      <c r="B1587" s="1" t="n">
        <v>45127</v>
      </c>
      <c r="C1587" s="1" t="n">
        <v>45574</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33249-2023</t>
        </is>
      </c>
      <c r="B1588" s="1" t="n">
        <v>45127</v>
      </c>
      <c r="C1588" s="1" t="n">
        <v>45574</v>
      </c>
      <c r="D1588" t="inlineStr">
        <is>
          <t>VÄRMLANDS LÄN</t>
        </is>
      </c>
      <c r="E1588" t="inlineStr">
        <is>
          <t>TORSBY</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33253-2023</t>
        </is>
      </c>
      <c r="B1589" s="1" t="n">
        <v>45127</v>
      </c>
      <c r="C1589" s="1" t="n">
        <v>45574</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33264-2023</t>
        </is>
      </c>
      <c r="B1590" s="1" t="n">
        <v>45127</v>
      </c>
      <c r="C1590" s="1" t="n">
        <v>45574</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33268-2023</t>
        </is>
      </c>
      <c r="B1591" s="1" t="n">
        <v>45127</v>
      </c>
      <c r="C1591" s="1" t="n">
        <v>45574</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33574-2023</t>
        </is>
      </c>
      <c r="B1592" s="1" t="n">
        <v>45131</v>
      </c>
      <c r="C1592" s="1" t="n">
        <v>45574</v>
      </c>
      <c r="D1592" t="inlineStr">
        <is>
          <t>VÄRMLANDS LÄN</t>
        </is>
      </c>
      <c r="E1592" t="inlineStr">
        <is>
          <t>TORSBY</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33645-2023</t>
        </is>
      </c>
      <c r="B1593" s="1" t="n">
        <v>45132</v>
      </c>
      <c r="C1593" s="1" t="n">
        <v>45574</v>
      </c>
      <c r="D1593" t="inlineStr">
        <is>
          <t>VÄRMLANDS LÄN</t>
        </is>
      </c>
      <c r="E1593" t="inlineStr">
        <is>
          <t>TORSBY</t>
        </is>
      </c>
      <c r="F1593" t="inlineStr">
        <is>
          <t>Bergvik skog väst AB</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33656-2023</t>
        </is>
      </c>
      <c r="B1594" s="1" t="n">
        <v>45132</v>
      </c>
      <c r="C1594" s="1" t="n">
        <v>45574</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33813-2023</t>
        </is>
      </c>
      <c r="B1595" s="1" t="n">
        <v>45133</v>
      </c>
      <c r="C1595" s="1" t="n">
        <v>45574</v>
      </c>
      <c r="D1595" t="inlineStr">
        <is>
          <t>VÄRMLANDS LÄN</t>
        </is>
      </c>
      <c r="E1595" t="inlineStr">
        <is>
          <t>TORSBY</t>
        </is>
      </c>
      <c r="F1595" t="inlineStr">
        <is>
          <t>Bergvik skog väst AB</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33839-2023</t>
        </is>
      </c>
      <c r="B1596" s="1" t="n">
        <v>45133</v>
      </c>
      <c r="C1596" s="1" t="n">
        <v>45574</v>
      </c>
      <c r="D1596" t="inlineStr">
        <is>
          <t>VÄRMLANDS LÄN</t>
        </is>
      </c>
      <c r="E1596" t="inlineStr">
        <is>
          <t>TORSBY</t>
        </is>
      </c>
      <c r="F1596" t="inlineStr">
        <is>
          <t>Bergvik skog väst AB</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33848-2023</t>
        </is>
      </c>
      <c r="B1597" s="1" t="n">
        <v>45133</v>
      </c>
      <c r="C1597" s="1" t="n">
        <v>45574</v>
      </c>
      <c r="D1597" t="inlineStr">
        <is>
          <t>VÄRMLANDS LÄN</t>
        </is>
      </c>
      <c r="E1597" t="inlineStr">
        <is>
          <t>TORSBY</t>
        </is>
      </c>
      <c r="F1597" t="inlineStr">
        <is>
          <t>Bergvik skog väst AB</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34405-2023</t>
        </is>
      </c>
      <c r="B1598" s="1" t="n">
        <v>45139</v>
      </c>
      <c r="C1598" s="1" t="n">
        <v>45574</v>
      </c>
      <c r="D1598" t="inlineStr">
        <is>
          <t>VÄRMLANDS LÄN</t>
        </is>
      </c>
      <c r="E1598" t="inlineStr">
        <is>
          <t>TORSBY</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34427-2023</t>
        </is>
      </c>
      <c r="B1599" s="1" t="n">
        <v>45139</v>
      </c>
      <c r="C1599" s="1" t="n">
        <v>45574</v>
      </c>
      <c r="D1599" t="inlineStr">
        <is>
          <t>VÄRMLANDS LÄN</t>
        </is>
      </c>
      <c r="E1599" t="inlineStr">
        <is>
          <t>TORSBY</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34469-2023</t>
        </is>
      </c>
      <c r="B1600" s="1" t="n">
        <v>45139</v>
      </c>
      <c r="C1600" s="1" t="n">
        <v>45574</v>
      </c>
      <c r="D1600" t="inlineStr">
        <is>
          <t>VÄRMLANDS LÄN</t>
        </is>
      </c>
      <c r="E1600" t="inlineStr">
        <is>
          <t>TORSBY</t>
        </is>
      </c>
      <c r="F1600" t="inlineStr">
        <is>
          <t>Bergvik skog väst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34430-2023</t>
        </is>
      </c>
      <c r="B1601" s="1" t="n">
        <v>45139</v>
      </c>
      <c r="C1601" s="1" t="n">
        <v>45574</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34658-2023</t>
        </is>
      </c>
      <c r="B1602" s="1" t="n">
        <v>45140</v>
      </c>
      <c r="C1602" s="1" t="n">
        <v>45574</v>
      </c>
      <c r="D1602" t="inlineStr">
        <is>
          <t>VÄRMLANDS LÄN</t>
        </is>
      </c>
      <c r="E1602" t="inlineStr">
        <is>
          <t>TORSBY</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34955-2023</t>
        </is>
      </c>
      <c r="B1603" s="1" t="n">
        <v>45142</v>
      </c>
      <c r="C1603" s="1" t="n">
        <v>45574</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35055-2023</t>
        </is>
      </c>
      <c r="B1604" s="1" t="n">
        <v>45145</v>
      </c>
      <c r="C1604" s="1" t="n">
        <v>45574</v>
      </c>
      <c r="D1604" t="inlineStr">
        <is>
          <t>VÄRMLANDS LÄN</t>
        </is>
      </c>
      <c r="E1604" t="inlineStr">
        <is>
          <t>TORSBY</t>
        </is>
      </c>
      <c r="F1604" t="inlineStr">
        <is>
          <t>Bergvik skog väst AB</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35057-2023</t>
        </is>
      </c>
      <c r="B1605" s="1" t="n">
        <v>45145</v>
      </c>
      <c r="C1605" s="1" t="n">
        <v>45574</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35186-2023</t>
        </is>
      </c>
      <c r="B1606" s="1" t="n">
        <v>45145</v>
      </c>
      <c r="C1606" s="1" t="n">
        <v>45574</v>
      </c>
      <c r="D1606" t="inlineStr">
        <is>
          <t>VÄRMLANDS LÄN</t>
        </is>
      </c>
      <c r="E1606" t="inlineStr">
        <is>
          <t>TORSBY</t>
        </is>
      </c>
      <c r="F1606" t="inlineStr">
        <is>
          <t>Bergvik skog väst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35115-2023</t>
        </is>
      </c>
      <c r="B1607" s="1" t="n">
        <v>45145</v>
      </c>
      <c r="C1607" s="1" t="n">
        <v>45574</v>
      </c>
      <c r="D1607" t="inlineStr">
        <is>
          <t>VÄRMLANDS LÄN</t>
        </is>
      </c>
      <c r="E1607" t="inlineStr">
        <is>
          <t>TORSBY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35120-2023</t>
        </is>
      </c>
      <c r="B1608" s="1" t="n">
        <v>45145</v>
      </c>
      <c r="C1608" s="1" t="n">
        <v>45574</v>
      </c>
      <c r="D1608" t="inlineStr">
        <is>
          <t>VÄRMLANDS LÄN</t>
        </is>
      </c>
      <c r="E1608" t="inlineStr">
        <is>
          <t>TORSBY</t>
        </is>
      </c>
      <c r="G1608" t="n">
        <v>16.9</v>
      </c>
      <c r="H1608" t="n">
        <v>0</v>
      </c>
      <c r="I1608" t="n">
        <v>0</v>
      </c>
      <c r="J1608" t="n">
        <v>0</v>
      </c>
      <c r="K1608" t="n">
        <v>0</v>
      </c>
      <c r="L1608" t="n">
        <v>0</v>
      </c>
      <c r="M1608" t="n">
        <v>0</v>
      </c>
      <c r="N1608" t="n">
        <v>0</v>
      </c>
      <c r="O1608" t="n">
        <v>0</v>
      </c>
      <c r="P1608" t="n">
        <v>0</v>
      </c>
      <c r="Q1608" t="n">
        <v>0</v>
      </c>
      <c r="R1608" s="2" t="inlineStr"/>
    </row>
    <row r="1609" ht="15" customHeight="1">
      <c r="A1609" t="inlineStr">
        <is>
          <t>A 35415-2023</t>
        </is>
      </c>
      <c r="B1609" s="1" t="n">
        <v>45146</v>
      </c>
      <c r="C1609" s="1" t="n">
        <v>45574</v>
      </c>
      <c r="D1609" t="inlineStr">
        <is>
          <t>VÄRMLANDS LÄN</t>
        </is>
      </c>
      <c r="E1609" t="inlineStr">
        <is>
          <t>TORSBY</t>
        </is>
      </c>
      <c r="F1609" t="inlineStr">
        <is>
          <t>Bergvik skog väst AB</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35629-2023</t>
        </is>
      </c>
      <c r="B1610" s="1" t="n">
        <v>45147</v>
      </c>
      <c r="C1610" s="1" t="n">
        <v>45574</v>
      </c>
      <c r="D1610" t="inlineStr">
        <is>
          <t>VÄRMLANDS LÄN</t>
        </is>
      </c>
      <c r="E1610" t="inlineStr">
        <is>
          <t>TORSBY</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35674-2023</t>
        </is>
      </c>
      <c r="B1611" s="1" t="n">
        <v>45147</v>
      </c>
      <c r="C1611" s="1" t="n">
        <v>45574</v>
      </c>
      <c r="D1611" t="inlineStr">
        <is>
          <t>VÄRMLANDS LÄN</t>
        </is>
      </c>
      <c r="E1611" t="inlineStr">
        <is>
          <t>TORSBY</t>
        </is>
      </c>
      <c r="G1611" t="n">
        <v>25.4</v>
      </c>
      <c r="H1611" t="n">
        <v>0</v>
      </c>
      <c r="I1611" t="n">
        <v>0</v>
      </c>
      <c r="J1611" t="n">
        <v>0</v>
      </c>
      <c r="K1611" t="n">
        <v>0</v>
      </c>
      <c r="L1611" t="n">
        <v>0</v>
      </c>
      <c r="M1611" t="n">
        <v>0</v>
      </c>
      <c r="N1611" t="n">
        <v>0</v>
      </c>
      <c r="O1611" t="n">
        <v>0</v>
      </c>
      <c r="P1611" t="n">
        <v>0</v>
      </c>
      <c r="Q1611" t="n">
        <v>0</v>
      </c>
      <c r="R1611" s="2" t="inlineStr"/>
    </row>
    <row r="1612" ht="15" customHeight="1">
      <c r="A1612" t="inlineStr">
        <is>
          <t>A 35553-2023</t>
        </is>
      </c>
      <c r="B1612" s="1" t="n">
        <v>45147</v>
      </c>
      <c r="C1612" s="1" t="n">
        <v>45574</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35934-2023</t>
        </is>
      </c>
      <c r="B1613" s="1" t="n">
        <v>45148</v>
      </c>
      <c r="C1613" s="1" t="n">
        <v>45574</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35938-2023</t>
        </is>
      </c>
      <c r="B1614" s="1" t="n">
        <v>45148</v>
      </c>
      <c r="C1614" s="1" t="n">
        <v>45574</v>
      </c>
      <c r="D1614" t="inlineStr">
        <is>
          <t>VÄRMLANDS LÄN</t>
        </is>
      </c>
      <c r="E1614" t="inlineStr">
        <is>
          <t>TORSBY</t>
        </is>
      </c>
      <c r="F1614" t="inlineStr">
        <is>
          <t>Bergvik skog väst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36043-2023</t>
        </is>
      </c>
      <c r="B1615" s="1" t="n">
        <v>45148</v>
      </c>
      <c r="C1615" s="1" t="n">
        <v>45574</v>
      </c>
      <c r="D1615" t="inlineStr">
        <is>
          <t>VÄRMLANDS LÄN</t>
        </is>
      </c>
      <c r="E1615" t="inlineStr">
        <is>
          <t>TORSBY</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36050-2023</t>
        </is>
      </c>
      <c r="B1616" s="1" t="n">
        <v>45149</v>
      </c>
      <c r="C1616" s="1" t="n">
        <v>45574</v>
      </c>
      <c r="D1616" t="inlineStr">
        <is>
          <t>VÄRMLANDS LÄN</t>
        </is>
      </c>
      <c r="E1616" t="inlineStr">
        <is>
          <t>TORSBY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36062-2023</t>
        </is>
      </c>
      <c r="B1617" s="1" t="n">
        <v>45149</v>
      </c>
      <c r="C1617" s="1" t="n">
        <v>45574</v>
      </c>
      <c r="D1617" t="inlineStr">
        <is>
          <t>VÄRMLANDS LÄN</t>
        </is>
      </c>
      <c r="E1617" t="inlineStr">
        <is>
          <t>TORSBY</t>
        </is>
      </c>
      <c r="F1617" t="inlineStr">
        <is>
          <t>Bergvik skog väst AB</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36239-2023</t>
        </is>
      </c>
      <c r="B1618" s="1" t="n">
        <v>45150</v>
      </c>
      <c r="C1618" s="1" t="n">
        <v>45574</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36462-2023</t>
        </is>
      </c>
      <c r="B1619" s="1" t="n">
        <v>45152</v>
      </c>
      <c r="C1619" s="1" t="n">
        <v>45574</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36582-2023</t>
        </is>
      </c>
      <c r="B1620" s="1" t="n">
        <v>45153</v>
      </c>
      <c r="C1620" s="1" t="n">
        <v>45574</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36598-2023</t>
        </is>
      </c>
      <c r="B1621" s="1" t="n">
        <v>45153</v>
      </c>
      <c r="C1621" s="1" t="n">
        <v>45574</v>
      </c>
      <c r="D1621" t="inlineStr">
        <is>
          <t>VÄRMLANDS LÄN</t>
        </is>
      </c>
      <c r="E1621" t="inlineStr">
        <is>
          <t>TORSBY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36552-2023</t>
        </is>
      </c>
      <c r="B1622" s="1" t="n">
        <v>45153</v>
      </c>
      <c r="C1622" s="1" t="n">
        <v>45574</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36674-2023</t>
        </is>
      </c>
      <c r="B1623" s="1" t="n">
        <v>45153</v>
      </c>
      <c r="C1623" s="1" t="n">
        <v>45574</v>
      </c>
      <c r="D1623" t="inlineStr">
        <is>
          <t>VÄRMLANDS LÄN</t>
        </is>
      </c>
      <c r="E1623" t="inlineStr">
        <is>
          <t>TORSBY</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36736-2023</t>
        </is>
      </c>
      <c r="B1624" s="1" t="n">
        <v>45153</v>
      </c>
      <c r="C1624" s="1" t="n">
        <v>45574</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36729-2023</t>
        </is>
      </c>
      <c r="B1625" s="1" t="n">
        <v>45153</v>
      </c>
      <c r="C1625" s="1" t="n">
        <v>45574</v>
      </c>
      <c r="D1625" t="inlineStr">
        <is>
          <t>VÄRMLANDS LÄN</t>
        </is>
      </c>
      <c r="E1625" t="inlineStr">
        <is>
          <t>TORSBY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36827-2023</t>
        </is>
      </c>
      <c r="B1626" s="1" t="n">
        <v>45154</v>
      </c>
      <c r="C1626" s="1" t="n">
        <v>45574</v>
      </c>
      <c r="D1626" t="inlineStr">
        <is>
          <t>VÄRMLANDS LÄN</t>
        </is>
      </c>
      <c r="E1626" t="inlineStr">
        <is>
          <t>TORSBY</t>
        </is>
      </c>
      <c r="F1626" t="inlineStr">
        <is>
          <t>Bergvik skog väst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36897-2023</t>
        </is>
      </c>
      <c r="B1627" s="1" t="n">
        <v>45154</v>
      </c>
      <c r="C1627" s="1" t="n">
        <v>45574</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36947-2023</t>
        </is>
      </c>
      <c r="B1628" s="1" t="n">
        <v>45154</v>
      </c>
      <c r="C1628" s="1" t="n">
        <v>45574</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45574</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37188-2023</t>
        </is>
      </c>
      <c r="B1630" s="1" t="n">
        <v>45155</v>
      </c>
      <c r="C1630" s="1" t="n">
        <v>45574</v>
      </c>
      <c r="D1630" t="inlineStr">
        <is>
          <t>VÄRMLANDS LÄN</t>
        </is>
      </c>
      <c r="E1630" t="inlineStr">
        <is>
          <t>TORSBY</t>
        </is>
      </c>
      <c r="F1630" t="inlineStr">
        <is>
          <t>Bergvik skog väst AB</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37346-2023</t>
        </is>
      </c>
      <c r="B1631" s="1" t="n">
        <v>45156</v>
      </c>
      <c r="C1631" s="1" t="n">
        <v>45574</v>
      </c>
      <c r="D1631" t="inlineStr">
        <is>
          <t>VÄRMLANDS LÄN</t>
        </is>
      </c>
      <c r="E1631" t="inlineStr">
        <is>
          <t>TORSBY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37357-2023</t>
        </is>
      </c>
      <c r="B1632" s="1" t="n">
        <v>45156</v>
      </c>
      <c r="C1632" s="1" t="n">
        <v>45574</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37305-2023</t>
        </is>
      </c>
      <c r="B1633" s="1" t="n">
        <v>45156</v>
      </c>
      <c r="C1633" s="1" t="n">
        <v>45574</v>
      </c>
      <c r="D1633" t="inlineStr">
        <is>
          <t>VÄRMLANDS LÄN</t>
        </is>
      </c>
      <c r="E1633" t="inlineStr">
        <is>
          <t>TORSBY</t>
        </is>
      </c>
      <c r="F1633" t="inlineStr">
        <is>
          <t>Bergvik skog väst AB</t>
        </is>
      </c>
      <c r="G1633" t="n">
        <v>28.8</v>
      </c>
      <c r="H1633" t="n">
        <v>0</v>
      </c>
      <c r="I1633" t="n">
        <v>0</v>
      </c>
      <c r="J1633" t="n">
        <v>0</v>
      </c>
      <c r="K1633" t="n">
        <v>0</v>
      </c>
      <c r="L1633" t="n">
        <v>0</v>
      </c>
      <c r="M1633" t="n">
        <v>0</v>
      </c>
      <c r="N1633" t="n">
        <v>0</v>
      </c>
      <c r="O1633" t="n">
        <v>0</v>
      </c>
      <c r="P1633" t="n">
        <v>0</v>
      </c>
      <c r="Q1633" t="n">
        <v>0</v>
      </c>
      <c r="R1633" s="2" t="inlineStr"/>
    </row>
    <row r="1634" ht="15" customHeight="1">
      <c r="A1634" t="inlineStr">
        <is>
          <t>A 37314-2023</t>
        </is>
      </c>
      <c r="B1634" s="1" t="n">
        <v>45156</v>
      </c>
      <c r="C1634" s="1" t="n">
        <v>45574</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37359-2023</t>
        </is>
      </c>
      <c r="B1635" s="1" t="n">
        <v>45156</v>
      </c>
      <c r="C1635" s="1" t="n">
        <v>45574</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37705-2023</t>
        </is>
      </c>
      <c r="B1636" s="1" t="n">
        <v>45159</v>
      </c>
      <c r="C1636" s="1" t="n">
        <v>45574</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37604-2023</t>
        </is>
      </c>
      <c r="B1637" s="1" t="n">
        <v>45159</v>
      </c>
      <c r="C1637" s="1" t="n">
        <v>45574</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37623-2023</t>
        </is>
      </c>
      <c r="B1638" s="1" t="n">
        <v>45159</v>
      </c>
      <c r="C1638" s="1" t="n">
        <v>45574</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37822-2023</t>
        </is>
      </c>
      <c r="B1639" s="1" t="n">
        <v>45160</v>
      </c>
      <c r="C1639" s="1" t="n">
        <v>45574</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38085-2023</t>
        </is>
      </c>
      <c r="B1640" s="1" t="n">
        <v>45160</v>
      </c>
      <c r="C1640" s="1" t="n">
        <v>45574</v>
      </c>
      <c r="D1640" t="inlineStr">
        <is>
          <t>VÄRMLANDS LÄN</t>
        </is>
      </c>
      <c r="E1640" t="inlineStr">
        <is>
          <t>TORSBY</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37936-2023</t>
        </is>
      </c>
      <c r="B1641" s="1" t="n">
        <v>45160</v>
      </c>
      <c r="C1641" s="1" t="n">
        <v>45574</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38084-2023</t>
        </is>
      </c>
      <c r="B1642" s="1" t="n">
        <v>45160</v>
      </c>
      <c r="C1642" s="1" t="n">
        <v>45574</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38044-2023</t>
        </is>
      </c>
      <c r="B1643" s="1" t="n">
        <v>45160</v>
      </c>
      <c r="C1643" s="1" t="n">
        <v>45574</v>
      </c>
      <c r="D1643" t="inlineStr">
        <is>
          <t>VÄRMLANDS LÄN</t>
        </is>
      </c>
      <c r="E1643" t="inlineStr">
        <is>
          <t>TORSBY</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38086-2023</t>
        </is>
      </c>
      <c r="B1644" s="1" t="n">
        <v>45160</v>
      </c>
      <c r="C1644" s="1" t="n">
        <v>45574</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38252-2023</t>
        </is>
      </c>
      <c r="B1645" s="1" t="n">
        <v>45161</v>
      </c>
      <c r="C1645" s="1" t="n">
        <v>45574</v>
      </c>
      <c r="D1645" t="inlineStr">
        <is>
          <t>VÄRMLANDS LÄN</t>
        </is>
      </c>
      <c r="E1645" t="inlineStr">
        <is>
          <t>TORSBY</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38232-2023</t>
        </is>
      </c>
      <c r="B1646" s="1" t="n">
        <v>45161</v>
      </c>
      <c r="C1646" s="1" t="n">
        <v>45574</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38257-2023</t>
        </is>
      </c>
      <c r="B1647" s="1" t="n">
        <v>45161</v>
      </c>
      <c r="C1647" s="1" t="n">
        <v>45574</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38263-2023</t>
        </is>
      </c>
      <c r="B1648" s="1" t="n">
        <v>45161</v>
      </c>
      <c r="C1648" s="1" t="n">
        <v>45574</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38286-2023</t>
        </is>
      </c>
      <c r="B1649" s="1" t="n">
        <v>45161</v>
      </c>
      <c r="C1649" s="1" t="n">
        <v>45574</v>
      </c>
      <c r="D1649" t="inlineStr">
        <is>
          <t>VÄRMLANDS LÄN</t>
        </is>
      </c>
      <c r="E1649" t="inlineStr">
        <is>
          <t>TORSBY</t>
        </is>
      </c>
      <c r="F1649" t="inlineStr">
        <is>
          <t>Kyrkan</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38541-2023</t>
        </is>
      </c>
      <c r="B1650" s="1" t="n">
        <v>45162</v>
      </c>
      <c r="C1650" s="1" t="n">
        <v>45574</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38641-2023</t>
        </is>
      </c>
      <c r="B1651" s="1" t="n">
        <v>45162</v>
      </c>
      <c r="C1651" s="1" t="n">
        <v>45574</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38637-2023</t>
        </is>
      </c>
      <c r="B1652" s="1" t="n">
        <v>45162</v>
      </c>
      <c r="C1652" s="1" t="n">
        <v>45574</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38668-2023</t>
        </is>
      </c>
      <c r="B1653" s="1" t="n">
        <v>45162</v>
      </c>
      <c r="C1653" s="1" t="n">
        <v>45574</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39408-2023</t>
        </is>
      </c>
      <c r="B1654" s="1" t="n">
        <v>45163</v>
      </c>
      <c r="C1654" s="1" t="n">
        <v>45574</v>
      </c>
      <c r="D1654" t="inlineStr">
        <is>
          <t>VÄRMLANDS LÄN</t>
        </is>
      </c>
      <c r="E1654" t="inlineStr">
        <is>
          <t>TORSBY</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38991-2023</t>
        </is>
      </c>
      <c r="B1655" s="1" t="n">
        <v>45163</v>
      </c>
      <c r="C1655" s="1" t="n">
        <v>45574</v>
      </c>
      <c r="D1655" t="inlineStr">
        <is>
          <t>VÄRMLANDS LÄN</t>
        </is>
      </c>
      <c r="E1655" t="inlineStr">
        <is>
          <t>TORSBY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38722-2023</t>
        </is>
      </c>
      <c r="B1656" s="1" t="n">
        <v>45163</v>
      </c>
      <c r="C1656" s="1" t="n">
        <v>45574</v>
      </c>
      <c r="D1656" t="inlineStr">
        <is>
          <t>VÄRMLANDS LÄN</t>
        </is>
      </c>
      <c r="E1656" t="inlineStr">
        <is>
          <t>TORSBY</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38979-2023</t>
        </is>
      </c>
      <c r="B1657" s="1" t="n">
        <v>45163</v>
      </c>
      <c r="C1657" s="1" t="n">
        <v>45574</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39131-2023</t>
        </is>
      </c>
      <c r="B1658" s="1" t="n">
        <v>45165</v>
      </c>
      <c r="C1658" s="1" t="n">
        <v>45574</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39134-2023</t>
        </is>
      </c>
      <c r="B1659" s="1" t="n">
        <v>45165</v>
      </c>
      <c r="C1659" s="1" t="n">
        <v>45574</v>
      </c>
      <c r="D1659" t="inlineStr">
        <is>
          <t>VÄRMLANDS LÄN</t>
        </is>
      </c>
      <c r="E1659" t="inlineStr">
        <is>
          <t>TORSBY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39390-2023</t>
        </is>
      </c>
      <c r="B1660" s="1" t="n">
        <v>45166</v>
      </c>
      <c r="C1660" s="1" t="n">
        <v>45574</v>
      </c>
      <c r="D1660" t="inlineStr">
        <is>
          <t>VÄRMLANDS LÄN</t>
        </is>
      </c>
      <c r="E1660" t="inlineStr">
        <is>
          <t>TORSBY</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39339-2023</t>
        </is>
      </c>
      <c r="B1661" s="1" t="n">
        <v>45166</v>
      </c>
      <c r="C1661" s="1" t="n">
        <v>45574</v>
      </c>
      <c r="D1661" t="inlineStr">
        <is>
          <t>VÄRMLANDS LÄN</t>
        </is>
      </c>
      <c r="E1661" t="inlineStr">
        <is>
          <t>TORSBY</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39374-2023</t>
        </is>
      </c>
      <c r="B1662" s="1" t="n">
        <v>45166</v>
      </c>
      <c r="C1662" s="1" t="n">
        <v>45574</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39677-2023</t>
        </is>
      </c>
      <c r="B1663" s="1" t="n">
        <v>45166</v>
      </c>
      <c r="C1663" s="1" t="n">
        <v>45574</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39648-2023</t>
        </is>
      </c>
      <c r="B1664" s="1" t="n">
        <v>45167</v>
      </c>
      <c r="C1664" s="1" t="n">
        <v>45574</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39732-2023</t>
        </is>
      </c>
      <c r="B1665" s="1" t="n">
        <v>45167</v>
      </c>
      <c r="C1665" s="1" t="n">
        <v>45574</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39921-2023</t>
        </is>
      </c>
      <c r="B1666" s="1" t="n">
        <v>45168</v>
      </c>
      <c r="C1666" s="1" t="n">
        <v>45574</v>
      </c>
      <c r="D1666" t="inlineStr">
        <is>
          <t>VÄRMLANDS LÄN</t>
        </is>
      </c>
      <c r="E1666" t="inlineStr">
        <is>
          <t>TORSBY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39910-2023</t>
        </is>
      </c>
      <c r="B1667" s="1" t="n">
        <v>45168</v>
      </c>
      <c r="C1667" s="1" t="n">
        <v>45574</v>
      </c>
      <c r="D1667" t="inlineStr">
        <is>
          <t>VÄRMLANDS LÄN</t>
        </is>
      </c>
      <c r="E1667" t="inlineStr">
        <is>
          <t>TORSBY</t>
        </is>
      </c>
      <c r="F1667" t="inlineStr">
        <is>
          <t>Kyrkan</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40007-2023</t>
        </is>
      </c>
      <c r="B1668" s="1" t="n">
        <v>45168</v>
      </c>
      <c r="C1668" s="1" t="n">
        <v>45574</v>
      </c>
      <c r="D1668" t="inlineStr">
        <is>
          <t>VÄRMLANDS LÄN</t>
        </is>
      </c>
      <c r="E1668" t="inlineStr">
        <is>
          <t>TORSBY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39969-2023</t>
        </is>
      </c>
      <c r="B1669" s="1" t="n">
        <v>45168</v>
      </c>
      <c r="C1669" s="1" t="n">
        <v>45574</v>
      </c>
      <c r="D1669" t="inlineStr">
        <is>
          <t>VÄRMLANDS LÄN</t>
        </is>
      </c>
      <c r="E1669" t="inlineStr">
        <is>
          <t>TORSBY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40207-2023</t>
        </is>
      </c>
      <c r="B1670" s="1" t="n">
        <v>45169</v>
      </c>
      <c r="C1670" s="1" t="n">
        <v>45574</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40228-2023</t>
        </is>
      </c>
      <c r="B1671" s="1" t="n">
        <v>45169</v>
      </c>
      <c r="C1671" s="1" t="n">
        <v>45574</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40222-2023</t>
        </is>
      </c>
      <c r="B1672" s="1" t="n">
        <v>45169</v>
      </c>
      <c r="C1672" s="1" t="n">
        <v>45574</v>
      </c>
      <c r="D1672" t="inlineStr">
        <is>
          <t>VÄRMLANDS LÄN</t>
        </is>
      </c>
      <c r="E1672" t="inlineStr">
        <is>
          <t>TORSBY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40468-2023</t>
        </is>
      </c>
      <c r="B1673" s="1" t="n">
        <v>45170</v>
      </c>
      <c r="C1673" s="1" t="n">
        <v>45574</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40512-2023</t>
        </is>
      </c>
      <c r="B1674" s="1" t="n">
        <v>45170</v>
      </c>
      <c r="C1674" s="1" t="n">
        <v>45574</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40470-2023</t>
        </is>
      </c>
      <c r="B1675" s="1" t="n">
        <v>45170</v>
      </c>
      <c r="C1675" s="1" t="n">
        <v>45574</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40538-2023</t>
        </is>
      </c>
      <c r="B1676" s="1" t="n">
        <v>45170</v>
      </c>
      <c r="C1676" s="1" t="n">
        <v>45574</v>
      </c>
      <c r="D1676" t="inlineStr">
        <is>
          <t>VÄRMLANDS LÄN</t>
        </is>
      </c>
      <c r="E1676" t="inlineStr">
        <is>
          <t>TORSBY</t>
        </is>
      </c>
      <c r="F1676" t="inlineStr">
        <is>
          <t>Bergvik skog väst AB</t>
        </is>
      </c>
      <c r="G1676" t="n">
        <v>31.4</v>
      </c>
      <c r="H1676" t="n">
        <v>0</v>
      </c>
      <c r="I1676" t="n">
        <v>0</v>
      </c>
      <c r="J1676" t="n">
        <v>0</v>
      </c>
      <c r="K1676" t="n">
        <v>0</v>
      </c>
      <c r="L1676" t="n">
        <v>0</v>
      </c>
      <c r="M1676" t="n">
        <v>0</v>
      </c>
      <c r="N1676" t="n">
        <v>0</v>
      </c>
      <c r="O1676" t="n">
        <v>0</v>
      </c>
      <c r="P1676" t="n">
        <v>0</v>
      </c>
      <c r="Q1676" t="n">
        <v>0</v>
      </c>
      <c r="R1676" s="2" t="inlineStr"/>
    </row>
    <row r="1677" ht="15" customHeight="1">
      <c r="A1677" t="inlineStr">
        <is>
          <t>A 41469-2023</t>
        </is>
      </c>
      <c r="B1677" s="1" t="n">
        <v>45170</v>
      </c>
      <c r="C1677" s="1" t="n">
        <v>45574</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40858-2023</t>
        </is>
      </c>
      <c r="B1678" s="1" t="n">
        <v>45173</v>
      </c>
      <c r="C1678" s="1" t="n">
        <v>45574</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40971-2023</t>
        </is>
      </c>
      <c r="B1679" s="1" t="n">
        <v>45173</v>
      </c>
      <c r="C1679" s="1" t="n">
        <v>45574</v>
      </c>
      <c r="D1679" t="inlineStr">
        <is>
          <t>VÄRMLANDS LÄN</t>
        </is>
      </c>
      <c r="E1679" t="inlineStr">
        <is>
          <t>TORSBY</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41096-2023</t>
        </is>
      </c>
      <c r="B1680" s="1" t="n">
        <v>45173</v>
      </c>
      <c r="C1680" s="1" t="n">
        <v>45574</v>
      </c>
      <c r="D1680" t="inlineStr">
        <is>
          <t>VÄRMLANDS LÄN</t>
        </is>
      </c>
      <c r="E1680" t="inlineStr">
        <is>
          <t>TORSBY</t>
        </is>
      </c>
      <c r="F1680" t="inlineStr">
        <is>
          <t>Bergvik skog väst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41056-2023</t>
        </is>
      </c>
      <c r="B1681" s="1" t="n">
        <v>45173</v>
      </c>
      <c r="C1681" s="1" t="n">
        <v>45574</v>
      </c>
      <c r="D1681" t="inlineStr">
        <is>
          <t>VÄRMLANDS LÄN</t>
        </is>
      </c>
      <c r="E1681" t="inlineStr">
        <is>
          <t>TORSBY</t>
        </is>
      </c>
      <c r="F1681" t="inlineStr">
        <is>
          <t>Bergvik skog väst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41022-2023</t>
        </is>
      </c>
      <c r="B1682" s="1" t="n">
        <v>45173</v>
      </c>
      <c r="C1682" s="1" t="n">
        <v>45574</v>
      </c>
      <c r="D1682" t="inlineStr">
        <is>
          <t>VÄRMLANDS LÄN</t>
        </is>
      </c>
      <c r="E1682" t="inlineStr">
        <is>
          <t>TORSBY</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41050-2023</t>
        </is>
      </c>
      <c r="B1683" s="1" t="n">
        <v>45173</v>
      </c>
      <c r="C1683" s="1" t="n">
        <v>45574</v>
      </c>
      <c r="D1683" t="inlineStr">
        <is>
          <t>VÄRMLANDS LÄN</t>
        </is>
      </c>
      <c r="E1683" t="inlineStr">
        <is>
          <t>TORSBY</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41059-2023</t>
        </is>
      </c>
      <c r="B1684" s="1" t="n">
        <v>45173</v>
      </c>
      <c r="C1684" s="1" t="n">
        <v>45574</v>
      </c>
      <c r="D1684" t="inlineStr">
        <is>
          <t>VÄRMLANDS LÄN</t>
        </is>
      </c>
      <c r="E1684" t="inlineStr">
        <is>
          <t>TORSBY</t>
        </is>
      </c>
      <c r="F1684" t="inlineStr">
        <is>
          <t>Bergvik skog väst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41156-2023</t>
        </is>
      </c>
      <c r="B1685" s="1" t="n">
        <v>45174</v>
      </c>
      <c r="C1685" s="1" t="n">
        <v>45574</v>
      </c>
      <c r="D1685" t="inlineStr">
        <is>
          <t>VÄRMLANDS LÄN</t>
        </is>
      </c>
      <c r="E1685" t="inlineStr">
        <is>
          <t>TORSBY</t>
        </is>
      </c>
      <c r="F1685" t="inlineStr">
        <is>
          <t>Kyrkan</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41160-2023</t>
        </is>
      </c>
      <c r="B1686" s="1" t="n">
        <v>45174</v>
      </c>
      <c r="C1686" s="1" t="n">
        <v>45574</v>
      </c>
      <c r="D1686" t="inlineStr">
        <is>
          <t>VÄRMLANDS LÄN</t>
        </is>
      </c>
      <c r="E1686" t="inlineStr">
        <is>
          <t>TORSBY</t>
        </is>
      </c>
      <c r="F1686" t="inlineStr">
        <is>
          <t>Kyrkan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41246-2023</t>
        </is>
      </c>
      <c r="B1687" s="1" t="n">
        <v>45174</v>
      </c>
      <c r="C1687" s="1" t="n">
        <v>45574</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41270-2023</t>
        </is>
      </c>
      <c r="B1688" s="1" t="n">
        <v>45174</v>
      </c>
      <c r="C1688" s="1" t="n">
        <v>45574</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42069-2023</t>
        </is>
      </c>
      <c r="B1689" s="1" t="n">
        <v>45174</v>
      </c>
      <c r="C1689" s="1" t="n">
        <v>45574</v>
      </c>
      <c r="D1689" t="inlineStr">
        <is>
          <t>VÄRMLANDS LÄN</t>
        </is>
      </c>
      <c r="E1689" t="inlineStr">
        <is>
          <t>TORSBY</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42060-2023</t>
        </is>
      </c>
      <c r="B1690" s="1" t="n">
        <v>45174</v>
      </c>
      <c r="C1690" s="1" t="n">
        <v>45574</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41488-2023</t>
        </is>
      </c>
      <c r="B1691" s="1" t="n">
        <v>45175</v>
      </c>
      <c r="C1691" s="1" t="n">
        <v>45574</v>
      </c>
      <c r="D1691" t="inlineStr">
        <is>
          <t>VÄRMLANDS LÄN</t>
        </is>
      </c>
      <c r="E1691" t="inlineStr">
        <is>
          <t>TORSBY</t>
        </is>
      </c>
      <c r="F1691" t="inlineStr">
        <is>
          <t>Kyrkan</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41438-2023</t>
        </is>
      </c>
      <c r="B1692" s="1" t="n">
        <v>45175</v>
      </c>
      <c r="C1692" s="1" t="n">
        <v>45574</v>
      </c>
      <c r="D1692" t="inlineStr">
        <is>
          <t>VÄRMLANDS LÄN</t>
        </is>
      </c>
      <c r="E1692" t="inlineStr">
        <is>
          <t>TORSBY</t>
        </is>
      </c>
      <c r="F1692" t="inlineStr">
        <is>
          <t>Kyrkan</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41431-2023</t>
        </is>
      </c>
      <c r="B1693" s="1" t="n">
        <v>45175</v>
      </c>
      <c r="C1693" s="1" t="n">
        <v>45574</v>
      </c>
      <c r="D1693" t="inlineStr">
        <is>
          <t>VÄRMLANDS LÄN</t>
        </is>
      </c>
      <c r="E1693" t="inlineStr">
        <is>
          <t>TORSBY</t>
        </is>
      </c>
      <c r="F1693" t="inlineStr">
        <is>
          <t>Bergvik skog väst AB</t>
        </is>
      </c>
      <c r="G1693" t="n">
        <v>14.7</v>
      </c>
      <c r="H1693" t="n">
        <v>0</v>
      </c>
      <c r="I1693" t="n">
        <v>0</v>
      </c>
      <c r="J1693" t="n">
        <v>0</v>
      </c>
      <c r="K1693" t="n">
        <v>0</v>
      </c>
      <c r="L1693" t="n">
        <v>0</v>
      </c>
      <c r="M1693" t="n">
        <v>0</v>
      </c>
      <c r="N1693" t="n">
        <v>0</v>
      </c>
      <c r="O1693" t="n">
        <v>0</v>
      </c>
      <c r="P1693" t="n">
        <v>0</v>
      </c>
      <c r="Q1693" t="n">
        <v>0</v>
      </c>
      <c r="R1693" s="2" t="inlineStr"/>
    </row>
    <row r="1694" ht="15" customHeight="1">
      <c r="A1694" t="inlineStr">
        <is>
          <t>A 41867-2023</t>
        </is>
      </c>
      <c r="B1694" s="1" t="n">
        <v>45176</v>
      </c>
      <c r="C1694" s="1" t="n">
        <v>45574</v>
      </c>
      <c r="D1694" t="inlineStr">
        <is>
          <t>VÄRMLANDS LÄN</t>
        </is>
      </c>
      <c r="E1694" t="inlineStr">
        <is>
          <t>TORSBY</t>
        </is>
      </c>
      <c r="F1694" t="inlineStr">
        <is>
          <t>Bergvik skog väst AB</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41833-2023</t>
        </is>
      </c>
      <c r="B1695" s="1" t="n">
        <v>45176</v>
      </c>
      <c r="C1695" s="1" t="n">
        <v>45574</v>
      </c>
      <c r="D1695" t="inlineStr">
        <is>
          <t>VÄRMLANDS LÄN</t>
        </is>
      </c>
      <c r="E1695" t="inlineStr">
        <is>
          <t>TORSBY</t>
        </is>
      </c>
      <c r="F1695" t="inlineStr">
        <is>
          <t>Bergvik skog väst AB</t>
        </is>
      </c>
      <c r="G1695" t="n">
        <v>21.7</v>
      </c>
      <c r="H1695" t="n">
        <v>0</v>
      </c>
      <c r="I1695" t="n">
        <v>0</v>
      </c>
      <c r="J1695" t="n">
        <v>0</v>
      </c>
      <c r="K1695" t="n">
        <v>0</v>
      </c>
      <c r="L1695" t="n">
        <v>0</v>
      </c>
      <c r="M1695" t="n">
        <v>0</v>
      </c>
      <c r="N1695" t="n">
        <v>0</v>
      </c>
      <c r="O1695" t="n">
        <v>0</v>
      </c>
      <c r="P1695" t="n">
        <v>0</v>
      </c>
      <c r="Q1695" t="n">
        <v>0</v>
      </c>
      <c r="R1695" s="2" t="inlineStr"/>
    </row>
    <row r="1696" ht="15" customHeight="1">
      <c r="A1696" t="inlineStr">
        <is>
          <t>A 41841-2023</t>
        </is>
      </c>
      <c r="B1696" s="1" t="n">
        <v>45176</v>
      </c>
      <c r="C1696" s="1" t="n">
        <v>45574</v>
      </c>
      <c r="D1696" t="inlineStr">
        <is>
          <t>VÄRMLANDS LÄN</t>
        </is>
      </c>
      <c r="E1696" t="inlineStr">
        <is>
          <t>TORSBY</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41885-2023</t>
        </is>
      </c>
      <c r="B1697" s="1" t="n">
        <v>45176</v>
      </c>
      <c r="C1697" s="1" t="n">
        <v>45574</v>
      </c>
      <c r="D1697" t="inlineStr">
        <is>
          <t>VÄRMLANDS LÄN</t>
        </is>
      </c>
      <c r="E1697" t="inlineStr">
        <is>
          <t>TORSBY</t>
        </is>
      </c>
      <c r="F1697" t="inlineStr">
        <is>
          <t>Bergvik skog väst AB</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41843-2023</t>
        </is>
      </c>
      <c r="B1698" s="1" t="n">
        <v>45176</v>
      </c>
      <c r="C1698" s="1" t="n">
        <v>45574</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41868-2023</t>
        </is>
      </c>
      <c r="B1699" s="1" t="n">
        <v>45176</v>
      </c>
      <c r="C1699" s="1" t="n">
        <v>45574</v>
      </c>
      <c r="D1699" t="inlineStr">
        <is>
          <t>VÄRMLANDS LÄN</t>
        </is>
      </c>
      <c r="E1699" t="inlineStr">
        <is>
          <t>TORSBY</t>
        </is>
      </c>
      <c r="F1699" t="inlineStr">
        <is>
          <t>Bergvik skog väst AB</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42062-2023</t>
        </is>
      </c>
      <c r="B1700" s="1" t="n">
        <v>45177</v>
      </c>
      <c r="C1700" s="1" t="n">
        <v>45574</v>
      </c>
      <c r="D1700" t="inlineStr">
        <is>
          <t>VÄRMLANDS LÄN</t>
        </is>
      </c>
      <c r="E1700" t="inlineStr">
        <is>
          <t>TORSBY</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42245-2023</t>
        </is>
      </c>
      <c r="B1701" s="1" t="n">
        <v>45180</v>
      </c>
      <c r="C1701" s="1" t="n">
        <v>45574</v>
      </c>
      <c r="D1701" t="inlineStr">
        <is>
          <t>VÄRMLANDS LÄN</t>
        </is>
      </c>
      <c r="E1701" t="inlineStr">
        <is>
          <t>TORSBY</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42473-2023</t>
        </is>
      </c>
      <c r="B1702" s="1" t="n">
        <v>45180</v>
      </c>
      <c r="C1702" s="1" t="n">
        <v>45574</v>
      </c>
      <c r="D1702" t="inlineStr">
        <is>
          <t>VÄRMLANDS LÄN</t>
        </is>
      </c>
      <c r="E1702" t="inlineStr">
        <is>
          <t>TORSBY</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42403-2023</t>
        </is>
      </c>
      <c r="B1703" s="1" t="n">
        <v>45180</v>
      </c>
      <c r="C1703" s="1" t="n">
        <v>45574</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42420-2023</t>
        </is>
      </c>
      <c r="B1704" s="1" t="n">
        <v>45180</v>
      </c>
      <c r="C1704" s="1" t="n">
        <v>45574</v>
      </c>
      <c r="D1704" t="inlineStr">
        <is>
          <t>VÄRMLANDS LÄN</t>
        </is>
      </c>
      <c r="E1704" t="inlineStr">
        <is>
          <t>TORSBY</t>
        </is>
      </c>
      <c r="F1704" t="inlineStr">
        <is>
          <t>Bergvik skog väst AB</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43532-2023</t>
        </is>
      </c>
      <c r="B1705" s="1" t="n">
        <v>45181</v>
      </c>
      <c r="C1705" s="1" t="n">
        <v>45574</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43529-2023</t>
        </is>
      </c>
      <c r="B1706" s="1" t="n">
        <v>45181</v>
      </c>
      <c r="C1706" s="1" t="n">
        <v>45574</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43527-2023</t>
        </is>
      </c>
      <c r="B1707" s="1" t="n">
        <v>45181</v>
      </c>
      <c r="C1707" s="1" t="n">
        <v>45574</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43536-2023</t>
        </is>
      </c>
      <c r="B1708" s="1" t="n">
        <v>45181</v>
      </c>
      <c r="C1708" s="1" t="n">
        <v>45574</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43528-2023</t>
        </is>
      </c>
      <c r="B1709" s="1" t="n">
        <v>45181</v>
      </c>
      <c r="C1709" s="1" t="n">
        <v>45574</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42645-2023</t>
        </is>
      </c>
      <c r="B1710" s="1" t="n">
        <v>45181</v>
      </c>
      <c r="C1710" s="1" t="n">
        <v>45574</v>
      </c>
      <c r="D1710" t="inlineStr">
        <is>
          <t>VÄRMLANDS LÄN</t>
        </is>
      </c>
      <c r="E1710" t="inlineStr">
        <is>
          <t>TORSBY</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42652-2023</t>
        </is>
      </c>
      <c r="B1711" s="1" t="n">
        <v>45181</v>
      </c>
      <c r="C1711" s="1" t="n">
        <v>45574</v>
      </c>
      <c r="D1711" t="inlineStr">
        <is>
          <t>VÄRMLANDS LÄN</t>
        </is>
      </c>
      <c r="E1711" t="inlineStr">
        <is>
          <t>TORSBY</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42656-2023</t>
        </is>
      </c>
      <c r="B1712" s="1" t="n">
        <v>45181</v>
      </c>
      <c r="C1712" s="1" t="n">
        <v>45574</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42581-2023</t>
        </is>
      </c>
      <c r="B1713" s="1" t="n">
        <v>45181</v>
      </c>
      <c r="C1713" s="1" t="n">
        <v>45574</v>
      </c>
      <c r="D1713" t="inlineStr">
        <is>
          <t>VÄRMLANDS LÄN</t>
        </is>
      </c>
      <c r="E1713" t="inlineStr">
        <is>
          <t>TORSBY</t>
        </is>
      </c>
      <c r="G1713" t="n">
        <v>17.6</v>
      </c>
      <c r="H1713" t="n">
        <v>0</v>
      </c>
      <c r="I1713" t="n">
        <v>0</v>
      </c>
      <c r="J1713" t="n">
        <v>0</v>
      </c>
      <c r="K1713" t="n">
        <v>0</v>
      </c>
      <c r="L1713" t="n">
        <v>0</v>
      </c>
      <c r="M1713" t="n">
        <v>0</v>
      </c>
      <c r="N1713" t="n">
        <v>0</v>
      </c>
      <c r="O1713" t="n">
        <v>0</v>
      </c>
      <c r="P1713" t="n">
        <v>0</v>
      </c>
      <c r="Q1713" t="n">
        <v>0</v>
      </c>
      <c r="R1713" s="2" t="inlineStr"/>
    </row>
    <row r="1714" ht="15" customHeight="1">
      <c r="A1714" t="inlineStr">
        <is>
          <t>A 42613-2023</t>
        </is>
      </c>
      <c r="B1714" s="1" t="n">
        <v>45181</v>
      </c>
      <c r="C1714" s="1" t="n">
        <v>45574</v>
      </c>
      <c r="D1714" t="inlineStr">
        <is>
          <t>VÄRMLANDS LÄN</t>
        </is>
      </c>
      <c r="E1714" t="inlineStr">
        <is>
          <t>TORSBY</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42635-2023</t>
        </is>
      </c>
      <c r="B1715" s="1" t="n">
        <v>45181</v>
      </c>
      <c r="C1715" s="1" t="n">
        <v>45574</v>
      </c>
      <c r="D1715" t="inlineStr">
        <is>
          <t>VÄRMLANDS LÄN</t>
        </is>
      </c>
      <c r="E1715" t="inlineStr">
        <is>
          <t>TORSBY</t>
        </is>
      </c>
      <c r="G1715" t="n">
        <v>16.1</v>
      </c>
      <c r="H1715" t="n">
        <v>0</v>
      </c>
      <c r="I1715" t="n">
        <v>0</v>
      </c>
      <c r="J1715" t="n">
        <v>0</v>
      </c>
      <c r="K1715" t="n">
        <v>0</v>
      </c>
      <c r="L1715" t="n">
        <v>0</v>
      </c>
      <c r="M1715" t="n">
        <v>0</v>
      </c>
      <c r="N1715" t="n">
        <v>0</v>
      </c>
      <c r="O1715" t="n">
        <v>0</v>
      </c>
      <c r="P1715" t="n">
        <v>0</v>
      </c>
      <c r="Q1715" t="n">
        <v>0</v>
      </c>
      <c r="R1715" s="2" t="inlineStr"/>
    </row>
    <row r="1716" ht="15" customHeight="1">
      <c r="A1716" t="inlineStr">
        <is>
          <t>A 42658-2023</t>
        </is>
      </c>
      <c r="B1716" s="1" t="n">
        <v>45181</v>
      </c>
      <c r="C1716" s="1" t="n">
        <v>45574</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42710-2023</t>
        </is>
      </c>
      <c r="B1717" s="1" t="n">
        <v>45181</v>
      </c>
      <c r="C1717" s="1" t="n">
        <v>45574</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42632-2023</t>
        </is>
      </c>
      <c r="B1718" s="1" t="n">
        <v>45181</v>
      </c>
      <c r="C1718" s="1" t="n">
        <v>45574</v>
      </c>
      <c r="D1718" t="inlineStr">
        <is>
          <t>VÄRMLANDS LÄN</t>
        </is>
      </c>
      <c r="E1718" t="inlineStr">
        <is>
          <t>TORSBY</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42944-2023</t>
        </is>
      </c>
      <c r="B1719" s="1" t="n">
        <v>45182</v>
      </c>
      <c r="C1719" s="1" t="n">
        <v>45574</v>
      </c>
      <c r="D1719" t="inlineStr">
        <is>
          <t>VÄRMLANDS LÄN</t>
        </is>
      </c>
      <c r="E1719" t="inlineStr">
        <is>
          <t>TORSBY</t>
        </is>
      </c>
      <c r="F1719" t="inlineStr">
        <is>
          <t>Bergvik skog väst AB</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43084-2023</t>
        </is>
      </c>
      <c r="B1720" s="1" t="n">
        <v>45182</v>
      </c>
      <c r="C1720" s="1" t="n">
        <v>45574</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44083-2023</t>
        </is>
      </c>
      <c r="B1721" s="1" t="n">
        <v>45182</v>
      </c>
      <c r="C1721" s="1" t="n">
        <v>45574</v>
      </c>
      <c r="D1721" t="inlineStr">
        <is>
          <t>VÄRMLANDS LÄN</t>
        </is>
      </c>
      <c r="E1721" t="inlineStr">
        <is>
          <t>TORSBY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44094-2023</t>
        </is>
      </c>
      <c r="B1722" s="1" t="n">
        <v>45182</v>
      </c>
      <c r="C1722" s="1" t="n">
        <v>45574</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43179-2023</t>
        </is>
      </c>
      <c r="B1723" s="1" t="n">
        <v>45183</v>
      </c>
      <c r="C1723" s="1" t="n">
        <v>45574</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43361-2023</t>
        </is>
      </c>
      <c r="B1724" s="1" t="n">
        <v>45183</v>
      </c>
      <c r="C1724" s="1" t="n">
        <v>45574</v>
      </c>
      <c r="D1724" t="inlineStr">
        <is>
          <t>VÄRMLANDS LÄN</t>
        </is>
      </c>
      <c r="E1724" t="inlineStr">
        <is>
          <t>TORSBY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43540-2023</t>
        </is>
      </c>
      <c r="B1725" s="1" t="n">
        <v>45184</v>
      </c>
      <c r="C1725" s="1" t="n">
        <v>45574</v>
      </c>
      <c r="D1725" t="inlineStr">
        <is>
          <t>VÄRMLANDS LÄN</t>
        </is>
      </c>
      <c r="E1725" t="inlineStr">
        <is>
          <t>TORSBY</t>
        </is>
      </c>
      <c r="F1725" t="inlineStr">
        <is>
          <t>Bergvik skog väst AB</t>
        </is>
      </c>
      <c r="G1725" t="n">
        <v>11.3</v>
      </c>
      <c r="H1725" t="n">
        <v>0</v>
      </c>
      <c r="I1725" t="n">
        <v>0</v>
      </c>
      <c r="J1725" t="n">
        <v>0</v>
      </c>
      <c r="K1725" t="n">
        <v>0</v>
      </c>
      <c r="L1725" t="n">
        <v>0</v>
      </c>
      <c r="M1725" t="n">
        <v>0</v>
      </c>
      <c r="N1725" t="n">
        <v>0</v>
      </c>
      <c r="O1725" t="n">
        <v>0</v>
      </c>
      <c r="P1725" t="n">
        <v>0</v>
      </c>
      <c r="Q1725" t="n">
        <v>0</v>
      </c>
      <c r="R1725" s="2" t="inlineStr"/>
    </row>
    <row r="1726" ht="15" customHeight="1">
      <c r="A1726" t="inlineStr">
        <is>
          <t>A 43562-2023</t>
        </is>
      </c>
      <c r="B1726" s="1" t="n">
        <v>45184</v>
      </c>
      <c r="C1726" s="1" t="n">
        <v>45574</v>
      </c>
      <c r="D1726" t="inlineStr">
        <is>
          <t>VÄRMLANDS LÄN</t>
        </is>
      </c>
      <c r="E1726" t="inlineStr">
        <is>
          <t>TORSBY</t>
        </is>
      </c>
      <c r="F1726" t="inlineStr">
        <is>
          <t>Kommuner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43599-2023</t>
        </is>
      </c>
      <c r="B1727" s="1" t="n">
        <v>45184</v>
      </c>
      <c r="C1727" s="1" t="n">
        <v>45574</v>
      </c>
      <c r="D1727" t="inlineStr">
        <is>
          <t>VÄRMLANDS LÄN</t>
        </is>
      </c>
      <c r="E1727" t="inlineStr">
        <is>
          <t>TORSBY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43663-2023</t>
        </is>
      </c>
      <c r="B1728" s="1" t="n">
        <v>45187</v>
      </c>
      <c r="C1728" s="1" t="n">
        <v>45574</v>
      </c>
      <c r="D1728" t="inlineStr">
        <is>
          <t>VÄRMLANDS LÄN</t>
        </is>
      </c>
      <c r="E1728" t="inlineStr">
        <is>
          <t>TORSBY</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43670-2023</t>
        </is>
      </c>
      <c r="B1729" s="1" t="n">
        <v>45187</v>
      </c>
      <c r="C1729" s="1" t="n">
        <v>45574</v>
      </c>
      <c r="D1729" t="inlineStr">
        <is>
          <t>VÄRMLANDS LÄN</t>
        </is>
      </c>
      <c r="E1729" t="inlineStr">
        <is>
          <t>TORSBY</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44047-2023</t>
        </is>
      </c>
      <c r="B1730" s="1" t="n">
        <v>45188</v>
      </c>
      <c r="C1730" s="1" t="n">
        <v>45574</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44150-2023</t>
        </is>
      </c>
      <c r="B1731" s="1" t="n">
        <v>45188</v>
      </c>
      <c r="C1731" s="1" t="n">
        <v>45574</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44044-2023</t>
        </is>
      </c>
      <c r="B1732" s="1" t="n">
        <v>45188</v>
      </c>
      <c r="C1732" s="1" t="n">
        <v>45574</v>
      </c>
      <c r="D1732" t="inlineStr">
        <is>
          <t>VÄRMLANDS LÄN</t>
        </is>
      </c>
      <c r="E1732" t="inlineStr">
        <is>
          <t>TORSBY</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44127-2023</t>
        </is>
      </c>
      <c r="B1733" s="1" t="n">
        <v>45188</v>
      </c>
      <c r="C1733" s="1" t="n">
        <v>45574</v>
      </c>
      <c r="D1733" t="inlineStr">
        <is>
          <t>VÄRMLANDS LÄN</t>
        </is>
      </c>
      <c r="E1733" t="inlineStr">
        <is>
          <t>TORSBY</t>
        </is>
      </c>
      <c r="F1733" t="inlineStr">
        <is>
          <t>Bergvik skog väst AB</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44262-2023</t>
        </is>
      </c>
      <c r="B1734" s="1" t="n">
        <v>45188</v>
      </c>
      <c r="C1734" s="1" t="n">
        <v>45574</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44113-2023</t>
        </is>
      </c>
      <c r="B1735" s="1" t="n">
        <v>45188</v>
      </c>
      <c r="C1735" s="1" t="n">
        <v>45574</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44424-2023</t>
        </is>
      </c>
      <c r="B1736" s="1" t="n">
        <v>45189</v>
      </c>
      <c r="C1736" s="1" t="n">
        <v>45574</v>
      </c>
      <c r="D1736" t="inlineStr">
        <is>
          <t>VÄRMLANDS LÄN</t>
        </is>
      </c>
      <c r="E1736" t="inlineStr">
        <is>
          <t>TORSBY</t>
        </is>
      </c>
      <c r="F1736" t="inlineStr">
        <is>
          <t>Kyrkan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44497-2023</t>
        </is>
      </c>
      <c r="B1737" s="1" t="n">
        <v>45189</v>
      </c>
      <c r="C1737" s="1" t="n">
        <v>45574</v>
      </c>
      <c r="D1737" t="inlineStr">
        <is>
          <t>VÄRMLANDS LÄN</t>
        </is>
      </c>
      <c r="E1737" t="inlineStr">
        <is>
          <t>TORSBY</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44562-2023</t>
        </is>
      </c>
      <c r="B1738" s="1" t="n">
        <v>45189</v>
      </c>
      <c r="C1738" s="1" t="n">
        <v>45574</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44641-2023</t>
        </is>
      </c>
      <c r="B1739" s="1" t="n">
        <v>45189</v>
      </c>
      <c r="C1739" s="1" t="n">
        <v>45574</v>
      </c>
      <c r="D1739" t="inlineStr">
        <is>
          <t>VÄRMLANDS LÄN</t>
        </is>
      </c>
      <c r="E1739" t="inlineStr">
        <is>
          <t>TORSBY</t>
        </is>
      </c>
      <c r="F1739" t="inlineStr">
        <is>
          <t>Bergvik skog väst AB</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44645-2023</t>
        </is>
      </c>
      <c r="B1740" s="1" t="n">
        <v>45189</v>
      </c>
      <c r="C1740" s="1" t="n">
        <v>45574</v>
      </c>
      <c r="D1740" t="inlineStr">
        <is>
          <t>VÄRMLANDS LÄN</t>
        </is>
      </c>
      <c r="E1740" t="inlineStr">
        <is>
          <t>TORSBY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44670-2023</t>
        </is>
      </c>
      <c r="B1741" s="1" t="n">
        <v>45189</v>
      </c>
      <c r="C1741" s="1" t="n">
        <v>45574</v>
      </c>
      <c r="D1741" t="inlineStr">
        <is>
          <t>VÄRMLANDS LÄN</t>
        </is>
      </c>
      <c r="E1741" t="inlineStr">
        <is>
          <t>TORSBY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44710-2023</t>
        </is>
      </c>
      <c r="B1742" s="1" t="n">
        <v>45190</v>
      </c>
      <c r="C1742" s="1" t="n">
        <v>45574</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44730-2023</t>
        </is>
      </c>
      <c r="B1743" s="1" t="n">
        <v>45190</v>
      </c>
      <c r="C1743" s="1" t="n">
        <v>45574</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45224-2023</t>
        </is>
      </c>
      <c r="B1744" s="1" t="n">
        <v>45191</v>
      </c>
      <c r="C1744" s="1" t="n">
        <v>45574</v>
      </c>
      <c r="D1744" t="inlineStr">
        <is>
          <t>VÄRMLANDS LÄN</t>
        </is>
      </c>
      <c r="E1744" t="inlineStr">
        <is>
          <t>TORSBY</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45041-2023</t>
        </is>
      </c>
      <c r="B1745" s="1" t="n">
        <v>45191</v>
      </c>
      <c r="C1745" s="1" t="n">
        <v>45574</v>
      </c>
      <c r="D1745" t="inlineStr">
        <is>
          <t>VÄRMLANDS LÄN</t>
        </is>
      </c>
      <c r="E1745" t="inlineStr">
        <is>
          <t>TORSBY</t>
        </is>
      </c>
      <c r="F1745" t="inlineStr">
        <is>
          <t>Kyrkan</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45152-2023</t>
        </is>
      </c>
      <c r="B1746" s="1" t="n">
        <v>45191</v>
      </c>
      <c r="C1746" s="1" t="n">
        <v>45574</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45169-2023</t>
        </is>
      </c>
      <c r="B1747" s="1" t="n">
        <v>45191</v>
      </c>
      <c r="C1747" s="1" t="n">
        <v>45574</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45231-2023</t>
        </is>
      </c>
      <c r="B1748" s="1" t="n">
        <v>45191</v>
      </c>
      <c r="C1748" s="1" t="n">
        <v>45574</v>
      </c>
      <c r="D1748" t="inlineStr">
        <is>
          <t>VÄRMLANDS LÄN</t>
        </is>
      </c>
      <c r="E1748" t="inlineStr">
        <is>
          <t>TORSBY</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45228-2023</t>
        </is>
      </c>
      <c r="B1749" s="1" t="n">
        <v>45191</v>
      </c>
      <c r="C1749" s="1" t="n">
        <v>45574</v>
      </c>
      <c r="D1749" t="inlineStr">
        <is>
          <t>VÄRMLANDS LÄN</t>
        </is>
      </c>
      <c r="E1749" t="inlineStr">
        <is>
          <t>TORSBY</t>
        </is>
      </c>
      <c r="F1749" t="inlineStr">
        <is>
          <t>Bergvik skog väst AB</t>
        </is>
      </c>
      <c r="G1749" t="n">
        <v>26.8</v>
      </c>
      <c r="H1749" t="n">
        <v>0</v>
      </c>
      <c r="I1749" t="n">
        <v>0</v>
      </c>
      <c r="J1749" t="n">
        <v>0</v>
      </c>
      <c r="K1749" t="n">
        <v>0</v>
      </c>
      <c r="L1749" t="n">
        <v>0</v>
      </c>
      <c r="M1749" t="n">
        <v>0</v>
      </c>
      <c r="N1749" t="n">
        <v>0</v>
      </c>
      <c r="O1749" t="n">
        <v>0</v>
      </c>
      <c r="P1749" t="n">
        <v>0</v>
      </c>
      <c r="Q1749" t="n">
        <v>0</v>
      </c>
      <c r="R1749" s="2" t="inlineStr"/>
    </row>
    <row r="1750" ht="15" customHeight="1">
      <c r="A1750" t="inlineStr">
        <is>
          <t>A 45587-2023</t>
        </is>
      </c>
      <c r="B1750" s="1" t="n">
        <v>45194</v>
      </c>
      <c r="C1750" s="1" t="n">
        <v>45574</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45399-2023</t>
        </is>
      </c>
      <c r="B1751" s="1" t="n">
        <v>45194</v>
      </c>
      <c r="C1751" s="1" t="n">
        <v>45574</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45563-2023</t>
        </is>
      </c>
      <c r="B1752" s="1" t="n">
        <v>45194</v>
      </c>
      <c r="C1752" s="1" t="n">
        <v>45574</v>
      </c>
      <c r="D1752" t="inlineStr">
        <is>
          <t>VÄRMLANDS LÄN</t>
        </is>
      </c>
      <c r="E1752" t="inlineStr">
        <is>
          <t>TORSBY</t>
        </is>
      </c>
      <c r="F1752" t="inlineStr">
        <is>
          <t>Bergvik skog väst AB</t>
        </is>
      </c>
      <c r="G1752" t="n">
        <v>22.6</v>
      </c>
      <c r="H1752" t="n">
        <v>0</v>
      </c>
      <c r="I1752" t="n">
        <v>0</v>
      </c>
      <c r="J1752" t="n">
        <v>0</v>
      </c>
      <c r="K1752" t="n">
        <v>0</v>
      </c>
      <c r="L1752" t="n">
        <v>0</v>
      </c>
      <c r="M1752" t="n">
        <v>0</v>
      </c>
      <c r="N1752" t="n">
        <v>0</v>
      </c>
      <c r="O1752" t="n">
        <v>0</v>
      </c>
      <c r="P1752" t="n">
        <v>0</v>
      </c>
      <c r="Q1752" t="n">
        <v>0</v>
      </c>
      <c r="R1752" s="2" t="inlineStr"/>
    </row>
    <row r="1753" ht="15" customHeight="1">
      <c r="A1753" t="inlineStr">
        <is>
          <t>A 45765-2023</t>
        </is>
      </c>
      <c r="B1753" s="1" t="n">
        <v>45195</v>
      </c>
      <c r="C1753" s="1" t="n">
        <v>45574</v>
      </c>
      <c r="D1753" t="inlineStr">
        <is>
          <t>VÄRMLANDS LÄN</t>
        </is>
      </c>
      <c r="E1753" t="inlineStr">
        <is>
          <t>TORSBY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45872-2023</t>
        </is>
      </c>
      <c r="B1754" s="1" t="n">
        <v>45195</v>
      </c>
      <c r="C1754" s="1" t="n">
        <v>45574</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45775-2023</t>
        </is>
      </c>
      <c r="B1755" s="1" t="n">
        <v>45195</v>
      </c>
      <c r="C1755" s="1" t="n">
        <v>45574</v>
      </c>
      <c r="D1755" t="inlineStr">
        <is>
          <t>VÄRMLANDS LÄN</t>
        </is>
      </c>
      <c r="E1755" t="inlineStr">
        <is>
          <t>TORSBY</t>
        </is>
      </c>
      <c r="F1755" t="inlineStr">
        <is>
          <t>Bergvik skog väst AB</t>
        </is>
      </c>
      <c r="G1755" t="n">
        <v>34.2</v>
      </c>
      <c r="H1755" t="n">
        <v>0</v>
      </c>
      <c r="I1755" t="n">
        <v>0</v>
      </c>
      <c r="J1755" t="n">
        <v>0</v>
      </c>
      <c r="K1755" t="n">
        <v>0</v>
      </c>
      <c r="L1755" t="n">
        <v>0</v>
      </c>
      <c r="M1755" t="n">
        <v>0</v>
      </c>
      <c r="N1755" t="n">
        <v>0</v>
      </c>
      <c r="O1755" t="n">
        <v>0</v>
      </c>
      <c r="P1755" t="n">
        <v>0</v>
      </c>
      <c r="Q1755" t="n">
        <v>0</v>
      </c>
      <c r="R1755" s="2" t="inlineStr"/>
    </row>
    <row r="1756" ht="15" customHeight="1">
      <c r="A1756" t="inlineStr">
        <is>
          <t>A 46003-2023</t>
        </is>
      </c>
      <c r="B1756" s="1" t="n">
        <v>45196</v>
      </c>
      <c r="C1756" s="1" t="n">
        <v>45574</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46048-2023</t>
        </is>
      </c>
      <c r="B1757" s="1" t="n">
        <v>45196</v>
      </c>
      <c r="C1757" s="1" t="n">
        <v>45574</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46001-2023</t>
        </is>
      </c>
      <c r="B1758" s="1" t="n">
        <v>45196</v>
      </c>
      <c r="C1758" s="1" t="n">
        <v>45574</v>
      </c>
      <c r="D1758" t="inlineStr">
        <is>
          <t>VÄRMLANDS LÄN</t>
        </is>
      </c>
      <c r="E1758" t="inlineStr">
        <is>
          <t>TORSBY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46202-2023</t>
        </is>
      </c>
      <c r="B1759" s="1" t="n">
        <v>45196</v>
      </c>
      <c r="C1759" s="1" t="n">
        <v>45574</v>
      </c>
      <c r="D1759" t="inlineStr">
        <is>
          <t>VÄRMLANDS LÄN</t>
        </is>
      </c>
      <c r="E1759" t="inlineStr">
        <is>
          <t>TORSBY</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46233-2023</t>
        </is>
      </c>
      <c r="B1760" s="1" t="n">
        <v>45196</v>
      </c>
      <c r="C1760" s="1" t="n">
        <v>45574</v>
      </c>
      <c r="D1760" t="inlineStr">
        <is>
          <t>VÄRMLANDS LÄN</t>
        </is>
      </c>
      <c r="E1760" t="inlineStr">
        <is>
          <t>TORSBY</t>
        </is>
      </c>
      <c r="F1760" t="inlineStr">
        <is>
          <t>Kyrkan</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46127-2023</t>
        </is>
      </c>
      <c r="B1761" s="1" t="n">
        <v>45196</v>
      </c>
      <c r="C1761" s="1" t="n">
        <v>45574</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46199-2023</t>
        </is>
      </c>
      <c r="B1762" s="1" t="n">
        <v>45196</v>
      </c>
      <c r="C1762" s="1" t="n">
        <v>45574</v>
      </c>
      <c r="D1762" t="inlineStr">
        <is>
          <t>VÄRMLANDS LÄN</t>
        </is>
      </c>
      <c r="E1762" t="inlineStr">
        <is>
          <t>TORSBY</t>
        </is>
      </c>
      <c r="F1762" t="inlineStr">
        <is>
          <t>Bergvik skog väst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46220-2023</t>
        </is>
      </c>
      <c r="B1763" s="1" t="n">
        <v>45196</v>
      </c>
      <c r="C1763" s="1" t="n">
        <v>45574</v>
      </c>
      <c r="D1763" t="inlineStr">
        <is>
          <t>VÄRMLANDS LÄN</t>
        </is>
      </c>
      <c r="E1763" t="inlineStr">
        <is>
          <t>TORSBY</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46156-2023</t>
        </is>
      </c>
      <c r="B1764" s="1" t="n">
        <v>45196</v>
      </c>
      <c r="C1764" s="1" t="n">
        <v>45574</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46180-2023</t>
        </is>
      </c>
      <c r="B1765" s="1" t="n">
        <v>45196</v>
      </c>
      <c r="C1765" s="1" t="n">
        <v>45574</v>
      </c>
      <c r="D1765" t="inlineStr">
        <is>
          <t>VÄRMLANDS LÄN</t>
        </is>
      </c>
      <c r="E1765" t="inlineStr">
        <is>
          <t>TORSBY</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46195-2023</t>
        </is>
      </c>
      <c r="B1766" s="1" t="n">
        <v>45196</v>
      </c>
      <c r="C1766" s="1" t="n">
        <v>45574</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46221-2023</t>
        </is>
      </c>
      <c r="B1767" s="1" t="n">
        <v>45196</v>
      </c>
      <c r="C1767" s="1" t="n">
        <v>45574</v>
      </c>
      <c r="D1767" t="inlineStr">
        <is>
          <t>VÄRMLANDS LÄN</t>
        </is>
      </c>
      <c r="E1767" t="inlineStr">
        <is>
          <t>TORSBY</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47227-2023</t>
        </is>
      </c>
      <c r="B1768" s="1" t="n">
        <v>45196</v>
      </c>
      <c r="C1768" s="1" t="n">
        <v>45574</v>
      </c>
      <c r="D1768" t="inlineStr">
        <is>
          <t>VÄRMLANDS LÄN</t>
        </is>
      </c>
      <c r="E1768" t="inlineStr">
        <is>
          <t>TORSBY</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46424-2023</t>
        </is>
      </c>
      <c r="B1769" s="1" t="n">
        <v>45197</v>
      </c>
      <c r="C1769" s="1" t="n">
        <v>45574</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46449-2023</t>
        </is>
      </c>
      <c r="B1770" s="1" t="n">
        <v>45197</v>
      </c>
      <c r="C1770" s="1" t="n">
        <v>45574</v>
      </c>
      <c r="D1770" t="inlineStr">
        <is>
          <t>VÄRMLANDS LÄN</t>
        </is>
      </c>
      <c r="E1770" t="inlineStr">
        <is>
          <t>TORSBY</t>
        </is>
      </c>
      <c r="F1770" t="inlineStr">
        <is>
          <t>Bergvik skog väst AB</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46509-2023</t>
        </is>
      </c>
      <c r="B1771" s="1" t="n">
        <v>45197</v>
      </c>
      <c r="C1771" s="1" t="n">
        <v>45574</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46489-2023</t>
        </is>
      </c>
      <c r="B1772" s="1" t="n">
        <v>45197</v>
      </c>
      <c r="C1772" s="1" t="n">
        <v>45574</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47119-2023</t>
        </is>
      </c>
      <c r="B1773" s="1" t="n">
        <v>45201</v>
      </c>
      <c r="C1773" s="1" t="n">
        <v>45574</v>
      </c>
      <c r="D1773" t="inlineStr">
        <is>
          <t>VÄRMLANDS LÄN</t>
        </is>
      </c>
      <c r="E1773" t="inlineStr">
        <is>
          <t>TORSBY</t>
        </is>
      </c>
      <c r="F1773" t="inlineStr">
        <is>
          <t>Bergvik skog väst AB</t>
        </is>
      </c>
      <c r="G1773" t="n">
        <v>18.7</v>
      </c>
      <c r="H1773" t="n">
        <v>0</v>
      </c>
      <c r="I1773" t="n">
        <v>0</v>
      </c>
      <c r="J1773" t="n">
        <v>0</v>
      </c>
      <c r="K1773" t="n">
        <v>0</v>
      </c>
      <c r="L1773" t="n">
        <v>0</v>
      </c>
      <c r="M1773" t="n">
        <v>0</v>
      </c>
      <c r="N1773" t="n">
        <v>0</v>
      </c>
      <c r="O1773" t="n">
        <v>0</v>
      </c>
      <c r="P1773" t="n">
        <v>0</v>
      </c>
      <c r="Q1773" t="n">
        <v>0</v>
      </c>
      <c r="R1773" s="2" t="inlineStr"/>
    </row>
    <row r="1774" ht="15" customHeight="1">
      <c r="A1774" t="inlineStr">
        <is>
          <t>A 46880-2023</t>
        </is>
      </c>
      <c r="B1774" s="1" t="n">
        <v>45201</v>
      </c>
      <c r="C1774" s="1" t="n">
        <v>45574</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46938-2023</t>
        </is>
      </c>
      <c r="B1775" s="1" t="n">
        <v>45201</v>
      </c>
      <c r="C1775" s="1" t="n">
        <v>45574</v>
      </c>
      <c r="D1775" t="inlineStr">
        <is>
          <t>VÄRMLANDS LÄN</t>
        </is>
      </c>
      <c r="E1775" t="inlineStr">
        <is>
          <t>TORSBY</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47077-2023</t>
        </is>
      </c>
      <c r="B1776" s="1" t="n">
        <v>45201</v>
      </c>
      <c r="C1776" s="1" t="n">
        <v>45574</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47275-2023</t>
        </is>
      </c>
      <c r="B1777" s="1" t="n">
        <v>45202</v>
      </c>
      <c r="C1777" s="1" t="n">
        <v>45574</v>
      </c>
      <c r="D1777" t="inlineStr">
        <is>
          <t>VÄRMLANDS LÄN</t>
        </is>
      </c>
      <c r="E1777" t="inlineStr">
        <is>
          <t>TORSBY</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47241-2023</t>
        </is>
      </c>
      <c r="B1778" s="1" t="n">
        <v>45202</v>
      </c>
      <c r="C1778" s="1" t="n">
        <v>45574</v>
      </c>
      <c r="D1778" t="inlineStr">
        <is>
          <t>VÄRMLANDS LÄN</t>
        </is>
      </c>
      <c r="E1778" t="inlineStr">
        <is>
          <t>TORSBY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47355-2023</t>
        </is>
      </c>
      <c r="B1779" s="1" t="n">
        <v>45202</v>
      </c>
      <c r="C1779" s="1" t="n">
        <v>45574</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47401-2023</t>
        </is>
      </c>
      <c r="B1780" s="1" t="n">
        <v>45202</v>
      </c>
      <c r="C1780" s="1" t="n">
        <v>45574</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47737-2023</t>
        </is>
      </c>
      <c r="B1781" s="1" t="n">
        <v>45203</v>
      </c>
      <c r="C1781" s="1" t="n">
        <v>45574</v>
      </c>
      <c r="D1781" t="inlineStr">
        <is>
          <t>VÄRMLANDS LÄN</t>
        </is>
      </c>
      <c r="E1781" t="inlineStr">
        <is>
          <t>TORSBY</t>
        </is>
      </c>
      <c r="F1781" t="inlineStr">
        <is>
          <t>Bergvik skog väst AB</t>
        </is>
      </c>
      <c r="G1781" t="n">
        <v>24.4</v>
      </c>
      <c r="H1781" t="n">
        <v>0</v>
      </c>
      <c r="I1781" t="n">
        <v>0</v>
      </c>
      <c r="J1781" t="n">
        <v>0</v>
      </c>
      <c r="K1781" t="n">
        <v>0</v>
      </c>
      <c r="L1781" t="n">
        <v>0</v>
      </c>
      <c r="M1781" t="n">
        <v>0</v>
      </c>
      <c r="N1781" t="n">
        <v>0</v>
      </c>
      <c r="O1781" t="n">
        <v>0</v>
      </c>
      <c r="P1781" t="n">
        <v>0</v>
      </c>
      <c r="Q1781" t="n">
        <v>0</v>
      </c>
      <c r="R1781" s="2" t="inlineStr"/>
    </row>
    <row r="1782" ht="15" customHeight="1">
      <c r="A1782" t="inlineStr">
        <is>
          <t>A 47615-2023</t>
        </is>
      </c>
      <c r="B1782" s="1" t="n">
        <v>45203</v>
      </c>
      <c r="C1782" s="1" t="n">
        <v>45574</v>
      </c>
      <c r="D1782" t="inlineStr">
        <is>
          <t>VÄRMLANDS LÄN</t>
        </is>
      </c>
      <c r="E1782" t="inlineStr">
        <is>
          <t>TORSBY</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47730-2023</t>
        </is>
      </c>
      <c r="B1783" s="1" t="n">
        <v>45203</v>
      </c>
      <c r="C1783" s="1" t="n">
        <v>45574</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47734-2023</t>
        </is>
      </c>
      <c r="B1784" s="1" t="n">
        <v>45203</v>
      </c>
      <c r="C1784" s="1" t="n">
        <v>45574</v>
      </c>
      <c r="D1784" t="inlineStr">
        <is>
          <t>VÄRMLANDS LÄN</t>
        </is>
      </c>
      <c r="E1784" t="inlineStr">
        <is>
          <t>TORSBY</t>
        </is>
      </c>
      <c r="F1784" t="inlineStr">
        <is>
          <t>Bergvik skog väst AB</t>
        </is>
      </c>
      <c r="G1784" t="n">
        <v>23.3</v>
      </c>
      <c r="H1784" t="n">
        <v>0</v>
      </c>
      <c r="I1784" t="n">
        <v>0</v>
      </c>
      <c r="J1784" t="n">
        <v>0</v>
      </c>
      <c r="K1784" t="n">
        <v>0</v>
      </c>
      <c r="L1784" t="n">
        <v>0</v>
      </c>
      <c r="M1784" t="n">
        <v>0</v>
      </c>
      <c r="N1784" t="n">
        <v>0</v>
      </c>
      <c r="O1784" t="n">
        <v>0</v>
      </c>
      <c r="P1784" t="n">
        <v>0</v>
      </c>
      <c r="Q1784" t="n">
        <v>0</v>
      </c>
      <c r="R1784" s="2" t="inlineStr"/>
    </row>
    <row r="1785" ht="15" customHeight="1">
      <c r="A1785" t="inlineStr">
        <is>
          <t>A 48724-2023</t>
        </is>
      </c>
      <c r="B1785" s="1" t="n">
        <v>45203</v>
      </c>
      <c r="C1785" s="1" t="n">
        <v>45574</v>
      </c>
      <c r="D1785" t="inlineStr">
        <is>
          <t>VÄRMLANDS LÄN</t>
        </is>
      </c>
      <c r="E1785" t="inlineStr">
        <is>
          <t>TORSBY</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47842-2023</t>
        </is>
      </c>
      <c r="B1786" s="1" t="n">
        <v>45204</v>
      </c>
      <c r="C1786" s="1" t="n">
        <v>45574</v>
      </c>
      <c r="D1786" t="inlineStr">
        <is>
          <t>VÄRMLANDS LÄN</t>
        </is>
      </c>
      <c r="E1786" t="inlineStr">
        <is>
          <t>TORSBY</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48106-2023</t>
        </is>
      </c>
      <c r="B1787" s="1" t="n">
        <v>45205</v>
      </c>
      <c r="C1787" s="1" t="n">
        <v>45574</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48145-2023</t>
        </is>
      </c>
      <c r="B1788" s="1" t="n">
        <v>45205</v>
      </c>
      <c r="C1788" s="1" t="n">
        <v>45574</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48236-2023</t>
        </is>
      </c>
      <c r="B1789" s="1" t="n">
        <v>45205</v>
      </c>
      <c r="C1789" s="1" t="n">
        <v>45574</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48155-2023</t>
        </is>
      </c>
      <c r="B1790" s="1" t="n">
        <v>45205</v>
      </c>
      <c r="C1790" s="1" t="n">
        <v>45574</v>
      </c>
      <c r="D1790" t="inlineStr">
        <is>
          <t>VÄRMLANDS LÄN</t>
        </is>
      </c>
      <c r="E1790" t="inlineStr">
        <is>
          <t>TORSBY</t>
        </is>
      </c>
      <c r="F1790" t="inlineStr">
        <is>
          <t>Kyrkan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48170-2023</t>
        </is>
      </c>
      <c r="B1791" s="1" t="n">
        <v>45205</v>
      </c>
      <c r="C1791" s="1" t="n">
        <v>45574</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48324-2023</t>
        </is>
      </c>
      <c r="B1792" s="1" t="n">
        <v>45205</v>
      </c>
      <c r="C1792" s="1" t="n">
        <v>45574</v>
      </c>
      <c r="D1792" t="inlineStr">
        <is>
          <t>VÄRMLANDS LÄN</t>
        </is>
      </c>
      <c r="E1792" t="inlineStr">
        <is>
          <t>TORSBY</t>
        </is>
      </c>
      <c r="F1792" t="inlineStr">
        <is>
          <t>Bergvik skog väst AB</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48381-2023</t>
        </is>
      </c>
      <c r="B1793" s="1" t="n">
        <v>45205</v>
      </c>
      <c r="C1793" s="1" t="n">
        <v>45574</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48384-2023</t>
        </is>
      </c>
      <c r="B1794" s="1" t="n">
        <v>45205</v>
      </c>
      <c r="C1794" s="1" t="n">
        <v>45574</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48383-2023</t>
        </is>
      </c>
      <c r="B1795" s="1" t="n">
        <v>45205</v>
      </c>
      <c r="C1795" s="1" t="n">
        <v>45574</v>
      </c>
      <c r="D1795" t="inlineStr">
        <is>
          <t>VÄRMLANDS LÄN</t>
        </is>
      </c>
      <c r="E1795" t="inlineStr">
        <is>
          <t>TORSBY</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48456-2023</t>
        </is>
      </c>
      <c r="B1796" s="1" t="n">
        <v>45206</v>
      </c>
      <c r="C1796" s="1" t="n">
        <v>45574</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48625-2023</t>
        </is>
      </c>
      <c r="B1797" s="1" t="n">
        <v>45208</v>
      </c>
      <c r="C1797" s="1" t="n">
        <v>45574</v>
      </c>
      <c r="D1797" t="inlineStr">
        <is>
          <t>VÄRMLANDS LÄN</t>
        </is>
      </c>
      <c r="E1797" t="inlineStr">
        <is>
          <t>TORSBY</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48727-2023</t>
        </is>
      </c>
      <c r="B1798" s="1" t="n">
        <v>45208</v>
      </c>
      <c r="C1798" s="1" t="n">
        <v>45574</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48753-2023</t>
        </is>
      </c>
      <c r="B1799" s="1" t="n">
        <v>45208</v>
      </c>
      <c r="C1799" s="1" t="n">
        <v>45574</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48762-2023</t>
        </is>
      </c>
      <c r="B1800" s="1" t="n">
        <v>45208</v>
      </c>
      <c r="C1800" s="1" t="n">
        <v>45574</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49717-2023</t>
        </is>
      </c>
      <c r="B1801" s="1" t="n">
        <v>45208</v>
      </c>
      <c r="C1801" s="1" t="n">
        <v>45574</v>
      </c>
      <c r="D1801" t="inlineStr">
        <is>
          <t>VÄRMLANDS LÄN</t>
        </is>
      </c>
      <c r="E1801" t="inlineStr">
        <is>
          <t>TORSBY</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50166-2023</t>
        </is>
      </c>
      <c r="B1802" s="1" t="n">
        <v>45208</v>
      </c>
      <c r="C1802" s="1" t="n">
        <v>45574</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50149-2023</t>
        </is>
      </c>
      <c r="B1803" s="1" t="n">
        <v>45208</v>
      </c>
      <c r="C1803" s="1" t="n">
        <v>45574</v>
      </c>
      <c r="D1803" t="inlineStr">
        <is>
          <t>VÄRMLANDS LÄN</t>
        </is>
      </c>
      <c r="E1803" t="inlineStr">
        <is>
          <t>TORSBY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48805-2023</t>
        </is>
      </c>
      <c r="B1804" s="1" t="n">
        <v>45209</v>
      </c>
      <c r="C1804" s="1" t="n">
        <v>45574</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48842-2023</t>
        </is>
      </c>
      <c r="B1805" s="1" t="n">
        <v>45209</v>
      </c>
      <c r="C1805" s="1" t="n">
        <v>45574</v>
      </c>
      <c r="D1805" t="inlineStr">
        <is>
          <t>VÄRMLANDS LÄN</t>
        </is>
      </c>
      <c r="E1805" t="inlineStr">
        <is>
          <t>TORSBY</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49170-2023</t>
        </is>
      </c>
      <c r="B1806" s="1" t="n">
        <v>45210</v>
      </c>
      <c r="C1806" s="1" t="n">
        <v>45574</v>
      </c>
      <c r="D1806" t="inlineStr">
        <is>
          <t>VÄRMLANDS LÄN</t>
        </is>
      </c>
      <c r="E1806" t="inlineStr">
        <is>
          <t>TORSBY</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49179-2023</t>
        </is>
      </c>
      <c r="B1807" s="1" t="n">
        <v>45210</v>
      </c>
      <c r="C1807" s="1" t="n">
        <v>45574</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49296-2023</t>
        </is>
      </c>
      <c r="B1808" s="1" t="n">
        <v>45210</v>
      </c>
      <c r="C1808" s="1" t="n">
        <v>45574</v>
      </c>
      <c r="D1808" t="inlineStr">
        <is>
          <t>VÄRMLANDS LÄN</t>
        </is>
      </c>
      <c r="E1808" t="inlineStr">
        <is>
          <t>TORSBY</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51079-2023</t>
        </is>
      </c>
      <c r="B1809" s="1" t="n">
        <v>45211</v>
      </c>
      <c r="C1809" s="1" t="n">
        <v>45574</v>
      </c>
      <c r="D1809" t="inlineStr">
        <is>
          <t>VÄRMLANDS LÄN</t>
        </is>
      </c>
      <c r="E1809" t="inlineStr">
        <is>
          <t>TORSBY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49755-2023</t>
        </is>
      </c>
      <c r="B1810" s="1" t="n">
        <v>45212</v>
      </c>
      <c r="C1810" s="1" t="n">
        <v>45574</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49777-2023</t>
        </is>
      </c>
      <c r="B1811" s="1" t="n">
        <v>45212</v>
      </c>
      <c r="C1811" s="1" t="n">
        <v>45574</v>
      </c>
      <c r="D1811" t="inlineStr">
        <is>
          <t>VÄRMLANDS LÄN</t>
        </is>
      </c>
      <c r="E1811" t="inlineStr">
        <is>
          <t>TORSBY</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49815-2023</t>
        </is>
      </c>
      <c r="B1812" s="1" t="n">
        <v>45212</v>
      </c>
      <c r="C1812" s="1" t="n">
        <v>45574</v>
      </c>
      <c r="D1812" t="inlineStr">
        <is>
          <t>VÄRMLANDS LÄN</t>
        </is>
      </c>
      <c r="E1812" t="inlineStr">
        <is>
          <t>TORSBY</t>
        </is>
      </c>
      <c r="F1812" t="inlineStr">
        <is>
          <t>Bergvik skog väst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49745-2023</t>
        </is>
      </c>
      <c r="B1813" s="1" t="n">
        <v>45212</v>
      </c>
      <c r="C1813" s="1" t="n">
        <v>45574</v>
      </c>
      <c r="D1813" t="inlineStr">
        <is>
          <t>VÄRMLANDS LÄN</t>
        </is>
      </c>
      <c r="E1813" t="inlineStr">
        <is>
          <t>TORSBY</t>
        </is>
      </c>
      <c r="F1813" t="inlineStr">
        <is>
          <t>Bergvik skog väst AB</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51144-2023</t>
        </is>
      </c>
      <c r="B1814" s="1" t="n">
        <v>45212</v>
      </c>
      <c r="C1814" s="1" t="n">
        <v>45574</v>
      </c>
      <c r="D1814" t="inlineStr">
        <is>
          <t>VÄRMLANDS LÄN</t>
        </is>
      </c>
      <c r="E1814" t="inlineStr">
        <is>
          <t>TORSBY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49982-2023</t>
        </is>
      </c>
      <c r="B1815" s="1" t="n">
        <v>45215</v>
      </c>
      <c r="C1815" s="1" t="n">
        <v>45574</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50147-2023</t>
        </is>
      </c>
      <c r="B1816" s="1" t="n">
        <v>45215</v>
      </c>
      <c r="C1816" s="1" t="n">
        <v>45574</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50138-2023</t>
        </is>
      </c>
      <c r="B1817" s="1" t="n">
        <v>45215</v>
      </c>
      <c r="C1817" s="1" t="n">
        <v>45574</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50144-2023</t>
        </is>
      </c>
      <c r="B1818" s="1" t="n">
        <v>45215</v>
      </c>
      <c r="C1818" s="1" t="n">
        <v>45574</v>
      </c>
      <c r="D1818" t="inlineStr">
        <is>
          <t>VÄRMLANDS LÄN</t>
        </is>
      </c>
      <c r="E1818" t="inlineStr">
        <is>
          <t>TORSBY</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50171-2023</t>
        </is>
      </c>
      <c r="B1819" s="1" t="n">
        <v>45215</v>
      </c>
      <c r="C1819" s="1" t="n">
        <v>45574</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50445-2023</t>
        </is>
      </c>
      <c r="B1820" s="1" t="n">
        <v>45216</v>
      </c>
      <c r="C1820" s="1" t="n">
        <v>45574</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50429-2023</t>
        </is>
      </c>
      <c r="B1821" s="1" t="n">
        <v>45216</v>
      </c>
      <c r="C1821" s="1" t="n">
        <v>45574</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50439-2023</t>
        </is>
      </c>
      <c r="B1822" s="1" t="n">
        <v>45216</v>
      </c>
      <c r="C1822" s="1" t="n">
        <v>45574</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50660-2023</t>
        </is>
      </c>
      <c r="B1823" s="1" t="n">
        <v>45217</v>
      </c>
      <c r="C1823" s="1" t="n">
        <v>45574</v>
      </c>
      <c r="D1823" t="inlineStr">
        <is>
          <t>VÄRMLANDS LÄN</t>
        </is>
      </c>
      <c r="E1823" t="inlineStr">
        <is>
          <t>TORSBY</t>
        </is>
      </c>
      <c r="F1823" t="inlineStr">
        <is>
          <t>Bergvik skog väst AB</t>
        </is>
      </c>
      <c r="G1823" t="n">
        <v>26.5</v>
      </c>
      <c r="H1823" t="n">
        <v>0</v>
      </c>
      <c r="I1823" t="n">
        <v>0</v>
      </c>
      <c r="J1823" t="n">
        <v>0</v>
      </c>
      <c r="K1823" t="n">
        <v>0</v>
      </c>
      <c r="L1823" t="n">
        <v>0</v>
      </c>
      <c r="M1823" t="n">
        <v>0</v>
      </c>
      <c r="N1823" t="n">
        <v>0</v>
      </c>
      <c r="O1823" t="n">
        <v>0</v>
      </c>
      <c r="P1823" t="n">
        <v>0</v>
      </c>
      <c r="Q1823" t="n">
        <v>0</v>
      </c>
      <c r="R1823" s="2" t="inlineStr"/>
    </row>
    <row r="1824" ht="15" customHeight="1">
      <c r="A1824" t="inlineStr">
        <is>
          <t>A 50523-2023</t>
        </is>
      </c>
      <c r="B1824" s="1" t="n">
        <v>45217</v>
      </c>
      <c r="C1824" s="1" t="n">
        <v>45574</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50608-2023</t>
        </is>
      </c>
      <c r="B1825" s="1" t="n">
        <v>45217</v>
      </c>
      <c r="C1825" s="1" t="n">
        <v>45574</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50680-2023</t>
        </is>
      </c>
      <c r="B1826" s="1" t="n">
        <v>45217</v>
      </c>
      <c r="C1826" s="1" t="n">
        <v>45574</v>
      </c>
      <c r="D1826" t="inlineStr">
        <is>
          <t>VÄRMLANDS LÄN</t>
        </is>
      </c>
      <c r="E1826" t="inlineStr">
        <is>
          <t>TORSBY</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50852-2023</t>
        </is>
      </c>
      <c r="B1827" s="1" t="n">
        <v>45218</v>
      </c>
      <c r="C1827" s="1" t="n">
        <v>45574</v>
      </c>
      <c r="D1827" t="inlineStr">
        <is>
          <t>VÄRMLANDS LÄN</t>
        </is>
      </c>
      <c r="E1827" t="inlineStr">
        <is>
          <t>TORSBY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50973-2023</t>
        </is>
      </c>
      <c r="B1828" s="1" t="n">
        <v>45218</v>
      </c>
      <c r="C1828" s="1" t="n">
        <v>45574</v>
      </c>
      <c r="D1828" t="inlineStr">
        <is>
          <t>VÄRMLANDS LÄN</t>
        </is>
      </c>
      <c r="E1828" t="inlineStr">
        <is>
          <t>TORSBY</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51199-2023</t>
        </is>
      </c>
      <c r="B1829" s="1" t="n">
        <v>45219</v>
      </c>
      <c r="C1829" s="1" t="n">
        <v>45574</v>
      </c>
      <c r="D1829" t="inlineStr">
        <is>
          <t>VÄRMLANDS LÄN</t>
        </is>
      </c>
      <c r="E1829" t="inlineStr">
        <is>
          <t>TORSBY</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51215-2023</t>
        </is>
      </c>
      <c r="B1830" s="1" t="n">
        <v>45219</v>
      </c>
      <c r="C1830" s="1" t="n">
        <v>45574</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51343-2023</t>
        </is>
      </c>
      <c r="B1831" s="1" t="n">
        <v>45219</v>
      </c>
      <c r="C1831" s="1" t="n">
        <v>45574</v>
      </c>
      <c r="D1831" t="inlineStr">
        <is>
          <t>VÄRMLANDS LÄN</t>
        </is>
      </c>
      <c r="E1831" t="inlineStr">
        <is>
          <t>TORSBY</t>
        </is>
      </c>
      <c r="F1831" t="inlineStr">
        <is>
          <t>Bergvik skog väst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51386-2023</t>
        </is>
      </c>
      <c r="B1832" s="1" t="n">
        <v>45219</v>
      </c>
      <c r="C1832" s="1" t="n">
        <v>45574</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51309-2023</t>
        </is>
      </c>
      <c r="B1833" s="1" t="n">
        <v>45219</v>
      </c>
      <c r="C1833" s="1" t="n">
        <v>45574</v>
      </c>
      <c r="D1833" t="inlineStr">
        <is>
          <t>VÄRMLANDS LÄN</t>
        </is>
      </c>
      <c r="E1833" t="inlineStr">
        <is>
          <t>TORSBY</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51751-2023</t>
        </is>
      </c>
      <c r="B1834" s="1" t="n">
        <v>45222</v>
      </c>
      <c r="C1834" s="1" t="n">
        <v>45574</v>
      </c>
      <c r="D1834" t="inlineStr">
        <is>
          <t>VÄRMLANDS LÄN</t>
        </is>
      </c>
      <c r="E1834" t="inlineStr">
        <is>
          <t>TORSBY</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51788-2023</t>
        </is>
      </c>
      <c r="B1835" s="1" t="n">
        <v>45222</v>
      </c>
      <c r="C1835" s="1" t="n">
        <v>45574</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51753-2023</t>
        </is>
      </c>
      <c r="B1836" s="1" t="n">
        <v>45222</v>
      </c>
      <c r="C1836" s="1" t="n">
        <v>45574</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52078-2023</t>
        </is>
      </c>
      <c r="B1837" s="1" t="n">
        <v>45223</v>
      </c>
      <c r="C1837" s="1" t="n">
        <v>45574</v>
      </c>
      <c r="D1837" t="inlineStr">
        <is>
          <t>VÄRMLANDS LÄN</t>
        </is>
      </c>
      <c r="E1837" t="inlineStr">
        <is>
          <t>TORSBY</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52050-2023</t>
        </is>
      </c>
      <c r="B1838" s="1" t="n">
        <v>45223</v>
      </c>
      <c r="C1838" s="1" t="n">
        <v>45574</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52067-2023</t>
        </is>
      </c>
      <c r="B1839" s="1" t="n">
        <v>45223</v>
      </c>
      <c r="C1839" s="1" t="n">
        <v>45574</v>
      </c>
      <c r="D1839" t="inlineStr">
        <is>
          <t>VÄRMLANDS LÄN</t>
        </is>
      </c>
      <c r="E1839" t="inlineStr">
        <is>
          <t>TORSBY</t>
        </is>
      </c>
      <c r="F1839" t="inlineStr">
        <is>
          <t>Bergvik skog väst AB</t>
        </is>
      </c>
      <c r="G1839" t="n">
        <v>40.4</v>
      </c>
      <c r="H1839" t="n">
        <v>0</v>
      </c>
      <c r="I1839" t="n">
        <v>0</v>
      </c>
      <c r="J1839" t="n">
        <v>0</v>
      </c>
      <c r="K1839" t="n">
        <v>0</v>
      </c>
      <c r="L1839" t="n">
        <v>0</v>
      </c>
      <c r="M1839" t="n">
        <v>0</v>
      </c>
      <c r="N1839" t="n">
        <v>0</v>
      </c>
      <c r="O1839" t="n">
        <v>0</v>
      </c>
      <c r="P1839" t="n">
        <v>0</v>
      </c>
      <c r="Q1839" t="n">
        <v>0</v>
      </c>
      <c r="R1839" s="2" t="inlineStr"/>
    </row>
    <row r="1840" ht="15" customHeight="1">
      <c r="A1840" t="inlineStr">
        <is>
          <t>A 53499-2023</t>
        </is>
      </c>
      <c r="B1840" s="1" t="n">
        <v>45223</v>
      </c>
      <c r="C1840" s="1" t="n">
        <v>45574</v>
      </c>
      <c r="D1840" t="inlineStr">
        <is>
          <t>VÄRMLANDS LÄN</t>
        </is>
      </c>
      <c r="E1840" t="inlineStr">
        <is>
          <t>TORSBY</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52275-2023</t>
        </is>
      </c>
      <c r="B1841" s="1" t="n">
        <v>45224</v>
      </c>
      <c r="C1841" s="1" t="n">
        <v>45574</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52385-2023</t>
        </is>
      </c>
      <c r="B1842" s="1" t="n">
        <v>45224</v>
      </c>
      <c r="C1842" s="1" t="n">
        <v>45574</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53652-2023</t>
        </is>
      </c>
      <c r="B1843" s="1" t="n">
        <v>45224</v>
      </c>
      <c r="C1843" s="1" t="n">
        <v>45574</v>
      </c>
      <c r="D1843" t="inlineStr">
        <is>
          <t>VÄRMLANDS LÄN</t>
        </is>
      </c>
      <c r="E1843" t="inlineStr">
        <is>
          <t>TORSBY</t>
        </is>
      </c>
      <c r="F1843" t="inlineStr">
        <is>
          <t>Övriga statliga verk och myndigheter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52541-2023</t>
        </is>
      </c>
      <c r="B1844" s="1" t="n">
        <v>45225</v>
      </c>
      <c r="C1844" s="1" t="n">
        <v>45574</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52580-2023</t>
        </is>
      </c>
      <c r="B1845" s="1" t="n">
        <v>45225</v>
      </c>
      <c r="C1845" s="1" t="n">
        <v>45574</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52555-2023</t>
        </is>
      </c>
      <c r="B1846" s="1" t="n">
        <v>45225</v>
      </c>
      <c r="C1846" s="1" t="n">
        <v>45574</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52532-2023</t>
        </is>
      </c>
      <c r="B1847" s="1" t="n">
        <v>45225</v>
      </c>
      <c r="C1847" s="1" t="n">
        <v>45574</v>
      </c>
      <c r="D1847" t="inlineStr">
        <is>
          <t>VÄRMLANDS LÄN</t>
        </is>
      </c>
      <c r="E1847" t="inlineStr">
        <is>
          <t>TORSBY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52591-2023</t>
        </is>
      </c>
      <c r="B1848" s="1" t="n">
        <v>45225</v>
      </c>
      <c r="C1848" s="1" t="n">
        <v>45574</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52984-2023</t>
        </is>
      </c>
      <c r="B1849" s="1" t="n">
        <v>45226</v>
      </c>
      <c r="C1849" s="1" t="n">
        <v>45574</v>
      </c>
      <c r="D1849" t="inlineStr">
        <is>
          <t>VÄRMLANDS LÄN</t>
        </is>
      </c>
      <c r="E1849" t="inlineStr">
        <is>
          <t>TORSBY</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52982-2023</t>
        </is>
      </c>
      <c r="B1850" s="1" t="n">
        <v>45226</v>
      </c>
      <c r="C1850" s="1" t="n">
        <v>45574</v>
      </c>
      <c r="D1850" t="inlineStr">
        <is>
          <t>VÄRMLANDS LÄN</t>
        </is>
      </c>
      <c r="E1850" t="inlineStr">
        <is>
          <t>TORSBY</t>
        </is>
      </c>
      <c r="G1850" t="n">
        <v>35.5</v>
      </c>
      <c r="H1850" t="n">
        <v>0</v>
      </c>
      <c r="I1850" t="n">
        <v>0</v>
      </c>
      <c r="J1850" t="n">
        <v>0</v>
      </c>
      <c r="K1850" t="n">
        <v>0</v>
      </c>
      <c r="L1850" t="n">
        <v>0</v>
      </c>
      <c r="M1850" t="n">
        <v>0</v>
      </c>
      <c r="N1850" t="n">
        <v>0</v>
      </c>
      <c r="O1850" t="n">
        <v>0</v>
      </c>
      <c r="P1850" t="n">
        <v>0</v>
      </c>
      <c r="Q1850" t="n">
        <v>0</v>
      </c>
      <c r="R1850" s="2" t="inlineStr"/>
    </row>
    <row r="1851" ht="15" customHeight="1">
      <c r="A1851" t="inlineStr">
        <is>
          <t>A 52810-2023</t>
        </is>
      </c>
      <c r="B1851" s="1" t="n">
        <v>45226</v>
      </c>
      <c r="C1851" s="1" t="n">
        <v>45574</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53103-2023</t>
        </is>
      </c>
      <c r="B1852" s="1" t="n">
        <v>45228</v>
      </c>
      <c r="C1852" s="1" t="n">
        <v>45574</v>
      </c>
      <c r="D1852" t="inlineStr">
        <is>
          <t>VÄRMLANDS LÄN</t>
        </is>
      </c>
      <c r="E1852" t="inlineStr">
        <is>
          <t>TORSBY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53116-2023</t>
        </is>
      </c>
      <c r="B1853" s="1" t="n">
        <v>45228</v>
      </c>
      <c r="C1853" s="1" t="n">
        <v>45574</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53346-2023</t>
        </is>
      </c>
      <c r="B1854" s="1" t="n">
        <v>45229</v>
      </c>
      <c r="C1854" s="1" t="n">
        <v>45574</v>
      </c>
      <c r="D1854" t="inlineStr">
        <is>
          <t>VÄRMLANDS LÄN</t>
        </is>
      </c>
      <c r="E1854" t="inlineStr">
        <is>
          <t>TORSBY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54879-2023</t>
        </is>
      </c>
      <c r="B1855" s="1" t="n">
        <v>45229</v>
      </c>
      <c r="C1855" s="1" t="n">
        <v>45574</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54822-2023</t>
        </is>
      </c>
      <c r="B1856" s="1" t="n">
        <v>45229</v>
      </c>
      <c r="C1856" s="1" t="n">
        <v>45574</v>
      </c>
      <c r="D1856" t="inlineStr">
        <is>
          <t>VÄRMLANDS LÄN</t>
        </is>
      </c>
      <c r="E1856" t="inlineStr">
        <is>
          <t>TORSBY</t>
        </is>
      </c>
      <c r="F1856" t="inlineStr">
        <is>
          <t>Övriga Aktiebolag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53557-2023</t>
        </is>
      </c>
      <c r="B1857" s="1" t="n">
        <v>45230</v>
      </c>
      <c r="C1857" s="1" t="n">
        <v>45574</v>
      </c>
      <c r="D1857" t="inlineStr">
        <is>
          <t>VÄRMLANDS LÄN</t>
        </is>
      </c>
      <c r="E1857" t="inlineStr">
        <is>
          <t>TORSBY</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53495-2023</t>
        </is>
      </c>
      <c r="B1858" s="1" t="n">
        <v>45230</v>
      </c>
      <c r="C1858" s="1" t="n">
        <v>45574</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53794-2023</t>
        </is>
      </c>
      <c r="B1859" s="1" t="n">
        <v>45231</v>
      </c>
      <c r="C1859" s="1" t="n">
        <v>45574</v>
      </c>
      <c r="D1859" t="inlineStr">
        <is>
          <t>VÄRMLANDS LÄN</t>
        </is>
      </c>
      <c r="E1859" t="inlineStr">
        <is>
          <t>TORSBY</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53921-2023</t>
        </is>
      </c>
      <c r="B1860" s="1" t="n">
        <v>45231</v>
      </c>
      <c r="C1860" s="1" t="n">
        <v>45574</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53945-2023</t>
        </is>
      </c>
      <c r="B1861" s="1" t="n">
        <v>45231</v>
      </c>
      <c r="C1861" s="1" t="n">
        <v>45574</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53922-2023</t>
        </is>
      </c>
      <c r="B1862" s="1" t="n">
        <v>45231</v>
      </c>
      <c r="C1862" s="1" t="n">
        <v>45574</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54162-2023</t>
        </is>
      </c>
      <c r="B1863" s="1" t="n">
        <v>45232</v>
      </c>
      <c r="C1863" s="1" t="n">
        <v>45574</v>
      </c>
      <c r="D1863" t="inlineStr">
        <is>
          <t>VÄRMLANDS LÄN</t>
        </is>
      </c>
      <c r="E1863" t="inlineStr">
        <is>
          <t>TORSBY</t>
        </is>
      </c>
      <c r="F1863" t="inlineStr">
        <is>
          <t>Bergvik skog väst AB</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54262-2023</t>
        </is>
      </c>
      <c r="B1864" s="1" t="n">
        <v>45232</v>
      </c>
      <c r="C1864" s="1" t="n">
        <v>45574</v>
      </c>
      <c r="D1864" t="inlineStr">
        <is>
          <t>VÄRMLANDS LÄN</t>
        </is>
      </c>
      <c r="E1864" t="inlineStr">
        <is>
          <t>TORSBY</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54223-2023</t>
        </is>
      </c>
      <c r="B1865" s="1" t="n">
        <v>45232</v>
      </c>
      <c r="C1865" s="1" t="n">
        <v>45574</v>
      </c>
      <c r="D1865" t="inlineStr">
        <is>
          <t>VÄRMLANDS LÄN</t>
        </is>
      </c>
      <c r="E1865" t="inlineStr">
        <is>
          <t>TORSBY</t>
        </is>
      </c>
      <c r="F1865" t="inlineStr">
        <is>
          <t>Bergvik skog väst AB</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54191-2023</t>
        </is>
      </c>
      <c r="B1866" s="1" t="n">
        <v>45232</v>
      </c>
      <c r="C1866" s="1" t="n">
        <v>45574</v>
      </c>
      <c r="D1866" t="inlineStr">
        <is>
          <t>VÄRMLANDS LÄN</t>
        </is>
      </c>
      <c r="E1866" t="inlineStr">
        <is>
          <t>TORSBY</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54204-2023</t>
        </is>
      </c>
      <c r="B1867" s="1" t="n">
        <v>45232</v>
      </c>
      <c r="C1867" s="1" t="n">
        <v>45574</v>
      </c>
      <c r="D1867" t="inlineStr">
        <is>
          <t>VÄRMLANDS LÄN</t>
        </is>
      </c>
      <c r="E1867" t="inlineStr">
        <is>
          <t>TORSBY</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54556-2023</t>
        </is>
      </c>
      <c r="B1868" s="1" t="n">
        <v>45233</v>
      </c>
      <c r="C1868" s="1" t="n">
        <v>45574</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54551-2023</t>
        </is>
      </c>
      <c r="B1869" s="1" t="n">
        <v>45233</v>
      </c>
      <c r="C1869" s="1" t="n">
        <v>45574</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54442-2023</t>
        </is>
      </c>
      <c r="B1870" s="1" t="n">
        <v>45233</v>
      </c>
      <c r="C1870" s="1" t="n">
        <v>45574</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54386-2023</t>
        </is>
      </c>
      <c r="B1871" s="1" t="n">
        <v>45233</v>
      </c>
      <c r="C1871" s="1" t="n">
        <v>45574</v>
      </c>
      <c r="D1871" t="inlineStr">
        <is>
          <t>VÄRMLANDS LÄN</t>
        </is>
      </c>
      <c r="E1871" t="inlineStr">
        <is>
          <t>TORSBY</t>
        </is>
      </c>
      <c r="F1871" t="inlineStr">
        <is>
          <t>Bergvik skog väst AB</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54528-2023</t>
        </is>
      </c>
      <c r="B1872" s="1" t="n">
        <v>45233</v>
      </c>
      <c r="C1872" s="1" t="n">
        <v>45574</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54562-2023</t>
        </is>
      </c>
      <c r="B1873" s="1" t="n">
        <v>45233</v>
      </c>
      <c r="C1873" s="1" t="n">
        <v>45574</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54532-2023</t>
        </is>
      </c>
      <c r="B1874" s="1" t="n">
        <v>45233</v>
      </c>
      <c r="C1874" s="1" t="n">
        <v>45574</v>
      </c>
      <c r="D1874" t="inlineStr">
        <is>
          <t>VÄRMLANDS LÄN</t>
        </is>
      </c>
      <c r="E1874" t="inlineStr">
        <is>
          <t>TORSBY</t>
        </is>
      </c>
      <c r="F1874" t="inlineStr">
        <is>
          <t>Bergvik skog väst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54525-2023</t>
        </is>
      </c>
      <c r="B1875" s="1" t="n">
        <v>45233</v>
      </c>
      <c r="C1875" s="1" t="n">
        <v>45574</v>
      </c>
      <c r="D1875" t="inlineStr">
        <is>
          <t>VÄRMLANDS LÄN</t>
        </is>
      </c>
      <c r="E1875" t="inlineStr">
        <is>
          <t>TORSBY</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54487-2023</t>
        </is>
      </c>
      <c r="B1876" s="1" t="n">
        <v>45233</v>
      </c>
      <c r="C1876" s="1" t="n">
        <v>45574</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54409-2023</t>
        </is>
      </c>
      <c r="B1877" s="1" t="n">
        <v>45233</v>
      </c>
      <c r="C1877" s="1" t="n">
        <v>45574</v>
      </c>
      <c r="D1877" t="inlineStr">
        <is>
          <t>VÄRMLANDS LÄN</t>
        </is>
      </c>
      <c r="E1877" t="inlineStr">
        <is>
          <t>TORSBY</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54714-2023</t>
        </is>
      </c>
      <c r="B1878" s="1" t="n">
        <v>45236</v>
      </c>
      <c r="C1878" s="1" t="n">
        <v>45574</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54766-2023</t>
        </is>
      </c>
      <c r="B1879" s="1" t="n">
        <v>45236</v>
      </c>
      <c r="C1879" s="1" t="n">
        <v>45574</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54777-2023</t>
        </is>
      </c>
      <c r="B1880" s="1" t="n">
        <v>45236</v>
      </c>
      <c r="C1880" s="1" t="n">
        <v>45574</v>
      </c>
      <c r="D1880" t="inlineStr">
        <is>
          <t>VÄRMLANDS LÄN</t>
        </is>
      </c>
      <c r="E1880" t="inlineStr">
        <is>
          <t>TORSBY</t>
        </is>
      </c>
      <c r="F1880" t="inlineStr">
        <is>
          <t>Bergvik skog väst AB</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54876-2023</t>
        </is>
      </c>
      <c r="B1881" s="1" t="n">
        <v>45236</v>
      </c>
      <c r="C1881" s="1" t="n">
        <v>45574</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54708-2023</t>
        </is>
      </c>
      <c r="B1882" s="1" t="n">
        <v>45236</v>
      </c>
      <c r="C1882" s="1" t="n">
        <v>45574</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55031-2023</t>
        </is>
      </c>
      <c r="B1883" s="1" t="n">
        <v>45237</v>
      </c>
      <c r="C1883" s="1" t="n">
        <v>45574</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55100-2023</t>
        </is>
      </c>
      <c r="B1884" s="1" t="n">
        <v>45237</v>
      </c>
      <c r="C1884" s="1" t="n">
        <v>45574</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55401-2023</t>
        </is>
      </c>
      <c r="B1885" s="1" t="n">
        <v>45238</v>
      </c>
      <c r="C1885" s="1" t="n">
        <v>45574</v>
      </c>
      <c r="D1885" t="inlineStr">
        <is>
          <t>VÄRMLANDS LÄN</t>
        </is>
      </c>
      <c r="E1885" t="inlineStr">
        <is>
          <t>TORSBY</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55461-2023</t>
        </is>
      </c>
      <c r="B1886" s="1" t="n">
        <v>45238</v>
      </c>
      <c r="C1886" s="1" t="n">
        <v>45574</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55480-2023</t>
        </is>
      </c>
      <c r="B1887" s="1" t="n">
        <v>45238</v>
      </c>
      <c r="C1887" s="1" t="n">
        <v>45574</v>
      </c>
      <c r="D1887" t="inlineStr">
        <is>
          <t>VÄRMLANDS LÄN</t>
        </is>
      </c>
      <c r="E1887" t="inlineStr">
        <is>
          <t>TORSBY</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55485-2023</t>
        </is>
      </c>
      <c r="B1888" s="1" t="n">
        <v>45238</v>
      </c>
      <c r="C1888" s="1" t="n">
        <v>45574</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55478-2023</t>
        </is>
      </c>
      <c r="B1889" s="1" t="n">
        <v>45238</v>
      </c>
      <c r="C1889" s="1" t="n">
        <v>45574</v>
      </c>
      <c r="D1889" t="inlineStr">
        <is>
          <t>VÄRMLANDS LÄN</t>
        </is>
      </c>
      <c r="E1889" t="inlineStr">
        <is>
          <t>TORSBY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55522-2023</t>
        </is>
      </c>
      <c r="B1890" s="1" t="n">
        <v>45238</v>
      </c>
      <c r="C1890" s="1" t="n">
        <v>45574</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55527-2023</t>
        </is>
      </c>
      <c r="B1891" s="1" t="n">
        <v>45238</v>
      </c>
      <c r="C1891" s="1" t="n">
        <v>45574</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56716-2023</t>
        </is>
      </c>
      <c r="B1892" s="1" t="n">
        <v>45238</v>
      </c>
      <c r="C1892" s="1" t="n">
        <v>45574</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56712-2023</t>
        </is>
      </c>
      <c r="B1893" s="1" t="n">
        <v>45238</v>
      </c>
      <c r="C1893" s="1" t="n">
        <v>45574</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55447-2023</t>
        </is>
      </c>
      <c r="B1894" s="1" t="n">
        <v>45238</v>
      </c>
      <c r="C1894" s="1" t="n">
        <v>45574</v>
      </c>
      <c r="D1894" t="inlineStr">
        <is>
          <t>VÄRMLANDS LÄN</t>
        </is>
      </c>
      <c r="E1894" t="inlineStr">
        <is>
          <t>TORSBY</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56714-2023</t>
        </is>
      </c>
      <c r="B1895" s="1" t="n">
        <v>45238</v>
      </c>
      <c r="C1895" s="1" t="n">
        <v>45574</v>
      </c>
      <c r="D1895" t="inlineStr">
        <is>
          <t>VÄRMLANDS LÄN</t>
        </is>
      </c>
      <c r="E1895" t="inlineStr">
        <is>
          <t>TORSBY</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55759-2023</t>
        </is>
      </c>
      <c r="B1896" s="1" t="n">
        <v>45239</v>
      </c>
      <c r="C1896" s="1" t="n">
        <v>45574</v>
      </c>
      <c r="D1896" t="inlineStr">
        <is>
          <t>VÄRMLANDS LÄN</t>
        </is>
      </c>
      <c r="E1896" t="inlineStr">
        <is>
          <t>TORSBY</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57092-2023</t>
        </is>
      </c>
      <c r="B1897" s="1" t="n">
        <v>45239</v>
      </c>
      <c r="C1897" s="1" t="n">
        <v>45574</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57091-2023</t>
        </is>
      </c>
      <c r="B1898" s="1" t="n">
        <v>45239</v>
      </c>
      <c r="C1898" s="1" t="n">
        <v>45574</v>
      </c>
      <c r="D1898" t="inlineStr">
        <is>
          <t>VÄRMLANDS LÄN</t>
        </is>
      </c>
      <c r="E1898" t="inlineStr">
        <is>
          <t>TORSBY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56889-2023</t>
        </is>
      </c>
      <c r="B1899" s="1" t="n">
        <v>45239</v>
      </c>
      <c r="C1899" s="1" t="n">
        <v>45574</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55727-2023</t>
        </is>
      </c>
      <c r="B1900" s="1" t="n">
        <v>45239</v>
      </c>
      <c r="C1900" s="1" t="n">
        <v>45574</v>
      </c>
      <c r="D1900" t="inlineStr">
        <is>
          <t>VÄRMLANDS LÄN</t>
        </is>
      </c>
      <c r="E1900" t="inlineStr">
        <is>
          <t>TORSBY</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56164-2023</t>
        </is>
      </c>
      <c r="B1901" s="1" t="n">
        <v>45240</v>
      </c>
      <c r="C1901" s="1" t="n">
        <v>45574</v>
      </c>
      <c r="D1901" t="inlineStr">
        <is>
          <t>VÄRMLANDS LÄN</t>
        </is>
      </c>
      <c r="E1901" t="inlineStr">
        <is>
          <t>TORSBY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56170-2023</t>
        </is>
      </c>
      <c r="B1902" s="1" t="n">
        <v>45240</v>
      </c>
      <c r="C1902" s="1" t="n">
        <v>45574</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56116-2023</t>
        </is>
      </c>
      <c r="B1903" s="1" t="n">
        <v>45240</v>
      </c>
      <c r="C1903" s="1" t="n">
        <v>45574</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56021-2023</t>
        </is>
      </c>
      <c r="B1904" s="1" t="n">
        <v>45240</v>
      </c>
      <c r="C1904" s="1" t="n">
        <v>45574</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56426-2023</t>
        </is>
      </c>
      <c r="B1905" s="1" t="n">
        <v>45243</v>
      </c>
      <c r="C1905" s="1" t="n">
        <v>45574</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56724-2023</t>
        </is>
      </c>
      <c r="B1906" s="1" t="n">
        <v>45244</v>
      </c>
      <c r="C1906" s="1" t="n">
        <v>45574</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56880-2023</t>
        </is>
      </c>
      <c r="B1907" s="1" t="n">
        <v>45244</v>
      </c>
      <c r="C1907" s="1" t="n">
        <v>45574</v>
      </c>
      <c r="D1907" t="inlineStr">
        <is>
          <t>VÄRMLANDS LÄN</t>
        </is>
      </c>
      <c r="E1907" t="inlineStr">
        <is>
          <t>TORSBY</t>
        </is>
      </c>
      <c r="F1907" t="inlineStr">
        <is>
          <t>Övriga Aktiebolag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56881-2023</t>
        </is>
      </c>
      <c r="B1908" s="1" t="n">
        <v>45244</v>
      </c>
      <c r="C1908" s="1" t="n">
        <v>45574</v>
      </c>
      <c r="D1908" t="inlineStr">
        <is>
          <t>VÄRMLANDS LÄN</t>
        </is>
      </c>
      <c r="E1908" t="inlineStr">
        <is>
          <t>TORSBY</t>
        </is>
      </c>
      <c r="F1908" t="inlineStr">
        <is>
          <t>Övriga Aktiebolag</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56875-2023</t>
        </is>
      </c>
      <c r="B1909" s="1" t="n">
        <v>45244</v>
      </c>
      <c r="C1909" s="1" t="n">
        <v>45574</v>
      </c>
      <c r="D1909" t="inlineStr">
        <is>
          <t>VÄRMLANDS LÄN</t>
        </is>
      </c>
      <c r="E1909" t="inlineStr">
        <is>
          <t>TORSBY</t>
        </is>
      </c>
      <c r="F1909" t="inlineStr">
        <is>
          <t>Övriga Aktiebolag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56811-2023</t>
        </is>
      </c>
      <c r="B1910" s="1" t="n">
        <v>45244</v>
      </c>
      <c r="C1910" s="1" t="n">
        <v>45574</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56815-2023</t>
        </is>
      </c>
      <c r="B1911" s="1" t="n">
        <v>45244</v>
      </c>
      <c r="C1911" s="1" t="n">
        <v>45574</v>
      </c>
      <c r="D1911" t="inlineStr">
        <is>
          <t>VÄRMLANDS LÄN</t>
        </is>
      </c>
      <c r="E1911" t="inlineStr">
        <is>
          <t>TORSBY</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56902-2023</t>
        </is>
      </c>
      <c r="B1912" s="1" t="n">
        <v>45244</v>
      </c>
      <c r="C1912" s="1" t="n">
        <v>45574</v>
      </c>
      <c r="D1912" t="inlineStr">
        <is>
          <t>VÄRMLANDS LÄN</t>
        </is>
      </c>
      <c r="E1912" t="inlineStr">
        <is>
          <t>TORSBY</t>
        </is>
      </c>
      <c r="G1912" t="n">
        <v>17.4</v>
      </c>
      <c r="H1912" t="n">
        <v>0</v>
      </c>
      <c r="I1912" t="n">
        <v>0</v>
      </c>
      <c r="J1912" t="n">
        <v>0</v>
      </c>
      <c r="K1912" t="n">
        <v>0</v>
      </c>
      <c r="L1912" t="n">
        <v>0</v>
      </c>
      <c r="M1912" t="n">
        <v>0</v>
      </c>
      <c r="N1912" t="n">
        <v>0</v>
      </c>
      <c r="O1912" t="n">
        <v>0</v>
      </c>
      <c r="P1912" t="n">
        <v>0</v>
      </c>
      <c r="Q1912" t="n">
        <v>0</v>
      </c>
      <c r="R1912" s="2" t="inlineStr"/>
    </row>
    <row r="1913" ht="15" customHeight="1">
      <c r="A1913" t="inlineStr">
        <is>
          <t>A 56970-2023</t>
        </is>
      </c>
      <c r="B1913" s="1" t="n">
        <v>45244</v>
      </c>
      <c r="C1913" s="1" t="n">
        <v>45574</v>
      </c>
      <c r="D1913" t="inlineStr">
        <is>
          <t>VÄRMLANDS LÄN</t>
        </is>
      </c>
      <c r="E1913" t="inlineStr">
        <is>
          <t>TORSBY</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57017-2023</t>
        </is>
      </c>
      <c r="B1914" s="1" t="n">
        <v>45244</v>
      </c>
      <c r="C1914" s="1" t="n">
        <v>45574</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57117-2023</t>
        </is>
      </c>
      <c r="B1915" s="1" t="n">
        <v>45245</v>
      </c>
      <c r="C1915" s="1" t="n">
        <v>45574</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57143-2023</t>
        </is>
      </c>
      <c r="B1916" s="1" t="n">
        <v>45245</v>
      </c>
      <c r="C1916" s="1" t="n">
        <v>45574</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57345-2023</t>
        </is>
      </c>
      <c r="B1917" s="1" t="n">
        <v>45245</v>
      </c>
      <c r="C1917" s="1" t="n">
        <v>45574</v>
      </c>
      <c r="D1917" t="inlineStr">
        <is>
          <t>VÄRMLANDS LÄN</t>
        </is>
      </c>
      <c r="E1917" t="inlineStr">
        <is>
          <t>TORSBY</t>
        </is>
      </c>
      <c r="F1917" t="inlineStr">
        <is>
          <t>Bergvik skog väst AB</t>
        </is>
      </c>
      <c r="G1917" t="n">
        <v>14.6</v>
      </c>
      <c r="H1917" t="n">
        <v>0</v>
      </c>
      <c r="I1917" t="n">
        <v>0</v>
      </c>
      <c r="J1917" t="n">
        <v>0</v>
      </c>
      <c r="K1917" t="n">
        <v>0</v>
      </c>
      <c r="L1917" t="n">
        <v>0</v>
      </c>
      <c r="M1917" t="n">
        <v>0</v>
      </c>
      <c r="N1917" t="n">
        <v>0</v>
      </c>
      <c r="O1917" t="n">
        <v>0</v>
      </c>
      <c r="P1917" t="n">
        <v>0</v>
      </c>
      <c r="Q1917" t="n">
        <v>0</v>
      </c>
      <c r="R1917" s="2" t="inlineStr"/>
    </row>
    <row r="1918" ht="15" customHeight="1">
      <c r="A1918" t="inlineStr">
        <is>
          <t>A 57135-2023</t>
        </is>
      </c>
      <c r="B1918" s="1" t="n">
        <v>45245</v>
      </c>
      <c r="C1918" s="1" t="n">
        <v>45574</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57216-2023</t>
        </is>
      </c>
      <c r="B1919" s="1" t="n">
        <v>45245</v>
      </c>
      <c r="C1919" s="1" t="n">
        <v>45574</v>
      </c>
      <c r="D1919" t="inlineStr">
        <is>
          <t>VÄRMLANDS LÄN</t>
        </is>
      </c>
      <c r="E1919" t="inlineStr">
        <is>
          <t>TORSBY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57538-2023</t>
        </is>
      </c>
      <c r="B1920" s="1" t="n">
        <v>45246</v>
      </c>
      <c r="C1920" s="1" t="n">
        <v>45574</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57547-2023</t>
        </is>
      </c>
      <c r="B1921" s="1" t="n">
        <v>45246</v>
      </c>
      <c r="C1921" s="1" t="n">
        <v>45574</v>
      </c>
      <c r="D1921" t="inlineStr">
        <is>
          <t>VÄRMLANDS LÄN</t>
        </is>
      </c>
      <c r="E1921" t="inlineStr">
        <is>
          <t>TORSBY</t>
        </is>
      </c>
      <c r="F1921" t="inlineStr">
        <is>
          <t>Bergvik skog väst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57569-2023</t>
        </is>
      </c>
      <c r="B1922" s="1" t="n">
        <v>45246</v>
      </c>
      <c r="C1922" s="1" t="n">
        <v>45574</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57647-2023</t>
        </is>
      </c>
      <c r="B1923" s="1" t="n">
        <v>45246</v>
      </c>
      <c r="C1923" s="1" t="n">
        <v>45574</v>
      </c>
      <c r="D1923" t="inlineStr">
        <is>
          <t>VÄRMLANDS LÄN</t>
        </is>
      </c>
      <c r="E1923" t="inlineStr">
        <is>
          <t>TORSBY</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57642-2023</t>
        </is>
      </c>
      <c r="B1924" s="1" t="n">
        <v>45246</v>
      </c>
      <c r="C1924" s="1" t="n">
        <v>45574</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57921-2023</t>
        </is>
      </c>
      <c r="B1925" s="1" t="n">
        <v>45247</v>
      </c>
      <c r="C1925" s="1" t="n">
        <v>45574</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58013-2023</t>
        </is>
      </c>
      <c r="B1926" s="1" t="n">
        <v>45247</v>
      </c>
      <c r="C1926" s="1" t="n">
        <v>45574</v>
      </c>
      <c r="D1926" t="inlineStr">
        <is>
          <t>VÄRMLANDS LÄN</t>
        </is>
      </c>
      <c r="E1926" t="inlineStr">
        <is>
          <t>TORSBY</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57980-2023</t>
        </is>
      </c>
      <c r="B1927" s="1" t="n">
        <v>45247</v>
      </c>
      <c r="C1927" s="1" t="n">
        <v>45574</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57990-2023</t>
        </is>
      </c>
      <c r="B1928" s="1" t="n">
        <v>45247</v>
      </c>
      <c r="C1928" s="1" t="n">
        <v>45574</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58037-2023</t>
        </is>
      </c>
      <c r="B1929" s="1" t="n">
        <v>45247</v>
      </c>
      <c r="C1929" s="1" t="n">
        <v>45574</v>
      </c>
      <c r="D1929" t="inlineStr">
        <is>
          <t>VÄRMLANDS LÄN</t>
        </is>
      </c>
      <c r="E1929" t="inlineStr">
        <is>
          <t>TORSBY</t>
        </is>
      </c>
      <c r="F1929" t="inlineStr">
        <is>
          <t>Bergvik skog väst AB</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58600-2023</t>
        </is>
      </c>
      <c r="B1930" s="1" t="n">
        <v>45247</v>
      </c>
      <c r="C1930" s="1" t="n">
        <v>45574</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58185-2023</t>
        </is>
      </c>
      <c r="B1931" s="1" t="n">
        <v>45250</v>
      </c>
      <c r="C1931" s="1" t="n">
        <v>45574</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58386-2023</t>
        </is>
      </c>
      <c r="B1932" s="1" t="n">
        <v>45250</v>
      </c>
      <c r="C1932" s="1" t="n">
        <v>45574</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58430-2023</t>
        </is>
      </c>
      <c r="B1933" s="1" t="n">
        <v>45250</v>
      </c>
      <c r="C1933" s="1" t="n">
        <v>45574</v>
      </c>
      <c r="D1933" t="inlineStr">
        <is>
          <t>VÄRMLANDS LÄN</t>
        </is>
      </c>
      <c r="E1933" t="inlineStr">
        <is>
          <t>TORSBY</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58438-2023</t>
        </is>
      </c>
      <c r="B1934" s="1" t="n">
        <v>45250</v>
      </c>
      <c r="C1934" s="1" t="n">
        <v>45574</v>
      </c>
      <c r="D1934" t="inlineStr">
        <is>
          <t>VÄRMLANDS LÄN</t>
        </is>
      </c>
      <c r="E1934" t="inlineStr">
        <is>
          <t>TORSBY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58394-2023</t>
        </is>
      </c>
      <c r="B1935" s="1" t="n">
        <v>45250</v>
      </c>
      <c r="C1935" s="1" t="n">
        <v>45574</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58235-2023</t>
        </is>
      </c>
      <c r="B1936" s="1" t="n">
        <v>45250</v>
      </c>
      <c r="C1936" s="1" t="n">
        <v>45574</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58429-2023</t>
        </is>
      </c>
      <c r="B1937" s="1" t="n">
        <v>45250</v>
      </c>
      <c r="C1937" s="1" t="n">
        <v>45574</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58378-2023</t>
        </is>
      </c>
      <c r="B1938" s="1" t="n">
        <v>45250</v>
      </c>
      <c r="C1938" s="1" t="n">
        <v>45574</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58383-2023</t>
        </is>
      </c>
      <c r="B1939" s="1" t="n">
        <v>45250</v>
      </c>
      <c r="C1939" s="1" t="n">
        <v>45574</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59256-2023</t>
        </is>
      </c>
      <c r="B1940" s="1" t="n">
        <v>45251</v>
      </c>
      <c r="C1940" s="1" t="n">
        <v>45574</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59239-2023</t>
        </is>
      </c>
      <c r="B1941" s="1" t="n">
        <v>45253</v>
      </c>
      <c r="C1941" s="1" t="n">
        <v>45574</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59236-2023</t>
        </is>
      </c>
      <c r="B1942" s="1" t="n">
        <v>45253</v>
      </c>
      <c r="C1942" s="1" t="n">
        <v>45574</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59488-2023</t>
        </is>
      </c>
      <c r="B1943" s="1" t="n">
        <v>45254</v>
      </c>
      <c r="C1943" s="1" t="n">
        <v>45574</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59781-2023</t>
        </is>
      </c>
      <c r="B1944" s="1" t="n">
        <v>45257</v>
      </c>
      <c r="C1944" s="1" t="n">
        <v>45574</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59941-2023</t>
        </is>
      </c>
      <c r="B1945" s="1" t="n">
        <v>45257</v>
      </c>
      <c r="C1945" s="1" t="n">
        <v>45574</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59872-2023</t>
        </is>
      </c>
      <c r="B1946" s="1" t="n">
        <v>45257</v>
      </c>
      <c r="C1946" s="1" t="n">
        <v>45574</v>
      </c>
      <c r="D1946" t="inlineStr">
        <is>
          <t>VÄRMLANDS LÄN</t>
        </is>
      </c>
      <c r="E1946" t="inlineStr">
        <is>
          <t>TORSBY</t>
        </is>
      </c>
      <c r="F1946" t="inlineStr">
        <is>
          <t>Bergvik skog väst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60058-2023</t>
        </is>
      </c>
      <c r="B1947" s="1" t="n">
        <v>45258</v>
      </c>
      <c r="C1947" s="1" t="n">
        <v>45574</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60046-2023</t>
        </is>
      </c>
      <c r="B1948" s="1" t="n">
        <v>45258</v>
      </c>
      <c r="C1948" s="1" t="n">
        <v>45574</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60100-2023</t>
        </is>
      </c>
      <c r="B1949" s="1" t="n">
        <v>45258</v>
      </c>
      <c r="C1949" s="1" t="n">
        <v>45574</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60088-2023</t>
        </is>
      </c>
      <c r="B1950" s="1" t="n">
        <v>45258</v>
      </c>
      <c r="C1950" s="1" t="n">
        <v>45574</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60133-2023</t>
        </is>
      </c>
      <c r="B1951" s="1" t="n">
        <v>45258</v>
      </c>
      <c r="C1951" s="1" t="n">
        <v>45574</v>
      </c>
      <c r="D1951" t="inlineStr">
        <is>
          <t>VÄRMLANDS LÄN</t>
        </is>
      </c>
      <c r="E1951" t="inlineStr">
        <is>
          <t>TORSBY</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60314-2023</t>
        </is>
      </c>
      <c r="B1952" s="1" t="n">
        <v>45258</v>
      </c>
      <c r="C1952" s="1" t="n">
        <v>45574</v>
      </c>
      <c r="D1952" t="inlineStr">
        <is>
          <t>VÄRMLANDS LÄN</t>
        </is>
      </c>
      <c r="E1952" t="inlineStr">
        <is>
          <t>TORSBY</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60523-2023</t>
        </is>
      </c>
      <c r="B1953" s="1" t="n">
        <v>45259</v>
      </c>
      <c r="C1953" s="1" t="n">
        <v>45574</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60486-2023</t>
        </is>
      </c>
      <c r="B1954" s="1" t="n">
        <v>45259</v>
      </c>
      <c r="C1954" s="1" t="n">
        <v>45574</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60525-2023</t>
        </is>
      </c>
      <c r="B1955" s="1" t="n">
        <v>45259</v>
      </c>
      <c r="C1955" s="1" t="n">
        <v>45574</v>
      </c>
      <c r="D1955" t="inlineStr">
        <is>
          <t>VÄRMLANDS LÄN</t>
        </is>
      </c>
      <c r="E1955" t="inlineStr">
        <is>
          <t>TORSBY</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61157-2023</t>
        </is>
      </c>
      <c r="B1956" s="1" t="n">
        <v>45262</v>
      </c>
      <c r="C1956" s="1" t="n">
        <v>45574</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61164-2023</t>
        </is>
      </c>
      <c r="B1957" s="1" t="n">
        <v>45262</v>
      </c>
      <c r="C1957" s="1" t="n">
        <v>45574</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61229-2023</t>
        </is>
      </c>
      <c r="B1958" s="1" t="n">
        <v>45264</v>
      </c>
      <c r="C1958" s="1" t="n">
        <v>45574</v>
      </c>
      <c r="D1958" t="inlineStr">
        <is>
          <t>VÄRMLANDS LÄN</t>
        </is>
      </c>
      <c r="E1958" t="inlineStr">
        <is>
          <t>TORSBY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61256-2023</t>
        </is>
      </c>
      <c r="B1959" s="1" t="n">
        <v>45264</v>
      </c>
      <c r="C1959" s="1" t="n">
        <v>45574</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61370-2023</t>
        </is>
      </c>
      <c r="B1960" s="1" t="n">
        <v>45264</v>
      </c>
      <c r="C1960" s="1" t="n">
        <v>45574</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61923-2023</t>
        </is>
      </c>
      <c r="B1961" s="1" t="n">
        <v>45266</v>
      </c>
      <c r="C1961" s="1" t="n">
        <v>45574</v>
      </c>
      <c r="D1961" t="inlineStr">
        <is>
          <t>VÄRMLANDS LÄN</t>
        </is>
      </c>
      <c r="E1961" t="inlineStr">
        <is>
          <t>TORSBY</t>
        </is>
      </c>
      <c r="F1961" t="inlineStr">
        <is>
          <t>Kommuner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61921-2023</t>
        </is>
      </c>
      <c r="B1962" s="1" t="n">
        <v>45266</v>
      </c>
      <c r="C1962" s="1" t="n">
        <v>45574</v>
      </c>
      <c r="D1962" t="inlineStr">
        <is>
          <t>VÄRMLANDS LÄN</t>
        </is>
      </c>
      <c r="E1962" t="inlineStr">
        <is>
          <t>TORSBY</t>
        </is>
      </c>
      <c r="F1962" t="inlineStr">
        <is>
          <t>Kommuner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62037-2023</t>
        </is>
      </c>
      <c r="B1963" s="1" t="n">
        <v>45266</v>
      </c>
      <c r="C1963" s="1" t="n">
        <v>45574</v>
      </c>
      <c r="D1963" t="inlineStr">
        <is>
          <t>VÄRMLANDS LÄN</t>
        </is>
      </c>
      <c r="E1963" t="inlineStr">
        <is>
          <t>TORSBY</t>
        </is>
      </c>
      <c r="F1963" t="inlineStr">
        <is>
          <t>Bergvik skog väst AB</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62258-2023</t>
        </is>
      </c>
      <c r="B1964" s="1" t="n">
        <v>45266</v>
      </c>
      <c r="C1964" s="1" t="n">
        <v>45574</v>
      </c>
      <c r="D1964" t="inlineStr">
        <is>
          <t>VÄRMLANDS LÄN</t>
        </is>
      </c>
      <c r="E1964" t="inlineStr">
        <is>
          <t>TORSBY</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62250-2023</t>
        </is>
      </c>
      <c r="B1965" s="1" t="n">
        <v>45266</v>
      </c>
      <c r="C1965" s="1" t="n">
        <v>45574</v>
      </c>
      <c r="D1965" t="inlineStr">
        <is>
          <t>VÄRMLANDS LÄN</t>
        </is>
      </c>
      <c r="E1965" t="inlineStr">
        <is>
          <t>TORSBY</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62274-2023</t>
        </is>
      </c>
      <c r="B1966" s="1" t="n">
        <v>45267</v>
      </c>
      <c r="C1966" s="1" t="n">
        <v>45574</v>
      </c>
      <c r="D1966" t="inlineStr">
        <is>
          <t>VÄRMLANDS LÄN</t>
        </is>
      </c>
      <c r="E1966" t="inlineStr">
        <is>
          <t>TORSBY</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62168-2023</t>
        </is>
      </c>
      <c r="B1967" s="1" t="n">
        <v>45267</v>
      </c>
      <c r="C1967" s="1" t="n">
        <v>45574</v>
      </c>
      <c r="D1967" t="inlineStr">
        <is>
          <t>VÄRMLANDS LÄN</t>
        </is>
      </c>
      <c r="E1967" t="inlineStr">
        <is>
          <t>TORSBY</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62210-2023</t>
        </is>
      </c>
      <c r="B1968" s="1" t="n">
        <v>45267</v>
      </c>
      <c r="C1968" s="1" t="n">
        <v>45574</v>
      </c>
      <c r="D1968" t="inlineStr">
        <is>
          <t>VÄRMLANDS LÄN</t>
        </is>
      </c>
      <c r="E1968" t="inlineStr">
        <is>
          <t>TORSBY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62236-2023</t>
        </is>
      </c>
      <c r="B1969" s="1" t="n">
        <v>45267</v>
      </c>
      <c r="C1969" s="1" t="n">
        <v>45574</v>
      </c>
      <c r="D1969" t="inlineStr">
        <is>
          <t>VÄRMLANDS LÄN</t>
        </is>
      </c>
      <c r="E1969" t="inlineStr">
        <is>
          <t>TORSBY</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62240-2023</t>
        </is>
      </c>
      <c r="B1970" s="1" t="n">
        <v>45267</v>
      </c>
      <c r="C1970" s="1" t="n">
        <v>45574</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62317-2023</t>
        </is>
      </c>
      <c r="B1971" s="1" t="n">
        <v>45267</v>
      </c>
      <c r="C1971" s="1" t="n">
        <v>45574</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45574</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62387-2023</t>
        </is>
      </c>
      <c r="B1973" s="1" t="n">
        <v>45268</v>
      </c>
      <c r="C1973" s="1" t="n">
        <v>45574</v>
      </c>
      <c r="D1973" t="inlineStr">
        <is>
          <t>VÄRMLANDS LÄN</t>
        </is>
      </c>
      <c r="E1973" t="inlineStr">
        <is>
          <t>TORSBY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62445-2023</t>
        </is>
      </c>
      <c r="B1974" s="1" t="n">
        <v>45268</v>
      </c>
      <c r="C1974" s="1" t="n">
        <v>45574</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62510-2023</t>
        </is>
      </c>
      <c r="B1975" s="1" t="n">
        <v>45268</v>
      </c>
      <c r="C1975" s="1" t="n">
        <v>45574</v>
      </c>
      <c r="D1975" t="inlineStr">
        <is>
          <t>VÄRMLANDS LÄN</t>
        </is>
      </c>
      <c r="E1975" t="inlineStr">
        <is>
          <t>TORSBY</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62618-2023</t>
        </is>
      </c>
      <c r="B1976" s="1" t="n">
        <v>45271</v>
      </c>
      <c r="C1976" s="1" t="n">
        <v>45574</v>
      </c>
      <c r="D1976" t="inlineStr">
        <is>
          <t>VÄRMLANDS LÄN</t>
        </is>
      </c>
      <c r="E1976" t="inlineStr">
        <is>
          <t>TORSBY</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62957-2023</t>
        </is>
      </c>
      <c r="B1977" s="1" t="n">
        <v>45271</v>
      </c>
      <c r="C1977" s="1" t="n">
        <v>45574</v>
      </c>
      <c r="D1977" t="inlineStr">
        <is>
          <t>VÄRMLANDS LÄN</t>
        </is>
      </c>
      <c r="E1977" t="inlineStr">
        <is>
          <t>TORSBY</t>
        </is>
      </c>
      <c r="F1977" t="inlineStr">
        <is>
          <t>Övriga statliga verk och myndigheter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62950-2023</t>
        </is>
      </c>
      <c r="B1978" s="1" t="n">
        <v>45271</v>
      </c>
      <c r="C1978" s="1" t="n">
        <v>45574</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63030-2023</t>
        </is>
      </c>
      <c r="B1979" s="1" t="n">
        <v>45272</v>
      </c>
      <c r="C1979" s="1" t="n">
        <v>45574</v>
      </c>
      <c r="D1979" t="inlineStr">
        <is>
          <t>VÄRMLANDS LÄN</t>
        </is>
      </c>
      <c r="E1979" t="inlineStr">
        <is>
          <t>TORSBY</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63031-2023</t>
        </is>
      </c>
      <c r="B1980" s="1" t="n">
        <v>45272</v>
      </c>
      <c r="C1980" s="1" t="n">
        <v>45574</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63028-2023</t>
        </is>
      </c>
      <c r="B1981" s="1" t="n">
        <v>45272</v>
      </c>
      <c r="C1981" s="1" t="n">
        <v>45574</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63032-2023</t>
        </is>
      </c>
      <c r="B1982" s="1" t="n">
        <v>45272</v>
      </c>
      <c r="C1982" s="1" t="n">
        <v>45574</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63177-2023</t>
        </is>
      </c>
      <c r="B1983" s="1" t="n">
        <v>45272</v>
      </c>
      <c r="C1983" s="1" t="n">
        <v>45574</v>
      </c>
      <c r="D1983" t="inlineStr">
        <is>
          <t>VÄRMLANDS LÄN</t>
        </is>
      </c>
      <c r="E1983" t="inlineStr">
        <is>
          <t>TORSBY</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63160-2023</t>
        </is>
      </c>
      <c r="B1984" s="1" t="n">
        <v>45273</v>
      </c>
      <c r="C1984" s="1" t="n">
        <v>45574</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63146-2023</t>
        </is>
      </c>
      <c r="B1985" s="1" t="n">
        <v>45273</v>
      </c>
      <c r="C1985" s="1" t="n">
        <v>45574</v>
      </c>
      <c r="D1985" t="inlineStr">
        <is>
          <t>VÄRMLANDS LÄN</t>
        </is>
      </c>
      <c r="E1985" t="inlineStr">
        <is>
          <t>TORSBY</t>
        </is>
      </c>
      <c r="F1985" t="inlineStr">
        <is>
          <t>Bergvik skog väst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63266-2023</t>
        </is>
      </c>
      <c r="B1986" s="1" t="n">
        <v>45273</v>
      </c>
      <c r="C1986" s="1" t="n">
        <v>45574</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63083-2023</t>
        </is>
      </c>
      <c r="B1987" s="1" t="n">
        <v>45273</v>
      </c>
      <c r="C1987" s="1" t="n">
        <v>45574</v>
      </c>
      <c r="D1987" t="inlineStr">
        <is>
          <t>VÄRMLANDS LÄN</t>
        </is>
      </c>
      <c r="E1987" t="inlineStr">
        <is>
          <t>TORSBY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63244-2023</t>
        </is>
      </c>
      <c r="B1988" s="1" t="n">
        <v>45273</v>
      </c>
      <c r="C1988" s="1" t="n">
        <v>45574</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63158-2023</t>
        </is>
      </c>
      <c r="B1989" s="1" t="n">
        <v>45273</v>
      </c>
      <c r="C1989" s="1" t="n">
        <v>45574</v>
      </c>
      <c r="D1989" t="inlineStr">
        <is>
          <t>VÄRMLANDS LÄN</t>
        </is>
      </c>
      <c r="E1989" t="inlineStr">
        <is>
          <t>TORSBY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63363-2023</t>
        </is>
      </c>
      <c r="B1990" s="1" t="n">
        <v>45273</v>
      </c>
      <c r="C1990" s="1" t="n">
        <v>45574</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63399-2023</t>
        </is>
      </c>
      <c r="B1991" s="1" t="n">
        <v>45274</v>
      </c>
      <c r="C1991" s="1" t="n">
        <v>45574</v>
      </c>
      <c r="D1991" t="inlineStr">
        <is>
          <t>VÄRMLANDS LÄN</t>
        </is>
      </c>
      <c r="E1991" t="inlineStr">
        <is>
          <t>TORSBY</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63409-2023</t>
        </is>
      </c>
      <c r="B1992" s="1" t="n">
        <v>45274</v>
      </c>
      <c r="C1992" s="1" t="n">
        <v>45574</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63821-2023</t>
        </is>
      </c>
      <c r="B1993" s="1" t="n">
        <v>45275</v>
      </c>
      <c r="C1993" s="1" t="n">
        <v>45574</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63820-2023</t>
        </is>
      </c>
      <c r="B1994" s="1" t="n">
        <v>45278</v>
      </c>
      <c r="C1994" s="1" t="n">
        <v>45574</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63866-2023</t>
        </is>
      </c>
      <c r="B1995" s="1" t="n">
        <v>45278</v>
      </c>
      <c r="C1995" s="1" t="n">
        <v>45574</v>
      </c>
      <c r="D1995" t="inlineStr">
        <is>
          <t>VÄRMLANDS LÄN</t>
        </is>
      </c>
      <c r="E1995" t="inlineStr">
        <is>
          <t>TORSBY</t>
        </is>
      </c>
      <c r="F1995" t="inlineStr">
        <is>
          <t>Bergvik skog väst AB</t>
        </is>
      </c>
      <c r="G1995" t="n">
        <v>58.2</v>
      </c>
      <c r="H1995" t="n">
        <v>0</v>
      </c>
      <c r="I1995" t="n">
        <v>0</v>
      </c>
      <c r="J1995" t="n">
        <v>0</v>
      </c>
      <c r="K1995" t="n">
        <v>0</v>
      </c>
      <c r="L1995" t="n">
        <v>0</v>
      </c>
      <c r="M1995" t="n">
        <v>0</v>
      </c>
      <c r="N1995" t="n">
        <v>0</v>
      </c>
      <c r="O1995" t="n">
        <v>0</v>
      </c>
      <c r="P1995" t="n">
        <v>0</v>
      </c>
      <c r="Q1995" t="n">
        <v>0</v>
      </c>
      <c r="R1995" s="2" t="inlineStr"/>
    </row>
    <row r="1996" ht="15" customHeight="1">
      <c r="A1996" t="inlineStr">
        <is>
          <t>A 63955-2023</t>
        </is>
      </c>
      <c r="B1996" s="1" t="n">
        <v>45278</v>
      </c>
      <c r="C1996" s="1" t="n">
        <v>45574</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63967-2023</t>
        </is>
      </c>
      <c r="B1997" s="1" t="n">
        <v>45278</v>
      </c>
      <c r="C1997" s="1" t="n">
        <v>45574</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64162-2023</t>
        </is>
      </c>
      <c r="B1998" s="1" t="n">
        <v>45279</v>
      </c>
      <c r="C1998" s="1" t="n">
        <v>45574</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64432-2023</t>
        </is>
      </c>
      <c r="B1999" s="1" t="n">
        <v>45280</v>
      </c>
      <c r="C1999" s="1" t="n">
        <v>45574</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64389-2023</t>
        </is>
      </c>
      <c r="B2000" s="1" t="n">
        <v>45280</v>
      </c>
      <c r="C2000" s="1" t="n">
        <v>45574</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64454-2023</t>
        </is>
      </c>
      <c r="B2001" s="1" t="n">
        <v>45280</v>
      </c>
      <c r="C2001" s="1" t="n">
        <v>45574</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64395-2023</t>
        </is>
      </c>
      <c r="B2002" s="1" t="n">
        <v>45280</v>
      </c>
      <c r="C2002" s="1" t="n">
        <v>45574</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64400-2023</t>
        </is>
      </c>
      <c r="B2003" s="1" t="n">
        <v>45280</v>
      </c>
      <c r="C2003" s="1" t="n">
        <v>45574</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64429-2023</t>
        </is>
      </c>
      <c r="B2004" s="1" t="n">
        <v>45280</v>
      </c>
      <c r="C2004" s="1" t="n">
        <v>45574</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64590-2023</t>
        </is>
      </c>
      <c r="B2005" s="1" t="n">
        <v>45281</v>
      </c>
      <c r="C2005" s="1" t="n">
        <v>45574</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64602-2023</t>
        </is>
      </c>
      <c r="B2006" s="1" t="n">
        <v>45281</v>
      </c>
      <c r="C2006" s="1" t="n">
        <v>45574</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64641-2023</t>
        </is>
      </c>
      <c r="B2007" s="1" t="n">
        <v>45281</v>
      </c>
      <c r="C2007" s="1" t="n">
        <v>45574</v>
      </c>
      <c r="D2007" t="inlineStr">
        <is>
          <t>VÄRMLANDS LÄN</t>
        </is>
      </c>
      <c r="E2007" t="inlineStr">
        <is>
          <t>TORSBY</t>
        </is>
      </c>
      <c r="F2007" t="inlineStr">
        <is>
          <t>Bergvik skog väst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64671-2023</t>
        </is>
      </c>
      <c r="B2008" s="1" t="n">
        <v>45281</v>
      </c>
      <c r="C2008" s="1" t="n">
        <v>45574</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64664-2023</t>
        </is>
      </c>
      <c r="B2009" s="1" t="n">
        <v>45281</v>
      </c>
      <c r="C2009" s="1" t="n">
        <v>45574</v>
      </c>
      <c r="D2009" t="inlineStr">
        <is>
          <t>VÄRMLANDS LÄN</t>
        </is>
      </c>
      <c r="E2009" t="inlineStr">
        <is>
          <t>TORSBY</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64672-2023</t>
        </is>
      </c>
      <c r="B2010" s="1" t="n">
        <v>45281</v>
      </c>
      <c r="C2010" s="1" t="n">
        <v>45574</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64640-2023</t>
        </is>
      </c>
      <c r="B2011" s="1" t="n">
        <v>45281</v>
      </c>
      <c r="C2011" s="1" t="n">
        <v>45574</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65081-2023</t>
        </is>
      </c>
      <c r="B2012" s="1" t="n">
        <v>45288</v>
      </c>
      <c r="C2012" s="1" t="n">
        <v>45574</v>
      </c>
      <c r="D2012" t="inlineStr">
        <is>
          <t>VÄRMLANDS LÄN</t>
        </is>
      </c>
      <c r="E2012" t="inlineStr">
        <is>
          <t>TORSBY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65134-2023</t>
        </is>
      </c>
      <c r="B2013" s="1" t="n">
        <v>45288</v>
      </c>
      <c r="C2013" s="1" t="n">
        <v>45574</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65204-2023</t>
        </is>
      </c>
      <c r="B2014" s="1" t="n">
        <v>45289</v>
      </c>
      <c r="C2014" s="1" t="n">
        <v>45574</v>
      </c>
      <c r="D2014" t="inlineStr">
        <is>
          <t>VÄRMLANDS LÄN</t>
        </is>
      </c>
      <c r="E2014" t="inlineStr">
        <is>
          <t>TORSBY</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173-2024</t>
        </is>
      </c>
      <c r="B2015" s="1" t="n">
        <v>45294</v>
      </c>
      <c r="C2015" s="1" t="n">
        <v>45574</v>
      </c>
      <c r="D2015" t="inlineStr">
        <is>
          <t>VÄRMLANDS LÄN</t>
        </is>
      </c>
      <c r="E2015" t="inlineStr">
        <is>
          <t>TORSBY</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119-2024</t>
        </is>
      </c>
      <c r="B2016" s="1" t="n">
        <v>45294</v>
      </c>
      <c r="C2016" s="1" t="n">
        <v>45574</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144-2024</t>
        </is>
      </c>
      <c r="B2017" s="1" t="n">
        <v>45294</v>
      </c>
      <c r="C2017" s="1" t="n">
        <v>45574</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234-2024</t>
        </is>
      </c>
      <c r="B2018" s="1" t="n">
        <v>45294</v>
      </c>
      <c r="C2018" s="1" t="n">
        <v>45574</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176-2024</t>
        </is>
      </c>
      <c r="B2019" s="1" t="n">
        <v>45294</v>
      </c>
      <c r="C2019" s="1" t="n">
        <v>45574</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v>
      </c>
      <c r="C2020" s="1" t="n">
        <v>45574</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236-2024</t>
        </is>
      </c>
      <c r="B2021" s="1" t="n">
        <v>45294</v>
      </c>
      <c r="C2021" s="1" t="n">
        <v>45574</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266-2024</t>
        </is>
      </c>
      <c r="B2022" s="1" t="n">
        <v>45295</v>
      </c>
      <c r="C2022" s="1" t="n">
        <v>45574</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276-2024</t>
        </is>
      </c>
      <c r="B2023" s="1" t="n">
        <v>45295</v>
      </c>
      <c r="C2023" s="1" t="n">
        <v>45574</v>
      </c>
      <c r="D2023" t="inlineStr">
        <is>
          <t>VÄRMLANDS LÄN</t>
        </is>
      </c>
      <c r="E2023" t="inlineStr">
        <is>
          <t>TORSBY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324-2024</t>
        </is>
      </c>
      <c r="B2024" s="1" t="n">
        <v>45295</v>
      </c>
      <c r="C2024" s="1" t="n">
        <v>45574</v>
      </c>
      <c r="D2024" t="inlineStr">
        <is>
          <t>VÄRMLANDS LÄN</t>
        </is>
      </c>
      <c r="E2024" t="inlineStr">
        <is>
          <t>TORSBY</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423-2024</t>
        </is>
      </c>
      <c r="B2025" s="1" t="n">
        <v>45296</v>
      </c>
      <c r="C2025" s="1" t="n">
        <v>45574</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502-2024</t>
        </is>
      </c>
      <c r="B2026" s="1" t="n">
        <v>45299</v>
      </c>
      <c r="C2026" s="1" t="n">
        <v>45574</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737-2024</t>
        </is>
      </c>
      <c r="B2027" s="1" t="n">
        <v>45300</v>
      </c>
      <c r="C2027" s="1" t="n">
        <v>45574</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714-2024</t>
        </is>
      </c>
      <c r="B2028" s="1" t="n">
        <v>45300</v>
      </c>
      <c r="C2028" s="1" t="n">
        <v>45574</v>
      </c>
      <c r="D2028" t="inlineStr">
        <is>
          <t>VÄRMLANDS LÄN</t>
        </is>
      </c>
      <c r="E2028" t="inlineStr">
        <is>
          <t>TORSBY</t>
        </is>
      </c>
      <c r="G2028" t="n">
        <v>18.1</v>
      </c>
      <c r="H2028" t="n">
        <v>0</v>
      </c>
      <c r="I2028" t="n">
        <v>0</v>
      </c>
      <c r="J2028" t="n">
        <v>0</v>
      </c>
      <c r="K2028" t="n">
        <v>0</v>
      </c>
      <c r="L2028" t="n">
        <v>0</v>
      </c>
      <c r="M2028" t="n">
        <v>0</v>
      </c>
      <c r="N2028" t="n">
        <v>0</v>
      </c>
      <c r="O2028" t="n">
        <v>0</v>
      </c>
      <c r="P2028" t="n">
        <v>0</v>
      </c>
      <c r="Q2028" t="n">
        <v>0</v>
      </c>
      <c r="R2028" s="2" t="inlineStr"/>
    </row>
    <row r="2029" ht="15" customHeight="1">
      <c r="A2029" t="inlineStr">
        <is>
          <t>A 731-2024</t>
        </is>
      </c>
      <c r="B2029" s="1" t="n">
        <v>45300</v>
      </c>
      <c r="C2029" s="1" t="n">
        <v>45574</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924-2024</t>
        </is>
      </c>
      <c r="B2030" s="1" t="n">
        <v>45301</v>
      </c>
      <c r="C2030" s="1" t="n">
        <v>45574</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869-2024</t>
        </is>
      </c>
      <c r="B2031" s="1" t="n">
        <v>45301</v>
      </c>
      <c r="C2031" s="1" t="n">
        <v>45574</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877-2024</t>
        </is>
      </c>
      <c r="B2032" s="1" t="n">
        <v>45301</v>
      </c>
      <c r="C2032" s="1" t="n">
        <v>45574</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1001-2024</t>
        </is>
      </c>
      <c r="B2033" s="1" t="n">
        <v>45301</v>
      </c>
      <c r="C2033" s="1" t="n">
        <v>45574</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894-2024</t>
        </is>
      </c>
      <c r="B2034" s="1" t="n">
        <v>45301</v>
      </c>
      <c r="C2034" s="1" t="n">
        <v>45574</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1042-2024</t>
        </is>
      </c>
      <c r="B2035" s="1" t="n">
        <v>45301</v>
      </c>
      <c r="C2035" s="1" t="n">
        <v>45574</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1046-2024</t>
        </is>
      </c>
      <c r="B2036" s="1" t="n">
        <v>45301</v>
      </c>
      <c r="C2036" s="1" t="n">
        <v>45574</v>
      </c>
      <c r="D2036" t="inlineStr">
        <is>
          <t>VÄRMLANDS LÄN</t>
        </is>
      </c>
      <c r="E2036" t="inlineStr">
        <is>
          <t>TORSBY</t>
        </is>
      </c>
      <c r="G2036" t="n">
        <v>17.5</v>
      </c>
      <c r="H2036" t="n">
        <v>0</v>
      </c>
      <c r="I2036" t="n">
        <v>0</v>
      </c>
      <c r="J2036" t="n">
        <v>0</v>
      </c>
      <c r="K2036" t="n">
        <v>0</v>
      </c>
      <c r="L2036" t="n">
        <v>0</v>
      </c>
      <c r="M2036" t="n">
        <v>0</v>
      </c>
      <c r="N2036" t="n">
        <v>0</v>
      </c>
      <c r="O2036" t="n">
        <v>0</v>
      </c>
      <c r="P2036" t="n">
        <v>0</v>
      </c>
      <c r="Q2036" t="n">
        <v>0</v>
      </c>
      <c r="R2036" s="2" t="inlineStr"/>
    </row>
    <row r="2037" ht="15" customHeight="1">
      <c r="A2037" t="inlineStr">
        <is>
          <t>A 1041-2024</t>
        </is>
      </c>
      <c r="B2037" s="1" t="n">
        <v>45301</v>
      </c>
      <c r="C2037" s="1" t="n">
        <v>45574</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1040-2024</t>
        </is>
      </c>
      <c r="B2038" s="1" t="n">
        <v>45301</v>
      </c>
      <c r="C2038" s="1" t="n">
        <v>45574</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1080-2024</t>
        </is>
      </c>
      <c r="B2039" s="1" t="n">
        <v>45302</v>
      </c>
      <c r="C2039" s="1" t="n">
        <v>45574</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1086-2024</t>
        </is>
      </c>
      <c r="B2040" s="1" t="n">
        <v>45302</v>
      </c>
      <c r="C2040" s="1" t="n">
        <v>45574</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1091-2024</t>
        </is>
      </c>
      <c r="B2041" s="1" t="n">
        <v>45302</v>
      </c>
      <c r="C2041" s="1" t="n">
        <v>45574</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1243-2024</t>
        </is>
      </c>
      <c r="B2042" s="1" t="n">
        <v>45302</v>
      </c>
      <c r="C2042" s="1" t="n">
        <v>45574</v>
      </c>
      <c r="D2042" t="inlineStr">
        <is>
          <t>VÄRMLANDS LÄN</t>
        </is>
      </c>
      <c r="E2042" t="inlineStr">
        <is>
          <t>TORSBY</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1154-2024</t>
        </is>
      </c>
      <c r="B2043" s="1" t="n">
        <v>45302</v>
      </c>
      <c r="C2043" s="1" t="n">
        <v>45574</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1090-2024</t>
        </is>
      </c>
      <c r="B2044" s="1" t="n">
        <v>45302</v>
      </c>
      <c r="C2044" s="1" t="n">
        <v>45574</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1094-2024</t>
        </is>
      </c>
      <c r="B2045" s="1" t="n">
        <v>45302</v>
      </c>
      <c r="C2045" s="1" t="n">
        <v>45574</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1232-2024</t>
        </is>
      </c>
      <c r="B2046" s="1" t="n">
        <v>45302</v>
      </c>
      <c r="C2046" s="1" t="n">
        <v>45574</v>
      </c>
      <c r="D2046" t="inlineStr">
        <is>
          <t>VÄRMLANDS LÄN</t>
        </is>
      </c>
      <c r="E2046" t="inlineStr">
        <is>
          <t>TORSBY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1236-2024</t>
        </is>
      </c>
      <c r="B2047" s="1" t="n">
        <v>45302</v>
      </c>
      <c r="C2047" s="1" t="n">
        <v>45574</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1275-2024</t>
        </is>
      </c>
      <c r="B2048" s="1" t="n">
        <v>45302</v>
      </c>
      <c r="C2048" s="1" t="n">
        <v>45574</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1363-2024</t>
        </is>
      </c>
      <c r="B2049" s="1" t="n">
        <v>45303</v>
      </c>
      <c r="C2049" s="1" t="n">
        <v>45574</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1527-2024</t>
        </is>
      </c>
      <c r="B2050" s="1" t="n">
        <v>45306</v>
      </c>
      <c r="C2050" s="1" t="n">
        <v>45574</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1522-2024</t>
        </is>
      </c>
      <c r="B2051" s="1" t="n">
        <v>45306</v>
      </c>
      <c r="C2051" s="1" t="n">
        <v>45574</v>
      </c>
      <c r="D2051" t="inlineStr">
        <is>
          <t>VÄRMLANDS LÄN</t>
        </is>
      </c>
      <c r="E2051" t="inlineStr">
        <is>
          <t>TORSBY</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1547-2024</t>
        </is>
      </c>
      <c r="B2052" s="1" t="n">
        <v>45306</v>
      </c>
      <c r="C2052" s="1" t="n">
        <v>45574</v>
      </c>
      <c r="D2052" t="inlineStr">
        <is>
          <t>VÄRMLANDS LÄN</t>
        </is>
      </c>
      <c r="E2052" t="inlineStr">
        <is>
          <t>TORSBY</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1528-2024</t>
        </is>
      </c>
      <c r="B2053" s="1" t="n">
        <v>45306</v>
      </c>
      <c r="C2053" s="1" t="n">
        <v>45574</v>
      </c>
      <c r="D2053" t="inlineStr">
        <is>
          <t>VÄRMLANDS LÄN</t>
        </is>
      </c>
      <c r="E2053" t="inlineStr">
        <is>
          <t>TORSBY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1637-2024</t>
        </is>
      </c>
      <c r="B2054" s="1" t="n">
        <v>45306</v>
      </c>
      <c r="C2054" s="1" t="n">
        <v>45574</v>
      </c>
      <c r="D2054" t="inlineStr">
        <is>
          <t>VÄRMLANDS LÄN</t>
        </is>
      </c>
      <c r="E2054" t="inlineStr">
        <is>
          <t>TORSBY</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1608-2024</t>
        </is>
      </c>
      <c r="B2055" s="1" t="n">
        <v>45306</v>
      </c>
      <c r="C2055" s="1" t="n">
        <v>45574</v>
      </c>
      <c r="D2055" t="inlineStr">
        <is>
          <t>VÄRMLANDS LÄN</t>
        </is>
      </c>
      <c r="E2055" t="inlineStr">
        <is>
          <t>TORSBY</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1700-2024</t>
        </is>
      </c>
      <c r="B2056" s="1" t="n">
        <v>45307</v>
      </c>
      <c r="C2056" s="1" t="n">
        <v>45574</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1803-2024</t>
        </is>
      </c>
      <c r="B2057" s="1" t="n">
        <v>45307</v>
      </c>
      <c r="C2057" s="1" t="n">
        <v>45574</v>
      </c>
      <c r="D2057" t="inlineStr">
        <is>
          <t>VÄRMLANDS LÄN</t>
        </is>
      </c>
      <c r="E2057" t="inlineStr">
        <is>
          <t>TORSBY</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1757-2024</t>
        </is>
      </c>
      <c r="B2058" s="1" t="n">
        <v>45307</v>
      </c>
      <c r="C2058" s="1" t="n">
        <v>45574</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1970-2024</t>
        </is>
      </c>
      <c r="B2059" s="1" t="n">
        <v>45308</v>
      </c>
      <c r="C2059" s="1" t="n">
        <v>45574</v>
      </c>
      <c r="D2059" t="inlineStr">
        <is>
          <t>VÄRMLANDS LÄN</t>
        </is>
      </c>
      <c r="E2059" t="inlineStr">
        <is>
          <t>TORSBY</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2155-2024</t>
        </is>
      </c>
      <c r="B2060" s="1" t="n">
        <v>45309</v>
      </c>
      <c r="C2060" s="1" t="n">
        <v>45574</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2130-2024</t>
        </is>
      </c>
      <c r="B2061" s="1" t="n">
        <v>45309</v>
      </c>
      <c r="C2061" s="1" t="n">
        <v>45574</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2308-2024</t>
        </is>
      </c>
      <c r="B2062" s="1" t="n">
        <v>45310</v>
      </c>
      <c r="C2062" s="1" t="n">
        <v>45574</v>
      </c>
      <c r="D2062" t="inlineStr">
        <is>
          <t>VÄRMLANDS LÄN</t>
        </is>
      </c>
      <c r="E2062" t="inlineStr">
        <is>
          <t>TORSBY</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2328-2024</t>
        </is>
      </c>
      <c r="B2063" s="1" t="n">
        <v>45310</v>
      </c>
      <c r="C2063" s="1" t="n">
        <v>45574</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2466-2024</t>
        </is>
      </c>
      <c r="B2064" s="1" t="n">
        <v>45313</v>
      </c>
      <c r="C2064" s="1" t="n">
        <v>45574</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2689-2024</t>
        </is>
      </c>
      <c r="B2065" s="1" t="n">
        <v>45314</v>
      </c>
      <c r="C2065" s="1" t="n">
        <v>45574</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2784-2024</t>
        </is>
      </c>
      <c r="B2066" s="1" t="n">
        <v>45314</v>
      </c>
      <c r="C2066" s="1" t="n">
        <v>45574</v>
      </c>
      <c r="D2066" t="inlineStr">
        <is>
          <t>VÄRMLANDS LÄN</t>
        </is>
      </c>
      <c r="E2066" t="inlineStr">
        <is>
          <t>TORSBY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2662-2024</t>
        </is>
      </c>
      <c r="B2067" s="1" t="n">
        <v>45314</v>
      </c>
      <c r="C2067" s="1" t="n">
        <v>45574</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2870-2024</t>
        </is>
      </c>
      <c r="B2068" s="1" t="n">
        <v>45315</v>
      </c>
      <c r="C2068" s="1" t="n">
        <v>45574</v>
      </c>
      <c r="D2068" t="inlineStr">
        <is>
          <t>VÄRMLANDS LÄN</t>
        </is>
      </c>
      <c r="E2068" t="inlineStr">
        <is>
          <t>TORSBY</t>
        </is>
      </c>
      <c r="F2068" t="inlineStr">
        <is>
          <t>Bergvik skog väst AB</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3106-2024</t>
        </is>
      </c>
      <c r="B2069" s="1" t="n">
        <v>45316</v>
      </c>
      <c r="C2069" s="1" t="n">
        <v>45574</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3069-2024</t>
        </is>
      </c>
      <c r="B2070" s="1" t="n">
        <v>45316</v>
      </c>
      <c r="C2070" s="1" t="n">
        <v>45574</v>
      </c>
      <c r="D2070" t="inlineStr">
        <is>
          <t>VÄRMLANDS LÄN</t>
        </is>
      </c>
      <c r="E2070" t="inlineStr">
        <is>
          <t>TORSBY</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3326-2024</t>
        </is>
      </c>
      <c r="B2071" s="1" t="n">
        <v>45317</v>
      </c>
      <c r="C2071" s="1" t="n">
        <v>45574</v>
      </c>
      <c r="D2071" t="inlineStr">
        <is>
          <t>VÄRMLANDS LÄN</t>
        </is>
      </c>
      <c r="E2071" t="inlineStr">
        <is>
          <t>TORSBY</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3298-2024</t>
        </is>
      </c>
      <c r="B2072" s="1" t="n">
        <v>45317</v>
      </c>
      <c r="C2072" s="1" t="n">
        <v>45574</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3331-2024</t>
        </is>
      </c>
      <c r="B2073" s="1" t="n">
        <v>45317</v>
      </c>
      <c r="C2073" s="1" t="n">
        <v>45574</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3591-2024</t>
        </is>
      </c>
      <c r="B2074" s="1" t="n">
        <v>45320</v>
      </c>
      <c r="C2074" s="1" t="n">
        <v>45574</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3479-2024</t>
        </is>
      </c>
      <c r="B2075" s="1" t="n">
        <v>45320</v>
      </c>
      <c r="C2075" s="1" t="n">
        <v>45574</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3536-2024</t>
        </is>
      </c>
      <c r="B2076" s="1" t="n">
        <v>45320</v>
      </c>
      <c r="C2076" s="1" t="n">
        <v>45574</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3590-2024</t>
        </is>
      </c>
      <c r="B2077" s="1" t="n">
        <v>45320</v>
      </c>
      <c r="C2077" s="1" t="n">
        <v>45574</v>
      </c>
      <c r="D2077" t="inlineStr">
        <is>
          <t>VÄRMLANDS LÄN</t>
        </is>
      </c>
      <c r="E2077" t="inlineStr">
        <is>
          <t>TORSBY</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3608-2024</t>
        </is>
      </c>
      <c r="B2078" s="1" t="n">
        <v>45320</v>
      </c>
      <c r="C2078" s="1" t="n">
        <v>45574</v>
      </c>
      <c r="D2078" t="inlineStr">
        <is>
          <t>VÄRMLANDS LÄN</t>
        </is>
      </c>
      <c r="E2078" t="inlineStr">
        <is>
          <t>TORSBY</t>
        </is>
      </c>
      <c r="G2078" t="n">
        <v>20.2</v>
      </c>
      <c r="H2078" t="n">
        <v>0</v>
      </c>
      <c r="I2078" t="n">
        <v>0</v>
      </c>
      <c r="J2078" t="n">
        <v>0</v>
      </c>
      <c r="K2078" t="n">
        <v>0</v>
      </c>
      <c r="L2078" t="n">
        <v>0</v>
      </c>
      <c r="M2078" t="n">
        <v>0</v>
      </c>
      <c r="N2078" t="n">
        <v>0</v>
      </c>
      <c r="O2078" t="n">
        <v>0</v>
      </c>
      <c r="P2078" t="n">
        <v>0</v>
      </c>
      <c r="Q2078" t="n">
        <v>0</v>
      </c>
      <c r="R2078" s="2" t="inlineStr"/>
    </row>
    <row r="2079" ht="15" customHeight="1">
      <c r="A2079" t="inlineStr">
        <is>
          <t>A 3678-2024</t>
        </is>
      </c>
      <c r="B2079" s="1" t="n">
        <v>45321</v>
      </c>
      <c r="C2079" s="1" t="n">
        <v>45574</v>
      </c>
      <c r="D2079" t="inlineStr">
        <is>
          <t>VÄRMLANDS LÄN</t>
        </is>
      </c>
      <c r="E2079" t="inlineStr">
        <is>
          <t>TORSBY</t>
        </is>
      </c>
      <c r="G2079" t="n">
        <v>24.6</v>
      </c>
      <c r="H2079" t="n">
        <v>0</v>
      </c>
      <c r="I2079" t="n">
        <v>0</v>
      </c>
      <c r="J2079" t="n">
        <v>0</v>
      </c>
      <c r="K2079" t="n">
        <v>0</v>
      </c>
      <c r="L2079" t="n">
        <v>0</v>
      </c>
      <c r="M2079" t="n">
        <v>0</v>
      </c>
      <c r="N2079" t="n">
        <v>0</v>
      </c>
      <c r="O2079" t="n">
        <v>0</v>
      </c>
      <c r="P2079" t="n">
        <v>0</v>
      </c>
      <c r="Q2079" t="n">
        <v>0</v>
      </c>
      <c r="R2079" s="2" t="inlineStr"/>
    </row>
    <row r="2080" ht="15" customHeight="1">
      <c r="A2080" t="inlineStr">
        <is>
          <t>A 3672-2024</t>
        </is>
      </c>
      <c r="B2080" s="1" t="n">
        <v>45321</v>
      </c>
      <c r="C2080" s="1" t="n">
        <v>45574</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3720-2024</t>
        </is>
      </c>
      <c r="B2081" s="1" t="n">
        <v>45321</v>
      </c>
      <c r="C2081" s="1" t="n">
        <v>45574</v>
      </c>
      <c r="D2081" t="inlineStr">
        <is>
          <t>VÄRMLANDS LÄN</t>
        </is>
      </c>
      <c r="E2081" t="inlineStr">
        <is>
          <t>TORSBY</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3724-2024</t>
        </is>
      </c>
      <c r="B2082" s="1" t="n">
        <v>45321</v>
      </c>
      <c r="C2082" s="1" t="n">
        <v>45574</v>
      </c>
      <c r="D2082" t="inlineStr">
        <is>
          <t>VÄRMLANDS LÄN</t>
        </is>
      </c>
      <c r="E2082" t="inlineStr">
        <is>
          <t>TORSBY</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3673-2024</t>
        </is>
      </c>
      <c r="B2083" s="1" t="n">
        <v>45321</v>
      </c>
      <c r="C2083" s="1" t="n">
        <v>45574</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3750-2024</t>
        </is>
      </c>
      <c r="B2084" s="1" t="n">
        <v>45321</v>
      </c>
      <c r="C2084" s="1" t="n">
        <v>45574</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3734-2024</t>
        </is>
      </c>
      <c r="B2085" s="1" t="n">
        <v>45321</v>
      </c>
      <c r="C2085" s="1" t="n">
        <v>45574</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3822-2024</t>
        </is>
      </c>
      <c r="B2086" s="1" t="n">
        <v>45321</v>
      </c>
      <c r="C2086" s="1" t="n">
        <v>45574</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3922-2024</t>
        </is>
      </c>
      <c r="B2087" s="1" t="n">
        <v>45322</v>
      </c>
      <c r="C2087" s="1" t="n">
        <v>45574</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45574</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4070-2024</t>
        </is>
      </c>
      <c r="B2089" s="1" t="n">
        <v>45323</v>
      </c>
      <c r="C2089" s="1" t="n">
        <v>45574</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4078-2024</t>
        </is>
      </c>
      <c r="B2090" s="1" t="n">
        <v>45323</v>
      </c>
      <c r="C2090" s="1" t="n">
        <v>45574</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4231-2024</t>
        </is>
      </c>
      <c r="B2091" s="1" t="n">
        <v>45324</v>
      </c>
      <c r="C2091" s="1" t="n">
        <v>45574</v>
      </c>
      <c r="D2091" t="inlineStr">
        <is>
          <t>VÄRMLANDS LÄN</t>
        </is>
      </c>
      <c r="E2091" t="inlineStr">
        <is>
          <t>TORSBY</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4219-2024</t>
        </is>
      </c>
      <c r="B2092" s="1" t="n">
        <v>45324</v>
      </c>
      <c r="C2092" s="1" t="n">
        <v>45574</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4908-2024</t>
        </is>
      </c>
      <c r="B2093" s="1" t="n">
        <v>45329</v>
      </c>
      <c r="C2093" s="1" t="n">
        <v>45574</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4918-2024</t>
        </is>
      </c>
      <c r="B2094" s="1" t="n">
        <v>45329</v>
      </c>
      <c r="C2094" s="1" t="n">
        <v>45574</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4920-2024</t>
        </is>
      </c>
      <c r="B2095" s="1" t="n">
        <v>45329</v>
      </c>
      <c r="C2095" s="1" t="n">
        <v>45574</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4913-2024</t>
        </is>
      </c>
      <c r="B2096" s="1" t="n">
        <v>45329</v>
      </c>
      <c r="C2096" s="1" t="n">
        <v>45574</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5115-2024</t>
        </is>
      </c>
      <c r="B2097" s="1" t="n">
        <v>45330</v>
      </c>
      <c r="C2097" s="1" t="n">
        <v>45574</v>
      </c>
      <c r="D2097" t="inlineStr">
        <is>
          <t>VÄRMLANDS LÄN</t>
        </is>
      </c>
      <c r="E2097" t="inlineStr">
        <is>
          <t>TORSBY</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5351-2024</t>
        </is>
      </c>
      <c r="B2098" s="1" t="n">
        <v>45331</v>
      </c>
      <c r="C2098" s="1" t="n">
        <v>45574</v>
      </c>
      <c r="D2098" t="inlineStr">
        <is>
          <t>VÄRMLANDS LÄN</t>
        </is>
      </c>
      <c r="E2098" t="inlineStr">
        <is>
          <t>TORSBY</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5509-2024</t>
        </is>
      </c>
      <c r="B2099" s="1" t="n">
        <v>45334</v>
      </c>
      <c r="C2099" s="1" t="n">
        <v>45574</v>
      </c>
      <c r="D2099" t="inlineStr">
        <is>
          <t>VÄRMLANDS LÄN</t>
        </is>
      </c>
      <c r="E2099" t="inlineStr">
        <is>
          <t>TORSBY</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5814-2024</t>
        </is>
      </c>
      <c r="B2100" s="1" t="n">
        <v>45335</v>
      </c>
      <c r="C2100" s="1" t="n">
        <v>45574</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5863-2024</t>
        </is>
      </c>
      <c r="B2101" s="1" t="n">
        <v>45335</v>
      </c>
      <c r="C2101" s="1" t="n">
        <v>45574</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5948-2024</t>
        </is>
      </c>
      <c r="B2102" s="1" t="n">
        <v>45336</v>
      </c>
      <c r="C2102" s="1" t="n">
        <v>45574</v>
      </c>
      <c r="D2102" t="inlineStr">
        <is>
          <t>VÄRMLANDS LÄN</t>
        </is>
      </c>
      <c r="E2102" t="inlineStr">
        <is>
          <t>TORSBY</t>
        </is>
      </c>
      <c r="F2102" t="inlineStr">
        <is>
          <t>Bergvik skog väst AB</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6013-2024</t>
        </is>
      </c>
      <c r="B2103" s="1" t="n">
        <v>45336</v>
      </c>
      <c r="C2103" s="1" t="n">
        <v>45574</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6371-2024</t>
        </is>
      </c>
      <c r="B2104" s="1" t="n">
        <v>45338</v>
      </c>
      <c r="C2104" s="1" t="n">
        <v>45574</v>
      </c>
      <c r="D2104" t="inlineStr">
        <is>
          <t>VÄRMLANDS LÄN</t>
        </is>
      </c>
      <c r="E2104" t="inlineStr">
        <is>
          <t>TORSBY</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6648-2024</t>
        </is>
      </c>
      <c r="B2105" s="1" t="n">
        <v>45341</v>
      </c>
      <c r="C2105" s="1" t="n">
        <v>45574</v>
      </c>
      <c r="D2105" t="inlineStr">
        <is>
          <t>VÄRMLANDS LÄN</t>
        </is>
      </c>
      <c r="E2105" t="inlineStr">
        <is>
          <t>TORSBY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6646-2024</t>
        </is>
      </c>
      <c r="B2106" s="1" t="n">
        <v>45341</v>
      </c>
      <c r="C2106" s="1" t="n">
        <v>45574</v>
      </c>
      <c r="D2106" t="inlineStr">
        <is>
          <t>VÄRMLANDS LÄN</t>
        </is>
      </c>
      <c r="E2106" t="inlineStr">
        <is>
          <t>TORSBY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6675-2024</t>
        </is>
      </c>
      <c r="B2107" s="1" t="n">
        <v>45341</v>
      </c>
      <c r="C2107" s="1" t="n">
        <v>45574</v>
      </c>
      <c r="D2107" t="inlineStr">
        <is>
          <t>VÄRMLANDS LÄN</t>
        </is>
      </c>
      <c r="E2107" t="inlineStr">
        <is>
          <t>TORSBY</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6828-2024</t>
        </is>
      </c>
      <c r="B2108" s="1" t="n">
        <v>45342</v>
      </c>
      <c r="C2108" s="1" t="n">
        <v>45574</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6943-2024</t>
        </is>
      </c>
      <c r="B2109" s="1" t="n">
        <v>45343</v>
      </c>
      <c r="C2109" s="1" t="n">
        <v>45574</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6942-2024</t>
        </is>
      </c>
      <c r="B2110" s="1" t="n">
        <v>45343</v>
      </c>
      <c r="C2110" s="1" t="n">
        <v>45574</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7221-2024</t>
        </is>
      </c>
      <c r="B2111" s="1" t="n">
        <v>45344</v>
      </c>
      <c r="C2111" s="1" t="n">
        <v>45574</v>
      </c>
      <c r="D2111" t="inlineStr">
        <is>
          <t>VÄRMLANDS LÄN</t>
        </is>
      </c>
      <c r="E2111" t="inlineStr">
        <is>
          <t>TORSBY</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7490-2024</t>
        </is>
      </c>
      <c r="B2112" s="1" t="n">
        <v>45346</v>
      </c>
      <c r="C2112" s="1" t="n">
        <v>45574</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7494-2024</t>
        </is>
      </c>
      <c r="B2113" s="1" t="n">
        <v>45346</v>
      </c>
      <c r="C2113" s="1" t="n">
        <v>45574</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7487-2024</t>
        </is>
      </c>
      <c r="B2114" s="1" t="n">
        <v>45346</v>
      </c>
      <c r="C2114" s="1" t="n">
        <v>45574</v>
      </c>
      <c r="D2114" t="inlineStr">
        <is>
          <t>VÄRMLANDS LÄN</t>
        </is>
      </c>
      <c r="E2114" t="inlineStr">
        <is>
          <t>TORSBY</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7491-2024</t>
        </is>
      </c>
      <c r="B2115" s="1" t="n">
        <v>45346</v>
      </c>
      <c r="C2115" s="1" t="n">
        <v>45574</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7489-2024</t>
        </is>
      </c>
      <c r="B2116" s="1" t="n">
        <v>45346</v>
      </c>
      <c r="C2116" s="1" t="n">
        <v>45574</v>
      </c>
      <c r="D2116" t="inlineStr">
        <is>
          <t>VÄRMLANDS LÄN</t>
        </is>
      </c>
      <c r="E2116" t="inlineStr">
        <is>
          <t>TORSBY</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7493-2024</t>
        </is>
      </c>
      <c r="B2117" s="1" t="n">
        <v>45346</v>
      </c>
      <c r="C2117" s="1" t="n">
        <v>45574</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7488-2024</t>
        </is>
      </c>
      <c r="B2118" s="1" t="n">
        <v>45346</v>
      </c>
      <c r="C2118" s="1" t="n">
        <v>45574</v>
      </c>
      <c r="D2118" t="inlineStr">
        <is>
          <t>VÄRMLANDS LÄN</t>
        </is>
      </c>
      <c r="E2118" t="inlineStr">
        <is>
          <t>TORSBY</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7500-2024</t>
        </is>
      </c>
      <c r="B2119" s="1" t="n">
        <v>45347</v>
      </c>
      <c r="C2119" s="1" t="n">
        <v>45574</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7651-2024</t>
        </is>
      </c>
      <c r="B2120" s="1" t="n">
        <v>45348</v>
      </c>
      <c r="C2120" s="1" t="n">
        <v>45574</v>
      </c>
      <c r="D2120" t="inlineStr">
        <is>
          <t>VÄRMLANDS LÄN</t>
        </is>
      </c>
      <c r="E2120" t="inlineStr">
        <is>
          <t>TORSBY</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7636-2024</t>
        </is>
      </c>
      <c r="B2121" s="1" t="n">
        <v>45348</v>
      </c>
      <c r="C2121" s="1" t="n">
        <v>45574</v>
      </c>
      <c r="D2121" t="inlineStr">
        <is>
          <t>VÄRMLANDS LÄN</t>
        </is>
      </c>
      <c r="E2121" t="inlineStr">
        <is>
          <t>TORSBY</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7676-2024</t>
        </is>
      </c>
      <c r="B2122" s="1" t="n">
        <v>45348</v>
      </c>
      <c r="C2122" s="1" t="n">
        <v>45574</v>
      </c>
      <c r="D2122" t="inlineStr">
        <is>
          <t>VÄRMLANDS LÄN</t>
        </is>
      </c>
      <c r="E2122" t="inlineStr">
        <is>
          <t>TORSBY</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7677-2024</t>
        </is>
      </c>
      <c r="B2123" s="1" t="n">
        <v>45348</v>
      </c>
      <c r="C2123" s="1" t="n">
        <v>45574</v>
      </c>
      <c r="D2123" t="inlineStr">
        <is>
          <t>VÄRMLANDS LÄN</t>
        </is>
      </c>
      <c r="E2123" t="inlineStr">
        <is>
          <t>TORSBY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7757-2024</t>
        </is>
      </c>
      <c r="B2124" s="1" t="n">
        <v>45349</v>
      </c>
      <c r="C2124" s="1" t="n">
        <v>45574</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7927-2024</t>
        </is>
      </c>
      <c r="B2125" s="1" t="n">
        <v>45350</v>
      </c>
      <c r="C2125" s="1" t="n">
        <v>45574</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8012-2024</t>
        </is>
      </c>
      <c r="B2126" s="1" t="n">
        <v>45350</v>
      </c>
      <c r="C2126" s="1" t="n">
        <v>45574</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8625-2024</t>
        </is>
      </c>
      <c r="B2127" s="1" t="n">
        <v>45355</v>
      </c>
      <c r="C2127" s="1" t="n">
        <v>45574</v>
      </c>
      <c r="D2127" t="inlineStr">
        <is>
          <t>VÄRMLANDS LÄN</t>
        </is>
      </c>
      <c r="E2127" t="inlineStr">
        <is>
          <t>TORSBY</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8728-2024</t>
        </is>
      </c>
      <c r="B2128" s="1" t="n">
        <v>45356</v>
      </c>
      <c r="C2128" s="1" t="n">
        <v>45574</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8720-2024</t>
        </is>
      </c>
      <c r="B2129" s="1" t="n">
        <v>45356</v>
      </c>
      <c r="C2129" s="1" t="n">
        <v>45574</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8725-2024</t>
        </is>
      </c>
      <c r="B2130" s="1" t="n">
        <v>45356</v>
      </c>
      <c r="C2130" s="1" t="n">
        <v>45574</v>
      </c>
      <c r="D2130" t="inlineStr">
        <is>
          <t>VÄRMLANDS LÄN</t>
        </is>
      </c>
      <c r="E2130" t="inlineStr">
        <is>
          <t>TORSBY</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8719-2024</t>
        </is>
      </c>
      <c r="B2131" s="1" t="n">
        <v>45356</v>
      </c>
      <c r="C2131" s="1" t="n">
        <v>45574</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9203-2024</t>
        </is>
      </c>
      <c r="B2132" s="1" t="n">
        <v>45358</v>
      </c>
      <c r="C2132" s="1" t="n">
        <v>45574</v>
      </c>
      <c r="D2132" t="inlineStr">
        <is>
          <t>VÄRMLANDS LÄN</t>
        </is>
      </c>
      <c r="E2132" t="inlineStr">
        <is>
          <t>TORSBY</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9381-2024</t>
        </is>
      </c>
      <c r="B2133" s="1" t="n">
        <v>45359</v>
      </c>
      <c r="C2133" s="1" t="n">
        <v>45574</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9764-2024</t>
        </is>
      </c>
      <c r="B2134" s="1" t="n">
        <v>45362</v>
      </c>
      <c r="C2134" s="1" t="n">
        <v>45574</v>
      </c>
      <c r="D2134" t="inlineStr">
        <is>
          <t>VÄRMLANDS LÄN</t>
        </is>
      </c>
      <c r="E2134" t="inlineStr">
        <is>
          <t>TORSBY</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9799-2024</t>
        </is>
      </c>
      <c r="B2135" s="1" t="n">
        <v>45362</v>
      </c>
      <c r="C2135" s="1" t="n">
        <v>45574</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9793-2024</t>
        </is>
      </c>
      <c r="B2136" s="1" t="n">
        <v>45362</v>
      </c>
      <c r="C2136" s="1" t="n">
        <v>45574</v>
      </c>
      <c r="D2136" t="inlineStr">
        <is>
          <t>VÄRMLANDS LÄN</t>
        </is>
      </c>
      <c r="E2136" t="inlineStr">
        <is>
          <t>TORSBY</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9797-2024</t>
        </is>
      </c>
      <c r="B2137" s="1" t="n">
        <v>45362</v>
      </c>
      <c r="C2137" s="1" t="n">
        <v>45574</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9902-2024</t>
        </is>
      </c>
      <c r="B2138" s="1" t="n">
        <v>45363</v>
      </c>
      <c r="C2138" s="1" t="n">
        <v>45574</v>
      </c>
      <c r="D2138" t="inlineStr">
        <is>
          <t>VÄRMLANDS LÄN</t>
        </is>
      </c>
      <c r="E2138" t="inlineStr">
        <is>
          <t>TORSBY</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9900-2024</t>
        </is>
      </c>
      <c r="B2139" s="1" t="n">
        <v>45363</v>
      </c>
      <c r="C2139" s="1" t="n">
        <v>45574</v>
      </c>
      <c r="D2139" t="inlineStr">
        <is>
          <t>VÄRMLANDS LÄN</t>
        </is>
      </c>
      <c r="E2139" t="inlineStr">
        <is>
          <t>TORSBY</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9904-2024</t>
        </is>
      </c>
      <c r="B2140" s="1" t="n">
        <v>45363</v>
      </c>
      <c r="C2140" s="1" t="n">
        <v>45574</v>
      </c>
      <c r="D2140" t="inlineStr">
        <is>
          <t>VÄRMLANDS LÄN</t>
        </is>
      </c>
      <c r="E2140" t="inlineStr">
        <is>
          <t>TORSBY</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9908-2024</t>
        </is>
      </c>
      <c r="B2141" s="1" t="n">
        <v>45363</v>
      </c>
      <c r="C2141" s="1" t="n">
        <v>45574</v>
      </c>
      <c r="D2141" t="inlineStr">
        <is>
          <t>VÄRMLANDS LÄN</t>
        </is>
      </c>
      <c r="E2141" t="inlineStr">
        <is>
          <t>TORSBY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9912-2024</t>
        </is>
      </c>
      <c r="B2142" s="1" t="n">
        <v>45363</v>
      </c>
      <c r="C2142" s="1" t="n">
        <v>45574</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9871-2024</t>
        </is>
      </c>
      <c r="B2143" s="1" t="n">
        <v>45363</v>
      </c>
      <c r="C2143" s="1" t="n">
        <v>45574</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10011-2024</t>
        </is>
      </c>
      <c r="B2144" s="1" t="n">
        <v>45363</v>
      </c>
      <c r="C2144" s="1" t="n">
        <v>45574</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10304-2024</t>
        </is>
      </c>
      <c r="B2145" s="1" t="n">
        <v>45365</v>
      </c>
      <c r="C2145" s="1" t="n">
        <v>45574</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10372-2024</t>
        </is>
      </c>
      <c r="B2146" s="1" t="n">
        <v>45365</v>
      </c>
      <c r="C2146" s="1" t="n">
        <v>45574</v>
      </c>
      <c r="D2146" t="inlineStr">
        <is>
          <t>VÄRMLANDS LÄN</t>
        </is>
      </c>
      <c r="E2146" t="inlineStr">
        <is>
          <t>TORSBY</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10380-2024</t>
        </is>
      </c>
      <c r="B2147" s="1" t="n">
        <v>45365</v>
      </c>
      <c r="C2147" s="1" t="n">
        <v>45574</v>
      </c>
      <c r="D2147" t="inlineStr">
        <is>
          <t>VÄRMLANDS LÄN</t>
        </is>
      </c>
      <c r="E2147" t="inlineStr">
        <is>
          <t>TORSBY</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10466-2024</t>
        </is>
      </c>
      <c r="B2148" s="1" t="n">
        <v>45366</v>
      </c>
      <c r="C2148" s="1" t="n">
        <v>45574</v>
      </c>
      <c r="D2148" t="inlineStr">
        <is>
          <t>VÄRMLANDS LÄN</t>
        </is>
      </c>
      <c r="E2148" t="inlineStr">
        <is>
          <t>TORSBY</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10589-2024</t>
        </is>
      </c>
      <c r="B2149" s="1" t="n">
        <v>45366</v>
      </c>
      <c r="C2149" s="1" t="n">
        <v>45574</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10587-2024</t>
        </is>
      </c>
      <c r="B2150" s="1" t="n">
        <v>45366</v>
      </c>
      <c r="C2150" s="1" t="n">
        <v>45574</v>
      </c>
      <c r="D2150" t="inlineStr">
        <is>
          <t>VÄRMLANDS LÄN</t>
        </is>
      </c>
      <c r="E2150" t="inlineStr">
        <is>
          <t>TORSBY</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10684-2024</t>
        </is>
      </c>
      <c r="B2151" s="1" t="n">
        <v>45369</v>
      </c>
      <c r="C2151" s="1" t="n">
        <v>45574</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10895-2024</t>
        </is>
      </c>
      <c r="B2152" s="1" t="n">
        <v>45370</v>
      </c>
      <c r="C2152" s="1" t="n">
        <v>45574</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11121-2024</t>
        </is>
      </c>
      <c r="B2153" s="1" t="n">
        <v>45371</v>
      </c>
      <c r="C2153" s="1" t="n">
        <v>45574</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11153-2024</t>
        </is>
      </c>
      <c r="B2154" s="1" t="n">
        <v>45371</v>
      </c>
      <c r="C2154" s="1" t="n">
        <v>45574</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11135-2024</t>
        </is>
      </c>
      <c r="B2155" s="1" t="n">
        <v>45371</v>
      </c>
      <c r="C2155" s="1" t="n">
        <v>45574</v>
      </c>
      <c r="D2155" t="inlineStr">
        <is>
          <t>VÄRMLANDS LÄN</t>
        </is>
      </c>
      <c r="E2155" t="inlineStr">
        <is>
          <t>TORSBY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11143-2024</t>
        </is>
      </c>
      <c r="B2156" s="1" t="n">
        <v>45371</v>
      </c>
      <c r="C2156" s="1" t="n">
        <v>45574</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11187-2024</t>
        </is>
      </c>
      <c r="B2157" s="1" t="n">
        <v>45371</v>
      </c>
      <c r="C2157" s="1" t="n">
        <v>45574</v>
      </c>
      <c r="D2157" t="inlineStr">
        <is>
          <t>VÄRMLANDS LÄN</t>
        </is>
      </c>
      <c r="E2157" t="inlineStr">
        <is>
          <t>TORSBY</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11211-2024</t>
        </is>
      </c>
      <c r="B2158" s="1" t="n">
        <v>45371</v>
      </c>
      <c r="C2158" s="1" t="n">
        <v>45574</v>
      </c>
      <c r="D2158" t="inlineStr">
        <is>
          <t>VÄRMLANDS LÄN</t>
        </is>
      </c>
      <c r="E2158" t="inlineStr">
        <is>
          <t>TORSBY</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11227-2024</t>
        </is>
      </c>
      <c r="B2159" s="1" t="n">
        <v>45371</v>
      </c>
      <c r="C2159" s="1" t="n">
        <v>45574</v>
      </c>
      <c r="D2159" t="inlineStr">
        <is>
          <t>VÄRMLANDS LÄN</t>
        </is>
      </c>
      <c r="E2159" t="inlineStr">
        <is>
          <t>TORSBY</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11235-2024</t>
        </is>
      </c>
      <c r="B2160" s="1" t="n">
        <v>45371</v>
      </c>
      <c r="C2160" s="1" t="n">
        <v>45574</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11214-2024</t>
        </is>
      </c>
      <c r="B2161" s="1" t="n">
        <v>45371</v>
      </c>
      <c r="C2161" s="1" t="n">
        <v>45574</v>
      </c>
      <c r="D2161" t="inlineStr">
        <is>
          <t>VÄRMLANDS LÄN</t>
        </is>
      </c>
      <c r="E2161" t="inlineStr">
        <is>
          <t>TORSBY</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11222-2024</t>
        </is>
      </c>
      <c r="B2162" s="1" t="n">
        <v>45371</v>
      </c>
      <c r="C2162" s="1" t="n">
        <v>45574</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11242-2024</t>
        </is>
      </c>
      <c r="B2163" s="1" t="n">
        <v>45371</v>
      </c>
      <c r="C2163" s="1" t="n">
        <v>45574</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11253-2024</t>
        </is>
      </c>
      <c r="B2164" s="1" t="n">
        <v>45371</v>
      </c>
      <c r="C2164" s="1" t="n">
        <v>45574</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11259-2024</t>
        </is>
      </c>
      <c r="B2165" s="1" t="n">
        <v>45371</v>
      </c>
      <c r="C2165" s="1" t="n">
        <v>45574</v>
      </c>
      <c r="D2165" t="inlineStr">
        <is>
          <t>VÄRMLANDS LÄN</t>
        </is>
      </c>
      <c r="E2165" t="inlineStr">
        <is>
          <t>TORSBY</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11172-2024</t>
        </is>
      </c>
      <c r="B2166" s="1" t="n">
        <v>45371</v>
      </c>
      <c r="C2166" s="1" t="n">
        <v>45574</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11380-2024</t>
        </is>
      </c>
      <c r="B2167" s="1" t="n">
        <v>45372</v>
      </c>
      <c r="C2167" s="1" t="n">
        <v>45574</v>
      </c>
      <c r="D2167" t="inlineStr">
        <is>
          <t>VÄRMLANDS LÄN</t>
        </is>
      </c>
      <c r="E2167" t="inlineStr">
        <is>
          <t>TORSBY</t>
        </is>
      </c>
      <c r="F2167" t="inlineStr">
        <is>
          <t>Bergvik skog väst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11575-2024</t>
        </is>
      </c>
      <c r="B2168" s="1" t="n">
        <v>45373</v>
      </c>
      <c r="C2168" s="1" t="n">
        <v>45574</v>
      </c>
      <c r="D2168" t="inlineStr">
        <is>
          <t>VÄRMLANDS LÄN</t>
        </is>
      </c>
      <c r="E2168" t="inlineStr">
        <is>
          <t>TORSBY</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11706-2024</t>
        </is>
      </c>
      <c r="B2169" s="1" t="n">
        <v>45373</v>
      </c>
      <c r="C2169" s="1" t="n">
        <v>45574</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11776-2024</t>
        </is>
      </c>
      <c r="B2170" s="1" t="n">
        <v>45374</v>
      </c>
      <c r="C2170" s="1" t="n">
        <v>45574</v>
      </c>
      <c r="D2170" t="inlineStr">
        <is>
          <t>VÄRMLANDS LÄN</t>
        </is>
      </c>
      <c r="E2170" t="inlineStr">
        <is>
          <t>TORSBY</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11814-2024</t>
        </is>
      </c>
      <c r="B2171" s="1" t="n">
        <v>45376</v>
      </c>
      <c r="C2171" s="1" t="n">
        <v>45574</v>
      </c>
      <c r="D2171" t="inlineStr">
        <is>
          <t>VÄRMLANDS LÄN</t>
        </is>
      </c>
      <c r="E2171" t="inlineStr">
        <is>
          <t>TORSBY</t>
        </is>
      </c>
      <c r="F2171" t="inlineStr">
        <is>
          <t>Bergvik skog väst AB</t>
        </is>
      </c>
      <c r="G2171" t="n">
        <v>19.9</v>
      </c>
      <c r="H2171" t="n">
        <v>0</v>
      </c>
      <c r="I2171" t="n">
        <v>0</v>
      </c>
      <c r="J2171" t="n">
        <v>0</v>
      </c>
      <c r="K2171" t="n">
        <v>0</v>
      </c>
      <c r="L2171" t="n">
        <v>0</v>
      </c>
      <c r="M2171" t="n">
        <v>0</v>
      </c>
      <c r="N2171" t="n">
        <v>0</v>
      </c>
      <c r="O2171" t="n">
        <v>0</v>
      </c>
      <c r="P2171" t="n">
        <v>0</v>
      </c>
      <c r="Q2171" t="n">
        <v>0</v>
      </c>
      <c r="R2171" s="2" t="inlineStr"/>
    </row>
    <row r="2172" ht="15" customHeight="1">
      <c r="A2172" t="inlineStr">
        <is>
          <t>A 11850-2024</t>
        </is>
      </c>
      <c r="B2172" s="1" t="n">
        <v>45376</v>
      </c>
      <c r="C2172" s="1" t="n">
        <v>45574</v>
      </c>
      <c r="D2172" t="inlineStr">
        <is>
          <t>VÄRMLANDS LÄN</t>
        </is>
      </c>
      <c r="E2172" t="inlineStr">
        <is>
          <t>TORSBY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11878-2024</t>
        </is>
      </c>
      <c r="B2173" s="1" t="n">
        <v>45376</v>
      </c>
      <c r="C2173" s="1" t="n">
        <v>45574</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12104-2024</t>
        </is>
      </c>
      <c r="B2174" s="1" t="n">
        <v>45377</v>
      </c>
      <c r="C2174" s="1" t="n">
        <v>45574</v>
      </c>
      <c r="D2174" t="inlineStr">
        <is>
          <t>VÄRMLANDS LÄN</t>
        </is>
      </c>
      <c r="E2174" t="inlineStr">
        <is>
          <t>TORSBY</t>
        </is>
      </c>
      <c r="F2174" t="inlineStr">
        <is>
          <t>Bergvik skog väst AB</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12107-2024</t>
        </is>
      </c>
      <c r="B2175" s="1" t="n">
        <v>45377</v>
      </c>
      <c r="C2175" s="1" t="n">
        <v>45574</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12051-2024</t>
        </is>
      </c>
      <c r="B2176" s="1" t="n">
        <v>45377</v>
      </c>
      <c r="C2176" s="1" t="n">
        <v>45574</v>
      </c>
      <c r="D2176" t="inlineStr">
        <is>
          <t>VÄRMLANDS LÄN</t>
        </is>
      </c>
      <c r="E2176" t="inlineStr">
        <is>
          <t>TORSBY</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12509-2024</t>
        </is>
      </c>
      <c r="B2177" s="1" t="n">
        <v>45379</v>
      </c>
      <c r="C2177" s="1" t="n">
        <v>45574</v>
      </c>
      <c r="D2177" t="inlineStr">
        <is>
          <t>VÄRMLANDS LÄN</t>
        </is>
      </c>
      <c r="E2177" t="inlineStr">
        <is>
          <t>TORSBY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12503-2024</t>
        </is>
      </c>
      <c r="B2178" s="1" t="n">
        <v>45379</v>
      </c>
      <c r="C2178" s="1" t="n">
        <v>45574</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12684-2024</t>
        </is>
      </c>
      <c r="B2179" s="1" t="n">
        <v>45384</v>
      </c>
      <c r="C2179" s="1" t="n">
        <v>45574</v>
      </c>
      <c r="D2179" t="inlineStr">
        <is>
          <t>VÄRMLANDS LÄN</t>
        </is>
      </c>
      <c r="E2179" t="inlineStr">
        <is>
          <t>TORSBY</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12701-2024</t>
        </is>
      </c>
      <c r="B2180" s="1" t="n">
        <v>45384</v>
      </c>
      <c r="C2180" s="1" t="n">
        <v>45574</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12989-2024</t>
        </is>
      </c>
      <c r="B2181" s="1" t="n">
        <v>45385</v>
      </c>
      <c r="C2181" s="1" t="n">
        <v>45574</v>
      </c>
      <c r="D2181" t="inlineStr">
        <is>
          <t>VÄRMLANDS LÄN</t>
        </is>
      </c>
      <c r="E2181" t="inlineStr">
        <is>
          <t>TORSBY</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13211-2024</t>
        </is>
      </c>
      <c r="B2182" s="1" t="n">
        <v>45386</v>
      </c>
      <c r="C2182" s="1" t="n">
        <v>45574</v>
      </c>
      <c r="D2182" t="inlineStr">
        <is>
          <t>VÄRMLANDS LÄN</t>
        </is>
      </c>
      <c r="E2182" t="inlineStr">
        <is>
          <t>TORSBY</t>
        </is>
      </c>
      <c r="F2182" t="inlineStr">
        <is>
          <t>Bergvik skog väst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13262-2024</t>
        </is>
      </c>
      <c r="B2183" s="1" t="n">
        <v>45386</v>
      </c>
      <c r="C2183" s="1" t="n">
        <v>45574</v>
      </c>
      <c r="D2183" t="inlineStr">
        <is>
          <t>VÄRMLANDS LÄN</t>
        </is>
      </c>
      <c r="E2183" t="inlineStr">
        <is>
          <t>TORSBY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13186-2024</t>
        </is>
      </c>
      <c r="B2184" s="1" t="n">
        <v>45386</v>
      </c>
      <c r="C2184" s="1" t="n">
        <v>45574</v>
      </c>
      <c r="D2184" t="inlineStr">
        <is>
          <t>VÄRMLANDS LÄN</t>
        </is>
      </c>
      <c r="E2184" t="inlineStr">
        <is>
          <t>TORSBY</t>
        </is>
      </c>
      <c r="F2184" t="inlineStr">
        <is>
          <t>Bergvik skog väst AB</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13206-2024</t>
        </is>
      </c>
      <c r="B2185" s="1" t="n">
        <v>45386</v>
      </c>
      <c r="C2185" s="1" t="n">
        <v>45574</v>
      </c>
      <c r="D2185" t="inlineStr">
        <is>
          <t>VÄRMLANDS LÄN</t>
        </is>
      </c>
      <c r="E2185" t="inlineStr">
        <is>
          <t>TORSBY</t>
        </is>
      </c>
      <c r="F2185" t="inlineStr">
        <is>
          <t>Bergvik skog väst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13435-2024</t>
        </is>
      </c>
      <c r="B2186" s="1" t="n">
        <v>45387</v>
      </c>
      <c r="C2186" s="1" t="n">
        <v>45574</v>
      </c>
      <c r="D2186" t="inlineStr">
        <is>
          <t>VÄRMLANDS LÄN</t>
        </is>
      </c>
      <c r="E2186" t="inlineStr">
        <is>
          <t>TORSBY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13619-2024</t>
        </is>
      </c>
      <c r="B2187" s="1" t="n">
        <v>45390</v>
      </c>
      <c r="C2187" s="1" t="n">
        <v>45574</v>
      </c>
      <c r="D2187" t="inlineStr">
        <is>
          <t>VÄRMLANDS LÄN</t>
        </is>
      </c>
      <c r="E2187" t="inlineStr">
        <is>
          <t>TORSBY</t>
        </is>
      </c>
      <c r="F2187" t="inlineStr">
        <is>
          <t>Bergvik skog väst AB</t>
        </is>
      </c>
      <c r="G2187" t="n">
        <v>25.7</v>
      </c>
      <c r="H2187" t="n">
        <v>0</v>
      </c>
      <c r="I2187" t="n">
        <v>0</v>
      </c>
      <c r="J2187" t="n">
        <v>0</v>
      </c>
      <c r="K2187" t="n">
        <v>0</v>
      </c>
      <c r="L2187" t="n">
        <v>0</v>
      </c>
      <c r="M2187" t="n">
        <v>0</v>
      </c>
      <c r="N2187" t="n">
        <v>0</v>
      </c>
      <c r="O2187" t="n">
        <v>0</v>
      </c>
      <c r="P2187" t="n">
        <v>0</v>
      </c>
      <c r="Q2187" t="n">
        <v>0</v>
      </c>
      <c r="R2187" s="2" t="inlineStr"/>
    </row>
    <row r="2188" ht="15" customHeight="1">
      <c r="A2188" t="inlineStr">
        <is>
          <t>A 13848-2024</t>
        </is>
      </c>
      <c r="B2188" s="1" t="n">
        <v>45390</v>
      </c>
      <c r="C2188" s="1" t="n">
        <v>45574</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13847-2024</t>
        </is>
      </c>
      <c r="B2189" s="1" t="n">
        <v>45390</v>
      </c>
      <c r="C2189" s="1" t="n">
        <v>45574</v>
      </c>
      <c r="D2189" t="inlineStr">
        <is>
          <t>VÄRMLANDS LÄN</t>
        </is>
      </c>
      <c r="E2189" t="inlineStr">
        <is>
          <t>TORSBY</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13797-2024</t>
        </is>
      </c>
      <c r="B2190" s="1" t="n">
        <v>45391</v>
      </c>
      <c r="C2190" s="1" t="n">
        <v>45574</v>
      </c>
      <c r="D2190" t="inlineStr">
        <is>
          <t>VÄRMLANDS LÄN</t>
        </is>
      </c>
      <c r="E2190" t="inlineStr">
        <is>
          <t>TORSBY</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14023-2024</t>
        </is>
      </c>
      <c r="B2191" s="1" t="n">
        <v>45392</v>
      </c>
      <c r="C2191" s="1" t="n">
        <v>45574</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13965-2024</t>
        </is>
      </c>
      <c r="B2192" s="1" t="n">
        <v>45392</v>
      </c>
      <c r="C2192" s="1" t="n">
        <v>45574</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14052-2024</t>
        </is>
      </c>
      <c r="B2193" s="1" t="n">
        <v>45392</v>
      </c>
      <c r="C2193" s="1" t="n">
        <v>45574</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14063-2024</t>
        </is>
      </c>
      <c r="B2194" s="1" t="n">
        <v>45392</v>
      </c>
      <c r="C2194" s="1" t="n">
        <v>45574</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14283-2024</t>
        </is>
      </c>
      <c r="B2195" s="1" t="n">
        <v>45393</v>
      </c>
      <c r="C2195" s="1" t="n">
        <v>45574</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14440-2024</t>
        </is>
      </c>
      <c r="B2196" s="1" t="n">
        <v>45394</v>
      </c>
      <c r="C2196" s="1" t="n">
        <v>45574</v>
      </c>
      <c r="D2196" t="inlineStr">
        <is>
          <t>VÄRMLANDS LÄN</t>
        </is>
      </c>
      <c r="E2196" t="inlineStr">
        <is>
          <t>TORSBY</t>
        </is>
      </c>
      <c r="F2196" t="inlineStr">
        <is>
          <t>Bergvik skog väst AB</t>
        </is>
      </c>
      <c r="G2196" t="n">
        <v>12.2</v>
      </c>
      <c r="H2196" t="n">
        <v>0</v>
      </c>
      <c r="I2196" t="n">
        <v>0</v>
      </c>
      <c r="J2196" t="n">
        <v>0</v>
      </c>
      <c r="K2196" t="n">
        <v>0</v>
      </c>
      <c r="L2196" t="n">
        <v>0</v>
      </c>
      <c r="M2196" t="n">
        <v>0</v>
      </c>
      <c r="N2196" t="n">
        <v>0</v>
      </c>
      <c r="O2196" t="n">
        <v>0</v>
      </c>
      <c r="P2196" t="n">
        <v>0</v>
      </c>
      <c r="Q2196" t="n">
        <v>0</v>
      </c>
      <c r="R2196" s="2" t="inlineStr"/>
    </row>
    <row r="2197" ht="15" customHeight="1">
      <c r="A2197" t="inlineStr">
        <is>
          <t>A 14393-2024</t>
        </is>
      </c>
      <c r="B2197" s="1" t="n">
        <v>45394</v>
      </c>
      <c r="C2197" s="1" t="n">
        <v>45574</v>
      </c>
      <c r="D2197" t="inlineStr">
        <is>
          <t>VÄRMLANDS LÄN</t>
        </is>
      </c>
      <c r="E2197" t="inlineStr">
        <is>
          <t>TORSBY</t>
        </is>
      </c>
      <c r="F2197" t="inlineStr">
        <is>
          <t>Bergvik skog väst AB</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14453-2024</t>
        </is>
      </c>
      <c r="B2198" s="1" t="n">
        <v>45394</v>
      </c>
      <c r="C2198" s="1" t="n">
        <v>45574</v>
      </c>
      <c r="D2198" t="inlineStr">
        <is>
          <t>VÄRMLANDS LÄN</t>
        </is>
      </c>
      <c r="E2198" t="inlineStr">
        <is>
          <t>TORSBY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14730-2024</t>
        </is>
      </c>
      <c r="B2199" s="1" t="n">
        <v>45397</v>
      </c>
      <c r="C2199" s="1" t="n">
        <v>45574</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14763-2024</t>
        </is>
      </c>
      <c r="B2200" s="1" t="n">
        <v>45397</v>
      </c>
      <c r="C2200" s="1" t="n">
        <v>45574</v>
      </c>
      <c r="D2200" t="inlineStr">
        <is>
          <t>VÄRMLANDS LÄN</t>
        </is>
      </c>
      <c r="E2200" t="inlineStr">
        <is>
          <t>TORSBY</t>
        </is>
      </c>
      <c r="F2200" t="inlineStr">
        <is>
          <t>Bergvik skog väst AB</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14872-2024</t>
        </is>
      </c>
      <c r="B2201" s="1" t="n">
        <v>45398</v>
      </c>
      <c r="C2201" s="1" t="n">
        <v>45574</v>
      </c>
      <c r="D2201" t="inlineStr">
        <is>
          <t>VÄRMLANDS LÄN</t>
        </is>
      </c>
      <c r="E2201" t="inlineStr">
        <is>
          <t>TORSBY</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14831-2024</t>
        </is>
      </c>
      <c r="B2202" s="1" t="n">
        <v>45398</v>
      </c>
      <c r="C2202" s="1" t="n">
        <v>45574</v>
      </c>
      <c r="D2202" t="inlineStr">
        <is>
          <t>VÄRMLANDS LÄN</t>
        </is>
      </c>
      <c r="E2202" t="inlineStr">
        <is>
          <t>TORSBY</t>
        </is>
      </c>
      <c r="F2202" t="inlineStr">
        <is>
          <t>Bergvik skog väst AB</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14949-2024</t>
        </is>
      </c>
      <c r="B2203" s="1" t="n">
        <v>45398</v>
      </c>
      <c r="C2203" s="1" t="n">
        <v>45574</v>
      </c>
      <c r="D2203" t="inlineStr">
        <is>
          <t>VÄRMLANDS LÄN</t>
        </is>
      </c>
      <c r="E2203" t="inlineStr">
        <is>
          <t>TORSBY</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14882-2024</t>
        </is>
      </c>
      <c r="B2204" s="1" t="n">
        <v>45398</v>
      </c>
      <c r="C2204" s="1" t="n">
        <v>45574</v>
      </c>
      <c r="D2204" t="inlineStr">
        <is>
          <t>VÄRMLANDS LÄN</t>
        </is>
      </c>
      <c r="E2204" t="inlineStr">
        <is>
          <t>TORSBY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14860-2024</t>
        </is>
      </c>
      <c r="B2205" s="1" t="n">
        <v>45398</v>
      </c>
      <c r="C2205" s="1" t="n">
        <v>45574</v>
      </c>
      <c r="D2205" t="inlineStr">
        <is>
          <t>VÄRMLANDS LÄN</t>
        </is>
      </c>
      <c r="E2205" t="inlineStr">
        <is>
          <t>TORSBY</t>
        </is>
      </c>
      <c r="F2205" t="inlineStr">
        <is>
          <t>Kyrkan</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15083-2024</t>
        </is>
      </c>
      <c r="B2206" s="1" t="n">
        <v>45399</v>
      </c>
      <c r="C2206" s="1" t="n">
        <v>45574</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15052-2024</t>
        </is>
      </c>
      <c r="B2207" s="1" t="n">
        <v>45399</v>
      </c>
      <c r="C2207" s="1" t="n">
        <v>45574</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15064-2024</t>
        </is>
      </c>
      <c r="B2208" s="1" t="n">
        <v>45399</v>
      </c>
      <c r="C2208" s="1" t="n">
        <v>45574</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15101-2024</t>
        </is>
      </c>
      <c r="B2209" s="1" t="n">
        <v>45399</v>
      </c>
      <c r="C2209" s="1" t="n">
        <v>45574</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15061-2024</t>
        </is>
      </c>
      <c r="B2210" s="1" t="n">
        <v>45399</v>
      </c>
      <c r="C2210" s="1" t="n">
        <v>45574</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15126-2024</t>
        </is>
      </c>
      <c r="B2211" s="1" t="n">
        <v>45399</v>
      </c>
      <c r="C2211" s="1" t="n">
        <v>45574</v>
      </c>
      <c r="D2211" t="inlineStr">
        <is>
          <t>VÄRMLANDS LÄN</t>
        </is>
      </c>
      <c r="E2211" t="inlineStr">
        <is>
          <t>TORSBY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15127-2024</t>
        </is>
      </c>
      <c r="B2212" s="1" t="n">
        <v>45399</v>
      </c>
      <c r="C2212" s="1" t="n">
        <v>45574</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15182-2024</t>
        </is>
      </c>
      <c r="B2213" s="1" t="n">
        <v>45400</v>
      </c>
      <c r="C2213" s="1" t="n">
        <v>45574</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15180-2024</t>
        </is>
      </c>
      <c r="B2214" s="1" t="n">
        <v>45400</v>
      </c>
      <c r="C2214" s="1" t="n">
        <v>45574</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15222-2024</t>
        </is>
      </c>
      <c r="B2215" s="1" t="n">
        <v>45400</v>
      </c>
      <c r="C2215" s="1" t="n">
        <v>45574</v>
      </c>
      <c r="D2215" t="inlineStr">
        <is>
          <t>VÄRMLANDS LÄN</t>
        </is>
      </c>
      <c r="E2215" t="inlineStr">
        <is>
          <t>TORSBY</t>
        </is>
      </c>
      <c r="F2215" t="inlineStr">
        <is>
          <t>Bergvik skog väst AB</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15274-2024</t>
        </is>
      </c>
      <c r="B2216" s="1" t="n">
        <v>45400</v>
      </c>
      <c r="C2216" s="1" t="n">
        <v>45574</v>
      </c>
      <c r="D2216" t="inlineStr">
        <is>
          <t>VÄRMLANDS LÄN</t>
        </is>
      </c>
      <c r="E2216" t="inlineStr">
        <is>
          <t>TORSBY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15293-2024</t>
        </is>
      </c>
      <c r="B2217" s="1" t="n">
        <v>45400</v>
      </c>
      <c r="C2217" s="1" t="n">
        <v>45574</v>
      </c>
      <c r="D2217" t="inlineStr">
        <is>
          <t>VÄRMLANDS LÄN</t>
        </is>
      </c>
      <c r="E2217" t="inlineStr">
        <is>
          <t>TORSBY</t>
        </is>
      </c>
      <c r="F2217" t="inlineStr">
        <is>
          <t>Bergvik skog väst AB</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15175-2024</t>
        </is>
      </c>
      <c r="B2218" s="1" t="n">
        <v>45400</v>
      </c>
      <c r="C2218" s="1" t="n">
        <v>45574</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15315-2024</t>
        </is>
      </c>
      <c r="B2219" s="1" t="n">
        <v>45400</v>
      </c>
      <c r="C2219" s="1" t="n">
        <v>45574</v>
      </c>
      <c r="D2219" t="inlineStr">
        <is>
          <t>VÄRMLANDS LÄN</t>
        </is>
      </c>
      <c r="E2219" t="inlineStr">
        <is>
          <t>TORSBY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15320-2024</t>
        </is>
      </c>
      <c r="B2220" s="1" t="n">
        <v>45400</v>
      </c>
      <c r="C2220" s="1" t="n">
        <v>45574</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15425-2024</t>
        </is>
      </c>
      <c r="B2221" s="1" t="n">
        <v>45401</v>
      </c>
      <c r="C2221" s="1" t="n">
        <v>45574</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15503-2024</t>
        </is>
      </c>
      <c r="B2222" s="1" t="n">
        <v>45401</v>
      </c>
      <c r="C2222" s="1" t="n">
        <v>45574</v>
      </c>
      <c r="D2222" t="inlineStr">
        <is>
          <t>VÄRMLANDS LÄN</t>
        </is>
      </c>
      <c r="E2222" t="inlineStr">
        <is>
          <t>TORSBY</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15465-2024</t>
        </is>
      </c>
      <c r="B2223" s="1" t="n">
        <v>45401</v>
      </c>
      <c r="C2223" s="1" t="n">
        <v>45574</v>
      </c>
      <c r="D2223" t="inlineStr">
        <is>
          <t>VÄRMLANDS LÄN</t>
        </is>
      </c>
      <c r="E2223" t="inlineStr">
        <is>
          <t>TORSBY</t>
        </is>
      </c>
      <c r="F2223" t="inlineStr">
        <is>
          <t>Bergvik skog väst AB</t>
        </is>
      </c>
      <c r="G2223" t="n">
        <v>24.6</v>
      </c>
      <c r="H2223" t="n">
        <v>0</v>
      </c>
      <c r="I2223" t="n">
        <v>0</v>
      </c>
      <c r="J2223" t="n">
        <v>0</v>
      </c>
      <c r="K2223" t="n">
        <v>0</v>
      </c>
      <c r="L2223" t="n">
        <v>0</v>
      </c>
      <c r="M2223" t="n">
        <v>0</v>
      </c>
      <c r="N2223" t="n">
        <v>0</v>
      </c>
      <c r="O2223" t="n">
        <v>0</v>
      </c>
      <c r="P2223" t="n">
        <v>0</v>
      </c>
      <c r="Q2223" t="n">
        <v>0</v>
      </c>
      <c r="R2223" s="2" t="inlineStr"/>
    </row>
    <row r="2224" ht="15" customHeight="1">
      <c r="A2224" t="inlineStr">
        <is>
          <t>A 15730-2024</t>
        </is>
      </c>
      <c r="B2224" s="1" t="n">
        <v>45404</v>
      </c>
      <c r="C2224" s="1" t="n">
        <v>45574</v>
      </c>
      <c r="D2224" t="inlineStr">
        <is>
          <t>VÄRMLANDS LÄN</t>
        </is>
      </c>
      <c r="E2224" t="inlineStr">
        <is>
          <t>TORSBY</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15758-2024</t>
        </is>
      </c>
      <c r="B2225" s="1" t="n">
        <v>45404</v>
      </c>
      <c r="C2225" s="1" t="n">
        <v>45574</v>
      </c>
      <c r="D2225" t="inlineStr">
        <is>
          <t>VÄRMLANDS LÄN</t>
        </is>
      </c>
      <c r="E2225" t="inlineStr">
        <is>
          <t>TORSBY</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15943-2024</t>
        </is>
      </c>
      <c r="B2226" s="1" t="n">
        <v>45405</v>
      </c>
      <c r="C2226" s="1" t="n">
        <v>45574</v>
      </c>
      <c r="D2226" t="inlineStr">
        <is>
          <t>VÄRMLANDS LÄN</t>
        </is>
      </c>
      <c r="E2226" t="inlineStr">
        <is>
          <t>TORSBY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15896-2024</t>
        </is>
      </c>
      <c r="B2227" s="1" t="n">
        <v>45405</v>
      </c>
      <c r="C2227" s="1" t="n">
        <v>45574</v>
      </c>
      <c r="D2227" t="inlineStr">
        <is>
          <t>VÄRMLANDS LÄN</t>
        </is>
      </c>
      <c r="E2227" t="inlineStr">
        <is>
          <t>TORSBY</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15892-2024</t>
        </is>
      </c>
      <c r="B2228" s="1" t="n">
        <v>45405</v>
      </c>
      <c r="C2228" s="1" t="n">
        <v>45574</v>
      </c>
      <c r="D2228" t="inlineStr">
        <is>
          <t>VÄRMLANDS LÄN</t>
        </is>
      </c>
      <c r="E2228" t="inlineStr">
        <is>
          <t>TORSBY</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15899-2024</t>
        </is>
      </c>
      <c r="B2229" s="1" t="n">
        <v>45405</v>
      </c>
      <c r="C2229" s="1" t="n">
        <v>45574</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15874-2024</t>
        </is>
      </c>
      <c r="B2230" s="1" t="n">
        <v>45405</v>
      </c>
      <c r="C2230" s="1" t="n">
        <v>45574</v>
      </c>
      <c r="D2230" t="inlineStr">
        <is>
          <t>VÄRMLANDS LÄN</t>
        </is>
      </c>
      <c r="E2230" t="inlineStr">
        <is>
          <t>TORSBY</t>
        </is>
      </c>
      <c r="F2230" t="inlineStr">
        <is>
          <t>Bergvik skog väst AB</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16073-2024</t>
        </is>
      </c>
      <c r="B2231" s="1" t="n">
        <v>45406</v>
      </c>
      <c r="C2231" s="1" t="n">
        <v>45574</v>
      </c>
      <c r="D2231" t="inlineStr">
        <is>
          <t>VÄRMLANDS LÄN</t>
        </is>
      </c>
      <c r="E2231" t="inlineStr">
        <is>
          <t>TORSBY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16369-2024</t>
        </is>
      </c>
      <c r="B2232" s="1" t="n">
        <v>45407</v>
      </c>
      <c r="C2232" s="1" t="n">
        <v>45574</v>
      </c>
      <c r="D2232" t="inlineStr">
        <is>
          <t>VÄRMLANDS LÄN</t>
        </is>
      </c>
      <c r="E2232" t="inlineStr">
        <is>
          <t>TORSBY</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16517-2024</t>
        </is>
      </c>
      <c r="B2233" s="1" t="n">
        <v>45408</v>
      </c>
      <c r="C2233" s="1" t="n">
        <v>45574</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16585-2024</t>
        </is>
      </c>
      <c r="B2234" s="1" t="n">
        <v>45408</v>
      </c>
      <c r="C2234" s="1" t="n">
        <v>45574</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16654-2024</t>
        </is>
      </c>
      <c r="B2235" s="1" t="n">
        <v>45408</v>
      </c>
      <c r="C2235" s="1" t="n">
        <v>45574</v>
      </c>
      <c r="D2235" t="inlineStr">
        <is>
          <t>VÄRMLANDS LÄN</t>
        </is>
      </c>
      <c r="E2235" t="inlineStr">
        <is>
          <t>TORSBY</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16488-2024</t>
        </is>
      </c>
      <c r="B2236" s="1" t="n">
        <v>45408</v>
      </c>
      <c r="C2236" s="1" t="n">
        <v>45574</v>
      </c>
      <c r="D2236" t="inlineStr">
        <is>
          <t>VÄRMLANDS LÄN</t>
        </is>
      </c>
      <c r="E2236" t="inlineStr">
        <is>
          <t>TORSBY</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16544-2024</t>
        </is>
      </c>
      <c r="B2237" s="1" t="n">
        <v>45408</v>
      </c>
      <c r="C2237" s="1" t="n">
        <v>45574</v>
      </c>
      <c r="D2237" t="inlineStr">
        <is>
          <t>VÄRMLANDS LÄN</t>
        </is>
      </c>
      <c r="E2237" t="inlineStr">
        <is>
          <t>TORSBY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16592-2024</t>
        </is>
      </c>
      <c r="B2238" s="1" t="n">
        <v>45408</v>
      </c>
      <c r="C2238" s="1" t="n">
        <v>45574</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16583-2024</t>
        </is>
      </c>
      <c r="B2239" s="1" t="n">
        <v>45408</v>
      </c>
      <c r="C2239" s="1" t="n">
        <v>45574</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16591-2024</t>
        </is>
      </c>
      <c r="B2240" s="1" t="n">
        <v>45408</v>
      </c>
      <c r="C2240" s="1" t="n">
        <v>45574</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16586-2024</t>
        </is>
      </c>
      <c r="B2241" s="1" t="n">
        <v>45408</v>
      </c>
      <c r="C2241" s="1" t="n">
        <v>45574</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16730-2024</t>
        </is>
      </c>
      <c r="B2242" s="1" t="n">
        <v>45410</v>
      </c>
      <c r="C2242" s="1" t="n">
        <v>45574</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16891-2024</t>
        </is>
      </c>
      <c r="B2243" s="1" t="n">
        <v>45411</v>
      </c>
      <c r="C2243" s="1" t="n">
        <v>45574</v>
      </c>
      <c r="D2243" t="inlineStr">
        <is>
          <t>VÄRMLANDS LÄN</t>
        </is>
      </c>
      <c r="E2243" t="inlineStr">
        <is>
          <t>TORSBY</t>
        </is>
      </c>
      <c r="F2243" t="inlineStr">
        <is>
          <t>Bergvik skog väst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16961-2024</t>
        </is>
      </c>
      <c r="B2244" s="1" t="n">
        <v>45412</v>
      </c>
      <c r="C2244" s="1" t="n">
        <v>45574</v>
      </c>
      <c r="D2244" t="inlineStr">
        <is>
          <t>VÄRMLANDS LÄN</t>
        </is>
      </c>
      <c r="E2244" t="inlineStr">
        <is>
          <t>TORSBY</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16841-2024</t>
        </is>
      </c>
      <c r="B2245" s="1" t="n">
        <v>45411</v>
      </c>
      <c r="C2245" s="1" t="n">
        <v>45574</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16780-2024</t>
        </is>
      </c>
      <c r="B2246" s="1" t="n">
        <v>45411</v>
      </c>
      <c r="C2246" s="1" t="n">
        <v>45574</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16789-2024</t>
        </is>
      </c>
      <c r="B2247" s="1" t="n">
        <v>45411</v>
      </c>
      <c r="C2247" s="1" t="n">
        <v>45574</v>
      </c>
      <c r="D2247" t="inlineStr">
        <is>
          <t>VÄRMLANDS LÄN</t>
        </is>
      </c>
      <c r="E2247" t="inlineStr">
        <is>
          <t>TORSBY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17008-2024</t>
        </is>
      </c>
      <c r="B2248" s="1" t="n">
        <v>45412</v>
      </c>
      <c r="C2248" s="1" t="n">
        <v>45574</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17001-2024</t>
        </is>
      </c>
      <c r="B2249" s="1" t="n">
        <v>45412</v>
      </c>
      <c r="C2249" s="1" t="n">
        <v>45574</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17083-2024</t>
        </is>
      </c>
      <c r="B2250" s="1" t="n">
        <v>45412</v>
      </c>
      <c r="C2250" s="1" t="n">
        <v>45574</v>
      </c>
      <c r="D2250" t="inlineStr">
        <is>
          <t>VÄRMLANDS LÄN</t>
        </is>
      </c>
      <c r="E2250" t="inlineStr">
        <is>
          <t>TORSBY</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17024-2024</t>
        </is>
      </c>
      <c r="B2251" s="1" t="n">
        <v>45412</v>
      </c>
      <c r="C2251" s="1" t="n">
        <v>45574</v>
      </c>
      <c r="D2251" t="inlineStr">
        <is>
          <t>VÄRMLANDS LÄN</t>
        </is>
      </c>
      <c r="E2251" t="inlineStr">
        <is>
          <t>TORSBY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17017-2024</t>
        </is>
      </c>
      <c r="B2252" s="1" t="n">
        <v>45412</v>
      </c>
      <c r="C2252" s="1" t="n">
        <v>45574</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17047-2024</t>
        </is>
      </c>
      <c r="B2253" s="1" t="n">
        <v>45412</v>
      </c>
      <c r="C2253" s="1" t="n">
        <v>45574</v>
      </c>
      <c r="D2253" t="inlineStr">
        <is>
          <t>VÄRMLANDS LÄN</t>
        </is>
      </c>
      <c r="E2253" t="inlineStr">
        <is>
          <t>TORSBY</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17265-2024</t>
        </is>
      </c>
      <c r="B2254" s="1" t="n">
        <v>45414</v>
      </c>
      <c r="C2254" s="1" t="n">
        <v>45574</v>
      </c>
      <c r="D2254" t="inlineStr">
        <is>
          <t>VÄRMLANDS LÄN</t>
        </is>
      </c>
      <c r="E2254" t="inlineStr">
        <is>
          <t>TORSBY</t>
        </is>
      </c>
      <c r="F2254" t="inlineStr">
        <is>
          <t>Bergvik skog väst AB</t>
        </is>
      </c>
      <c r="G2254" t="n">
        <v>23.9</v>
      </c>
      <c r="H2254" t="n">
        <v>0</v>
      </c>
      <c r="I2254" t="n">
        <v>0</v>
      </c>
      <c r="J2254" t="n">
        <v>0</v>
      </c>
      <c r="K2254" t="n">
        <v>0</v>
      </c>
      <c r="L2254" t="n">
        <v>0</v>
      </c>
      <c r="M2254" t="n">
        <v>0</v>
      </c>
      <c r="N2254" t="n">
        <v>0</v>
      </c>
      <c r="O2254" t="n">
        <v>0</v>
      </c>
      <c r="P2254" t="n">
        <v>0</v>
      </c>
      <c r="Q2254" t="n">
        <v>0</v>
      </c>
      <c r="R2254" s="2" t="inlineStr"/>
    </row>
    <row r="2255" ht="15" customHeight="1">
      <c r="A2255" t="inlineStr">
        <is>
          <t>A 17285-2024</t>
        </is>
      </c>
      <c r="B2255" s="1" t="n">
        <v>45414</v>
      </c>
      <c r="C2255" s="1" t="n">
        <v>45574</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17233-2024</t>
        </is>
      </c>
      <c r="B2256" s="1" t="n">
        <v>45414</v>
      </c>
      <c r="C2256" s="1" t="n">
        <v>45574</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17390-2024</t>
        </is>
      </c>
      <c r="B2257" s="1" t="n">
        <v>45414</v>
      </c>
      <c r="C2257" s="1" t="n">
        <v>45574</v>
      </c>
      <c r="D2257" t="inlineStr">
        <is>
          <t>VÄRMLANDS LÄN</t>
        </is>
      </c>
      <c r="E2257" t="inlineStr">
        <is>
          <t>TORSBY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17364-2024</t>
        </is>
      </c>
      <c r="B2258" s="1" t="n">
        <v>45414</v>
      </c>
      <c r="C2258" s="1" t="n">
        <v>45574</v>
      </c>
      <c r="D2258" t="inlineStr">
        <is>
          <t>VÄRMLANDS LÄN</t>
        </is>
      </c>
      <c r="E2258" t="inlineStr">
        <is>
          <t>TORSBY</t>
        </is>
      </c>
      <c r="F2258" t="inlineStr">
        <is>
          <t>Bergvik skog väst AB</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17556-2024</t>
        </is>
      </c>
      <c r="B2259" s="1" t="n">
        <v>45415</v>
      </c>
      <c r="C2259" s="1" t="n">
        <v>45574</v>
      </c>
      <c r="D2259" t="inlineStr">
        <is>
          <t>VÄRMLANDS LÄN</t>
        </is>
      </c>
      <c r="E2259" t="inlineStr">
        <is>
          <t>TORSBY</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17525-2024</t>
        </is>
      </c>
      <c r="B2260" s="1" t="n">
        <v>45415</v>
      </c>
      <c r="C2260" s="1" t="n">
        <v>45574</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17562-2024</t>
        </is>
      </c>
      <c r="B2261" s="1" t="n">
        <v>45415</v>
      </c>
      <c r="C2261" s="1" t="n">
        <v>45574</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17450-2024</t>
        </is>
      </c>
      <c r="B2262" s="1" t="n">
        <v>45415</v>
      </c>
      <c r="C2262" s="1" t="n">
        <v>45574</v>
      </c>
      <c r="D2262" t="inlineStr">
        <is>
          <t>VÄRMLANDS LÄN</t>
        </is>
      </c>
      <c r="E2262" t="inlineStr">
        <is>
          <t>TORSBY</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17530-2024</t>
        </is>
      </c>
      <c r="B2263" s="1" t="n">
        <v>45415</v>
      </c>
      <c r="C2263" s="1" t="n">
        <v>45574</v>
      </c>
      <c r="D2263" t="inlineStr">
        <is>
          <t>VÄRMLANDS LÄN</t>
        </is>
      </c>
      <c r="E2263" t="inlineStr">
        <is>
          <t>TORSBY</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17687-2024</t>
        </is>
      </c>
      <c r="B2264" s="1" t="n">
        <v>45418</v>
      </c>
      <c r="C2264" s="1" t="n">
        <v>45574</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17717-2024</t>
        </is>
      </c>
      <c r="B2265" s="1" t="n">
        <v>45418</v>
      </c>
      <c r="C2265" s="1" t="n">
        <v>45574</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17959-2024</t>
        </is>
      </c>
      <c r="B2266" s="1" t="n">
        <v>45419</v>
      </c>
      <c r="C2266" s="1" t="n">
        <v>45574</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17921-2024</t>
        </is>
      </c>
      <c r="B2267" s="1" t="n">
        <v>45419</v>
      </c>
      <c r="C2267" s="1" t="n">
        <v>45574</v>
      </c>
      <c r="D2267" t="inlineStr">
        <is>
          <t>VÄRMLANDS LÄN</t>
        </is>
      </c>
      <c r="E2267" t="inlineStr">
        <is>
          <t>TORSBY</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17837-2024</t>
        </is>
      </c>
      <c r="B2268" s="1" t="n">
        <v>45419</v>
      </c>
      <c r="C2268" s="1" t="n">
        <v>45574</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17879-2024</t>
        </is>
      </c>
      <c r="B2269" s="1" t="n">
        <v>45419</v>
      </c>
      <c r="C2269" s="1" t="n">
        <v>45574</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17931-2024</t>
        </is>
      </c>
      <c r="B2270" s="1" t="n">
        <v>45419</v>
      </c>
      <c r="C2270" s="1" t="n">
        <v>45574</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18125-2024</t>
        </is>
      </c>
      <c r="B2271" s="1" t="n">
        <v>45420</v>
      </c>
      <c r="C2271" s="1" t="n">
        <v>45574</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18155-2024</t>
        </is>
      </c>
      <c r="B2272" s="1" t="n">
        <v>45420</v>
      </c>
      <c r="C2272" s="1" t="n">
        <v>45574</v>
      </c>
      <c r="D2272" t="inlineStr">
        <is>
          <t>VÄRMLANDS LÄN</t>
        </is>
      </c>
      <c r="E2272" t="inlineStr">
        <is>
          <t>TORSBY</t>
        </is>
      </c>
      <c r="F2272" t="inlineStr">
        <is>
          <t>Bergvik skog väst AB</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18339-2024</t>
        </is>
      </c>
      <c r="B2273" s="1" t="n">
        <v>45422</v>
      </c>
      <c r="C2273" s="1" t="n">
        <v>45574</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18330-2024</t>
        </is>
      </c>
      <c r="B2274" s="1" t="n">
        <v>45422</v>
      </c>
      <c r="C2274" s="1" t="n">
        <v>45574</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18308-2024</t>
        </is>
      </c>
      <c r="B2275" s="1" t="n">
        <v>45422</v>
      </c>
      <c r="C2275" s="1" t="n">
        <v>45574</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18337-2024</t>
        </is>
      </c>
      <c r="B2276" s="1" t="n">
        <v>45422</v>
      </c>
      <c r="C2276" s="1" t="n">
        <v>45574</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18422-2024</t>
        </is>
      </c>
      <c r="B2277" s="1" t="n">
        <v>45425</v>
      </c>
      <c r="C2277" s="1" t="n">
        <v>45574</v>
      </c>
      <c r="D2277" t="inlineStr">
        <is>
          <t>VÄRMLANDS LÄN</t>
        </is>
      </c>
      <c r="E2277" t="inlineStr">
        <is>
          <t>TORSBY</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18682-2024</t>
        </is>
      </c>
      <c r="B2278" s="1" t="n">
        <v>45426</v>
      </c>
      <c r="C2278" s="1" t="n">
        <v>45574</v>
      </c>
      <c r="D2278" t="inlineStr">
        <is>
          <t>VÄRMLANDS LÄN</t>
        </is>
      </c>
      <c r="E2278" t="inlineStr">
        <is>
          <t>TORSBY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18883-2024</t>
        </is>
      </c>
      <c r="B2279" s="1" t="n">
        <v>45426</v>
      </c>
      <c r="C2279" s="1" t="n">
        <v>45574</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18855-2024</t>
        </is>
      </c>
      <c r="B2280" s="1" t="n">
        <v>45426</v>
      </c>
      <c r="C2280" s="1" t="n">
        <v>45574</v>
      </c>
      <c r="D2280" t="inlineStr">
        <is>
          <t>VÄRMLANDS LÄN</t>
        </is>
      </c>
      <c r="E2280" t="inlineStr">
        <is>
          <t>TORSBY</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18890-2024</t>
        </is>
      </c>
      <c r="B2281" s="1" t="n">
        <v>45427</v>
      </c>
      <c r="C2281" s="1" t="n">
        <v>45574</v>
      </c>
      <c r="D2281" t="inlineStr">
        <is>
          <t>VÄRMLANDS LÄN</t>
        </is>
      </c>
      <c r="E2281" t="inlineStr">
        <is>
          <t>TORSBY</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18953-2024</t>
        </is>
      </c>
      <c r="B2282" s="1" t="n">
        <v>45427</v>
      </c>
      <c r="C2282" s="1" t="n">
        <v>45574</v>
      </c>
      <c r="D2282" t="inlineStr">
        <is>
          <t>VÄRMLANDS LÄN</t>
        </is>
      </c>
      <c r="E2282" t="inlineStr">
        <is>
          <t>TORSBY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18959-2024</t>
        </is>
      </c>
      <c r="B2283" s="1" t="n">
        <v>45427</v>
      </c>
      <c r="C2283" s="1" t="n">
        <v>45574</v>
      </c>
      <c r="D2283" t="inlineStr">
        <is>
          <t>VÄRMLANDS LÄN</t>
        </is>
      </c>
      <c r="E2283" t="inlineStr">
        <is>
          <t>TORSBY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18955-2024</t>
        </is>
      </c>
      <c r="B2284" s="1" t="n">
        <v>45427</v>
      </c>
      <c r="C2284" s="1" t="n">
        <v>45574</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18897-2024</t>
        </is>
      </c>
      <c r="B2285" s="1" t="n">
        <v>45427</v>
      </c>
      <c r="C2285" s="1" t="n">
        <v>45574</v>
      </c>
      <c r="D2285" t="inlineStr">
        <is>
          <t>VÄRMLANDS LÄN</t>
        </is>
      </c>
      <c r="E2285" t="inlineStr">
        <is>
          <t>TORSBY</t>
        </is>
      </c>
      <c r="F2285" t="inlineStr">
        <is>
          <t>Övriga statliga verk och myndigheter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19029-2024</t>
        </is>
      </c>
      <c r="B2286" s="1" t="n">
        <v>45427</v>
      </c>
      <c r="C2286" s="1" t="n">
        <v>45574</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19136-2024</t>
        </is>
      </c>
      <c r="B2287" s="1" t="n">
        <v>45428</v>
      </c>
      <c r="C2287" s="1" t="n">
        <v>45574</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19251-2024</t>
        </is>
      </c>
      <c r="B2288" s="1" t="n">
        <v>45428</v>
      </c>
      <c r="C2288" s="1" t="n">
        <v>45574</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19215-2024</t>
        </is>
      </c>
      <c r="B2289" s="1" t="n">
        <v>45428</v>
      </c>
      <c r="C2289" s="1" t="n">
        <v>45574</v>
      </c>
      <c r="D2289" t="inlineStr">
        <is>
          <t>VÄRMLANDS LÄN</t>
        </is>
      </c>
      <c r="E2289" t="inlineStr">
        <is>
          <t>TORSBY</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19665-2024</t>
        </is>
      </c>
      <c r="B2290" s="1" t="n">
        <v>45432</v>
      </c>
      <c r="C2290" s="1" t="n">
        <v>45574</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19887-2024</t>
        </is>
      </c>
      <c r="B2291" s="1" t="n">
        <v>45433</v>
      </c>
      <c r="C2291" s="1" t="n">
        <v>45574</v>
      </c>
      <c r="D2291" t="inlineStr">
        <is>
          <t>VÄRMLANDS LÄN</t>
        </is>
      </c>
      <c r="E2291" t="inlineStr">
        <is>
          <t>TORSBY</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20440-2024</t>
        </is>
      </c>
      <c r="B2292" s="1" t="n">
        <v>45435</v>
      </c>
      <c r="C2292" s="1" t="n">
        <v>45574</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20472-2024</t>
        </is>
      </c>
      <c r="B2293" s="1" t="n">
        <v>45435</v>
      </c>
      <c r="C2293" s="1" t="n">
        <v>45574</v>
      </c>
      <c r="D2293" t="inlineStr">
        <is>
          <t>VÄRMLANDS LÄN</t>
        </is>
      </c>
      <c r="E2293" t="inlineStr">
        <is>
          <t>TORSBY</t>
        </is>
      </c>
      <c r="F2293" t="inlineStr">
        <is>
          <t>Bergvik skog väst AB</t>
        </is>
      </c>
      <c r="G2293" t="n">
        <v>46.1</v>
      </c>
      <c r="H2293" t="n">
        <v>0</v>
      </c>
      <c r="I2293" t="n">
        <v>0</v>
      </c>
      <c r="J2293" t="n">
        <v>0</v>
      </c>
      <c r="K2293" t="n">
        <v>0</v>
      </c>
      <c r="L2293" t="n">
        <v>0</v>
      </c>
      <c r="M2293" t="n">
        <v>0</v>
      </c>
      <c r="N2293" t="n">
        <v>0</v>
      </c>
      <c r="O2293" t="n">
        <v>0</v>
      </c>
      <c r="P2293" t="n">
        <v>0</v>
      </c>
      <c r="Q2293" t="n">
        <v>0</v>
      </c>
      <c r="R2293" s="2" t="inlineStr"/>
    </row>
    <row r="2294" ht="15" customHeight="1">
      <c r="A2294" t="inlineStr">
        <is>
          <t>A 20645-2024</t>
        </is>
      </c>
      <c r="B2294" s="1" t="n">
        <v>45436</v>
      </c>
      <c r="C2294" s="1" t="n">
        <v>45574</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20725-2024</t>
        </is>
      </c>
      <c r="B2295" s="1" t="n">
        <v>45436</v>
      </c>
      <c r="C2295" s="1" t="n">
        <v>45574</v>
      </c>
      <c r="D2295" t="inlineStr">
        <is>
          <t>VÄRMLANDS LÄN</t>
        </is>
      </c>
      <c r="E2295" t="inlineStr">
        <is>
          <t>TORSBY</t>
        </is>
      </c>
      <c r="F2295" t="inlineStr">
        <is>
          <t>Bergvik skog väst AB</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20633-2024</t>
        </is>
      </c>
      <c r="B2296" s="1" t="n">
        <v>45436</v>
      </c>
      <c r="C2296" s="1" t="n">
        <v>45574</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20537-2024</t>
        </is>
      </c>
      <c r="B2297" s="1" t="n">
        <v>45436</v>
      </c>
      <c r="C2297" s="1" t="n">
        <v>45574</v>
      </c>
      <c r="D2297" t="inlineStr">
        <is>
          <t>VÄRMLANDS LÄN</t>
        </is>
      </c>
      <c r="E2297" t="inlineStr">
        <is>
          <t>TORSBY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20647-2024</t>
        </is>
      </c>
      <c r="B2298" s="1" t="n">
        <v>45436</v>
      </c>
      <c r="C2298" s="1" t="n">
        <v>45574</v>
      </c>
      <c r="D2298" t="inlineStr">
        <is>
          <t>VÄRMLANDS LÄN</t>
        </is>
      </c>
      <c r="E2298" t="inlineStr">
        <is>
          <t>TORSBY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20872-2024</t>
        </is>
      </c>
      <c r="B2299" s="1" t="n">
        <v>45439</v>
      </c>
      <c r="C2299" s="1" t="n">
        <v>45574</v>
      </c>
      <c r="D2299" t="inlineStr">
        <is>
          <t>VÄRMLANDS LÄN</t>
        </is>
      </c>
      <c r="E2299" t="inlineStr">
        <is>
          <t>TORSBY</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21013-2024</t>
        </is>
      </c>
      <c r="B2300" s="1" t="n">
        <v>45439</v>
      </c>
      <c r="C2300" s="1" t="n">
        <v>45574</v>
      </c>
      <c r="D2300" t="inlineStr">
        <is>
          <t>VÄRMLANDS LÄN</t>
        </is>
      </c>
      <c r="E2300" t="inlineStr">
        <is>
          <t>TORSBY</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20982-2024</t>
        </is>
      </c>
      <c r="B2301" s="1" t="n">
        <v>45439</v>
      </c>
      <c r="C2301" s="1" t="n">
        <v>45574</v>
      </c>
      <c r="D2301" t="inlineStr">
        <is>
          <t>VÄRMLANDS LÄN</t>
        </is>
      </c>
      <c r="E2301" t="inlineStr">
        <is>
          <t>TORSBY</t>
        </is>
      </c>
      <c r="F2301" t="inlineStr">
        <is>
          <t>Bergvik skog väst AB</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20985-2024</t>
        </is>
      </c>
      <c r="B2302" s="1" t="n">
        <v>45439</v>
      </c>
      <c r="C2302" s="1" t="n">
        <v>45574</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20968-2024</t>
        </is>
      </c>
      <c r="B2303" s="1" t="n">
        <v>45439</v>
      </c>
      <c r="C2303" s="1" t="n">
        <v>45574</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21280-2024</t>
        </is>
      </c>
      <c r="B2304" s="1" t="n">
        <v>45440</v>
      </c>
      <c r="C2304" s="1" t="n">
        <v>45574</v>
      </c>
      <c r="D2304" t="inlineStr">
        <is>
          <t>VÄRMLANDS LÄN</t>
        </is>
      </c>
      <c r="E2304" t="inlineStr">
        <is>
          <t>TORSBY</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21297-2024</t>
        </is>
      </c>
      <c r="B2305" s="1" t="n">
        <v>45440</v>
      </c>
      <c r="C2305" s="1" t="n">
        <v>45574</v>
      </c>
      <c r="D2305" t="inlineStr">
        <is>
          <t>VÄRMLANDS LÄN</t>
        </is>
      </c>
      <c r="E2305" t="inlineStr">
        <is>
          <t>TORSBY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21308-2024</t>
        </is>
      </c>
      <c r="B2306" s="1" t="n">
        <v>45440</v>
      </c>
      <c r="C2306" s="1" t="n">
        <v>45574</v>
      </c>
      <c r="D2306" t="inlineStr">
        <is>
          <t>VÄRMLANDS LÄN</t>
        </is>
      </c>
      <c r="E2306" t="inlineStr">
        <is>
          <t>TORSBY</t>
        </is>
      </c>
      <c r="G2306" t="n">
        <v>18.9</v>
      </c>
      <c r="H2306" t="n">
        <v>0</v>
      </c>
      <c r="I2306" t="n">
        <v>0</v>
      </c>
      <c r="J2306" t="n">
        <v>0</v>
      </c>
      <c r="K2306" t="n">
        <v>0</v>
      </c>
      <c r="L2306" t="n">
        <v>0</v>
      </c>
      <c r="M2306" t="n">
        <v>0</v>
      </c>
      <c r="N2306" t="n">
        <v>0</v>
      </c>
      <c r="O2306" t="n">
        <v>0</v>
      </c>
      <c r="P2306" t="n">
        <v>0</v>
      </c>
      <c r="Q2306" t="n">
        <v>0</v>
      </c>
      <c r="R2306" s="2" t="inlineStr"/>
    </row>
    <row r="2307" ht="15" customHeight="1">
      <c r="A2307" t="inlineStr">
        <is>
          <t>A 21518-2024</t>
        </is>
      </c>
      <c r="B2307" s="1" t="n">
        <v>45441</v>
      </c>
      <c r="C2307" s="1" t="n">
        <v>45574</v>
      </c>
      <c r="D2307" t="inlineStr">
        <is>
          <t>VÄRMLANDS LÄN</t>
        </is>
      </c>
      <c r="E2307" t="inlineStr">
        <is>
          <t>TORSBY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21542-2024</t>
        </is>
      </c>
      <c r="B2308" s="1" t="n">
        <v>45441</v>
      </c>
      <c r="C2308" s="1" t="n">
        <v>45574</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21580-2024</t>
        </is>
      </c>
      <c r="B2309" s="1" t="n">
        <v>45441</v>
      </c>
      <c r="C2309" s="1" t="n">
        <v>45574</v>
      </c>
      <c r="D2309" t="inlineStr">
        <is>
          <t>VÄRMLANDS LÄN</t>
        </is>
      </c>
      <c r="E2309" t="inlineStr">
        <is>
          <t>TORSBY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21586-2024</t>
        </is>
      </c>
      <c r="B2310" s="1" t="n">
        <v>45441</v>
      </c>
      <c r="C2310" s="1" t="n">
        <v>45574</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21581-2024</t>
        </is>
      </c>
      <c r="B2311" s="1" t="n">
        <v>45441</v>
      </c>
      <c r="C2311" s="1" t="n">
        <v>45574</v>
      </c>
      <c r="D2311" t="inlineStr">
        <is>
          <t>VÄRMLANDS LÄN</t>
        </is>
      </c>
      <c r="E2311" t="inlineStr">
        <is>
          <t>TORSBY</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21585-2024</t>
        </is>
      </c>
      <c r="B2312" s="1" t="n">
        <v>45441</v>
      </c>
      <c r="C2312" s="1" t="n">
        <v>45574</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21587-2024</t>
        </is>
      </c>
      <c r="B2313" s="1" t="n">
        <v>45441</v>
      </c>
      <c r="C2313" s="1" t="n">
        <v>45574</v>
      </c>
      <c r="D2313" t="inlineStr">
        <is>
          <t>VÄRMLANDS LÄN</t>
        </is>
      </c>
      <c r="E2313" t="inlineStr">
        <is>
          <t>TORSBY</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21757-2024</t>
        </is>
      </c>
      <c r="B2314" s="1" t="n">
        <v>45442</v>
      </c>
      <c r="C2314" s="1" t="n">
        <v>45574</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21825-2024</t>
        </is>
      </c>
      <c r="B2315" s="1" t="n">
        <v>45442</v>
      </c>
      <c r="C2315" s="1" t="n">
        <v>45574</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21829-2024</t>
        </is>
      </c>
      <c r="B2316" s="1" t="n">
        <v>45442</v>
      </c>
      <c r="C2316" s="1" t="n">
        <v>45574</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21744-2024</t>
        </is>
      </c>
      <c r="B2317" s="1" t="n">
        <v>45442</v>
      </c>
      <c r="C2317" s="1" t="n">
        <v>45574</v>
      </c>
      <c r="D2317" t="inlineStr">
        <is>
          <t>VÄRMLANDS LÄN</t>
        </is>
      </c>
      <c r="E2317" t="inlineStr">
        <is>
          <t>TORSBY</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21828-2024</t>
        </is>
      </c>
      <c r="B2318" s="1" t="n">
        <v>45442</v>
      </c>
      <c r="C2318" s="1" t="n">
        <v>45574</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21930-2024</t>
        </is>
      </c>
      <c r="B2319" s="1" t="n">
        <v>45443</v>
      </c>
      <c r="C2319" s="1" t="n">
        <v>45574</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22216-2024</t>
        </is>
      </c>
      <c r="B2320" s="1" t="n">
        <v>45446</v>
      </c>
      <c r="C2320" s="1" t="n">
        <v>45574</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22483-2024</t>
        </is>
      </c>
      <c r="B2321" s="1" t="n">
        <v>45446</v>
      </c>
      <c r="C2321" s="1" t="n">
        <v>45574</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22421-2024</t>
        </is>
      </c>
      <c r="B2322" s="1" t="n">
        <v>45446</v>
      </c>
      <c r="C2322" s="1" t="n">
        <v>45574</v>
      </c>
      <c r="D2322" t="inlineStr">
        <is>
          <t>VÄRMLANDS LÄN</t>
        </is>
      </c>
      <c r="E2322" t="inlineStr">
        <is>
          <t>TORSBY</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22426-2024</t>
        </is>
      </c>
      <c r="B2323" s="1" t="n">
        <v>45446</v>
      </c>
      <c r="C2323" s="1" t="n">
        <v>45574</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22525-2024</t>
        </is>
      </c>
      <c r="B2324" s="1" t="n">
        <v>45447</v>
      </c>
      <c r="C2324" s="1" t="n">
        <v>45574</v>
      </c>
      <c r="D2324" t="inlineStr">
        <is>
          <t>VÄRMLANDS LÄN</t>
        </is>
      </c>
      <c r="E2324" t="inlineStr">
        <is>
          <t>TORSBY</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22565-2024</t>
        </is>
      </c>
      <c r="B2325" s="1" t="n">
        <v>45447</v>
      </c>
      <c r="C2325" s="1" t="n">
        <v>45574</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22536-2024</t>
        </is>
      </c>
      <c r="B2326" s="1" t="n">
        <v>45447</v>
      </c>
      <c r="C2326" s="1" t="n">
        <v>45574</v>
      </c>
      <c r="D2326" t="inlineStr">
        <is>
          <t>VÄRMLANDS LÄN</t>
        </is>
      </c>
      <c r="E2326" t="inlineStr">
        <is>
          <t>TORSBY</t>
        </is>
      </c>
      <c r="G2326" t="n">
        <v>25.2</v>
      </c>
      <c r="H2326" t="n">
        <v>0</v>
      </c>
      <c r="I2326" t="n">
        <v>0</v>
      </c>
      <c r="J2326" t="n">
        <v>0</v>
      </c>
      <c r="K2326" t="n">
        <v>0</v>
      </c>
      <c r="L2326" t="n">
        <v>0</v>
      </c>
      <c r="M2326" t="n">
        <v>0</v>
      </c>
      <c r="N2326" t="n">
        <v>0</v>
      </c>
      <c r="O2326" t="n">
        <v>0</v>
      </c>
      <c r="P2326" t="n">
        <v>0</v>
      </c>
      <c r="Q2326" t="n">
        <v>0</v>
      </c>
      <c r="R2326" s="2" t="inlineStr"/>
    </row>
    <row r="2327" ht="15" customHeight="1">
      <c r="A2327" t="inlineStr">
        <is>
          <t>A 22844-2024</t>
        </is>
      </c>
      <c r="B2327" s="1" t="n">
        <v>45448</v>
      </c>
      <c r="C2327" s="1" t="n">
        <v>45574</v>
      </c>
      <c r="D2327" t="inlineStr">
        <is>
          <t>VÄRMLANDS LÄN</t>
        </is>
      </c>
      <c r="E2327" t="inlineStr">
        <is>
          <t>TORSBY</t>
        </is>
      </c>
      <c r="F2327" t="inlineStr">
        <is>
          <t>Bergvik skog väst AB</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22729-2024</t>
        </is>
      </c>
      <c r="B2328" s="1" t="n">
        <v>45448</v>
      </c>
      <c r="C2328" s="1" t="n">
        <v>45574</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22843-2024</t>
        </is>
      </c>
      <c r="B2329" s="1" t="n">
        <v>45448</v>
      </c>
      <c r="C2329" s="1" t="n">
        <v>45574</v>
      </c>
      <c r="D2329" t="inlineStr">
        <is>
          <t>VÄRMLANDS LÄN</t>
        </is>
      </c>
      <c r="E2329" t="inlineStr">
        <is>
          <t>TORSBY</t>
        </is>
      </c>
      <c r="F2329" t="inlineStr">
        <is>
          <t>Bergvik skog väst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22973-2024</t>
        </is>
      </c>
      <c r="B2330" s="1" t="n">
        <v>45449</v>
      </c>
      <c r="C2330" s="1" t="n">
        <v>45574</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23042-2024</t>
        </is>
      </c>
      <c r="B2331" s="1" t="n">
        <v>45450</v>
      </c>
      <c r="C2331" s="1" t="n">
        <v>45574</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23133-2024</t>
        </is>
      </c>
      <c r="B2332" s="1" t="n">
        <v>45450</v>
      </c>
      <c r="C2332" s="1" t="n">
        <v>45574</v>
      </c>
      <c r="D2332" t="inlineStr">
        <is>
          <t>VÄRMLANDS LÄN</t>
        </is>
      </c>
      <c r="E2332" t="inlineStr">
        <is>
          <t>TORSBY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23108-2024</t>
        </is>
      </c>
      <c r="B2333" s="1" t="n">
        <v>45450</v>
      </c>
      <c r="C2333" s="1" t="n">
        <v>45574</v>
      </c>
      <c r="D2333" t="inlineStr">
        <is>
          <t>VÄRMLANDS LÄN</t>
        </is>
      </c>
      <c r="E2333" t="inlineStr">
        <is>
          <t>TORSBY</t>
        </is>
      </c>
      <c r="F2333" t="inlineStr">
        <is>
          <t>Bergvik skog väst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23044-2024</t>
        </is>
      </c>
      <c r="B2334" s="1" t="n">
        <v>45450</v>
      </c>
      <c r="C2334" s="1" t="n">
        <v>45574</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23106-2024</t>
        </is>
      </c>
      <c r="B2335" s="1" t="n">
        <v>45450</v>
      </c>
      <c r="C2335" s="1" t="n">
        <v>45574</v>
      </c>
      <c r="D2335" t="inlineStr">
        <is>
          <t>VÄRMLANDS LÄN</t>
        </is>
      </c>
      <c r="E2335" t="inlineStr">
        <is>
          <t>TORSBY</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23423-2024</t>
        </is>
      </c>
      <c r="B2336" s="1" t="n">
        <v>45453</v>
      </c>
      <c r="C2336" s="1" t="n">
        <v>45574</v>
      </c>
      <c r="D2336" t="inlineStr">
        <is>
          <t>VÄRMLANDS LÄN</t>
        </is>
      </c>
      <c r="E2336" t="inlineStr">
        <is>
          <t>TORSBY</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23678-2024</t>
        </is>
      </c>
      <c r="B2337" s="1" t="n">
        <v>45454</v>
      </c>
      <c r="C2337" s="1" t="n">
        <v>45574</v>
      </c>
      <c r="D2337" t="inlineStr">
        <is>
          <t>VÄRMLANDS LÄN</t>
        </is>
      </c>
      <c r="E2337" t="inlineStr">
        <is>
          <t>TORSBY</t>
        </is>
      </c>
      <c r="F2337" t="inlineStr">
        <is>
          <t>Bergvik skog väst AB</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23719-2024</t>
        </is>
      </c>
      <c r="B2338" s="1" t="n">
        <v>45454</v>
      </c>
      <c r="C2338" s="1" t="n">
        <v>45574</v>
      </c>
      <c r="D2338" t="inlineStr">
        <is>
          <t>VÄRMLANDS LÄN</t>
        </is>
      </c>
      <c r="E2338" t="inlineStr">
        <is>
          <t>TORSBY</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23746-2024</t>
        </is>
      </c>
      <c r="B2339" s="1" t="n">
        <v>45454</v>
      </c>
      <c r="C2339" s="1" t="n">
        <v>45574</v>
      </c>
      <c r="D2339" t="inlineStr">
        <is>
          <t>VÄRMLANDS LÄN</t>
        </is>
      </c>
      <c r="E2339" t="inlineStr">
        <is>
          <t>TORSBY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23820-2024</t>
        </is>
      </c>
      <c r="B2340" s="1" t="n">
        <v>45455</v>
      </c>
      <c r="C2340" s="1" t="n">
        <v>45574</v>
      </c>
      <c r="D2340" t="inlineStr">
        <is>
          <t>VÄRMLANDS LÄN</t>
        </is>
      </c>
      <c r="E2340" t="inlineStr">
        <is>
          <t>TORSBY</t>
        </is>
      </c>
      <c r="F2340" t="inlineStr">
        <is>
          <t>Kyrkan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23846-2024</t>
        </is>
      </c>
      <c r="B2341" s="1" t="n">
        <v>45455</v>
      </c>
      <c r="C2341" s="1" t="n">
        <v>45574</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23824-2024</t>
        </is>
      </c>
      <c r="B2342" s="1" t="n">
        <v>45455</v>
      </c>
      <c r="C2342" s="1" t="n">
        <v>45574</v>
      </c>
      <c r="D2342" t="inlineStr">
        <is>
          <t>VÄRMLANDS LÄN</t>
        </is>
      </c>
      <c r="E2342" t="inlineStr">
        <is>
          <t>TORSBY</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23845-2024</t>
        </is>
      </c>
      <c r="B2343" s="1" t="n">
        <v>45455</v>
      </c>
      <c r="C2343" s="1" t="n">
        <v>45574</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23843-2024</t>
        </is>
      </c>
      <c r="B2344" s="1" t="n">
        <v>45455</v>
      </c>
      <c r="C2344" s="1" t="n">
        <v>45574</v>
      </c>
      <c r="D2344" t="inlineStr">
        <is>
          <t>VÄRMLANDS LÄN</t>
        </is>
      </c>
      <c r="E2344" t="inlineStr">
        <is>
          <t>TORSBY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23835-2024</t>
        </is>
      </c>
      <c r="B2345" s="1" t="n">
        <v>45455</v>
      </c>
      <c r="C2345" s="1" t="n">
        <v>45574</v>
      </c>
      <c r="D2345" t="inlineStr">
        <is>
          <t>VÄRMLANDS LÄN</t>
        </is>
      </c>
      <c r="E2345" t="inlineStr">
        <is>
          <t>TORSBY</t>
        </is>
      </c>
      <c r="F2345" t="inlineStr">
        <is>
          <t>Bergvik skog väst AB</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24020-2024</t>
        </is>
      </c>
      <c r="B2346" s="1" t="n">
        <v>45456</v>
      </c>
      <c r="C2346" s="1" t="n">
        <v>45574</v>
      </c>
      <c r="D2346" t="inlineStr">
        <is>
          <t>VÄRMLANDS LÄN</t>
        </is>
      </c>
      <c r="E2346" t="inlineStr">
        <is>
          <t>TORSBY</t>
        </is>
      </c>
      <c r="F2346" t="inlineStr">
        <is>
          <t>Bergvik skog väst AB</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23996-2024</t>
        </is>
      </c>
      <c r="B2347" s="1" t="n">
        <v>45456</v>
      </c>
      <c r="C2347" s="1" t="n">
        <v>45574</v>
      </c>
      <c r="D2347" t="inlineStr">
        <is>
          <t>VÄRMLANDS LÄN</t>
        </is>
      </c>
      <c r="E2347" t="inlineStr">
        <is>
          <t>TORSBY</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24004-2024</t>
        </is>
      </c>
      <c r="B2348" s="1" t="n">
        <v>45456</v>
      </c>
      <c r="C2348" s="1" t="n">
        <v>45574</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24148-2024</t>
        </is>
      </c>
      <c r="B2349" s="1" t="n">
        <v>45456</v>
      </c>
      <c r="C2349" s="1" t="n">
        <v>45574</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24182-2024</t>
        </is>
      </c>
      <c r="B2350" s="1" t="n">
        <v>45456</v>
      </c>
      <c r="C2350" s="1" t="n">
        <v>45574</v>
      </c>
      <c r="D2350" t="inlineStr">
        <is>
          <t>VÄRMLANDS LÄN</t>
        </is>
      </c>
      <c r="E2350" t="inlineStr">
        <is>
          <t>TORSBY</t>
        </is>
      </c>
      <c r="F2350" t="inlineStr">
        <is>
          <t>Bergvik skog väst AB</t>
        </is>
      </c>
      <c r="G2350" t="n">
        <v>28.9</v>
      </c>
      <c r="H2350" t="n">
        <v>0</v>
      </c>
      <c r="I2350" t="n">
        <v>0</v>
      </c>
      <c r="J2350" t="n">
        <v>0</v>
      </c>
      <c r="K2350" t="n">
        <v>0</v>
      </c>
      <c r="L2350" t="n">
        <v>0</v>
      </c>
      <c r="M2350" t="n">
        <v>0</v>
      </c>
      <c r="N2350" t="n">
        <v>0</v>
      </c>
      <c r="O2350" t="n">
        <v>0</v>
      </c>
      <c r="P2350" t="n">
        <v>0</v>
      </c>
      <c r="Q2350" t="n">
        <v>0</v>
      </c>
      <c r="R2350" s="2" t="inlineStr"/>
    </row>
    <row r="2351" ht="15" customHeight="1">
      <c r="A2351" t="inlineStr">
        <is>
          <t>A 24087-2024</t>
        </is>
      </c>
      <c r="B2351" s="1" t="n">
        <v>45456</v>
      </c>
      <c r="C2351" s="1" t="n">
        <v>45574</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24113-2024</t>
        </is>
      </c>
      <c r="B2352" s="1" t="n">
        <v>45456</v>
      </c>
      <c r="C2352" s="1" t="n">
        <v>45574</v>
      </c>
      <c r="D2352" t="inlineStr">
        <is>
          <t>VÄRMLANDS LÄN</t>
        </is>
      </c>
      <c r="E2352" t="inlineStr">
        <is>
          <t>TORSBY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24242-2024</t>
        </is>
      </c>
      <c r="B2353" s="1" t="n">
        <v>45457</v>
      </c>
      <c r="C2353" s="1" t="n">
        <v>45574</v>
      </c>
      <c r="D2353" t="inlineStr">
        <is>
          <t>VÄRMLANDS LÄN</t>
        </is>
      </c>
      <c r="E2353" t="inlineStr">
        <is>
          <t>TORSBY</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24261-2024</t>
        </is>
      </c>
      <c r="B2354" s="1" t="n">
        <v>45457</v>
      </c>
      <c r="C2354" s="1" t="n">
        <v>45574</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24267-2024</t>
        </is>
      </c>
      <c r="B2355" s="1" t="n">
        <v>45457</v>
      </c>
      <c r="C2355" s="1" t="n">
        <v>45574</v>
      </c>
      <c r="D2355" t="inlineStr">
        <is>
          <t>VÄRMLANDS LÄN</t>
        </is>
      </c>
      <c r="E2355" t="inlineStr">
        <is>
          <t>TORSBY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24493-2024</t>
        </is>
      </c>
      <c r="B2356" s="1" t="n">
        <v>45459</v>
      </c>
      <c r="C2356" s="1" t="n">
        <v>45574</v>
      </c>
      <c r="D2356" t="inlineStr">
        <is>
          <t>VÄRMLANDS LÄN</t>
        </is>
      </c>
      <c r="E2356" t="inlineStr">
        <is>
          <t>TORSBY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24490-2024</t>
        </is>
      </c>
      <c r="B2357" s="1" t="n">
        <v>45459</v>
      </c>
      <c r="C2357" s="1" t="n">
        <v>45574</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24708-2024</t>
        </is>
      </c>
      <c r="B2358" s="1" t="n">
        <v>45460</v>
      </c>
      <c r="C2358" s="1" t="n">
        <v>45574</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24723-2024</t>
        </is>
      </c>
      <c r="B2359" s="1" t="n">
        <v>45460</v>
      </c>
      <c r="C2359" s="1" t="n">
        <v>45574</v>
      </c>
      <c r="D2359" t="inlineStr">
        <is>
          <t>VÄRMLANDS LÄN</t>
        </is>
      </c>
      <c r="E2359" t="inlineStr">
        <is>
          <t>TORSBY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24717-2024</t>
        </is>
      </c>
      <c r="B2360" s="1" t="n">
        <v>45460</v>
      </c>
      <c r="C2360" s="1" t="n">
        <v>45574</v>
      </c>
      <c r="D2360" t="inlineStr">
        <is>
          <t>VÄRMLANDS LÄN</t>
        </is>
      </c>
      <c r="E2360" t="inlineStr">
        <is>
          <t>TORSBY</t>
        </is>
      </c>
      <c r="F2360" t="inlineStr">
        <is>
          <t>Övriga statliga verk och myndigheter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24636-2024</t>
        </is>
      </c>
      <c r="B2361" s="1" t="n">
        <v>45460</v>
      </c>
      <c r="C2361" s="1" t="n">
        <v>45574</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24630-2024</t>
        </is>
      </c>
      <c r="B2362" s="1" t="n">
        <v>45460</v>
      </c>
      <c r="C2362" s="1" t="n">
        <v>45574</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24657-2024</t>
        </is>
      </c>
      <c r="B2363" s="1" t="n">
        <v>45460</v>
      </c>
      <c r="C2363" s="1" t="n">
        <v>45574</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24995-2024</t>
        </is>
      </c>
      <c r="B2364" s="1" t="n">
        <v>45461</v>
      </c>
      <c r="C2364" s="1" t="n">
        <v>45574</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24851-2024</t>
        </is>
      </c>
      <c r="B2365" s="1" t="n">
        <v>45461</v>
      </c>
      <c r="C2365" s="1" t="n">
        <v>45574</v>
      </c>
      <c r="D2365" t="inlineStr">
        <is>
          <t>VÄRMLANDS LÄN</t>
        </is>
      </c>
      <c r="E2365" t="inlineStr">
        <is>
          <t>TORSBY</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25355-2024</t>
        </is>
      </c>
      <c r="B2366" s="1" t="n">
        <v>45463</v>
      </c>
      <c r="C2366" s="1" t="n">
        <v>45574</v>
      </c>
      <c r="D2366" t="inlineStr">
        <is>
          <t>VÄRMLANDS LÄN</t>
        </is>
      </c>
      <c r="E2366" t="inlineStr">
        <is>
          <t>TORSBY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25313-2024</t>
        </is>
      </c>
      <c r="B2367" s="1" t="n">
        <v>45462</v>
      </c>
      <c r="C2367" s="1" t="n">
        <v>45574</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25090-2024</t>
        </is>
      </c>
      <c r="B2368" s="1" t="n">
        <v>45462</v>
      </c>
      <c r="C2368" s="1" t="n">
        <v>45574</v>
      </c>
      <c r="D2368" t="inlineStr">
        <is>
          <t>VÄRMLANDS LÄN</t>
        </is>
      </c>
      <c r="E2368" t="inlineStr">
        <is>
          <t>TORSBY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25264-2024</t>
        </is>
      </c>
      <c r="B2369" s="1" t="n">
        <v>45462</v>
      </c>
      <c r="C2369" s="1" t="n">
        <v>45574</v>
      </c>
      <c r="D2369" t="inlineStr">
        <is>
          <t>VÄRMLANDS LÄN</t>
        </is>
      </c>
      <c r="E2369" t="inlineStr">
        <is>
          <t>TORSBY</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25194-2024</t>
        </is>
      </c>
      <c r="B2370" s="1" t="n">
        <v>45462</v>
      </c>
      <c r="C2370" s="1" t="n">
        <v>45574</v>
      </c>
      <c r="D2370" t="inlineStr">
        <is>
          <t>VÄRMLANDS LÄN</t>
        </is>
      </c>
      <c r="E2370" t="inlineStr">
        <is>
          <t>TORSBY</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25316-2024</t>
        </is>
      </c>
      <c r="B2371" s="1" t="n">
        <v>45462</v>
      </c>
      <c r="C2371" s="1" t="n">
        <v>45574</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25629-2024</t>
        </is>
      </c>
      <c r="B2372" s="1" t="n">
        <v>45463</v>
      </c>
      <c r="C2372" s="1" t="n">
        <v>45574</v>
      </c>
      <c r="D2372" t="inlineStr">
        <is>
          <t>VÄRMLANDS LÄN</t>
        </is>
      </c>
      <c r="E2372" t="inlineStr">
        <is>
          <t>TORSBY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25504-2024</t>
        </is>
      </c>
      <c r="B2373" s="1" t="n">
        <v>45463</v>
      </c>
      <c r="C2373" s="1" t="n">
        <v>45574</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25827-2024</t>
        </is>
      </c>
      <c r="B2374" s="1" t="n">
        <v>45467</v>
      </c>
      <c r="C2374" s="1" t="n">
        <v>45574</v>
      </c>
      <c r="D2374" t="inlineStr">
        <is>
          <t>VÄRMLANDS LÄN</t>
        </is>
      </c>
      <c r="E2374" t="inlineStr">
        <is>
          <t>TORSBY</t>
        </is>
      </c>
      <c r="G2374" t="n">
        <v>20.5</v>
      </c>
      <c r="H2374" t="n">
        <v>0</v>
      </c>
      <c r="I2374" t="n">
        <v>0</v>
      </c>
      <c r="J2374" t="n">
        <v>0</v>
      </c>
      <c r="K2374" t="n">
        <v>0</v>
      </c>
      <c r="L2374" t="n">
        <v>0</v>
      </c>
      <c r="M2374" t="n">
        <v>0</v>
      </c>
      <c r="N2374" t="n">
        <v>0</v>
      </c>
      <c r="O2374" t="n">
        <v>0</v>
      </c>
      <c r="P2374" t="n">
        <v>0</v>
      </c>
      <c r="Q2374" t="n">
        <v>0</v>
      </c>
      <c r="R2374" s="2" t="inlineStr"/>
    </row>
    <row r="2375" ht="15" customHeight="1">
      <c r="A2375" t="inlineStr">
        <is>
          <t>A 25898-2024</t>
        </is>
      </c>
      <c r="B2375" s="1" t="n">
        <v>45467</v>
      </c>
      <c r="C2375" s="1" t="n">
        <v>45574</v>
      </c>
      <c r="D2375" t="inlineStr">
        <is>
          <t>VÄRMLANDS LÄN</t>
        </is>
      </c>
      <c r="E2375" t="inlineStr">
        <is>
          <t>TORSBY</t>
        </is>
      </c>
      <c r="G2375" t="n">
        <v>27.6</v>
      </c>
      <c r="H2375" t="n">
        <v>0</v>
      </c>
      <c r="I2375" t="n">
        <v>0</v>
      </c>
      <c r="J2375" t="n">
        <v>0</v>
      </c>
      <c r="K2375" t="n">
        <v>0</v>
      </c>
      <c r="L2375" t="n">
        <v>0</v>
      </c>
      <c r="M2375" t="n">
        <v>0</v>
      </c>
      <c r="N2375" t="n">
        <v>0</v>
      </c>
      <c r="O2375" t="n">
        <v>0</v>
      </c>
      <c r="P2375" t="n">
        <v>0</v>
      </c>
      <c r="Q2375" t="n">
        <v>0</v>
      </c>
      <c r="R2375" s="2" t="inlineStr"/>
    </row>
    <row r="2376" ht="15" customHeight="1">
      <c r="A2376" t="inlineStr">
        <is>
          <t>A 25932-2024</t>
        </is>
      </c>
      <c r="B2376" s="1" t="n">
        <v>45467</v>
      </c>
      <c r="C2376" s="1" t="n">
        <v>45574</v>
      </c>
      <c r="D2376" t="inlineStr">
        <is>
          <t>VÄRMLANDS LÄN</t>
        </is>
      </c>
      <c r="E2376" t="inlineStr">
        <is>
          <t>TORSBY</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25933-2024</t>
        </is>
      </c>
      <c r="B2377" s="1" t="n">
        <v>45467</v>
      </c>
      <c r="C2377" s="1" t="n">
        <v>45574</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25949-2024</t>
        </is>
      </c>
      <c r="B2378" s="1" t="n">
        <v>45467</v>
      </c>
      <c r="C2378" s="1" t="n">
        <v>45574</v>
      </c>
      <c r="D2378" t="inlineStr">
        <is>
          <t>VÄRMLANDS LÄN</t>
        </is>
      </c>
      <c r="E2378" t="inlineStr">
        <is>
          <t>TORSBY</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26186-2024</t>
        </is>
      </c>
      <c r="B2379" s="1" t="n">
        <v>45468</v>
      </c>
      <c r="C2379" s="1" t="n">
        <v>45574</v>
      </c>
      <c r="D2379" t="inlineStr">
        <is>
          <t>VÄRMLANDS LÄN</t>
        </is>
      </c>
      <c r="E2379" t="inlineStr">
        <is>
          <t>TORSBY</t>
        </is>
      </c>
      <c r="F2379" t="inlineStr">
        <is>
          <t>Bergvik skog väst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26166-2024</t>
        </is>
      </c>
      <c r="B2380" s="1" t="n">
        <v>45468</v>
      </c>
      <c r="C2380" s="1" t="n">
        <v>45574</v>
      </c>
      <c r="D2380" t="inlineStr">
        <is>
          <t>VÄRMLANDS LÄN</t>
        </is>
      </c>
      <c r="E2380" t="inlineStr">
        <is>
          <t>TORSBY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26124-2024</t>
        </is>
      </c>
      <c r="B2381" s="1" t="n">
        <v>45468</v>
      </c>
      <c r="C2381" s="1" t="n">
        <v>45574</v>
      </c>
      <c r="D2381" t="inlineStr">
        <is>
          <t>VÄRMLANDS LÄN</t>
        </is>
      </c>
      <c r="E2381" t="inlineStr">
        <is>
          <t>TORSBY</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26086-2024</t>
        </is>
      </c>
      <c r="B2382" s="1" t="n">
        <v>45468</v>
      </c>
      <c r="C2382" s="1" t="n">
        <v>45574</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26042-2024</t>
        </is>
      </c>
      <c r="B2383" s="1" t="n">
        <v>45468</v>
      </c>
      <c r="C2383" s="1" t="n">
        <v>45574</v>
      </c>
      <c r="D2383" t="inlineStr">
        <is>
          <t>VÄRMLANDS LÄN</t>
        </is>
      </c>
      <c r="E2383" t="inlineStr">
        <is>
          <t>TORSBY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26634-2024</t>
        </is>
      </c>
      <c r="B2384" s="1" t="n">
        <v>45469</v>
      </c>
      <c r="C2384" s="1" t="n">
        <v>45574</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26876-2024</t>
        </is>
      </c>
      <c r="B2385" s="1" t="n">
        <v>45470</v>
      </c>
      <c r="C2385" s="1" t="n">
        <v>45574</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26887-2024</t>
        </is>
      </c>
      <c r="B2386" s="1" t="n">
        <v>45470</v>
      </c>
      <c r="C2386" s="1" t="n">
        <v>45574</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26807-2024</t>
        </is>
      </c>
      <c r="B2387" s="1" t="n">
        <v>45470</v>
      </c>
      <c r="C2387" s="1" t="n">
        <v>45574</v>
      </c>
      <c r="D2387" t="inlineStr">
        <is>
          <t>VÄRMLANDS LÄN</t>
        </is>
      </c>
      <c r="E2387" t="inlineStr">
        <is>
          <t>TORSBY</t>
        </is>
      </c>
      <c r="F2387" t="inlineStr">
        <is>
          <t>Bergvik skog väst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26799-2024</t>
        </is>
      </c>
      <c r="B2388" s="1" t="n">
        <v>45470</v>
      </c>
      <c r="C2388" s="1" t="n">
        <v>45574</v>
      </c>
      <c r="D2388" t="inlineStr">
        <is>
          <t>VÄRMLANDS LÄN</t>
        </is>
      </c>
      <c r="E2388" t="inlineStr">
        <is>
          <t>TORSBY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27045-2024</t>
        </is>
      </c>
      <c r="B2389" s="1" t="n">
        <v>45471</v>
      </c>
      <c r="C2389" s="1" t="n">
        <v>45574</v>
      </c>
      <c r="D2389" t="inlineStr">
        <is>
          <t>VÄRMLANDS LÄN</t>
        </is>
      </c>
      <c r="E2389" t="inlineStr">
        <is>
          <t>TORSBY</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27187-2024</t>
        </is>
      </c>
      <c r="B2390" s="1" t="n">
        <v>45471</v>
      </c>
      <c r="C2390" s="1" t="n">
        <v>45574</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27111-2024</t>
        </is>
      </c>
      <c r="B2391" s="1" t="n">
        <v>45471</v>
      </c>
      <c r="C2391" s="1" t="n">
        <v>45574</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27115-2024</t>
        </is>
      </c>
      <c r="B2392" s="1" t="n">
        <v>45471</v>
      </c>
      <c r="C2392" s="1" t="n">
        <v>45574</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27116-2024</t>
        </is>
      </c>
      <c r="B2393" s="1" t="n">
        <v>45471</v>
      </c>
      <c r="C2393" s="1" t="n">
        <v>45574</v>
      </c>
      <c r="D2393" t="inlineStr">
        <is>
          <t>VÄRMLANDS LÄN</t>
        </is>
      </c>
      <c r="E2393" t="inlineStr">
        <is>
          <t>TORSBY</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27120-2024</t>
        </is>
      </c>
      <c r="B2394" s="1" t="n">
        <v>45471</v>
      </c>
      <c r="C2394" s="1" t="n">
        <v>45574</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27124-2024</t>
        </is>
      </c>
      <c r="B2395" s="1" t="n">
        <v>45471</v>
      </c>
      <c r="C2395" s="1" t="n">
        <v>45574</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27144-2024</t>
        </is>
      </c>
      <c r="B2396" s="1" t="n">
        <v>45471</v>
      </c>
      <c r="C2396" s="1" t="n">
        <v>45574</v>
      </c>
      <c r="D2396" t="inlineStr">
        <is>
          <t>VÄRMLANDS LÄN</t>
        </is>
      </c>
      <c r="E2396" t="inlineStr">
        <is>
          <t>TORSBY</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27101-2024</t>
        </is>
      </c>
      <c r="B2397" s="1" t="n">
        <v>45471</v>
      </c>
      <c r="C2397" s="1" t="n">
        <v>45574</v>
      </c>
      <c r="D2397" t="inlineStr">
        <is>
          <t>VÄRMLANDS LÄN</t>
        </is>
      </c>
      <c r="E2397" t="inlineStr">
        <is>
          <t>TORSBY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27090-2024</t>
        </is>
      </c>
      <c r="B2398" s="1" t="n">
        <v>45471</v>
      </c>
      <c r="C2398" s="1" t="n">
        <v>45574</v>
      </c>
      <c r="D2398" t="inlineStr">
        <is>
          <t>VÄRMLANDS LÄN</t>
        </is>
      </c>
      <c r="E2398" t="inlineStr">
        <is>
          <t>TORSBY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27086-2024</t>
        </is>
      </c>
      <c r="B2399" s="1" t="n">
        <v>45471</v>
      </c>
      <c r="C2399" s="1" t="n">
        <v>45574</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27078-2024</t>
        </is>
      </c>
      <c r="B2400" s="1" t="n">
        <v>45471</v>
      </c>
      <c r="C2400" s="1" t="n">
        <v>45574</v>
      </c>
      <c r="D2400" t="inlineStr">
        <is>
          <t>VÄRMLANDS LÄN</t>
        </is>
      </c>
      <c r="E2400" t="inlineStr">
        <is>
          <t>TORSBY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27270-2024</t>
        </is>
      </c>
      <c r="B2401" s="1" t="n">
        <v>45471</v>
      </c>
      <c r="C2401" s="1" t="n">
        <v>45574</v>
      </c>
      <c r="D2401" t="inlineStr">
        <is>
          <t>VÄRMLANDS LÄN</t>
        </is>
      </c>
      <c r="E2401" t="inlineStr">
        <is>
          <t>TORSBY</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27291-2024</t>
        </is>
      </c>
      <c r="B2402" s="1" t="n">
        <v>45472</v>
      </c>
      <c r="C2402" s="1" t="n">
        <v>45574</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27096-2024</t>
        </is>
      </c>
      <c r="B2403" s="1" t="n">
        <v>45471</v>
      </c>
      <c r="C2403" s="1" t="n">
        <v>45574</v>
      </c>
      <c r="D2403" t="inlineStr">
        <is>
          <t>VÄRMLANDS LÄN</t>
        </is>
      </c>
      <c r="E2403" t="inlineStr">
        <is>
          <t>TORSBY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27273-2024</t>
        </is>
      </c>
      <c r="B2404" s="1" t="n">
        <v>45471</v>
      </c>
      <c r="C2404" s="1" t="n">
        <v>45574</v>
      </c>
      <c r="D2404" t="inlineStr">
        <is>
          <t>VÄRMLANDS LÄN</t>
        </is>
      </c>
      <c r="E2404" t="inlineStr">
        <is>
          <t>TORSBY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27038-2024</t>
        </is>
      </c>
      <c r="B2405" s="1" t="n">
        <v>45471</v>
      </c>
      <c r="C2405" s="1" t="n">
        <v>45574</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27275-2024</t>
        </is>
      </c>
      <c r="B2406" s="1" t="n">
        <v>45471</v>
      </c>
      <c r="C2406" s="1" t="n">
        <v>45574</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27292-2024</t>
        </is>
      </c>
      <c r="B2407" s="1" t="n">
        <v>45472</v>
      </c>
      <c r="C2407" s="1" t="n">
        <v>45574</v>
      </c>
      <c r="D2407" t="inlineStr">
        <is>
          <t>VÄRMLANDS LÄN</t>
        </is>
      </c>
      <c r="E2407" t="inlineStr">
        <is>
          <t>TORSBY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27363-2024</t>
        </is>
      </c>
      <c r="B2408" s="1" t="n">
        <v>45473</v>
      </c>
      <c r="C2408" s="1" t="n">
        <v>45574</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27347-2024</t>
        </is>
      </c>
      <c r="B2409" s="1" t="n">
        <v>45473</v>
      </c>
      <c r="C2409" s="1" t="n">
        <v>45574</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27360-2024</t>
        </is>
      </c>
      <c r="B2410" s="1" t="n">
        <v>45473</v>
      </c>
      <c r="C2410" s="1" t="n">
        <v>45574</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27352-2024</t>
        </is>
      </c>
      <c r="B2411" s="1" t="n">
        <v>45473</v>
      </c>
      <c r="C2411" s="1" t="n">
        <v>45574</v>
      </c>
      <c r="D2411" t="inlineStr">
        <is>
          <t>VÄRMLANDS LÄN</t>
        </is>
      </c>
      <c r="E2411" t="inlineStr">
        <is>
          <t>TORSBY</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27358-2024</t>
        </is>
      </c>
      <c r="B2412" s="1" t="n">
        <v>45473</v>
      </c>
      <c r="C2412" s="1" t="n">
        <v>45574</v>
      </c>
      <c r="D2412" t="inlineStr">
        <is>
          <t>VÄRMLANDS LÄN</t>
        </is>
      </c>
      <c r="E2412" t="inlineStr">
        <is>
          <t>TORSBY</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27346-2024</t>
        </is>
      </c>
      <c r="B2413" s="1" t="n">
        <v>45473</v>
      </c>
      <c r="C2413" s="1" t="n">
        <v>45574</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27349-2024</t>
        </is>
      </c>
      <c r="B2414" s="1" t="n">
        <v>45473</v>
      </c>
      <c r="C2414" s="1" t="n">
        <v>45574</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27548-2024</t>
        </is>
      </c>
      <c r="B2415" s="1" t="n">
        <v>45474</v>
      </c>
      <c r="C2415" s="1" t="n">
        <v>45574</v>
      </c>
      <c r="D2415" t="inlineStr">
        <is>
          <t>VÄRMLANDS LÄN</t>
        </is>
      </c>
      <c r="E2415" t="inlineStr">
        <is>
          <t>TORSBY</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27615-2024</t>
        </is>
      </c>
      <c r="B2416" s="1" t="n">
        <v>45474</v>
      </c>
      <c r="C2416" s="1" t="n">
        <v>45574</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27554-2024</t>
        </is>
      </c>
      <c r="B2417" s="1" t="n">
        <v>45474</v>
      </c>
      <c r="C2417" s="1" t="n">
        <v>45574</v>
      </c>
      <c r="D2417" t="inlineStr">
        <is>
          <t>VÄRMLANDS LÄN</t>
        </is>
      </c>
      <c r="E2417" t="inlineStr">
        <is>
          <t>TORSBY</t>
        </is>
      </c>
      <c r="F2417" t="inlineStr">
        <is>
          <t>Bergvik skog väst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27588-2024</t>
        </is>
      </c>
      <c r="B2418" s="1" t="n">
        <v>45474</v>
      </c>
      <c r="C2418" s="1" t="n">
        <v>45574</v>
      </c>
      <c r="D2418" t="inlineStr">
        <is>
          <t>VÄRMLANDS LÄN</t>
        </is>
      </c>
      <c r="E2418" t="inlineStr">
        <is>
          <t>TORSBY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27501-2024</t>
        </is>
      </c>
      <c r="B2419" s="1" t="n">
        <v>45474</v>
      </c>
      <c r="C2419" s="1" t="n">
        <v>45574</v>
      </c>
      <c r="D2419" t="inlineStr">
        <is>
          <t>VÄRMLANDS LÄN</t>
        </is>
      </c>
      <c r="E2419" t="inlineStr">
        <is>
          <t>TORSBY</t>
        </is>
      </c>
      <c r="F2419" t="inlineStr">
        <is>
          <t>Bergvik skog väst AB</t>
        </is>
      </c>
      <c r="G2419" t="n">
        <v>14.4</v>
      </c>
      <c r="H2419" t="n">
        <v>0</v>
      </c>
      <c r="I2419" t="n">
        <v>0</v>
      </c>
      <c r="J2419" t="n">
        <v>0</v>
      </c>
      <c r="K2419" t="n">
        <v>0</v>
      </c>
      <c r="L2419" t="n">
        <v>0</v>
      </c>
      <c r="M2419" t="n">
        <v>0</v>
      </c>
      <c r="N2419" t="n">
        <v>0</v>
      </c>
      <c r="O2419" t="n">
        <v>0</v>
      </c>
      <c r="P2419" t="n">
        <v>0</v>
      </c>
      <c r="Q2419" t="n">
        <v>0</v>
      </c>
      <c r="R2419" s="2" t="inlineStr"/>
    </row>
    <row r="2420" ht="15" customHeight="1">
      <c r="A2420" t="inlineStr">
        <is>
          <t>A 27529-2024</t>
        </is>
      </c>
      <c r="B2420" s="1" t="n">
        <v>45474</v>
      </c>
      <c r="C2420" s="1" t="n">
        <v>45574</v>
      </c>
      <c r="D2420" t="inlineStr">
        <is>
          <t>VÄRMLANDS LÄN</t>
        </is>
      </c>
      <c r="E2420" t="inlineStr">
        <is>
          <t>TORSBY</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27537-2024</t>
        </is>
      </c>
      <c r="B2421" s="1" t="n">
        <v>45474</v>
      </c>
      <c r="C2421" s="1" t="n">
        <v>45574</v>
      </c>
      <c r="D2421" t="inlineStr">
        <is>
          <t>VÄRMLANDS LÄN</t>
        </is>
      </c>
      <c r="E2421" t="inlineStr">
        <is>
          <t>TORSBY</t>
        </is>
      </c>
      <c r="F2421" t="inlineStr">
        <is>
          <t>Bergvik skog väst AB</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27573-2024</t>
        </is>
      </c>
      <c r="B2422" s="1" t="n">
        <v>45474</v>
      </c>
      <c r="C2422" s="1" t="n">
        <v>45574</v>
      </c>
      <c r="D2422" t="inlineStr">
        <is>
          <t>VÄRMLANDS LÄN</t>
        </is>
      </c>
      <c r="E2422" t="inlineStr">
        <is>
          <t>TORSBY</t>
        </is>
      </c>
      <c r="F2422" t="inlineStr">
        <is>
          <t>Bergvik skog väst AB</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27790-2024</t>
        </is>
      </c>
      <c r="B2423" s="1" t="n">
        <v>45475</v>
      </c>
      <c r="C2423" s="1" t="n">
        <v>45574</v>
      </c>
      <c r="D2423" t="inlineStr">
        <is>
          <t>VÄRMLANDS LÄN</t>
        </is>
      </c>
      <c r="E2423" t="inlineStr">
        <is>
          <t>TORSBY</t>
        </is>
      </c>
      <c r="F2423" t="inlineStr">
        <is>
          <t>Bergvik skog väst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27678-2024</t>
        </is>
      </c>
      <c r="B2424" s="1" t="n">
        <v>45475</v>
      </c>
      <c r="C2424" s="1" t="n">
        <v>45574</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27824-2024</t>
        </is>
      </c>
      <c r="B2425" s="1" t="n">
        <v>45475</v>
      </c>
      <c r="C2425" s="1" t="n">
        <v>45574</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27677-2024</t>
        </is>
      </c>
      <c r="B2426" s="1" t="n">
        <v>45475</v>
      </c>
      <c r="C2426" s="1" t="n">
        <v>45574</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28102-2024</t>
        </is>
      </c>
      <c r="B2427" s="1" t="n">
        <v>45476</v>
      </c>
      <c r="C2427" s="1" t="n">
        <v>45574</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28089-2024</t>
        </is>
      </c>
      <c r="B2428" s="1" t="n">
        <v>45476</v>
      </c>
      <c r="C2428" s="1" t="n">
        <v>45574</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28112-2024</t>
        </is>
      </c>
      <c r="B2429" s="1" t="n">
        <v>45476</v>
      </c>
      <c r="C2429" s="1" t="n">
        <v>45574</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28035-2024</t>
        </is>
      </c>
      <c r="B2430" s="1" t="n">
        <v>45476</v>
      </c>
      <c r="C2430" s="1" t="n">
        <v>45574</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28005-2024</t>
        </is>
      </c>
      <c r="B2431" s="1" t="n">
        <v>45476</v>
      </c>
      <c r="C2431" s="1" t="n">
        <v>45574</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28501-2024</t>
        </is>
      </c>
      <c r="B2432" s="1" t="n">
        <v>45478</v>
      </c>
      <c r="C2432" s="1" t="n">
        <v>45574</v>
      </c>
      <c r="D2432" t="inlineStr">
        <is>
          <t>VÄRMLANDS LÄN</t>
        </is>
      </c>
      <c r="E2432" t="inlineStr">
        <is>
          <t>TORSBY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28319-2024</t>
        </is>
      </c>
      <c r="B2433" s="1" t="n">
        <v>45477</v>
      </c>
      <c r="C2433" s="1" t="n">
        <v>45574</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28311-2024</t>
        </is>
      </c>
      <c r="B2434" s="1" t="n">
        <v>45477</v>
      </c>
      <c r="C2434" s="1" t="n">
        <v>45574</v>
      </c>
      <c r="D2434" t="inlineStr">
        <is>
          <t>VÄRMLANDS LÄN</t>
        </is>
      </c>
      <c r="E2434" t="inlineStr">
        <is>
          <t>TORSBY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28329-2024</t>
        </is>
      </c>
      <c r="B2435" s="1" t="n">
        <v>45477</v>
      </c>
      <c r="C2435" s="1" t="n">
        <v>45574</v>
      </c>
      <c r="D2435" t="inlineStr">
        <is>
          <t>VÄRMLANDS LÄN</t>
        </is>
      </c>
      <c r="E2435" t="inlineStr">
        <is>
          <t>TORSBY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28310-2024</t>
        </is>
      </c>
      <c r="B2436" s="1" t="n">
        <v>45477</v>
      </c>
      <c r="C2436" s="1" t="n">
        <v>45574</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28502-2024</t>
        </is>
      </c>
      <c r="B2437" s="1" t="n">
        <v>45478</v>
      </c>
      <c r="C2437" s="1" t="n">
        <v>45574</v>
      </c>
      <c r="D2437" t="inlineStr">
        <is>
          <t>VÄRMLANDS LÄN</t>
        </is>
      </c>
      <c r="E2437" t="inlineStr">
        <is>
          <t>TORSBY</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28249-2024</t>
        </is>
      </c>
      <c r="B2438" s="1" t="n">
        <v>45477</v>
      </c>
      <c r="C2438" s="1" t="n">
        <v>45574</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28364-2024</t>
        </is>
      </c>
      <c r="B2439" s="1" t="n">
        <v>45477</v>
      </c>
      <c r="C2439" s="1" t="n">
        <v>45574</v>
      </c>
      <c r="D2439" t="inlineStr">
        <is>
          <t>VÄRMLANDS LÄN</t>
        </is>
      </c>
      <c r="E2439" t="inlineStr">
        <is>
          <t>TORSBY</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28284-2024</t>
        </is>
      </c>
      <c r="B2440" s="1" t="n">
        <v>45477</v>
      </c>
      <c r="C2440" s="1" t="n">
        <v>45574</v>
      </c>
      <c r="D2440" t="inlineStr">
        <is>
          <t>VÄRMLANDS LÄN</t>
        </is>
      </c>
      <c r="E2440" t="inlineStr">
        <is>
          <t>TORSBY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28539-2024</t>
        </is>
      </c>
      <c r="B2441" s="1" t="n">
        <v>45478</v>
      </c>
      <c r="C2441" s="1" t="n">
        <v>45574</v>
      </c>
      <c r="D2441" t="inlineStr">
        <is>
          <t>VÄRMLANDS LÄN</t>
        </is>
      </c>
      <c r="E2441" t="inlineStr">
        <is>
          <t>TORSBY</t>
        </is>
      </c>
      <c r="F2441" t="inlineStr">
        <is>
          <t>Bergvik skog väst AB</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28619-2024</t>
        </is>
      </c>
      <c r="B2442" s="1" t="n">
        <v>45478</v>
      </c>
      <c r="C2442" s="1" t="n">
        <v>45574</v>
      </c>
      <c r="D2442" t="inlineStr">
        <is>
          <t>VÄRMLANDS LÄN</t>
        </is>
      </c>
      <c r="E2442" t="inlineStr">
        <is>
          <t>TORSBY</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28554-2024</t>
        </is>
      </c>
      <c r="B2443" s="1" t="n">
        <v>45478</v>
      </c>
      <c r="C2443" s="1" t="n">
        <v>45574</v>
      </c>
      <c r="D2443" t="inlineStr">
        <is>
          <t>VÄRMLANDS LÄN</t>
        </is>
      </c>
      <c r="E2443" t="inlineStr">
        <is>
          <t>TORSBY</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28646-2024</t>
        </is>
      </c>
      <c r="B2444" s="1" t="n">
        <v>45478</v>
      </c>
      <c r="C2444" s="1" t="n">
        <v>45574</v>
      </c>
      <c r="D2444" t="inlineStr">
        <is>
          <t>VÄRMLANDS LÄN</t>
        </is>
      </c>
      <c r="E2444" t="inlineStr">
        <is>
          <t>TORSBY</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28545-2024</t>
        </is>
      </c>
      <c r="B2445" s="1" t="n">
        <v>45478</v>
      </c>
      <c r="C2445" s="1" t="n">
        <v>45574</v>
      </c>
      <c r="D2445" t="inlineStr">
        <is>
          <t>VÄRMLANDS LÄN</t>
        </is>
      </c>
      <c r="E2445" t="inlineStr">
        <is>
          <t>TORSBY</t>
        </is>
      </c>
      <c r="F2445" t="inlineStr">
        <is>
          <t>Bergvik skog väst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28589-2024</t>
        </is>
      </c>
      <c r="B2446" s="1" t="n">
        <v>45478</v>
      </c>
      <c r="C2446" s="1" t="n">
        <v>45574</v>
      </c>
      <c r="D2446" t="inlineStr">
        <is>
          <t>VÄRMLANDS LÄN</t>
        </is>
      </c>
      <c r="E2446" t="inlineStr">
        <is>
          <t>TORSBY</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28624-2024</t>
        </is>
      </c>
      <c r="B2447" s="1" t="n">
        <v>45478</v>
      </c>
      <c r="C2447" s="1" t="n">
        <v>45574</v>
      </c>
      <c r="D2447" t="inlineStr">
        <is>
          <t>VÄRMLANDS LÄN</t>
        </is>
      </c>
      <c r="E2447" t="inlineStr">
        <is>
          <t>TORSBY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28673-2024</t>
        </is>
      </c>
      <c r="B2448" s="1" t="n">
        <v>45478</v>
      </c>
      <c r="C2448" s="1" t="n">
        <v>45574</v>
      </c>
      <c r="D2448" t="inlineStr">
        <is>
          <t>VÄRMLANDS LÄN</t>
        </is>
      </c>
      <c r="E2448" t="inlineStr">
        <is>
          <t>TORSBY</t>
        </is>
      </c>
      <c r="F2448" t="inlineStr">
        <is>
          <t>Bergvik skog väst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28609-2024</t>
        </is>
      </c>
      <c r="B2449" s="1" t="n">
        <v>45478</v>
      </c>
      <c r="C2449" s="1" t="n">
        <v>45574</v>
      </c>
      <c r="D2449" t="inlineStr">
        <is>
          <t>VÄRMLANDS LÄN</t>
        </is>
      </c>
      <c r="E2449" t="inlineStr">
        <is>
          <t>TORSBY</t>
        </is>
      </c>
      <c r="F2449" t="inlineStr">
        <is>
          <t>Bergvik skog väst AB</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28621-2024</t>
        </is>
      </c>
      <c r="B2450" s="1" t="n">
        <v>45478</v>
      </c>
      <c r="C2450" s="1" t="n">
        <v>45574</v>
      </c>
      <c r="D2450" t="inlineStr">
        <is>
          <t>VÄRMLANDS LÄN</t>
        </is>
      </c>
      <c r="E2450" t="inlineStr">
        <is>
          <t>TORSBY</t>
        </is>
      </c>
      <c r="F2450" t="inlineStr">
        <is>
          <t>Bergvik skog väst AB</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28637-2024</t>
        </is>
      </c>
      <c r="B2451" s="1" t="n">
        <v>45478</v>
      </c>
      <c r="C2451" s="1" t="n">
        <v>45574</v>
      </c>
      <c r="D2451" t="inlineStr">
        <is>
          <t>VÄRMLANDS LÄN</t>
        </is>
      </c>
      <c r="E2451" t="inlineStr">
        <is>
          <t>TORSBY</t>
        </is>
      </c>
      <c r="F2451" t="inlineStr">
        <is>
          <t>Bergvik skog väst AB</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28948-2024</t>
        </is>
      </c>
      <c r="B2452" s="1" t="n">
        <v>45481</v>
      </c>
      <c r="C2452" s="1" t="n">
        <v>45574</v>
      </c>
      <c r="D2452" t="inlineStr">
        <is>
          <t>VÄRMLANDS LÄN</t>
        </is>
      </c>
      <c r="E2452" t="inlineStr">
        <is>
          <t>TORSBY</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28987-2024</t>
        </is>
      </c>
      <c r="B2453" s="1" t="n">
        <v>45481</v>
      </c>
      <c r="C2453" s="1" t="n">
        <v>45574</v>
      </c>
      <c r="D2453" t="inlineStr">
        <is>
          <t>VÄRMLANDS LÄN</t>
        </is>
      </c>
      <c r="E2453" t="inlineStr">
        <is>
          <t>TORSBY</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29306-2024</t>
        </is>
      </c>
      <c r="B2454" s="1" t="n">
        <v>45483</v>
      </c>
      <c r="C2454" s="1" t="n">
        <v>45574</v>
      </c>
      <c r="D2454" t="inlineStr">
        <is>
          <t>VÄRMLANDS LÄN</t>
        </is>
      </c>
      <c r="E2454" t="inlineStr">
        <is>
          <t>TORSBY</t>
        </is>
      </c>
      <c r="F2454" t="inlineStr">
        <is>
          <t>Kyrkan</t>
        </is>
      </c>
      <c r="G2454" t="n">
        <v>18.3</v>
      </c>
      <c r="H2454" t="n">
        <v>0</v>
      </c>
      <c r="I2454" t="n">
        <v>0</v>
      </c>
      <c r="J2454" t="n">
        <v>0</v>
      </c>
      <c r="K2454" t="n">
        <v>0</v>
      </c>
      <c r="L2454" t="n">
        <v>0</v>
      </c>
      <c r="M2454" t="n">
        <v>0</v>
      </c>
      <c r="N2454" t="n">
        <v>0</v>
      </c>
      <c r="O2454" t="n">
        <v>0</v>
      </c>
      <c r="P2454" t="n">
        <v>0</v>
      </c>
      <c r="Q2454" t="n">
        <v>0</v>
      </c>
      <c r="R2454" s="2" t="inlineStr"/>
    </row>
    <row r="2455" ht="15" customHeight="1">
      <c r="A2455" t="inlineStr">
        <is>
          <t>A 29408-2024</t>
        </is>
      </c>
      <c r="B2455" s="1" t="n">
        <v>45483</v>
      </c>
      <c r="C2455" s="1" t="n">
        <v>45574</v>
      </c>
      <c r="D2455" t="inlineStr">
        <is>
          <t>VÄRMLANDS LÄN</t>
        </is>
      </c>
      <c r="E2455" t="inlineStr">
        <is>
          <t>TORSBY</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29375-2024</t>
        </is>
      </c>
      <c r="B2456" s="1" t="n">
        <v>45483</v>
      </c>
      <c r="C2456" s="1" t="n">
        <v>45574</v>
      </c>
      <c r="D2456" t="inlineStr">
        <is>
          <t>VÄRMLANDS LÄN</t>
        </is>
      </c>
      <c r="E2456" t="inlineStr">
        <is>
          <t>TORSBY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29541-2024</t>
        </is>
      </c>
      <c r="B2457" s="1" t="n">
        <v>45484</v>
      </c>
      <c r="C2457" s="1" t="n">
        <v>45574</v>
      </c>
      <c r="D2457" t="inlineStr">
        <is>
          <t>VÄRMLANDS LÄN</t>
        </is>
      </c>
      <c r="E2457" t="inlineStr">
        <is>
          <t>TORSBY</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29549-2024</t>
        </is>
      </c>
      <c r="B2458" s="1" t="n">
        <v>45484</v>
      </c>
      <c r="C2458" s="1" t="n">
        <v>45574</v>
      </c>
      <c r="D2458" t="inlineStr">
        <is>
          <t>VÄRMLANDS LÄN</t>
        </is>
      </c>
      <c r="E2458" t="inlineStr">
        <is>
          <t>TORSBY</t>
        </is>
      </c>
      <c r="F2458" t="inlineStr">
        <is>
          <t>Bergvik skog väst AB</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29593-2024</t>
        </is>
      </c>
      <c r="B2459" s="1" t="n">
        <v>45484</v>
      </c>
      <c r="C2459" s="1" t="n">
        <v>45574</v>
      </c>
      <c r="D2459" t="inlineStr">
        <is>
          <t>VÄRMLANDS LÄN</t>
        </is>
      </c>
      <c r="E2459" t="inlineStr">
        <is>
          <t>TORSBY</t>
        </is>
      </c>
      <c r="F2459" t="inlineStr">
        <is>
          <t>Bergvik skog väst AB</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29535-2024</t>
        </is>
      </c>
      <c r="B2460" s="1" t="n">
        <v>45484</v>
      </c>
      <c r="C2460" s="1" t="n">
        <v>45574</v>
      </c>
      <c r="D2460" t="inlineStr">
        <is>
          <t>VÄRMLANDS LÄN</t>
        </is>
      </c>
      <c r="E2460" t="inlineStr">
        <is>
          <t>TORSBY</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29559-2024</t>
        </is>
      </c>
      <c r="B2461" s="1" t="n">
        <v>45484</v>
      </c>
      <c r="C2461" s="1" t="n">
        <v>45574</v>
      </c>
      <c r="D2461" t="inlineStr">
        <is>
          <t>VÄRMLANDS LÄN</t>
        </is>
      </c>
      <c r="E2461" t="inlineStr">
        <is>
          <t>TORSBY</t>
        </is>
      </c>
      <c r="F2461" t="inlineStr">
        <is>
          <t>Bergvik skog väst AB</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29502-2024</t>
        </is>
      </c>
      <c r="B2462" s="1" t="n">
        <v>45484</v>
      </c>
      <c r="C2462" s="1" t="n">
        <v>45574</v>
      </c>
      <c r="D2462" t="inlineStr">
        <is>
          <t>VÄRMLANDS LÄN</t>
        </is>
      </c>
      <c r="E2462" t="inlineStr">
        <is>
          <t>TORSBY</t>
        </is>
      </c>
      <c r="F2462" t="inlineStr">
        <is>
          <t>Bergvik skog väst AB</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29759-2024</t>
        </is>
      </c>
      <c r="B2463" s="1" t="n">
        <v>45485</v>
      </c>
      <c r="C2463" s="1" t="n">
        <v>45574</v>
      </c>
      <c r="D2463" t="inlineStr">
        <is>
          <t>VÄRMLANDS LÄN</t>
        </is>
      </c>
      <c r="E2463" t="inlineStr">
        <is>
          <t>TORSBY</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29852-2024</t>
        </is>
      </c>
      <c r="B2464" s="1" t="n">
        <v>45485</v>
      </c>
      <c r="C2464" s="1" t="n">
        <v>45574</v>
      </c>
      <c r="D2464" t="inlineStr">
        <is>
          <t>VÄRMLANDS LÄN</t>
        </is>
      </c>
      <c r="E2464" t="inlineStr">
        <is>
          <t>TORSBY</t>
        </is>
      </c>
      <c r="F2464" t="inlineStr">
        <is>
          <t>Bergvik skog väst AB</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29898-2024</t>
        </is>
      </c>
      <c r="B2465" s="1" t="n">
        <v>45487</v>
      </c>
      <c r="C2465" s="1" t="n">
        <v>45574</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29895-2024</t>
        </is>
      </c>
      <c r="B2466" s="1" t="n">
        <v>45487</v>
      </c>
      <c r="C2466" s="1" t="n">
        <v>45574</v>
      </c>
      <c r="D2466" t="inlineStr">
        <is>
          <t>VÄRMLANDS LÄN</t>
        </is>
      </c>
      <c r="E2466" t="inlineStr">
        <is>
          <t>TORSBY</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29897-2024</t>
        </is>
      </c>
      <c r="B2467" s="1" t="n">
        <v>45487</v>
      </c>
      <c r="C2467" s="1" t="n">
        <v>45574</v>
      </c>
      <c r="D2467" t="inlineStr">
        <is>
          <t>VÄRMLANDS LÄN</t>
        </is>
      </c>
      <c r="E2467" t="inlineStr">
        <is>
          <t>TORSBY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29936-2024</t>
        </is>
      </c>
      <c r="B2468" s="1" t="n">
        <v>45488</v>
      </c>
      <c r="C2468" s="1" t="n">
        <v>45574</v>
      </c>
      <c r="D2468" t="inlineStr">
        <is>
          <t>VÄRMLANDS LÄN</t>
        </is>
      </c>
      <c r="E2468" t="inlineStr">
        <is>
          <t>TORSBY</t>
        </is>
      </c>
      <c r="F2468" t="inlineStr">
        <is>
          <t>Kommuner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29925-2024</t>
        </is>
      </c>
      <c r="B2469" s="1" t="n">
        <v>45488</v>
      </c>
      <c r="C2469" s="1" t="n">
        <v>45574</v>
      </c>
      <c r="D2469" t="inlineStr">
        <is>
          <t>VÄRMLANDS LÄN</t>
        </is>
      </c>
      <c r="E2469" t="inlineStr">
        <is>
          <t>TORSBY</t>
        </is>
      </c>
      <c r="F2469" t="inlineStr">
        <is>
          <t>Kyrkan</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30002-2024</t>
        </is>
      </c>
      <c r="B2470" s="1" t="n">
        <v>45488</v>
      </c>
      <c r="C2470" s="1" t="n">
        <v>45574</v>
      </c>
      <c r="D2470" t="inlineStr">
        <is>
          <t>VÄRMLANDS LÄN</t>
        </is>
      </c>
      <c r="E2470" t="inlineStr">
        <is>
          <t>TORSBY</t>
        </is>
      </c>
      <c r="F2470" t="inlineStr">
        <is>
          <t>Kommuner</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30011-2024</t>
        </is>
      </c>
      <c r="B2471" s="1" t="n">
        <v>45488</v>
      </c>
      <c r="C2471" s="1" t="n">
        <v>45574</v>
      </c>
      <c r="D2471" t="inlineStr">
        <is>
          <t>VÄRMLANDS LÄN</t>
        </is>
      </c>
      <c r="E2471" t="inlineStr">
        <is>
          <t>TORSBY</t>
        </is>
      </c>
      <c r="F2471" t="inlineStr">
        <is>
          <t>Kommuner</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29926-2024</t>
        </is>
      </c>
      <c r="B2472" s="1" t="n">
        <v>45488</v>
      </c>
      <c r="C2472" s="1" t="n">
        <v>45574</v>
      </c>
      <c r="D2472" t="inlineStr">
        <is>
          <t>VÄRMLANDS LÄN</t>
        </is>
      </c>
      <c r="E2472" t="inlineStr">
        <is>
          <t>TORSBY</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30074-2024</t>
        </is>
      </c>
      <c r="B2473" s="1" t="n">
        <v>45489</v>
      </c>
      <c r="C2473" s="1" t="n">
        <v>45574</v>
      </c>
      <c r="D2473" t="inlineStr">
        <is>
          <t>VÄRMLANDS LÄN</t>
        </is>
      </c>
      <c r="E2473" t="inlineStr">
        <is>
          <t>TORSBY</t>
        </is>
      </c>
      <c r="F2473" t="inlineStr">
        <is>
          <t>Kyrkan</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30267-2024</t>
        </is>
      </c>
      <c r="B2474" s="1" t="n">
        <v>45490</v>
      </c>
      <c r="C2474" s="1" t="n">
        <v>45574</v>
      </c>
      <c r="D2474" t="inlineStr">
        <is>
          <t>VÄRMLANDS LÄN</t>
        </is>
      </c>
      <c r="E2474" t="inlineStr">
        <is>
          <t>TORSBY</t>
        </is>
      </c>
      <c r="F2474" t="inlineStr">
        <is>
          <t>Bergvik skog väst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30403-2024</t>
        </is>
      </c>
      <c r="B2475" s="1" t="n">
        <v>45491</v>
      </c>
      <c r="C2475" s="1" t="n">
        <v>45574</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30629-2024</t>
        </is>
      </c>
      <c r="B2476" s="1" t="n">
        <v>45495</v>
      </c>
      <c r="C2476" s="1" t="n">
        <v>45574</v>
      </c>
      <c r="D2476" t="inlineStr">
        <is>
          <t>VÄRMLANDS LÄN</t>
        </is>
      </c>
      <c r="E2476" t="inlineStr">
        <is>
          <t>TORSBY</t>
        </is>
      </c>
      <c r="F2476" t="inlineStr">
        <is>
          <t>Bergvik skog väst AB</t>
        </is>
      </c>
      <c r="G2476" t="n">
        <v>12.8</v>
      </c>
      <c r="H2476" t="n">
        <v>0</v>
      </c>
      <c r="I2476" t="n">
        <v>0</v>
      </c>
      <c r="J2476" t="n">
        <v>0</v>
      </c>
      <c r="K2476" t="n">
        <v>0</v>
      </c>
      <c r="L2476" t="n">
        <v>0</v>
      </c>
      <c r="M2476" t="n">
        <v>0</v>
      </c>
      <c r="N2476" t="n">
        <v>0</v>
      </c>
      <c r="O2476" t="n">
        <v>0</v>
      </c>
      <c r="P2476" t="n">
        <v>0</v>
      </c>
      <c r="Q2476" t="n">
        <v>0</v>
      </c>
      <c r="R2476" s="2" t="inlineStr"/>
    </row>
    <row r="2477" ht="15" customHeight="1">
      <c r="A2477" t="inlineStr">
        <is>
          <t>A 30718-2024</t>
        </is>
      </c>
      <c r="B2477" s="1" t="n">
        <v>45496</v>
      </c>
      <c r="C2477" s="1" t="n">
        <v>45574</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30706-2024</t>
        </is>
      </c>
      <c r="B2478" s="1" t="n">
        <v>45496</v>
      </c>
      <c r="C2478" s="1" t="n">
        <v>45574</v>
      </c>
      <c r="D2478" t="inlineStr">
        <is>
          <t>VÄRMLANDS LÄN</t>
        </is>
      </c>
      <c r="E2478" t="inlineStr">
        <is>
          <t>TORSBY</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30720-2024</t>
        </is>
      </c>
      <c r="B2479" s="1" t="n">
        <v>45496</v>
      </c>
      <c r="C2479" s="1" t="n">
        <v>45574</v>
      </c>
      <c r="D2479" t="inlineStr">
        <is>
          <t>VÄRMLANDS LÄN</t>
        </is>
      </c>
      <c r="E2479" t="inlineStr">
        <is>
          <t>TORSBY</t>
        </is>
      </c>
      <c r="F2479" t="inlineStr">
        <is>
          <t>Bergvik skog väst AB</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30700-2024</t>
        </is>
      </c>
      <c r="B2480" s="1" t="n">
        <v>45496</v>
      </c>
      <c r="C2480" s="1" t="n">
        <v>45574</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30696-2024</t>
        </is>
      </c>
      <c r="B2481" s="1" t="n">
        <v>45496</v>
      </c>
      <c r="C2481" s="1" t="n">
        <v>45574</v>
      </c>
      <c r="D2481" t="inlineStr">
        <is>
          <t>VÄRMLANDS LÄN</t>
        </is>
      </c>
      <c r="E2481" t="inlineStr">
        <is>
          <t>TORSBY</t>
        </is>
      </c>
      <c r="F2481" t="inlineStr">
        <is>
          <t>Bergvik skog väst AB</t>
        </is>
      </c>
      <c r="G2481" t="n">
        <v>9.9</v>
      </c>
      <c r="H2481" t="n">
        <v>0</v>
      </c>
      <c r="I2481" t="n">
        <v>0</v>
      </c>
      <c r="J2481" t="n">
        <v>0</v>
      </c>
      <c r="K2481" t="n">
        <v>0</v>
      </c>
      <c r="L2481" t="n">
        <v>0</v>
      </c>
      <c r="M2481" t="n">
        <v>0</v>
      </c>
      <c r="N2481" t="n">
        <v>0</v>
      </c>
      <c r="O2481" t="n">
        <v>0</v>
      </c>
      <c r="P2481" t="n">
        <v>0</v>
      </c>
      <c r="Q2481" t="n">
        <v>0</v>
      </c>
      <c r="R2481" s="2" t="inlineStr"/>
    </row>
    <row r="2482" ht="15" customHeight="1">
      <c r="A2482" t="inlineStr">
        <is>
          <t>A 30699-2024</t>
        </is>
      </c>
      <c r="B2482" s="1" t="n">
        <v>45496</v>
      </c>
      <c r="C2482" s="1" t="n">
        <v>45574</v>
      </c>
      <c r="D2482" t="inlineStr">
        <is>
          <t>VÄRMLANDS LÄN</t>
        </is>
      </c>
      <c r="E2482" t="inlineStr">
        <is>
          <t>TORSBY</t>
        </is>
      </c>
      <c r="F2482" t="inlineStr">
        <is>
          <t>Kyrkan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30705-2024</t>
        </is>
      </c>
      <c r="B2483" s="1" t="n">
        <v>45496</v>
      </c>
      <c r="C2483" s="1" t="n">
        <v>45574</v>
      </c>
      <c r="D2483" t="inlineStr">
        <is>
          <t>VÄRMLANDS LÄN</t>
        </is>
      </c>
      <c r="E2483" t="inlineStr">
        <is>
          <t>TORSBY</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30790-2024</t>
        </is>
      </c>
      <c r="B2484" s="1" t="n">
        <v>45497</v>
      </c>
      <c r="C2484" s="1" t="n">
        <v>45574</v>
      </c>
      <c r="D2484" t="inlineStr">
        <is>
          <t>VÄRMLANDS LÄN</t>
        </is>
      </c>
      <c r="E2484" t="inlineStr">
        <is>
          <t>TORSBY</t>
        </is>
      </c>
      <c r="G2484" t="n">
        <v>49.9</v>
      </c>
      <c r="H2484" t="n">
        <v>0</v>
      </c>
      <c r="I2484" t="n">
        <v>0</v>
      </c>
      <c r="J2484" t="n">
        <v>0</v>
      </c>
      <c r="K2484" t="n">
        <v>0</v>
      </c>
      <c r="L2484" t="n">
        <v>0</v>
      </c>
      <c r="M2484" t="n">
        <v>0</v>
      </c>
      <c r="N2484" t="n">
        <v>0</v>
      </c>
      <c r="O2484" t="n">
        <v>0</v>
      </c>
      <c r="P2484" t="n">
        <v>0</v>
      </c>
      <c r="Q2484" t="n">
        <v>0</v>
      </c>
      <c r="R2484" s="2" t="inlineStr"/>
    </row>
    <row r="2485" ht="15" customHeight="1">
      <c r="A2485" t="inlineStr">
        <is>
          <t>A 30789-2024</t>
        </is>
      </c>
      <c r="B2485" s="1" t="n">
        <v>45497</v>
      </c>
      <c r="C2485" s="1" t="n">
        <v>45574</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30803-2024</t>
        </is>
      </c>
      <c r="B2486" s="1" t="n">
        <v>45497</v>
      </c>
      <c r="C2486" s="1" t="n">
        <v>45574</v>
      </c>
      <c r="D2486" t="inlineStr">
        <is>
          <t>VÄRMLANDS LÄN</t>
        </is>
      </c>
      <c r="E2486" t="inlineStr">
        <is>
          <t>TORSBY</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30791-2024</t>
        </is>
      </c>
      <c r="B2487" s="1" t="n">
        <v>45497</v>
      </c>
      <c r="C2487" s="1" t="n">
        <v>45574</v>
      </c>
      <c r="D2487" t="inlineStr">
        <is>
          <t>VÄRMLANDS LÄN</t>
        </is>
      </c>
      <c r="E2487" t="inlineStr">
        <is>
          <t>TORSBY</t>
        </is>
      </c>
      <c r="G2487" t="n">
        <v>44.2</v>
      </c>
      <c r="H2487" t="n">
        <v>0</v>
      </c>
      <c r="I2487" t="n">
        <v>0</v>
      </c>
      <c r="J2487" t="n">
        <v>0</v>
      </c>
      <c r="K2487" t="n">
        <v>0</v>
      </c>
      <c r="L2487" t="n">
        <v>0</v>
      </c>
      <c r="M2487" t="n">
        <v>0</v>
      </c>
      <c r="N2487" t="n">
        <v>0</v>
      </c>
      <c r="O2487" t="n">
        <v>0</v>
      </c>
      <c r="P2487" t="n">
        <v>0</v>
      </c>
      <c r="Q2487" t="n">
        <v>0</v>
      </c>
      <c r="R2487" s="2" t="inlineStr"/>
    </row>
    <row r="2488" ht="15" customHeight="1">
      <c r="A2488" t="inlineStr">
        <is>
          <t>A 30873-2024</t>
        </is>
      </c>
      <c r="B2488" s="1" t="n">
        <v>45498</v>
      </c>
      <c r="C2488" s="1" t="n">
        <v>45574</v>
      </c>
      <c r="D2488" t="inlineStr">
        <is>
          <t>VÄRMLANDS LÄN</t>
        </is>
      </c>
      <c r="E2488" t="inlineStr">
        <is>
          <t>TORSBY</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30952-2024</t>
        </is>
      </c>
      <c r="B2489" s="1" t="n">
        <v>45499</v>
      </c>
      <c r="C2489" s="1" t="n">
        <v>45574</v>
      </c>
      <c r="D2489" t="inlineStr">
        <is>
          <t>VÄRMLANDS LÄN</t>
        </is>
      </c>
      <c r="E2489" t="inlineStr">
        <is>
          <t>TORSBY</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30947-2024</t>
        </is>
      </c>
      <c r="B2490" s="1" t="n">
        <v>45499</v>
      </c>
      <c r="C2490" s="1" t="n">
        <v>45574</v>
      </c>
      <c r="D2490" t="inlineStr">
        <is>
          <t>VÄRMLANDS LÄN</t>
        </is>
      </c>
      <c r="E2490" t="inlineStr">
        <is>
          <t>TORSBY</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31004-2024</t>
        </is>
      </c>
      <c r="B2491" s="1" t="n">
        <v>45499</v>
      </c>
      <c r="C2491" s="1" t="n">
        <v>45574</v>
      </c>
      <c r="D2491" t="inlineStr">
        <is>
          <t>VÄRMLANDS LÄN</t>
        </is>
      </c>
      <c r="E2491" t="inlineStr">
        <is>
          <t>TORSBY</t>
        </is>
      </c>
      <c r="F2491" t="inlineStr">
        <is>
          <t>Bergvik skog väst AB</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30942-2024</t>
        </is>
      </c>
      <c r="B2492" s="1" t="n">
        <v>45499</v>
      </c>
      <c r="C2492" s="1" t="n">
        <v>45574</v>
      </c>
      <c r="D2492" t="inlineStr">
        <is>
          <t>VÄRMLANDS LÄN</t>
        </is>
      </c>
      <c r="E2492" t="inlineStr">
        <is>
          <t>TORSBY</t>
        </is>
      </c>
      <c r="F2492" t="inlineStr">
        <is>
          <t>Bergvik skog väst AB</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31089-2024</t>
        </is>
      </c>
      <c r="B2493" s="1" t="n">
        <v>45502</v>
      </c>
      <c r="C2493" s="1" t="n">
        <v>45574</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31158-2024</t>
        </is>
      </c>
      <c r="B2494" s="1" t="n">
        <v>45503</v>
      </c>
      <c r="C2494" s="1" t="n">
        <v>45574</v>
      </c>
      <c r="D2494" t="inlineStr">
        <is>
          <t>VÄRMLANDS LÄN</t>
        </is>
      </c>
      <c r="E2494" t="inlineStr">
        <is>
          <t>TORSBY</t>
        </is>
      </c>
      <c r="F2494" t="inlineStr">
        <is>
          <t>Kyrkan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31164-2024</t>
        </is>
      </c>
      <c r="B2495" s="1" t="n">
        <v>45503</v>
      </c>
      <c r="C2495" s="1" t="n">
        <v>45574</v>
      </c>
      <c r="D2495" t="inlineStr">
        <is>
          <t>VÄRMLANDS LÄN</t>
        </is>
      </c>
      <c r="E2495" t="inlineStr">
        <is>
          <t>TORSBY</t>
        </is>
      </c>
      <c r="F2495" t="inlineStr">
        <is>
          <t>Kyrkan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31285-2024</t>
        </is>
      </c>
      <c r="B2496" s="1" t="n">
        <v>45504</v>
      </c>
      <c r="C2496" s="1" t="n">
        <v>45574</v>
      </c>
      <c r="D2496" t="inlineStr">
        <is>
          <t>VÄRMLANDS LÄN</t>
        </is>
      </c>
      <c r="E2496" t="inlineStr">
        <is>
          <t>TORSBY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31289-2024</t>
        </is>
      </c>
      <c r="B2497" s="1" t="n">
        <v>45504</v>
      </c>
      <c r="C2497" s="1" t="n">
        <v>45574</v>
      </c>
      <c r="D2497" t="inlineStr">
        <is>
          <t>VÄRMLANDS LÄN</t>
        </is>
      </c>
      <c r="E2497" t="inlineStr">
        <is>
          <t>TORSBY</t>
        </is>
      </c>
      <c r="G2497" t="n">
        <v>16.8</v>
      </c>
      <c r="H2497" t="n">
        <v>0</v>
      </c>
      <c r="I2497" t="n">
        <v>0</v>
      </c>
      <c r="J2497" t="n">
        <v>0</v>
      </c>
      <c r="K2497" t="n">
        <v>0</v>
      </c>
      <c r="L2497" t="n">
        <v>0</v>
      </c>
      <c r="M2497" t="n">
        <v>0</v>
      </c>
      <c r="N2497" t="n">
        <v>0</v>
      </c>
      <c r="O2497" t="n">
        <v>0</v>
      </c>
      <c r="P2497" t="n">
        <v>0</v>
      </c>
      <c r="Q2497" t="n">
        <v>0</v>
      </c>
      <c r="R2497" s="2" t="inlineStr"/>
    </row>
    <row r="2498" ht="15" customHeight="1">
      <c r="A2498" t="inlineStr">
        <is>
          <t>A 31380-2024</t>
        </is>
      </c>
      <c r="B2498" s="1" t="n">
        <v>45505</v>
      </c>
      <c r="C2498" s="1" t="n">
        <v>45574</v>
      </c>
      <c r="D2498" t="inlineStr">
        <is>
          <t>VÄRMLANDS LÄN</t>
        </is>
      </c>
      <c r="E2498" t="inlineStr">
        <is>
          <t>TORSBY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31385-2024</t>
        </is>
      </c>
      <c r="B2499" s="1" t="n">
        <v>45505</v>
      </c>
      <c r="C2499" s="1" t="n">
        <v>45574</v>
      </c>
      <c r="D2499" t="inlineStr">
        <is>
          <t>VÄRMLANDS LÄN</t>
        </is>
      </c>
      <c r="E2499" t="inlineStr">
        <is>
          <t>TORSBY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31377-2024</t>
        </is>
      </c>
      <c r="B2500" s="1" t="n">
        <v>45505</v>
      </c>
      <c r="C2500" s="1" t="n">
        <v>45574</v>
      </c>
      <c r="D2500" t="inlineStr">
        <is>
          <t>VÄRMLANDS LÄN</t>
        </is>
      </c>
      <c r="E2500" t="inlineStr">
        <is>
          <t>TORSBY</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31351-2024</t>
        </is>
      </c>
      <c r="B2501" s="1" t="n">
        <v>45505</v>
      </c>
      <c r="C2501" s="1" t="n">
        <v>45574</v>
      </c>
      <c r="D2501" t="inlineStr">
        <is>
          <t>VÄRMLANDS LÄN</t>
        </is>
      </c>
      <c r="E2501" t="inlineStr">
        <is>
          <t>TORSBY</t>
        </is>
      </c>
      <c r="F2501" t="inlineStr">
        <is>
          <t>Kyrkan</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31767-2024</t>
        </is>
      </c>
      <c r="B2502" s="1" t="n">
        <v>45509</v>
      </c>
      <c r="C2502" s="1" t="n">
        <v>45574</v>
      </c>
      <c r="D2502" t="inlineStr">
        <is>
          <t>VÄRMLANDS LÄN</t>
        </is>
      </c>
      <c r="E2502" t="inlineStr">
        <is>
          <t>TORSBY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31716-2024</t>
        </is>
      </c>
      <c r="B2503" s="1" t="n">
        <v>45509</v>
      </c>
      <c r="C2503" s="1" t="n">
        <v>45574</v>
      </c>
      <c r="D2503" t="inlineStr">
        <is>
          <t>VÄRMLANDS LÄN</t>
        </is>
      </c>
      <c r="E2503" t="inlineStr">
        <is>
          <t>TORSBY</t>
        </is>
      </c>
      <c r="F2503" t="inlineStr">
        <is>
          <t>Bergvik skog väst AB</t>
        </is>
      </c>
      <c r="G2503" t="n">
        <v>19.3</v>
      </c>
      <c r="H2503" t="n">
        <v>0</v>
      </c>
      <c r="I2503" t="n">
        <v>0</v>
      </c>
      <c r="J2503" t="n">
        <v>0</v>
      </c>
      <c r="K2503" t="n">
        <v>0</v>
      </c>
      <c r="L2503" t="n">
        <v>0</v>
      </c>
      <c r="M2503" t="n">
        <v>0</v>
      </c>
      <c r="N2503" t="n">
        <v>0</v>
      </c>
      <c r="O2503" t="n">
        <v>0</v>
      </c>
      <c r="P2503" t="n">
        <v>0</v>
      </c>
      <c r="Q2503" t="n">
        <v>0</v>
      </c>
      <c r="R2503" s="2" t="inlineStr"/>
    </row>
    <row r="2504" ht="15" customHeight="1">
      <c r="A2504" t="inlineStr">
        <is>
          <t>A 31836-2024</t>
        </is>
      </c>
      <c r="B2504" s="1" t="n">
        <v>45509</v>
      </c>
      <c r="C2504" s="1" t="n">
        <v>45574</v>
      </c>
      <c r="D2504" t="inlineStr">
        <is>
          <t>VÄRMLANDS LÄN</t>
        </is>
      </c>
      <c r="E2504" t="inlineStr">
        <is>
          <t>TORSBY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31830-2024</t>
        </is>
      </c>
      <c r="B2505" s="1" t="n">
        <v>45509</v>
      </c>
      <c r="C2505" s="1" t="n">
        <v>45574</v>
      </c>
      <c r="D2505" t="inlineStr">
        <is>
          <t>VÄRMLANDS LÄN</t>
        </is>
      </c>
      <c r="E2505" t="inlineStr">
        <is>
          <t>TORSBY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31945-2024</t>
        </is>
      </c>
      <c r="B2506" s="1" t="n">
        <v>45510</v>
      </c>
      <c r="C2506" s="1" t="n">
        <v>45574</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32155-2024</t>
        </is>
      </c>
      <c r="B2507" s="1" t="n">
        <v>45511</v>
      </c>
      <c r="C2507" s="1" t="n">
        <v>45574</v>
      </c>
      <c r="D2507" t="inlineStr">
        <is>
          <t>VÄRMLANDS LÄN</t>
        </is>
      </c>
      <c r="E2507" t="inlineStr">
        <is>
          <t>TORSBY</t>
        </is>
      </c>
      <c r="F2507" t="inlineStr">
        <is>
          <t>Bergvik skog väst AB</t>
        </is>
      </c>
      <c r="G2507" t="n">
        <v>13.5</v>
      </c>
      <c r="H2507" t="n">
        <v>0</v>
      </c>
      <c r="I2507" t="n">
        <v>0</v>
      </c>
      <c r="J2507" t="n">
        <v>0</v>
      </c>
      <c r="K2507" t="n">
        <v>0</v>
      </c>
      <c r="L2507" t="n">
        <v>0</v>
      </c>
      <c r="M2507" t="n">
        <v>0</v>
      </c>
      <c r="N2507" t="n">
        <v>0</v>
      </c>
      <c r="O2507" t="n">
        <v>0</v>
      </c>
      <c r="P2507" t="n">
        <v>0</v>
      </c>
      <c r="Q2507" t="n">
        <v>0</v>
      </c>
      <c r="R2507" s="2" t="inlineStr"/>
    </row>
    <row r="2508" ht="15" customHeight="1">
      <c r="A2508" t="inlineStr">
        <is>
          <t>A 32138-2024</t>
        </is>
      </c>
      <c r="B2508" s="1" t="n">
        <v>45511</v>
      </c>
      <c r="C2508" s="1" t="n">
        <v>45574</v>
      </c>
      <c r="D2508" t="inlineStr">
        <is>
          <t>VÄRMLANDS LÄN</t>
        </is>
      </c>
      <c r="E2508" t="inlineStr">
        <is>
          <t>TORSBY</t>
        </is>
      </c>
      <c r="F2508" t="inlineStr">
        <is>
          <t>Bergvik skog väst AB</t>
        </is>
      </c>
      <c r="G2508" t="n">
        <v>26.3</v>
      </c>
      <c r="H2508" t="n">
        <v>0</v>
      </c>
      <c r="I2508" t="n">
        <v>0</v>
      </c>
      <c r="J2508" t="n">
        <v>0</v>
      </c>
      <c r="K2508" t="n">
        <v>0</v>
      </c>
      <c r="L2508" t="n">
        <v>0</v>
      </c>
      <c r="M2508" t="n">
        <v>0</v>
      </c>
      <c r="N2508" t="n">
        <v>0</v>
      </c>
      <c r="O2508" t="n">
        <v>0</v>
      </c>
      <c r="P2508" t="n">
        <v>0</v>
      </c>
      <c r="Q2508" t="n">
        <v>0</v>
      </c>
      <c r="R2508" s="2" t="inlineStr"/>
    </row>
    <row r="2509" ht="15" customHeight="1">
      <c r="A2509" t="inlineStr">
        <is>
          <t>A 32213-2024</t>
        </is>
      </c>
      <c r="B2509" s="1" t="n">
        <v>45511</v>
      </c>
      <c r="C2509" s="1" t="n">
        <v>45574</v>
      </c>
      <c r="D2509" t="inlineStr">
        <is>
          <t>VÄRMLANDS LÄN</t>
        </is>
      </c>
      <c r="E2509" t="inlineStr">
        <is>
          <t>TORSBY</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32314-2024</t>
        </is>
      </c>
      <c r="B2510" s="1" t="n">
        <v>45512</v>
      </c>
      <c r="C2510" s="1" t="n">
        <v>45574</v>
      </c>
      <c r="D2510" t="inlineStr">
        <is>
          <t>VÄRMLANDS LÄN</t>
        </is>
      </c>
      <c r="E2510" t="inlineStr">
        <is>
          <t>TORSBY</t>
        </is>
      </c>
      <c r="F2510" t="inlineStr">
        <is>
          <t>Bergvik skog väst AB</t>
        </is>
      </c>
      <c r="G2510" t="n">
        <v>35.1</v>
      </c>
      <c r="H2510" t="n">
        <v>0</v>
      </c>
      <c r="I2510" t="n">
        <v>0</v>
      </c>
      <c r="J2510" t="n">
        <v>0</v>
      </c>
      <c r="K2510" t="n">
        <v>0</v>
      </c>
      <c r="L2510" t="n">
        <v>0</v>
      </c>
      <c r="M2510" t="n">
        <v>0</v>
      </c>
      <c r="N2510" t="n">
        <v>0</v>
      </c>
      <c r="O2510" t="n">
        <v>0</v>
      </c>
      <c r="P2510" t="n">
        <v>0</v>
      </c>
      <c r="Q2510" t="n">
        <v>0</v>
      </c>
      <c r="R2510" s="2" t="inlineStr"/>
    </row>
    <row r="2511" ht="15" customHeight="1">
      <c r="A2511" t="inlineStr">
        <is>
          <t>A 32343-2024</t>
        </is>
      </c>
      <c r="B2511" s="1" t="n">
        <v>45512</v>
      </c>
      <c r="C2511" s="1" t="n">
        <v>45574</v>
      </c>
      <c r="D2511" t="inlineStr">
        <is>
          <t>VÄRMLANDS LÄN</t>
        </is>
      </c>
      <c r="E2511" t="inlineStr">
        <is>
          <t>TORSBY</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32340-2024</t>
        </is>
      </c>
      <c r="B2512" s="1" t="n">
        <v>45512</v>
      </c>
      <c r="C2512" s="1" t="n">
        <v>45574</v>
      </c>
      <c r="D2512" t="inlineStr">
        <is>
          <t>VÄRMLANDS LÄN</t>
        </is>
      </c>
      <c r="E2512" t="inlineStr">
        <is>
          <t>TORSBY</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32319-2024</t>
        </is>
      </c>
      <c r="B2513" s="1" t="n">
        <v>45512</v>
      </c>
      <c r="C2513" s="1" t="n">
        <v>45574</v>
      </c>
      <c r="D2513" t="inlineStr">
        <is>
          <t>VÄRMLANDS LÄN</t>
        </is>
      </c>
      <c r="E2513" t="inlineStr">
        <is>
          <t>TORSBY</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32588-2024</t>
        </is>
      </c>
      <c r="B2514" s="1" t="n">
        <v>45513</v>
      </c>
      <c r="C2514" s="1" t="n">
        <v>45574</v>
      </c>
      <c r="D2514" t="inlineStr">
        <is>
          <t>VÄRMLANDS LÄN</t>
        </is>
      </c>
      <c r="E2514" t="inlineStr">
        <is>
          <t>TORSBY</t>
        </is>
      </c>
      <c r="F2514" t="inlineStr">
        <is>
          <t>Bergvik skog väst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32603-2024</t>
        </is>
      </c>
      <c r="B2515" s="1" t="n">
        <v>45513</v>
      </c>
      <c r="C2515" s="1" t="n">
        <v>45574</v>
      </c>
      <c r="D2515" t="inlineStr">
        <is>
          <t>VÄRMLANDS LÄN</t>
        </is>
      </c>
      <c r="E2515" t="inlineStr">
        <is>
          <t>TORSBY</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32764-2024</t>
        </is>
      </c>
      <c r="B2516" s="1" t="n">
        <v>45515</v>
      </c>
      <c r="C2516" s="1" t="n">
        <v>45574</v>
      </c>
      <c r="D2516" t="inlineStr">
        <is>
          <t>VÄRMLANDS LÄN</t>
        </is>
      </c>
      <c r="E2516" t="inlineStr">
        <is>
          <t>TORSBY</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32755-2024</t>
        </is>
      </c>
      <c r="B2517" s="1" t="n">
        <v>45515</v>
      </c>
      <c r="C2517" s="1" t="n">
        <v>45574</v>
      </c>
      <c r="D2517" t="inlineStr">
        <is>
          <t>VÄRMLANDS LÄN</t>
        </is>
      </c>
      <c r="E2517" t="inlineStr">
        <is>
          <t>TORSBY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32746-2024</t>
        </is>
      </c>
      <c r="B2518" s="1" t="n">
        <v>45515</v>
      </c>
      <c r="C2518" s="1" t="n">
        <v>45574</v>
      </c>
      <c r="D2518" t="inlineStr">
        <is>
          <t>VÄRMLANDS LÄN</t>
        </is>
      </c>
      <c r="E2518" t="inlineStr">
        <is>
          <t>TORSBY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32758-2024</t>
        </is>
      </c>
      <c r="B2519" s="1" t="n">
        <v>45515</v>
      </c>
      <c r="C2519" s="1" t="n">
        <v>45574</v>
      </c>
      <c r="D2519" t="inlineStr">
        <is>
          <t>VÄRMLANDS LÄN</t>
        </is>
      </c>
      <c r="E2519" t="inlineStr">
        <is>
          <t>TORSBY</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32845-2024</t>
        </is>
      </c>
      <c r="B2520" s="1" t="n">
        <v>45516</v>
      </c>
      <c r="C2520" s="1" t="n">
        <v>45574</v>
      </c>
      <c r="D2520" t="inlineStr">
        <is>
          <t>VÄRMLANDS LÄN</t>
        </is>
      </c>
      <c r="E2520" t="inlineStr">
        <is>
          <t>TORSBY</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32847-2024</t>
        </is>
      </c>
      <c r="B2521" s="1" t="n">
        <v>45516</v>
      </c>
      <c r="C2521" s="1" t="n">
        <v>45574</v>
      </c>
      <c r="D2521" t="inlineStr">
        <is>
          <t>VÄRMLANDS LÄN</t>
        </is>
      </c>
      <c r="E2521" t="inlineStr">
        <is>
          <t>TORSBY</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33088-2024</t>
        </is>
      </c>
      <c r="B2522" s="1" t="n">
        <v>45517</v>
      </c>
      <c r="C2522" s="1" t="n">
        <v>45574</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33078-2024</t>
        </is>
      </c>
      <c r="B2523" s="1" t="n">
        <v>45517</v>
      </c>
      <c r="C2523" s="1" t="n">
        <v>45574</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32973-2024</t>
        </is>
      </c>
      <c r="B2524" s="1" t="n">
        <v>45517</v>
      </c>
      <c r="C2524" s="1" t="n">
        <v>45574</v>
      </c>
      <c r="D2524" t="inlineStr">
        <is>
          <t>VÄRMLANDS LÄN</t>
        </is>
      </c>
      <c r="E2524" t="inlineStr">
        <is>
          <t>TORSBY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33085-2024</t>
        </is>
      </c>
      <c r="B2525" s="1" t="n">
        <v>45517</v>
      </c>
      <c r="C2525" s="1" t="n">
        <v>45574</v>
      </c>
      <c r="D2525" t="inlineStr">
        <is>
          <t>VÄRMLANDS LÄN</t>
        </is>
      </c>
      <c r="E2525" t="inlineStr">
        <is>
          <t>TORSBY</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33073-2024</t>
        </is>
      </c>
      <c r="B2526" s="1" t="n">
        <v>45517</v>
      </c>
      <c r="C2526" s="1" t="n">
        <v>45574</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32988-2024</t>
        </is>
      </c>
      <c r="B2527" s="1" t="n">
        <v>45517</v>
      </c>
      <c r="C2527" s="1" t="n">
        <v>45574</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32932-2024</t>
        </is>
      </c>
      <c r="B2528" s="1" t="n">
        <v>45517</v>
      </c>
      <c r="C2528" s="1" t="n">
        <v>45574</v>
      </c>
      <c r="D2528" t="inlineStr">
        <is>
          <t>VÄRMLANDS LÄN</t>
        </is>
      </c>
      <c r="E2528" t="inlineStr">
        <is>
          <t>TORSBY</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32936-2024</t>
        </is>
      </c>
      <c r="B2529" s="1" t="n">
        <v>45517</v>
      </c>
      <c r="C2529" s="1" t="n">
        <v>45574</v>
      </c>
      <c r="D2529" t="inlineStr">
        <is>
          <t>VÄRMLANDS LÄN</t>
        </is>
      </c>
      <c r="E2529" t="inlineStr">
        <is>
          <t>TORSBY</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32939-2024</t>
        </is>
      </c>
      <c r="B2530" s="1" t="n">
        <v>45517</v>
      </c>
      <c r="C2530" s="1" t="n">
        <v>45574</v>
      </c>
      <c r="D2530" t="inlineStr">
        <is>
          <t>VÄRMLANDS LÄN</t>
        </is>
      </c>
      <c r="E2530" t="inlineStr">
        <is>
          <t>TORSBY</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33185-2024</t>
        </is>
      </c>
      <c r="B2531" s="1" t="n">
        <v>45518</v>
      </c>
      <c r="C2531" s="1" t="n">
        <v>45574</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33293-2024</t>
        </is>
      </c>
      <c r="B2532" s="1" t="n">
        <v>45518</v>
      </c>
      <c r="C2532" s="1" t="n">
        <v>45574</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33218-2024</t>
        </is>
      </c>
      <c r="B2533" s="1" t="n">
        <v>45518</v>
      </c>
      <c r="C2533" s="1" t="n">
        <v>45574</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33232-2024</t>
        </is>
      </c>
      <c r="B2534" s="1" t="n">
        <v>45518</v>
      </c>
      <c r="C2534" s="1" t="n">
        <v>45574</v>
      </c>
      <c r="D2534" t="inlineStr">
        <is>
          <t>VÄRMLANDS LÄN</t>
        </is>
      </c>
      <c r="E2534" t="inlineStr">
        <is>
          <t>TORSBY</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33133-2024</t>
        </is>
      </c>
      <c r="B2535" s="1" t="n">
        <v>45518</v>
      </c>
      <c r="C2535" s="1" t="n">
        <v>45574</v>
      </c>
      <c r="D2535" t="inlineStr">
        <is>
          <t>VÄRMLANDS LÄN</t>
        </is>
      </c>
      <c r="E2535" t="inlineStr">
        <is>
          <t>TORSBY</t>
        </is>
      </c>
      <c r="F2535" t="inlineStr">
        <is>
          <t>Bergvik skog väst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33227-2024</t>
        </is>
      </c>
      <c r="B2536" s="1" t="n">
        <v>45518</v>
      </c>
      <c r="C2536" s="1" t="n">
        <v>45574</v>
      </c>
      <c r="D2536" t="inlineStr">
        <is>
          <t>VÄRMLANDS LÄN</t>
        </is>
      </c>
      <c r="E2536" t="inlineStr">
        <is>
          <t>TORSBY</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33220-2024</t>
        </is>
      </c>
      <c r="B2537" s="1" t="n">
        <v>45518</v>
      </c>
      <c r="C2537" s="1" t="n">
        <v>45574</v>
      </c>
      <c r="D2537" t="inlineStr">
        <is>
          <t>VÄRMLANDS LÄN</t>
        </is>
      </c>
      <c r="E2537" t="inlineStr">
        <is>
          <t>TORSBY</t>
        </is>
      </c>
      <c r="F2537" t="inlineStr">
        <is>
          <t>Bergvik skog väst AB</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33172-2024</t>
        </is>
      </c>
      <c r="B2538" s="1" t="n">
        <v>45518</v>
      </c>
      <c r="C2538" s="1" t="n">
        <v>45574</v>
      </c>
      <c r="D2538" t="inlineStr">
        <is>
          <t>VÄRMLANDS LÄN</t>
        </is>
      </c>
      <c r="E2538" t="inlineStr">
        <is>
          <t>TORSBY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33151-2024</t>
        </is>
      </c>
      <c r="B2539" s="1" t="n">
        <v>45518</v>
      </c>
      <c r="C2539" s="1" t="n">
        <v>45574</v>
      </c>
      <c r="D2539" t="inlineStr">
        <is>
          <t>VÄRMLANDS LÄN</t>
        </is>
      </c>
      <c r="E2539" t="inlineStr">
        <is>
          <t>TORSBY</t>
        </is>
      </c>
      <c r="F2539" t="inlineStr">
        <is>
          <t>Bergvik skog väst AB</t>
        </is>
      </c>
      <c r="G2539" t="n">
        <v>28.2</v>
      </c>
      <c r="H2539" t="n">
        <v>0</v>
      </c>
      <c r="I2539" t="n">
        <v>0</v>
      </c>
      <c r="J2539" t="n">
        <v>0</v>
      </c>
      <c r="K2539" t="n">
        <v>0</v>
      </c>
      <c r="L2539" t="n">
        <v>0</v>
      </c>
      <c r="M2539" t="n">
        <v>0</v>
      </c>
      <c r="N2539" t="n">
        <v>0</v>
      </c>
      <c r="O2539" t="n">
        <v>0</v>
      </c>
      <c r="P2539" t="n">
        <v>0</v>
      </c>
      <c r="Q2539" t="n">
        <v>0</v>
      </c>
      <c r="R2539" s="2" t="inlineStr"/>
    </row>
    <row r="2540" ht="15" customHeight="1">
      <c r="A2540" t="inlineStr">
        <is>
          <t>A 33338-2024</t>
        </is>
      </c>
      <c r="B2540" s="1" t="n">
        <v>45519</v>
      </c>
      <c r="C2540" s="1" t="n">
        <v>45574</v>
      </c>
      <c r="D2540" t="inlineStr">
        <is>
          <t>VÄRMLANDS LÄN</t>
        </is>
      </c>
      <c r="E2540" t="inlineStr">
        <is>
          <t>TORSBY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33370-2024</t>
        </is>
      </c>
      <c r="B2541" s="1" t="n">
        <v>45519</v>
      </c>
      <c r="C2541" s="1" t="n">
        <v>45574</v>
      </c>
      <c r="D2541" t="inlineStr">
        <is>
          <t>VÄRMLANDS LÄN</t>
        </is>
      </c>
      <c r="E2541" t="inlineStr">
        <is>
          <t>TORSBY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33337-2024</t>
        </is>
      </c>
      <c r="B2542" s="1" t="n">
        <v>45519</v>
      </c>
      <c r="C2542" s="1" t="n">
        <v>45574</v>
      </c>
      <c r="D2542" t="inlineStr">
        <is>
          <t>VÄRMLANDS LÄN</t>
        </is>
      </c>
      <c r="E2542" t="inlineStr">
        <is>
          <t>TORSBY</t>
        </is>
      </c>
      <c r="F2542" t="inlineStr">
        <is>
          <t>Bergvik skog väst AB</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33341-2024</t>
        </is>
      </c>
      <c r="B2543" s="1" t="n">
        <v>45519</v>
      </c>
      <c r="C2543" s="1" t="n">
        <v>45574</v>
      </c>
      <c r="D2543" t="inlineStr">
        <is>
          <t>VÄRMLANDS LÄN</t>
        </is>
      </c>
      <c r="E2543" t="inlineStr">
        <is>
          <t>TORSBY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33425-2024</t>
        </is>
      </c>
      <c r="B2544" s="1" t="n">
        <v>45519</v>
      </c>
      <c r="C2544" s="1" t="n">
        <v>45574</v>
      </c>
      <c r="D2544" t="inlineStr">
        <is>
          <t>VÄRMLANDS LÄN</t>
        </is>
      </c>
      <c r="E2544" t="inlineStr">
        <is>
          <t>TORSBY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33429-2024</t>
        </is>
      </c>
      <c r="B2545" s="1" t="n">
        <v>45519</v>
      </c>
      <c r="C2545" s="1" t="n">
        <v>45574</v>
      </c>
      <c r="D2545" t="inlineStr">
        <is>
          <t>VÄRMLANDS LÄN</t>
        </is>
      </c>
      <c r="E2545" t="inlineStr">
        <is>
          <t>TORSBY</t>
        </is>
      </c>
      <c r="F2545" t="inlineStr">
        <is>
          <t>Bergvik skog väst AB</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33469-2024</t>
        </is>
      </c>
      <c r="B2546" s="1" t="n">
        <v>45519</v>
      </c>
      <c r="C2546" s="1" t="n">
        <v>45574</v>
      </c>
      <c r="D2546" t="inlineStr">
        <is>
          <t>VÄRMLANDS LÄN</t>
        </is>
      </c>
      <c r="E2546" t="inlineStr">
        <is>
          <t>TORSBY</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33546-2024</t>
        </is>
      </c>
      <c r="B2547" s="1" t="n">
        <v>45519</v>
      </c>
      <c r="C2547" s="1" t="n">
        <v>45574</v>
      </c>
      <c r="D2547" t="inlineStr">
        <is>
          <t>VÄRMLANDS LÄN</t>
        </is>
      </c>
      <c r="E2547" t="inlineStr">
        <is>
          <t>TORSBY</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33418-2024</t>
        </is>
      </c>
      <c r="B2548" s="1" t="n">
        <v>45519</v>
      </c>
      <c r="C2548" s="1" t="n">
        <v>45574</v>
      </c>
      <c r="D2548" t="inlineStr">
        <is>
          <t>VÄRMLANDS LÄN</t>
        </is>
      </c>
      <c r="E2548" t="inlineStr">
        <is>
          <t>TORSBY</t>
        </is>
      </c>
      <c r="F2548" t="inlineStr">
        <is>
          <t>Bergvik skog väst AB</t>
        </is>
      </c>
      <c r="G2548" t="n">
        <v>27.6</v>
      </c>
      <c r="H2548" t="n">
        <v>0</v>
      </c>
      <c r="I2548" t="n">
        <v>0</v>
      </c>
      <c r="J2548" t="n">
        <v>0</v>
      </c>
      <c r="K2548" t="n">
        <v>0</v>
      </c>
      <c r="L2548" t="n">
        <v>0</v>
      </c>
      <c r="M2548" t="n">
        <v>0</v>
      </c>
      <c r="N2548" t="n">
        <v>0</v>
      </c>
      <c r="O2548" t="n">
        <v>0</v>
      </c>
      <c r="P2548" t="n">
        <v>0</v>
      </c>
      <c r="Q2548" t="n">
        <v>0</v>
      </c>
      <c r="R2548" s="2" t="inlineStr"/>
    </row>
    <row r="2549" ht="15" customHeight="1">
      <c r="A2549" t="inlineStr">
        <is>
          <t>A 33511-2024</t>
        </is>
      </c>
      <c r="B2549" s="1" t="n">
        <v>45519</v>
      </c>
      <c r="C2549" s="1" t="n">
        <v>45574</v>
      </c>
      <c r="D2549" t="inlineStr">
        <is>
          <t>VÄRMLANDS LÄN</t>
        </is>
      </c>
      <c r="E2549" t="inlineStr">
        <is>
          <t>TORSBY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33547-2024</t>
        </is>
      </c>
      <c r="B2550" s="1" t="n">
        <v>45519</v>
      </c>
      <c r="C2550" s="1" t="n">
        <v>45574</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33495-2024</t>
        </is>
      </c>
      <c r="B2551" s="1" t="n">
        <v>45519</v>
      </c>
      <c r="C2551" s="1" t="n">
        <v>45574</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33499-2024</t>
        </is>
      </c>
      <c r="B2552" s="1" t="n">
        <v>45519</v>
      </c>
      <c r="C2552" s="1" t="n">
        <v>45574</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33548-2024</t>
        </is>
      </c>
      <c r="B2553" s="1" t="n">
        <v>45519</v>
      </c>
      <c r="C2553" s="1" t="n">
        <v>45574</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33367-2024</t>
        </is>
      </c>
      <c r="B2554" s="1" t="n">
        <v>45519</v>
      </c>
      <c r="C2554" s="1" t="n">
        <v>45574</v>
      </c>
      <c r="D2554" t="inlineStr">
        <is>
          <t>VÄRMLANDS LÄN</t>
        </is>
      </c>
      <c r="E2554" t="inlineStr">
        <is>
          <t>TORSBY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33371-2024</t>
        </is>
      </c>
      <c r="B2555" s="1" t="n">
        <v>45519</v>
      </c>
      <c r="C2555" s="1" t="n">
        <v>45574</v>
      </c>
      <c r="D2555" t="inlineStr">
        <is>
          <t>VÄRMLANDS LÄN</t>
        </is>
      </c>
      <c r="E2555" t="inlineStr">
        <is>
          <t>TORSBY</t>
        </is>
      </c>
      <c r="F2555" t="inlineStr">
        <is>
          <t>Bergvik skog väst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33521-2024</t>
        </is>
      </c>
      <c r="B2556" s="1" t="n">
        <v>45519</v>
      </c>
      <c r="C2556" s="1" t="n">
        <v>45574</v>
      </c>
      <c r="D2556" t="inlineStr">
        <is>
          <t>VÄRMLANDS LÄN</t>
        </is>
      </c>
      <c r="E2556" t="inlineStr">
        <is>
          <t>TORSBY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33620-2024</t>
        </is>
      </c>
      <c r="B2557" s="1" t="n">
        <v>45520</v>
      </c>
      <c r="C2557" s="1" t="n">
        <v>45574</v>
      </c>
      <c r="D2557" t="inlineStr">
        <is>
          <t>VÄRMLANDS LÄN</t>
        </is>
      </c>
      <c r="E2557" t="inlineStr">
        <is>
          <t>TORSBY</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33649-2024</t>
        </is>
      </c>
      <c r="B2558" s="1" t="n">
        <v>45520</v>
      </c>
      <c r="C2558" s="1" t="n">
        <v>45574</v>
      </c>
      <c r="D2558" t="inlineStr">
        <is>
          <t>VÄRMLANDS LÄN</t>
        </is>
      </c>
      <c r="E2558" t="inlineStr">
        <is>
          <t>TORSBY</t>
        </is>
      </c>
      <c r="F2558" t="inlineStr">
        <is>
          <t>Bergvik skog väst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33769-2024</t>
        </is>
      </c>
      <c r="B2559" s="1" t="n">
        <v>45520</v>
      </c>
      <c r="C2559" s="1" t="n">
        <v>45574</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33862-2024</t>
        </is>
      </c>
      <c r="B2560" s="1" t="n">
        <v>45520</v>
      </c>
      <c r="C2560" s="1" t="n">
        <v>45574</v>
      </c>
      <c r="D2560" t="inlineStr">
        <is>
          <t>VÄRMLANDS LÄN</t>
        </is>
      </c>
      <c r="E2560" t="inlineStr">
        <is>
          <t>TORSBY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33791-2024</t>
        </is>
      </c>
      <c r="B2561" s="1" t="n">
        <v>45520</v>
      </c>
      <c r="C2561" s="1" t="n">
        <v>45574</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33964-2024</t>
        </is>
      </c>
      <c r="B2562" s="1" t="n">
        <v>45523</v>
      </c>
      <c r="C2562" s="1" t="n">
        <v>45574</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34034-2024</t>
        </is>
      </c>
      <c r="B2563" s="1" t="n">
        <v>45523</v>
      </c>
      <c r="C2563" s="1" t="n">
        <v>45574</v>
      </c>
      <c r="D2563" t="inlineStr">
        <is>
          <t>VÄRMLANDS LÄN</t>
        </is>
      </c>
      <c r="E2563" t="inlineStr">
        <is>
          <t>TORSBY</t>
        </is>
      </c>
      <c r="F2563" t="inlineStr">
        <is>
          <t>Bergvik skog väst AB</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34031-2024</t>
        </is>
      </c>
      <c r="B2564" s="1" t="n">
        <v>45523</v>
      </c>
      <c r="C2564" s="1" t="n">
        <v>45574</v>
      </c>
      <c r="D2564" t="inlineStr">
        <is>
          <t>VÄRMLANDS LÄN</t>
        </is>
      </c>
      <c r="E2564" t="inlineStr">
        <is>
          <t>TORSBY</t>
        </is>
      </c>
      <c r="F2564" t="inlineStr">
        <is>
          <t>Bergvik skog väst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34081-2024</t>
        </is>
      </c>
      <c r="B2565" s="1" t="n">
        <v>45523</v>
      </c>
      <c r="C2565" s="1" t="n">
        <v>45574</v>
      </c>
      <c r="D2565" t="inlineStr">
        <is>
          <t>VÄRMLANDS LÄN</t>
        </is>
      </c>
      <c r="E2565" t="inlineStr">
        <is>
          <t>TORSBY</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34093-2024</t>
        </is>
      </c>
      <c r="B2566" s="1" t="n">
        <v>45523</v>
      </c>
      <c r="C2566" s="1" t="n">
        <v>45574</v>
      </c>
      <c r="D2566" t="inlineStr">
        <is>
          <t>VÄRMLANDS LÄN</t>
        </is>
      </c>
      <c r="E2566" t="inlineStr">
        <is>
          <t>TORSBY</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34207-2024</t>
        </is>
      </c>
      <c r="B2567" s="1" t="n">
        <v>45524</v>
      </c>
      <c r="C2567" s="1" t="n">
        <v>45574</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34219-2024</t>
        </is>
      </c>
      <c r="B2568" s="1" t="n">
        <v>45524</v>
      </c>
      <c r="C2568" s="1" t="n">
        <v>45574</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34164-2024</t>
        </is>
      </c>
      <c r="B2569" s="1" t="n">
        <v>45524</v>
      </c>
      <c r="C2569" s="1" t="n">
        <v>45574</v>
      </c>
      <c r="D2569" t="inlineStr">
        <is>
          <t>VÄRMLANDS LÄN</t>
        </is>
      </c>
      <c r="E2569" t="inlineStr">
        <is>
          <t>TORSBY</t>
        </is>
      </c>
      <c r="F2569" t="inlineStr">
        <is>
          <t>Bergvik skog väst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34226-2024</t>
        </is>
      </c>
      <c r="B2570" s="1" t="n">
        <v>45524</v>
      </c>
      <c r="C2570" s="1" t="n">
        <v>45574</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34206-2024</t>
        </is>
      </c>
      <c r="B2571" s="1" t="n">
        <v>45524</v>
      </c>
      <c r="C2571" s="1" t="n">
        <v>45574</v>
      </c>
      <c r="D2571" t="inlineStr">
        <is>
          <t>VÄRMLANDS LÄN</t>
        </is>
      </c>
      <c r="E2571" t="inlineStr">
        <is>
          <t>TORSBY</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34236-2024</t>
        </is>
      </c>
      <c r="B2572" s="1" t="n">
        <v>45524</v>
      </c>
      <c r="C2572" s="1" t="n">
        <v>45574</v>
      </c>
      <c r="D2572" t="inlineStr">
        <is>
          <t>VÄRMLANDS LÄN</t>
        </is>
      </c>
      <c r="E2572" t="inlineStr">
        <is>
          <t>TORSBY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34256-2024</t>
        </is>
      </c>
      <c r="B2573" s="1" t="n">
        <v>45524</v>
      </c>
      <c r="C2573" s="1" t="n">
        <v>45574</v>
      </c>
      <c r="D2573" t="inlineStr">
        <is>
          <t>VÄRMLANDS LÄN</t>
        </is>
      </c>
      <c r="E2573" t="inlineStr">
        <is>
          <t>TORSBY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34281-2024</t>
        </is>
      </c>
      <c r="B2574" s="1" t="n">
        <v>45524</v>
      </c>
      <c r="C2574" s="1" t="n">
        <v>45574</v>
      </c>
      <c r="D2574" t="inlineStr">
        <is>
          <t>VÄRMLANDS LÄN</t>
        </is>
      </c>
      <c r="E2574" t="inlineStr">
        <is>
          <t>TORSBY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34304-2024</t>
        </is>
      </c>
      <c r="B2575" s="1" t="n">
        <v>45524</v>
      </c>
      <c r="C2575" s="1" t="n">
        <v>45574</v>
      </c>
      <c r="D2575" t="inlineStr">
        <is>
          <t>VÄRMLANDS LÄN</t>
        </is>
      </c>
      <c r="E2575" t="inlineStr">
        <is>
          <t>TORSBY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34500-2024</t>
        </is>
      </c>
      <c r="B2576" s="1" t="n">
        <v>45525</v>
      </c>
      <c r="C2576" s="1" t="n">
        <v>45574</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34534-2024</t>
        </is>
      </c>
      <c r="B2577" s="1" t="n">
        <v>45525</v>
      </c>
      <c r="C2577" s="1" t="n">
        <v>45574</v>
      </c>
      <c r="D2577" t="inlineStr">
        <is>
          <t>VÄRMLANDS LÄN</t>
        </is>
      </c>
      <c r="E2577" t="inlineStr">
        <is>
          <t>TORSBY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34528-2024</t>
        </is>
      </c>
      <c r="B2578" s="1" t="n">
        <v>45525</v>
      </c>
      <c r="C2578" s="1" t="n">
        <v>45574</v>
      </c>
      <c r="D2578" t="inlineStr">
        <is>
          <t>VÄRMLANDS LÄN</t>
        </is>
      </c>
      <c r="E2578" t="inlineStr">
        <is>
          <t>TORSBY</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34554-2024</t>
        </is>
      </c>
      <c r="B2579" s="1" t="n">
        <v>45525</v>
      </c>
      <c r="C2579" s="1" t="n">
        <v>45574</v>
      </c>
      <c r="D2579" t="inlineStr">
        <is>
          <t>VÄRMLANDS LÄN</t>
        </is>
      </c>
      <c r="E2579" t="inlineStr">
        <is>
          <t>TORSBY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34472-2024</t>
        </is>
      </c>
      <c r="B2580" s="1" t="n">
        <v>45525</v>
      </c>
      <c r="C2580" s="1" t="n">
        <v>45574</v>
      </c>
      <c r="D2580" t="inlineStr">
        <is>
          <t>VÄRMLANDS LÄN</t>
        </is>
      </c>
      <c r="E2580" t="inlineStr">
        <is>
          <t>TORSBY</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34549-2024</t>
        </is>
      </c>
      <c r="B2581" s="1" t="n">
        <v>45525</v>
      </c>
      <c r="C2581" s="1" t="n">
        <v>45574</v>
      </c>
      <c r="D2581" t="inlineStr">
        <is>
          <t>VÄRMLANDS LÄN</t>
        </is>
      </c>
      <c r="E2581" t="inlineStr">
        <is>
          <t>TORSBY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34551-2024</t>
        </is>
      </c>
      <c r="B2582" s="1" t="n">
        <v>45525</v>
      </c>
      <c r="C2582" s="1" t="n">
        <v>45574</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34680-2024</t>
        </is>
      </c>
      <c r="B2583" s="1" t="n">
        <v>45526</v>
      </c>
      <c r="C2583" s="1" t="n">
        <v>45574</v>
      </c>
      <c r="D2583" t="inlineStr">
        <is>
          <t>VÄRMLANDS LÄN</t>
        </is>
      </c>
      <c r="E2583" t="inlineStr">
        <is>
          <t>TORSBY</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34568-2024</t>
        </is>
      </c>
      <c r="B2584" s="1" t="n">
        <v>45526</v>
      </c>
      <c r="C2584" s="1" t="n">
        <v>45574</v>
      </c>
      <c r="D2584" t="inlineStr">
        <is>
          <t>VÄRMLANDS LÄN</t>
        </is>
      </c>
      <c r="E2584" t="inlineStr">
        <is>
          <t>TORSBY</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34573-2024</t>
        </is>
      </c>
      <c r="B2585" s="1" t="n">
        <v>45526</v>
      </c>
      <c r="C2585" s="1" t="n">
        <v>45574</v>
      </c>
      <c r="D2585" t="inlineStr">
        <is>
          <t>VÄRMLANDS LÄN</t>
        </is>
      </c>
      <c r="E2585" t="inlineStr">
        <is>
          <t>TORSBY</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34697-2024</t>
        </is>
      </c>
      <c r="B2586" s="1" t="n">
        <v>45526</v>
      </c>
      <c r="C2586" s="1" t="n">
        <v>45574</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34717-2024</t>
        </is>
      </c>
      <c r="B2587" s="1" t="n">
        <v>45526</v>
      </c>
      <c r="C2587" s="1" t="n">
        <v>45574</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34824-2024</t>
        </is>
      </c>
      <c r="B2588" s="1" t="n">
        <v>45526</v>
      </c>
      <c r="C2588" s="1" t="n">
        <v>45574</v>
      </c>
      <c r="D2588" t="inlineStr">
        <is>
          <t>VÄRMLANDS LÄN</t>
        </is>
      </c>
      <c r="E2588" t="inlineStr">
        <is>
          <t>TORSBY</t>
        </is>
      </c>
      <c r="F2588" t="inlineStr">
        <is>
          <t>Bergvik skog väst AB</t>
        </is>
      </c>
      <c r="G2588" t="n">
        <v>27.5</v>
      </c>
      <c r="H2588" t="n">
        <v>0</v>
      </c>
      <c r="I2588" t="n">
        <v>0</v>
      </c>
      <c r="J2588" t="n">
        <v>0</v>
      </c>
      <c r="K2588" t="n">
        <v>0</v>
      </c>
      <c r="L2588" t="n">
        <v>0</v>
      </c>
      <c r="M2588" t="n">
        <v>0</v>
      </c>
      <c r="N2588" t="n">
        <v>0</v>
      </c>
      <c r="O2588" t="n">
        <v>0</v>
      </c>
      <c r="P2588" t="n">
        <v>0</v>
      </c>
      <c r="Q2588" t="n">
        <v>0</v>
      </c>
      <c r="R2588" s="2" t="inlineStr"/>
    </row>
    <row r="2589" ht="15" customHeight="1">
      <c r="A2589" t="inlineStr">
        <is>
          <t>A 34686-2024</t>
        </is>
      </c>
      <c r="B2589" s="1" t="n">
        <v>45526</v>
      </c>
      <c r="C2589" s="1" t="n">
        <v>45574</v>
      </c>
      <c r="D2589" t="inlineStr">
        <is>
          <t>VÄRMLANDS LÄN</t>
        </is>
      </c>
      <c r="E2589" t="inlineStr">
        <is>
          <t>TORSBY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35019-2024</t>
        </is>
      </c>
      <c r="B2590" s="1" t="n">
        <v>45527</v>
      </c>
      <c r="C2590" s="1" t="n">
        <v>45574</v>
      </c>
      <c r="D2590" t="inlineStr">
        <is>
          <t>VÄRMLANDS LÄN</t>
        </is>
      </c>
      <c r="E2590" t="inlineStr">
        <is>
          <t>TORSBY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35075-2024</t>
        </is>
      </c>
      <c r="B2591" s="1" t="n">
        <v>45527</v>
      </c>
      <c r="C2591" s="1" t="n">
        <v>45574</v>
      </c>
      <c r="D2591" t="inlineStr">
        <is>
          <t>VÄRMLANDS LÄN</t>
        </is>
      </c>
      <c r="E2591" t="inlineStr">
        <is>
          <t>TORSBY</t>
        </is>
      </c>
      <c r="F2591" t="inlineStr">
        <is>
          <t>Bergvik skog väst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34970-2024</t>
        </is>
      </c>
      <c r="B2592" s="1" t="n">
        <v>45527</v>
      </c>
      <c r="C2592" s="1" t="n">
        <v>45574</v>
      </c>
      <c r="D2592" t="inlineStr">
        <is>
          <t>VÄRMLANDS LÄN</t>
        </is>
      </c>
      <c r="E2592" t="inlineStr">
        <is>
          <t>TORSBY</t>
        </is>
      </c>
      <c r="F2592" t="inlineStr">
        <is>
          <t>Bergvik skog väst AB</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34966-2024</t>
        </is>
      </c>
      <c r="B2593" s="1" t="n">
        <v>45527</v>
      </c>
      <c r="C2593" s="1" t="n">
        <v>45574</v>
      </c>
      <c r="D2593" t="inlineStr">
        <is>
          <t>VÄRMLANDS LÄN</t>
        </is>
      </c>
      <c r="E2593" t="inlineStr">
        <is>
          <t>TORSBY</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34958-2024</t>
        </is>
      </c>
      <c r="B2594" s="1" t="n">
        <v>45527</v>
      </c>
      <c r="C2594" s="1" t="n">
        <v>45574</v>
      </c>
      <c r="D2594" t="inlineStr">
        <is>
          <t>VÄRMLANDS LÄN</t>
        </is>
      </c>
      <c r="E2594" t="inlineStr">
        <is>
          <t>TORSBY</t>
        </is>
      </c>
      <c r="F2594" t="inlineStr">
        <is>
          <t>Bergvik skog väst AB</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34946-2024</t>
        </is>
      </c>
      <c r="B2595" s="1" t="n">
        <v>45527</v>
      </c>
      <c r="C2595" s="1" t="n">
        <v>45574</v>
      </c>
      <c r="D2595" t="inlineStr">
        <is>
          <t>VÄRMLANDS LÄN</t>
        </is>
      </c>
      <c r="E2595" t="inlineStr">
        <is>
          <t>TORSBY</t>
        </is>
      </c>
      <c r="F2595" t="inlineStr">
        <is>
          <t>Bergvik skog väst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34906-2024</t>
        </is>
      </c>
      <c r="B2596" s="1" t="n">
        <v>45527</v>
      </c>
      <c r="C2596" s="1" t="n">
        <v>45574</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35066-2024</t>
        </is>
      </c>
      <c r="B2597" s="1" t="n">
        <v>45527</v>
      </c>
      <c r="C2597" s="1" t="n">
        <v>45574</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34961-2024</t>
        </is>
      </c>
      <c r="B2598" s="1" t="n">
        <v>45527</v>
      </c>
      <c r="C2598" s="1" t="n">
        <v>45574</v>
      </c>
      <c r="D2598" t="inlineStr">
        <is>
          <t>VÄRMLANDS LÄN</t>
        </is>
      </c>
      <c r="E2598" t="inlineStr">
        <is>
          <t>TORSBY</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34921-2024</t>
        </is>
      </c>
      <c r="B2599" s="1" t="n">
        <v>45527</v>
      </c>
      <c r="C2599" s="1" t="n">
        <v>45574</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34968-2024</t>
        </is>
      </c>
      <c r="B2600" s="1" t="n">
        <v>45527</v>
      </c>
      <c r="C2600" s="1" t="n">
        <v>45574</v>
      </c>
      <c r="D2600" t="inlineStr">
        <is>
          <t>VÄRMLANDS LÄN</t>
        </is>
      </c>
      <c r="E2600" t="inlineStr">
        <is>
          <t>TORSBY</t>
        </is>
      </c>
      <c r="F2600" t="inlineStr">
        <is>
          <t>Bergvik skog väst AB</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34939-2024</t>
        </is>
      </c>
      <c r="B2601" s="1" t="n">
        <v>45527</v>
      </c>
      <c r="C2601" s="1" t="n">
        <v>45574</v>
      </c>
      <c r="D2601" t="inlineStr">
        <is>
          <t>VÄRMLANDS LÄN</t>
        </is>
      </c>
      <c r="E2601" t="inlineStr">
        <is>
          <t>TORSBY</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35107-2024</t>
        </is>
      </c>
      <c r="B2602" s="1" t="n">
        <v>45529</v>
      </c>
      <c r="C2602" s="1" t="n">
        <v>45574</v>
      </c>
      <c r="D2602" t="inlineStr">
        <is>
          <t>VÄRMLANDS LÄN</t>
        </is>
      </c>
      <c r="E2602" t="inlineStr">
        <is>
          <t>TORSBY</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35524-2024</t>
        </is>
      </c>
      <c r="B2603" s="1" t="n">
        <v>45531</v>
      </c>
      <c r="C2603" s="1" t="n">
        <v>45574</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35493-2024</t>
        </is>
      </c>
      <c r="B2604" s="1" t="n">
        <v>45531</v>
      </c>
      <c r="C2604" s="1" t="n">
        <v>45574</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35497-2024</t>
        </is>
      </c>
      <c r="B2605" s="1" t="n">
        <v>45531</v>
      </c>
      <c r="C2605" s="1" t="n">
        <v>45574</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35609-2024</t>
        </is>
      </c>
      <c r="B2606" s="1" t="n">
        <v>45531</v>
      </c>
      <c r="C2606" s="1" t="n">
        <v>45574</v>
      </c>
      <c r="D2606" t="inlineStr">
        <is>
          <t>VÄRMLANDS LÄN</t>
        </is>
      </c>
      <c r="E2606" t="inlineStr">
        <is>
          <t>TORSBY</t>
        </is>
      </c>
      <c r="G2606" t="n">
        <v>38.3</v>
      </c>
      <c r="H2606" t="n">
        <v>0</v>
      </c>
      <c r="I2606" t="n">
        <v>0</v>
      </c>
      <c r="J2606" t="n">
        <v>0</v>
      </c>
      <c r="K2606" t="n">
        <v>0</v>
      </c>
      <c r="L2606" t="n">
        <v>0</v>
      </c>
      <c r="M2606" t="n">
        <v>0</v>
      </c>
      <c r="N2606" t="n">
        <v>0</v>
      </c>
      <c r="O2606" t="n">
        <v>0</v>
      </c>
      <c r="P2606" t="n">
        <v>0</v>
      </c>
      <c r="Q2606" t="n">
        <v>0</v>
      </c>
      <c r="R2606" s="2" t="inlineStr"/>
    </row>
    <row r="2607" ht="15" customHeight="1">
      <c r="A2607" t="inlineStr">
        <is>
          <t>A 35632-2024</t>
        </is>
      </c>
      <c r="B2607" s="1" t="n">
        <v>45531</v>
      </c>
      <c r="C2607" s="1" t="n">
        <v>45574</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35762-2024</t>
        </is>
      </c>
      <c r="B2608" s="1" t="n">
        <v>45532</v>
      </c>
      <c r="C2608" s="1" t="n">
        <v>45574</v>
      </c>
      <c r="D2608" t="inlineStr">
        <is>
          <t>VÄRMLANDS LÄN</t>
        </is>
      </c>
      <c r="E2608" t="inlineStr">
        <is>
          <t>TORSBY</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35774-2024</t>
        </is>
      </c>
      <c r="B2609" s="1" t="n">
        <v>45532</v>
      </c>
      <c r="C2609" s="1" t="n">
        <v>45574</v>
      </c>
      <c r="D2609" t="inlineStr">
        <is>
          <t>VÄRMLANDS LÄN</t>
        </is>
      </c>
      <c r="E2609" t="inlineStr">
        <is>
          <t>TORSBY</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35787-2024</t>
        </is>
      </c>
      <c r="B2610" s="1" t="n">
        <v>45532</v>
      </c>
      <c r="C2610" s="1" t="n">
        <v>45574</v>
      </c>
      <c r="D2610" t="inlineStr">
        <is>
          <t>VÄRMLANDS LÄN</t>
        </is>
      </c>
      <c r="E2610" t="inlineStr">
        <is>
          <t>TORSBY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35769-2024</t>
        </is>
      </c>
      <c r="B2611" s="1" t="n">
        <v>45532</v>
      </c>
      <c r="C2611" s="1" t="n">
        <v>45574</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35777-2024</t>
        </is>
      </c>
      <c r="B2612" s="1" t="n">
        <v>45532</v>
      </c>
      <c r="C2612" s="1" t="n">
        <v>45574</v>
      </c>
      <c r="D2612" t="inlineStr">
        <is>
          <t>VÄRMLANDS LÄN</t>
        </is>
      </c>
      <c r="E2612" t="inlineStr">
        <is>
          <t>TORSBY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35967-2024</t>
        </is>
      </c>
      <c r="B2613" s="1" t="n">
        <v>45533</v>
      </c>
      <c r="C2613" s="1" t="n">
        <v>45574</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36057-2024</t>
        </is>
      </c>
      <c r="B2614" s="1" t="n">
        <v>45533</v>
      </c>
      <c r="C2614" s="1" t="n">
        <v>45574</v>
      </c>
      <c r="D2614" t="inlineStr">
        <is>
          <t>VÄRMLANDS LÄN</t>
        </is>
      </c>
      <c r="E2614" t="inlineStr">
        <is>
          <t>TORSBY</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36153-2024</t>
        </is>
      </c>
      <c r="B2615" s="1" t="n">
        <v>45534</v>
      </c>
      <c r="C2615" s="1" t="n">
        <v>45574</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36175-2024</t>
        </is>
      </c>
      <c r="B2616" s="1" t="n">
        <v>45534</v>
      </c>
      <c r="C2616" s="1" t="n">
        <v>45574</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36184-2024</t>
        </is>
      </c>
      <c r="B2617" s="1" t="n">
        <v>45534</v>
      </c>
      <c r="C2617" s="1" t="n">
        <v>45574</v>
      </c>
      <c r="D2617" t="inlineStr">
        <is>
          <t>VÄRMLANDS LÄN</t>
        </is>
      </c>
      <c r="E2617" t="inlineStr">
        <is>
          <t>TORSBY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36419-2024</t>
        </is>
      </c>
      <c r="B2618" s="1" t="n">
        <v>45536</v>
      </c>
      <c r="C2618" s="1" t="n">
        <v>45574</v>
      </c>
      <c r="D2618" t="inlineStr">
        <is>
          <t>VÄRMLANDS LÄN</t>
        </is>
      </c>
      <c r="E2618" t="inlineStr">
        <is>
          <t>TORSBY</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36558-2024</t>
        </is>
      </c>
      <c r="B2619" s="1" t="n">
        <v>45537</v>
      </c>
      <c r="C2619" s="1" t="n">
        <v>45574</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36578-2024</t>
        </is>
      </c>
      <c r="B2620" s="1" t="n">
        <v>45537</v>
      </c>
      <c r="C2620" s="1" t="n">
        <v>45574</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36540-2024</t>
        </is>
      </c>
      <c r="B2621" s="1" t="n">
        <v>45537</v>
      </c>
      <c r="C2621" s="1" t="n">
        <v>45574</v>
      </c>
      <c r="D2621" t="inlineStr">
        <is>
          <t>VÄRMLANDS LÄN</t>
        </is>
      </c>
      <c r="E2621" t="inlineStr">
        <is>
          <t>TORSBY</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36445-2024</t>
        </is>
      </c>
      <c r="B2622" s="1" t="n">
        <v>45537</v>
      </c>
      <c r="C2622" s="1" t="n">
        <v>45574</v>
      </c>
      <c r="D2622" t="inlineStr">
        <is>
          <t>VÄRMLANDS LÄN</t>
        </is>
      </c>
      <c r="E2622" t="inlineStr">
        <is>
          <t>TORSBY</t>
        </is>
      </c>
      <c r="F2622" t="inlineStr">
        <is>
          <t>Bergvik skog väst AB</t>
        </is>
      </c>
      <c r="G2622" t="n">
        <v>78.3</v>
      </c>
      <c r="H2622" t="n">
        <v>0</v>
      </c>
      <c r="I2622" t="n">
        <v>0</v>
      </c>
      <c r="J2622" t="n">
        <v>0</v>
      </c>
      <c r="K2622" t="n">
        <v>0</v>
      </c>
      <c r="L2622" t="n">
        <v>0</v>
      </c>
      <c r="M2622" t="n">
        <v>0</v>
      </c>
      <c r="N2622" t="n">
        <v>0</v>
      </c>
      <c r="O2622" t="n">
        <v>0</v>
      </c>
      <c r="P2622" t="n">
        <v>0</v>
      </c>
      <c r="Q2622" t="n">
        <v>0</v>
      </c>
      <c r="R2622" s="2" t="inlineStr"/>
    </row>
    <row r="2623" ht="15" customHeight="1">
      <c r="A2623" t="inlineStr">
        <is>
          <t>A 36718-2024</t>
        </is>
      </c>
      <c r="B2623" s="1" t="n">
        <v>45537</v>
      </c>
      <c r="C2623" s="1" t="n">
        <v>45574</v>
      </c>
      <c r="D2623" t="inlineStr">
        <is>
          <t>VÄRMLANDS LÄN</t>
        </is>
      </c>
      <c r="E2623" t="inlineStr">
        <is>
          <t>TORSBY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36765-2024</t>
        </is>
      </c>
      <c r="B2624" s="1" t="n">
        <v>45538</v>
      </c>
      <c r="C2624" s="1" t="n">
        <v>45574</v>
      </c>
      <c r="D2624" t="inlineStr">
        <is>
          <t>VÄRMLANDS LÄN</t>
        </is>
      </c>
      <c r="E2624" t="inlineStr">
        <is>
          <t>TORSBY</t>
        </is>
      </c>
      <c r="F2624" t="inlineStr">
        <is>
          <t>Bergvik skog väst AB</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36758-2024</t>
        </is>
      </c>
      <c r="B2625" s="1" t="n">
        <v>45538</v>
      </c>
      <c r="C2625" s="1" t="n">
        <v>45574</v>
      </c>
      <c r="D2625" t="inlineStr">
        <is>
          <t>VÄRMLANDS LÄN</t>
        </is>
      </c>
      <c r="E2625" t="inlineStr">
        <is>
          <t>TORSBY</t>
        </is>
      </c>
      <c r="F2625" t="inlineStr">
        <is>
          <t>Kyrkan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36782-2024</t>
        </is>
      </c>
      <c r="B2626" s="1" t="n">
        <v>45538</v>
      </c>
      <c r="C2626" s="1" t="n">
        <v>45574</v>
      </c>
      <c r="D2626" t="inlineStr">
        <is>
          <t>VÄRMLANDS LÄN</t>
        </is>
      </c>
      <c r="E2626" t="inlineStr">
        <is>
          <t>TORSBY</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36790-2024</t>
        </is>
      </c>
      <c r="B2627" s="1" t="n">
        <v>45538</v>
      </c>
      <c r="C2627" s="1" t="n">
        <v>45574</v>
      </c>
      <c r="D2627" t="inlineStr">
        <is>
          <t>VÄRMLANDS LÄN</t>
        </is>
      </c>
      <c r="E2627" t="inlineStr">
        <is>
          <t>TORSBY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36775-2024</t>
        </is>
      </c>
      <c r="B2628" s="1" t="n">
        <v>45538</v>
      </c>
      <c r="C2628" s="1" t="n">
        <v>45574</v>
      </c>
      <c r="D2628" t="inlineStr">
        <is>
          <t>VÄRMLANDS LÄN</t>
        </is>
      </c>
      <c r="E2628" t="inlineStr">
        <is>
          <t>TORSBY</t>
        </is>
      </c>
      <c r="F2628" t="inlineStr">
        <is>
          <t>Kyrkan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36850-2024</t>
        </is>
      </c>
      <c r="B2629" s="1" t="n">
        <v>45538</v>
      </c>
      <c r="C2629" s="1" t="n">
        <v>45574</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36879-2024</t>
        </is>
      </c>
      <c r="B2630" s="1" t="n">
        <v>45538</v>
      </c>
      <c r="C2630" s="1" t="n">
        <v>45574</v>
      </c>
      <c r="D2630" t="inlineStr">
        <is>
          <t>VÄRMLANDS LÄN</t>
        </is>
      </c>
      <c r="E2630" t="inlineStr">
        <is>
          <t>TORSBY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36922-2024</t>
        </is>
      </c>
      <c r="B2631" s="1" t="n">
        <v>45538</v>
      </c>
      <c r="C2631" s="1" t="n">
        <v>45574</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36939-2024</t>
        </is>
      </c>
      <c r="B2632" s="1" t="n">
        <v>45538</v>
      </c>
      <c r="C2632" s="1" t="n">
        <v>45574</v>
      </c>
      <c r="D2632" t="inlineStr">
        <is>
          <t>VÄRMLANDS LÄN</t>
        </is>
      </c>
      <c r="E2632" t="inlineStr">
        <is>
          <t>TORSBY</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36917-2024</t>
        </is>
      </c>
      <c r="B2633" s="1" t="n">
        <v>45538</v>
      </c>
      <c r="C2633" s="1" t="n">
        <v>45574</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36964-2024</t>
        </is>
      </c>
      <c r="B2634" s="1" t="n">
        <v>45538</v>
      </c>
      <c r="C2634" s="1" t="n">
        <v>45574</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37153-2024</t>
        </is>
      </c>
      <c r="B2635" s="1" t="n">
        <v>45539</v>
      </c>
      <c r="C2635" s="1" t="n">
        <v>45574</v>
      </c>
      <c r="D2635" t="inlineStr">
        <is>
          <t>VÄRMLANDS LÄN</t>
        </is>
      </c>
      <c r="E2635" t="inlineStr">
        <is>
          <t>TORSBY</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37194-2024</t>
        </is>
      </c>
      <c r="B2636" s="1" t="n">
        <v>45539</v>
      </c>
      <c r="C2636" s="1" t="n">
        <v>45574</v>
      </c>
      <c r="D2636" t="inlineStr">
        <is>
          <t>VÄRMLANDS LÄN</t>
        </is>
      </c>
      <c r="E2636" t="inlineStr">
        <is>
          <t>TORSBY</t>
        </is>
      </c>
      <c r="F2636" t="inlineStr">
        <is>
          <t>Bergvik skog väst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37238-2024</t>
        </is>
      </c>
      <c r="B2637" s="1" t="n">
        <v>45540</v>
      </c>
      <c r="C2637" s="1" t="n">
        <v>45574</v>
      </c>
      <c r="D2637" t="inlineStr">
        <is>
          <t>VÄRMLANDS LÄN</t>
        </is>
      </c>
      <c r="E2637" t="inlineStr">
        <is>
          <t>TORSBY</t>
        </is>
      </c>
      <c r="F2637" t="inlineStr">
        <is>
          <t>Bergvik skog väst AB</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37292-2024</t>
        </is>
      </c>
      <c r="B2638" s="1" t="n">
        <v>45540</v>
      </c>
      <c r="C2638" s="1" t="n">
        <v>45574</v>
      </c>
      <c r="D2638" t="inlineStr">
        <is>
          <t>VÄRMLANDS LÄN</t>
        </is>
      </c>
      <c r="E2638" t="inlineStr">
        <is>
          <t>TORSBY</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37477-2024</t>
        </is>
      </c>
      <c r="B2639" s="1" t="n">
        <v>45541</v>
      </c>
      <c r="C2639" s="1" t="n">
        <v>45574</v>
      </c>
      <c r="D2639" t="inlineStr">
        <is>
          <t>VÄRMLANDS LÄN</t>
        </is>
      </c>
      <c r="E2639" t="inlineStr">
        <is>
          <t>TORSBY</t>
        </is>
      </c>
      <c r="F2639" t="inlineStr">
        <is>
          <t>Bergvik skog väst AB</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37580-2024</t>
        </is>
      </c>
      <c r="B2640" s="1" t="n">
        <v>45541</v>
      </c>
      <c r="C2640" s="1" t="n">
        <v>45574</v>
      </c>
      <c r="D2640" t="inlineStr">
        <is>
          <t>VÄRMLANDS LÄN</t>
        </is>
      </c>
      <c r="E2640" t="inlineStr">
        <is>
          <t>TORSBY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45574</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37533-2024</t>
        </is>
      </c>
      <c r="B2642" s="1" t="n">
        <v>45541</v>
      </c>
      <c r="C2642" s="1" t="n">
        <v>45574</v>
      </c>
      <c r="D2642" t="inlineStr">
        <is>
          <t>VÄRMLANDS LÄN</t>
        </is>
      </c>
      <c r="E2642" t="inlineStr">
        <is>
          <t>TORSBY</t>
        </is>
      </c>
      <c r="F2642" t="inlineStr">
        <is>
          <t>Bergvik skog väst AB</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37733-2024</t>
        </is>
      </c>
      <c r="B2643" s="1" t="n">
        <v>45541</v>
      </c>
      <c r="C2643" s="1" t="n">
        <v>45574</v>
      </c>
      <c r="D2643" t="inlineStr">
        <is>
          <t>VÄRMLANDS LÄN</t>
        </is>
      </c>
      <c r="E2643" t="inlineStr">
        <is>
          <t>TORSBY</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37884-2024</t>
        </is>
      </c>
      <c r="B2644" s="1" t="n">
        <v>45544</v>
      </c>
      <c r="C2644" s="1" t="n">
        <v>45574</v>
      </c>
      <c r="D2644" t="inlineStr">
        <is>
          <t>VÄRMLANDS LÄN</t>
        </is>
      </c>
      <c r="E2644" t="inlineStr">
        <is>
          <t>TORSBY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37948-2024</t>
        </is>
      </c>
      <c r="B2645" s="1" t="n">
        <v>45544</v>
      </c>
      <c r="C2645" s="1" t="n">
        <v>45574</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37853-2024</t>
        </is>
      </c>
      <c r="B2646" s="1" t="n">
        <v>45544</v>
      </c>
      <c r="C2646" s="1" t="n">
        <v>45574</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37901-2024</t>
        </is>
      </c>
      <c r="B2647" s="1" t="n">
        <v>45544</v>
      </c>
      <c r="C2647" s="1" t="n">
        <v>45574</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37913-2024</t>
        </is>
      </c>
      <c r="B2648" s="1" t="n">
        <v>45544</v>
      </c>
      <c r="C2648" s="1" t="n">
        <v>45574</v>
      </c>
      <c r="D2648" t="inlineStr">
        <is>
          <t>VÄRMLANDS LÄN</t>
        </is>
      </c>
      <c r="E2648" t="inlineStr">
        <is>
          <t>TORSBY</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38062-2024</t>
        </is>
      </c>
      <c r="B2649" s="1" t="n">
        <v>45544</v>
      </c>
      <c r="C2649" s="1" t="n">
        <v>45574</v>
      </c>
      <c r="D2649" t="inlineStr">
        <is>
          <t>VÄRMLANDS LÄN</t>
        </is>
      </c>
      <c r="E2649" t="inlineStr">
        <is>
          <t>TORSBY</t>
        </is>
      </c>
      <c r="F2649" t="inlineStr">
        <is>
          <t>Bergvik skog väst AB</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38076-2024</t>
        </is>
      </c>
      <c r="B2650" s="1" t="n">
        <v>45544</v>
      </c>
      <c r="C2650" s="1" t="n">
        <v>45574</v>
      </c>
      <c r="D2650" t="inlineStr">
        <is>
          <t>VÄRMLANDS LÄN</t>
        </is>
      </c>
      <c r="E2650" t="inlineStr">
        <is>
          <t>TORSBY</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38100-2024</t>
        </is>
      </c>
      <c r="B2651" s="1" t="n">
        <v>45545</v>
      </c>
      <c r="C2651" s="1" t="n">
        <v>45574</v>
      </c>
      <c r="D2651" t="inlineStr">
        <is>
          <t>VÄRMLANDS LÄN</t>
        </is>
      </c>
      <c r="E2651" t="inlineStr">
        <is>
          <t>TORSBY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38206-2024</t>
        </is>
      </c>
      <c r="B2652" s="1" t="n">
        <v>45545</v>
      </c>
      <c r="C2652" s="1" t="n">
        <v>45574</v>
      </c>
      <c r="D2652" t="inlineStr">
        <is>
          <t>VÄRMLANDS LÄN</t>
        </is>
      </c>
      <c r="E2652" t="inlineStr">
        <is>
          <t>TORSBY</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38353-2024</t>
        </is>
      </c>
      <c r="B2653" s="1" t="n">
        <v>45545</v>
      </c>
      <c r="C2653" s="1" t="n">
        <v>45574</v>
      </c>
      <c r="D2653" t="inlineStr">
        <is>
          <t>VÄRMLANDS LÄN</t>
        </is>
      </c>
      <c r="E2653" t="inlineStr">
        <is>
          <t>TORSBY</t>
        </is>
      </c>
      <c r="G2653" t="n">
        <v>20.8</v>
      </c>
      <c r="H2653" t="n">
        <v>0</v>
      </c>
      <c r="I2653" t="n">
        <v>0</v>
      </c>
      <c r="J2653" t="n">
        <v>0</v>
      </c>
      <c r="K2653" t="n">
        <v>0</v>
      </c>
      <c r="L2653" t="n">
        <v>0</v>
      </c>
      <c r="M2653" t="n">
        <v>0</v>
      </c>
      <c r="N2653" t="n">
        <v>0</v>
      </c>
      <c r="O2653" t="n">
        <v>0</v>
      </c>
      <c r="P2653" t="n">
        <v>0</v>
      </c>
      <c r="Q2653" t="n">
        <v>0</v>
      </c>
      <c r="R2653" s="2" t="inlineStr"/>
    </row>
    <row r="2654" ht="15" customHeight="1">
      <c r="A2654" t="inlineStr">
        <is>
          <t>A 38085-2024</t>
        </is>
      </c>
      <c r="B2654" s="1" t="n">
        <v>45545</v>
      </c>
      <c r="C2654" s="1" t="n">
        <v>45574</v>
      </c>
      <c r="D2654" t="inlineStr">
        <is>
          <t>VÄRMLANDS LÄN</t>
        </is>
      </c>
      <c r="E2654" t="inlineStr">
        <is>
          <t>TORSBY</t>
        </is>
      </c>
      <c r="F2654" t="inlineStr">
        <is>
          <t>Bergvik skog väst AB</t>
        </is>
      </c>
      <c r="G2654" t="n">
        <v>27.8</v>
      </c>
      <c r="H2654" t="n">
        <v>0</v>
      </c>
      <c r="I2654" t="n">
        <v>0</v>
      </c>
      <c r="J2654" t="n">
        <v>0</v>
      </c>
      <c r="K2654" t="n">
        <v>0</v>
      </c>
      <c r="L2654" t="n">
        <v>0</v>
      </c>
      <c r="M2654" t="n">
        <v>0</v>
      </c>
      <c r="N2654" t="n">
        <v>0</v>
      </c>
      <c r="O2654" t="n">
        <v>0</v>
      </c>
      <c r="P2654" t="n">
        <v>0</v>
      </c>
      <c r="Q2654" t="n">
        <v>0</v>
      </c>
      <c r="R2654" s="2" t="inlineStr"/>
    </row>
    <row r="2655" ht="15" customHeight="1">
      <c r="A2655" t="inlineStr">
        <is>
          <t>A 38148-2024</t>
        </is>
      </c>
      <c r="B2655" s="1" t="n">
        <v>45545</v>
      </c>
      <c r="C2655" s="1" t="n">
        <v>45574</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38184-2024</t>
        </is>
      </c>
      <c r="B2656" s="1" t="n">
        <v>45545</v>
      </c>
      <c r="C2656" s="1" t="n">
        <v>45574</v>
      </c>
      <c r="D2656" t="inlineStr">
        <is>
          <t>VÄRMLANDS LÄN</t>
        </is>
      </c>
      <c r="E2656" t="inlineStr">
        <is>
          <t>TORSBY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38497-2024</t>
        </is>
      </c>
      <c r="B2657" s="1" t="n">
        <v>45546</v>
      </c>
      <c r="C2657" s="1" t="n">
        <v>45574</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38618-2024</t>
        </is>
      </c>
      <c r="B2658" s="1" t="n">
        <v>45546</v>
      </c>
      <c r="C2658" s="1" t="n">
        <v>45574</v>
      </c>
      <c r="D2658" t="inlineStr">
        <is>
          <t>VÄRMLANDS LÄN</t>
        </is>
      </c>
      <c r="E2658" t="inlineStr">
        <is>
          <t>TORSBY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38911-2024</t>
        </is>
      </c>
      <c r="B2659" s="1" t="n">
        <v>45547</v>
      </c>
      <c r="C2659" s="1" t="n">
        <v>45574</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38931-2024</t>
        </is>
      </c>
      <c r="B2660" s="1" t="n">
        <v>45548</v>
      </c>
      <c r="C2660" s="1" t="n">
        <v>45574</v>
      </c>
      <c r="D2660" t="inlineStr">
        <is>
          <t>VÄRMLANDS LÄN</t>
        </is>
      </c>
      <c r="E2660" t="inlineStr">
        <is>
          <t>TORSBY</t>
        </is>
      </c>
      <c r="F2660" t="inlineStr">
        <is>
          <t>Bergvik skog väst AB</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39075-2024</t>
        </is>
      </c>
      <c r="B2661" s="1" t="n">
        <v>45548</v>
      </c>
      <c r="C2661" s="1" t="n">
        <v>45574</v>
      </c>
      <c r="D2661" t="inlineStr">
        <is>
          <t>VÄRMLANDS LÄN</t>
        </is>
      </c>
      <c r="E2661" t="inlineStr">
        <is>
          <t>TORSBY</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39277-2024</t>
        </is>
      </c>
      <c r="B2662" s="1" t="n">
        <v>45551</v>
      </c>
      <c r="C2662" s="1" t="n">
        <v>45574</v>
      </c>
      <c r="D2662" t="inlineStr">
        <is>
          <t>VÄRMLANDS LÄN</t>
        </is>
      </c>
      <c r="E2662" t="inlineStr">
        <is>
          <t>TORSBY</t>
        </is>
      </c>
      <c r="F2662" t="inlineStr">
        <is>
          <t>Bergvik skog väst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39378-2024</t>
        </is>
      </c>
      <c r="B2663" s="1" t="n">
        <v>45551</v>
      </c>
      <c r="C2663" s="1" t="n">
        <v>45574</v>
      </c>
      <c r="D2663" t="inlineStr">
        <is>
          <t>VÄRMLANDS LÄN</t>
        </is>
      </c>
      <c r="E2663" t="inlineStr">
        <is>
          <t>TORSBY</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39383-2024</t>
        </is>
      </c>
      <c r="B2664" s="1" t="n">
        <v>45551</v>
      </c>
      <c r="C2664" s="1" t="n">
        <v>45574</v>
      </c>
      <c r="D2664" t="inlineStr">
        <is>
          <t>VÄRMLANDS LÄN</t>
        </is>
      </c>
      <c r="E2664" t="inlineStr">
        <is>
          <t>TORSBY</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39587-2024</t>
        </is>
      </c>
      <c r="B2665" s="1" t="n">
        <v>45551</v>
      </c>
      <c r="C2665" s="1" t="n">
        <v>45574</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39569-2024</t>
        </is>
      </c>
      <c r="B2666" s="1" t="n">
        <v>45551</v>
      </c>
      <c r="C2666" s="1" t="n">
        <v>45574</v>
      </c>
      <c r="D2666" t="inlineStr">
        <is>
          <t>VÄRMLANDS LÄN</t>
        </is>
      </c>
      <c r="E2666" t="inlineStr">
        <is>
          <t>TORSBY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39567-2024</t>
        </is>
      </c>
      <c r="B2667" s="1" t="n">
        <v>45552</v>
      </c>
      <c r="C2667" s="1" t="n">
        <v>45574</v>
      </c>
      <c r="D2667" t="inlineStr">
        <is>
          <t>VÄRMLANDS LÄN</t>
        </is>
      </c>
      <c r="E2667" t="inlineStr">
        <is>
          <t>TORSBY</t>
        </is>
      </c>
      <c r="F2667" t="inlineStr">
        <is>
          <t>Bergvik skog väst AB</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39617-2024</t>
        </is>
      </c>
      <c r="B2668" s="1" t="n">
        <v>45552</v>
      </c>
      <c r="C2668" s="1" t="n">
        <v>45574</v>
      </c>
      <c r="D2668" t="inlineStr">
        <is>
          <t>VÄRMLANDS LÄN</t>
        </is>
      </c>
      <c r="E2668" t="inlineStr">
        <is>
          <t>TORSBY</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39746-2024</t>
        </is>
      </c>
      <c r="B2669" s="1" t="n">
        <v>45552</v>
      </c>
      <c r="C2669" s="1" t="n">
        <v>45574</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39769-2024</t>
        </is>
      </c>
      <c r="B2670" s="1" t="n">
        <v>45552</v>
      </c>
      <c r="C2670" s="1" t="n">
        <v>45574</v>
      </c>
      <c r="D2670" t="inlineStr">
        <is>
          <t>VÄRMLANDS LÄN</t>
        </is>
      </c>
      <c r="E2670" t="inlineStr">
        <is>
          <t>TORSBY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39770-2024</t>
        </is>
      </c>
      <c r="B2671" s="1" t="n">
        <v>45552</v>
      </c>
      <c r="C2671" s="1" t="n">
        <v>45574</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39768-2024</t>
        </is>
      </c>
      <c r="B2672" s="1" t="n">
        <v>45552</v>
      </c>
      <c r="C2672" s="1" t="n">
        <v>45574</v>
      </c>
      <c r="D2672" t="inlineStr">
        <is>
          <t>VÄRMLANDS LÄN</t>
        </is>
      </c>
      <c r="E2672" t="inlineStr">
        <is>
          <t>TORSBY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39772-2024</t>
        </is>
      </c>
      <c r="B2673" s="1" t="n">
        <v>45552</v>
      </c>
      <c r="C2673" s="1" t="n">
        <v>45574</v>
      </c>
      <c r="D2673" t="inlineStr">
        <is>
          <t>VÄRMLANDS LÄN</t>
        </is>
      </c>
      <c r="E2673" t="inlineStr">
        <is>
          <t>TORSBY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39767-2024</t>
        </is>
      </c>
      <c r="B2674" s="1" t="n">
        <v>45552</v>
      </c>
      <c r="C2674" s="1" t="n">
        <v>45574</v>
      </c>
      <c r="D2674" t="inlineStr">
        <is>
          <t>VÄRMLANDS LÄN</t>
        </is>
      </c>
      <c r="E2674" t="inlineStr">
        <is>
          <t>TORSBY</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39771-2024</t>
        </is>
      </c>
      <c r="B2675" s="1" t="n">
        <v>45552</v>
      </c>
      <c r="C2675" s="1" t="n">
        <v>45574</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39953-2024</t>
        </is>
      </c>
      <c r="B2676" s="1" t="n">
        <v>45553</v>
      </c>
      <c r="C2676" s="1" t="n">
        <v>45574</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39985-2024</t>
        </is>
      </c>
      <c r="B2677" s="1" t="n">
        <v>45553</v>
      </c>
      <c r="C2677" s="1" t="n">
        <v>45574</v>
      </c>
      <c r="D2677" t="inlineStr">
        <is>
          <t>VÄRMLANDS LÄN</t>
        </is>
      </c>
      <c r="E2677" t="inlineStr">
        <is>
          <t>TORSBY</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40157-2024</t>
        </is>
      </c>
      <c r="B2678" s="1" t="n">
        <v>45554</v>
      </c>
      <c r="C2678" s="1" t="n">
        <v>45574</v>
      </c>
      <c r="D2678" t="inlineStr">
        <is>
          <t>VÄRMLANDS LÄN</t>
        </is>
      </c>
      <c r="E2678" t="inlineStr">
        <is>
          <t>TORSBY</t>
        </is>
      </c>
      <c r="F2678" t="inlineStr">
        <is>
          <t>Bergvik skog väst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40180-2024</t>
        </is>
      </c>
      <c r="B2679" s="1" t="n">
        <v>45554</v>
      </c>
      <c r="C2679" s="1" t="n">
        <v>45574</v>
      </c>
      <c r="D2679" t="inlineStr">
        <is>
          <t>VÄRMLANDS LÄN</t>
        </is>
      </c>
      <c r="E2679" t="inlineStr">
        <is>
          <t>TORSBY</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40301-2024</t>
        </is>
      </c>
      <c r="B2680" s="1" t="n">
        <v>45554</v>
      </c>
      <c r="C2680" s="1" t="n">
        <v>45574</v>
      </c>
      <c r="D2680" t="inlineStr">
        <is>
          <t>VÄRMLANDS LÄN</t>
        </is>
      </c>
      <c r="E2680" t="inlineStr">
        <is>
          <t>TORSBY</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45574</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40541-2024</t>
        </is>
      </c>
      <c r="B2682" s="1" t="n">
        <v>45555</v>
      </c>
      <c r="C2682" s="1" t="n">
        <v>45574</v>
      </c>
      <c r="D2682" t="inlineStr">
        <is>
          <t>VÄRMLANDS LÄN</t>
        </is>
      </c>
      <c r="E2682" t="inlineStr">
        <is>
          <t>TORSBY</t>
        </is>
      </c>
      <c r="F2682" t="inlineStr">
        <is>
          <t>Bergvik skog väst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40546-2024</t>
        </is>
      </c>
      <c r="B2683" s="1" t="n">
        <v>45555</v>
      </c>
      <c r="C2683" s="1" t="n">
        <v>45574</v>
      </c>
      <c r="D2683" t="inlineStr">
        <is>
          <t>VÄRMLANDS LÄN</t>
        </is>
      </c>
      <c r="E2683" t="inlineStr">
        <is>
          <t>TORSBY</t>
        </is>
      </c>
      <c r="F2683" t="inlineStr">
        <is>
          <t>Bergvik skog väst AB</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40565-2024</t>
        </is>
      </c>
      <c r="B2684" s="1" t="n">
        <v>45555</v>
      </c>
      <c r="C2684" s="1" t="n">
        <v>45574</v>
      </c>
      <c r="D2684" t="inlineStr">
        <is>
          <t>VÄRMLANDS LÄN</t>
        </is>
      </c>
      <c r="E2684" t="inlineStr">
        <is>
          <t>TORSBY</t>
        </is>
      </c>
      <c r="F2684" t="inlineStr">
        <is>
          <t>Bergvik skog väst AB</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40573-2024</t>
        </is>
      </c>
      <c r="B2685" s="1" t="n">
        <v>45555</v>
      </c>
      <c r="C2685" s="1" t="n">
        <v>45574</v>
      </c>
      <c r="D2685" t="inlineStr">
        <is>
          <t>VÄRMLANDS LÄN</t>
        </is>
      </c>
      <c r="E2685" t="inlineStr">
        <is>
          <t>TORSBY</t>
        </is>
      </c>
      <c r="F2685" t="inlineStr">
        <is>
          <t>Bergvik skog väst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40807-2024</t>
        </is>
      </c>
      <c r="B2686" s="1" t="n">
        <v>45558</v>
      </c>
      <c r="C2686" s="1" t="n">
        <v>45574</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40914-2024</t>
        </is>
      </c>
      <c r="B2687" s="1" t="n">
        <v>45558</v>
      </c>
      <c r="C2687" s="1" t="n">
        <v>45574</v>
      </c>
      <c r="D2687" t="inlineStr">
        <is>
          <t>VÄRMLANDS LÄN</t>
        </is>
      </c>
      <c r="E2687" t="inlineStr">
        <is>
          <t>TORSBY</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45574</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40987-2024</t>
        </is>
      </c>
      <c r="B2689" s="1" t="n">
        <v>45558</v>
      </c>
      <c r="C2689" s="1" t="n">
        <v>45574</v>
      </c>
      <c r="D2689" t="inlineStr">
        <is>
          <t>VÄRMLANDS LÄN</t>
        </is>
      </c>
      <c r="E2689" t="inlineStr">
        <is>
          <t>TORSBY</t>
        </is>
      </c>
      <c r="G2689" t="n">
        <v>11.6</v>
      </c>
      <c r="H2689" t="n">
        <v>0</v>
      </c>
      <c r="I2689" t="n">
        <v>0</v>
      </c>
      <c r="J2689" t="n">
        <v>0</v>
      </c>
      <c r="K2689" t="n">
        <v>0</v>
      </c>
      <c r="L2689" t="n">
        <v>0</v>
      </c>
      <c r="M2689" t="n">
        <v>0</v>
      </c>
      <c r="N2689" t="n">
        <v>0</v>
      </c>
      <c r="O2689" t="n">
        <v>0</v>
      </c>
      <c r="P2689" t="n">
        <v>0</v>
      </c>
      <c r="Q2689" t="n">
        <v>0</v>
      </c>
      <c r="R2689" s="2" t="inlineStr"/>
    </row>
    <row r="2690" ht="15" customHeight="1">
      <c r="A2690" t="inlineStr">
        <is>
          <t>A 41162-2024</t>
        </is>
      </c>
      <c r="B2690" s="1" t="n">
        <v>45559</v>
      </c>
      <c r="C2690" s="1" t="n">
        <v>45574</v>
      </c>
      <c r="D2690" t="inlineStr">
        <is>
          <t>VÄRMLANDS LÄN</t>
        </is>
      </c>
      <c r="E2690" t="inlineStr">
        <is>
          <t>TORSBY</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45574</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41501-2024</t>
        </is>
      </c>
      <c r="B2692" s="1" t="n">
        <v>45560</v>
      </c>
      <c r="C2692" s="1" t="n">
        <v>45574</v>
      </c>
      <c r="D2692" t="inlineStr">
        <is>
          <t>VÄRMLANDS LÄN</t>
        </is>
      </c>
      <c r="E2692" t="inlineStr">
        <is>
          <t>TORSBY</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41529-2024</t>
        </is>
      </c>
      <c r="B2693" s="1" t="n">
        <v>45560</v>
      </c>
      <c r="C2693" s="1" t="n">
        <v>45574</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41504-2024</t>
        </is>
      </c>
      <c r="B2694" s="1" t="n">
        <v>45560</v>
      </c>
      <c r="C2694" s="1" t="n">
        <v>45574</v>
      </c>
      <c r="D2694" t="inlineStr">
        <is>
          <t>VÄRMLANDS LÄN</t>
        </is>
      </c>
      <c r="E2694" t="inlineStr">
        <is>
          <t>TORSBY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41631-2024</t>
        </is>
      </c>
      <c r="B2695" s="1" t="n">
        <v>45560</v>
      </c>
      <c r="C2695" s="1" t="n">
        <v>45574</v>
      </c>
      <c r="D2695" t="inlineStr">
        <is>
          <t>VÄRMLANDS LÄN</t>
        </is>
      </c>
      <c r="E2695" t="inlineStr">
        <is>
          <t>TORSBY</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41518-2024</t>
        </is>
      </c>
      <c r="B2696" s="1" t="n">
        <v>45560</v>
      </c>
      <c r="C2696" s="1" t="n">
        <v>45574</v>
      </c>
      <c r="D2696" t="inlineStr">
        <is>
          <t>VÄRMLANDS LÄN</t>
        </is>
      </c>
      <c r="E2696" t="inlineStr">
        <is>
          <t>TORSBY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41534-2024</t>
        </is>
      </c>
      <c r="B2697" s="1" t="n">
        <v>45560</v>
      </c>
      <c r="C2697" s="1" t="n">
        <v>45574</v>
      </c>
      <c r="D2697" t="inlineStr">
        <is>
          <t>VÄRMLANDS LÄN</t>
        </is>
      </c>
      <c r="E2697" t="inlineStr">
        <is>
          <t>TORSBY</t>
        </is>
      </c>
      <c r="G2697" t="n">
        <v>17.3</v>
      </c>
      <c r="H2697" t="n">
        <v>0</v>
      </c>
      <c r="I2697" t="n">
        <v>0</v>
      </c>
      <c r="J2697" t="n">
        <v>0</v>
      </c>
      <c r="K2697" t="n">
        <v>0</v>
      </c>
      <c r="L2697" t="n">
        <v>0</v>
      </c>
      <c r="M2697" t="n">
        <v>0</v>
      </c>
      <c r="N2697" t="n">
        <v>0</v>
      </c>
      <c r="O2697" t="n">
        <v>0</v>
      </c>
      <c r="P2697" t="n">
        <v>0</v>
      </c>
      <c r="Q2697" t="n">
        <v>0</v>
      </c>
      <c r="R2697" s="2" t="inlineStr"/>
    </row>
    <row r="2698" ht="15" customHeight="1">
      <c r="A2698" t="inlineStr">
        <is>
          <t>A 41720-2024</t>
        </is>
      </c>
      <c r="B2698" s="1" t="n">
        <v>45560</v>
      </c>
      <c r="C2698" s="1" t="n">
        <v>45574</v>
      </c>
      <c r="D2698" t="inlineStr">
        <is>
          <t>VÄRMLANDS LÄN</t>
        </is>
      </c>
      <c r="E2698" t="inlineStr">
        <is>
          <t>TORSBY</t>
        </is>
      </c>
      <c r="F2698" t="inlineStr">
        <is>
          <t>Bergvik skog väst AB</t>
        </is>
      </c>
      <c r="G2698" t="n">
        <v>13.2</v>
      </c>
      <c r="H2698" t="n">
        <v>0</v>
      </c>
      <c r="I2698" t="n">
        <v>0</v>
      </c>
      <c r="J2698" t="n">
        <v>0</v>
      </c>
      <c r="K2698" t="n">
        <v>0</v>
      </c>
      <c r="L2698" t="n">
        <v>0</v>
      </c>
      <c r="M2698" t="n">
        <v>0</v>
      </c>
      <c r="N2698" t="n">
        <v>0</v>
      </c>
      <c r="O2698" t="n">
        <v>0</v>
      </c>
      <c r="P2698" t="n">
        <v>0</v>
      </c>
      <c r="Q2698" t="n">
        <v>0</v>
      </c>
      <c r="R2698" s="2" t="inlineStr"/>
    </row>
    <row r="2699" ht="15" customHeight="1">
      <c r="A2699" t="inlineStr">
        <is>
          <t>A 41745-2024</t>
        </is>
      </c>
      <c r="B2699" s="1" t="n">
        <v>45561</v>
      </c>
      <c r="C2699" s="1" t="n">
        <v>45574</v>
      </c>
      <c r="D2699" t="inlineStr">
        <is>
          <t>VÄRMLANDS LÄN</t>
        </is>
      </c>
      <c r="E2699" t="inlineStr">
        <is>
          <t>TORSBY</t>
        </is>
      </c>
      <c r="F2699" t="inlineStr">
        <is>
          <t>Bergvik skog väst AB</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45574</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41936-2024</t>
        </is>
      </c>
      <c r="B2701" s="1" t="n">
        <v>45561</v>
      </c>
      <c r="C2701" s="1" t="n">
        <v>45574</v>
      </c>
      <c r="D2701" t="inlineStr">
        <is>
          <t>VÄRMLANDS LÄN</t>
        </is>
      </c>
      <c r="E2701" t="inlineStr">
        <is>
          <t>TORSBY</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42250-2024</t>
        </is>
      </c>
      <c r="B2702" s="1" t="n">
        <v>45562</v>
      </c>
      <c r="C2702" s="1" t="n">
        <v>45574</v>
      </c>
      <c r="D2702" t="inlineStr">
        <is>
          <t>VÄRMLANDS LÄN</t>
        </is>
      </c>
      <c r="E2702" t="inlineStr">
        <is>
          <t>TORSBY</t>
        </is>
      </c>
      <c r="F2702" t="inlineStr">
        <is>
          <t>Bergvik skog väst AB</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42176-2024</t>
        </is>
      </c>
      <c r="B2703" s="1" t="n">
        <v>45562</v>
      </c>
      <c r="C2703" s="1" t="n">
        <v>45574</v>
      </c>
      <c r="D2703" t="inlineStr">
        <is>
          <t>VÄRMLANDS LÄN</t>
        </is>
      </c>
      <c r="E2703" t="inlineStr">
        <is>
          <t>TORSBY</t>
        </is>
      </c>
      <c r="F2703" t="inlineStr">
        <is>
          <t>Kommuner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42283-2024</t>
        </is>
      </c>
      <c r="B2704" s="1" t="n">
        <v>45562</v>
      </c>
      <c r="C2704" s="1" t="n">
        <v>45574</v>
      </c>
      <c r="D2704" t="inlineStr">
        <is>
          <t>VÄRMLANDS LÄN</t>
        </is>
      </c>
      <c r="E2704" t="inlineStr">
        <is>
          <t>TORSBY</t>
        </is>
      </c>
      <c r="F2704" t="inlineStr">
        <is>
          <t>Bergvik skog väst AB</t>
        </is>
      </c>
      <c r="G2704" t="n">
        <v>10.7</v>
      </c>
      <c r="H2704" t="n">
        <v>0</v>
      </c>
      <c r="I2704" t="n">
        <v>0</v>
      </c>
      <c r="J2704" t="n">
        <v>0</v>
      </c>
      <c r="K2704" t="n">
        <v>0</v>
      </c>
      <c r="L2704" t="n">
        <v>0</v>
      </c>
      <c r="M2704" t="n">
        <v>0</v>
      </c>
      <c r="N2704" t="n">
        <v>0</v>
      </c>
      <c r="O2704" t="n">
        <v>0</v>
      </c>
      <c r="P2704" t="n">
        <v>0</v>
      </c>
      <c r="Q2704" t="n">
        <v>0</v>
      </c>
      <c r="R2704" s="2" t="inlineStr"/>
    </row>
    <row r="2705" ht="15" customHeight="1">
      <c r="A2705" t="inlineStr">
        <is>
          <t>A 42405-2024</t>
        </is>
      </c>
      <c r="B2705" s="1" t="n">
        <v>45565</v>
      </c>
      <c r="C2705" s="1" t="n">
        <v>45574</v>
      </c>
      <c r="D2705" t="inlineStr">
        <is>
          <t>VÄRMLANDS LÄN</t>
        </is>
      </c>
      <c r="E2705" t="inlineStr">
        <is>
          <t>TORSBY</t>
        </is>
      </c>
      <c r="F2705" t="inlineStr">
        <is>
          <t>Bergvik skog väst AB</t>
        </is>
      </c>
      <c r="G2705" t="n">
        <v>10</v>
      </c>
      <c r="H2705" t="n">
        <v>0</v>
      </c>
      <c r="I2705" t="n">
        <v>0</v>
      </c>
      <c r="J2705" t="n">
        <v>0</v>
      </c>
      <c r="K2705" t="n">
        <v>0</v>
      </c>
      <c r="L2705" t="n">
        <v>0</v>
      </c>
      <c r="M2705" t="n">
        <v>0</v>
      </c>
      <c r="N2705" t="n">
        <v>0</v>
      </c>
      <c r="O2705" t="n">
        <v>0</v>
      </c>
      <c r="P2705" t="n">
        <v>0</v>
      </c>
      <c r="Q2705" t="n">
        <v>0</v>
      </c>
      <c r="R2705" s="2" t="inlineStr"/>
    </row>
    <row r="2706" ht="15" customHeight="1">
      <c r="A2706" t="inlineStr">
        <is>
          <t>A 42414-2024</t>
        </is>
      </c>
      <c r="B2706" s="1" t="n">
        <v>45565</v>
      </c>
      <c r="C2706" s="1" t="n">
        <v>45574</v>
      </c>
      <c r="D2706" t="inlineStr">
        <is>
          <t>VÄRMLANDS LÄN</t>
        </is>
      </c>
      <c r="E2706" t="inlineStr">
        <is>
          <t>TORSBY</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42457-2024</t>
        </is>
      </c>
      <c r="B2707" s="1" t="n">
        <v>45565</v>
      </c>
      <c r="C2707" s="1" t="n">
        <v>45574</v>
      </c>
      <c r="D2707" t="inlineStr">
        <is>
          <t>VÄRMLANDS LÄN</t>
        </is>
      </c>
      <c r="E2707" t="inlineStr">
        <is>
          <t>TORSBY</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42424-2024</t>
        </is>
      </c>
      <c r="B2708" s="1" t="n">
        <v>45565</v>
      </c>
      <c r="C2708" s="1" t="n">
        <v>45574</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42428-2024</t>
        </is>
      </c>
      <c r="B2709" s="1" t="n">
        <v>45565</v>
      </c>
      <c r="C2709" s="1" t="n">
        <v>45574</v>
      </c>
      <c r="D2709" t="inlineStr">
        <is>
          <t>VÄRMLANDS LÄN</t>
        </is>
      </c>
      <c r="E2709" t="inlineStr">
        <is>
          <t>TORSBY</t>
        </is>
      </c>
      <c r="F2709" t="inlineStr">
        <is>
          <t>Bergvik skog väst AB</t>
        </is>
      </c>
      <c r="G2709" t="n">
        <v>20.7</v>
      </c>
      <c r="H2709" t="n">
        <v>0</v>
      </c>
      <c r="I2709" t="n">
        <v>0</v>
      </c>
      <c r="J2709" t="n">
        <v>0</v>
      </c>
      <c r="K2709" t="n">
        <v>0</v>
      </c>
      <c r="L2709" t="n">
        <v>0</v>
      </c>
      <c r="M2709" t="n">
        <v>0</v>
      </c>
      <c r="N2709" t="n">
        <v>0</v>
      </c>
      <c r="O2709" t="n">
        <v>0</v>
      </c>
      <c r="P2709" t="n">
        <v>0</v>
      </c>
      <c r="Q2709" t="n">
        <v>0</v>
      </c>
      <c r="R2709" s="2" t="inlineStr"/>
    </row>
    <row r="2710" ht="15" customHeight="1">
      <c r="A2710" t="inlineStr">
        <is>
          <t>A 42662-2024</t>
        </is>
      </c>
      <c r="B2710" s="1" t="n">
        <v>45566</v>
      </c>
      <c r="C2710" s="1" t="n">
        <v>45574</v>
      </c>
      <c r="D2710" t="inlineStr">
        <is>
          <t>VÄRMLANDS LÄN</t>
        </is>
      </c>
      <c r="E2710" t="inlineStr">
        <is>
          <t>TORSBY</t>
        </is>
      </c>
      <c r="F2710" t="inlineStr">
        <is>
          <t>Bergvik skog väst AB</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42834-2024</t>
        </is>
      </c>
      <c r="B2711" s="1" t="n">
        <v>45566</v>
      </c>
      <c r="C2711" s="1" t="n">
        <v>45574</v>
      </c>
      <c r="D2711" t="inlineStr">
        <is>
          <t>VÄRMLANDS LÄN</t>
        </is>
      </c>
      <c r="E2711" t="inlineStr">
        <is>
          <t>TORSBY</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42945-2024</t>
        </is>
      </c>
      <c r="B2712" s="1" t="n">
        <v>45567</v>
      </c>
      <c r="C2712" s="1" t="n">
        <v>45574</v>
      </c>
      <c r="D2712" t="inlineStr">
        <is>
          <t>VÄRMLANDS LÄN</t>
        </is>
      </c>
      <c r="E2712" t="inlineStr">
        <is>
          <t>TORSBY</t>
        </is>
      </c>
      <c r="F2712" t="inlineStr">
        <is>
          <t>Bergvik skog väst AB</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43137-2024</t>
        </is>
      </c>
      <c r="B2713" s="1" t="n">
        <v>45567</v>
      </c>
      <c r="C2713" s="1" t="n">
        <v>45574</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43037-2024</t>
        </is>
      </c>
      <c r="B2714" s="1" t="n">
        <v>45567</v>
      </c>
      <c r="C2714" s="1" t="n">
        <v>45574</v>
      </c>
      <c r="D2714" t="inlineStr">
        <is>
          <t>VÄRMLANDS LÄN</t>
        </is>
      </c>
      <c r="E2714" t="inlineStr">
        <is>
          <t>TORSBY</t>
        </is>
      </c>
      <c r="F2714" t="inlineStr">
        <is>
          <t>Bergvik skog väst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43044-2024</t>
        </is>
      </c>
      <c r="B2715" s="1" t="n">
        <v>45567</v>
      </c>
      <c r="C2715" s="1" t="n">
        <v>45574</v>
      </c>
      <c r="D2715" t="inlineStr">
        <is>
          <t>VÄRMLANDS LÄN</t>
        </is>
      </c>
      <c r="E2715" t="inlineStr">
        <is>
          <t>TORSBY</t>
        </is>
      </c>
      <c r="F2715" t="inlineStr">
        <is>
          <t>Bergvik skog väst AB</t>
        </is>
      </c>
      <c r="G2715" t="n">
        <v>42.7</v>
      </c>
      <c r="H2715" t="n">
        <v>0</v>
      </c>
      <c r="I2715" t="n">
        <v>0</v>
      </c>
      <c r="J2715" t="n">
        <v>0</v>
      </c>
      <c r="K2715" t="n">
        <v>0</v>
      </c>
      <c r="L2715" t="n">
        <v>0</v>
      </c>
      <c r="M2715" t="n">
        <v>0</v>
      </c>
      <c r="N2715" t="n">
        <v>0</v>
      </c>
      <c r="O2715" t="n">
        <v>0</v>
      </c>
      <c r="P2715" t="n">
        <v>0</v>
      </c>
      <c r="Q2715" t="n">
        <v>0</v>
      </c>
      <c r="R2715" s="2" t="inlineStr"/>
    </row>
    <row r="2716" ht="15" customHeight="1">
      <c r="A2716" t="inlineStr">
        <is>
          <t>A 43164-2024</t>
        </is>
      </c>
      <c r="B2716" s="1" t="n">
        <v>45567</v>
      </c>
      <c r="C2716" s="1" t="n">
        <v>45574</v>
      </c>
      <c r="D2716" t="inlineStr">
        <is>
          <t>VÄRMLANDS LÄN</t>
        </is>
      </c>
      <c r="E2716" t="inlineStr">
        <is>
          <t>TORSBY</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43144-2024</t>
        </is>
      </c>
      <c r="B2717" s="1" t="n">
        <v>45567</v>
      </c>
      <c r="C2717" s="1" t="n">
        <v>45574</v>
      </c>
      <c r="D2717" t="inlineStr">
        <is>
          <t>VÄRMLANDS LÄN</t>
        </is>
      </c>
      <c r="E2717" t="inlineStr">
        <is>
          <t>TORSBY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43336-2024</t>
        </is>
      </c>
      <c r="B2718" s="1" t="n">
        <v>45568</v>
      </c>
      <c r="C2718" s="1" t="n">
        <v>45574</v>
      </c>
      <c r="D2718" t="inlineStr">
        <is>
          <t>VÄRMLANDS LÄN</t>
        </is>
      </c>
      <c r="E2718" t="inlineStr">
        <is>
          <t>TORSBY</t>
        </is>
      </c>
      <c r="F2718" t="inlineStr">
        <is>
          <t>Bergvik skog väst AB</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43295-2024</t>
        </is>
      </c>
      <c r="B2719" s="1" t="n">
        <v>45568</v>
      </c>
      <c r="C2719" s="1" t="n">
        <v>45574</v>
      </c>
      <c r="D2719" t="inlineStr">
        <is>
          <t>VÄRMLANDS LÄN</t>
        </is>
      </c>
      <c r="E2719" t="inlineStr">
        <is>
          <t>TORSBY</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43256-2024</t>
        </is>
      </c>
      <c r="B2720" s="1" t="n">
        <v>45568</v>
      </c>
      <c r="C2720" s="1" t="n">
        <v>45574</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43301-2024</t>
        </is>
      </c>
      <c r="B2721" s="1" t="n">
        <v>45568</v>
      </c>
      <c r="C2721" s="1" t="n">
        <v>45574</v>
      </c>
      <c r="D2721" t="inlineStr">
        <is>
          <t>VÄRMLANDS LÄN</t>
        </is>
      </c>
      <c r="E2721" t="inlineStr">
        <is>
          <t>TORSBY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43420-2024</t>
        </is>
      </c>
      <c r="B2722" s="1" t="n">
        <v>45568</v>
      </c>
      <c r="C2722" s="1" t="n">
        <v>45574</v>
      </c>
      <c r="D2722" t="inlineStr">
        <is>
          <t>VÄRMLANDS LÄN</t>
        </is>
      </c>
      <c r="E2722" t="inlineStr">
        <is>
          <t>TORSBY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45574</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43545-2024</t>
        </is>
      </c>
      <c r="B2724" s="1" t="n">
        <v>45569</v>
      </c>
      <c r="C2724" s="1" t="n">
        <v>45574</v>
      </c>
      <c r="D2724" t="inlineStr">
        <is>
          <t>VÄRMLANDS LÄN</t>
        </is>
      </c>
      <c r="E2724" t="inlineStr">
        <is>
          <t>TORSBY</t>
        </is>
      </c>
      <c r="F2724" t="inlineStr">
        <is>
          <t>Bergvik skog väst AB</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43739-2024</t>
        </is>
      </c>
      <c r="B2725" s="1" t="n">
        <v>45569</v>
      </c>
      <c r="C2725" s="1" t="n">
        <v>45574</v>
      </c>
      <c r="D2725" t="inlineStr">
        <is>
          <t>VÄRMLANDS LÄN</t>
        </is>
      </c>
      <c r="E2725" t="inlineStr">
        <is>
          <t>TORSBY</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43538-2024</t>
        </is>
      </c>
      <c r="B2726" s="1" t="n">
        <v>45569</v>
      </c>
      <c r="C2726" s="1" t="n">
        <v>45574</v>
      </c>
      <c r="D2726" t="inlineStr">
        <is>
          <t>VÄRMLANDS LÄN</t>
        </is>
      </c>
      <c r="E2726" t="inlineStr">
        <is>
          <t>TORSBY</t>
        </is>
      </c>
      <c r="F2726" t="inlineStr">
        <is>
          <t>Bergvik skog väst AB</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43718-2024</t>
        </is>
      </c>
      <c r="B2727" s="1" t="n">
        <v>45569</v>
      </c>
      <c r="C2727" s="1" t="n">
        <v>45574</v>
      </c>
      <c r="D2727" t="inlineStr">
        <is>
          <t>VÄRMLANDS LÄN</t>
        </is>
      </c>
      <c r="E2727" t="inlineStr">
        <is>
          <t>TORSBY</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43864-2024</t>
        </is>
      </c>
      <c r="B2728" s="1" t="n">
        <v>45572</v>
      </c>
      <c r="C2728" s="1" t="n">
        <v>45574</v>
      </c>
      <c r="D2728" t="inlineStr">
        <is>
          <t>VÄRMLANDS LÄN</t>
        </is>
      </c>
      <c r="E2728" t="inlineStr">
        <is>
          <t>TORSBY</t>
        </is>
      </c>
      <c r="F2728" t="inlineStr">
        <is>
          <t>Kommuner</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43988-2024</t>
        </is>
      </c>
      <c r="B2729" s="1" t="n">
        <v>45572</v>
      </c>
      <c r="C2729" s="1" t="n">
        <v>45574</v>
      </c>
      <c r="D2729" t="inlineStr">
        <is>
          <t>VÄRMLANDS LÄN</t>
        </is>
      </c>
      <c r="E2729" t="inlineStr">
        <is>
          <t>TORSBY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44059-2024</t>
        </is>
      </c>
      <c r="B2730" s="1" t="n">
        <v>45572</v>
      </c>
      <c r="C2730" s="1" t="n">
        <v>45574</v>
      </c>
      <c r="D2730" t="inlineStr">
        <is>
          <t>VÄRMLANDS LÄN</t>
        </is>
      </c>
      <c r="E2730" t="inlineStr">
        <is>
          <t>TORSBY</t>
        </is>
      </c>
      <c r="F2730" t="inlineStr">
        <is>
          <t>Bergvik skog väst AB</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44081-2024</t>
        </is>
      </c>
      <c r="B2731" s="1" t="n">
        <v>45572</v>
      </c>
      <c r="C2731" s="1" t="n">
        <v>45574</v>
      </c>
      <c r="D2731" t="inlineStr">
        <is>
          <t>VÄRMLANDS LÄN</t>
        </is>
      </c>
      <c r="E2731" t="inlineStr">
        <is>
          <t>TORSBY</t>
        </is>
      </c>
      <c r="F2731" t="inlineStr">
        <is>
          <t>Bergvik skog väst AB</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44204-2024</t>
        </is>
      </c>
      <c r="B2732" s="1" t="n">
        <v>45573</v>
      </c>
      <c r="C2732" s="1" t="n">
        <v>45574</v>
      </c>
      <c r="D2732" t="inlineStr">
        <is>
          <t>VÄRMLANDS LÄN</t>
        </is>
      </c>
      <c r="E2732" t="inlineStr">
        <is>
          <t>TORSBY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44276-2024</t>
        </is>
      </c>
      <c r="B2733" s="1" t="n">
        <v>45573</v>
      </c>
      <c r="C2733" s="1" t="n">
        <v>45574</v>
      </c>
      <c r="D2733" t="inlineStr">
        <is>
          <t>VÄRMLANDS LÄN</t>
        </is>
      </c>
      <c r="E2733" t="inlineStr">
        <is>
          <t>TORSBY</t>
        </is>
      </c>
      <c r="G2733" t="n">
        <v>8.800000000000001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44325-2024</t>
        </is>
      </c>
      <c r="B2734" s="1" t="n">
        <v>45573</v>
      </c>
      <c r="C2734" s="1" t="n">
        <v>45574</v>
      </c>
      <c r="D2734" t="inlineStr">
        <is>
          <t>VÄRMLANDS LÄN</t>
        </is>
      </c>
      <c r="E2734" t="inlineStr">
        <is>
          <t>TORSBY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44338-2024</t>
        </is>
      </c>
      <c r="B2735" s="1" t="n">
        <v>45573</v>
      </c>
      <c r="C2735" s="1" t="n">
        <v>45574</v>
      </c>
      <c r="D2735" t="inlineStr">
        <is>
          <t>VÄRMLANDS LÄN</t>
        </is>
      </c>
      <c r="E2735" t="inlineStr">
        <is>
          <t>TORSBY</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44352-2024</t>
        </is>
      </c>
      <c r="B2736" s="1" t="n">
        <v>45573</v>
      </c>
      <c r="C2736" s="1" t="n">
        <v>45574</v>
      </c>
      <c r="D2736" t="inlineStr">
        <is>
          <t>VÄRMLANDS LÄN</t>
        </is>
      </c>
      <c r="E2736" t="inlineStr">
        <is>
          <t>TORSBY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44278-2024</t>
        </is>
      </c>
      <c r="B2737" s="1" t="n">
        <v>45573</v>
      </c>
      <c r="C2737" s="1" t="n">
        <v>45574</v>
      </c>
      <c r="D2737" t="inlineStr">
        <is>
          <t>VÄRMLANDS LÄN</t>
        </is>
      </c>
      <c r="E2737" t="inlineStr">
        <is>
          <t>TORSBY</t>
        </is>
      </c>
      <c r="F2737" t="inlineStr">
        <is>
          <t>Bergvik skog väst AB</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44303-2024</t>
        </is>
      </c>
      <c r="B2738" s="1" t="n">
        <v>45573</v>
      </c>
      <c r="C2738" s="1" t="n">
        <v>45574</v>
      </c>
      <c r="D2738" t="inlineStr">
        <is>
          <t>VÄRMLANDS LÄN</t>
        </is>
      </c>
      <c r="E2738" t="inlineStr">
        <is>
          <t>TORSBY</t>
        </is>
      </c>
      <c r="F2738" t="inlineStr">
        <is>
          <t>Bergvik skog väst AB</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44349-2024</t>
        </is>
      </c>
      <c r="B2739" s="1" t="n">
        <v>45573</v>
      </c>
      <c r="C2739" s="1" t="n">
        <v>45574</v>
      </c>
      <c r="D2739" t="inlineStr">
        <is>
          <t>VÄRMLANDS LÄN</t>
        </is>
      </c>
      <c r="E2739" t="inlineStr">
        <is>
          <t>TORSBY</t>
        </is>
      </c>
      <c r="G2739" t="n">
        <v>8.4</v>
      </c>
      <c r="H2739" t="n">
        <v>0</v>
      </c>
      <c r="I2739" t="n">
        <v>0</v>
      </c>
      <c r="J2739" t="n">
        <v>0</v>
      </c>
      <c r="K2739" t="n">
        <v>0</v>
      </c>
      <c r="L2739" t="n">
        <v>0</v>
      </c>
      <c r="M2739" t="n">
        <v>0</v>
      </c>
      <c r="N2739" t="n">
        <v>0</v>
      </c>
      <c r="O2739" t="n">
        <v>0</v>
      </c>
      <c r="P2739" t="n">
        <v>0</v>
      </c>
      <c r="Q2739" t="n">
        <v>0</v>
      </c>
      <c r="R2739" s="2" t="inlineStr"/>
    </row>
    <row r="2740" ht="15" customHeight="1">
      <c r="A2740" t="inlineStr">
        <is>
          <t>A 44342-2024</t>
        </is>
      </c>
      <c r="B2740" s="1" t="n">
        <v>45573</v>
      </c>
      <c r="C2740" s="1" t="n">
        <v>45574</v>
      </c>
      <c r="D2740" t="inlineStr">
        <is>
          <t>VÄRMLANDS LÄN</t>
        </is>
      </c>
      <c r="E2740" t="inlineStr">
        <is>
          <t>TORSBY</t>
        </is>
      </c>
      <c r="G2740" t="n">
        <v>0.9</v>
      </c>
      <c r="H2740" t="n">
        <v>0</v>
      </c>
      <c r="I2740" t="n">
        <v>0</v>
      </c>
      <c r="J2740" t="n">
        <v>0</v>
      </c>
      <c r="K2740" t="n">
        <v>0</v>
      </c>
      <c r="L2740" t="n">
        <v>0</v>
      </c>
      <c r="M2740" t="n">
        <v>0</v>
      </c>
      <c r="N2740" t="n">
        <v>0</v>
      </c>
      <c r="O2740" t="n">
        <v>0</v>
      </c>
      <c r="P2740" t="n">
        <v>0</v>
      </c>
      <c r="Q2740" t="n">
        <v>0</v>
      </c>
      <c r="R2740" s="2" t="inlineStr"/>
    </row>
    <row r="2741">
      <c r="A2741" t="inlineStr">
        <is>
          <t>A 44422-2024</t>
        </is>
      </c>
      <c r="B2741" s="1" t="n">
        <v>45573</v>
      </c>
      <c r="C2741" s="1" t="n">
        <v>45574</v>
      </c>
      <c r="D2741" t="inlineStr">
        <is>
          <t>VÄRMLANDS LÄN</t>
        </is>
      </c>
      <c r="E2741" t="inlineStr">
        <is>
          <t>TORSBY</t>
        </is>
      </c>
      <c r="G2741" t="n">
        <v>14.1</v>
      </c>
      <c r="H2741" t="n">
        <v>0</v>
      </c>
      <c r="I2741" t="n">
        <v>0</v>
      </c>
      <c r="J2741" t="n">
        <v>0</v>
      </c>
      <c r="K2741" t="n">
        <v>0</v>
      </c>
      <c r="L2741" t="n">
        <v>0</v>
      </c>
      <c r="M2741" t="n">
        <v>0</v>
      </c>
      <c r="N2741" t="n">
        <v>0</v>
      </c>
      <c r="O2741" t="n">
        <v>0</v>
      </c>
      <c r="P2741" t="n">
        <v>0</v>
      </c>
      <c r="Q2741" t="n">
        <v>0</v>
      </c>
      <c r="R2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2024-10-09T12:39:23Z</dcterms:created>
  <dcterms:modified xmlns:dcterms="http://purl.org/dc/terms/" xmlns:xsi="http://www.w3.org/2001/XMLSchema-instance" xsi:type="dcterms:W3CDTF">2024-10-09T12:39:25Z</dcterms:modified>
</cp:coreProperties>
</file>