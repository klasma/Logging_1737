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46140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46140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46140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46140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46140</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46140</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6315-2025</t>
        </is>
      </c>
      <c r="B8" s="1" t="n">
        <v>45698</v>
      </c>
      <c r="C8" s="1" t="n">
        <v>46140</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46140</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16074-2026</t>
        </is>
      </c>
      <c r="B10" s="1" t="n">
        <v>46108.54122685185</v>
      </c>
      <c r="C10" s="1" t="n">
        <v>46140</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46140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46140</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46140</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46140</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46140</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31203-2022</t>
        </is>
      </c>
      <c r="B16" s="1" t="n">
        <v>44770</v>
      </c>
      <c r="C16" s="1" t="n">
        <v>46140</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744-2026</t>
        </is>
      </c>
      <c r="B17" s="1" t="n">
        <v>46029</v>
      </c>
      <c r="C17" s="1" t="n">
        <v>46140</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42488-2022</t>
        </is>
      </c>
      <c r="B18" s="1" t="n">
        <v>44831</v>
      </c>
      <c r="C18" s="1" t="n">
        <v>46140</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22621-2025</t>
        </is>
      </c>
      <c r="B19" s="1" t="n">
        <v>45789.43234953703</v>
      </c>
      <c r="C19" s="1" t="n">
        <v>46140</v>
      </c>
      <c r="D19" t="inlineStr">
        <is>
          <t>VÄRMLANDS LÄN</t>
        </is>
      </c>
      <c r="E19" t="inlineStr">
        <is>
          <t>TORSBY</t>
        </is>
      </c>
      <c r="G19" t="n">
        <v>17.1</v>
      </c>
      <c r="H19" t="n">
        <v>0</v>
      </c>
      <c r="I19" t="n">
        <v>1</v>
      </c>
      <c r="J19" t="n">
        <v>9</v>
      </c>
      <c r="K19" t="n">
        <v>0</v>
      </c>
      <c r="L19" t="n">
        <v>0</v>
      </c>
      <c r="M19" t="n">
        <v>0</v>
      </c>
      <c r="N19" t="n">
        <v>0</v>
      </c>
      <c r="O19" t="n">
        <v>9</v>
      </c>
      <c r="P19" t="n">
        <v>0</v>
      </c>
      <c r="Q19" t="n">
        <v>10</v>
      </c>
      <c r="R19" s="2" t="inlineStr">
        <is>
          <t>Dvärgbägarlav
Garnlav
Kolflarnlav
Mörk kolflarnlav
Vaddporing
Vedflamlav
Vedskivlav
Vedtrappmossa
Violettgrå tagellav
Nästlav</t>
        </is>
      </c>
      <c r="S19">
        <f>HYPERLINK("https://klasma.github.io/Logging_1737/artfynd/A 22621-2025 artfynd.xlsx", "A 22621-2025")</f>
        <v/>
      </c>
      <c r="T19">
        <f>HYPERLINK("https://klasma.github.io/Logging_1737/kartor/A 22621-2025 karta.png", "A 22621-2025")</f>
        <v/>
      </c>
      <c r="V19">
        <f>HYPERLINK("https://klasma.github.io/Logging_1737/klagomål/A 22621-2025 FSC-klagomål.docx", "A 22621-2025")</f>
        <v/>
      </c>
      <c r="W19">
        <f>HYPERLINK("https://klasma.github.io/Logging_1737/klagomålsmail/A 22621-2025 FSC-klagomål mail.docx", "A 22621-2025")</f>
        <v/>
      </c>
      <c r="X19">
        <f>HYPERLINK("https://klasma.github.io/Logging_1737/tillsyn/A 22621-2025 tillsynsbegäran.docx", "A 22621-2025")</f>
        <v/>
      </c>
      <c r="Y19">
        <f>HYPERLINK("https://klasma.github.io/Logging_1737/tillsynsmail/A 22621-2025 tillsynsbegäran mail.docx", "A 22621-2025")</f>
        <v/>
      </c>
    </row>
    <row r="20" ht="15" customHeight="1">
      <c r="A20" t="inlineStr">
        <is>
          <t>A 22230-2022</t>
        </is>
      </c>
      <c r="B20" s="1" t="n">
        <v>44712</v>
      </c>
      <c r="C20" s="1" t="n">
        <v>46140</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49307-2025</t>
        </is>
      </c>
      <c r="B21" s="1" t="n">
        <v>45938.56018518518</v>
      </c>
      <c r="C21" s="1" t="n">
        <v>46140</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60716-2021</t>
        </is>
      </c>
      <c r="B22" s="1" t="n">
        <v>44496</v>
      </c>
      <c r="C22" s="1" t="n">
        <v>46140</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13525-2026</t>
        </is>
      </c>
      <c r="B23" s="1" t="n">
        <v>46094.64129629629</v>
      </c>
      <c r="C23" s="1" t="n">
        <v>46140</v>
      </c>
      <c r="D23" t="inlineStr">
        <is>
          <t>VÄRMLANDS LÄN</t>
        </is>
      </c>
      <c r="E23" t="inlineStr">
        <is>
          <t>TORSBY</t>
        </is>
      </c>
      <c r="G23" t="n">
        <v>4.3</v>
      </c>
      <c r="H23" t="n">
        <v>0</v>
      </c>
      <c r="I23" t="n">
        <v>2</v>
      </c>
      <c r="J23" t="n">
        <v>7</v>
      </c>
      <c r="K23" t="n">
        <v>0</v>
      </c>
      <c r="L23" t="n">
        <v>0</v>
      </c>
      <c r="M23" t="n">
        <v>0</v>
      </c>
      <c r="N23" t="n">
        <v>0</v>
      </c>
      <c r="O23" t="n">
        <v>7</v>
      </c>
      <c r="P23" t="n">
        <v>0</v>
      </c>
      <c r="Q23" t="n">
        <v>9</v>
      </c>
      <c r="R23" s="2" t="inlineStr">
        <is>
          <t>Dvärgbägarlav
Garnlav
Kolflarnlav
Kortskaftad ärgspik
Mörk kolflarnlav
Vedflamlav
Vedskivlav
Nästlav
Skuggblåslav</t>
        </is>
      </c>
      <c r="S23">
        <f>HYPERLINK("https://klasma.github.io/Logging_1737/artfynd/A 13525-2026 artfynd.xlsx", "A 13525-2026")</f>
        <v/>
      </c>
      <c r="T23">
        <f>HYPERLINK("https://klasma.github.io/Logging_1737/kartor/A 13525-2026 karta.png", "A 13525-2026")</f>
        <v/>
      </c>
      <c r="V23">
        <f>HYPERLINK("https://klasma.github.io/Logging_1737/klagomål/A 13525-2026 FSC-klagomål.docx", "A 13525-2026")</f>
        <v/>
      </c>
      <c r="W23">
        <f>HYPERLINK("https://klasma.github.io/Logging_1737/klagomålsmail/A 13525-2026 FSC-klagomål mail.docx", "A 13525-2026")</f>
        <v/>
      </c>
      <c r="X23">
        <f>HYPERLINK("https://klasma.github.io/Logging_1737/tillsyn/A 13525-2026 tillsynsbegäran.docx", "A 13525-2026")</f>
        <v/>
      </c>
      <c r="Y23">
        <f>HYPERLINK("https://klasma.github.io/Logging_1737/tillsynsmail/A 13525-2026 tillsynsbegäran mail.docx", "A 13525-2026")</f>
        <v/>
      </c>
    </row>
    <row r="24" ht="15" customHeight="1">
      <c r="A24" t="inlineStr">
        <is>
          <t>A 18306-2024</t>
        </is>
      </c>
      <c r="B24" s="1" t="n">
        <v>45422</v>
      </c>
      <c r="C24" s="1" t="n">
        <v>46140</v>
      </c>
      <c r="D24" t="inlineStr">
        <is>
          <t>VÄRMLANDS LÄN</t>
        </is>
      </c>
      <c r="E24" t="inlineStr">
        <is>
          <t>TORSBY</t>
        </is>
      </c>
      <c r="G24" t="n">
        <v>5.5</v>
      </c>
      <c r="H24" t="n">
        <v>0</v>
      </c>
      <c r="I24" t="n">
        <v>3</v>
      </c>
      <c r="J24" t="n">
        <v>5</v>
      </c>
      <c r="K24" t="n">
        <v>0</v>
      </c>
      <c r="L24" t="n">
        <v>0</v>
      </c>
      <c r="M24" t="n">
        <v>0</v>
      </c>
      <c r="N24" t="n">
        <v>0</v>
      </c>
      <c r="O24" t="n">
        <v>5</v>
      </c>
      <c r="P24" t="n">
        <v>0</v>
      </c>
      <c r="Q24" t="n">
        <v>8</v>
      </c>
      <c r="R24" s="2" t="inlineStr">
        <is>
          <t>Garnlav
Lunglav
Nordtagging
Tallticka
Vedtrappmossa
Korallblylav
Stuplav
Vedticka</t>
        </is>
      </c>
      <c r="S24">
        <f>HYPERLINK("https://klasma.github.io/Logging_1737/artfynd/A 18306-2024 artfynd.xlsx", "A 18306-2024")</f>
        <v/>
      </c>
      <c r="T24">
        <f>HYPERLINK("https://klasma.github.io/Logging_1737/kartor/A 18306-2024 karta.png", "A 18306-2024")</f>
        <v/>
      </c>
      <c r="V24">
        <f>HYPERLINK("https://klasma.github.io/Logging_1737/klagomål/A 18306-2024 FSC-klagomål.docx", "A 18306-2024")</f>
        <v/>
      </c>
      <c r="W24">
        <f>HYPERLINK("https://klasma.github.io/Logging_1737/klagomålsmail/A 18306-2024 FSC-klagomål mail.docx", "A 18306-2024")</f>
        <v/>
      </c>
      <c r="X24">
        <f>HYPERLINK("https://klasma.github.io/Logging_1737/tillsyn/A 18306-2024 tillsynsbegäran.docx", "A 18306-2024")</f>
        <v/>
      </c>
      <c r="Y24">
        <f>HYPERLINK("https://klasma.github.io/Logging_1737/tillsynsmail/A 18306-2024 tillsynsbegäran mail.docx", "A 18306-2024")</f>
        <v/>
      </c>
    </row>
    <row r="25" ht="15" customHeight="1">
      <c r="A25" t="inlineStr">
        <is>
          <t>A 41096-2025</t>
        </is>
      </c>
      <c r="B25" s="1" t="n">
        <v>45898</v>
      </c>
      <c r="C25" s="1" t="n">
        <v>46140</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41346-2024</t>
        </is>
      </c>
      <c r="B26" s="1" t="n">
        <v>45559</v>
      </c>
      <c r="C26" s="1" t="n">
        <v>46140</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44562-2023</t>
        </is>
      </c>
      <c r="B27" s="1" t="n">
        <v>45189</v>
      </c>
      <c r="C27" s="1" t="n">
        <v>46140</v>
      </c>
      <c r="D27" t="inlineStr">
        <is>
          <t>VÄRMLANDS LÄN</t>
        </is>
      </c>
      <c r="E27" t="inlineStr">
        <is>
          <t>TORSBY</t>
        </is>
      </c>
      <c r="G27" t="n">
        <v>2</v>
      </c>
      <c r="H27" t="n">
        <v>1</v>
      </c>
      <c r="I27" t="n">
        <v>1</v>
      </c>
      <c r="J27" t="n">
        <v>5</v>
      </c>
      <c r="K27" t="n">
        <v>2</v>
      </c>
      <c r="L27" t="n">
        <v>0</v>
      </c>
      <c r="M27" t="n">
        <v>0</v>
      </c>
      <c r="N27" t="n">
        <v>0</v>
      </c>
      <c r="O27" t="n">
        <v>7</v>
      </c>
      <c r="P27" t="n">
        <v>2</v>
      </c>
      <c r="Q27" t="n">
        <v>8</v>
      </c>
      <c r="R27" s="2" t="inlineStr">
        <is>
          <t>Fläckporing
Knärot
Dvärgbägarlav
Garnlav
Kolflarnlav
Mörk kolflarnlav
Vedskivlav
Kattfotslav</t>
        </is>
      </c>
      <c r="S27">
        <f>HYPERLINK("https://klasma.github.io/Logging_1737/artfynd/A 44562-2023 artfynd.xlsx", "A 44562-2023")</f>
        <v/>
      </c>
      <c r="T27">
        <f>HYPERLINK("https://klasma.github.io/Logging_1737/kartor/A 44562-2023 karta.png", "A 44562-2023")</f>
        <v/>
      </c>
      <c r="U27">
        <f>HYPERLINK("https://klasma.github.io/Logging_1737/knärot/A 44562-2023 karta knärot.png", "A 44562-2023")</f>
        <v/>
      </c>
      <c r="V27">
        <f>HYPERLINK("https://klasma.github.io/Logging_1737/klagomål/A 44562-2023 FSC-klagomål.docx", "A 44562-2023")</f>
        <v/>
      </c>
      <c r="W27">
        <f>HYPERLINK("https://klasma.github.io/Logging_1737/klagomålsmail/A 44562-2023 FSC-klagomål mail.docx", "A 44562-2023")</f>
        <v/>
      </c>
      <c r="X27">
        <f>HYPERLINK("https://klasma.github.io/Logging_1737/tillsyn/A 44562-2023 tillsynsbegäran.docx", "A 44562-2023")</f>
        <v/>
      </c>
      <c r="Y27">
        <f>HYPERLINK("https://klasma.github.io/Logging_1737/tillsynsmail/A 44562-2023 tillsynsbegäran mail.docx", "A 44562-2023")</f>
        <v/>
      </c>
    </row>
    <row r="28" ht="15" customHeight="1">
      <c r="A28" t="inlineStr">
        <is>
          <t>A 66836-2021</t>
        </is>
      </c>
      <c r="B28" s="1" t="n">
        <v>44522</v>
      </c>
      <c r="C28" s="1" t="n">
        <v>46140</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46140</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40934-2025</t>
        </is>
      </c>
      <c r="B30" s="1" t="n">
        <v>45897</v>
      </c>
      <c r="C30" s="1" t="n">
        <v>46140</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46140</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73921-2021</t>
        </is>
      </c>
      <c r="B32" s="1" t="n">
        <v>44553</v>
      </c>
      <c r="C32" s="1" t="n">
        <v>46140</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26488-2025</t>
        </is>
      </c>
      <c r="B33" s="1" t="n">
        <v>45807.47668981482</v>
      </c>
      <c r="C33" s="1" t="n">
        <v>46140</v>
      </c>
      <c r="D33" t="inlineStr">
        <is>
          <t>VÄRMLANDS LÄN</t>
        </is>
      </c>
      <c r="E33" t="inlineStr">
        <is>
          <t>TORSBY</t>
        </is>
      </c>
      <c r="G33" t="n">
        <v>1.6</v>
      </c>
      <c r="H33" t="n">
        <v>2</v>
      </c>
      <c r="I33" t="n">
        <v>3</v>
      </c>
      <c r="J33" t="n">
        <v>3</v>
      </c>
      <c r="K33" t="n">
        <v>0</v>
      </c>
      <c r="L33" t="n">
        <v>0</v>
      </c>
      <c r="M33" t="n">
        <v>0</v>
      </c>
      <c r="N33" t="n">
        <v>0</v>
      </c>
      <c r="O33" t="n">
        <v>3</v>
      </c>
      <c r="P33" t="n">
        <v>0</v>
      </c>
      <c r="Q33" t="n">
        <v>7</v>
      </c>
      <c r="R33" s="2" t="inlineStr">
        <is>
          <t>Garnlav
Motaggsvamp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17057-2025</t>
        </is>
      </c>
      <c r="B34" s="1" t="n">
        <v>45754</v>
      </c>
      <c r="C34" s="1" t="n">
        <v>46140</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12294-2025</t>
        </is>
      </c>
      <c r="B35" s="1" t="n">
        <v>45729</v>
      </c>
      <c r="C35" s="1" t="n">
        <v>46140</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44477-2024</t>
        </is>
      </c>
      <c r="B36" s="1" t="n">
        <v>45574</v>
      </c>
      <c r="C36" s="1" t="n">
        <v>46140</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22604-2025</t>
        </is>
      </c>
      <c r="B37" s="1" t="n">
        <v>45789.41592592592</v>
      </c>
      <c r="C37" s="1" t="n">
        <v>46140</v>
      </c>
      <c r="D37" t="inlineStr">
        <is>
          <t>VÄRMLANDS LÄN</t>
        </is>
      </c>
      <c r="E37" t="inlineStr">
        <is>
          <t>TORSBY</t>
        </is>
      </c>
      <c r="G37" t="n">
        <v>13.3</v>
      </c>
      <c r="H37" t="n">
        <v>0</v>
      </c>
      <c r="I37" t="n">
        <v>0</v>
      </c>
      <c r="J37" t="n">
        <v>6</v>
      </c>
      <c r="K37" t="n">
        <v>0</v>
      </c>
      <c r="L37" t="n">
        <v>0</v>
      </c>
      <c r="M37" t="n">
        <v>0</v>
      </c>
      <c r="N37" t="n">
        <v>0</v>
      </c>
      <c r="O37" t="n">
        <v>6</v>
      </c>
      <c r="P37" t="n">
        <v>0</v>
      </c>
      <c r="Q37" t="n">
        <v>6</v>
      </c>
      <c r="R37" s="2" t="inlineStr">
        <is>
          <t>Dvärgbägarlav
Garnlav
Kolflarnlav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49109-2021</t>
        </is>
      </c>
      <c r="B38" s="1" t="n">
        <v>44453</v>
      </c>
      <c r="C38" s="1" t="n">
        <v>46140</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46140</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46140</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46140</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8514-2022</t>
        </is>
      </c>
      <c r="B42" s="1" t="n">
        <v>44613</v>
      </c>
      <c r="C42" s="1" t="n">
        <v>46140</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4972-2022</t>
        </is>
      </c>
      <c r="B43" s="1" t="n">
        <v>44593</v>
      </c>
      <c r="C43" s="1" t="n">
        <v>46140</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62275-2023</t>
        </is>
      </c>
      <c r="B44" s="1" t="n">
        <v>45267</v>
      </c>
      <c r="C44" s="1" t="n">
        <v>46140</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32986-2025</t>
        </is>
      </c>
      <c r="B45" s="1" t="n">
        <v>45839.96859953704</v>
      </c>
      <c r="C45" s="1" t="n">
        <v>46140</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36543-2025</t>
        </is>
      </c>
      <c r="B46" s="1" t="n">
        <v>45869.66658564815</v>
      </c>
      <c r="C46" s="1" t="n">
        <v>46140</v>
      </c>
      <c r="D46" t="inlineStr">
        <is>
          <t>VÄRMLANDS LÄN</t>
        </is>
      </c>
      <c r="E46" t="inlineStr">
        <is>
          <t>TORSBY</t>
        </is>
      </c>
      <c r="G46" t="n">
        <v>7.4</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36543-2025 artfynd.xlsx", "A 36543-2025")</f>
        <v/>
      </c>
      <c r="T46">
        <f>HYPERLINK("https://klasma.github.io/Logging_1737/kartor/A 36543-2025 karta.png", "A 36543-2025")</f>
        <v/>
      </c>
      <c r="V46">
        <f>HYPERLINK("https://klasma.github.io/Logging_1737/klagomål/A 36543-2025 FSC-klagomål.docx", "A 36543-2025")</f>
        <v/>
      </c>
      <c r="W46">
        <f>HYPERLINK("https://klasma.github.io/Logging_1737/klagomålsmail/A 36543-2025 FSC-klagomål mail.docx", "A 36543-2025")</f>
        <v/>
      </c>
      <c r="X46">
        <f>HYPERLINK("https://klasma.github.io/Logging_1737/tillsyn/A 36543-2025 tillsynsbegäran.docx", "A 36543-2025")</f>
        <v/>
      </c>
      <c r="Y46">
        <f>HYPERLINK("https://klasma.github.io/Logging_1737/tillsynsmail/A 36543-2025 tillsynsbegäran mail.docx", "A 36543-2025")</f>
        <v/>
      </c>
    </row>
    <row r="47" ht="15" customHeight="1">
      <c r="A47" t="inlineStr">
        <is>
          <t>A 2938-2025</t>
        </is>
      </c>
      <c r="B47" s="1" t="n">
        <v>45678</v>
      </c>
      <c r="C47" s="1" t="n">
        <v>46140</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46140</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46140</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37948-2024</t>
        </is>
      </c>
      <c r="B50" s="1" t="n">
        <v>45544</v>
      </c>
      <c r="C50" s="1" t="n">
        <v>46140</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42501-2022</t>
        </is>
      </c>
      <c r="B51" s="1" t="n">
        <v>44831</v>
      </c>
      <c r="C51" s="1" t="n">
        <v>46140</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15086-2025</t>
        </is>
      </c>
      <c r="B52" s="1" t="n">
        <v>45743</v>
      </c>
      <c r="C52" s="1" t="n">
        <v>46140</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17149-2026</t>
        </is>
      </c>
      <c r="B53" s="1" t="n">
        <v>46114</v>
      </c>
      <c r="C53" s="1" t="n">
        <v>46140</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20763-2025</t>
        </is>
      </c>
      <c r="B54" s="1" t="n">
        <v>45776.57929398148</v>
      </c>
      <c r="C54" s="1" t="n">
        <v>46140</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25899-2024</t>
        </is>
      </c>
      <c r="B55" s="1" t="n">
        <v>45467</v>
      </c>
      <c r="C55" s="1" t="n">
        <v>46140</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70301-2021</t>
        </is>
      </c>
      <c r="B56" s="1" t="n">
        <v>44536</v>
      </c>
      <c r="C56" s="1" t="n">
        <v>46140</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23576-2022</t>
        </is>
      </c>
      <c r="B57" s="1" t="n">
        <v>44721</v>
      </c>
      <c r="C57" s="1" t="n">
        <v>46140</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67528-2021</t>
        </is>
      </c>
      <c r="B58" s="1" t="n">
        <v>44524</v>
      </c>
      <c r="C58" s="1" t="n">
        <v>46140</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42480-2022</t>
        </is>
      </c>
      <c r="B59" s="1" t="n">
        <v>44831</v>
      </c>
      <c r="C59" s="1" t="n">
        <v>46140</v>
      </c>
      <c r="D59" t="inlineStr">
        <is>
          <t>VÄRMLANDS LÄN</t>
        </is>
      </c>
      <c r="E59" t="inlineStr">
        <is>
          <t>TORSBY</t>
        </is>
      </c>
      <c r="F59" t="inlineStr">
        <is>
          <t>Kommuner</t>
        </is>
      </c>
      <c r="G59" t="n">
        <v>3.7</v>
      </c>
      <c r="H59" t="n">
        <v>1</v>
      </c>
      <c r="I59" t="n">
        <v>0</v>
      </c>
      <c r="J59" t="n">
        <v>2</v>
      </c>
      <c r="K59" t="n">
        <v>1</v>
      </c>
      <c r="L59" t="n">
        <v>0</v>
      </c>
      <c r="M59" t="n">
        <v>0</v>
      </c>
      <c r="N59" t="n">
        <v>0</v>
      </c>
      <c r="O59" t="n">
        <v>3</v>
      </c>
      <c r="P59" t="n">
        <v>1</v>
      </c>
      <c r="Q59" t="n">
        <v>3</v>
      </c>
      <c r="R59" s="2" t="inlineStr">
        <is>
          <t>Knärot
Garnlav
Vedskivlav</t>
        </is>
      </c>
      <c r="S59">
        <f>HYPERLINK("https://klasma.github.io/Logging_1737/artfynd/A 42480-2022 artfynd.xlsx", "A 42480-2022")</f>
        <v/>
      </c>
      <c r="T59">
        <f>HYPERLINK("https://klasma.github.io/Logging_1737/kartor/A 42480-2022 karta.png", "A 42480-2022")</f>
        <v/>
      </c>
      <c r="U59">
        <f>HYPERLINK("https://klasma.github.io/Logging_1737/knärot/A 42480-2022 karta knärot.png", "A 42480-2022")</f>
        <v/>
      </c>
      <c r="V59">
        <f>HYPERLINK("https://klasma.github.io/Logging_1737/klagomål/A 42480-2022 FSC-klagomål.docx", "A 42480-2022")</f>
        <v/>
      </c>
      <c r="W59">
        <f>HYPERLINK("https://klasma.github.io/Logging_1737/klagomålsmail/A 42480-2022 FSC-klagomål mail.docx", "A 42480-2022")</f>
        <v/>
      </c>
      <c r="X59">
        <f>HYPERLINK("https://klasma.github.io/Logging_1737/tillsyn/A 42480-2022 tillsynsbegäran.docx", "A 42480-2022")</f>
        <v/>
      </c>
      <c r="Y59">
        <f>HYPERLINK("https://klasma.github.io/Logging_1737/tillsynsmail/A 42480-2022 tillsynsbegäran mail.docx", "A 42480-2022")</f>
        <v/>
      </c>
    </row>
    <row r="60" ht="15" customHeight="1">
      <c r="A60" t="inlineStr">
        <is>
          <t>A 42595-2025</t>
        </is>
      </c>
      <c r="B60" s="1" t="n">
        <v>45905</v>
      </c>
      <c r="C60" s="1" t="n">
        <v>46140</v>
      </c>
      <c r="D60" t="inlineStr">
        <is>
          <t>VÄRMLANDS LÄN</t>
        </is>
      </c>
      <c r="E60" t="inlineStr">
        <is>
          <t>TORSBY</t>
        </is>
      </c>
      <c r="G60" t="n">
        <v>1</v>
      </c>
      <c r="H60" t="n">
        <v>0</v>
      </c>
      <c r="I60" t="n">
        <v>0</v>
      </c>
      <c r="J60" t="n">
        <v>2</v>
      </c>
      <c r="K60" t="n">
        <v>1</v>
      </c>
      <c r="L60" t="n">
        <v>0</v>
      </c>
      <c r="M60" t="n">
        <v>0</v>
      </c>
      <c r="N60" t="n">
        <v>0</v>
      </c>
      <c r="O60" t="n">
        <v>3</v>
      </c>
      <c r="P60" t="n">
        <v>1</v>
      </c>
      <c r="Q60" t="n">
        <v>3</v>
      </c>
      <c r="R60" s="2" t="inlineStr">
        <is>
          <t>Norsk näverlav
Vedtrappmossa
Violettgrå tagellav</t>
        </is>
      </c>
      <c r="S60">
        <f>HYPERLINK("https://klasma.github.io/Logging_1737/artfynd/A 42595-2025 artfynd.xlsx", "A 42595-2025")</f>
        <v/>
      </c>
      <c r="T60">
        <f>HYPERLINK("https://klasma.github.io/Logging_1737/kartor/A 42595-2025 karta.png", "A 42595-2025")</f>
        <v/>
      </c>
      <c r="V60">
        <f>HYPERLINK("https://klasma.github.io/Logging_1737/klagomål/A 42595-2025 FSC-klagomål.docx", "A 42595-2025")</f>
        <v/>
      </c>
      <c r="W60">
        <f>HYPERLINK("https://klasma.github.io/Logging_1737/klagomålsmail/A 42595-2025 FSC-klagomål mail.docx", "A 42595-2025")</f>
        <v/>
      </c>
      <c r="X60">
        <f>HYPERLINK("https://klasma.github.io/Logging_1737/tillsyn/A 42595-2025 tillsynsbegäran.docx", "A 42595-2025")</f>
        <v/>
      </c>
      <c r="Y60">
        <f>HYPERLINK("https://klasma.github.io/Logging_1737/tillsynsmail/A 42595-2025 tillsynsbegäran mail.docx", "A 42595-2025")</f>
        <v/>
      </c>
    </row>
    <row r="61" ht="15" customHeight="1">
      <c r="A61" t="inlineStr">
        <is>
          <t>A 31835-2024</t>
        </is>
      </c>
      <c r="B61" s="1" t="n">
        <v>45509</v>
      </c>
      <c r="C61" s="1" t="n">
        <v>46140</v>
      </c>
      <c r="D61" t="inlineStr">
        <is>
          <t>VÄRMLANDS LÄN</t>
        </is>
      </c>
      <c r="E61" t="inlineStr">
        <is>
          <t>TORSBY</t>
        </is>
      </c>
      <c r="G61" t="n">
        <v>27.3</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31835-2024 artfynd.xlsx", "A 31835-2024")</f>
        <v/>
      </c>
      <c r="T61">
        <f>HYPERLINK("https://klasma.github.io/Logging_1737/kartor/A 31835-2024 karta.png", "A 31835-2024")</f>
        <v/>
      </c>
      <c r="V61">
        <f>HYPERLINK("https://klasma.github.io/Logging_1737/klagomål/A 31835-2024 FSC-klagomål.docx", "A 31835-2024")</f>
        <v/>
      </c>
      <c r="W61">
        <f>HYPERLINK("https://klasma.github.io/Logging_1737/klagomålsmail/A 31835-2024 FSC-klagomål mail.docx", "A 31835-2024")</f>
        <v/>
      </c>
      <c r="X61">
        <f>HYPERLINK("https://klasma.github.io/Logging_1737/tillsyn/A 31835-2024 tillsynsbegäran.docx", "A 31835-2024")</f>
        <v/>
      </c>
      <c r="Y61">
        <f>HYPERLINK("https://klasma.github.io/Logging_1737/tillsynsmail/A 31835-2024 tillsynsbegäran mail.docx", "A 31835-2024")</f>
        <v/>
      </c>
    </row>
    <row r="62" ht="15" customHeight="1">
      <c r="A62" t="inlineStr">
        <is>
          <t>A 45468-2025</t>
        </is>
      </c>
      <c r="B62" s="1" t="n">
        <v>45922</v>
      </c>
      <c r="C62" s="1" t="n">
        <v>46140</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42590-2023</t>
        </is>
      </c>
      <c r="B63" s="1" t="n">
        <v>45181</v>
      </c>
      <c r="C63" s="1" t="n">
        <v>46140</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19030-2025</t>
        </is>
      </c>
      <c r="B64" s="1" t="n">
        <v>45764.65658564815</v>
      </c>
      <c r="C64" s="1" t="n">
        <v>46140</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59789-2024</t>
        </is>
      </c>
      <c r="B65" s="1" t="n">
        <v>45639</v>
      </c>
      <c r="C65" s="1" t="n">
        <v>46140</v>
      </c>
      <c r="D65" t="inlineStr">
        <is>
          <t>VÄRMLANDS LÄN</t>
        </is>
      </c>
      <c r="E65" t="inlineStr">
        <is>
          <t>TORSBY</t>
        </is>
      </c>
      <c r="G65" t="n">
        <v>4.8</v>
      </c>
      <c r="H65" t="n">
        <v>0</v>
      </c>
      <c r="I65" t="n">
        <v>0</v>
      </c>
      <c r="J65" t="n">
        <v>3</v>
      </c>
      <c r="K65" t="n">
        <v>0</v>
      </c>
      <c r="L65" t="n">
        <v>0</v>
      </c>
      <c r="M65" t="n">
        <v>0</v>
      </c>
      <c r="N65" t="n">
        <v>0</v>
      </c>
      <c r="O65" t="n">
        <v>3</v>
      </c>
      <c r="P65" t="n">
        <v>0</v>
      </c>
      <c r="Q65" t="n">
        <v>3</v>
      </c>
      <c r="R65" s="2" t="inlineStr">
        <is>
          <t>Garnlav
Vedskivlav
Violettgrå tagellav</t>
        </is>
      </c>
      <c r="S65">
        <f>HYPERLINK("https://klasma.github.io/Logging_1737/artfynd/A 59789-2024 artfynd.xlsx", "A 59789-2024")</f>
        <v/>
      </c>
      <c r="T65">
        <f>HYPERLINK("https://klasma.github.io/Logging_1737/kartor/A 59789-2024 karta.png", "A 59789-2024")</f>
        <v/>
      </c>
      <c r="V65">
        <f>HYPERLINK("https://klasma.github.io/Logging_1737/klagomål/A 59789-2024 FSC-klagomål.docx", "A 59789-2024")</f>
        <v/>
      </c>
      <c r="W65">
        <f>HYPERLINK("https://klasma.github.io/Logging_1737/klagomålsmail/A 59789-2024 FSC-klagomål mail.docx", "A 59789-2024")</f>
        <v/>
      </c>
      <c r="X65">
        <f>HYPERLINK("https://klasma.github.io/Logging_1737/tillsyn/A 59789-2024 tillsynsbegäran.docx", "A 59789-2024")</f>
        <v/>
      </c>
      <c r="Y65">
        <f>HYPERLINK("https://klasma.github.io/Logging_1737/tillsynsmail/A 59789-2024 tillsynsbegäran mail.docx", "A 59789-2024")</f>
        <v/>
      </c>
    </row>
    <row r="66" ht="15" customHeight="1">
      <c r="A66" t="inlineStr">
        <is>
          <t>A 15044-2025</t>
        </is>
      </c>
      <c r="B66" s="1" t="n">
        <v>45743</v>
      </c>
      <c r="C66" s="1" t="n">
        <v>46140</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5680-2024</t>
        </is>
      </c>
      <c r="B67" s="1" t="n">
        <v>45334</v>
      </c>
      <c r="C67" s="1" t="n">
        <v>46140</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17740-2025</t>
        </is>
      </c>
      <c r="B68" s="1" t="n">
        <v>45758</v>
      </c>
      <c r="C68" s="1" t="n">
        <v>46140</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14968-2026</t>
        </is>
      </c>
      <c r="B69" s="1" t="n">
        <v>46104.56141203704</v>
      </c>
      <c r="C69" s="1" t="n">
        <v>46140</v>
      </c>
      <c r="D69" t="inlineStr">
        <is>
          <t>VÄRMLANDS LÄN</t>
        </is>
      </c>
      <c r="E69" t="inlineStr">
        <is>
          <t>TORSBY</t>
        </is>
      </c>
      <c r="F69" t="inlineStr">
        <is>
          <t>Bergvik skog väst AB</t>
        </is>
      </c>
      <c r="G69" t="n">
        <v>12</v>
      </c>
      <c r="H69" t="n">
        <v>1</v>
      </c>
      <c r="I69" t="n">
        <v>0</v>
      </c>
      <c r="J69" t="n">
        <v>3</v>
      </c>
      <c r="K69" t="n">
        <v>0</v>
      </c>
      <c r="L69" t="n">
        <v>0</v>
      </c>
      <c r="M69" t="n">
        <v>0</v>
      </c>
      <c r="N69" t="n">
        <v>0</v>
      </c>
      <c r="O69" t="n">
        <v>3</v>
      </c>
      <c r="P69" t="n">
        <v>0</v>
      </c>
      <c r="Q69" t="n">
        <v>3</v>
      </c>
      <c r="R69" s="2" t="inlineStr">
        <is>
          <t>Lunglav
Skrovellav
Utter</t>
        </is>
      </c>
      <c r="S69">
        <f>HYPERLINK("https://klasma.github.io/Logging_1737/artfynd/A 14968-2026 artfynd.xlsx", "A 14968-2026")</f>
        <v/>
      </c>
      <c r="T69">
        <f>HYPERLINK("https://klasma.github.io/Logging_1737/kartor/A 14968-2026 karta.png", "A 14968-2026")</f>
        <v/>
      </c>
      <c r="V69">
        <f>HYPERLINK("https://klasma.github.io/Logging_1737/klagomål/A 14968-2026 FSC-klagomål.docx", "A 14968-2026")</f>
        <v/>
      </c>
      <c r="W69">
        <f>HYPERLINK("https://klasma.github.io/Logging_1737/klagomålsmail/A 14968-2026 FSC-klagomål mail.docx", "A 14968-2026")</f>
        <v/>
      </c>
      <c r="X69">
        <f>HYPERLINK("https://klasma.github.io/Logging_1737/tillsyn/A 14968-2026 tillsynsbegäran.docx", "A 14968-2026")</f>
        <v/>
      </c>
      <c r="Y69">
        <f>HYPERLINK("https://klasma.github.io/Logging_1737/tillsynsmail/A 14968-2026 tillsynsbegäran mail.docx", "A 14968-2026")</f>
        <v/>
      </c>
    </row>
    <row r="70" ht="15" customHeight="1">
      <c r="A70" t="inlineStr">
        <is>
          <t>A 46016-2023</t>
        </is>
      </c>
      <c r="B70" s="1" t="n">
        <v>45196</v>
      </c>
      <c r="C70" s="1" t="n">
        <v>46140</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20226-2026</t>
        </is>
      </c>
      <c r="B71" s="1" t="n">
        <v>46139.44967592593</v>
      </c>
      <c r="C71" s="1" t="n">
        <v>46140</v>
      </c>
      <c r="D71" t="inlineStr">
        <is>
          <t>VÄRMLANDS LÄN</t>
        </is>
      </c>
      <c r="E71" t="inlineStr">
        <is>
          <t>TORSBY</t>
        </is>
      </c>
      <c r="G71" t="n">
        <v>4.6</v>
      </c>
      <c r="H71" t="n">
        <v>0</v>
      </c>
      <c r="I71" t="n">
        <v>0</v>
      </c>
      <c r="J71" t="n">
        <v>3</v>
      </c>
      <c r="K71" t="n">
        <v>0</v>
      </c>
      <c r="L71" t="n">
        <v>0</v>
      </c>
      <c r="M71" t="n">
        <v>0</v>
      </c>
      <c r="N71" t="n">
        <v>0</v>
      </c>
      <c r="O71" t="n">
        <v>3</v>
      </c>
      <c r="P71" t="n">
        <v>0</v>
      </c>
      <c r="Q71" t="n">
        <v>3</v>
      </c>
      <c r="R71" s="2" t="inlineStr">
        <is>
          <t>Garnlav
Lunglav
Violettgrå tagellav</t>
        </is>
      </c>
      <c r="S71">
        <f>HYPERLINK("https://klasma.github.io/Logging_1737/artfynd/A 20226-2026 artfynd.xlsx", "A 20226-2026")</f>
        <v/>
      </c>
      <c r="T71">
        <f>HYPERLINK("https://klasma.github.io/Logging_1737/kartor/A 20226-2026 karta.png", "A 20226-2026")</f>
        <v/>
      </c>
      <c r="V71">
        <f>HYPERLINK("https://klasma.github.io/Logging_1737/klagomål/A 20226-2026 FSC-klagomål.docx", "A 20226-2026")</f>
        <v/>
      </c>
      <c r="W71">
        <f>HYPERLINK("https://klasma.github.io/Logging_1737/klagomålsmail/A 20226-2026 FSC-klagomål mail.docx", "A 20226-2026")</f>
        <v/>
      </c>
      <c r="X71">
        <f>HYPERLINK("https://klasma.github.io/Logging_1737/tillsyn/A 20226-2026 tillsynsbegäran.docx", "A 20226-2026")</f>
        <v/>
      </c>
      <c r="Y71">
        <f>HYPERLINK("https://klasma.github.io/Logging_1737/tillsynsmail/A 20226-2026 tillsynsbegäran mail.docx", "A 20226-2026")</f>
        <v/>
      </c>
    </row>
    <row r="72" ht="15" customHeight="1">
      <c r="A72" t="inlineStr">
        <is>
          <t>A 3099-2024</t>
        </is>
      </c>
      <c r="B72" s="1" t="n">
        <v>45316</v>
      </c>
      <c r="C72" s="1" t="n">
        <v>46140</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57190-2024</t>
        </is>
      </c>
      <c r="B73" s="1" t="n">
        <v>45629</v>
      </c>
      <c r="C73" s="1" t="n">
        <v>46140</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4557-2022</t>
        </is>
      </c>
      <c r="B74" s="1" t="n">
        <v>44591.47540509259</v>
      </c>
      <c r="C74" s="1" t="n">
        <v>46140</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46140</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46140</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2000-2023</t>
        </is>
      </c>
      <c r="B77" s="1" t="n">
        <v>44939</v>
      </c>
      <c r="C77" s="1" t="n">
        <v>46140</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16414-2023</t>
        </is>
      </c>
      <c r="B78" s="1" t="n">
        <v>45022</v>
      </c>
      <c r="C78" s="1" t="n">
        <v>46140</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48292-2023</t>
        </is>
      </c>
      <c r="B79" s="1" t="n">
        <v>45205</v>
      </c>
      <c r="C79" s="1" t="n">
        <v>46140</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33906-2025</t>
        </is>
      </c>
      <c r="B80" s="1" t="n">
        <v>45842.59878472222</v>
      </c>
      <c r="C80" s="1" t="n">
        <v>46140</v>
      </c>
      <c r="D80" t="inlineStr">
        <is>
          <t>VÄRMLANDS LÄN</t>
        </is>
      </c>
      <c r="E80" t="inlineStr">
        <is>
          <t>TORSBY</t>
        </is>
      </c>
      <c r="G80" t="n">
        <v>11.5</v>
      </c>
      <c r="H80" t="n">
        <v>0</v>
      </c>
      <c r="I80" t="n">
        <v>1</v>
      </c>
      <c r="J80" t="n">
        <v>1</v>
      </c>
      <c r="K80" t="n">
        <v>0</v>
      </c>
      <c r="L80" t="n">
        <v>0</v>
      </c>
      <c r="M80" t="n">
        <v>0</v>
      </c>
      <c r="N80" t="n">
        <v>0</v>
      </c>
      <c r="O80" t="n">
        <v>1</v>
      </c>
      <c r="P80" t="n">
        <v>0</v>
      </c>
      <c r="Q80" t="n">
        <v>2</v>
      </c>
      <c r="R80" s="2" t="inlineStr">
        <is>
          <t>Garnlav
Korallblylav</t>
        </is>
      </c>
      <c r="S80">
        <f>HYPERLINK("https://klasma.github.io/Logging_1737/artfynd/A 33906-2025 artfynd.xlsx", "A 33906-2025")</f>
        <v/>
      </c>
      <c r="T80">
        <f>HYPERLINK("https://klasma.github.io/Logging_1737/kartor/A 33906-2025 karta.png", "A 33906-2025")</f>
        <v/>
      </c>
      <c r="V80">
        <f>HYPERLINK("https://klasma.github.io/Logging_1737/klagomål/A 33906-2025 FSC-klagomål.docx", "A 33906-2025")</f>
        <v/>
      </c>
      <c r="W80">
        <f>HYPERLINK("https://klasma.github.io/Logging_1737/klagomålsmail/A 33906-2025 FSC-klagomål mail.docx", "A 33906-2025")</f>
        <v/>
      </c>
      <c r="X80">
        <f>HYPERLINK("https://klasma.github.io/Logging_1737/tillsyn/A 33906-2025 tillsynsbegäran.docx", "A 33906-2025")</f>
        <v/>
      </c>
      <c r="Y80">
        <f>HYPERLINK("https://klasma.github.io/Logging_1737/tillsynsmail/A 33906-2025 tillsynsbegäran mail.docx", "A 33906-2025")</f>
        <v/>
      </c>
    </row>
    <row r="81" ht="15" customHeight="1">
      <c r="A81" t="inlineStr">
        <is>
          <t>A 42488-2025</t>
        </is>
      </c>
      <c r="B81" s="1" t="n">
        <v>45905</v>
      </c>
      <c r="C81" s="1" t="n">
        <v>46140</v>
      </c>
      <c r="D81" t="inlineStr">
        <is>
          <t>VÄRMLANDS LÄN</t>
        </is>
      </c>
      <c r="E81" t="inlineStr">
        <is>
          <t>TORSBY</t>
        </is>
      </c>
      <c r="G81" t="n">
        <v>4.1</v>
      </c>
      <c r="H81" t="n">
        <v>0</v>
      </c>
      <c r="I81" t="n">
        <v>2</v>
      </c>
      <c r="J81" t="n">
        <v>0</v>
      </c>
      <c r="K81" t="n">
        <v>0</v>
      </c>
      <c r="L81" t="n">
        <v>0</v>
      </c>
      <c r="M81" t="n">
        <v>0</v>
      </c>
      <c r="N81" t="n">
        <v>0</v>
      </c>
      <c r="O81" t="n">
        <v>0</v>
      </c>
      <c r="P81" t="n">
        <v>0</v>
      </c>
      <c r="Q81" t="n">
        <v>2</v>
      </c>
      <c r="R81" s="2" t="inlineStr">
        <is>
          <t>Skuggblåslav
Vedticka</t>
        </is>
      </c>
      <c r="S81">
        <f>HYPERLINK("https://klasma.github.io/Logging_1737/artfynd/A 42488-2025 artfynd.xlsx", "A 42488-2025")</f>
        <v/>
      </c>
      <c r="T81">
        <f>HYPERLINK("https://klasma.github.io/Logging_1737/kartor/A 42488-2025 karta.png", "A 42488-2025")</f>
        <v/>
      </c>
      <c r="V81">
        <f>HYPERLINK("https://klasma.github.io/Logging_1737/klagomål/A 42488-2025 FSC-klagomål.docx", "A 42488-2025")</f>
        <v/>
      </c>
      <c r="W81">
        <f>HYPERLINK("https://klasma.github.io/Logging_1737/klagomålsmail/A 42488-2025 FSC-klagomål mail.docx", "A 42488-2025")</f>
        <v/>
      </c>
      <c r="X81">
        <f>HYPERLINK("https://klasma.github.io/Logging_1737/tillsyn/A 42488-2025 tillsynsbegäran.docx", "A 42488-2025")</f>
        <v/>
      </c>
      <c r="Y81">
        <f>HYPERLINK("https://klasma.github.io/Logging_1737/tillsynsmail/A 42488-2025 tillsynsbegäran mail.docx", "A 42488-2025")</f>
        <v/>
      </c>
    </row>
    <row r="82" ht="15" customHeight="1">
      <c r="A82" t="inlineStr">
        <is>
          <t>A 46580-2025</t>
        </is>
      </c>
      <c r="B82" s="1" t="n">
        <v>45926</v>
      </c>
      <c r="C82" s="1" t="n">
        <v>46140</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46140</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62250-2025</t>
        </is>
      </c>
      <c r="B84" s="1" t="n">
        <v>46006</v>
      </c>
      <c r="C84" s="1" t="n">
        <v>46140</v>
      </c>
      <c r="D84" t="inlineStr">
        <is>
          <t>VÄRMLANDS LÄN</t>
        </is>
      </c>
      <c r="E84" t="inlineStr">
        <is>
          <t>TORSBY</t>
        </is>
      </c>
      <c r="F84" t="inlineStr">
        <is>
          <t>Bergvik skog väst AB</t>
        </is>
      </c>
      <c r="G84" t="n">
        <v>1.3</v>
      </c>
      <c r="H84" t="n">
        <v>0</v>
      </c>
      <c r="I84" t="n">
        <v>1</v>
      </c>
      <c r="J84" t="n">
        <v>1</v>
      </c>
      <c r="K84" t="n">
        <v>0</v>
      </c>
      <c r="L84" t="n">
        <v>0</v>
      </c>
      <c r="M84" t="n">
        <v>0</v>
      </c>
      <c r="N84" t="n">
        <v>0</v>
      </c>
      <c r="O84" t="n">
        <v>1</v>
      </c>
      <c r="P84" t="n">
        <v>0</v>
      </c>
      <c r="Q84" t="n">
        <v>2</v>
      </c>
      <c r="R84" s="2" t="inlineStr">
        <is>
          <t>Garnlav
Skuggblåslav</t>
        </is>
      </c>
      <c r="S84">
        <f>HYPERLINK("https://klasma.github.io/Logging_1737/artfynd/A 62250-2025 artfynd.xlsx", "A 62250-2025")</f>
        <v/>
      </c>
      <c r="T84">
        <f>HYPERLINK("https://klasma.github.io/Logging_1737/kartor/A 62250-2025 karta.png", "A 62250-2025")</f>
        <v/>
      </c>
      <c r="V84">
        <f>HYPERLINK("https://klasma.github.io/Logging_1737/klagomål/A 62250-2025 FSC-klagomål.docx", "A 62250-2025")</f>
        <v/>
      </c>
      <c r="W84">
        <f>HYPERLINK("https://klasma.github.io/Logging_1737/klagomålsmail/A 62250-2025 FSC-klagomål mail.docx", "A 62250-2025")</f>
        <v/>
      </c>
      <c r="X84">
        <f>HYPERLINK("https://klasma.github.io/Logging_1737/tillsyn/A 62250-2025 tillsynsbegäran.docx", "A 62250-2025")</f>
        <v/>
      </c>
      <c r="Y84">
        <f>HYPERLINK("https://klasma.github.io/Logging_1737/tillsynsmail/A 62250-2025 tillsynsbegäran mail.docx", "A 62250-2025")</f>
        <v/>
      </c>
    </row>
    <row r="85" ht="15" customHeight="1">
      <c r="A85" t="inlineStr">
        <is>
          <t>A 63388-2025</t>
        </is>
      </c>
      <c r="B85" s="1" t="n">
        <v>46011</v>
      </c>
      <c r="C85" s="1" t="n">
        <v>46140</v>
      </c>
      <c r="D85" t="inlineStr">
        <is>
          <t>VÄRMLANDS LÄN</t>
        </is>
      </c>
      <c r="E85" t="inlineStr">
        <is>
          <t>TORSBY</t>
        </is>
      </c>
      <c r="G85" t="n">
        <v>5.4</v>
      </c>
      <c r="H85" t="n">
        <v>0</v>
      </c>
      <c r="I85" t="n">
        <v>0</v>
      </c>
      <c r="J85" t="n">
        <v>2</v>
      </c>
      <c r="K85" t="n">
        <v>0</v>
      </c>
      <c r="L85" t="n">
        <v>0</v>
      </c>
      <c r="M85" t="n">
        <v>0</v>
      </c>
      <c r="N85" t="n">
        <v>0</v>
      </c>
      <c r="O85" t="n">
        <v>2</v>
      </c>
      <c r="P85" t="n">
        <v>0</v>
      </c>
      <c r="Q85" t="n">
        <v>2</v>
      </c>
      <c r="R85" s="2" t="inlineStr">
        <is>
          <t>Mörk kolflarnlav
Vedskivlav</t>
        </is>
      </c>
      <c r="S85">
        <f>HYPERLINK("https://klasma.github.io/Logging_1737/artfynd/A 63388-2025 artfynd.xlsx", "A 63388-2025")</f>
        <v/>
      </c>
      <c r="T85">
        <f>HYPERLINK("https://klasma.github.io/Logging_1737/kartor/A 63388-2025 karta.png", "A 63388-2025")</f>
        <v/>
      </c>
      <c r="V85">
        <f>HYPERLINK("https://klasma.github.io/Logging_1737/klagomål/A 63388-2025 FSC-klagomål.docx", "A 63388-2025")</f>
        <v/>
      </c>
      <c r="W85">
        <f>HYPERLINK("https://klasma.github.io/Logging_1737/klagomålsmail/A 63388-2025 FSC-klagomål mail.docx", "A 63388-2025")</f>
        <v/>
      </c>
      <c r="X85">
        <f>HYPERLINK("https://klasma.github.io/Logging_1737/tillsyn/A 63388-2025 tillsynsbegäran.docx", "A 63388-2025")</f>
        <v/>
      </c>
      <c r="Y85">
        <f>HYPERLINK("https://klasma.github.io/Logging_1737/tillsynsmail/A 63388-2025 tillsynsbegäran mail.docx", "A 63388-2025")</f>
        <v/>
      </c>
    </row>
    <row r="86" ht="15" customHeight="1">
      <c r="A86" t="inlineStr">
        <is>
          <t>A 42610-2023</t>
        </is>
      </c>
      <c r="B86" s="1" t="n">
        <v>45181</v>
      </c>
      <c r="C86" s="1" t="n">
        <v>46140</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46140</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46140</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2898-2026</t>
        </is>
      </c>
      <c r="B89" s="1" t="n">
        <v>46037</v>
      </c>
      <c r="C89" s="1" t="n">
        <v>46140</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28156-2022</t>
        </is>
      </c>
      <c r="B90" s="1" t="n">
        <v>44746</v>
      </c>
      <c r="C90" s="1" t="n">
        <v>46140</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4718-2023</t>
        </is>
      </c>
      <c r="B91" s="1" t="n">
        <v>44957</v>
      </c>
      <c r="C91" s="1" t="n">
        <v>46140</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16011-2025</t>
        </is>
      </c>
      <c r="B92" s="1" t="n">
        <v>45749</v>
      </c>
      <c r="C92" s="1" t="n">
        <v>46140</v>
      </c>
      <c r="D92" t="inlineStr">
        <is>
          <t>VÄRMLANDS LÄN</t>
        </is>
      </c>
      <c r="E92" t="inlineStr">
        <is>
          <t>TORSBY</t>
        </is>
      </c>
      <c r="G92" t="n">
        <v>3.8</v>
      </c>
      <c r="H92" t="n">
        <v>0</v>
      </c>
      <c r="I92" t="n">
        <v>1</v>
      </c>
      <c r="J92" t="n">
        <v>1</v>
      </c>
      <c r="K92" t="n">
        <v>0</v>
      </c>
      <c r="L92" t="n">
        <v>0</v>
      </c>
      <c r="M92" t="n">
        <v>0</v>
      </c>
      <c r="N92" t="n">
        <v>0</v>
      </c>
      <c r="O92" t="n">
        <v>1</v>
      </c>
      <c r="P92" t="n">
        <v>0</v>
      </c>
      <c r="Q92" t="n">
        <v>2</v>
      </c>
      <c r="R92" s="2" t="inlineStr">
        <is>
          <t>Lunglav
Korallblylav</t>
        </is>
      </c>
      <c r="S92">
        <f>HYPERLINK("https://klasma.github.io/Logging_1737/artfynd/A 16011-2025 artfynd.xlsx", "A 16011-2025")</f>
        <v/>
      </c>
      <c r="T92">
        <f>HYPERLINK("https://klasma.github.io/Logging_1737/kartor/A 16011-2025 karta.png", "A 16011-2025")</f>
        <v/>
      </c>
      <c r="V92">
        <f>HYPERLINK("https://klasma.github.io/Logging_1737/klagomål/A 16011-2025 FSC-klagomål.docx", "A 16011-2025")</f>
        <v/>
      </c>
      <c r="W92">
        <f>HYPERLINK("https://klasma.github.io/Logging_1737/klagomålsmail/A 16011-2025 FSC-klagomål mail.docx", "A 16011-2025")</f>
        <v/>
      </c>
      <c r="X92">
        <f>HYPERLINK("https://klasma.github.io/Logging_1737/tillsyn/A 16011-2025 tillsynsbegäran.docx", "A 16011-2025")</f>
        <v/>
      </c>
      <c r="Y92">
        <f>HYPERLINK("https://klasma.github.io/Logging_1737/tillsynsmail/A 16011-2025 tillsynsbegäran mail.docx", "A 16011-2025")</f>
        <v/>
      </c>
    </row>
    <row r="93" ht="15" customHeight="1">
      <c r="A93" t="inlineStr">
        <is>
          <t>A 17747-2025</t>
        </is>
      </c>
      <c r="B93" s="1" t="n">
        <v>45758</v>
      </c>
      <c r="C93" s="1" t="n">
        <v>46140</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Garnlav
Vedtrappmossa</t>
        </is>
      </c>
      <c r="S93">
        <f>HYPERLINK("https://klasma.github.io/Logging_1737/artfynd/A 17747-2025 artfynd.xlsx", "A 17747-2025")</f>
        <v/>
      </c>
      <c r="T93">
        <f>HYPERLINK("https://klasma.github.io/Logging_1737/kartor/A 17747-2025 karta.png", "A 17747-2025")</f>
        <v/>
      </c>
      <c r="V93">
        <f>HYPERLINK("https://klasma.github.io/Logging_1737/klagomål/A 17747-2025 FSC-klagomål.docx", "A 17747-2025")</f>
        <v/>
      </c>
      <c r="W93">
        <f>HYPERLINK("https://klasma.github.io/Logging_1737/klagomålsmail/A 17747-2025 FSC-klagomål mail.docx", "A 17747-2025")</f>
        <v/>
      </c>
      <c r="X93">
        <f>HYPERLINK("https://klasma.github.io/Logging_1737/tillsyn/A 17747-2025 tillsynsbegäran.docx", "A 17747-2025")</f>
        <v/>
      </c>
      <c r="Y93">
        <f>HYPERLINK("https://klasma.github.io/Logging_1737/tillsynsmail/A 17747-2025 tillsynsbegäran mail.docx", "A 17747-2025")</f>
        <v/>
      </c>
    </row>
    <row r="94" ht="15" customHeight="1">
      <c r="A94" t="inlineStr">
        <is>
          <t>A 37388-2025</t>
        </is>
      </c>
      <c r="B94" s="1" t="n">
        <v>45877</v>
      </c>
      <c r="C94" s="1" t="n">
        <v>46140</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61950-2024</t>
        </is>
      </c>
      <c r="B95" s="1" t="n">
        <v>45653</v>
      </c>
      <c r="C95" s="1" t="n">
        <v>46140</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16442-2023</t>
        </is>
      </c>
      <c r="B96" s="1" t="n">
        <v>45026</v>
      </c>
      <c r="C96" s="1" t="n">
        <v>46140</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46140</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25212-2025</t>
        </is>
      </c>
      <c r="B98" s="1" t="n">
        <v>45800</v>
      </c>
      <c r="C98" s="1" t="n">
        <v>46140</v>
      </c>
      <c r="D98" t="inlineStr">
        <is>
          <t>VÄRMLANDS LÄN</t>
        </is>
      </c>
      <c r="E98" t="inlineStr">
        <is>
          <t>TORSBY</t>
        </is>
      </c>
      <c r="F98" t="inlineStr">
        <is>
          <t>Bergvik skog väst AB</t>
        </is>
      </c>
      <c r="G98" t="n">
        <v>6.4</v>
      </c>
      <c r="H98" t="n">
        <v>1</v>
      </c>
      <c r="I98" t="n">
        <v>1</v>
      </c>
      <c r="J98" t="n">
        <v>0</v>
      </c>
      <c r="K98" t="n">
        <v>1</v>
      </c>
      <c r="L98" t="n">
        <v>0</v>
      </c>
      <c r="M98" t="n">
        <v>0</v>
      </c>
      <c r="N98" t="n">
        <v>0</v>
      </c>
      <c r="O98" t="n">
        <v>1</v>
      </c>
      <c r="P98" t="n">
        <v>1</v>
      </c>
      <c r="Q98" t="n">
        <v>2</v>
      </c>
      <c r="R98" s="2" t="inlineStr">
        <is>
          <t>Bombmurkla
Vedticka</t>
        </is>
      </c>
      <c r="S98">
        <f>HYPERLINK("https://klasma.github.io/Logging_1737/artfynd/A 25212-2025 artfynd.xlsx", "A 25212-2025")</f>
        <v/>
      </c>
      <c r="T98">
        <f>HYPERLINK("https://klasma.github.io/Logging_1737/kartor/A 25212-2025 karta.png", "A 25212-2025")</f>
        <v/>
      </c>
      <c r="V98">
        <f>HYPERLINK("https://klasma.github.io/Logging_1737/klagomål/A 25212-2025 FSC-klagomål.docx", "A 25212-2025")</f>
        <v/>
      </c>
      <c r="W98">
        <f>HYPERLINK("https://klasma.github.io/Logging_1737/klagomålsmail/A 25212-2025 FSC-klagomål mail.docx", "A 25212-2025")</f>
        <v/>
      </c>
      <c r="X98">
        <f>HYPERLINK("https://klasma.github.io/Logging_1737/tillsyn/A 25212-2025 tillsynsbegäran.docx", "A 25212-2025")</f>
        <v/>
      </c>
      <c r="Y98">
        <f>HYPERLINK("https://klasma.github.io/Logging_1737/tillsynsmail/A 25212-2025 tillsynsbegäran mail.docx", "A 25212-2025")</f>
        <v/>
      </c>
    </row>
    <row r="99" ht="15" customHeight="1">
      <c r="A99" t="inlineStr">
        <is>
          <t>A 34930-2022</t>
        </is>
      </c>
      <c r="B99" s="1" t="n">
        <v>44796</v>
      </c>
      <c r="C99" s="1" t="n">
        <v>46140</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34853-2021</t>
        </is>
      </c>
      <c r="B100" s="1" t="n">
        <v>44383</v>
      </c>
      <c r="C100" s="1" t="n">
        <v>46140</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46140</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46140</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46140</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40033-2024</t>
        </is>
      </c>
      <c r="B104" s="1" t="n">
        <v>45553</v>
      </c>
      <c r="C104" s="1" t="n">
        <v>46140</v>
      </c>
      <c r="D104" t="inlineStr">
        <is>
          <t>VÄRMLANDS LÄN</t>
        </is>
      </c>
      <c r="E104" t="inlineStr">
        <is>
          <t>TORSBY</t>
        </is>
      </c>
      <c r="G104" t="n">
        <v>6.2</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40033-2024 artfynd.xlsx", "A 40033-2024")</f>
        <v/>
      </c>
      <c r="T104">
        <f>HYPERLINK("https://klasma.github.io/Logging_1737/kartor/A 40033-2024 karta.png", "A 40033-2024")</f>
        <v/>
      </c>
      <c r="V104">
        <f>HYPERLINK("https://klasma.github.io/Logging_1737/klagomål/A 40033-2024 FSC-klagomål.docx", "A 40033-2024")</f>
        <v/>
      </c>
      <c r="W104">
        <f>HYPERLINK("https://klasma.github.io/Logging_1737/klagomålsmail/A 40033-2024 FSC-klagomål mail.docx", "A 40033-2024")</f>
        <v/>
      </c>
      <c r="X104">
        <f>HYPERLINK("https://klasma.github.io/Logging_1737/tillsyn/A 40033-2024 tillsynsbegäran.docx", "A 40033-2024")</f>
        <v/>
      </c>
      <c r="Y104">
        <f>HYPERLINK("https://klasma.github.io/Logging_1737/tillsynsmail/A 40033-2024 tillsynsbegäran mail.docx", "A 40033-2024")</f>
        <v/>
      </c>
    </row>
    <row r="105" ht="15" customHeight="1">
      <c r="A105" t="inlineStr">
        <is>
          <t>A 54982-2021</t>
        </is>
      </c>
      <c r="B105" s="1" t="n">
        <v>44469</v>
      </c>
      <c r="C105" s="1" t="n">
        <v>46140</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51288-2022</t>
        </is>
      </c>
      <c r="B106" s="1" t="n">
        <v>44868</v>
      </c>
      <c r="C106" s="1" t="n">
        <v>46140</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49724-2023</t>
        </is>
      </c>
      <c r="B107" s="1" t="n">
        <v>45208</v>
      </c>
      <c r="C107" s="1" t="n">
        <v>46140</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Garnlav</t>
        </is>
      </c>
      <c r="S107">
        <f>HYPERLINK("https://klasma.github.io/Logging_1737/artfynd/A 49724-2023 artfynd.xlsx", "A 49724-2023")</f>
        <v/>
      </c>
      <c r="T107">
        <f>HYPERLINK("https://klasma.github.io/Logging_1737/kartor/A 49724-2023 karta.png", "A 49724-2023")</f>
        <v/>
      </c>
      <c r="V107">
        <f>HYPERLINK("https://klasma.github.io/Logging_1737/klagomål/A 49724-2023 FSC-klagomål.docx", "A 49724-2023")</f>
        <v/>
      </c>
      <c r="W107">
        <f>HYPERLINK("https://klasma.github.io/Logging_1737/klagomålsmail/A 49724-2023 FSC-klagomål mail.docx", "A 49724-2023")</f>
        <v/>
      </c>
      <c r="X107">
        <f>HYPERLINK("https://klasma.github.io/Logging_1737/tillsyn/A 49724-2023 tillsynsbegäran.docx", "A 49724-2023")</f>
        <v/>
      </c>
      <c r="Y107">
        <f>HYPERLINK("https://klasma.github.io/Logging_1737/tillsynsmail/A 49724-2023 tillsynsbegäran mail.docx", "A 49724-2023")</f>
        <v/>
      </c>
    </row>
    <row r="108" ht="15" customHeight="1">
      <c r="A108" t="inlineStr">
        <is>
          <t>A 37327-2025</t>
        </is>
      </c>
      <c r="B108" s="1" t="n">
        <v>45876.64902777778</v>
      </c>
      <c r="C108" s="1" t="n">
        <v>46140</v>
      </c>
      <c r="D108" t="inlineStr">
        <is>
          <t>VÄRMLANDS LÄN</t>
        </is>
      </c>
      <c r="E108" t="inlineStr">
        <is>
          <t>TORSBY</t>
        </is>
      </c>
      <c r="G108" t="n">
        <v>2</v>
      </c>
      <c r="H108" t="n">
        <v>0</v>
      </c>
      <c r="I108" t="n">
        <v>0</v>
      </c>
      <c r="J108" t="n">
        <v>1</v>
      </c>
      <c r="K108" t="n">
        <v>0</v>
      </c>
      <c r="L108" t="n">
        <v>0</v>
      </c>
      <c r="M108" t="n">
        <v>0</v>
      </c>
      <c r="N108" t="n">
        <v>0</v>
      </c>
      <c r="O108" t="n">
        <v>1</v>
      </c>
      <c r="P108" t="n">
        <v>0</v>
      </c>
      <c r="Q108" t="n">
        <v>1</v>
      </c>
      <c r="R108" s="2" t="inlineStr">
        <is>
          <t>Garnlav</t>
        </is>
      </c>
      <c r="S108">
        <f>HYPERLINK("https://klasma.github.io/Logging_1737/artfynd/A 37327-2025 artfynd.xlsx", "A 37327-2025")</f>
        <v/>
      </c>
      <c r="T108">
        <f>HYPERLINK("https://klasma.github.io/Logging_1737/kartor/A 37327-2025 karta.png", "A 37327-2025")</f>
        <v/>
      </c>
      <c r="V108">
        <f>HYPERLINK("https://klasma.github.io/Logging_1737/klagomål/A 37327-2025 FSC-klagomål.docx", "A 37327-2025")</f>
        <v/>
      </c>
      <c r="W108">
        <f>HYPERLINK("https://klasma.github.io/Logging_1737/klagomålsmail/A 37327-2025 FSC-klagomål mail.docx", "A 37327-2025")</f>
        <v/>
      </c>
      <c r="X108">
        <f>HYPERLINK("https://klasma.github.io/Logging_1737/tillsyn/A 37327-2025 tillsynsbegäran.docx", "A 37327-2025")</f>
        <v/>
      </c>
      <c r="Y108">
        <f>HYPERLINK("https://klasma.github.io/Logging_1737/tillsynsmail/A 37327-2025 tillsynsbegäran mail.docx", "A 37327-2025")</f>
        <v/>
      </c>
    </row>
    <row r="109" ht="15" customHeight="1">
      <c r="A109" t="inlineStr">
        <is>
          <t>A 13359-2023</t>
        </is>
      </c>
      <c r="B109" s="1" t="n">
        <v>45005.46405092593</v>
      </c>
      <c r="C109" s="1" t="n">
        <v>46140</v>
      </c>
      <c r="D109" t="inlineStr">
        <is>
          <t>VÄRMLANDS LÄN</t>
        </is>
      </c>
      <c r="E109" t="inlineStr">
        <is>
          <t>TORSBY</t>
        </is>
      </c>
      <c r="G109" t="n">
        <v>12.9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13359-2023 artfynd.xlsx", "A 13359-2023")</f>
        <v/>
      </c>
      <c r="T109">
        <f>HYPERLINK("https://klasma.github.io/Logging_1737/kartor/A 13359-2023 karta.png", "A 13359-2023")</f>
        <v/>
      </c>
      <c r="V109">
        <f>HYPERLINK("https://klasma.github.io/Logging_1737/klagomål/A 13359-2023 FSC-klagomål.docx", "A 13359-2023")</f>
        <v/>
      </c>
      <c r="W109">
        <f>HYPERLINK("https://klasma.github.io/Logging_1737/klagomålsmail/A 13359-2023 FSC-klagomål mail.docx", "A 13359-2023")</f>
        <v/>
      </c>
      <c r="X109">
        <f>HYPERLINK("https://klasma.github.io/Logging_1737/tillsyn/A 13359-2023 tillsynsbegäran.docx", "A 13359-2023")</f>
        <v/>
      </c>
      <c r="Y109">
        <f>HYPERLINK("https://klasma.github.io/Logging_1737/tillsynsmail/A 13359-2023 tillsynsbegäran mail.docx", "A 13359-2023")</f>
        <v/>
      </c>
    </row>
    <row r="110" ht="15" customHeight="1">
      <c r="A110" t="inlineStr">
        <is>
          <t>A 13361-2023</t>
        </is>
      </c>
      <c r="B110" s="1" t="n">
        <v>45005</v>
      </c>
      <c r="C110" s="1" t="n">
        <v>46140</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37548-2025</t>
        </is>
      </c>
      <c r="B111" s="1" t="n">
        <v>45879</v>
      </c>
      <c r="C111" s="1" t="n">
        <v>46140</v>
      </c>
      <c r="D111" t="inlineStr">
        <is>
          <t>VÄRMLANDS LÄN</t>
        </is>
      </c>
      <c r="E111" t="inlineStr">
        <is>
          <t>TORSBY</t>
        </is>
      </c>
      <c r="G111" t="n">
        <v>9.5</v>
      </c>
      <c r="H111" t="n">
        <v>1</v>
      </c>
      <c r="I111" t="n">
        <v>0</v>
      </c>
      <c r="J111" t="n">
        <v>1</v>
      </c>
      <c r="K111" t="n">
        <v>0</v>
      </c>
      <c r="L111" t="n">
        <v>0</v>
      </c>
      <c r="M111" t="n">
        <v>0</v>
      </c>
      <c r="N111" t="n">
        <v>0</v>
      </c>
      <c r="O111" t="n">
        <v>1</v>
      </c>
      <c r="P111" t="n">
        <v>0</v>
      </c>
      <c r="Q111" t="n">
        <v>1</v>
      </c>
      <c r="R111" s="2" t="inlineStr">
        <is>
          <t>Talltita</t>
        </is>
      </c>
      <c r="S111">
        <f>HYPERLINK("https://klasma.github.io/Logging_1737/artfynd/A 37548-2025 artfynd.xlsx", "A 37548-2025")</f>
        <v/>
      </c>
      <c r="T111">
        <f>HYPERLINK("https://klasma.github.io/Logging_1737/kartor/A 37548-2025 karta.png", "A 37548-2025")</f>
        <v/>
      </c>
      <c r="V111">
        <f>HYPERLINK("https://klasma.github.io/Logging_1737/klagomål/A 37548-2025 FSC-klagomål.docx", "A 37548-2025")</f>
        <v/>
      </c>
      <c r="W111">
        <f>HYPERLINK("https://klasma.github.io/Logging_1737/klagomålsmail/A 37548-2025 FSC-klagomål mail.docx", "A 37548-2025")</f>
        <v/>
      </c>
      <c r="X111">
        <f>HYPERLINK("https://klasma.github.io/Logging_1737/tillsyn/A 37548-2025 tillsynsbegäran.docx", "A 37548-2025")</f>
        <v/>
      </c>
      <c r="Y111">
        <f>HYPERLINK("https://klasma.github.io/Logging_1737/tillsynsmail/A 37548-2025 tillsynsbegäran mail.docx", "A 37548-2025")</f>
        <v/>
      </c>
      <c r="Z111">
        <f>HYPERLINK("https://klasma.github.io/Logging_1737/fåglar/A 37548-2025 prioriterade fågelarter.docx", "A 37548-2025")</f>
        <v/>
      </c>
    </row>
    <row r="112" ht="15" customHeight="1">
      <c r="A112" t="inlineStr">
        <is>
          <t>A 37699-2025</t>
        </is>
      </c>
      <c r="B112" s="1" t="n">
        <v>45880</v>
      </c>
      <c r="C112" s="1" t="n">
        <v>46140</v>
      </c>
      <c r="D112" t="inlineStr">
        <is>
          <t>VÄRMLANDS LÄN</t>
        </is>
      </c>
      <c r="E112" t="inlineStr">
        <is>
          <t>TORSBY</t>
        </is>
      </c>
      <c r="G112" t="n">
        <v>1.8</v>
      </c>
      <c r="H112" t="n">
        <v>1</v>
      </c>
      <c r="I112" t="n">
        <v>0</v>
      </c>
      <c r="J112" t="n">
        <v>0</v>
      </c>
      <c r="K112" t="n">
        <v>1</v>
      </c>
      <c r="L112" t="n">
        <v>0</v>
      </c>
      <c r="M112" t="n">
        <v>0</v>
      </c>
      <c r="N112" t="n">
        <v>0</v>
      </c>
      <c r="O112" t="n">
        <v>1</v>
      </c>
      <c r="P112" t="n">
        <v>1</v>
      </c>
      <c r="Q112" t="n">
        <v>1</v>
      </c>
      <c r="R112" s="2" t="inlineStr">
        <is>
          <t>Bombmurkla</t>
        </is>
      </c>
      <c r="S112">
        <f>HYPERLINK("https://klasma.github.io/Logging_1737/artfynd/A 37699-2025 artfynd.xlsx", "A 37699-2025")</f>
        <v/>
      </c>
      <c r="T112">
        <f>HYPERLINK("https://klasma.github.io/Logging_1737/kartor/A 37699-2025 karta.png", "A 37699-2025")</f>
        <v/>
      </c>
      <c r="V112">
        <f>HYPERLINK("https://klasma.github.io/Logging_1737/klagomål/A 37699-2025 FSC-klagomål.docx", "A 37699-2025")</f>
        <v/>
      </c>
      <c r="W112">
        <f>HYPERLINK("https://klasma.github.io/Logging_1737/klagomålsmail/A 37699-2025 FSC-klagomål mail.docx", "A 37699-2025")</f>
        <v/>
      </c>
      <c r="X112">
        <f>HYPERLINK("https://klasma.github.io/Logging_1737/tillsyn/A 37699-2025 tillsynsbegäran.docx", "A 37699-2025")</f>
        <v/>
      </c>
      <c r="Y112">
        <f>HYPERLINK("https://klasma.github.io/Logging_1737/tillsynsmail/A 37699-2025 tillsynsbegäran mail.docx", "A 37699-2025")</f>
        <v/>
      </c>
    </row>
    <row r="113" ht="15" customHeight="1">
      <c r="A113" t="inlineStr">
        <is>
          <t>A 38015-2025</t>
        </is>
      </c>
      <c r="B113" s="1" t="n">
        <v>45882</v>
      </c>
      <c r="C113" s="1" t="n">
        <v>46140</v>
      </c>
      <c r="D113" t="inlineStr">
        <is>
          <t>VÄRMLANDS LÄN</t>
        </is>
      </c>
      <c r="E113" t="inlineStr">
        <is>
          <t>TORSBY</t>
        </is>
      </c>
      <c r="F113" t="inlineStr">
        <is>
          <t>Bergvik skog väst AB</t>
        </is>
      </c>
      <c r="G113" t="n">
        <v>5</v>
      </c>
      <c r="H113" t="n">
        <v>0</v>
      </c>
      <c r="I113" t="n">
        <v>0</v>
      </c>
      <c r="J113" t="n">
        <v>1</v>
      </c>
      <c r="K113" t="n">
        <v>0</v>
      </c>
      <c r="L113" t="n">
        <v>0</v>
      </c>
      <c r="M113" t="n">
        <v>0</v>
      </c>
      <c r="N113" t="n">
        <v>0</v>
      </c>
      <c r="O113" t="n">
        <v>1</v>
      </c>
      <c r="P113" t="n">
        <v>0</v>
      </c>
      <c r="Q113" t="n">
        <v>1</v>
      </c>
      <c r="R113" s="2" t="inlineStr">
        <is>
          <t>Mörk kolflarnlav</t>
        </is>
      </c>
      <c r="S113">
        <f>HYPERLINK("https://klasma.github.io/Logging_1737/artfynd/A 38015-2025 artfynd.xlsx", "A 38015-2025")</f>
        <v/>
      </c>
      <c r="T113">
        <f>HYPERLINK("https://klasma.github.io/Logging_1737/kartor/A 38015-2025 karta.png", "A 38015-2025")</f>
        <v/>
      </c>
      <c r="V113">
        <f>HYPERLINK("https://klasma.github.io/Logging_1737/klagomål/A 38015-2025 FSC-klagomål.docx", "A 38015-2025")</f>
        <v/>
      </c>
      <c r="W113">
        <f>HYPERLINK("https://klasma.github.io/Logging_1737/klagomålsmail/A 38015-2025 FSC-klagomål mail.docx", "A 38015-2025")</f>
        <v/>
      </c>
      <c r="X113">
        <f>HYPERLINK("https://klasma.github.io/Logging_1737/tillsyn/A 38015-2025 tillsynsbegäran.docx", "A 38015-2025")</f>
        <v/>
      </c>
      <c r="Y113">
        <f>HYPERLINK("https://klasma.github.io/Logging_1737/tillsynsmail/A 38015-2025 tillsynsbegäran mail.docx", "A 38015-2025")</f>
        <v/>
      </c>
    </row>
    <row r="114" ht="15" customHeight="1">
      <c r="A114" t="inlineStr">
        <is>
          <t>A 56133-2024</t>
        </is>
      </c>
      <c r="B114" s="1" t="n">
        <v>45624</v>
      </c>
      <c r="C114" s="1" t="n">
        <v>46140</v>
      </c>
      <c r="D114" t="inlineStr">
        <is>
          <t>VÄRMLANDS LÄN</t>
        </is>
      </c>
      <c r="E114" t="inlineStr">
        <is>
          <t>TORSBY</t>
        </is>
      </c>
      <c r="G114" t="n">
        <v>2.4</v>
      </c>
      <c r="H114" t="n">
        <v>0</v>
      </c>
      <c r="I114" t="n">
        <v>1</v>
      </c>
      <c r="J114" t="n">
        <v>0</v>
      </c>
      <c r="K114" t="n">
        <v>0</v>
      </c>
      <c r="L114" t="n">
        <v>0</v>
      </c>
      <c r="M114" t="n">
        <v>0</v>
      </c>
      <c r="N114" t="n">
        <v>0</v>
      </c>
      <c r="O114" t="n">
        <v>0</v>
      </c>
      <c r="P114" t="n">
        <v>0</v>
      </c>
      <c r="Q114" t="n">
        <v>1</v>
      </c>
      <c r="R114" s="2" t="inlineStr">
        <is>
          <t>Vedticka</t>
        </is>
      </c>
      <c r="S114">
        <f>HYPERLINK("https://klasma.github.io/Logging_1737/artfynd/A 56133-2024 artfynd.xlsx", "A 56133-2024")</f>
        <v/>
      </c>
      <c r="T114">
        <f>HYPERLINK("https://klasma.github.io/Logging_1737/kartor/A 56133-2024 karta.png", "A 56133-2024")</f>
        <v/>
      </c>
      <c r="V114">
        <f>HYPERLINK("https://klasma.github.io/Logging_1737/klagomål/A 56133-2024 FSC-klagomål.docx", "A 56133-2024")</f>
        <v/>
      </c>
      <c r="W114">
        <f>HYPERLINK("https://klasma.github.io/Logging_1737/klagomålsmail/A 56133-2024 FSC-klagomål mail.docx", "A 56133-2024")</f>
        <v/>
      </c>
      <c r="X114">
        <f>HYPERLINK("https://klasma.github.io/Logging_1737/tillsyn/A 56133-2024 tillsynsbegäran.docx", "A 56133-2024")</f>
        <v/>
      </c>
      <c r="Y114">
        <f>HYPERLINK("https://klasma.github.io/Logging_1737/tillsynsmail/A 56133-2024 tillsynsbegäran mail.docx", "A 56133-2024")</f>
        <v/>
      </c>
    </row>
    <row r="115" ht="15" customHeight="1">
      <c r="A115" t="inlineStr">
        <is>
          <t>A 41416-2025</t>
        </is>
      </c>
      <c r="B115" s="1" t="n">
        <v>45901</v>
      </c>
      <c r="C115" s="1" t="n">
        <v>46140</v>
      </c>
      <c r="D115" t="inlineStr">
        <is>
          <t>VÄRMLANDS LÄN</t>
        </is>
      </c>
      <c r="E115" t="inlineStr">
        <is>
          <t>TORSBY</t>
        </is>
      </c>
      <c r="G115" t="n">
        <v>7.8</v>
      </c>
      <c r="H115" t="n">
        <v>1</v>
      </c>
      <c r="I115" t="n">
        <v>0</v>
      </c>
      <c r="J115" t="n">
        <v>0</v>
      </c>
      <c r="K115" t="n">
        <v>0</v>
      </c>
      <c r="L115" t="n">
        <v>0</v>
      </c>
      <c r="M115" t="n">
        <v>0</v>
      </c>
      <c r="N115" t="n">
        <v>0</v>
      </c>
      <c r="O115" t="n">
        <v>0</v>
      </c>
      <c r="P115" t="n">
        <v>0</v>
      </c>
      <c r="Q115" t="n">
        <v>1</v>
      </c>
      <c r="R115" s="2" t="inlineStr">
        <is>
          <t>Lopplummer (aggregat)</t>
        </is>
      </c>
      <c r="S115">
        <f>HYPERLINK("https://klasma.github.io/Logging_1737/artfynd/A 41416-2025 artfynd.xlsx", "A 41416-2025")</f>
        <v/>
      </c>
      <c r="T115">
        <f>HYPERLINK("https://klasma.github.io/Logging_1737/kartor/A 41416-2025 karta.png", "A 41416-2025")</f>
        <v/>
      </c>
      <c r="V115">
        <f>HYPERLINK("https://klasma.github.io/Logging_1737/klagomål/A 41416-2025 FSC-klagomål.docx", "A 41416-2025")</f>
        <v/>
      </c>
      <c r="W115">
        <f>HYPERLINK("https://klasma.github.io/Logging_1737/klagomålsmail/A 41416-2025 FSC-klagomål mail.docx", "A 41416-2025")</f>
        <v/>
      </c>
      <c r="X115">
        <f>HYPERLINK("https://klasma.github.io/Logging_1737/tillsyn/A 41416-2025 tillsynsbegäran.docx", "A 41416-2025")</f>
        <v/>
      </c>
      <c r="Y115">
        <f>HYPERLINK("https://klasma.github.io/Logging_1737/tillsynsmail/A 41416-2025 tillsynsbegäran mail.docx", "A 41416-2025")</f>
        <v/>
      </c>
    </row>
    <row r="116" ht="15" customHeight="1">
      <c r="A116" t="inlineStr">
        <is>
          <t>A 5726-2025</t>
        </is>
      </c>
      <c r="B116" s="1" t="n">
        <v>45694</v>
      </c>
      <c r="C116" s="1" t="n">
        <v>46140</v>
      </c>
      <c r="D116" t="inlineStr">
        <is>
          <t>VÄRMLANDS LÄN</t>
        </is>
      </c>
      <c r="E116" t="inlineStr">
        <is>
          <t>TORSBY</t>
        </is>
      </c>
      <c r="G116" t="n">
        <v>3.5</v>
      </c>
      <c r="H116" t="n">
        <v>0</v>
      </c>
      <c r="I116" t="n">
        <v>1</v>
      </c>
      <c r="J116" t="n">
        <v>0</v>
      </c>
      <c r="K116" t="n">
        <v>0</v>
      </c>
      <c r="L116" t="n">
        <v>0</v>
      </c>
      <c r="M116" t="n">
        <v>0</v>
      </c>
      <c r="N116" t="n">
        <v>0</v>
      </c>
      <c r="O116" t="n">
        <v>0</v>
      </c>
      <c r="P116" t="n">
        <v>0</v>
      </c>
      <c r="Q116" t="n">
        <v>1</v>
      </c>
      <c r="R116" s="2" t="inlineStr">
        <is>
          <t>Vedticka</t>
        </is>
      </c>
      <c r="S116">
        <f>HYPERLINK("https://klasma.github.io/Logging_1737/artfynd/A 5726-2025 artfynd.xlsx", "A 5726-2025")</f>
        <v/>
      </c>
      <c r="T116">
        <f>HYPERLINK("https://klasma.github.io/Logging_1737/kartor/A 5726-2025 karta.png", "A 5726-2025")</f>
        <v/>
      </c>
      <c r="V116">
        <f>HYPERLINK("https://klasma.github.io/Logging_1737/klagomål/A 5726-2025 FSC-klagomål.docx", "A 5726-2025")</f>
        <v/>
      </c>
      <c r="W116">
        <f>HYPERLINK("https://klasma.github.io/Logging_1737/klagomålsmail/A 5726-2025 FSC-klagomål mail.docx", "A 5726-2025")</f>
        <v/>
      </c>
      <c r="X116">
        <f>HYPERLINK("https://klasma.github.io/Logging_1737/tillsyn/A 5726-2025 tillsynsbegäran.docx", "A 5726-2025")</f>
        <v/>
      </c>
      <c r="Y116">
        <f>HYPERLINK("https://klasma.github.io/Logging_1737/tillsynsmail/A 5726-2025 tillsynsbegäran mail.docx", "A 5726-2025")</f>
        <v/>
      </c>
    </row>
    <row r="117" ht="15" customHeight="1">
      <c r="A117" t="inlineStr">
        <is>
          <t>A 47689-2024</t>
        </is>
      </c>
      <c r="B117" s="1" t="n">
        <v>45588</v>
      </c>
      <c r="C117" s="1" t="n">
        <v>46140</v>
      </c>
      <c r="D117" t="inlineStr">
        <is>
          <t>VÄRMLANDS LÄN</t>
        </is>
      </c>
      <c r="E117" t="inlineStr">
        <is>
          <t>TORSBY</t>
        </is>
      </c>
      <c r="G117" t="n">
        <v>3.1</v>
      </c>
      <c r="H117" t="n">
        <v>0</v>
      </c>
      <c r="I117" t="n">
        <v>0</v>
      </c>
      <c r="J117" t="n">
        <v>1</v>
      </c>
      <c r="K117" t="n">
        <v>0</v>
      </c>
      <c r="L117" t="n">
        <v>0</v>
      </c>
      <c r="M117" t="n">
        <v>0</v>
      </c>
      <c r="N117" t="n">
        <v>0</v>
      </c>
      <c r="O117" t="n">
        <v>1</v>
      </c>
      <c r="P117" t="n">
        <v>0</v>
      </c>
      <c r="Q117" t="n">
        <v>1</v>
      </c>
      <c r="R117" s="2" t="inlineStr">
        <is>
          <t>Garnlav</t>
        </is>
      </c>
      <c r="S117">
        <f>HYPERLINK("https://klasma.github.io/Logging_1737/artfynd/A 47689-2024 artfynd.xlsx", "A 47689-2024")</f>
        <v/>
      </c>
      <c r="T117">
        <f>HYPERLINK("https://klasma.github.io/Logging_1737/kartor/A 47689-2024 karta.png", "A 47689-2024")</f>
        <v/>
      </c>
      <c r="V117">
        <f>HYPERLINK("https://klasma.github.io/Logging_1737/klagomål/A 47689-2024 FSC-klagomål.docx", "A 47689-2024")</f>
        <v/>
      </c>
      <c r="W117">
        <f>HYPERLINK("https://klasma.github.io/Logging_1737/klagomålsmail/A 47689-2024 FSC-klagomål mail.docx", "A 47689-2024")</f>
        <v/>
      </c>
      <c r="X117">
        <f>HYPERLINK("https://klasma.github.io/Logging_1737/tillsyn/A 47689-2024 tillsynsbegäran.docx", "A 47689-2024")</f>
        <v/>
      </c>
      <c r="Y117">
        <f>HYPERLINK("https://klasma.github.io/Logging_1737/tillsynsmail/A 47689-2024 tillsynsbegäran mail.docx", "A 47689-2024")</f>
        <v/>
      </c>
    </row>
    <row r="118" ht="15" customHeight="1">
      <c r="A118" t="inlineStr">
        <is>
          <t>A 15548-2023</t>
        </is>
      </c>
      <c r="B118" s="1" t="n">
        <v>45020</v>
      </c>
      <c r="C118" s="1" t="n">
        <v>46140</v>
      </c>
      <c r="D118" t="inlineStr">
        <is>
          <t>VÄRMLANDS LÄN</t>
        </is>
      </c>
      <c r="E118" t="inlineStr">
        <is>
          <t>TORSBY</t>
        </is>
      </c>
      <c r="G118" t="n">
        <v>0.6</v>
      </c>
      <c r="H118" t="n">
        <v>1</v>
      </c>
      <c r="I118" t="n">
        <v>0</v>
      </c>
      <c r="J118" t="n">
        <v>1</v>
      </c>
      <c r="K118" t="n">
        <v>0</v>
      </c>
      <c r="L118" t="n">
        <v>0</v>
      </c>
      <c r="M118" t="n">
        <v>0</v>
      </c>
      <c r="N118" t="n">
        <v>0</v>
      </c>
      <c r="O118" t="n">
        <v>1</v>
      </c>
      <c r="P118" t="n">
        <v>0</v>
      </c>
      <c r="Q118" t="n">
        <v>1</v>
      </c>
      <c r="R118" s="2" t="inlineStr">
        <is>
          <t>Spillkråka</t>
        </is>
      </c>
      <c r="S118">
        <f>HYPERLINK("https://klasma.github.io/Logging_1737/artfynd/A 15548-2023 artfynd.xlsx", "A 15548-2023")</f>
        <v/>
      </c>
      <c r="T118">
        <f>HYPERLINK("https://klasma.github.io/Logging_1737/kartor/A 15548-2023 karta.png", "A 15548-2023")</f>
        <v/>
      </c>
      <c r="V118">
        <f>HYPERLINK("https://klasma.github.io/Logging_1737/klagomål/A 15548-2023 FSC-klagomål.docx", "A 15548-2023")</f>
        <v/>
      </c>
      <c r="W118">
        <f>HYPERLINK("https://klasma.github.io/Logging_1737/klagomålsmail/A 15548-2023 FSC-klagomål mail.docx", "A 15548-2023")</f>
        <v/>
      </c>
      <c r="X118">
        <f>HYPERLINK("https://klasma.github.io/Logging_1737/tillsyn/A 15548-2023 tillsynsbegäran.docx", "A 15548-2023")</f>
        <v/>
      </c>
      <c r="Y118">
        <f>HYPERLINK("https://klasma.github.io/Logging_1737/tillsynsmail/A 15548-2023 tillsynsbegäran mail.docx", "A 15548-2023")</f>
        <v/>
      </c>
      <c r="Z118">
        <f>HYPERLINK("https://klasma.github.io/Logging_1737/fåglar/A 15548-2023 prioriterade fågelarter.docx", "A 15548-2023")</f>
        <v/>
      </c>
    </row>
    <row r="119" ht="15" customHeight="1">
      <c r="A119" t="inlineStr">
        <is>
          <t>A 14212-2025</t>
        </is>
      </c>
      <c r="B119" s="1" t="n">
        <v>45740</v>
      </c>
      <c r="C119" s="1" t="n">
        <v>46140</v>
      </c>
      <c r="D119" t="inlineStr">
        <is>
          <t>VÄRMLANDS LÄN</t>
        </is>
      </c>
      <c r="E119" t="inlineStr">
        <is>
          <t>TORSBY</t>
        </is>
      </c>
      <c r="F119" t="inlineStr">
        <is>
          <t>Övriga statliga verk och myndigheter</t>
        </is>
      </c>
      <c r="G119" t="n">
        <v>2</v>
      </c>
      <c r="H119" t="n">
        <v>0</v>
      </c>
      <c r="I119" t="n">
        <v>0</v>
      </c>
      <c r="J119" t="n">
        <v>0</v>
      </c>
      <c r="K119" t="n">
        <v>1</v>
      </c>
      <c r="L119" t="n">
        <v>0</v>
      </c>
      <c r="M119" t="n">
        <v>0</v>
      </c>
      <c r="N119" t="n">
        <v>0</v>
      </c>
      <c r="O119" t="n">
        <v>1</v>
      </c>
      <c r="P119" t="n">
        <v>1</v>
      </c>
      <c r="Q119" t="n">
        <v>1</v>
      </c>
      <c r="R119" s="2" t="inlineStr">
        <is>
          <t>Raggbock</t>
        </is>
      </c>
      <c r="S119">
        <f>HYPERLINK("https://klasma.github.io/Logging_1737/artfynd/A 14212-2025 artfynd.xlsx", "A 14212-2025")</f>
        <v/>
      </c>
      <c r="T119">
        <f>HYPERLINK("https://klasma.github.io/Logging_1737/kartor/A 14212-2025 karta.png", "A 14212-2025")</f>
        <v/>
      </c>
      <c r="V119">
        <f>HYPERLINK("https://klasma.github.io/Logging_1737/klagomål/A 14212-2025 FSC-klagomål.docx", "A 14212-2025")</f>
        <v/>
      </c>
      <c r="W119">
        <f>HYPERLINK("https://klasma.github.io/Logging_1737/klagomålsmail/A 14212-2025 FSC-klagomål mail.docx", "A 14212-2025")</f>
        <v/>
      </c>
      <c r="X119">
        <f>HYPERLINK("https://klasma.github.io/Logging_1737/tillsyn/A 14212-2025 tillsynsbegäran.docx", "A 14212-2025")</f>
        <v/>
      </c>
      <c r="Y119">
        <f>HYPERLINK("https://klasma.github.io/Logging_1737/tillsynsmail/A 14212-2025 tillsynsbegäran mail.docx", "A 14212-2025")</f>
        <v/>
      </c>
    </row>
    <row r="120" ht="15" customHeight="1">
      <c r="A120" t="inlineStr">
        <is>
          <t>A 16164-2025</t>
        </is>
      </c>
      <c r="B120" s="1" t="n">
        <v>45750</v>
      </c>
      <c r="C120" s="1" t="n">
        <v>46140</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42500-2022</t>
        </is>
      </c>
      <c r="B121" s="1" t="n">
        <v>44831</v>
      </c>
      <c r="C121" s="1" t="n">
        <v>46140</v>
      </c>
      <c r="D121" t="inlineStr">
        <is>
          <t>VÄRMLANDS LÄN</t>
        </is>
      </c>
      <c r="E121" t="inlineStr">
        <is>
          <t>TORSBY</t>
        </is>
      </c>
      <c r="F121" t="inlineStr">
        <is>
          <t>Kommuner</t>
        </is>
      </c>
      <c r="G121" t="n">
        <v>2.3</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42500-2022 artfynd.xlsx", "A 42500-2022")</f>
        <v/>
      </c>
      <c r="T121">
        <f>HYPERLINK("https://klasma.github.io/Logging_1737/kartor/A 42500-2022 karta.png", "A 42500-2022")</f>
        <v/>
      </c>
      <c r="U121">
        <f>HYPERLINK("https://klasma.github.io/Logging_1737/knärot/A 42500-2022 karta knärot.png", "A 42500-2022")</f>
        <v/>
      </c>
      <c r="V121">
        <f>HYPERLINK("https://klasma.github.io/Logging_1737/klagomål/A 42500-2022 FSC-klagomål.docx", "A 42500-2022")</f>
        <v/>
      </c>
      <c r="W121">
        <f>HYPERLINK("https://klasma.github.io/Logging_1737/klagomålsmail/A 42500-2022 FSC-klagomål mail.docx", "A 42500-2022")</f>
        <v/>
      </c>
      <c r="X121">
        <f>HYPERLINK("https://klasma.github.io/Logging_1737/tillsyn/A 42500-2022 tillsynsbegäran.docx", "A 42500-2022")</f>
        <v/>
      </c>
      <c r="Y121">
        <f>HYPERLINK("https://klasma.github.io/Logging_1737/tillsynsmail/A 42500-2022 tillsynsbegäran mail.docx", "A 42500-2022")</f>
        <v/>
      </c>
    </row>
    <row r="122" ht="15" customHeight="1">
      <c r="A122" t="inlineStr">
        <is>
          <t>A 50236-2022</t>
        </is>
      </c>
      <c r="B122" s="1" t="n">
        <v>44865</v>
      </c>
      <c r="C122" s="1" t="n">
        <v>46140</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Garnlav</t>
        </is>
      </c>
      <c r="S122">
        <f>HYPERLINK("https://klasma.github.io/Logging_1737/artfynd/A 50236-2022 artfynd.xlsx", "A 50236-2022")</f>
        <v/>
      </c>
      <c r="T122">
        <f>HYPERLINK("https://klasma.github.io/Logging_1737/kartor/A 50236-2022 karta.png", "A 50236-2022")</f>
        <v/>
      </c>
      <c r="V122">
        <f>HYPERLINK("https://klasma.github.io/Logging_1737/klagomål/A 50236-2022 FSC-klagomål.docx", "A 50236-2022")</f>
        <v/>
      </c>
      <c r="W122">
        <f>HYPERLINK("https://klasma.github.io/Logging_1737/klagomålsmail/A 50236-2022 FSC-klagomål mail.docx", "A 50236-2022")</f>
        <v/>
      </c>
      <c r="X122">
        <f>HYPERLINK("https://klasma.github.io/Logging_1737/tillsyn/A 50236-2022 tillsynsbegäran.docx", "A 50236-2022")</f>
        <v/>
      </c>
      <c r="Y122">
        <f>HYPERLINK("https://klasma.github.io/Logging_1737/tillsynsmail/A 50236-2022 tillsynsbegäran mail.docx", "A 50236-2022")</f>
        <v/>
      </c>
    </row>
    <row r="123" ht="15" customHeight="1">
      <c r="A123" t="inlineStr">
        <is>
          <t>A 44018-2025</t>
        </is>
      </c>
      <c r="B123" s="1" t="n">
        <v>45915</v>
      </c>
      <c r="C123" s="1" t="n">
        <v>46140</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Gammelgransskål</t>
        </is>
      </c>
      <c r="S123">
        <f>HYPERLINK("https://klasma.github.io/Logging_1737/artfynd/A 44018-2025 artfynd.xlsx", "A 44018-2025")</f>
        <v/>
      </c>
      <c r="T123">
        <f>HYPERLINK("https://klasma.github.io/Logging_1737/kartor/A 44018-2025 karta.png", "A 44018-2025")</f>
        <v/>
      </c>
      <c r="V123">
        <f>HYPERLINK("https://klasma.github.io/Logging_1737/klagomål/A 44018-2025 FSC-klagomål.docx", "A 44018-2025")</f>
        <v/>
      </c>
      <c r="W123">
        <f>HYPERLINK("https://klasma.github.io/Logging_1737/klagomålsmail/A 44018-2025 FSC-klagomål mail.docx", "A 44018-2025")</f>
        <v/>
      </c>
      <c r="X123">
        <f>HYPERLINK("https://klasma.github.io/Logging_1737/tillsyn/A 44018-2025 tillsynsbegäran.docx", "A 44018-2025")</f>
        <v/>
      </c>
      <c r="Y123">
        <f>HYPERLINK("https://klasma.github.io/Logging_1737/tillsynsmail/A 44018-2025 tillsynsbegäran mail.docx", "A 44018-2025")</f>
        <v/>
      </c>
    </row>
    <row r="124" ht="15" customHeight="1">
      <c r="A124" t="inlineStr">
        <is>
          <t>A 39681-2023</t>
        </is>
      </c>
      <c r="B124" s="1" t="n">
        <v>45167</v>
      </c>
      <c r="C124" s="1" t="n">
        <v>46140</v>
      </c>
      <c r="D124" t="inlineStr">
        <is>
          <t>VÄRMLANDS LÄN</t>
        </is>
      </c>
      <c r="E124" t="inlineStr">
        <is>
          <t>TORSBY</t>
        </is>
      </c>
      <c r="G124" t="n">
        <v>5.2</v>
      </c>
      <c r="H124" t="n">
        <v>0</v>
      </c>
      <c r="I124" t="n">
        <v>0</v>
      </c>
      <c r="J124" t="n">
        <v>1</v>
      </c>
      <c r="K124" t="n">
        <v>0</v>
      </c>
      <c r="L124" t="n">
        <v>0</v>
      </c>
      <c r="M124" t="n">
        <v>0</v>
      </c>
      <c r="N124" t="n">
        <v>0</v>
      </c>
      <c r="O124" t="n">
        <v>1</v>
      </c>
      <c r="P124" t="n">
        <v>0</v>
      </c>
      <c r="Q124" t="n">
        <v>1</v>
      </c>
      <c r="R124" s="2" t="inlineStr">
        <is>
          <t>Garnlav</t>
        </is>
      </c>
      <c r="S124">
        <f>HYPERLINK("https://klasma.github.io/Logging_1737/artfynd/A 39681-2023 artfynd.xlsx", "A 39681-2023")</f>
        <v/>
      </c>
      <c r="T124">
        <f>HYPERLINK("https://klasma.github.io/Logging_1737/kartor/A 39681-2023 karta.png", "A 39681-2023")</f>
        <v/>
      </c>
      <c r="V124">
        <f>HYPERLINK("https://klasma.github.io/Logging_1737/klagomål/A 39681-2023 FSC-klagomål.docx", "A 39681-2023")</f>
        <v/>
      </c>
      <c r="W124">
        <f>HYPERLINK("https://klasma.github.io/Logging_1737/klagomålsmail/A 39681-2023 FSC-klagomål mail.docx", "A 39681-2023")</f>
        <v/>
      </c>
      <c r="X124">
        <f>HYPERLINK("https://klasma.github.io/Logging_1737/tillsyn/A 39681-2023 tillsynsbegäran.docx", "A 39681-2023")</f>
        <v/>
      </c>
      <c r="Y124">
        <f>HYPERLINK("https://klasma.github.io/Logging_1737/tillsynsmail/A 39681-2023 tillsynsbegäran mail.docx", "A 39681-2023")</f>
        <v/>
      </c>
    </row>
    <row r="125" ht="15" customHeight="1">
      <c r="A125" t="inlineStr">
        <is>
          <t>A 49110-2021</t>
        </is>
      </c>
      <c r="B125" s="1" t="n">
        <v>44453</v>
      </c>
      <c r="C125" s="1" t="n">
        <v>46140</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58014-2024</t>
        </is>
      </c>
      <c r="B126" s="1" t="n">
        <v>45631</v>
      </c>
      <c r="C126" s="1" t="n">
        <v>46140</v>
      </c>
      <c r="D126" t="inlineStr">
        <is>
          <t>VÄRMLANDS LÄN</t>
        </is>
      </c>
      <c r="E126" t="inlineStr">
        <is>
          <t>TORSBY</t>
        </is>
      </c>
      <c r="G126" t="n">
        <v>2.2</v>
      </c>
      <c r="H126" t="n">
        <v>0</v>
      </c>
      <c r="I126" t="n">
        <v>1</v>
      </c>
      <c r="J126" t="n">
        <v>0</v>
      </c>
      <c r="K126" t="n">
        <v>0</v>
      </c>
      <c r="L126" t="n">
        <v>0</v>
      </c>
      <c r="M126" t="n">
        <v>0</v>
      </c>
      <c r="N126" t="n">
        <v>0</v>
      </c>
      <c r="O126" t="n">
        <v>0</v>
      </c>
      <c r="P126" t="n">
        <v>0</v>
      </c>
      <c r="Q126" t="n">
        <v>1</v>
      </c>
      <c r="R126" s="2" t="inlineStr">
        <is>
          <t>Kattfotslav</t>
        </is>
      </c>
      <c r="S126">
        <f>HYPERLINK("https://klasma.github.io/Logging_1737/artfynd/A 58014-2024 artfynd.xlsx", "A 58014-2024")</f>
        <v/>
      </c>
      <c r="T126">
        <f>HYPERLINK("https://klasma.github.io/Logging_1737/kartor/A 58014-2024 karta.png", "A 58014-2024")</f>
        <v/>
      </c>
      <c r="V126">
        <f>HYPERLINK("https://klasma.github.io/Logging_1737/klagomål/A 58014-2024 FSC-klagomål.docx", "A 58014-2024")</f>
        <v/>
      </c>
      <c r="W126">
        <f>HYPERLINK("https://klasma.github.io/Logging_1737/klagomålsmail/A 58014-2024 FSC-klagomål mail.docx", "A 58014-2024")</f>
        <v/>
      </c>
      <c r="X126">
        <f>HYPERLINK("https://klasma.github.io/Logging_1737/tillsyn/A 58014-2024 tillsynsbegäran.docx", "A 58014-2024")</f>
        <v/>
      </c>
      <c r="Y126">
        <f>HYPERLINK("https://klasma.github.io/Logging_1737/tillsynsmail/A 58014-2024 tillsynsbegäran mail.docx", "A 58014-2024")</f>
        <v/>
      </c>
    </row>
    <row r="127" ht="15" customHeight="1">
      <c r="A127" t="inlineStr">
        <is>
          <t>A 50712-2025</t>
        </is>
      </c>
      <c r="B127" s="1" t="n">
        <v>45946.34440972222</v>
      </c>
      <c r="C127" s="1" t="n">
        <v>46140</v>
      </c>
      <c r="D127" t="inlineStr">
        <is>
          <t>VÄRMLANDS LÄN</t>
        </is>
      </c>
      <c r="E127" t="inlineStr">
        <is>
          <t>TORSBY</t>
        </is>
      </c>
      <c r="F127" t="inlineStr">
        <is>
          <t>Bergvik skog väst AB</t>
        </is>
      </c>
      <c r="G127" t="n">
        <v>7.6</v>
      </c>
      <c r="H127" t="n">
        <v>0</v>
      </c>
      <c r="I127" t="n">
        <v>0</v>
      </c>
      <c r="J127" t="n">
        <v>1</v>
      </c>
      <c r="K127" t="n">
        <v>0</v>
      </c>
      <c r="L127" t="n">
        <v>0</v>
      </c>
      <c r="M127" t="n">
        <v>0</v>
      </c>
      <c r="N127" t="n">
        <v>0</v>
      </c>
      <c r="O127" t="n">
        <v>1</v>
      </c>
      <c r="P127" t="n">
        <v>0</v>
      </c>
      <c r="Q127" t="n">
        <v>1</v>
      </c>
      <c r="R127" s="2" t="inlineStr">
        <is>
          <t>Vedskivlav</t>
        </is>
      </c>
      <c r="S127">
        <f>HYPERLINK("https://klasma.github.io/Logging_1737/artfynd/A 50712-2025 artfynd.xlsx", "A 50712-2025")</f>
        <v/>
      </c>
      <c r="T127">
        <f>HYPERLINK("https://klasma.github.io/Logging_1737/kartor/A 50712-2025 karta.png", "A 50712-2025")</f>
        <v/>
      </c>
      <c r="V127">
        <f>HYPERLINK("https://klasma.github.io/Logging_1737/klagomål/A 50712-2025 FSC-klagomål.docx", "A 50712-2025")</f>
        <v/>
      </c>
      <c r="W127">
        <f>HYPERLINK("https://klasma.github.io/Logging_1737/klagomålsmail/A 50712-2025 FSC-klagomål mail.docx", "A 50712-2025")</f>
        <v/>
      </c>
      <c r="X127">
        <f>HYPERLINK("https://klasma.github.io/Logging_1737/tillsyn/A 50712-2025 tillsynsbegäran.docx", "A 50712-2025")</f>
        <v/>
      </c>
      <c r="Y127">
        <f>HYPERLINK("https://klasma.github.io/Logging_1737/tillsynsmail/A 50712-2025 tillsynsbegäran mail.docx", "A 50712-2025")</f>
        <v/>
      </c>
    </row>
    <row r="128" ht="15" customHeight="1">
      <c r="A128" t="inlineStr">
        <is>
          <t>A 26747-2023</t>
        </is>
      </c>
      <c r="B128" s="1" t="n">
        <v>45090</v>
      </c>
      <c r="C128" s="1" t="n">
        <v>46140</v>
      </c>
      <c r="D128" t="inlineStr">
        <is>
          <t>VÄRMLANDS LÄN</t>
        </is>
      </c>
      <c r="E128" t="inlineStr">
        <is>
          <t>TORSBY</t>
        </is>
      </c>
      <c r="F128" t="inlineStr">
        <is>
          <t>Övriga statliga verk och myndigheter</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HYPERLINK("https://klasma.github.io/Logging_1737/artfynd/A 26747-2023 artfynd.xlsx", "A 26747-2023")</f>
        <v/>
      </c>
      <c r="T128">
        <f>HYPERLINK("https://klasma.github.io/Logging_1737/kartor/A 26747-2023 karta.png", "A 26747-2023")</f>
        <v/>
      </c>
      <c r="V128">
        <f>HYPERLINK("https://klasma.github.io/Logging_1737/klagomål/A 26747-2023 FSC-klagomål.docx", "A 26747-2023")</f>
        <v/>
      </c>
      <c r="W128">
        <f>HYPERLINK("https://klasma.github.io/Logging_1737/klagomålsmail/A 26747-2023 FSC-klagomål mail.docx", "A 26747-2023")</f>
        <v/>
      </c>
      <c r="X128">
        <f>HYPERLINK("https://klasma.github.io/Logging_1737/tillsyn/A 26747-2023 tillsynsbegäran.docx", "A 26747-2023")</f>
        <v/>
      </c>
      <c r="Y128">
        <f>HYPERLINK("https://klasma.github.io/Logging_1737/tillsynsmail/A 26747-2023 tillsynsbegäran mail.docx", "A 26747-2023")</f>
        <v/>
      </c>
    </row>
    <row r="129" ht="15" customHeight="1">
      <c r="A129" t="inlineStr">
        <is>
          <t>A 52418-2025</t>
        </is>
      </c>
      <c r="B129" s="1" t="n">
        <v>45954.36844907407</v>
      </c>
      <c r="C129" s="1" t="n">
        <v>46140</v>
      </c>
      <c r="D129" t="inlineStr">
        <is>
          <t>VÄRMLANDS LÄN</t>
        </is>
      </c>
      <c r="E129" t="inlineStr">
        <is>
          <t>TORSBY</t>
        </is>
      </c>
      <c r="G129" t="n">
        <v>4.1</v>
      </c>
      <c r="H129" t="n">
        <v>1</v>
      </c>
      <c r="I129" t="n">
        <v>0</v>
      </c>
      <c r="J129" t="n">
        <v>1</v>
      </c>
      <c r="K129" t="n">
        <v>0</v>
      </c>
      <c r="L129" t="n">
        <v>0</v>
      </c>
      <c r="M129" t="n">
        <v>0</v>
      </c>
      <c r="N129" t="n">
        <v>0</v>
      </c>
      <c r="O129" t="n">
        <v>1</v>
      </c>
      <c r="P129" t="n">
        <v>0</v>
      </c>
      <c r="Q129" t="n">
        <v>1</v>
      </c>
      <c r="R129" s="2" t="inlineStr">
        <is>
          <t>Mindre hackspett</t>
        </is>
      </c>
      <c r="S129">
        <f>HYPERLINK("https://klasma.github.io/Logging_1737/artfynd/A 52418-2025 artfynd.xlsx", "A 52418-2025")</f>
        <v/>
      </c>
      <c r="T129">
        <f>HYPERLINK("https://klasma.github.io/Logging_1737/kartor/A 52418-2025 karta.png", "A 52418-2025")</f>
        <v/>
      </c>
      <c r="V129">
        <f>HYPERLINK("https://klasma.github.io/Logging_1737/klagomål/A 52418-2025 FSC-klagomål.docx", "A 52418-2025")</f>
        <v/>
      </c>
      <c r="W129">
        <f>HYPERLINK("https://klasma.github.io/Logging_1737/klagomålsmail/A 52418-2025 FSC-klagomål mail.docx", "A 52418-2025")</f>
        <v/>
      </c>
      <c r="X129">
        <f>HYPERLINK("https://klasma.github.io/Logging_1737/tillsyn/A 52418-2025 tillsynsbegäran.docx", "A 52418-2025")</f>
        <v/>
      </c>
      <c r="Y129">
        <f>HYPERLINK("https://klasma.github.io/Logging_1737/tillsynsmail/A 52418-2025 tillsynsbegäran mail.docx", "A 52418-2025")</f>
        <v/>
      </c>
      <c r="Z129">
        <f>HYPERLINK("https://klasma.github.io/Logging_1737/fåglar/A 52418-2025 prioriterade fågelarter.docx", "A 52418-2025")</f>
        <v/>
      </c>
    </row>
    <row r="130" ht="15" customHeight="1">
      <c r="A130" t="inlineStr">
        <is>
          <t>A 53388-2025</t>
        </is>
      </c>
      <c r="B130" s="1" t="n">
        <v>45959.54763888889</v>
      </c>
      <c r="C130" s="1" t="n">
        <v>46140</v>
      </c>
      <c r="D130" t="inlineStr">
        <is>
          <t>VÄRMLANDS LÄN</t>
        </is>
      </c>
      <c r="E130" t="inlineStr">
        <is>
          <t>TORSBY</t>
        </is>
      </c>
      <c r="G130" t="n">
        <v>2.2</v>
      </c>
      <c r="H130" t="n">
        <v>0</v>
      </c>
      <c r="I130" t="n">
        <v>0</v>
      </c>
      <c r="J130" t="n">
        <v>0</v>
      </c>
      <c r="K130" t="n">
        <v>0</v>
      </c>
      <c r="L130" t="n">
        <v>1</v>
      </c>
      <c r="M130" t="n">
        <v>0</v>
      </c>
      <c r="N130" t="n">
        <v>0</v>
      </c>
      <c r="O130" t="n">
        <v>1</v>
      </c>
      <c r="P130" t="n">
        <v>1</v>
      </c>
      <c r="Q130" t="n">
        <v>1</v>
      </c>
      <c r="R130" s="2" t="inlineStr">
        <is>
          <t>Fältgentiana</t>
        </is>
      </c>
      <c r="S130">
        <f>HYPERLINK("https://klasma.github.io/Logging_1737/artfynd/A 53388-2025 artfynd.xlsx", "A 53388-2025")</f>
        <v/>
      </c>
      <c r="T130">
        <f>HYPERLINK("https://klasma.github.io/Logging_1737/kartor/A 53388-2025 karta.png", "A 53388-2025")</f>
        <v/>
      </c>
      <c r="V130">
        <f>HYPERLINK("https://klasma.github.io/Logging_1737/klagomål/A 53388-2025 FSC-klagomål.docx", "A 53388-2025")</f>
        <v/>
      </c>
      <c r="W130">
        <f>HYPERLINK("https://klasma.github.io/Logging_1737/klagomålsmail/A 53388-2025 FSC-klagomål mail.docx", "A 53388-2025")</f>
        <v/>
      </c>
      <c r="X130">
        <f>HYPERLINK("https://klasma.github.io/Logging_1737/tillsyn/A 53388-2025 tillsynsbegäran.docx", "A 53388-2025")</f>
        <v/>
      </c>
      <c r="Y130">
        <f>HYPERLINK("https://klasma.github.io/Logging_1737/tillsynsmail/A 53388-2025 tillsynsbegäran mail.docx", "A 53388-2025")</f>
        <v/>
      </c>
    </row>
    <row r="131" ht="15" customHeight="1">
      <c r="A131" t="inlineStr">
        <is>
          <t>A 58470-2021</t>
        </is>
      </c>
      <c r="B131" s="1" t="n">
        <v>44488</v>
      </c>
      <c r="C131" s="1" t="n">
        <v>46140</v>
      </c>
      <c r="D131" t="inlineStr">
        <is>
          <t>VÄRMLANDS LÄN</t>
        </is>
      </c>
      <c r="E131" t="inlineStr">
        <is>
          <t>TORSBY</t>
        </is>
      </c>
      <c r="G131" t="n">
        <v>8.699999999999999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58470-2021 artfynd.xlsx", "A 58470-2021")</f>
        <v/>
      </c>
      <c r="T131">
        <f>HYPERLINK("https://klasma.github.io/Logging_1737/kartor/A 58470-2021 karta.png", "A 58470-2021")</f>
        <v/>
      </c>
      <c r="V131">
        <f>HYPERLINK("https://klasma.github.io/Logging_1737/klagomål/A 58470-2021 FSC-klagomål.docx", "A 58470-2021")</f>
        <v/>
      </c>
      <c r="W131">
        <f>HYPERLINK("https://klasma.github.io/Logging_1737/klagomålsmail/A 58470-2021 FSC-klagomål mail.docx", "A 58470-2021")</f>
        <v/>
      </c>
      <c r="X131">
        <f>HYPERLINK("https://klasma.github.io/Logging_1737/tillsyn/A 58470-2021 tillsynsbegäran.docx", "A 58470-2021")</f>
        <v/>
      </c>
      <c r="Y131">
        <f>HYPERLINK("https://klasma.github.io/Logging_1737/tillsynsmail/A 58470-2021 tillsynsbegäran mail.docx", "A 58470-2021")</f>
        <v/>
      </c>
    </row>
    <row r="132" ht="15" customHeight="1">
      <c r="A132" t="inlineStr">
        <is>
          <t>A 40934-2024</t>
        </is>
      </c>
      <c r="B132" s="1" t="n">
        <v>45558</v>
      </c>
      <c r="C132" s="1" t="n">
        <v>46140</v>
      </c>
      <c r="D132" t="inlineStr">
        <is>
          <t>VÄRMLANDS LÄN</t>
        </is>
      </c>
      <c r="E132" t="inlineStr">
        <is>
          <t>TORSBY</t>
        </is>
      </c>
      <c r="G132" t="n">
        <v>8.1</v>
      </c>
      <c r="H132" t="n">
        <v>0</v>
      </c>
      <c r="I132" t="n">
        <v>0</v>
      </c>
      <c r="J132" t="n">
        <v>1</v>
      </c>
      <c r="K132" t="n">
        <v>0</v>
      </c>
      <c r="L132" t="n">
        <v>0</v>
      </c>
      <c r="M132" t="n">
        <v>0</v>
      </c>
      <c r="N132" t="n">
        <v>0</v>
      </c>
      <c r="O132" t="n">
        <v>1</v>
      </c>
      <c r="P132" t="n">
        <v>0</v>
      </c>
      <c r="Q132" t="n">
        <v>1</v>
      </c>
      <c r="R132" s="2" t="inlineStr">
        <is>
          <t>Lunglav</t>
        </is>
      </c>
      <c r="S132">
        <f>HYPERLINK("https://klasma.github.io/Logging_1737/artfynd/A 40934-2024 artfynd.xlsx", "A 40934-2024")</f>
        <v/>
      </c>
      <c r="T132">
        <f>HYPERLINK("https://klasma.github.io/Logging_1737/kartor/A 40934-2024 karta.png", "A 40934-2024")</f>
        <v/>
      </c>
      <c r="V132">
        <f>HYPERLINK("https://klasma.github.io/Logging_1737/klagomål/A 40934-2024 FSC-klagomål.docx", "A 40934-2024")</f>
        <v/>
      </c>
      <c r="W132">
        <f>HYPERLINK("https://klasma.github.io/Logging_1737/klagomålsmail/A 40934-2024 FSC-klagomål mail.docx", "A 40934-2024")</f>
        <v/>
      </c>
      <c r="X132">
        <f>HYPERLINK("https://klasma.github.io/Logging_1737/tillsyn/A 40934-2024 tillsynsbegäran.docx", "A 40934-2024")</f>
        <v/>
      </c>
      <c r="Y132">
        <f>HYPERLINK("https://klasma.github.io/Logging_1737/tillsynsmail/A 40934-2024 tillsynsbegäran mail.docx", "A 40934-2024")</f>
        <v/>
      </c>
    </row>
    <row r="133" ht="15" customHeight="1">
      <c r="A133" t="inlineStr">
        <is>
          <t>A 56186-2025</t>
        </is>
      </c>
      <c r="B133" s="1" t="n">
        <v>45974</v>
      </c>
      <c r="C133" s="1" t="n">
        <v>46140</v>
      </c>
      <c r="D133" t="inlineStr">
        <is>
          <t>VÄRMLANDS LÄN</t>
        </is>
      </c>
      <c r="E133" t="inlineStr">
        <is>
          <t>TORSBY</t>
        </is>
      </c>
      <c r="G133" t="n">
        <v>4.3</v>
      </c>
      <c r="H133" t="n">
        <v>0</v>
      </c>
      <c r="I133" t="n">
        <v>0</v>
      </c>
      <c r="J133" t="n">
        <v>0</v>
      </c>
      <c r="K133" t="n">
        <v>1</v>
      </c>
      <c r="L133" t="n">
        <v>0</v>
      </c>
      <c r="M133" t="n">
        <v>0</v>
      </c>
      <c r="N133" t="n">
        <v>0</v>
      </c>
      <c r="O133" t="n">
        <v>1</v>
      </c>
      <c r="P133" t="n">
        <v>1</v>
      </c>
      <c r="Q133" t="n">
        <v>1</v>
      </c>
      <c r="R133" s="2" t="inlineStr">
        <is>
          <t>Raggbock</t>
        </is>
      </c>
      <c r="S133">
        <f>HYPERLINK("https://klasma.github.io/Logging_1737/artfynd/A 56186-2025 artfynd.xlsx", "A 56186-2025")</f>
        <v/>
      </c>
      <c r="T133">
        <f>HYPERLINK("https://klasma.github.io/Logging_1737/kartor/A 56186-2025 karta.png", "A 56186-2025")</f>
        <v/>
      </c>
      <c r="V133">
        <f>HYPERLINK("https://klasma.github.io/Logging_1737/klagomål/A 56186-2025 FSC-klagomål.docx", "A 56186-2025")</f>
        <v/>
      </c>
      <c r="W133">
        <f>HYPERLINK("https://klasma.github.io/Logging_1737/klagomålsmail/A 56186-2025 FSC-klagomål mail.docx", "A 56186-2025")</f>
        <v/>
      </c>
      <c r="X133">
        <f>HYPERLINK("https://klasma.github.io/Logging_1737/tillsyn/A 56186-2025 tillsynsbegäran.docx", "A 56186-2025")</f>
        <v/>
      </c>
      <c r="Y133">
        <f>HYPERLINK("https://klasma.github.io/Logging_1737/tillsynsmail/A 56186-2025 tillsynsbegäran mail.docx", "A 56186-2025")</f>
        <v/>
      </c>
    </row>
    <row r="134" ht="15" customHeight="1">
      <c r="A134" t="inlineStr">
        <is>
          <t>A 9226-2025</t>
        </is>
      </c>
      <c r="B134" s="1" t="n">
        <v>45714</v>
      </c>
      <c r="C134" s="1" t="n">
        <v>46140</v>
      </c>
      <c r="D134" t="inlineStr">
        <is>
          <t>VÄRMLANDS LÄN</t>
        </is>
      </c>
      <c r="E134" t="inlineStr">
        <is>
          <t>TORSBY</t>
        </is>
      </c>
      <c r="G134" t="n">
        <v>0.8</v>
      </c>
      <c r="H134" t="n">
        <v>1</v>
      </c>
      <c r="I134" t="n">
        <v>0</v>
      </c>
      <c r="J134" t="n">
        <v>0</v>
      </c>
      <c r="K134" t="n">
        <v>1</v>
      </c>
      <c r="L134" t="n">
        <v>0</v>
      </c>
      <c r="M134" t="n">
        <v>0</v>
      </c>
      <c r="N134" t="n">
        <v>0</v>
      </c>
      <c r="O134" t="n">
        <v>1</v>
      </c>
      <c r="P134" t="n">
        <v>1</v>
      </c>
      <c r="Q134" t="n">
        <v>1</v>
      </c>
      <c r="R134" s="2" t="inlineStr">
        <is>
          <t>Bombmurkla</t>
        </is>
      </c>
      <c r="S134">
        <f>HYPERLINK("https://klasma.github.io/Logging_1737/artfynd/A 9226-2025 artfynd.xlsx", "A 9226-2025")</f>
        <v/>
      </c>
      <c r="T134">
        <f>HYPERLINK("https://klasma.github.io/Logging_1737/kartor/A 9226-2025 karta.png", "A 9226-2025")</f>
        <v/>
      </c>
      <c r="V134">
        <f>HYPERLINK("https://klasma.github.io/Logging_1737/klagomål/A 9226-2025 FSC-klagomål.docx", "A 9226-2025")</f>
        <v/>
      </c>
      <c r="W134">
        <f>HYPERLINK("https://klasma.github.io/Logging_1737/klagomålsmail/A 9226-2025 FSC-klagomål mail.docx", "A 9226-2025")</f>
        <v/>
      </c>
      <c r="X134">
        <f>HYPERLINK("https://klasma.github.io/Logging_1737/tillsyn/A 9226-2025 tillsynsbegäran.docx", "A 9226-2025")</f>
        <v/>
      </c>
      <c r="Y134">
        <f>HYPERLINK("https://klasma.github.io/Logging_1737/tillsynsmail/A 9226-2025 tillsynsbegäran mail.docx", "A 9226-2025")</f>
        <v/>
      </c>
    </row>
    <row r="135" ht="15" customHeight="1">
      <c r="A135" t="inlineStr">
        <is>
          <t>A 60688-2025</t>
        </is>
      </c>
      <c r="B135" s="1" t="n">
        <v>45996</v>
      </c>
      <c r="C135" s="1" t="n">
        <v>46140</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Späd bäckmossa</t>
        </is>
      </c>
      <c r="S135">
        <f>HYPERLINK("https://klasma.github.io/Logging_1737/artfynd/A 60688-2025 artfynd.xlsx", "A 60688-2025")</f>
        <v/>
      </c>
      <c r="T135">
        <f>HYPERLINK("https://klasma.github.io/Logging_1737/kartor/A 60688-2025 karta.png", "A 60688-2025")</f>
        <v/>
      </c>
      <c r="V135">
        <f>HYPERLINK("https://klasma.github.io/Logging_1737/klagomål/A 60688-2025 FSC-klagomål.docx", "A 60688-2025")</f>
        <v/>
      </c>
      <c r="W135">
        <f>HYPERLINK("https://klasma.github.io/Logging_1737/klagomålsmail/A 60688-2025 FSC-klagomål mail.docx", "A 60688-2025")</f>
        <v/>
      </c>
      <c r="X135">
        <f>HYPERLINK("https://klasma.github.io/Logging_1737/tillsyn/A 60688-2025 tillsynsbegäran.docx", "A 60688-2025")</f>
        <v/>
      </c>
      <c r="Y135">
        <f>HYPERLINK("https://klasma.github.io/Logging_1737/tillsynsmail/A 60688-2025 tillsynsbegäran mail.docx", "A 60688-2025")</f>
        <v/>
      </c>
    </row>
    <row r="136" ht="15" customHeight="1">
      <c r="A136" t="inlineStr">
        <is>
          <t>A 24042-2021</t>
        </is>
      </c>
      <c r="B136" s="1" t="n">
        <v>44336</v>
      </c>
      <c r="C136" s="1" t="n">
        <v>46140</v>
      </c>
      <c r="D136" t="inlineStr">
        <is>
          <t>VÄRMLANDS LÄN</t>
        </is>
      </c>
      <c r="E136" t="inlineStr">
        <is>
          <t>TORSBY</t>
        </is>
      </c>
      <c r="G136" t="n">
        <v>4.5</v>
      </c>
      <c r="H136" t="n">
        <v>0</v>
      </c>
      <c r="I136" t="n">
        <v>1</v>
      </c>
      <c r="J136" t="n">
        <v>0</v>
      </c>
      <c r="K136" t="n">
        <v>0</v>
      </c>
      <c r="L136" t="n">
        <v>0</v>
      </c>
      <c r="M136" t="n">
        <v>0</v>
      </c>
      <c r="N136" t="n">
        <v>0</v>
      </c>
      <c r="O136" t="n">
        <v>0</v>
      </c>
      <c r="P136" t="n">
        <v>0</v>
      </c>
      <c r="Q136" t="n">
        <v>1</v>
      </c>
      <c r="R136" s="2" t="inlineStr">
        <is>
          <t>Stuplav</t>
        </is>
      </c>
      <c r="S136">
        <f>HYPERLINK("https://klasma.github.io/Logging_1737/artfynd/A 24042-2021 artfynd.xlsx", "A 24042-2021")</f>
        <v/>
      </c>
      <c r="T136">
        <f>HYPERLINK("https://klasma.github.io/Logging_1737/kartor/A 24042-2021 karta.png", "A 24042-2021")</f>
        <v/>
      </c>
      <c r="V136">
        <f>HYPERLINK("https://klasma.github.io/Logging_1737/klagomål/A 24042-2021 FSC-klagomål.docx", "A 24042-2021")</f>
        <v/>
      </c>
      <c r="W136">
        <f>HYPERLINK("https://klasma.github.io/Logging_1737/klagomålsmail/A 24042-2021 FSC-klagomål mail.docx", "A 24042-2021")</f>
        <v/>
      </c>
      <c r="X136">
        <f>HYPERLINK("https://klasma.github.io/Logging_1737/tillsyn/A 24042-2021 tillsynsbegäran.docx", "A 24042-2021")</f>
        <v/>
      </c>
      <c r="Y136">
        <f>HYPERLINK("https://klasma.github.io/Logging_1737/tillsynsmail/A 24042-2021 tillsynsbegäran mail.docx", "A 24042-2021")</f>
        <v/>
      </c>
    </row>
    <row r="137" ht="15" customHeight="1">
      <c r="A137" t="inlineStr">
        <is>
          <t>A 62690-2025</t>
        </is>
      </c>
      <c r="B137" s="1" t="n">
        <v>46007</v>
      </c>
      <c r="C137" s="1" t="n">
        <v>46140</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1534-2026</t>
        </is>
      </c>
      <c r="B138" s="1" t="n">
        <v>46034</v>
      </c>
      <c r="C138" s="1" t="n">
        <v>46140</v>
      </c>
      <c r="D138" t="inlineStr">
        <is>
          <t>VÄRMLANDS LÄN</t>
        </is>
      </c>
      <c r="E138" t="inlineStr">
        <is>
          <t>TORSBY</t>
        </is>
      </c>
      <c r="G138" t="n">
        <v>2.1</v>
      </c>
      <c r="H138" t="n">
        <v>0</v>
      </c>
      <c r="I138" t="n">
        <v>0</v>
      </c>
      <c r="J138" t="n">
        <v>1</v>
      </c>
      <c r="K138" t="n">
        <v>0</v>
      </c>
      <c r="L138" t="n">
        <v>0</v>
      </c>
      <c r="M138" t="n">
        <v>0</v>
      </c>
      <c r="N138" t="n">
        <v>0</v>
      </c>
      <c r="O138" t="n">
        <v>1</v>
      </c>
      <c r="P138" t="n">
        <v>0</v>
      </c>
      <c r="Q138" t="n">
        <v>1</v>
      </c>
      <c r="R138" s="2" t="inlineStr">
        <is>
          <t>Garnlav</t>
        </is>
      </c>
      <c r="S138">
        <f>HYPERLINK("https://klasma.github.io/Logging_1737/artfynd/A 1534-2026 artfynd.xlsx", "A 1534-2026")</f>
        <v/>
      </c>
      <c r="T138">
        <f>HYPERLINK("https://klasma.github.io/Logging_1737/kartor/A 1534-2026 karta.png", "A 1534-2026")</f>
        <v/>
      </c>
      <c r="V138">
        <f>HYPERLINK("https://klasma.github.io/Logging_1737/klagomål/A 1534-2026 FSC-klagomål.docx", "A 1534-2026")</f>
        <v/>
      </c>
      <c r="W138">
        <f>HYPERLINK("https://klasma.github.io/Logging_1737/klagomålsmail/A 1534-2026 FSC-klagomål mail.docx", "A 1534-2026")</f>
        <v/>
      </c>
      <c r="X138">
        <f>HYPERLINK("https://klasma.github.io/Logging_1737/tillsyn/A 1534-2026 tillsynsbegäran.docx", "A 1534-2026")</f>
        <v/>
      </c>
      <c r="Y138">
        <f>HYPERLINK("https://klasma.github.io/Logging_1737/tillsynsmail/A 1534-2026 tillsynsbegäran mail.docx", "A 1534-2026")</f>
        <v/>
      </c>
    </row>
    <row r="139" ht="15" customHeight="1">
      <c r="A139" t="inlineStr">
        <is>
          <t>A 37292-2024</t>
        </is>
      </c>
      <c r="B139" s="1" t="n">
        <v>45540</v>
      </c>
      <c r="C139" s="1" t="n">
        <v>46140</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15872-2025</t>
        </is>
      </c>
      <c r="B140" s="1" t="n">
        <v>45749</v>
      </c>
      <c r="C140" s="1" t="n">
        <v>46140</v>
      </c>
      <c r="D140" t="inlineStr">
        <is>
          <t>VÄRMLANDS LÄN</t>
        </is>
      </c>
      <c r="E140" t="inlineStr">
        <is>
          <t>TORSBY</t>
        </is>
      </c>
      <c r="F140" t="inlineStr">
        <is>
          <t>Bergvik skog väst AB</t>
        </is>
      </c>
      <c r="G140" t="n">
        <v>10.8</v>
      </c>
      <c r="H140" t="n">
        <v>1</v>
      </c>
      <c r="I140" t="n">
        <v>1</v>
      </c>
      <c r="J140" t="n">
        <v>0</v>
      </c>
      <c r="K140" t="n">
        <v>0</v>
      </c>
      <c r="L140" t="n">
        <v>0</v>
      </c>
      <c r="M140" t="n">
        <v>0</v>
      </c>
      <c r="N140" t="n">
        <v>0</v>
      </c>
      <c r="O140" t="n">
        <v>0</v>
      </c>
      <c r="P140" t="n">
        <v>0</v>
      </c>
      <c r="Q140" t="n">
        <v>1</v>
      </c>
      <c r="R140" s="2" t="inlineStr">
        <is>
          <t>Korallrot</t>
        </is>
      </c>
      <c r="S140">
        <f>HYPERLINK("https://klasma.github.io/Logging_1737/artfynd/A 15872-2025 artfynd.xlsx", "A 15872-2025")</f>
        <v/>
      </c>
      <c r="T140">
        <f>HYPERLINK("https://klasma.github.io/Logging_1737/kartor/A 15872-2025 karta.png", "A 15872-2025")</f>
        <v/>
      </c>
      <c r="V140">
        <f>HYPERLINK("https://klasma.github.io/Logging_1737/klagomål/A 15872-2025 FSC-klagomål.docx", "A 15872-2025")</f>
        <v/>
      </c>
      <c r="W140">
        <f>HYPERLINK("https://klasma.github.io/Logging_1737/klagomålsmail/A 15872-2025 FSC-klagomål mail.docx", "A 15872-2025")</f>
        <v/>
      </c>
      <c r="X140">
        <f>HYPERLINK("https://klasma.github.io/Logging_1737/tillsyn/A 15872-2025 tillsynsbegäran.docx", "A 15872-2025")</f>
        <v/>
      </c>
      <c r="Y140">
        <f>HYPERLINK("https://klasma.github.io/Logging_1737/tillsynsmail/A 15872-2025 tillsynsbegäran mail.docx", "A 15872-2025")</f>
        <v/>
      </c>
    </row>
    <row r="141" ht="15" customHeight="1">
      <c r="A141" t="inlineStr">
        <is>
          <t>A 41477-2024</t>
        </is>
      </c>
      <c r="B141" s="1" t="n">
        <v>45560</v>
      </c>
      <c r="C141" s="1" t="n">
        <v>46140</v>
      </c>
      <c r="D141" t="inlineStr">
        <is>
          <t>VÄRMLANDS LÄN</t>
        </is>
      </c>
      <c r="E141" t="inlineStr">
        <is>
          <t>TORSBY</t>
        </is>
      </c>
      <c r="G141" t="n">
        <v>6.7</v>
      </c>
      <c r="H141" t="n">
        <v>0</v>
      </c>
      <c r="I141" t="n">
        <v>0</v>
      </c>
      <c r="J141" t="n">
        <v>1</v>
      </c>
      <c r="K141" t="n">
        <v>0</v>
      </c>
      <c r="L141" t="n">
        <v>0</v>
      </c>
      <c r="M141" t="n">
        <v>0</v>
      </c>
      <c r="N141" t="n">
        <v>0</v>
      </c>
      <c r="O141" t="n">
        <v>1</v>
      </c>
      <c r="P141" t="n">
        <v>0</v>
      </c>
      <c r="Q141" t="n">
        <v>1</v>
      </c>
      <c r="R141" s="2" t="inlineStr">
        <is>
          <t>Garnlav</t>
        </is>
      </c>
      <c r="S141">
        <f>HYPERLINK("https://klasma.github.io/Logging_1737/artfynd/A 41477-2024 artfynd.xlsx", "A 41477-2024")</f>
        <v/>
      </c>
      <c r="T141">
        <f>HYPERLINK("https://klasma.github.io/Logging_1737/kartor/A 41477-2024 karta.png", "A 41477-2024")</f>
        <v/>
      </c>
      <c r="V141">
        <f>HYPERLINK("https://klasma.github.io/Logging_1737/klagomål/A 41477-2024 FSC-klagomål.docx", "A 41477-2024")</f>
        <v/>
      </c>
      <c r="W141">
        <f>HYPERLINK("https://klasma.github.io/Logging_1737/klagomålsmail/A 41477-2024 FSC-klagomål mail.docx", "A 41477-2024")</f>
        <v/>
      </c>
      <c r="X141">
        <f>HYPERLINK("https://klasma.github.io/Logging_1737/tillsyn/A 41477-2024 tillsynsbegäran.docx", "A 41477-2024")</f>
        <v/>
      </c>
      <c r="Y141">
        <f>HYPERLINK("https://klasma.github.io/Logging_1737/tillsynsmail/A 41477-2024 tillsynsbegäran mail.docx", "A 41477-2024")</f>
        <v/>
      </c>
    </row>
    <row r="142" ht="15" customHeight="1">
      <c r="A142" t="inlineStr">
        <is>
          <t>A 16024-2026</t>
        </is>
      </c>
      <c r="B142" s="1" t="n">
        <v>46108.45134259259</v>
      </c>
      <c r="C142" s="1" t="n">
        <v>46140</v>
      </c>
      <c r="D142" t="inlineStr">
        <is>
          <t>VÄRMLANDS LÄN</t>
        </is>
      </c>
      <c r="E142" t="inlineStr">
        <is>
          <t>TORSBY</t>
        </is>
      </c>
      <c r="G142" t="n">
        <v>15.1</v>
      </c>
      <c r="H142" t="n">
        <v>1</v>
      </c>
      <c r="I142" t="n">
        <v>0</v>
      </c>
      <c r="J142" t="n">
        <v>1</v>
      </c>
      <c r="K142" t="n">
        <v>0</v>
      </c>
      <c r="L142" t="n">
        <v>0</v>
      </c>
      <c r="M142" t="n">
        <v>0</v>
      </c>
      <c r="N142" t="n">
        <v>0</v>
      </c>
      <c r="O142" t="n">
        <v>1</v>
      </c>
      <c r="P142" t="n">
        <v>0</v>
      </c>
      <c r="Q142" t="n">
        <v>1</v>
      </c>
      <c r="R142" s="2" t="inlineStr">
        <is>
          <t>Mindre hackspett</t>
        </is>
      </c>
      <c r="S142">
        <f>HYPERLINK("https://klasma.github.io/Logging_1737/artfynd/A 16024-2026 artfynd.xlsx", "A 16024-2026")</f>
        <v/>
      </c>
      <c r="T142">
        <f>HYPERLINK("https://klasma.github.io/Logging_1737/kartor/A 16024-2026 karta.png", "A 16024-2026")</f>
        <v/>
      </c>
      <c r="V142">
        <f>HYPERLINK("https://klasma.github.io/Logging_1737/klagomål/A 16024-2026 FSC-klagomål.docx", "A 16024-2026")</f>
        <v/>
      </c>
      <c r="W142">
        <f>HYPERLINK("https://klasma.github.io/Logging_1737/klagomålsmail/A 16024-2026 FSC-klagomål mail.docx", "A 16024-2026")</f>
        <v/>
      </c>
      <c r="X142">
        <f>HYPERLINK("https://klasma.github.io/Logging_1737/tillsyn/A 16024-2026 tillsynsbegäran.docx", "A 16024-2026")</f>
        <v/>
      </c>
      <c r="Y142">
        <f>HYPERLINK("https://klasma.github.io/Logging_1737/tillsynsmail/A 16024-2026 tillsynsbegäran mail.docx", "A 16024-2026")</f>
        <v/>
      </c>
      <c r="Z142">
        <f>HYPERLINK("https://klasma.github.io/Logging_1737/fåglar/A 16024-2026 prioriterade fågelarter.docx", "A 16024-2026")</f>
        <v/>
      </c>
    </row>
    <row r="143" ht="15" customHeight="1">
      <c r="A143" t="inlineStr">
        <is>
          <t>A 15345-2026</t>
        </is>
      </c>
      <c r="B143" s="1" t="n">
        <v>46105</v>
      </c>
      <c r="C143" s="1" t="n">
        <v>46140</v>
      </c>
      <c r="D143" t="inlineStr">
        <is>
          <t>VÄRMLANDS LÄN</t>
        </is>
      </c>
      <c r="E143" t="inlineStr">
        <is>
          <t>TORSBY</t>
        </is>
      </c>
      <c r="F143" t="inlineStr">
        <is>
          <t>Bergvik skog väst AB</t>
        </is>
      </c>
      <c r="G143" t="n">
        <v>37.3</v>
      </c>
      <c r="H143" t="n">
        <v>1</v>
      </c>
      <c r="I143" t="n">
        <v>0</v>
      </c>
      <c r="J143" t="n">
        <v>0</v>
      </c>
      <c r="K143" t="n">
        <v>0</v>
      </c>
      <c r="L143" t="n">
        <v>0</v>
      </c>
      <c r="M143" t="n">
        <v>0</v>
      </c>
      <c r="N143" t="n">
        <v>0</v>
      </c>
      <c r="O143" t="n">
        <v>0</v>
      </c>
      <c r="P143" t="n">
        <v>0</v>
      </c>
      <c r="Q143" t="n">
        <v>1</v>
      </c>
      <c r="R143" s="2" t="inlineStr">
        <is>
          <t>Grönsiska</t>
        </is>
      </c>
      <c r="S143">
        <f>HYPERLINK("https://klasma.github.io/Logging_1737/artfynd/A 15345-2026 artfynd.xlsx", "A 15345-2026")</f>
        <v/>
      </c>
      <c r="T143">
        <f>HYPERLINK("https://klasma.github.io/Logging_1737/kartor/A 15345-2026 karta.png", "A 15345-2026")</f>
        <v/>
      </c>
      <c r="V143">
        <f>HYPERLINK("https://klasma.github.io/Logging_1737/klagomål/A 15345-2026 FSC-klagomål.docx", "A 15345-2026")</f>
        <v/>
      </c>
      <c r="W143">
        <f>HYPERLINK("https://klasma.github.io/Logging_1737/klagomålsmail/A 15345-2026 FSC-klagomål mail.docx", "A 15345-2026")</f>
        <v/>
      </c>
      <c r="X143">
        <f>HYPERLINK("https://klasma.github.io/Logging_1737/tillsyn/A 15345-2026 tillsynsbegäran.docx", "A 15345-2026")</f>
        <v/>
      </c>
      <c r="Y143">
        <f>HYPERLINK("https://klasma.github.io/Logging_1737/tillsynsmail/A 15345-2026 tillsynsbegäran mail.docx", "A 15345-2026")</f>
        <v/>
      </c>
      <c r="Z143">
        <f>HYPERLINK("https://klasma.github.io/Logging_1737/fåglar/A 15345-2026 prioriterade fågelarter.docx", "A 15345-2026")</f>
        <v/>
      </c>
    </row>
    <row r="144" ht="15" customHeight="1">
      <c r="A144" t="inlineStr">
        <is>
          <t>A 11763-2026</t>
        </is>
      </c>
      <c r="B144" s="1" t="n">
        <v>46084</v>
      </c>
      <c r="C144" s="1" t="n">
        <v>46140</v>
      </c>
      <c r="D144" t="inlineStr">
        <is>
          <t>VÄRMLANDS LÄN</t>
        </is>
      </c>
      <c r="E144" t="inlineStr">
        <is>
          <t>TORSBY</t>
        </is>
      </c>
      <c r="G144" t="n">
        <v>0.9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11763-2026 artfynd.xlsx", "A 11763-2026")</f>
        <v/>
      </c>
      <c r="T144">
        <f>HYPERLINK("https://klasma.github.io/Logging_1737/kartor/A 11763-2026 karta.png", "A 11763-2026")</f>
        <v/>
      </c>
      <c r="V144">
        <f>HYPERLINK("https://klasma.github.io/Logging_1737/klagomål/A 11763-2026 FSC-klagomål.docx", "A 11763-2026")</f>
        <v/>
      </c>
      <c r="W144">
        <f>HYPERLINK("https://klasma.github.io/Logging_1737/klagomålsmail/A 11763-2026 FSC-klagomål mail.docx", "A 11763-2026")</f>
        <v/>
      </c>
      <c r="X144">
        <f>HYPERLINK("https://klasma.github.io/Logging_1737/tillsyn/A 11763-2026 tillsynsbegäran.docx", "A 11763-2026")</f>
        <v/>
      </c>
      <c r="Y144">
        <f>HYPERLINK("https://klasma.github.io/Logging_1737/tillsynsmail/A 11763-2026 tillsynsbegäran mail.docx", "A 11763-2026")</f>
        <v/>
      </c>
    </row>
    <row r="145" ht="15" customHeight="1">
      <c r="A145" t="inlineStr">
        <is>
          <t>A 16572-2022</t>
        </is>
      </c>
      <c r="B145" s="1" t="n">
        <v>44672</v>
      </c>
      <c r="C145" s="1" t="n">
        <v>46140</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Skogsklocka</t>
        </is>
      </c>
      <c r="S145">
        <f>HYPERLINK("https://klasma.github.io/Logging_1737/artfynd/A 16572-2022 artfynd.xlsx", "A 16572-2022")</f>
        <v/>
      </c>
      <c r="T145">
        <f>HYPERLINK("https://klasma.github.io/Logging_1737/kartor/A 16572-2022 karta.png", "A 16572-2022")</f>
        <v/>
      </c>
      <c r="V145">
        <f>HYPERLINK("https://klasma.github.io/Logging_1737/klagomål/A 16572-2022 FSC-klagomål.docx", "A 16572-2022")</f>
        <v/>
      </c>
      <c r="W145">
        <f>HYPERLINK("https://klasma.github.io/Logging_1737/klagomålsmail/A 16572-2022 FSC-klagomål mail.docx", "A 16572-2022")</f>
        <v/>
      </c>
      <c r="X145">
        <f>HYPERLINK("https://klasma.github.io/Logging_1737/tillsyn/A 16572-2022 tillsynsbegäran.docx", "A 16572-2022")</f>
        <v/>
      </c>
      <c r="Y145">
        <f>HYPERLINK("https://klasma.github.io/Logging_1737/tillsynsmail/A 16572-2022 tillsynsbegäran mail.docx", "A 16572-2022")</f>
        <v/>
      </c>
    </row>
    <row r="146" ht="15" customHeight="1">
      <c r="A146" t="inlineStr">
        <is>
          <t>A 54009-2024</t>
        </is>
      </c>
      <c r="B146" s="1" t="n">
        <v>45616</v>
      </c>
      <c r="C146" s="1" t="n">
        <v>46140</v>
      </c>
      <c r="D146" t="inlineStr">
        <is>
          <t>VÄRMLANDS LÄN</t>
        </is>
      </c>
      <c r="E146" t="inlineStr">
        <is>
          <t>TORSBY</t>
        </is>
      </c>
      <c r="F146" t="inlineStr">
        <is>
          <t>Bergvik skog väst AB</t>
        </is>
      </c>
      <c r="G146" t="n">
        <v>8.800000000000001</v>
      </c>
      <c r="H146" t="n">
        <v>1</v>
      </c>
      <c r="I146" t="n">
        <v>1</v>
      </c>
      <c r="J146" t="n">
        <v>0</v>
      </c>
      <c r="K146" t="n">
        <v>0</v>
      </c>
      <c r="L146" t="n">
        <v>0</v>
      </c>
      <c r="M146" t="n">
        <v>0</v>
      </c>
      <c r="N146" t="n">
        <v>0</v>
      </c>
      <c r="O146" t="n">
        <v>0</v>
      </c>
      <c r="P146" t="n">
        <v>0</v>
      </c>
      <c r="Q146" t="n">
        <v>1</v>
      </c>
      <c r="R146" s="2" t="inlineStr">
        <is>
          <t>Korallrot</t>
        </is>
      </c>
      <c r="S146">
        <f>HYPERLINK("https://klasma.github.io/Logging_1737/artfynd/A 54009-2024 artfynd.xlsx", "A 54009-2024")</f>
        <v/>
      </c>
      <c r="T146">
        <f>HYPERLINK("https://klasma.github.io/Logging_1737/kartor/A 54009-2024 karta.png", "A 54009-2024")</f>
        <v/>
      </c>
      <c r="V146">
        <f>HYPERLINK("https://klasma.github.io/Logging_1737/klagomål/A 54009-2024 FSC-klagomål.docx", "A 54009-2024")</f>
        <v/>
      </c>
      <c r="W146">
        <f>HYPERLINK("https://klasma.github.io/Logging_1737/klagomålsmail/A 54009-2024 FSC-klagomål mail.docx", "A 54009-2024")</f>
        <v/>
      </c>
      <c r="X146">
        <f>HYPERLINK("https://klasma.github.io/Logging_1737/tillsyn/A 54009-2024 tillsynsbegäran.docx", "A 54009-2024")</f>
        <v/>
      </c>
      <c r="Y146">
        <f>HYPERLINK("https://klasma.github.io/Logging_1737/tillsynsmail/A 54009-2024 tillsynsbegäran mail.docx", "A 54009-2024")</f>
        <v/>
      </c>
    </row>
    <row r="147" ht="15" customHeight="1">
      <c r="A147" t="inlineStr">
        <is>
          <t>A 20012-2026</t>
        </is>
      </c>
      <c r="B147" s="1" t="n">
        <v>46136.48633101852</v>
      </c>
      <c r="C147" s="1" t="n">
        <v>46140</v>
      </c>
      <c r="D147" t="inlineStr">
        <is>
          <t>VÄRMLANDS LÄN</t>
        </is>
      </c>
      <c r="E147" t="inlineStr">
        <is>
          <t>TORSBY</t>
        </is>
      </c>
      <c r="G147" t="n">
        <v>4.9</v>
      </c>
      <c r="H147" t="n">
        <v>0</v>
      </c>
      <c r="I147" t="n">
        <v>0</v>
      </c>
      <c r="J147" t="n">
        <v>1</v>
      </c>
      <c r="K147" t="n">
        <v>0</v>
      </c>
      <c r="L147" t="n">
        <v>0</v>
      </c>
      <c r="M147" t="n">
        <v>0</v>
      </c>
      <c r="N147" t="n">
        <v>0</v>
      </c>
      <c r="O147" t="n">
        <v>1</v>
      </c>
      <c r="P147" t="n">
        <v>0</v>
      </c>
      <c r="Q147" t="n">
        <v>1</v>
      </c>
      <c r="R147" s="2" t="inlineStr">
        <is>
          <t>Gränsticka</t>
        </is>
      </c>
      <c r="S147">
        <f>HYPERLINK("https://klasma.github.io/Logging_1737/artfynd/A 20012-2026 artfynd.xlsx", "A 20012-2026")</f>
        <v/>
      </c>
      <c r="T147">
        <f>HYPERLINK("https://klasma.github.io/Logging_1737/kartor/A 20012-2026 karta.png", "A 20012-2026")</f>
        <v/>
      </c>
      <c r="V147">
        <f>HYPERLINK("https://klasma.github.io/Logging_1737/klagomål/A 20012-2026 FSC-klagomål.docx", "A 20012-2026")</f>
        <v/>
      </c>
      <c r="W147">
        <f>HYPERLINK("https://klasma.github.io/Logging_1737/klagomålsmail/A 20012-2026 FSC-klagomål mail.docx", "A 20012-2026")</f>
        <v/>
      </c>
      <c r="X147">
        <f>HYPERLINK("https://klasma.github.io/Logging_1737/tillsyn/A 20012-2026 tillsynsbegäran.docx", "A 20012-2026")</f>
        <v/>
      </c>
      <c r="Y147">
        <f>HYPERLINK("https://klasma.github.io/Logging_1737/tillsynsmail/A 20012-2026 tillsynsbegäran mail.docx", "A 20012-2026")</f>
        <v/>
      </c>
    </row>
    <row r="148" ht="15" customHeight="1">
      <c r="A148" t="inlineStr">
        <is>
          <t>A 18116-2026</t>
        </is>
      </c>
      <c r="B148" s="1" t="n">
        <v>46125</v>
      </c>
      <c r="C148" s="1" t="n">
        <v>46140</v>
      </c>
      <c r="D148" t="inlineStr">
        <is>
          <t>VÄRMLANDS LÄN</t>
        </is>
      </c>
      <c r="E148" t="inlineStr">
        <is>
          <t>TORSBY</t>
        </is>
      </c>
      <c r="G148" t="n">
        <v>5.8</v>
      </c>
      <c r="H148" t="n">
        <v>0</v>
      </c>
      <c r="I148" t="n">
        <v>0</v>
      </c>
      <c r="J148" t="n">
        <v>1</v>
      </c>
      <c r="K148" t="n">
        <v>0</v>
      </c>
      <c r="L148" t="n">
        <v>0</v>
      </c>
      <c r="M148" t="n">
        <v>0</v>
      </c>
      <c r="N148" t="n">
        <v>0</v>
      </c>
      <c r="O148" t="n">
        <v>1</v>
      </c>
      <c r="P148" t="n">
        <v>0</v>
      </c>
      <c r="Q148" t="n">
        <v>1</v>
      </c>
      <c r="R148" s="2" t="inlineStr">
        <is>
          <t>Garnlav</t>
        </is>
      </c>
      <c r="S148">
        <f>HYPERLINK("https://klasma.github.io/Logging_1737/artfynd/A 18116-2026 artfynd.xlsx", "A 18116-2026")</f>
        <v/>
      </c>
      <c r="T148">
        <f>HYPERLINK("https://klasma.github.io/Logging_1737/kartor/A 18116-2026 karta.png", "A 18116-2026")</f>
        <v/>
      </c>
      <c r="V148">
        <f>HYPERLINK("https://klasma.github.io/Logging_1737/klagomål/A 18116-2026 FSC-klagomål.docx", "A 18116-2026")</f>
        <v/>
      </c>
      <c r="W148">
        <f>HYPERLINK("https://klasma.github.io/Logging_1737/klagomålsmail/A 18116-2026 FSC-klagomål mail.docx", "A 18116-2026")</f>
        <v/>
      </c>
      <c r="X148">
        <f>HYPERLINK("https://klasma.github.io/Logging_1737/tillsyn/A 18116-2026 tillsynsbegäran.docx", "A 18116-2026")</f>
        <v/>
      </c>
      <c r="Y148">
        <f>HYPERLINK("https://klasma.github.io/Logging_1737/tillsynsmail/A 18116-2026 tillsynsbegäran mail.docx", "A 18116-2026")</f>
        <v/>
      </c>
    </row>
    <row r="149" ht="15" customHeight="1">
      <c r="A149" t="inlineStr">
        <is>
          <t>A 19902-2026</t>
        </is>
      </c>
      <c r="B149" s="1" t="n">
        <v>46136.31049768518</v>
      </c>
      <c r="C149" s="1" t="n">
        <v>46140</v>
      </c>
      <c r="D149" t="inlineStr">
        <is>
          <t>VÄRMLANDS LÄN</t>
        </is>
      </c>
      <c r="E149" t="inlineStr">
        <is>
          <t>TORSBY</t>
        </is>
      </c>
      <c r="F149" t="inlineStr">
        <is>
          <t>Bergvik skog väst AB</t>
        </is>
      </c>
      <c r="G149" t="n">
        <v>18.8</v>
      </c>
      <c r="H149" t="n">
        <v>0</v>
      </c>
      <c r="I149" t="n">
        <v>0</v>
      </c>
      <c r="J149" t="n">
        <v>1</v>
      </c>
      <c r="K149" t="n">
        <v>0</v>
      </c>
      <c r="L149" t="n">
        <v>0</v>
      </c>
      <c r="M149" t="n">
        <v>0</v>
      </c>
      <c r="N149" t="n">
        <v>0</v>
      </c>
      <c r="O149" t="n">
        <v>1</v>
      </c>
      <c r="P149" t="n">
        <v>0</v>
      </c>
      <c r="Q149" t="n">
        <v>1</v>
      </c>
      <c r="R149" s="2" t="inlineStr">
        <is>
          <t>Lunglav</t>
        </is>
      </c>
      <c r="S149">
        <f>HYPERLINK("https://klasma.github.io/Logging_1737/artfynd/A 19902-2026 artfynd.xlsx", "A 19902-2026")</f>
        <v/>
      </c>
      <c r="T149">
        <f>HYPERLINK("https://klasma.github.io/Logging_1737/kartor/A 19902-2026 karta.png", "A 19902-2026")</f>
        <v/>
      </c>
      <c r="V149">
        <f>HYPERLINK("https://klasma.github.io/Logging_1737/klagomål/A 19902-2026 FSC-klagomål.docx", "A 19902-2026")</f>
        <v/>
      </c>
      <c r="W149">
        <f>HYPERLINK("https://klasma.github.io/Logging_1737/klagomålsmail/A 19902-2026 FSC-klagomål mail.docx", "A 19902-2026")</f>
        <v/>
      </c>
      <c r="X149">
        <f>HYPERLINK("https://klasma.github.io/Logging_1737/tillsyn/A 19902-2026 tillsynsbegäran.docx", "A 19902-2026")</f>
        <v/>
      </c>
      <c r="Y149">
        <f>HYPERLINK("https://klasma.github.io/Logging_1737/tillsynsmail/A 19902-2026 tillsynsbegäran mail.docx", "A 19902-2026")</f>
        <v/>
      </c>
    </row>
    <row r="150" ht="15" customHeight="1">
      <c r="A150" t="inlineStr">
        <is>
          <t>A 54029-2024</t>
        </is>
      </c>
      <c r="B150" s="1" t="n">
        <v>45616</v>
      </c>
      <c r="C150" s="1" t="n">
        <v>46140</v>
      </c>
      <c r="D150" t="inlineStr">
        <is>
          <t>VÄRMLANDS LÄN</t>
        </is>
      </c>
      <c r="E150" t="inlineStr">
        <is>
          <t>TORSBY</t>
        </is>
      </c>
      <c r="G150" t="n">
        <v>10.2</v>
      </c>
      <c r="H150" t="n">
        <v>0</v>
      </c>
      <c r="I150" t="n">
        <v>1</v>
      </c>
      <c r="J150" t="n">
        <v>0</v>
      </c>
      <c r="K150" t="n">
        <v>0</v>
      </c>
      <c r="L150" t="n">
        <v>0</v>
      </c>
      <c r="M150" t="n">
        <v>0</v>
      </c>
      <c r="N150" t="n">
        <v>0</v>
      </c>
      <c r="O150" t="n">
        <v>0</v>
      </c>
      <c r="P150" t="n">
        <v>0</v>
      </c>
      <c r="Q150" t="n">
        <v>1</v>
      </c>
      <c r="R150" s="2" t="inlineStr">
        <is>
          <t>Vedticka</t>
        </is>
      </c>
      <c r="S150">
        <f>HYPERLINK("https://klasma.github.io/Logging_1737/artfynd/A 54029-2024 artfynd.xlsx", "A 54029-2024")</f>
        <v/>
      </c>
      <c r="T150">
        <f>HYPERLINK("https://klasma.github.io/Logging_1737/kartor/A 54029-2024 karta.png", "A 54029-2024")</f>
        <v/>
      </c>
      <c r="V150">
        <f>HYPERLINK("https://klasma.github.io/Logging_1737/klagomål/A 54029-2024 FSC-klagomål.docx", "A 54029-2024")</f>
        <v/>
      </c>
      <c r="W150">
        <f>HYPERLINK("https://klasma.github.io/Logging_1737/klagomålsmail/A 54029-2024 FSC-klagomål mail.docx", "A 54029-2024")</f>
        <v/>
      </c>
      <c r="X150">
        <f>HYPERLINK("https://klasma.github.io/Logging_1737/tillsyn/A 54029-2024 tillsynsbegäran.docx", "A 54029-2024")</f>
        <v/>
      </c>
      <c r="Y150">
        <f>HYPERLINK("https://klasma.github.io/Logging_1737/tillsynsmail/A 54029-2024 tillsynsbegäran mail.docx", "A 54029-2024")</f>
        <v/>
      </c>
    </row>
    <row r="151" ht="15" customHeight="1">
      <c r="A151" t="inlineStr">
        <is>
          <t>A 46099-2023</t>
        </is>
      </c>
      <c r="B151" s="1" t="n">
        <v>45196</v>
      </c>
      <c r="C151" s="1" t="n">
        <v>46140</v>
      </c>
      <c r="D151" t="inlineStr">
        <is>
          <t>VÄRMLANDS LÄN</t>
        </is>
      </c>
      <c r="E151" t="inlineStr">
        <is>
          <t>TORSBY</t>
        </is>
      </c>
      <c r="G151" t="n">
        <v>8.4</v>
      </c>
      <c r="H151" t="n">
        <v>0</v>
      </c>
      <c r="I151" t="n">
        <v>0</v>
      </c>
      <c r="J151" t="n">
        <v>1</v>
      </c>
      <c r="K151" t="n">
        <v>0</v>
      </c>
      <c r="L151" t="n">
        <v>0</v>
      </c>
      <c r="M151" t="n">
        <v>0</v>
      </c>
      <c r="N151" t="n">
        <v>0</v>
      </c>
      <c r="O151" t="n">
        <v>1</v>
      </c>
      <c r="P151" t="n">
        <v>0</v>
      </c>
      <c r="Q151" t="n">
        <v>1</v>
      </c>
      <c r="R151" s="2" t="inlineStr">
        <is>
          <t>Gammelgransskål</t>
        </is>
      </c>
      <c r="S151">
        <f>HYPERLINK("https://klasma.github.io/Logging_1737/artfynd/A 46099-2023 artfynd.xlsx", "A 46099-2023")</f>
        <v/>
      </c>
      <c r="T151">
        <f>HYPERLINK("https://klasma.github.io/Logging_1737/kartor/A 46099-2023 karta.png", "A 46099-2023")</f>
        <v/>
      </c>
      <c r="V151">
        <f>HYPERLINK("https://klasma.github.io/Logging_1737/klagomål/A 46099-2023 FSC-klagomål.docx", "A 46099-2023")</f>
        <v/>
      </c>
      <c r="W151">
        <f>HYPERLINK("https://klasma.github.io/Logging_1737/klagomålsmail/A 46099-2023 FSC-klagomål mail.docx", "A 46099-2023")</f>
        <v/>
      </c>
      <c r="X151">
        <f>HYPERLINK("https://klasma.github.io/Logging_1737/tillsyn/A 46099-2023 tillsynsbegäran.docx", "A 46099-2023")</f>
        <v/>
      </c>
      <c r="Y151">
        <f>HYPERLINK("https://klasma.github.io/Logging_1737/tillsynsmail/A 46099-2023 tillsynsbegäran mail.docx", "A 46099-2023")</f>
        <v/>
      </c>
    </row>
    <row r="152" ht="15" customHeight="1">
      <c r="A152" t="inlineStr">
        <is>
          <t>A 1811-2024</t>
        </is>
      </c>
      <c r="B152" s="1" t="n">
        <v>45307</v>
      </c>
      <c r="C152" s="1" t="n">
        <v>46140</v>
      </c>
      <c r="D152" t="inlineStr">
        <is>
          <t>VÄRMLANDS LÄN</t>
        </is>
      </c>
      <c r="E152" t="inlineStr">
        <is>
          <t>TORSBY</t>
        </is>
      </c>
      <c r="G152" t="n">
        <v>12.1</v>
      </c>
      <c r="H152" t="n">
        <v>1</v>
      </c>
      <c r="I152" t="n">
        <v>0</v>
      </c>
      <c r="J152" t="n">
        <v>0</v>
      </c>
      <c r="K152" t="n">
        <v>0</v>
      </c>
      <c r="L152" t="n">
        <v>0</v>
      </c>
      <c r="M152" t="n">
        <v>0</v>
      </c>
      <c r="N152" t="n">
        <v>0</v>
      </c>
      <c r="O152" t="n">
        <v>0</v>
      </c>
      <c r="P152" t="n">
        <v>0</v>
      </c>
      <c r="Q152" t="n">
        <v>1</v>
      </c>
      <c r="R152" s="2" t="inlineStr">
        <is>
          <t>Revlummer</t>
        </is>
      </c>
      <c r="S152">
        <f>HYPERLINK("https://klasma.github.io/Logging_1737/artfynd/A 1811-2024 artfynd.xlsx", "A 1811-2024")</f>
        <v/>
      </c>
      <c r="T152">
        <f>HYPERLINK("https://klasma.github.io/Logging_1737/kartor/A 1811-2024 karta.png", "A 1811-2024")</f>
        <v/>
      </c>
      <c r="V152">
        <f>HYPERLINK("https://klasma.github.io/Logging_1737/klagomål/A 1811-2024 FSC-klagomål.docx", "A 1811-2024")</f>
        <v/>
      </c>
      <c r="W152">
        <f>HYPERLINK("https://klasma.github.io/Logging_1737/klagomålsmail/A 1811-2024 FSC-klagomål mail.docx", "A 1811-2024")</f>
        <v/>
      </c>
      <c r="X152">
        <f>HYPERLINK("https://klasma.github.io/Logging_1737/tillsyn/A 1811-2024 tillsynsbegäran.docx", "A 1811-2024")</f>
        <v/>
      </c>
      <c r="Y152">
        <f>HYPERLINK("https://klasma.github.io/Logging_1737/tillsynsmail/A 1811-2024 tillsynsbegäran mail.docx", "A 1811-2024")</f>
        <v/>
      </c>
    </row>
    <row r="153" ht="15" customHeight="1">
      <c r="A153" t="inlineStr">
        <is>
          <t>A 50318-2024</t>
        </is>
      </c>
      <c r="B153" s="1" t="n">
        <v>45600</v>
      </c>
      <c r="C153" s="1" t="n">
        <v>46140</v>
      </c>
      <c r="D153" t="inlineStr">
        <is>
          <t>VÄRMLANDS LÄN</t>
        </is>
      </c>
      <c r="E153" t="inlineStr">
        <is>
          <t>TORSBY</t>
        </is>
      </c>
      <c r="F153" t="inlineStr">
        <is>
          <t>Bergvik skog väst AB</t>
        </is>
      </c>
      <c r="G153" t="n">
        <v>3.5</v>
      </c>
      <c r="H153" t="n">
        <v>0</v>
      </c>
      <c r="I153" t="n">
        <v>1</v>
      </c>
      <c r="J153" t="n">
        <v>0</v>
      </c>
      <c r="K153" t="n">
        <v>0</v>
      </c>
      <c r="L153" t="n">
        <v>0</v>
      </c>
      <c r="M153" t="n">
        <v>0</v>
      </c>
      <c r="N153" t="n">
        <v>0</v>
      </c>
      <c r="O153" t="n">
        <v>0</v>
      </c>
      <c r="P153" t="n">
        <v>0</v>
      </c>
      <c r="Q153" t="n">
        <v>1</v>
      </c>
      <c r="R153" s="2" t="inlineStr">
        <is>
          <t>Vedticka</t>
        </is>
      </c>
      <c r="S153">
        <f>HYPERLINK("https://klasma.github.io/Logging_1737/artfynd/A 50318-2024 artfynd.xlsx", "A 50318-2024")</f>
        <v/>
      </c>
      <c r="T153">
        <f>HYPERLINK("https://klasma.github.io/Logging_1737/kartor/A 50318-2024 karta.png", "A 50318-2024")</f>
        <v/>
      </c>
      <c r="V153">
        <f>HYPERLINK("https://klasma.github.io/Logging_1737/klagomål/A 50318-2024 FSC-klagomål.docx", "A 50318-2024")</f>
        <v/>
      </c>
      <c r="W153">
        <f>HYPERLINK("https://klasma.github.io/Logging_1737/klagomålsmail/A 50318-2024 FSC-klagomål mail.docx", "A 50318-2024")</f>
        <v/>
      </c>
      <c r="X153">
        <f>HYPERLINK("https://klasma.github.io/Logging_1737/tillsyn/A 50318-2024 tillsynsbegäran.docx", "A 50318-2024")</f>
        <v/>
      </c>
      <c r="Y153">
        <f>HYPERLINK("https://klasma.github.io/Logging_1737/tillsynsmail/A 50318-2024 tillsynsbegäran mail.docx", "A 50318-2024")</f>
        <v/>
      </c>
    </row>
    <row r="154" ht="15" customHeight="1">
      <c r="A154" t="inlineStr">
        <is>
          <t>A 25217-2025</t>
        </is>
      </c>
      <c r="B154" s="1" t="n">
        <v>45800.4756712963</v>
      </c>
      <c r="C154" s="1" t="n">
        <v>46140</v>
      </c>
      <c r="D154" t="inlineStr">
        <is>
          <t>VÄRMLANDS LÄN</t>
        </is>
      </c>
      <c r="E154" t="inlineStr">
        <is>
          <t>TORSBY</t>
        </is>
      </c>
      <c r="G154" t="n">
        <v>10.9</v>
      </c>
      <c r="H154" t="n">
        <v>0</v>
      </c>
      <c r="I154" t="n">
        <v>0</v>
      </c>
      <c r="J154" t="n">
        <v>1</v>
      </c>
      <c r="K154" t="n">
        <v>0</v>
      </c>
      <c r="L154" t="n">
        <v>0</v>
      </c>
      <c r="M154" t="n">
        <v>0</v>
      </c>
      <c r="N154" t="n">
        <v>0</v>
      </c>
      <c r="O154" t="n">
        <v>1</v>
      </c>
      <c r="P154" t="n">
        <v>0</v>
      </c>
      <c r="Q154" t="n">
        <v>1</v>
      </c>
      <c r="R154" s="2" t="inlineStr">
        <is>
          <t>Dvärgbägarlav</t>
        </is>
      </c>
      <c r="S154">
        <f>HYPERLINK("https://klasma.github.io/Logging_1737/artfynd/A 25217-2025 artfynd.xlsx", "A 25217-2025")</f>
        <v/>
      </c>
      <c r="T154">
        <f>HYPERLINK("https://klasma.github.io/Logging_1737/kartor/A 25217-2025 karta.png", "A 25217-2025")</f>
        <v/>
      </c>
      <c r="V154">
        <f>HYPERLINK("https://klasma.github.io/Logging_1737/klagomål/A 25217-2025 FSC-klagomål.docx", "A 25217-2025")</f>
        <v/>
      </c>
      <c r="W154">
        <f>HYPERLINK("https://klasma.github.io/Logging_1737/klagomålsmail/A 25217-2025 FSC-klagomål mail.docx", "A 25217-2025")</f>
        <v/>
      </c>
      <c r="X154">
        <f>HYPERLINK("https://klasma.github.io/Logging_1737/tillsyn/A 25217-2025 tillsynsbegäran.docx", "A 25217-2025")</f>
        <v/>
      </c>
      <c r="Y154">
        <f>HYPERLINK("https://klasma.github.io/Logging_1737/tillsynsmail/A 25217-2025 tillsynsbegäran mail.docx", "A 25217-2025")</f>
        <v/>
      </c>
    </row>
    <row r="155" ht="15" customHeight="1">
      <c r="A155" t="inlineStr">
        <is>
          <t>A 25802-2025</t>
        </is>
      </c>
      <c r="B155" s="1" t="n">
        <v>45804.40766203704</v>
      </c>
      <c r="C155" s="1" t="n">
        <v>46140</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Tallticka</t>
        </is>
      </c>
      <c r="S155">
        <f>HYPERLINK("https://klasma.github.io/Logging_1737/artfynd/A 25802-2025 artfynd.xlsx", "A 25802-2025")</f>
        <v/>
      </c>
      <c r="T155">
        <f>HYPERLINK("https://klasma.github.io/Logging_1737/kartor/A 25802-2025 karta.png", "A 25802-2025")</f>
        <v/>
      </c>
      <c r="V155">
        <f>HYPERLINK("https://klasma.github.io/Logging_1737/klagomål/A 25802-2025 FSC-klagomål.docx", "A 25802-2025")</f>
        <v/>
      </c>
      <c r="W155">
        <f>HYPERLINK("https://klasma.github.io/Logging_1737/klagomålsmail/A 25802-2025 FSC-klagomål mail.docx", "A 25802-2025")</f>
        <v/>
      </c>
      <c r="X155">
        <f>HYPERLINK("https://klasma.github.io/Logging_1737/tillsyn/A 25802-2025 tillsynsbegäran.docx", "A 25802-2025")</f>
        <v/>
      </c>
      <c r="Y155">
        <f>HYPERLINK("https://klasma.github.io/Logging_1737/tillsynsmail/A 25802-2025 tillsynsbegäran mail.docx", "A 25802-2025")</f>
        <v/>
      </c>
    </row>
    <row r="156" ht="15" customHeight="1">
      <c r="A156" t="inlineStr">
        <is>
          <t>A 27301-2025</t>
        </is>
      </c>
      <c r="B156" s="1" t="n">
        <v>45812.57186342592</v>
      </c>
      <c r="C156" s="1" t="n">
        <v>46140</v>
      </c>
      <c r="D156" t="inlineStr">
        <is>
          <t>VÄRMLANDS LÄN</t>
        </is>
      </c>
      <c r="E156" t="inlineStr">
        <is>
          <t>TORSBY</t>
        </is>
      </c>
      <c r="G156" t="n">
        <v>2.7</v>
      </c>
      <c r="H156" t="n">
        <v>1</v>
      </c>
      <c r="I156" t="n">
        <v>0</v>
      </c>
      <c r="J156" t="n">
        <v>1</v>
      </c>
      <c r="K156" t="n">
        <v>0</v>
      </c>
      <c r="L156" t="n">
        <v>0</v>
      </c>
      <c r="M156" t="n">
        <v>0</v>
      </c>
      <c r="N156" t="n">
        <v>0</v>
      </c>
      <c r="O156" t="n">
        <v>1</v>
      </c>
      <c r="P156" t="n">
        <v>0</v>
      </c>
      <c r="Q156" t="n">
        <v>1</v>
      </c>
      <c r="R156" s="2" t="inlineStr">
        <is>
          <t>Nordfladdermus</t>
        </is>
      </c>
      <c r="S156">
        <f>HYPERLINK("https://klasma.github.io/Logging_1737/artfynd/A 27301-2025 artfynd.xlsx", "A 27301-2025")</f>
        <v/>
      </c>
      <c r="T156">
        <f>HYPERLINK("https://klasma.github.io/Logging_1737/kartor/A 27301-2025 karta.png", "A 27301-2025")</f>
        <v/>
      </c>
      <c r="V156">
        <f>HYPERLINK("https://klasma.github.io/Logging_1737/klagomål/A 27301-2025 FSC-klagomål.docx", "A 27301-2025")</f>
        <v/>
      </c>
      <c r="W156">
        <f>HYPERLINK("https://klasma.github.io/Logging_1737/klagomålsmail/A 27301-2025 FSC-klagomål mail.docx", "A 27301-2025")</f>
        <v/>
      </c>
      <c r="X156">
        <f>HYPERLINK("https://klasma.github.io/Logging_1737/tillsyn/A 27301-2025 tillsynsbegäran.docx", "A 27301-2025")</f>
        <v/>
      </c>
      <c r="Y156">
        <f>HYPERLINK("https://klasma.github.io/Logging_1737/tillsynsmail/A 27301-2025 tillsynsbegäran mail.docx", "A 27301-2025")</f>
        <v/>
      </c>
    </row>
    <row r="157" ht="15" customHeight="1">
      <c r="A157" t="inlineStr">
        <is>
          <t>A 27108-2025</t>
        </is>
      </c>
      <c r="B157" s="1" t="n">
        <v>45811.72777777778</v>
      </c>
      <c r="C157" s="1" t="n">
        <v>46140</v>
      </c>
      <c r="D157" t="inlineStr">
        <is>
          <t>VÄRMLANDS LÄN</t>
        </is>
      </c>
      <c r="E157" t="inlineStr">
        <is>
          <t>TORSBY</t>
        </is>
      </c>
      <c r="G157" t="n">
        <v>1.5</v>
      </c>
      <c r="H157" t="n">
        <v>0</v>
      </c>
      <c r="I157" t="n">
        <v>0</v>
      </c>
      <c r="J157" t="n">
        <v>1</v>
      </c>
      <c r="K157" t="n">
        <v>0</v>
      </c>
      <c r="L157" t="n">
        <v>0</v>
      </c>
      <c r="M157" t="n">
        <v>0</v>
      </c>
      <c r="N157" t="n">
        <v>0</v>
      </c>
      <c r="O157" t="n">
        <v>1</v>
      </c>
      <c r="P157" t="n">
        <v>0</v>
      </c>
      <c r="Q157" t="n">
        <v>1</v>
      </c>
      <c r="R157" s="2" t="inlineStr">
        <is>
          <t>Garnlav</t>
        </is>
      </c>
      <c r="S157">
        <f>HYPERLINK("https://klasma.github.io/Logging_1737/artfynd/A 27108-2025 artfynd.xlsx", "A 27108-2025")</f>
        <v/>
      </c>
      <c r="T157">
        <f>HYPERLINK("https://klasma.github.io/Logging_1737/kartor/A 27108-2025 karta.png", "A 27108-2025")</f>
        <v/>
      </c>
      <c r="V157">
        <f>HYPERLINK("https://klasma.github.io/Logging_1737/klagomål/A 27108-2025 FSC-klagomål.docx", "A 27108-2025")</f>
        <v/>
      </c>
      <c r="W157">
        <f>HYPERLINK("https://klasma.github.io/Logging_1737/klagomålsmail/A 27108-2025 FSC-klagomål mail.docx", "A 27108-2025")</f>
        <v/>
      </c>
      <c r="X157">
        <f>HYPERLINK("https://klasma.github.io/Logging_1737/tillsyn/A 27108-2025 tillsynsbegäran.docx", "A 27108-2025")</f>
        <v/>
      </c>
      <c r="Y157">
        <f>HYPERLINK("https://klasma.github.io/Logging_1737/tillsynsmail/A 27108-2025 tillsynsbegäran mail.docx", "A 27108-2025")</f>
        <v/>
      </c>
    </row>
    <row r="158" ht="15" customHeight="1">
      <c r="A158" t="inlineStr">
        <is>
          <t>A 29756-2025</t>
        </is>
      </c>
      <c r="B158" s="1" t="n">
        <v>45825.61525462963</v>
      </c>
      <c r="C158" s="1" t="n">
        <v>46140</v>
      </c>
      <c r="D158" t="inlineStr">
        <is>
          <t>VÄRMLANDS LÄN</t>
        </is>
      </c>
      <c r="E158" t="inlineStr">
        <is>
          <t>TORSBY</t>
        </is>
      </c>
      <c r="G158" t="n">
        <v>6.9</v>
      </c>
      <c r="H158" t="n">
        <v>0</v>
      </c>
      <c r="I158" t="n">
        <v>0</v>
      </c>
      <c r="J158" t="n">
        <v>1</v>
      </c>
      <c r="K158" t="n">
        <v>0</v>
      </c>
      <c r="L158" t="n">
        <v>0</v>
      </c>
      <c r="M158" t="n">
        <v>0</v>
      </c>
      <c r="N158" t="n">
        <v>0</v>
      </c>
      <c r="O158" t="n">
        <v>1</v>
      </c>
      <c r="P158" t="n">
        <v>0</v>
      </c>
      <c r="Q158" t="n">
        <v>1</v>
      </c>
      <c r="R158" s="2" t="inlineStr">
        <is>
          <t>Garnlav</t>
        </is>
      </c>
      <c r="S158">
        <f>HYPERLINK("https://klasma.github.io/Logging_1737/artfynd/A 29756-2025 artfynd.xlsx", "A 29756-2025")</f>
        <v/>
      </c>
      <c r="T158">
        <f>HYPERLINK("https://klasma.github.io/Logging_1737/kartor/A 29756-2025 karta.png", "A 29756-2025")</f>
        <v/>
      </c>
      <c r="V158">
        <f>HYPERLINK("https://klasma.github.io/Logging_1737/klagomål/A 29756-2025 FSC-klagomål.docx", "A 29756-2025")</f>
        <v/>
      </c>
      <c r="W158">
        <f>HYPERLINK("https://klasma.github.io/Logging_1737/klagomålsmail/A 29756-2025 FSC-klagomål mail.docx", "A 29756-2025")</f>
        <v/>
      </c>
      <c r="X158">
        <f>HYPERLINK("https://klasma.github.io/Logging_1737/tillsyn/A 29756-2025 tillsynsbegäran.docx", "A 29756-2025")</f>
        <v/>
      </c>
      <c r="Y158">
        <f>HYPERLINK("https://klasma.github.io/Logging_1737/tillsynsmail/A 29756-2025 tillsynsbegäran mail.docx", "A 29756-2025")</f>
        <v/>
      </c>
    </row>
    <row r="159" ht="15" customHeight="1">
      <c r="A159" t="inlineStr">
        <is>
          <t>A 32328-2025</t>
        </is>
      </c>
      <c r="B159" s="1" t="n">
        <v>45836.46289351852</v>
      </c>
      <c r="C159" s="1" t="n">
        <v>46140</v>
      </c>
      <c r="D159" t="inlineStr">
        <is>
          <t>VÄRMLANDS LÄN</t>
        </is>
      </c>
      <c r="E159" t="inlineStr">
        <is>
          <t>TORSBY</t>
        </is>
      </c>
      <c r="G159" t="n">
        <v>1.1</v>
      </c>
      <c r="H159" t="n">
        <v>0</v>
      </c>
      <c r="I159" t="n">
        <v>0</v>
      </c>
      <c r="J159" t="n">
        <v>1</v>
      </c>
      <c r="K159" t="n">
        <v>0</v>
      </c>
      <c r="L159" t="n">
        <v>0</v>
      </c>
      <c r="M159" t="n">
        <v>0</v>
      </c>
      <c r="N159" t="n">
        <v>0</v>
      </c>
      <c r="O159" t="n">
        <v>1</v>
      </c>
      <c r="P159" t="n">
        <v>0</v>
      </c>
      <c r="Q159" t="n">
        <v>1</v>
      </c>
      <c r="R159" s="2" t="inlineStr">
        <is>
          <t>Ullticka</t>
        </is>
      </c>
      <c r="S159">
        <f>HYPERLINK("https://klasma.github.io/Logging_1737/artfynd/A 32328-2025 artfynd.xlsx", "A 32328-2025")</f>
        <v/>
      </c>
      <c r="T159">
        <f>HYPERLINK("https://klasma.github.io/Logging_1737/kartor/A 32328-2025 karta.png", "A 32328-2025")</f>
        <v/>
      </c>
      <c r="V159">
        <f>HYPERLINK("https://klasma.github.io/Logging_1737/klagomål/A 32328-2025 FSC-klagomål.docx", "A 32328-2025")</f>
        <v/>
      </c>
      <c r="W159">
        <f>HYPERLINK("https://klasma.github.io/Logging_1737/klagomålsmail/A 32328-2025 FSC-klagomål mail.docx", "A 32328-2025")</f>
        <v/>
      </c>
      <c r="X159">
        <f>HYPERLINK("https://klasma.github.io/Logging_1737/tillsyn/A 32328-2025 tillsynsbegäran.docx", "A 32328-2025")</f>
        <v/>
      </c>
      <c r="Y159">
        <f>HYPERLINK("https://klasma.github.io/Logging_1737/tillsynsmail/A 32328-2025 tillsynsbegäran mail.docx", "A 32328-2025")</f>
        <v/>
      </c>
    </row>
    <row r="160" ht="15" customHeight="1">
      <c r="A160" t="inlineStr">
        <is>
          <t>A 25276-2025</t>
        </is>
      </c>
      <c r="B160" s="1" t="n">
        <v>45800</v>
      </c>
      <c r="C160" s="1" t="n">
        <v>46140</v>
      </c>
      <c r="D160" t="inlineStr">
        <is>
          <t>VÄRMLANDS LÄN</t>
        </is>
      </c>
      <c r="E160" t="inlineStr">
        <is>
          <t>TORSBY</t>
        </is>
      </c>
      <c r="G160" t="n">
        <v>27.6</v>
      </c>
      <c r="H160" t="n">
        <v>0</v>
      </c>
      <c r="I160" t="n">
        <v>0</v>
      </c>
      <c r="J160" t="n">
        <v>1</v>
      </c>
      <c r="K160" t="n">
        <v>0</v>
      </c>
      <c r="L160" t="n">
        <v>0</v>
      </c>
      <c r="M160" t="n">
        <v>0</v>
      </c>
      <c r="N160" t="n">
        <v>0</v>
      </c>
      <c r="O160" t="n">
        <v>1</v>
      </c>
      <c r="P160" t="n">
        <v>0</v>
      </c>
      <c r="Q160" t="n">
        <v>1</v>
      </c>
      <c r="R160" s="2" t="inlineStr">
        <is>
          <t>Lunglav</t>
        </is>
      </c>
      <c r="S160">
        <f>HYPERLINK("https://klasma.github.io/Logging_1737/artfynd/A 25276-2025 artfynd.xlsx", "A 25276-2025")</f>
        <v/>
      </c>
      <c r="T160">
        <f>HYPERLINK("https://klasma.github.io/Logging_1737/kartor/A 25276-2025 karta.png", "A 25276-2025")</f>
        <v/>
      </c>
      <c r="V160">
        <f>HYPERLINK("https://klasma.github.io/Logging_1737/klagomål/A 25276-2025 FSC-klagomål.docx", "A 25276-2025")</f>
        <v/>
      </c>
      <c r="W160">
        <f>HYPERLINK("https://klasma.github.io/Logging_1737/klagomålsmail/A 25276-2025 FSC-klagomål mail.docx", "A 25276-2025")</f>
        <v/>
      </c>
      <c r="X160">
        <f>HYPERLINK("https://klasma.github.io/Logging_1737/tillsyn/A 25276-2025 tillsynsbegäran.docx", "A 25276-2025")</f>
        <v/>
      </c>
      <c r="Y160">
        <f>HYPERLINK("https://klasma.github.io/Logging_1737/tillsynsmail/A 25276-2025 tillsynsbegäran mail.docx", "A 25276-2025")</f>
        <v/>
      </c>
    </row>
    <row r="161" ht="15" customHeight="1">
      <c r="A161" t="inlineStr">
        <is>
          <t>A 21206-2021</t>
        </is>
      </c>
      <c r="B161" s="1" t="n">
        <v>44320.49087962963</v>
      </c>
      <c r="C161" s="1" t="n">
        <v>46140</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36189-2021</t>
        </is>
      </c>
      <c r="B162" s="1" t="n">
        <v>44389.64690972222</v>
      </c>
      <c r="C162" s="1" t="n">
        <v>46140</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48324-2021</t>
        </is>
      </c>
      <c r="B163" s="1" t="n">
        <v>44450.85431712963</v>
      </c>
      <c r="C163" s="1" t="n">
        <v>46140</v>
      </c>
      <c r="D163" t="inlineStr">
        <is>
          <t>VÄRMLANDS LÄN</t>
        </is>
      </c>
      <c r="E163" t="inlineStr">
        <is>
          <t>TORSBY</t>
        </is>
      </c>
      <c r="G163" t="n">
        <v>1.3</v>
      </c>
      <c r="H163" t="n">
        <v>0</v>
      </c>
      <c r="I163" t="n">
        <v>0</v>
      </c>
      <c r="J163" t="n">
        <v>0</v>
      </c>
      <c r="K163" t="n">
        <v>0</v>
      </c>
      <c r="L163" t="n">
        <v>0</v>
      </c>
      <c r="M163" t="n">
        <v>0</v>
      </c>
      <c r="N163" t="n">
        <v>0</v>
      </c>
      <c r="O163" t="n">
        <v>0</v>
      </c>
      <c r="P163" t="n">
        <v>0</v>
      </c>
      <c r="Q163" t="n">
        <v>0</v>
      </c>
      <c r="R163" s="2" t="inlineStr"/>
    </row>
    <row r="164" ht="15" customHeight="1">
      <c r="A164" t="inlineStr">
        <is>
          <t>A 49900-2021</t>
        </is>
      </c>
      <c r="B164" s="1" t="n">
        <v>44455</v>
      </c>
      <c r="C164" s="1" t="n">
        <v>46140</v>
      </c>
      <c r="D164" t="inlineStr">
        <is>
          <t>VÄRMLANDS LÄN</t>
        </is>
      </c>
      <c r="E164" t="inlineStr">
        <is>
          <t>TORSBY</t>
        </is>
      </c>
      <c r="G164" t="n">
        <v>4.1</v>
      </c>
      <c r="H164" t="n">
        <v>0</v>
      </c>
      <c r="I164" t="n">
        <v>0</v>
      </c>
      <c r="J164" t="n">
        <v>0</v>
      </c>
      <c r="K164" t="n">
        <v>0</v>
      </c>
      <c r="L164" t="n">
        <v>0</v>
      </c>
      <c r="M164" t="n">
        <v>0</v>
      </c>
      <c r="N164" t="n">
        <v>0</v>
      </c>
      <c r="O164" t="n">
        <v>0</v>
      </c>
      <c r="P164" t="n">
        <v>0</v>
      </c>
      <c r="Q164" t="n">
        <v>0</v>
      </c>
      <c r="R164" s="2" t="inlineStr"/>
    </row>
    <row r="165" ht="15" customHeight="1">
      <c r="A165" t="inlineStr">
        <is>
          <t>A 44149-2022</t>
        </is>
      </c>
      <c r="B165" s="1" t="n">
        <v>44839</v>
      </c>
      <c r="C165" s="1" t="n">
        <v>46140</v>
      </c>
      <c r="D165" t="inlineStr">
        <is>
          <t>VÄRMLANDS LÄN</t>
        </is>
      </c>
      <c r="E165" t="inlineStr">
        <is>
          <t>TORSBY</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43022-2022</t>
        </is>
      </c>
      <c r="B166" s="1" t="n">
        <v>44833.56670138889</v>
      </c>
      <c r="C166" s="1" t="n">
        <v>46140</v>
      </c>
      <c r="D166" t="inlineStr">
        <is>
          <t>VÄRMLANDS LÄN</t>
        </is>
      </c>
      <c r="E166" t="inlineStr">
        <is>
          <t>TORSBY</t>
        </is>
      </c>
      <c r="G166" t="n">
        <v>0.5</v>
      </c>
      <c r="H166" t="n">
        <v>0</v>
      </c>
      <c r="I166" t="n">
        <v>0</v>
      </c>
      <c r="J166" t="n">
        <v>0</v>
      </c>
      <c r="K166" t="n">
        <v>0</v>
      </c>
      <c r="L166" t="n">
        <v>0</v>
      </c>
      <c r="M166" t="n">
        <v>0</v>
      </c>
      <c r="N166" t="n">
        <v>0</v>
      </c>
      <c r="O166" t="n">
        <v>0</v>
      </c>
      <c r="P166" t="n">
        <v>0</v>
      </c>
      <c r="Q166" t="n">
        <v>0</v>
      </c>
      <c r="R166" s="2" t="inlineStr"/>
    </row>
    <row r="167" ht="15" customHeight="1">
      <c r="A167" t="inlineStr">
        <is>
          <t>A 52546-2022</t>
        </is>
      </c>
      <c r="B167" s="1" t="n">
        <v>44874</v>
      </c>
      <c r="C167" s="1" t="n">
        <v>46140</v>
      </c>
      <c r="D167" t="inlineStr">
        <is>
          <t>VÄRMLANDS LÄN</t>
        </is>
      </c>
      <c r="E167" t="inlineStr">
        <is>
          <t>TORSBY</t>
        </is>
      </c>
      <c r="G167" t="n">
        <v>2.6</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46140</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46140</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31894-2021</t>
        </is>
      </c>
      <c r="B170" s="1" t="n">
        <v>44370.45907407408</v>
      </c>
      <c r="C170" s="1" t="n">
        <v>46140</v>
      </c>
      <c r="D170" t="inlineStr">
        <is>
          <t>VÄRMLANDS LÄN</t>
        </is>
      </c>
      <c r="E170" t="inlineStr">
        <is>
          <t>TORSBY</t>
        </is>
      </c>
      <c r="G170" t="n">
        <v>1.7</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46140</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46140</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46140</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46140</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46140</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46140</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46140</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46140</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46140</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46140</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46140</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46140</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46140</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46140</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46140</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46140</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46140</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46140</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46140</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46140</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46140</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46140</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46140</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46140</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68266-2021</t>
        </is>
      </c>
      <c r="B195" s="1" t="n">
        <v>44526.64652777778</v>
      </c>
      <c r="C195" s="1" t="n">
        <v>46140</v>
      </c>
      <c r="D195" t="inlineStr">
        <is>
          <t>VÄRMLANDS LÄN</t>
        </is>
      </c>
      <c r="E195" t="inlineStr">
        <is>
          <t>TORSBY</t>
        </is>
      </c>
      <c r="G195" t="n">
        <v>1.3</v>
      </c>
      <c r="H195" t="n">
        <v>0</v>
      </c>
      <c r="I195" t="n">
        <v>0</v>
      </c>
      <c r="J195" t="n">
        <v>0</v>
      </c>
      <c r="K195" t="n">
        <v>0</v>
      </c>
      <c r="L195" t="n">
        <v>0</v>
      </c>
      <c r="M195" t="n">
        <v>0</v>
      </c>
      <c r="N195" t="n">
        <v>0</v>
      </c>
      <c r="O195" t="n">
        <v>0</v>
      </c>
      <c r="P195" t="n">
        <v>0</v>
      </c>
      <c r="Q195" t="n">
        <v>0</v>
      </c>
      <c r="R195" s="2" t="inlineStr"/>
    </row>
    <row r="196" ht="15" customHeight="1">
      <c r="A196" t="inlineStr">
        <is>
          <t>A 52728-2021</t>
        </is>
      </c>
      <c r="B196" s="1" t="n">
        <v>44467.290625</v>
      </c>
      <c r="C196" s="1" t="n">
        <v>46140</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46140</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46140</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46140</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46140</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46140</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46140</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46140</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51522-2021</t>
        </is>
      </c>
      <c r="B204" s="1" t="n">
        <v>44462</v>
      </c>
      <c r="C204" s="1" t="n">
        <v>46140</v>
      </c>
      <c r="D204" t="inlineStr">
        <is>
          <t>VÄRMLANDS LÄN</t>
        </is>
      </c>
      <c r="E204" t="inlineStr">
        <is>
          <t>TORSBY</t>
        </is>
      </c>
      <c r="G204" t="n">
        <v>0.3</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46140</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46140</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46140</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23851-2022</t>
        </is>
      </c>
      <c r="B208" s="1" t="n">
        <v>44722</v>
      </c>
      <c r="C208" s="1" t="n">
        <v>46140</v>
      </c>
      <c r="D208" t="inlineStr">
        <is>
          <t>VÄRMLANDS LÄN</t>
        </is>
      </c>
      <c r="E208" t="inlineStr">
        <is>
          <t>TORSBY</t>
        </is>
      </c>
      <c r="G208" t="n">
        <v>3.6</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46140</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46140</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46140</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46140</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46140</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46140</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46140</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3369-2022</t>
        </is>
      </c>
      <c r="B216" s="1" t="n">
        <v>44585</v>
      </c>
      <c r="C216" s="1" t="n">
        <v>46140</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46140</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46140</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46140</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53906-2022</t>
        </is>
      </c>
      <c r="B220" s="1" t="n">
        <v>44880</v>
      </c>
      <c r="C220" s="1" t="n">
        <v>46140</v>
      </c>
      <c r="D220" t="inlineStr">
        <is>
          <t>VÄRMLANDS LÄN</t>
        </is>
      </c>
      <c r="E220" t="inlineStr">
        <is>
          <t>TORSBY</t>
        </is>
      </c>
      <c r="F220" t="inlineStr">
        <is>
          <t>Bergvik skog väst AB</t>
        </is>
      </c>
      <c r="G220" t="n">
        <v>5</v>
      </c>
      <c r="H220" t="n">
        <v>0</v>
      </c>
      <c r="I220" t="n">
        <v>0</v>
      </c>
      <c r="J220" t="n">
        <v>0</v>
      </c>
      <c r="K220" t="n">
        <v>0</v>
      </c>
      <c r="L220" t="n">
        <v>0</v>
      </c>
      <c r="M220" t="n">
        <v>0</v>
      </c>
      <c r="N220" t="n">
        <v>0</v>
      </c>
      <c r="O220" t="n">
        <v>0</v>
      </c>
      <c r="P220" t="n">
        <v>0</v>
      </c>
      <c r="Q220" t="n">
        <v>0</v>
      </c>
      <c r="R220" s="2" t="inlineStr"/>
    </row>
    <row r="221" ht="15" customHeight="1">
      <c r="A221" t="inlineStr">
        <is>
          <t>A 69275-2021</t>
        </is>
      </c>
      <c r="B221" s="1" t="n">
        <v>44526</v>
      </c>
      <c r="C221" s="1" t="n">
        <v>46140</v>
      </c>
      <c r="D221" t="inlineStr">
        <is>
          <t>VÄRMLANDS LÄN</t>
        </is>
      </c>
      <c r="E221" t="inlineStr">
        <is>
          <t>TORSBY</t>
        </is>
      </c>
      <c r="G221" t="n">
        <v>2</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46140</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46140</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28940-2021</t>
        </is>
      </c>
      <c r="B224" s="1" t="n">
        <v>44358</v>
      </c>
      <c r="C224" s="1" t="n">
        <v>46140</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46140</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41678-2021</t>
        </is>
      </c>
      <c r="B226" s="1" t="n">
        <v>44425</v>
      </c>
      <c r="C226" s="1" t="n">
        <v>46140</v>
      </c>
      <c r="D226" t="inlineStr">
        <is>
          <t>VÄRMLANDS LÄN</t>
        </is>
      </c>
      <c r="E226" t="inlineStr">
        <is>
          <t>TORSBY</t>
        </is>
      </c>
      <c r="G226" t="n">
        <v>4.3</v>
      </c>
      <c r="H226" t="n">
        <v>0</v>
      </c>
      <c r="I226" t="n">
        <v>0</v>
      </c>
      <c r="J226" t="n">
        <v>0</v>
      </c>
      <c r="K226" t="n">
        <v>0</v>
      </c>
      <c r="L226" t="n">
        <v>0</v>
      </c>
      <c r="M226" t="n">
        <v>0</v>
      </c>
      <c r="N226" t="n">
        <v>0</v>
      </c>
      <c r="O226" t="n">
        <v>0</v>
      </c>
      <c r="P226" t="n">
        <v>0</v>
      </c>
      <c r="Q226" t="n">
        <v>0</v>
      </c>
      <c r="R226" s="2" t="inlineStr"/>
    </row>
    <row r="227" ht="15" customHeight="1">
      <c r="A227" t="inlineStr">
        <is>
          <t>A 44923-2021</t>
        </is>
      </c>
      <c r="B227" s="1" t="n">
        <v>44438.6662037037</v>
      </c>
      <c r="C227" s="1" t="n">
        <v>46140</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46140</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11922-2022</t>
        </is>
      </c>
      <c r="B229" s="1" t="n">
        <v>44635</v>
      </c>
      <c r="C229" s="1" t="n">
        <v>46140</v>
      </c>
      <c r="D229" t="inlineStr">
        <is>
          <t>VÄRMLANDS LÄN</t>
        </is>
      </c>
      <c r="E229" t="inlineStr">
        <is>
          <t>TORSBY</t>
        </is>
      </c>
      <c r="G229" t="n">
        <v>2.6</v>
      </c>
      <c r="H229" t="n">
        <v>0</v>
      </c>
      <c r="I229" t="n">
        <v>0</v>
      </c>
      <c r="J229" t="n">
        <v>0</v>
      </c>
      <c r="K229" t="n">
        <v>0</v>
      </c>
      <c r="L229" t="n">
        <v>0</v>
      </c>
      <c r="M229" t="n">
        <v>0</v>
      </c>
      <c r="N229" t="n">
        <v>0</v>
      </c>
      <c r="O229" t="n">
        <v>0</v>
      </c>
      <c r="P229" t="n">
        <v>0</v>
      </c>
      <c r="Q229" t="n">
        <v>0</v>
      </c>
      <c r="R229" s="2" t="inlineStr"/>
    </row>
    <row r="230" ht="15" customHeight="1">
      <c r="A230" t="inlineStr">
        <is>
          <t>A 23803-2022</t>
        </is>
      </c>
      <c r="B230" s="1" t="n">
        <v>44720</v>
      </c>
      <c r="C230" s="1" t="n">
        <v>46140</v>
      </c>
      <c r="D230" t="inlineStr">
        <is>
          <t>VÄRMLANDS LÄN</t>
        </is>
      </c>
      <c r="E230" t="inlineStr">
        <is>
          <t>TORSBY</t>
        </is>
      </c>
      <c r="G230" t="n">
        <v>3</v>
      </c>
      <c r="H230" t="n">
        <v>0</v>
      </c>
      <c r="I230" t="n">
        <v>0</v>
      </c>
      <c r="J230" t="n">
        <v>0</v>
      </c>
      <c r="K230" t="n">
        <v>0</v>
      </c>
      <c r="L230" t="n">
        <v>0</v>
      </c>
      <c r="M230" t="n">
        <v>0</v>
      </c>
      <c r="N230" t="n">
        <v>0</v>
      </c>
      <c r="O230" t="n">
        <v>0</v>
      </c>
      <c r="P230" t="n">
        <v>0</v>
      </c>
      <c r="Q230" t="n">
        <v>0</v>
      </c>
      <c r="R230" s="2" t="inlineStr"/>
    </row>
    <row r="231" ht="15" customHeight="1">
      <c r="A231" t="inlineStr">
        <is>
          <t>A 33959-2022</t>
        </is>
      </c>
      <c r="B231" s="1" t="n">
        <v>44790.6815625</v>
      </c>
      <c r="C231" s="1" t="n">
        <v>46140</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46140</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46140</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30802-2021</t>
        </is>
      </c>
      <c r="B234" s="1" t="n">
        <v>44365.52390046296</v>
      </c>
      <c r="C234" s="1" t="n">
        <v>46140</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46140</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46140</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46140</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46140</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46140</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46140</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46140</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46140</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46140</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46140</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46140</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46140</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46140</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46551-2022</t>
        </is>
      </c>
      <c r="B248" s="1" t="n">
        <v>44848</v>
      </c>
      <c r="C248" s="1" t="n">
        <v>46140</v>
      </c>
      <c r="D248" t="inlineStr">
        <is>
          <t>VÄRMLANDS LÄN</t>
        </is>
      </c>
      <c r="E248" t="inlineStr">
        <is>
          <t>TORSBY</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35545-2021</t>
        </is>
      </c>
      <c r="B249" s="1" t="n">
        <v>44385</v>
      </c>
      <c r="C249" s="1" t="n">
        <v>46140</v>
      </c>
      <c r="D249" t="inlineStr">
        <is>
          <t>VÄRMLANDS LÄN</t>
        </is>
      </c>
      <c r="E249" t="inlineStr">
        <is>
          <t>TORSBY</t>
        </is>
      </c>
      <c r="G249" t="n">
        <v>6</v>
      </c>
      <c r="H249" t="n">
        <v>0</v>
      </c>
      <c r="I249" t="n">
        <v>0</v>
      </c>
      <c r="J249" t="n">
        <v>0</v>
      </c>
      <c r="K249" t="n">
        <v>0</v>
      </c>
      <c r="L249" t="n">
        <v>0</v>
      </c>
      <c r="M249" t="n">
        <v>0</v>
      </c>
      <c r="N249" t="n">
        <v>0</v>
      </c>
      <c r="O249" t="n">
        <v>0</v>
      </c>
      <c r="P249" t="n">
        <v>0</v>
      </c>
      <c r="Q249" t="n">
        <v>0</v>
      </c>
      <c r="R249" s="2" t="inlineStr"/>
    </row>
    <row r="250" ht="15" customHeight="1">
      <c r="A250" t="inlineStr">
        <is>
          <t>A 25247-2021</t>
        </is>
      </c>
      <c r="B250" s="1" t="n">
        <v>44342</v>
      </c>
      <c r="C250" s="1" t="n">
        <v>46140</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52543-2022</t>
        </is>
      </c>
      <c r="B251" s="1" t="n">
        <v>44874</v>
      </c>
      <c r="C251" s="1" t="n">
        <v>46140</v>
      </c>
      <c r="D251" t="inlineStr">
        <is>
          <t>VÄRMLANDS LÄN</t>
        </is>
      </c>
      <c r="E251" t="inlineStr">
        <is>
          <t>TORSBY</t>
        </is>
      </c>
      <c r="G251" t="n">
        <v>10.1</v>
      </c>
      <c r="H251" t="n">
        <v>0</v>
      </c>
      <c r="I251" t="n">
        <v>0</v>
      </c>
      <c r="J251" t="n">
        <v>0</v>
      </c>
      <c r="K251" t="n">
        <v>0</v>
      </c>
      <c r="L251" t="n">
        <v>0</v>
      </c>
      <c r="M251" t="n">
        <v>0</v>
      </c>
      <c r="N251" t="n">
        <v>0</v>
      </c>
      <c r="O251" t="n">
        <v>0</v>
      </c>
      <c r="P251" t="n">
        <v>0</v>
      </c>
      <c r="Q251" t="n">
        <v>0</v>
      </c>
      <c r="R251" s="2" t="inlineStr"/>
    </row>
    <row r="252" ht="15" customHeight="1">
      <c r="A252" t="inlineStr">
        <is>
          <t>A 43095-2021</t>
        </is>
      </c>
      <c r="B252" s="1" t="n">
        <v>44431</v>
      </c>
      <c r="C252" s="1" t="n">
        <v>46140</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46140</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20819-2022</t>
        </is>
      </c>
      <c r="B254" s="1" t="n">
        <v>44699</v>
      </c>
      <c r="C254" s="1" t="n">
        <v>46140</v>
      </c>
      <c r="D254" t="inlineStr">
        <is>
          <t>VÄRMLANDS LÄN</t>
        </is>
      </c>
      <c r="E254" t="inlineStr">
        <is>
          <t>TORSBY</t>
        </is>
      </c>
      <c r="G254" t="n">
        <v>3.1</v>
      </c>
      <c r="H254" t="n">
        <v>0</v>
      </c>
      <c r="I254" t="n">
        <v>0</v>
      </c>
      <c r="J254" t="n">
        <v>0</v>
      </c>
      <c r="K254" t="n">
        <v>0</v>
      </c>
      <c r="L254" t="n">
        <v>0</v>
      </c>
      <c r="M254" t="n">
        <v>0</v>
      </c>
      <c r="N254" t="n">
        <v>0</v>
      </c>
      <c r="O254" t="n">
        <v>0</v>
      </c>
      <c r="P254" t="n">
        <v>0</v>
      </c>
      <c r="Q254" t="n">
        <v>0</v>
      </c>
      <c r="R254" s="2" t="inlineStr"/>
    </row>
    <row r="255" ht="15" customHeight="1">
      <c r="A255" t="inlineStr">
        <is>
          <t>A 17765-2022</t>
        </is>
      </c>
      <c r="B255" s="1" t="n">
        <v>44681.41195601852</v>
      </c>
      <c r="C255" s="1" t="n">
        <v>46140</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49192-2021</t>
        </is>
      </c>
      <c r="B256" s="1" t="n">
        <v>44454.33175925926</v>
      </c>
      <c r="C256" s="1" t="n">
        <v>46140</v>
      </c>
      <c r="D256" t="inlineStr">
        <is>
          <t>VÄRMLANDS LÄN</t>
        </is>
      </c>
      <c r="E256" t="inlineStr">
        <is>
          <t>TORSBY</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28562-2021</t>
        </is>
      </c>
      <c r="B257" s="1" t="n">
        <v>44356.69538194445</v>
      </c>
      <c r="C257" s="1" t="n">
        <v>46140</v>
      </c>
      <c r="D257" t="inlineStr">
        <is>
          <t>VÄRMLANDS LÄN</t>
        </is>
      </c>
      <c r="E257" t="inlineStr">
        <is>
          <t>TORSBY</t>
        </is>
      </c>
      <c r="G257" t="n">
        <v>4.4</v>
      </c>
      <c r="H257" t="n">
        <v>0</v>
      </c>
      <c r="I257" t="n">
        <v>0</v>
      </c>
      <c r="J257" t="n">
        <v>0</v>
      </c>
      <c r="K257" t="n">
        <v>0</v>
      </c>
      <c r="L257" t="n">
        <v>0</v>
      </c>
      <c r="M257" t="n">
        <v>0</v>
      </c>
      <c r="N257" t="n">
        <v>0</v>
      </c>
      <c r="O257" t="n">
        <v>0</v>
      </c>
      <c r="P257" t="n">
        <v>0</v>
      </c>
      <c r="Q257" t="n">
        <v>0</v>
      </c>
      <c r="R257" s="2" t="inlineStr"/>
    </row>
    <row r="258" ht="15" customHeight="1">
      <c r="A258" t="inlineStr">
        <is>
          <t>A 33149-2021</t>
        </is>
      </c>
      <c r="B258" s="1" t="n">
        <v>44376.67658564815</v>
      </c>
      <c r="C258" s="1" t="n">
        <v>46140</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33515-2021</t>
        </is>
      </c>
      <c r="B259" s="1" t="n">
        <v>44377</v>
      </c>
      <c r="C259" s="1" t="n">
        <v>46140</v>
      </c>
      <c r="D259" t="inlineStr">
        <is>
          <t>VÄRMLANDS LÄN</t>
        </is>
      </c>
      <c r="E259" t="inlineStr">
        <is>
          <t>TORSBY</t>
        </is>
      </c>
      <c r="G259" t="n">
        <v>3.5</v>
      </c>
      <c r="H259" t="n">
        <v>0</v>
      </c>
      <c r="I259" t="n">
        <v>0</v>
      </c>
      <c r="J259" t="n">
        <v>0</v>
      </c>
      <c r="K259" t="n">
        <v>0</v>
      </c>
      <c r="L259" t="n">
        <v>0</v>
      </c>
      <c r="M259" t="n">
        <v>0</v>
      </c>
      <c r="N259" t="n">
        <v>0</v>
      </c>
      <c r="O259" t="n">
        <v>0</v>
      </c>
      <c r="P259" t="n">
        <v>0</v>
      </c>
      <c r="Q259" t="n">
        <v>0</v>
      </c>
      <c r="R259" s="2" t="inlineStr"/>
    </row>
    <row r="260" ht="15" customHeight="1">
      <c r="A260" t="inlineStr">
        <is>
          <t>A 33517-2021</t>
        </is>
      </c>
      <c r="B260" s="1" t="n">
        <v>44377</v>
      </c>
      <c r="C260" s="1" t="n">
        <v>46140</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20045-2022</t>
        </is>
      </c>
      <c r="B261" s="1" t="n">
        <v>44697</v>
      </c>
      <c r="C261" s="1" t="n">
        <v>46140</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56062-2021</t>
        </is>
      </c>
      <c r="B262" s="1" t="n">
        <v>44477.51216435185</v>
      </c>
      <c r="C262" s="1" t="n">
        <v>46140</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21031-2021</t>
        </is>
      </c>
      <c r="B263" s="1" t="n">
        <v>44319</v>
      </c>
      <c r="C263" s="1" t="n">
        <v>46140</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14320-2022</t>
        </is>
      </c>
      <c r="B264" s="1" t="n">
        <v>44652</v>
      </c>
      <c r="C264" s="1" t="n">
        <v>46140</v>
      </c>
      <c r="D264" t="inlineStr">
        <is>
          <t>VÄRMLANDS LÄN</t>
        </is>
      </c>
      <c r="E264" t="inlineStr">
        <is>
          <t>TORSBY</t>
        </is>
      </c>
      <c r="G264" t="n">
        <v>0.8</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44431.6690625</v>
      </c>
      <c r="C265" s="1" t="n">
        <v>46140</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8739-2022</t>
        </is>
      </c>
      <c r="B266" s="1" t="n">
        <v>44615</v>
      </c>
      <c r="C266" s="1" t="n">
        <v>46140</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46934-2021</t>
        </is>
      </c>
      <c r="B267" s="1" t="n">
        <v>44446.49893518518</v>
      </c>
      <c r="C267" s="1" t="n">
        <v>46140</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71255-2021</t>
        </is>
      </c>
      <c r="B268" s="1" t="n">
        <v>44538</v>
      </c>
      <c r="C268" s="1" t="n">
        <v>46140</v>
      </c>
      <c r="D268" t="inlineStr">
        <is>
          <t>VÄRMLANDS LÄN</t>
        </is>
      </c>
      <c r="E268" t="inlineStr">
        <is>
          <t>TORSBY</t>
        </is>
      </c>
      <c r="G268" t="n">
        <v>3.1</v>
      </c>
      <c r="H268" t="n">
        <v>0</v>
      </c>
      <c r="I268" t="n">
        <v>0</v>
      </c>
      <c r="J268" t="n">
        <v>0</v>
      </c>
      <c r="K268" t="n">
        <v>0</v>
      </c>
      <c r="L268" t="n">
        <v>0</v>
      </c>
      <c r="M268" t="n">
        <v>0</v>
      </c>
      <c r="N268" t="n">
        <v>0</v>
      </c>
      <c r="O268" t="n">
        <v>0</v>
      </c>
      <c r="P268" t="n">
        <v>0</v>
      </c>
      <c r="Q268" t="n">
        <v>0</v>
      </c>
      <c r="R268" s="2" t="inlineStr"/>
    </row>
    <row r="269" ht="15" customHeight="1">
      <c r="A269" t="inlineStr">
        <is>
          <t>A 3382-2022</t>
        </is>
      </c>
      <c r="B269" s="1" t="n">
        <v>44585</v>
      </c>
      <c r="C269" s="1" t="n">
        <v>46140</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18628-2022</t>
        </is>
      </c>
      <c r="B270" s="1" t="n">
        <v>44687</v>
      </c>
      <c r="C270" s="1" t="n">
        <v>46140</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37917-2022</t>
        </is>
      </c>
      <c r="B271" s="1" t="n">
        <v>44811.44335648148</v>
      </c>
      <c r="C271" s="1" t="n">
        <v>46140</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30162-2021</t>
        </is>
      </c>
      <c r="B272" s="1" t="n">
        <v>44363</v>
      </c>
      <c r="C272" s="1" t="n">
        <v>46140</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52386-2022</t>
        </is>
      </c>
      <c r="B273" s="1" t="n">
        <v>44874.3750462963</v>
      </c>
      <c r="C273" s="1" t="n">
        <v>46140</v>
      </c>
      <c r="D273" t="inlineStr">
        <is>
          <t>VÄRMLANDS LÄN</t>
        </is>
      </c>
      <c r="E273" t="inlineStr">
        <is>
          <t>TORSBY</t>
        </is>
      </c>
      <c r="G273" t="n">
        <v>6.7</v>
      </c>
      <c r="H273" t="n">
        <v>0</v>
      </c>
      <c r="I273" t="n">
        <v>0</v>
      </c>
      <c r="J273" t="n">
        <v>0</v>
      </c>
      <c r="K273" t="n">
        <v>0</v>
      </c>
      <c r="L273" t="n">
        <v>0</v>
      </c>
      <c r="M273" t="n">
        <v>0</v>
      </c>
      <c r="N273" t="n">
        <v>0</v>
      </c>
      <c r="O273" t="n">
        <v>0</v>
      </c>
      <c r="P273" t="n">
        <v>0</v>
      </c>
      <c r="Q273" t="n">
        <v>0</v>
      </c>
      <c r="R273" s="2" t="inlineStr"/>
    </row>
    <row r="274" ht="15" customHeight="1">
      <c r="A274" t="inlineStr">
        <is>
          <t>A 38179-2022</t>
        </is>
      </c>
      <c r="B274" s="1" t="n">
        <v>44812</v>
      </c>
      <c r="C274" s="1" t="n">
        <v>46140</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47466-2022</t>
        </is>
      </c>
      <c r="B275" s="1" t="n">
        <v>44852</v>
      </c>
      <c r="C275" s="1" t="n">
        <v>46140</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22113-2021</t>
        </is>
      </c>
      <c r="B276" s="1" t="n">
        <v>44323</v>
      </c>
      <c r="C276" s="1" t="n">
        <v>46140</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70253-2021</t>
        </is>
      </c>
      <c r="B277" s="1" t="n">
        <v>44536</v>
      </c>
      <c r="C277" s="1" t="n">
        <v>46140</v>
      </c>
      <c r="D277" t="inlineStr">
        <is>
          <t>VÄRMLANDS LÄN</t>
        </is>
      </c>
      <c r="E277" t="inlineStr">
        <is>
          <t>TORSBY</t>
        </is>
      </c>
      <c r="G277" t="n">
        <v>4.3</v>
      </c>
      <c r="H277" t="n">
        <v>0</v>
      </c>
      <c r="I277" t="n">
        <v>0</v>
      </c>
      <c r="J277" t="n">
        <v>0</v>
      </c>
      <c r="K277" t="n">
        <v>0</v>
      </c>
      <c r="L277" t="n">
        <v>0</v>
      </c>
      <c r="M277" t="n">
        <v>0</v>
      </c>
      <c r="N277" t="n">
        <v>0</v>
      </c>
      <c r="O277" t="n">
        <v>0</v>
      </c>
      <c r="P277" t="n">
        <v>0</v>
      </c>
      <c r="Q277" t="n">
        <v>0</v>
      </c>
      <c r="R277" s="2" t="inlineStr"/>
    </row>
    <row r="278" ht="15" customHeight="1">
      <c r="A278" t="inlineStr">
        <is>
          <t>A 32003-2022</t>
        </is>
      </c>
      <c r="B278" s="1" t="n">
        <v>44778</v>
      </c>
      <c r="C278" s="1" t="n">
        <v>46140</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23194-2021</t>
        </is>
      </c>
      <c r="B279" s="1" t="n">
        <v>44328</v>
      </c>
      <c r="C279" s="1" t="n">
        <v>46140</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33181-2022</t>
        </is>
      </c>
      <c r="B280" s="1" t="n">
        <v>44785</v>
      </c>
      <c r="C280" s="1" t="n">
        <v>46140</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39186-2022</t>
        </is>
      </c>
      <c r="B281" s="1" t="n">
        <v>44817.51549768518</v>
      </c>
      <c r="C281" s="1" t="n">
        <v>46140</v>
      </c>
      <c r="D281" t="inlineStr">
        <is>
          <t>VÄRMLANDS LÄN</t>
        </is>
      </c>
      <c r="E281" t="inlineStr">
        <is>
          <t>TORSBY</t>
        </is>
      </c>
      <c r="F281" t="inlineStr">
        <is>
          <t>Bergvik skog väst AB</t>
        </is>
      </c>
      <c r="G281" t="n">
        <v>20.3</v>
      </c>
      <c r="H281" t="n">
        <v>0</v>
      </c>
      <c r="I281" t="n">
        <v>0</v>
      </c>
      <c r="J281" t="n">
        <v>0</v>
      </c>
      <c r="K281" t="n">
        <v>0</v>
      </c>
      <c r="L281" t="n">
        <v>0</v>
      </c>
      <c r="M281" t="n">
        <v>0</v>
      </c>
      <c r="N281" t="n">
        <v>0</v>
      </c>
      <c r="O281" t="n">
        <v>0</v>
      </c>
      <c r="P281" t="n">
        <v>0</v>
      </c>
      <c r="Q281" t="n">
        <v>0</v>
      </c>
      <c r="R281" s="2" t="inlineStr"/>
    </row>
    <row r="282" ht="15" customHeight="1">
      <c r="A282" t="inlineStr">
        <is>
          <t>A 11664-2022</t>
        </is>
      </c>
      <c r="B282" s="1" t="n">
        <v>44632.86525462963</v>
      </c>
      <c r="C282" s="1" t="n">
        <v>46140</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35851-2022</t>
        </is>
      </c>
      <c r="B283" s="1" t="n">
        <v>44802</v>
      </c>
      <c r="C283" s="1" t="n">
        <v>46140</v>
      </c>
      <c r="D283" t="inlineStr">
        <is>
          <t>VÄRMLANDS LÄN</t>
        </is>
      </c>
      <c r="E283" t="inlineStr">
        <is>
          <t>TORSBY</t>
        </is>
      </c>
      <c r="G283" t="n">
        <v>2.3</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46140</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46140</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45445-2021</t>
        </is>
      </c>
      <c r="B286" s="1" t="n">
        <v>44440</v>
      </c>
      <c r="C286" s="1" t="n">
        <v>46140</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43052-2021</t>
        </is>
      </c>
      <c r="B287" s="1" t="n">
        <v>44431</v>
      </c>
      <c r="C287" s="1" t="n">
        <v>46140</v>
      </c>
      <c r="D287" t="inlineStr">
        <is>
          <t>VÄRMLANDS LÄN</t>
        </is>
      </c>
      <c r="E287" t="inlineStr">
        <is>
          <t>TORSBY</t>
        </is>
      </c>
      <c r="G287" t="n">
        <v>25.1</v>
      </c>
      <c r="H287" t="n">
        <v>0</v>
      </c>
      <c r="I287" t="n">
        <v>0</v>
      </c>
      <c r="J287" t="n">
        <v>0</v>
      </c>
      <c r="K287" t="n">
        <v>0</v>
      </c>
      <c r="L287" t="n">
        <v>0</v>
      </c>
      <c r="M287" t="n">
        <v>0</v>
      </c>
      <c r="N287" t="n">
        <v>0</v>
      </c>
      <c r="O287" t="n">
        <v>0</v>
      </c>
      <c r="P287" t="n">
        <v>0</v>
      </c>
      <c r="Q287" t="n">
        <v>0</v>
      </c>
      <c r="R287" s="2" t="inlineStr"/>
    </row>
    <row r="288" ht="15" customHeight="1">
      <c r="A288" t="inlineStr">
        <is>
          <t>A 57287-2021</t>
        </is>
      </c>
      <c r="B288" s="1" t="n">
        <v>44482</v>
      </c>
      <c r="C288" s="1" t="n">
        <v>46140</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48159-2021</t>
        </is>
      </c>
      <c r="B289" s="1" t="n">
        <v>44449.51302083334</v>
      </c>
      <c r="C289" s="1" t="n">
        <v>46140</v>
      </c>
      <c r="D289" t="inlineStr">
        <is>
          <t>VÄRMLANDS LÄN</t>
        </is>
      </c>
      <c r="E289" t="inlineStr">
        <is>
          <t>TORSBY</t>
        </is>
      </c>
      <c r="F289" t="inlineStr">
        <is>
          <t>Bergvik skog väst AB</t>
        </is>
      </c>
      <c r="G289" t="n">
        <v>3</v>
      </c>
      <c r="H289" t="n">
        <v>0</v>
      </c>
      <c r="I289" t="n">
        <v>0</v>
      </c>
      <c r="J289" t="n">
        <v>0</v>
      </c>
      <c r="K289" t="n">
        <v>0</v>
      </c>
      <c r="L289" t="n">
        <v>0</v>
      </c>
      <c r="M289" t="n">
        <v>0</v>
      </c>
      <c r="N289" t="n">
        <v>0</v>
      </c>
      <c r="O289" t="n">
        <v>0</v>
      </c>
      <c r="P289" t="n">
        <v>0</v>
      </c>
      <c r="Q289" t="n">
        <v>0</v>
      </c>
      <c r="R289" s="2" t="inlineStr"/>
    </row>
    <row r="290" ht="15" customHeight="1">
      <c r="A290" t="inlineStr">
        <is>
          <t>A 49983-2022</t>
        </is>
      </c>
      <c r="B290" s="1" t="n">
        <v>44865</v>
      </c>
      <c r="C290" s="1" t="n">
        <v>46140</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20907-2022</t>
        </is>
      </c>
      <c r="B291" s="1" t="n">
        <v>44701.60076388889</v>
      </c>
      <c r="C291" s="1" t="n">
        <v>46140</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29509-2022</t>
        </is>
      </c>
      <c r="B292" s="1" t="n">
        <v>44753</v>
      </c>
      <c r="C292" s="1" t="n">
        <v>46140</v>
      </c>
      <c r="D292" t="inlineStr">
        <is>
          <t>VÄRMLANDS LÄN</t>
        </is>
      </c>
      <c r="E292" t="inlineStr">
        <is>
          <t>TORSBY</t>
        </is>
      </c>
      <c r="G292" t="n">
        <v>2.5</v>
      </c>
      <c r="H292" t="n">
        <v>0</v>
      </c>
      <c r="I292" t="n">
        <v>0</v>
      </c>
      <c r="J292" t="n">
        <v>0</v>
      </c>
      <c r="K292" t="n">
        <v>0</v>
      </c>
      <c r="L292" t="n">
        <v>0</v>
      </c>
      <c r="M292" t="n">
        <v>0</v>
      </c>
      <c r="N292" t="n">
        <v>0</v>
      </c>
      <c r="O292" t="n">
        <v>0</v>
      </c>
      <c r="P292" t="n">
        <v>0</v>
      </c>
      <c r="Q292" t="n">
        <v>0</v>
      </c>
      <c r="R292" s="2" t="inlineStr"/>
    </row>
    <row r="293" ht="15" customHeight="1">
      <c r="A293" t="inlineStr">
        <is>
          <t>A 52900-2021</t>
        </is>
      </c>
      <c r="B293" s="1" t="n">
        <v>44467</v>
      </c>
      <c r="C293" s="1" t="n">
        <v>46140</v>
      </c>
      <c r="D293" t="inlineStr">
        <is>
          <t>VÄRMLANDS LÄN</t>
        </is>
      </c>
      <c r="E293" t="inlineStr">
        <is>
          <t>TORSBY</t>
        </is>
      </c>
      <c r="G293" t="n">
        <v>3.8</v>
      </c>
      <c r="H293" t="n">
        <v>0</v>
      </c>
      <c r="I293" t="n">
        <v>0</v>
      </c>
      <c r="J293" t="n">
        <v>0</v>
      </c>
      <c r="K293" t="n">
        <v>0</v>
      </c>
      <c r="L293" t="n">
        <v>0</v>
      </c>
      <c r="M293" t="n">
        <v>0</v>
      </c>
      <c r="N293" t="n">
        <v>0</v>
      </c>
      <c r="O293" t="n">
        <v>0</v>
      </c>
      <c r="P293" t="n">
        <v>0</v>
      </c>
      <c r="Q293" t="n">
        <v>0</v>
      </c>
      <c r="R293" s="2" t="inlineStr"/>
    </row>
    <row r="294" ht="15" customHeight="1">
      <c r="A294" t="inlineStr">
        <is>
          <t>A 29720-2022</t>
        </is>
      </c>
      <c r="B294" s="1" t="n">
        <v>44755</v>
      </c>
      <c r="C294" s="1" t="n">
        <v>46140</v>
      </c>
      <c r="D294" t="inlineStr">
        <is>
          <t>VÄRMLANDS LÄN</t>
        </is>
      </c>
      <c r="E294" t="inlineStr">
        <is>
          <t>TORSBY</t>
        </is>
      </c>
      <c r="G294" t="n">
        <v>1.1</v>
      </c>
      <c r="H294" t="n">
        <v>0</v>
      </c>
      <c r="I294" t="n">
        <v>0</v>
      </c>
      <c r="J294" t="n">
        <v>0</v>
      </c>
      <c r="K294" t="n">
        <v>0</v>
      </c>
      <c r="L294" t="n">
        <v>0</v>
      </c>
      <c r="M294" t="n">
        <v>0</v>
      </c>
      <c r="N294" t="n">
        <v>0</v>
      </c>
      <c r="O294" t="n">
        <v>0</v>
      </c>
      <c r="P294" t="n">
        <v>0</v>
      </c>
      <c r="Q294" t="n">
        <v>0</v>
      </c>
      <c r="R294" s="2" t="inlineStr"/>
    </row>
    <row r="295" ht="15" customHeight="1">
      <c r="A295" t="inlineStr">
        <is>
          <t>A 37608-2021</t>
        </is>
      </c>
      <c r="B295" s="1" t="n">
        <v>44399</v>
      </c>
      <c r="C295" s="1" t="n">
        <v>46140</v>
      </c>
      <c r="D295" t="inlineStr">
        <is>
          <t>VÄRMLANDS LÄN</t>
        </is>
      </c>
      <c r="E295" t="inlineStr">
        <is>
          <t>TORSBY</t>
        </is>
      </c>
      <c r="G295" t="n">
        <v>1.7</v>
      </c>
      <c r="H295" t="n">
        <v>0</v>
      </c>
      <c r="I295" t="n">
        <v>0</v>
      </c>
      <c r="J295" t="n">
        <v>0</v>
      </c>
      <c r="K295" t="n">
        <v>0</v>
      </c>
      <c r="L295" t="n">
        <v>0</v>
      </c>
      <c r="M295" t="n">
        <v>0</v>
      </c>
      <c r="N295" t="n">
        <v>0</v>
      </c>
      <c r="O295" t="n">
        <v>0</v>
      </c>
      <c r="P295" t="n">
        <v>0</v>
      </c>
      <c r="Q295" t="n">
        <v>0</v>
      </c>
      <c r="R295" s="2" t="inlineStr"/>
    </row>
    <row r="296" ht="15" customHeight="1">
      <c r="A296" t="inlineStr">
        <is>
          <t>A 44327-2022</t>
        </is>
      </c>
      <c r="B296" s="1" t="n">
        <v>44839</v>
      </c>
      <c r="C296" s="1" t="n">
        <v>46140</v>
      </c>
      <c r="D296" t="inlineStr">
        <is>
          <t>VÄRMLANDS LÄN</t>
        </is>
      </c>
      <c r="E296" t="inlineStr">
        <is>
          <t>TORSBY</t>
        </is>
      </c>
      <c r="G296" t="n">
        <v>3.5</v>
      </c>
      <c r="H296" t="n">
        <v>0</v>
      </c>
      <c r="I296" t="n">
        <v>0</v>
      </c>
      <c r="J296" t="n">
        <v>0</v>
      </c>
      <c r="K296" t="n">
        <v>0</v>
      </c>
      <c r="L296" t="n">
        <v>0</v>
      </c>
      <c r="M296" t="n">
        <v>0</v>
      </c>
      <c r="N296" t="n">
        <v>0</v>
      </c>
      <c r="O296" t="n">
        <v>0</v>
      </c>
      <c r="P296" t="n">
        <v>0</v>
      </c>
      <c r="Q296" t="n">
        <v>0</v>
      </c>
      <c r="R296" s="2" t="inlineStr"/>
    </row>
    <row r="297" ht="15" customHeight="1">
      <c r="A297" t="inlineStr">
        <is>
          <t>A 48712-2022</t>
        </is>
      </c>
      <c r="B297" s="1" t="n">
        <v>44859.49574074074</v>
      </c>
      <c r="C297" s="1" t="n">
        <v>46140</v>
      </c>
      <c r="D297" t="inlineStr">
        <is>
          <t>VÄRMLANDS LÄN</t>
        </is>
      </c>
      <c r="E297" t="inlineStr">
        <is>
          <t>TORSBY</t>
        </is>
      </c>
      <c r="F297" t="inlineStr">
        <is>
          <t>Bergvik skog väst AB</t>
        </is>
      </c>
      <c r="G297" t="n">
        <v>22.7</v>
      </c>
      <c r="H297" t="n">
        <v>0</v>
      </c>
      <c r="I297" t="n">
        <v>0</v>
      </c>
      <c r="J297" t="n">
        <v>0</v>
      </c>
      <c r="K297" t="n">
        <v>0</v>
      </c>
      <c r="L297" t="n">
        <v>0</v>
      </c>
      <c r="M297" t="n">
        <v>0</v>
      </c>
      <c r="N297" t="n">
        <v>0</v>
      </c>
      <c r="O297" t="n">
        <v>0</v>
      </c>
      <c r="P297" t="n">
        <v>0</v>
      </c>
      <c r="Q297" t="n">
        <v>0</v>
      </c>
      <c r="R297" s="2" t="inlineStr"/>
    </row>
    <row r="298" ht="15" customHeight="1">
      <c r="A298" t="inlineStr">
        <is>
          <t>A 35606-2022</t>
        </is>
      </c>
      <c r="B298" s="1" t="n">
        <v>44799</v>
      </c>
      <c r="C298" s="1" t="n">
        <v>46140</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33182-2021</t>
        </is>
      </c>
      <c r="B299" s="1" t="n">
        <v>44376</v>
      </c>
      <c r="C299" s="1" t="n">
        <v>46140</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47083-2021</t>
        </is>
      </c>
      <c r="B300" s="1" t="n">
        <v>44446.66114583334</v>
      </c>
      <c r="C300" s="1" t="n">
        <v>46140</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47098-2021</t>
        </is>
      </c>
      <c r="B301" s="1" t="n">
        <v>44446.67429398148</v>
      </c>
      <c r="C301" s="1" t="n">
        <v>46140</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29495-2021</t>
        </is>
      </c>
      <c r="B302" s="1" t="n">
        <v>44361</v>
      </c>
      <c r="C302" s="1" t="n">
        <v>46140</v>
      </c>
      <c r="D302" t="inlineStr">
        <is>
          <t>VÄRMLANDS LÄN</t>
        </is>
      </c>
      <c r="E302" t="inlineStr">
        <is>
          <t>TORSBY</t>
        </is>
      </c>
      <c r="F302" t="inlineStr">
        <is>
          <t>Övriga Aktiebolag</t>
        </is>
      </c>
      <c r="G302" t="n">
        <v>38.2</v>
      </c>
      <c r="H302" t="n">
        <v>0</v>
      </c>
      <c r="I302" t="n">
        <v>0</v>
      </c>
      <c r="J302" t="n">
        <v>0</v>
      </c>
      <c r="K302" t="n">
        <v>0</v>
      </c>
      <c r="L302" t="n">
        <v>0</v>
      </c>
      <c r="M302" t="n">
        <v>0</v>
      </c>
      <c r="N302" t="n">
        <v>0</v>
      </c>
      <c r="O302" t="n">
        <v>0</v>
      </c>
      <c r="P302" t="n">
        <v>0</v>
      </c>
      <c r="Q302" t="n">
        <v>0</v>
      </c>
      <c r="R302" s="2" t="inlineStr"/>
    </row>
    <row r="303" ht="15" customHeight="1">
      <c r="A303" t="inlineStr">
        <is>
          <t>A 29142-2022</t>
        </is>
      </c>
      <c r="B303" s="1" t="n">
        <v>44750</v>
      </c>
      <c r="C303" s="1" t="n">
        <v>46140</v>
      </c>
      <c r="D303" t="inlineStr">
        <is>
          <t>VÄRMLANDS LÄN</t>
        </is>
      </c>
      <c r="E303" t="inlineStr">
        <is>
          <t>TORSBY</t>
        </is>
      </c>
      <c r="G303" t="n">
        <v>2.3</v>
      </c>
      <c r="H303" t="n">
        <v>0</v>
      </c>
      <c r="I303" t="n">
        <v>0</v>
      </c>
      <c r="J303" t="n">
        <v>0</v>
      </c>
      <c r="K303" t="n">
        <v>0</v>
      </c>
      <c r="L303" t="n">
        <v>0</v>
      </c>
      <c r="M303" t="n">
        <v>0</v>
      </c>
      <c r="N303" t="n">
        <v>0</v>
      </c>
      <c r="O303" t="n">
        <v>0</v>
      </c>
      <c r="P303" t="n">
        <v>0</v>
      </c>
      <c r="Q303" t="n">
        <v>0</v>
      </c>
      <c r="R303" s="2" t="inlineStr"/>
    </row>
    <row r="304" ht="15" customHeight="1">
      <c r="A304" t="inlineStr">
        <is>
          <t>A 43169-2021</t>
        </is>
      </c>
      <c r="B304" s="1" t="n">
        <v>44431</v>
      </c>
      <c r="C304" s="1" t="n">
        <v>46140</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60428-2021</t>
        </is>
      </c>
      <c r="B305" s="1" t="n">
        <v>44496.42145833333</v>
      </c>
      <c r="C305" s="1" t="n">
        <v>46140</v>
      </c>
      <c r="D305" t="inlineStr">
        <is>
          <t>VÄRMLANDS LÄN</t>
        </is>
      </c>
      <c r="E305" t="inlineStr">
        <is>
          <t>TORSBY</t>
        </is>
      </c>
      <c r="G305" t="n">
        <v>0.5</v>
      </c>
      <c r="H305" t="n">
        <v>0</v>
      </c>
      <c r="I305" t="n">
        <v>0</v>
      </c>
      <c r="J305" t="n">
        <v>0</v>
      </c>
      <c r="K305" t="n">
        <v>0</v>
      </c>
      <c r="L305" t="n">
        <v>0</v>
      </c>
      <c r="M305" t="n">
        <v>0</v>
      </c>
      <c r="N305" t="n">
        <v>0</v>
      </c>
      <c r="O305" t="n">
        <v>0</v>
      </c>
      <c r="P305" t="n">
        <v>0</v>
      </c>
      <c r="Q305" t="n">
        <v>0</v>
      </c>
      <c r="R305" s="2" t="inlineStr"/>
    </row>
    <row r="306" ht="15" customHeight="1">
      <c r="A306" t="inlineStr">
        <is>
          <t>A 73442-2021</t>
        </is>
      </c>
      <c r="B306" s="1" t="n">
        <v>44551.55063657407</v>
      </c>
      <c r="C306" s="1" t="n">
        <v>46140</v>
      </c>
      <c r="D306" t="inlineStr">
        <is>
          <t>VÄRMLANDS LÄN</t>
        </is>
      </c>
      <c r="E306" t="inlineStr">
        <is>
          <t>TORSBY</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23011-2022</t>
        </is>
      </c>
      <c r="B307" s="1" t="n">
        <v>44719.35471064815</v>
      </c>
      <c r="C307" s="1" t="n">
        <v>46140</v>
      </c>
      <c r="D307" t="inlineStr">
        <is>
          <t>VÄRMLANDS LÄN</t>
        </is>
      </c>
      <c r="E307" t="inlineStr">
        <is>
          <t>TORSBY</t>
        </is>
      </c>
      <c r="F307" t="inlineStr">
        <is>
          <t>Bergvik skog väst AB</t>
        </is>
      </c>
      <c r="G307" t="n">
        <v>5.2</v>
      </c>
      <c r="H307" t="n">
        <v>0</v>
      </c>
      <c r="I307" t="n">
        <v>0</v>
      </c>
      <c r="J307" t="n">
        <v>0</v>
      </c>
      <c r="K307" t="n">
        <v>0</v>
      </c>
      <c r="L307" t="n">
        <v>0</v>
      </c>
      <c r="M307" t="n">
        <v>0</v>
      </c>
      <c r="N307" t="n">
        <v>0</v>
      </c>
      <c r="O307" t="n">
        <v>0</v>
      </c>
      <c r="P307" t="n">
        <v>0</v>
      </c>
      <c r="Q307" t="n">
        <v>0</v>
      </c>
      <c r="R307" s="2" t="inlineStr"/>
    </row>
    <row r="308" ht="15" customHeight="1">
      <c r="A308" t="inlineStr">
        <is>
          <t>A 23823-2022</t>
        </is>
      </c>
      <c r="B308" s="1" t="n">
        <v>44722</v>
      </c>
      <c r="C308" s="1" t="n">
        <v>46140</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36527-2022</t>
        </is>
      </c>
      <c r="B309" s="1" t="n">
        <v>44804</v>
      </c>
      <c r="C309" s="1" t="n">
        <v>46140</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36572-2022</t>
        </is>
      </c>
      <c r="B310" s="1" t="n">
        <v>44804.60271990741</v>
      </c>
      <c r="C310" s="1" t="n">
        <v>46140</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40278-2021</t>
        </is>
      </c>
      <c r="B311" s="1" t="n">
        <v>44419</v>
      </c>
      <c r="C311" s="1" t="n">
        <v>46140</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33937-2021</t>
        </is>
      </c>
      <c r="B312" s="1" t="n">
        <v>44378.79297453703</v>
      </c>
      <c r="C312" s="1" t="n">
        <v>46140</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34694-2021</t>
        </is>
      </c>
      <c r="B313" s="1" t="n">
        <v>44382.61398148148</v>
      </c>
      <c r="C313" s="1" t="n">
        <v>46140</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36587-2022</t>
        </is>
      </c>
      <c r="B314" s="1" t="n">
        <v>44804.62511574074</v>
      </c>
      <c r="C314" s="1" t="n">
        <v>46140</v>
      </c>
      <c r="D314" t="inlineStr">
        <is>
          <t>VÄRMLANDS LÄN</t>
        </is>
      </c>
      <c r="E314" t="inlineStr">
        <is>
          <t>TORSBY</t>
        </is>
      </c>
      <c r="G314" t="n">
        <v>4.4</v>
      </c>
      <c r="H314" t="n">
        <v>0</v>
      </c>
      <c r="I314" t="n">
        <v>0</v>
      </c>
      <c r="J314" t="n">
        <v>0</v>
      </c>
      <c r="K314" t="n">
        <v>0</v>
      </c>
      <c r="L314" t="n">
        <v>0</v>
      </c>
      <c r="M314" t="n">
        <v>0</v>
      </c>
      <c r="N314" t="n">
        <v>0</v>
      </c>
      <c r="O314" t="n">
        <v>0</v>
      </c>
      <c r="P314" t="n">
        <v>0</v>
      </c>
      <c r="Q314" t="n">
        <v>0</v>
      </c>
      <c r="R314" s="2" t="inlineStr"/>
    </row>
    <row r="315" ht="15" customHeight="1">
      <c r="A315" t="inlineStr">
        <is>
          <t>A 33958-2022</t>
        </is>
      </c>
      <c r="B315" s="1" t="n">
        <v>44790.67916666667</v>
      </c>
      <c r="C315" s="1" t="n">
        <v>46140</v>
      </c>
      <c r="D315" t="inlineStr">
        <is>
          <t>VÄRMLANDS LÄN</t>
        </is>
      </c>
      <c r="E315" t="inlineStr">
        <is>
          <t>TORSBY</t>
        </is>
      </c>
      <c r="G315" t="n">
        <v>13.2</v>
      </c>
      <c r="H315" t="n">
        <v>0</v>
      </c>
      <c r="I315" t="n">
        <v>0</v>
      </c>
      <c r="J315" t="n">
        <v>0</v>
      </c>
      <c r="K315" t="n">
        <v>0</v>
      </c>
      <c r="L315" t="n">
        <v>0</v>
      </c>
      <c r="M315" t="n">
        <v>0</v>
      </c>
      <c r="N315" t="n">
        <v>0</v>
      </c>
      <c r="O315" t="n">
        <v>0</v>
      </c>
      <c r="P315" t="n">
        <v>0</v>
      </c>
      <c r="Q315" t="n">
        <v>0</v>
      </c>
      <c r="R315" s="2" t="inlineStr"/>
    </row>
    <row r="316" ht="15" customHeight="1">
      <c r="A316" t="inlineStr">
        <is>
          <t>A 66103-2021</t>
        </is>
      </c>
      <c r="B316" s="1" t="n">
        <v>44517</v>
      </c>
      <c r="C316" s="1" t="n">
        <v>46140</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44517-2022</t>
        </is>
      </c>
      <c r="B317" s="1" t="n">
        <v>44840.43184027778</v>
      </c>
      <c r="C317" s="1" t="n">
        <v>46140</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30384-2021</t>
        </is>
      </c>
      <c r="B318" s="1" t="n">
        <v>44364.4903587963</v>
      </c>
      <c r="C318" s="1" t="n">
        <v>46140</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24960-2022</t>
        </is>
      </c>
      <c r="B319" s="1" t="n">
        <v>44728</v>
      </c>
      <c r="C319" s="1" t="n">
        <v>46140</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35221-2021</t>
        </is>
      </c>
      <c r="B320" s="1" t="n">
        <v>44384</v>
      </c>
      <c r="C320" s="1" t="n">
        <v>46140</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32438-2022</t>
        </is>
      </c>
      <c r="B321" s="1" t="n">
        <v>44782</v>
      </c>
      <c r="C321" s="1" t="n">
        <v>46140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69281-2021</t>
        </is>
      </c>
      <c r="B322" s="1" t="n">
        <v>44526</v>
      </c>
      <c r="C322" s="1" t="n">
        <v>46140</v>
      </c>
      <c r="D322" t="inlineStr">
        <is>
          <t>VÄRMLANDS LÄN</t>
        </is>
      </c>
      <c r="E322" t="inlineStr">
        <is>
          <t>TORSBY</t>
        </is>
      </c>
      <c r="G322" t="n">
        <v>7.5</v>
      </c>
      <c r="H322" t="n">
        <v>0</v>
      </c>
      <c r="I322" t="n">
        <v>0</v>
      </c>
      <c r="J322" t="n">
        <v>0</v>
      </c>
      <c r="K322" t="n">
        <v>0</v>
      </c>
      <c r="L322" t="n">
        <v>0</v>
      </c>
      <c r="M322" t="n">
        <v>0</v>
      </c>
      <c r="N322" t="n">
        <v>0</v>
      </c>
      <c r="O322" t="n">
        <v>0</v>
      </c>
      <c r="P322" t="n">
        <v>0</v>
      </c>
      <c r="Q322" t="n">
        <v>0</v>
      </c>
      <c r="R322" s="2" t="inlineStr"/>
    </row>
    <row r="323" ht="15" customHeight="1">
      <c r="A323" t="inlineStr">
        <is>
          <t>A 42646-2021</t>
        </is>
      </c>
      <c r="B323" s="1" t="n">
        <v>44428.45663194444</v>
      </c>
      <c r="C323" s="1" t="n">
        <v>46140</v>
      </c>
      <c r="D323" t="inlineStr">
        <is>
          <t>VÄRMLANDS LÄN</t>
        </is>
      </c>
      <c r="E323" t="inlineStr">
        <is>
          <t>TORSBY</t>
        </is>
      </c>
      <c r="F323" t="inlineStr">
        <is>
          <t>Bergvik skog väst AB</t>
        </is>
      </c>
      <c r="G323" t="n">
        <v>21.4</v>
      </c>
      <c r="H323" t="n">
        <v>0</v>
      </c>
      <c r="I323" t="n">
        <v>0</v>
      </c>
      <c r="J323" t="n">
        <v>0</v>
      </c>
      <c r="K323" t="n">
        <v>0</v>
      </c>
      <c r="L323" t="n">
        <v>0</v>
      </c>
      <c r="M323" t="n">
        <v>0</v>
      </c>
      <c r="N323" t="n">
        <v>0</v>
      </c>
      <c r="O323" t="n">
        <v>0</v>
      </c>
      <c r="P323" t="n">
        <v>0</v>
      </c>
      <c r="Q323" t="n">
        <v>0</v>
      </c>
      <c r="R323" s="2" t="inlineStr"/>
    </row>
    <row r="324" ht="15" customHeight="1">
      <c r="A324" t="inlineStr">
        <is>
          <t>A 70775-2021</t>
        </is>
      </c>
      <c r="B324" s="1" t="n">
        <v>44537</v>
      </c>
      <c r="C324" s="1" t="n">
        <v>46140</v>
      </c>
      <c r="D324" t="inlineStr">
        <is>
          <t>VÄRMLANDS LÄN</t>
        </is>
      </c>
      <c r="E324" t="inlineStr">
        <is>
          <t>TORSBY</t>
        </is>
      </c>
      <c r="G324" t="n">
        <v>0.3</v>
      </c>
      <c r="H324" t="n">
        <v>0</v>
      </c>
      <c r="I324" t="n">
        <v>0</v>
      </c>
      <c r="J324" t="n">
        <v>0</v>
      </c>
      <c r="K324" t="n">
        <v>0</v>
      </c>
      <c r="L324" t="n">
        <v>0</v>
      </c>
      <c r="M324" t="n">
        <v>0</v>
      </c>
      <c r="N324" t="n">
        <v>0</v>
      </c>
      <c r="O324" t="n">
        <v>0</v>
      </c>
      <c r="P324" t="n">
        <v>0</v>
      </c>
      <c r="Q324" t="n">
        <v>0</v>
      </c>
      <c r="R324" s="2" t="inlineStr"/>
    </row>
    <row r="325" ht="15" customHeight="1">
      <c r="A325" t="inlineStr">
        <is>
          <t>A 27686-2022</t>
        </is>
      </c>
      <c r="B325" s="1" t="n">
        <v>44743.43273148148</v>
      </c>
      <c r="C325" s="1" t="n">
        <v>46140</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35909-2021</t>
        </is>
      </c>
      <c r="B326" s="1" t="n">
        <v>44387</v>
      </c>
      <c r="C326" s="1" t="n">
        <v>46140</v>
      </c>
      <c r="D326" t="inlineStr">
        <is>
          <t>VÄRMLANDS LÄN</t>
        </is>
      </c>
      <c r="E326" t="inlineStr">
        <is>
          <t>TORSBY</t>
        </is>
      </c>
      <c r="G326" t="n">
        <v>3.3</v>
      </c>
      <c r="H326" t="n">
        <v>0</v>
      </c>
      <c r="I326" t="n">
        <v>0</v>
      </c>
      <c r="J326" t="n">
        <v>0</v>
      </c>
      <c r="K326" t="n">
        <v>0</v>
      </c>
      <c r="L326" t="n">
        <v>0</v>
      </c>
      <c r="M326" t="n">
        <v>0</v>
      </c>
      <c r="N326" t="n">
        <v>0</v>
      </c>
      <c r="O326" t="n">
        <v>0</v>
      </c>
      <c r="P326" t="n">
        <v>0</v>
      </c>
      <c r="Q326" t="n">
        <v>0</v>
      </c>
      <c r="R326" s="2" t="inlineStr"/>
    </row>
    <row r="327" ht="15" customHeight="1">
      <c r="A327" t="inlineStr">
        <is>
          <t>A 40221-2022</t>
        </is>
      </c>
      <c r="B327" s="1" t="n">
        <v>44820.6512037037</v>
      </c>
      <c r="C327" s="1" t="n">
        <v>46140</v>
      </c>
      <c r="D327" t="inlineStr">
        <is>
          <t>VÄRMLANDS LÄN</t>
        </is>
      </c>
      <c r="E327" t="inlineStr">
        <is>
          <t>TORSBY</t>
        </is>
      </c>
      <c r="G327" t="n">
        <v>2.1</v>
      </c>
      <c r="H327" t="n">
        <v>0</v>
      </c>
      <c r="I327" t="n">
        <v>0</v>
      </c>
      <c r="J327" t="n">
        <v>0</v>
      </c>
      <c r="K327" t="n">
        <v>0</v>
      </c>
      <c r="L327" t="n">
        <v>0</v>
      </c>
      <c r="M327" t="n">
        <v>0</v>
      </c>
      <c r="N327" t="n">
        <v>0</v>
      </c>
      <c r="O327" t="n">
        <v>0</v>
      </c>
      <c r="P327" t="n">
        <v>0</v>
      </c>
      <c r="Q327" t="n">
        <v>0</v>
      </c>
      <c r="R327" s="2" t="inlineStr"/>
    </row>
    <row r="328" ht="15" customHeight="1">
      <c r="A328" t="inlineStr">
        <is>
          <t>A 22671-2021</t>
        </is>
      </c>
      <c r="B328" s="1" t="n">
        <v>44327</v>
      </c>
      <c r="C328" s="1" t="n">
        <v>46140</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997-2022</t>
        </is>
      </c>
      <c r="B329" s="1" t="n">
        <v>44571</v>
      </c>
      <c r="C329" s="1" t="n">
        <v>46140</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26558-2021</t>
        </is>
      </c>
      <c r="B330" s="1" t="n">
        <v>44348</v>
      </c>
      <c r="C330" s="1" t="n">
        <v>46140</v>
      </c>
      <c r="D330" t="inlineStr">
        <is>
          <t>VÄRMLANDS LÄN</t>
        </is>
      </c>
      <c r="E330" t="inlineStr">
        <is>
          <t>TORSBY</t>
        </is>
      </c>
      <c r="G330" t="n">
        <v>19.7</v>
      </c>
      <c r="H330" t="n">
        <v>0</v>
      </c>
      <c r="I330" t="n">
        <v>0</v>
      </c>
      <c r="J330" t="n">
        <v>0</v>
      </c>
      <c r="K330" t="n">
        <v>0</v>
      </c>
      <c r="L330" t="n">
        <v>0</v>
      </c>
      <c r="M330" t="n">
        <v>0</v>
      </c>
      <c r="N330" t="n">
        <v>0</v>
      </c>
      <c r="O330" t="n">
        <v>0</v>
      </c>
      <c r="P330" t="n">
        <v>0</v>
      </c>
      <c r="Q330" t="n">
        <v>0</v>
      </c>
      <c r="R330" s="2" t="inlineStr"/>
    </row>
    <row r="331" ht="15" customHeight="1">
      <c r="A331" t="inlineStr">
        <is>
          <t>A 7543-2022</t>
        </is>
      </c>
      <c r="B331" s="1" t="n">
        <v>44607</v>
      </c>
      <c r="C331" s="1" t="n">
        <v>46140</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62039-2021</t>
        </is>
      </c>
      <c r="B332" s="1" t="n">
        <v>44502</v>
      </c>
      <c r="C332" s="1" t="n">
        <v>46140</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46140</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13698-2022</t>
        </is>
      </c>
      <c r="B334" s="1" t="n">
        <v>44648</v>
      </c>
      <c r="C334" s="1" t="n">
        <v>46140</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71084-2021</t>
        </is>
      </c>
      <c r="B335" s="1" t="n">
        <v>44538.96543981481</v>
      </c>
      <c r="C335" s="1" t="n">
        <v>46140</v>
      </c>
      <c r="D335" t="inlineStr">
        <is>
          <t>VÄRMLANDS LÄN</t>
        </is>
      </c>
      <c r="E335" t="inlineStr">
        <is>
          <t>TORSBY</t>
        </is>
      </c>
      <c r="G335" t="n">
        <v>1.8</v>
      </c>
      <c r="H335" t="n">
        <v>0</v>
      </c>
      <c r="I335" t="n">
        <v>0</v>
      </c>
      <c r="J335" t="n">
        <v>0</v>
      </c>
      <c r="K335" t="n">
        <v>0</v>
      </c>
      <c r="L335" t="n">
        <v>0</v>
      </c>
      <c r="M335" t="n">
        <v>0</v>
      </c>
      <c r="N335" t="n">
        <v>0</v>
      </c>
      <c r="O335" t="n">
        <v>0</v>
      </c>
      <c r="P335" t="n">
        <v>0</v>
      </c>
      <c r="Q335" t="n">
        <v>0</v>
      </c>
      <c r="R335" s="2" t="inlineStr"/>
    </row>
    <row r="336" ht="15" customHeight="1">
      <c r="A336" t="inlineStr">
        <is>
          <t>A 14145-2022</t>
        </is>
      </c>
      <c r="B336" s="1" t="n">
        <v>44651</v>
      </c>
      <c r="C336" s="1" t="n">
        <v>46140</v>
      </c>
      <c r="D336" t="inlineStr">
        <is>
          <t>VÄRMLANDS LÄN</t>
        </is>
      </c>
      <c r="E336" t="inlineStr">
        <is>
          <t>TORSBY</t>
        </is>
      </c>
      <c r="G336" t="n">
        <v>2</v>
      </c>
      <c r="H336" t="n">
        <v>0</v>
      </c>
      <c r="I336" t="n">
        <v>0</v>
      </c>
      <c r="J336" t="n">
        <v>0</v>
      </c>
      <c r="K336" t="n">
        <v>0</v>
      </c>
      <c r="L336" t="n">
        <v>0</v>
      </c>
      <c r="M336" t="n">
        <v>0</v>
      </c>
      <c r="N336" t="n">
        <v>0</v>
      </c>
      <c r="O336" t="n">
        <v>0</v>
      </c>
      <c r="P336" t="n">
        <v>0</v>
      </c>
      <c r="Q336" t="n">
        <v>0</v>
      </c>
      <c r="R336" s="2" t="inlineStr"/>
    </row>
    <row r="337" ht="15" customHeight="1">
      <c r="A337" t="inlineStr">
        <is>
          <t>A 47206-2022</t>
        </is>
      </c>
      <c r="B337" s="1" t="n">
        <v>44852.67550925926</v>
      </c>
      <c r="C337" s="1" t="n">
        <v>46140</v>
      </c>
      <c r="D337" t="inlineStr">
        <is>
          <t>VÄRMLANDS LÄN</t>
        </is>
      </c>
      <c r="E337" t="inlineStr">
        <is>
          <t>TORSBY</t>
        </is>
      </c>
      <c r="G337" t="n">
        <v>8.5</v>
      </c>
      <c r="H337" t="n">
        <v>0</v>
      </c>
      <c r="I337" t="n">
        <v>0</v>
      </c>
      <c r="J337" t="n">
        <v>0</v>
      </c>
      <c r="K337" t="n">
        <v>0</v>
      </c>
      <c r="L337" t="n">
        <v>0</v>
      </c>
      <c r="M337" t="n">
        <v>0</v>
      </c>
      <c r="N337" t="n">
        <v>0</v>
      </c>
      <c r="O337" t="n">
        <v>0</v>
      </c>
      <c r="P337" t="n">
        <v>0</v>
      </c>
      <c r="Q337" t="n">
        <v>0</v>
      </c>
      <c r="R337" s="2" t="inlineStr"/>
    </row>
    <row r="338" ht="15" customHeight="1">
      <c r="A338" t="inlineStr">
        <is>
          <t>A 7921-2022</t>
        </is>
      </c>
      <c r="B338" s="1" t="n">
        <v>44608</v>
      </c>
      <c r="C338" s="1" t="n">
        <v>46140</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41995-2022</t>
        </is>
      </c>
      <c r="B339" s="1" t="n">
        <v>44830</v>
      </c>
      <c r="C339" s="1" t="n">
        <v>46140</v>
      </c>
      <c r="D339" t="inlineStr">
        <is>
          <t>VÄRMLANDS LÄN</t>
        </is>
      </c>
      <c r="E339" t="inlineStr">
        <is>
          <t>TORSBY</t>
        </is>
      </c>
      <c r="F339" t="inlineStr">
        <is>
          <t>Bergvik skog väst AB</t>
        </is>
      </c>
      <c r="G339" t="n">
        <v>5.2</v>
      </c>
      <c r="H339" t="n">
        <v>0</v>
      </c>
      <c r="I339" t="n">
        <v>0</v>
      </c>
      <c r="J339" t="n">
        <v>0</v>
      </c>
      <c r="K339" t="n">
        <v>0</v>
      </c>
      <c r="L339" t="n">
        <v>0</v>
      </c>
      <c r="M339" t="n">
        <v>0</v>
      </c>
      <c r="N339" t="n">
        <v>0</v>
      </c>
      <c r="O339" t="n">
        <v>0</v>
      </c>
      <c r="P339" t="n">
        <v>0</v>
      </c>
      <c r="Q339" t="n">
        <v>0</v>
      </c>
      <c r="R339" s="2" t="inlineStr"/>
    </row>
    <row r="340" ht="15" customHeight="1">
      <c r="A340" t="inlineStr">
        <is>
          <t>A 37754-2022</t>
        </is>
      </c>
      <c r="B340" s="1" t="n">
        <v>44810</v>
      </c>
      <c r="C340" s="1" t="n">
        <v>46140</v>
      </c>
      <c r="D340" t="inlineStr">
        <is>
          <t>VÄRMLANDS LÄN</t>
        </is>
      </c>
      <c r="E340" t="inlineStr">
        <is>
          <t>TORSBY</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45303-2022</t>
        </is>
      </c>
      <c r="B341" s="1" t="n">
        <v>44844</v>
      </c>
      <c r="C341" s="1" t="n">
        <v>46140</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34581-2022</t>
        </is>
      </c>
      <c r="B342" s="1" t="n">
        <v>44792</v>
      </c>
      <c r="C342" s="1" t="n">
        <v>46140</v>
      </c>
      <c r="D342" t="inlineStr">
        <is>
          <t>VÄRMLANDS LÄN</t>
        </is>
      </c>
      <c r="E342" t="inlineStr">
        <is>
          <t>TORSBY</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46795-2021</t>
        </is>
      </c>
      <c r="B343" s="1" t="n">
        <v>44446</v>
      </c>
      <c r="C343" s="1" t="n">
        <v>46140</v>
      </c>
      <c r="D343" t="inlineStr">
        <is>
          <t>VÄRMLANDS LÄN</t>
        </is>
      </c>
      <c r="E343" t="inlineStr">
        <is>
          <t>TORSBY</t>
        </is>
      </c>
      <c r="G343" t="n">
        <v>6</v>
      </c>
      <c r="H343" t="n">
        <v>0</v>
      </c>
      <c r="I343" t="n">
        <v>0</v>
      </c>
      <c r="J343" t="n">
        <v>0</v>
      </c>
      <c r="K343" t="n">
        <v>0</v>
      </c>
      <c r="L343" t="n">
        <v>0</v>
      </c>
      <c r="M343" t="n">
        <v>0</v>
      </c>
      <c r="N343" t="n">
        <v>0</v>
      </c>
      <c r="O343" t="n">
        <v>0</v>
      </c>
      <c r="P343" t="n">
        <v>0</v>
      </c>
      <c r="Q343" t="n">
        <v>0</v>
      </c>
      <c r="R343" s="2" t="inlineStr"/>
    </row>
    <row r="344" ht="15" customHeight="1">
      <c r="A344" t="inlineStr">
        <is>
          <t>A 23735-2022</t>
        </is>
      </c>
      <c r="B344" s="1" t="n">
        <v>44722.35103009259</v>
      </c>
      <c r="C344" s="1" t="n">
        <v>46140</v>
      </c>
      <c r="D344" t="inlineStr">
        <is>
          <t>VÄRMLANDS LÄN</t>
        </is>
      </c>
      <c r="E344" t="inlineStr">
        <is>
          <t>TORSBY</t>
        </is>
      </c>
      <c r="G344" t="n">
        <v>1.9</v>
      </c>
      <c r="H344" t="n">
        <v>0</v>
      </c>
      <c r="I344" t="n">
        <v>0</v>
      </c>
      <c r="J344" t="n">
        <v>0</v>
      </c>
      <c r="K344" t="n">
        <v>0</v>
      </c>
      <c r="L344" t="n">
        <v>0</v>
      </c>
      <c r="M344" t="n">
        <v>0</v>
      </c>
      <c r="N344" t="n">
        <v>0</v>
      </c>
      <c r="O344" t="n">
        <v>0</v>
      </c>
      <c r="P344" t="n">
        <v>0</v>
      </c>
      <c r="Q344" t="n">
        <v>0</v>
      </c>
      <c r="R344" s="2" t="inlineStr"/>
    </row>
    <row r="345" ht="15" customHeight="1">
      <c r="A345" t="inlineStr">
        <is>
          <t>A 29457-2021</t>
        </is>
      </c>
      <c r="B345" s="1" t="n">
        <v>44361</v>
      </c>
      <c r="C345" s="1" t="n">
        <v>46140</v>
      </c>
      <c r="D345" t="inlineStr">
        <is>
          <t>VÄRMLANDS LÄN</t>
        </is>
      </c>
      <c r="E345" t="inlineStr">
        <is>
          <t>TORSBY</t>
        </is>
      </c>
      <c r="G345" t="n">
        <v>7.6</v>
      </c>
      <c r="H345" t="n">
        <v>0</v>
      </c>
      <c r="I345" t="n">
        <v>0</v>
      </c>
      <c r="J345" t="n">
        <v>0</v>
      </c>
      <c r="K345" t="n">
        <v>0</v>
      </c>
      <c r="L345" t="n">
        <v>0</v>
      </c>
      <c r="M345" t="n">
        <v>0</v>
      </c>
      <c r="N345" t="n">
        <v>0</v>
      </c>
      <c r="O345" t="n">
        <v>0</v>
      </c>
      <c r="P345" t="n">
        <v>0</v>
      </c>
      <c r="Q345" t="n">
        <v>0</v>
      </c>
      <c r="R345" s="2" t="inlineStr"/>
    </row>
    <row r="346" ht="15" customHeight="1">
      <c r="A346" t="inlineStr">
        <is>
          <t>A 41808-2021</t>
        </is>
      </c>
      <c r="B346" s="1" t="n">
        <v>44425</v>
      </c>
      <c r="C346" s="1" t="n">
        <v>46140</v>
      </c>
      <c r="D346" t="inlineStr">
        <is>
          <t>VÄRMLANDS LÄN</t>
        </is>
      </c>
      <c r="E346" t="inlineStr">
        <is>
          <t>TORSBY</t>
        </is>
      </c>
      <c r="G346" t="n">
        <v>2.7</v>
      </c>
      <c r="H346" t="n">
        <v>0</v>
      </c>
      <c r="I346" t="n">
        <v>0</v>
      </c>
      <c r="J346" t="n">
        <v>0</v>
      </c>
      <c r="K346" t="n">
        <v>0</v>
      </c>
      <c r="L346" t="n">
        <v>0</v>
      </c>
      <c r="M346" t="n">
        <v>0</v>
      </c>
      <c r="N346" t="n">
        <v>0</v>
      </c>
      <c r="O346" t="n">
        <v>0</v>
      </c>
      <c r="P346" t="n">
        <v>0</v>
      </c>
      <c r="Q346" t="n">
        <v>0</v>
      </c>
      <c r="R346" s="2" t="inlineStr"/>
    </row>
    <row r="347" ht="15" customHeight="1">
      <c r="A347" t="inlineStr">
        <is>
          <t>A 36589-2021</t>
        </is>
      </c>
      <c r="B347" s="1" t="n">
        <v>44391</v>
      </c>
      <c r="C347" s="1" t="n">
        <v>46140</v>
      </c>
      <c r="D347" t="inlineStr">
        <is>
          <t>VÄRMLANDS LÄN</t>
        </is>
      </c>
      <c r="E347" t="inlineStr">
        <is>
          <t>TORSBY</t>
        </is>
      </c>
      <c r="G347" t="n">
        <v>3.9</v>
      </c>
      <c r="H347" t="n">
        <v>0</v>
      </c>
      <c r="I347" t="n">
        <v>0</v>
      </c>
      <c r="J347" t="n">
        <v>0</v>
      </c>
      <c r="K347" t="n">
        <v>0</v>
      </c>
      <c r="L347" t="n">
        <v>0</v>
      </c>
      <c r="M347" t="n">
        <v>0</v>
      </c>
      <c r="N347" t="n">
        <v>0</v>
      </c>
      <c r="O347" t="n">
        <v>0</v>
      </c>
      <c r="P347" t="n">
        <v>0</v>
      </c>
      <c r="Q347" t="n">
        <v>0</v>
      </c>
      <c r="R347" s="2" t="inlineStr"/>
    </row>
    <row r="348" ht="15" customHeight="1">
      <c r="A348" t="inlineStr">
        <is>
          <t>A 39217-2022</t>
        </is>
      </c>
      <c r="B348" s="1" t="n">
        <v>44817.57174768519</v>
      </c>
      <c r="C348" s="1" t="n">
        <v>46140</v>
      </c>
      <c r="D348" t="inlineStr">
        <is>
          <t>VÄRMLANDS LÄN</t>
        </is>
      </c>
      <c r="E348" t="inlineStr">
        <is>
          <t>TORSBY</t>
        </is>
      </c>
      <c r="G348" t="n">
        <v>4.6</v>
      </c>
      <c r="H348" t="n">
        <v>0</v>
      </c>
      <c r="I348" t="n">
        <v>0</v>
      </c>
      <c r="J348" t="n">
        <v>0</v>
      </c>
      <c r="K348" t="n">
        <v>0</v>
      </c>
      <c r="L348" t="n">
        <v>0</v>
      </c>
      <c r="M348" t="n">
        <v>0</v>
      </c>
      <c r="N348" t="n">
        <v>0</v>
      </c>
      <c r="O348" t="n">
        <v>0</v>
      </c>
      <c r="P348" t="n">
        <v>0</v>
      </c>
      <c r="Q348" t="n">
        <v>0</v>
      </c>
      <c r="R348" s="2" t="inlineStr"/>
    </row>
    <row r="349" ht="15" customHeight="1">
      <c r="A349" t="inlineStr">
        <is>
          <t>A 39221-2022</t>
        </is>
      </c>
      <c r="B349" s="1" t="n">
        <v>44817.57484953704</v>
      </c>
      <c r="C349" s="1" t="n">
        <v>46140</v>
      </c>
      <c r="D349" t="inlineStr">
        <is>
          <t>VÄRMLANDS LÄN</t>
        </is>
      </c>
      <c r="E349" t="inlineStr">
        <is>
          <t>TORSBY</t>
        </is>
      </c>
      <c r="G349" t="n">
        <v>1.6</v>
      </c>
      <c r="H349" t="n">
        <v>0</v>
      </c>
      <c r="I349" t="n">
        <v>0</v>
      </c>
      <c r="J349" t="n">
        <v>0</v>
      </c>
      <c r="K349" t="n">
        <v>0</v>
      </c>
      <c r="L349" t="n">
        <v>0</v>
      </c>
      <c r="M349" t="n">
        <v>0</v>
      </c>
      <c r="N349" t="n">
        <v>0</v>
      </c>
      <c r="O349" t="n">
        <v>0</v>
      </c>
      <c r="P349" t="n">
        <v>0</v>
      </c>
      <c r="Q349" t="n">
        <v>0</v>
      </c>
      <c r="R349" s="2" t="inlineStr"/>
    </row>
    <row r="350" ht="15" customHeight="1">
      <c r="A350" t="inlineStr">
        <is>
          <t>A 67913-2021</t>
        </is>
      </c>
      <c r="B350" s="1" t="n">
        <v>44525.60017361111</v>
      </c>
      <c r="C350" s="1" t="n">
        <v>46140</v>
      </c>
      <c r="D350" t="inlineStr">
        <is>
          <t>VÄRMLANDS LÄN</t>
        </is>
      </c>
      <c r="E350" t="inlineStr">
        <is>
          <t>TORSBY</t>
        </is>
      </c>
      <c r="F350" t="inlineStr">
        <is>
          <t>Bergvik skog väst AB</t>
        </is>
      </c>
      <c r="G350" t="n">
        <v>8</v>
      </c>
      <c r="H350" t="n">
        <v>0</v>
      </c>
      <c r="I350" t="n">
        <v>0</v>
      </c>
      <c r="J350" t="n">
        <v>0</v>
      </c>
      <c r="K350" t="n">
        <v>0</v>
      </c>
      <c r="L350" t="n">
        <v>0</v>
      </c>
      <c r="M350" t="n">
        <v>0</v>
      </c>
      <c r="N350" t="n">
        <v>0</v>
      </c>
      <c r="O350" t="n">
        <v>0</v>
      </c>
      <c r="P350" t="n">
        <v>0</v>
      </c>
      <c r="Q350" t="n">
        <v>0</v>
      </c>
      <c r="R350" s="2" t="inlineStr"/>
    </row>
    <row r="351" ht="15" customHeight="1">
      <c r="A351" t="inlineStr">
        <is>
          <t>A 63251-2021</t>
        </is>
      </c>
      <c r="B351" s="1" t="n">
        <v>44508.37935185185</v>
      </c>
      <c r="C351" s="1" t="n">
        <v>46140</v>
      </c>
      <c r="D351" t="inlineStr">
        <is>
          <t>VÄRMLANDS LÄN</t>
        </is>
      </c>
      <c r="E351" t="inlineStr">
        <is>
          <t>TORSBY</t>
        </is>
      </c>
      <c r="G351" t="n">
        <v>0.7</v>
      </c>
      <c r="H351" t="n">
        <v>0</v>
      </c>
      <c r="I351" t="n">
        <v>0</v>
      </c>
      <c r="J351" t="n">
        <v>0</v>
      </c>
      <c r="K351" t="n">
        <v>0</v>
      </c>
      <c r="L351" t="n">
        <v>0</v>
      </c>
      <c r="M351" t="n">
        <v>0</v>
      </c>
      <c r="N351" t="n">
        <v>0</v>
      </c>
      <c r="O351" t="n">
        <v>0</v>
      </c>
      <c r="P351" t="n">
        <v>0</v>
      </c>
      <c r="Q351" t="n">
        <v>0</v>
      </c>
      <c r="R351" s="2" t="inlineStr"/>
    </row>
    <row r="352" ht="15" customHeight="1">
      <c r="A352" t="inlineStr">
        <is>
          <t>A 51490-2022</t>
        </is>
      </c>
      <c r="B352" s="1" t="n">
        <v>44869.59972222222</v>
      </c>
      <c r="C352" s="1" t="n">
        <v>46140</v>
      </c>
      <c r="D352" t="inlineStr">
        <is>
          <t>VÄRMLANDS LÄN</t>
        </is>
      </c>
      <c r="E352" t="inlineStr">
        <is>
          <t>TORSBY</t>
        </is>
      </c>
      <c r="F352" t="inlineStr">
        <is>
          <t>Bergvik skog väst AB</t>
        </is>
      </c>
      <c r="G352" t="n">
        <v>1.7</v>
      </c>
      <c r="H352" t="n">
        <v>0</v>
      </c>
      <c r="I352" t="n">
        <v>0</v>
      </c>
      <c r="J352" t="n">
        <v>0</v>
      </c>
      <c r="K352" t="n">
        <v>0</v>
      </c>
      <c r="L352" t="n">
        <v>0</v>
      </c>
      <c r="M352" t="n">
        <v>0</v>
      </c>
      <c r="N352" t="n">
        <v>0</v>
      </c>
      <c r="O352" t="n">
        <v>0</v>
      </c>
      <c r="P352" t="n">
        <v>0</v>
      </c>
      <c r="Q352" t="n">
        <v>0</v>
      </c>
      <c r="R352" s="2" t="inlineStr"/>
    </row>
    <row r="353" ht="15" customHeight="1">
      <c r="A353" t="inlineStr">
        <is>
          <t>A 39781-2022</t>
        </is>
      </c>
      <c r="B353" s="1" t="n">
        <v>44819</v>
      </c>
      <c r="C353" s="1" t="n">
        <v>46140</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9942-2025</t>
        </is>
      </c>
      <c r="B354" s="1" t="n">
        <v>45719</v>
      </c>
      <c r="C354" s="1" t="n">
        <v>46140</v>
      </c>
      <c r="D354" t="inlineStr">
        <is>
          <t>VÄRMLANDS LÄN</t>
        </is>
      </c>
      <c r="E354" t="inlineStr">
        <is>
          <t>TORSBY</t>
        </is>
      </c>
      <c r="G354" t="n">
        <v>2.6</v>
      </c>
      <c r="H354" t="n">
        <v>0</v>
      </c>
      <c r="I354" t="n">
        <v>0</v>
      </c>
      <c r="J354" t="n">
        <v>0</v>
      </c>
      <c r="K354" t="n">
        <v>0</v>
      </c>
      <c r="L354" t="n">
        <v>0</v>
      </c>
      <c r="M354" t="n">
        <v>0</v>
      </c>
      <c r="N354" t="n">
        <v>0</v>
      </c>
      <c r="O354" t="n">
        <v>0</v>
      </c>
      <c r="P354" t="n">
        <v>0</v>
      </c>
      <c r="Q354" t="n">
        <v>0</v>
      </c>
      <c r="R354" s="2" t="inlineStr"/>
    </row>
    <row r="355" ht="15" customHeight="1">
      <c r="A355" t="inlineStr">
        <is>
          <t>A 11143-2024</t>
        </is>
      </c>
      <c r="B355" s="1" t="n">
        <v>45371</v>
      </c>
      <c r="C355" s="1" t="n">
        <v>46140</v>
      </c>
      <c r="D355" t="inlineStr">
        <is>
          <t>VÄRMLANDS LÄN</t>
        </is>
      </c>
      <c r="E355" t="inlineStr">
        <is>
          <t>TORSBY</t>
        </is>
      </c>
      <c r="G355" t="n">
        <v>2</v>
      </c>
      <c r="H355" t="n">
        <v>0</v>
      </c>
      <c r="I355" t="n">
        <v>0</v>
      </c>
      <c r="J355" t="n">
        <v>0</v>
      </c>
      <c r="K355" t="n">
        <v>0</v>
      </c>
      <c r="L355" t="n">
        <v>0</v>
      </c>
      <c r="M355" t="n">
        <v>0</v>
      </c>
      <c r="N355" t="n">
        <v>0</v>
      </c>
      <c r="O355" t="n">
        <v>0</v>
      </c>
      <c r="P355" t="n">
        <v>0</v>
      </c>
      <c r="Q355" t="n">
        <v>0</v>
      </c>
      <c r="R355" s="2" t="inlineStr"/>
    </row>
    <row r="356" ht="15" customHeight="1">
      <c r="A356" t="inlineStr">
        <is>
          <t>A 8428-2025</t>
        </is>
      </c>
      <c r="B356" s="1" t="n">
        <v>45709.41995370371</v>
      </c>
      <c r="C356" s="1" t="n">
        <v>46140</v>
      </c>
      <c r="D356" t="inlineStr">
        <is>
          <t>VÄRMLANDS LÄN</t>
        </is>
      </c>
      <c r="E356" t="inlineStr">
        <is>
          <t>TORSBY</t>
        </is>
      </c>
      <c r="G356" t="n">
        <v>1.1</v>
      </c>
      <c r="H356" t="n">
        <v>0</v>
      </c>
      <c r="I356" t="n">
        <v>0</v>
      </c>
      <c r="J356" t="n">
        <v>0</v>
      </c>
      <c r="K356" t="n">
        <v>0</v>
      </c>
      <c r="L356" t="n">
        <v>0</v>
      </c>
      <c r="M356" t="n">
        <v>0</v>
      </c>
      <c r="N356" t="n">
        <v>0</v>
      </c>
      <c r="O356" t="n">
        <v>0</v>
      </c>
      <c r="P356" t="n">
        <v>0</v>
      </c>
      <c r="Q356" t="n">
        <v>0</v>
      </c>
      <c r="R356" s="2" t="inlineStr"/>
    </row>
    <row r="357" ht="15" customHeight="1">
      <c r="A357" t="inlineStr">
        <is>
          <t>A 34434-2022</t>
        </is>
      </c>
      <c r="B357" s="1" t="n">
        <v>44792</v>
      </c>
      <c r="C357" s="1" t="n">
        <v>46140</v>
      </c>
      <c r="D357" t="inlineStr">
        <is>
          <t>VÄRMLANDS LÄN</t>
        </is>
      </c>
      <c r="E357" t="inlineStr">
        <is>
          <t>TORSBY</t>
        </is>
      </c>
      <c r="G357" t="n">
        <v>4.6</v>
      </c>
      <c r="H357" t="n">
        <v>0</v>
      </c>
      <c r="I357" t="n">
        <v>0</v>
      </c>
      <c r="J357" t="n">
        <v>0</v>
      </c>
      <c r="K357" t="n">
        <v>0</v>
      </c>
      <c r="L357" t="n">
        <v>0</v>
      </c>
      <c r="M357" t="n">
        <v>0</v>
      </c>
      <c r="N357" t="n">
        <v>0</v>
      </c>
      <c r="O357" t="n">
        <v>0</v>
      </c>
      <c r="P357" t="n">
        <v>0</v>
      </c>
      <c r="Q357" t="n">
        <v>0</v>
      </c>
      <c r="R357" s="2" t="inlineStr"/>
    </row>
    <row r="358" ht="15" customHeight="1">
      <c r="A358" t="inlineStr">
        <is>
          <t>A 27292-2024</t>
        </is>
      </c>
      <c r="B358" s="1" t="n">
        <v>45471.93378472222</v>
      </c>
      <c r="C358" s="1" t="n">
        <v>46140</v>
      </c>
      <c r="D358" t="inlineStr">
        <is>
          <t>VÄRMLANDS LÄN</t>
        </is>
      </c>
      <c r="E358" t="inlineStr">
        <is>
          <t>TORSBY</t>
        </is>
      </c>
      <c r="G358" t="n">
        <v>1</v>
      </c>
      <c r="H358" t="n">
        <v>0</v>
      </c>
      <c r="I358" t="n">
        <v>0</v>
      </c>
      <c r="J358" t="n">
        <v>0</v>
      </c>
      <c r="K358" t="n">
        <v>0</v>
      </c>
      <c r="L358" t="n">
        <v>0</v>
      </c>
      <c r="M358" t="n">
        <v>0</v>
      </c>
      <c r="N358" t="n">
        <v>0</v>
      </c>
      <c r="O358" t="n">
        <v>0</v>
      </c>
      <c r="P358" t="n">
        <v>0</v>
      </c>
      <c r="Q358" t="n">
        <v>0</v>
      </c>
      <c r="R358" s="2" t="inlineStr"/>
    </row>
    <row r="359" ht="15" customHeight="1">
      <c r="A359" t="inlineStr">
        <is>
          <t>A 7221-2024</t>
        </is>
      </c>
      <c r="B359" s="1" t="n">
        <v>45344.63927083334</v>
      </c>
      <c r="C359" s="1" t="n">
        <v>46140</v>
      </c>
      <c r="D359" t="inlineStr">
        <is>
          <t>VÄRMLANDS LÄN</t>
        </is>
      </c>
      <c r="E359" t="inlineStr">
        <is>
          <t>TORSBY</t>
        </is>
      </c>
      <c r="G359" t="n">
        <v>8.1</v>
      </c>
      <c r="H359" t="n">
        <v>0</v>
      </c>
      <c r="I359" t="n">
        <v>0</v>
      </c>
      <c r="J359" t="n">
        <v>0</v>
      </c>
      <c r="K359" t="n">
        <v>0</v>
      </c>
      <c r="L359" t="n">
        <v>0</v>
      </c>
      <c r="M359" t="n">
        <v>0</v>
      </c>
      <c r="N359" t="n">
        <v>0</v>
      </c>
      <c r="O359" t="n">
        <v>0</v>
      </c>
      <c r="P359" t="n">
        <v>0</v>
      </c>
      <c r="Q359" t="n">
        <v>0</v>
      </c>
      <c r="R359" s="2" t="inlineStr"/>
    </row>
    <row r="360" ht="15" customHeight="1">
      <c r="A360" t="inlineStr">
        <is>
          <t>A 3269-2025</t>
        </is>
      </c>
      <c r="B360" s="1" t="n">
        <v>45679.58148148148</v>
      </c>
      <c r="C360" s="1" t="n">
        <v>46140</v>
      </c>
      <c r="D360" t="inlineStr">
        <is>
          <t>VÄRMLANDS LÄN</t>
        </is>
      </c>
      <c r="E360" t="inlineStr">
        <is>
          <t>TORSBY</t>
        </is>
      </c>
      <c r="G360" t="n">
        <v>6.9</v>
      </c>
      <c r="H360" t="n">
        <v>0</v>
      </c>
      <c r="I360" t="n">
        <v>0</v>
      </c>
      <c r="J360" t="n">
        <v>0</v>
      </c>
      <c r="K360" t="n">
        <v>0</v>
      </c>
      <c r="L360" t="n">
        <v>0</v>
      </c>
      <c r="M360" t="n">
        <v>0</v>
      </c>
      <c r="N360" t="n">
        <v>0</v>
      </c>
      <c r="O360" t="n">
        <v>0</v>
      </c>
      <c r="P360" t="n">
        <v>0</v>
      </c>
      <c r="Q360" t="n">
        <v>0</v>
      </c>
      <c r="R360" s="2" t="inlineStr"/>
    </row>
    <row r="361" ht="15" customHeight="1">
      <c r="A361" t="inlineStr">
        <is>
          <t>A 44710-2023</t>
        </is>
      </c>
      <c r="B361" s="1" t="n">
        <v>45190</v>
      </c>
      <c r="C361" s="1" t="n">
        <v>46140</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43536-2023</t>
        </is>
      </c>
      <c r="B362" s="1" t="n">
        <v>45181</v>
      </c>
      <c r="C362" s="1" t="n">
        <v>46140</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63158-2023</t>
        </is>
      </c>
      <c r="B363" s="1" t="n">
        <v>45273.51715277778</v>
      </c>
      <c r="C363" s="1" t="n">
        <v>46140</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41065-2022</t>
        </is>
      </c>
      <c r="B364" s="1" t="n">
        <v>44825.59258101852</v>
      </c>
      <c r="C364" s="1" t="n">
        <v>46140</v>
      </c>
      <c r="D364" t="inlineStr">
        <is>
          <t>VÄRMLANDS LÄN</t>
        </is>
      </c>
      <c r="E364" t="inlineStr">
        <is>
          <t>TORSBY</t>
        </is>
      </c>
      <c r="F364" t="inlineStr">
        <is>
          <t>Kommuner</t>
        </is>
      </c>
      <c r="G364" t="n">
        <v>1.8</v>
      </c>
      <c r="H364" t="n">
        <v>0</v>
      </c>
      <c r="I364" t="n">
        <v>0</v>
      </c>
      <c r="J364" t="n">
        <v>0</v>
      </c>
      <c r="K364" t="n">
        <v>0</v>
      </c>
      <c r="L364" t="n">
        <v>0</v>
      </c>
      <c r="M364" t="n">
        <v>0</v>
      </c>
      <c r="N364" t="n">
        <v>0</v>
      </c>
      <c r="O364" t="n">
        <v>0</v>
      </c>
      <c r="P364" t="n">
        <v>0</v>
      </c>
      <c r="Q364" t="n">
        <v>0</v>
      </c>
      <c r="R364" s="2" t="inlineStr"/>
    </row>
    <row r="365" ht="15" customHeight="1">
      <c r="A365" t="inlineStr">
        <is>
          <t>A 62507-2023</t>
        </is>
      </c>
      <c r="B365" s="1" t="n">
        <v>45267</v>
      </c>
      <c r="C365" s="1" t="n">
        <v>46140</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54204-2023</t>
        </is>
      </c>
      <c r="B366" s="1" t="n">
        <v>45232.56141203704</v>
      </c>
      <c r="C366" s="1" t="n">
        <v>46140</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73165-2021</t>
        </is>
      </c>
      <c r="B367" s="1" t="n">
        <v>44550</v>
      </c>
      <c r="C367" s="1" t="n">
        <v>46140</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46195-2023</t>
        </is>
      </c>
      <c r="B368" s="1" t="n">
        <v>45196</v>
      </c>
      <c r="C368" s="1" t="n">
        <v>46140</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25579-2023</t>
        </is>
      </c>
      <c r="B369" s="1" t="n">
        <v>45089.62266203704</v>
      </c>
      <c r="C369" s="1" t="n">
        <v>46140</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39770-2024</t>
        </is>
      </c>
      <c r="B370" s="1" t="n">
        <v>45552</v>
      </c>
      <c r="C370" s="1" t="n">
        <v>46140</v>
      </c>
      <c r="D370" t="inlineStr">
        <is>
          <t>VÄRMLANDS LÄN</t>
        </is>
      </c>
      <c r="E370" t="inlineStr">
        <is>
          <t>TORSBY</t>
        </is>
      </c>
      <c r="G370" t="n">
        <v>1.5</v>
      </c>
      <c r="H370" t="n">
        <v>0</v>
      </c>
      <c r="I370" t="n">
        <v>0</v>
      </c>
      <c r="J370" t="n">
        <v>0</v>
      </c>
      <c r="K370" t="n">
        <v>0</v>
      </c>
      <c r="L370" t="n">
        <v>0</v>
      </c>
      <c r="M370" t="n">
        <v>0</v>
      </c>
      <c r="N370" t="n">
        <v>0</v>
      </c>
      <c r="O370" t="n">
        <v>0</v>
      </c>
      <c r="P370" t="n">
        <v>0</v>
      </c>
      <c r="Q370" t="n">
        <v>0</v>
      </c>
      <c r="R370" s="2" t="inlineStr"/>
    </row>
    <row r="371" ht="15" customHeight="1">
      <c r="A371" t="inlineStr">
        <is>
          <t>A 20298-2023</t>
        </is>
      </c>
      <c r="B371" s="1" t="n">
        <v>45056</v>
      </c>
      <c r="C371" s="1" t="n">
        <v>46140</v>
      </c>
      <c r="D371" t="inlineStr">
        <is>
          <t>VÄRMLANDS LÄN</t>
        </is>
      </c>
      <c r="E371" t="inlineStr">
        <is>
          <t>TORSBY</t>
        </is>
      </c>
      <c r="F371" t="inlineStr">
        <is>
          <t>Kyrkan</t>
        </is>
      </c>
      <c r="G371" t="n">
        <v>2</v>
      </c>
      <c r="H371" t="n">
        <v>0</v>
      </c>
      <c r="I371" t="n">
        <v>0</v>
      </c>
      <c r="J371" t="n">
        <v>0</v>
      </c>
      <c r="K371" t="n">
        <v>0</v>
      </c>
      <c r="L371" t="n">
        <v>0</v>
      </c>
      <c r="M371" t="n">
        <v>0</v>
      </c>
      <c r="N371" t="n">
        <v>0</v>
      </c>
      <c r="O371" t="n">
        <v>0</v>
      </c>
      <c r="P371" t="n">
        <v>0</v>
      </c>
      <c r="Q371" t="n">
        <v>0</v>
      </c>
      <c r="R371" s="2" t="inlineStr"/>
    </row>
    <row r="372" ht="15" customHeight="1">
      <c r="A372" t="inlineStr">
        <is>
          <t>A 48106-2023</t>
        </is>
      </c>
      <c r="B372" s="1" t="n">
        <v>45205.3434837963</v>
      </c>
      <c r="C372" s="1" t="n">
        <v>46140</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22030-2023</t>
        </is>
      </c>
      <c r="B373" s="1" t="n">
        <v>45069</v>
      </c>
      <c r="C373" s="1" t="n">
        <v>46140</v>
      </c>
      <c r="D373" t="inlineStr">
        <is>
          <t>VÄRMLANDS LÄN</t>
        </is>
      </c>
      <c r="E373" t="inlineStr">
        <is>
          <t>TORSBY</t>
        </is>
      </c>
      <c r="F373" t="inlineStr">
        <is>
          <t>Bergvik skog väst AB</t>
        </is>
      </c>
      <c r="G373" t="n">
        <v>3.5</v>
      </c>
      <c r="H373" t="n">
        <v>0</v>
      </c>
      <c r="I373" t="n">
        <v>0</v>
      </c>
      <c r="J373" t="n">
        <v>0</v>
      </c>
      <c r="K373" t="n">
        <v>0</v>
      </c>
      <c r="L373" t="n">
        <v>0</v>
      </c>
      <c r="M373" t="n">
        <v>0</v>
      </c>
      <c r="N373" t="n">
        <v>0</v>
      </c>
      <c r="O373" t="n">
        <v>0</v>
      </c>
      <c r="P373" t="n">
        <v>0</v>
      </c>
      <c r="Q373" t="n">
        <v>0</v>
      </c>
      <c r="R373" s="2" t="inlineStr"/>
    </row>
    <row r="374" ht="15" customHeight="1">
      <c r="A374" t="inlineStr">
        <is>
          <t>A 11187-2024</t>
        </is>
      </c>
      <c r="B374" s="1" t="n">
        <v>45371</v>
      </c>
      <c r="C374" s="1" t="n">
        <v>46140</v>
      </c>
      <c r="D374" t="inlineStr">
        <is>
          <t>VÄRMLANDS LÄN</t>
        </is>
      </c>
      <c r="E374" t="inlineStr">
        <is>
          <t>TORSBY</t>
        </is>
      </c>
      <c r="G374" t="n">
        <v>8</v>
      </c>
      <c r="H374" t="n">
        <v>0</v>
      </c>
      <c r="I374" t="n">
        <v>0</v>
      </c>
      <c r="J374" t="n">
        <v>0</v>
      </c>
      <c r="K374" t="n">
        <v>0</v>
      </c>
      <c r="L374" t="n">
        <v>0</v>
      </c>
      <c r="M374" t="n">
        <v>0</v>
      </c>
      <c r="N374" t="n">
        <v>0</v>
      </c>
      <c r="O374" t="n">
        <v>0</v>
      </c>
      <c r="P374" t="n">
        <v>0</v>
      </c>
      <c r="Q374" t="n">
        <v>0</v>
      </c>
      <c r="R374" s="2" t="inlineStr"/>
    </row>
    <row r="375" ht="15" customHeight="1">
      <c r="A375" t="inlineStr">
        <is>
          <t>A 54162-2023</t>
        </is>
      </c>
      <c r="B375" s="1" t="n">
        <v>45232.47539351852</v>
      </c>
      <c r="C375" s="1" t="n">
        <v>46140</v>
      </c>
      <c r="D375" t="inlineStr">
        <is>
          <t>VÄRMLANDS LÄN</t>
        </is>
      </c>
      <c r="E375" t="inlineStr">
        <is>
          <t>TORSBY</t>
        </is>
      </c>
      <c r="F375" t="inlineStr">
        <is>
          <t>Bergvik skog väst AB</t>
        </is>
      </c>
      <c r="G375" t="n">
        <v>8.4</v>
      </c>
      <c r="H375" t="n">
        <v>0</v>
      </c>
      <c r="I375" t="n">
        <v>0</v>
      </c>
      <c r="J375" t="n">
        <v>0</v>
      </c>
      <c r="K375" t="n">
        <v>0</v>
      </c>
      <c r="L375" t="n">
        <v>0</v>
      </c>
      <c r="M375" t="n">
        <v>0</v>
      </c>
      <c r="N375" t="n">
        <v>0</v>
      </c>
      <c r="O375" t="n">
        <v>0</v>
      </c>
      <c r="P375" t="n">
        <v>0</v>
      </c>
      <c r="Q375" t="n">
        <v>0</v>
      </c>
      <c r="R375" s="2" t="inlineStr"/>
    </row>
    <row r="376" ht="15" customHeight="1">
      <c r="A376" t="inlineStr">
        <is>
          <t>A 54191-2023</t>
        </is>
      </c>
      <c r="B376" s="1" t="n">
        <v>45232</v>
      </c>
      <c r="C376" s="1" t="n">
        <v>46140</v>
      </c>
      <c r="D376" t="inlineStr">
        <is>
          <t>VÄRMLANDS LÄN</t>
        </is>
      </c>
      <c r="E376" t="inlineStr">
        <is>
          <t>TORSBY</t>
        </is>
      </c>
      <c r="F376" t="inlineStr">
        <is>
          <t>Bergvik skog väst AB</t>
        </is>
      </c>
      <c r="G376" t="n">
        <v>3.1</v>
      </c>
      <c r="H376" t="n">
        <v>0</v>
      </c>
      <c r="I376" t="n">
        <v>0</v>
      </c>
      <c r="J376" t="n">
        <v>0</v>
      </c>
      <c r="K376" t="n">
        <v>0</v>
      </c>
      <c r="L376" t="n">
        <v>0</v>
      </c>
      <c r="M376" t="n">
        <v>0</v>
      </c>
      <c r="N376" t="n">
        <v>0</v>
      </c>
      <c r="O376" t="n">
        <v>0</v>
      </c>
      <c r="P376" t="n">
        <v>0</v>
      </c>
      <c r="Q376" t="n">
        <v>0</v>
      </c>
      <c r="R376" s="2" t="inlineStr"/>
    </row>
    <row r="377" ht="15" customHeight="1">
      <c r="A377" t="inlineStr">
        <is>
          <t>A 16789-2024</t>
        </is>
      </c>
      <c r="B377" s="1" t="n">
        <v>45411</v>
      </c>
      <c r="C377" s="1" t="n">
        <v>46140</v>
      </c>
      <c r="D377" t="inlineStr">
        <is>
          <t>VÄRMLANDS LÄN</t>
        </is>
      </c>
      <c r="E377" t="inlineStr">
        <is>
          <t>TORSBY</t>
        </is>
      </c>
      <c r="G377" t="n">
        <v>2.4</v>
      </c>
      <c r="H377" t="n">
        <v>0</v>
      </c>
      <c r="I377" t="n">
        <v>0</v>
      </c>
      <c r="J377" t="n">
        <v>0</v>
      </c>
      <c r="K377" t="n">
        <v>0</v>
      </c>
      <c r="L377" t="n">
        <v>0</v>
      </c>
      <c r="M377" t="n">
        <v>0</v>
      </c>
      <c r="N377" t="n">
        <v>0</v>
      </c>
      <c r="O377" t="n">
        <v>0</v>
      </c>
      <c r="P377" t="n">
        <v>0</v>
      </c>
      <c r="Q377" t="n">
        <v>0</v>
      </c>
      <c r="R377" s="2" t="inlineStr"/>
    </row>
    <row r="378" ht="15" customHeight="1">
      <c r="A378" t="inlineStr">
        <is>
          <t>A 37929-2022</t>
        </is>
      </c>
      <c r="B378" s="1" t="n">
        <v>44811.45628472222</v>
      </c>
      <c r="C378" s="1" t="n">
        <v>46140</v>
      </c>
      <c r="D378" t="inlineStr">
        <is>
          <t>VÄRMLANDS LÄN</t>
        </is>
      </c>
      <c r="E378" t="inlineStr">
        <is>
          <t>TORSBY</t>
        </is>
      </c>
      <c r="G378" t="n">
        <v>2.6</v>
      </c>
      <c r="H378" t="n">
        <v>0</v>
      </c>
      <c r="I378" t="n">
        <v>0</v>
      </c>
      <c r="J378" t="n">
        <v>0</v>
      </c>
      <c r="K378" t="n">
        <v>0</v>
      </c>
      <c r="L378" t="n">
        <v>0</v>
      </c>
      <c r="M378" t="n">
        <v>0</v>
      </c>
      <c r="N378" t="n">
        <v>0</v>
      </c>
      <c r="O378" t="n">
        <v>0</v>
      </c>
      <c r="P378" t="n">
        <v>0</v>
      </c>
      <c r="Q378" t="n">
        <v>0</v>
      </c>
      <c r="R378" s="2" t="inlineStr"/>
    </row>
    <row r="379" ht="15" customHeight="1">
      <c r="A379" t="inlineStr">
        <is>
          <t>A 7214-2025</t>
        </is>
      </c>
      <c r="B379" s="1" t="n">
        <v>45702</v>
      </c>
      <c r="C379" s="1" t="n">
        <v>46140</v>
      </c>
      <c r="D379" t="inlineStr">
        <is>
          <t>VÄRMLANDS LÄN</t>
        </is>
      </c>
      <c r="E379" t="inlineStr">
        <is>
          <t>TORSBY</t>
        </is>
      </c>
      <c r="G379" t="n">
        <v>1.1</v>
      </c>
      <c r="H379" t="n">
        <v>0</v>
      </c>
      <c r="I379" t="n">
        <v>0</v>
      </c>
      <c r="J379" t="n">
        <v>0</v>
      </c>
      <c r="K379" t="n">
        <v>0</v>
      </c>
      <c r="L379" t="n">
        <v>0</v>
      </c>
      <c r="M379" t="n">
        <v>0</v>
      </c>
      <c r="N379" t="n">
        <v>0</v>
      </c>
      <c r="O379" t="n">
        <v>0</v>
      </c>
      <c r="P379" t="n">
        <v>0</v>
      </c>
      <c r="Q379" t="n">
        <v>0</v>
      </c>
      <c r="R379" s="2" t="inlineStr"/>
    </row>
    <row r="380" ht="15" customHeight="1">
      <c r="A380" t="inlineStr">
        <is>
          <t>A 49814-2022</t>
        </is>
      </c>
      <c r="B380" s="1" t="n">
        <v>44859</v>
      </c>
      <c r="C380" s="1" t="n">
        <v>46140</v>
      </c>
      <c r="D380" t="inlineStr">
        <is>
          <t>VÄRMLANDS LÄN</t>
        </is>
      </c>
      <c r="E380" t="inlineStr">
        <is>
          <t>TORSBY</t>
        </is>
      </c>
      <c r="F380" t="inlineStr">
        <is>
          <t>Kyrkan</t>
        </is>
      </c>
      <c r="G380" t="n">
        <v>2.4</v>
      </c>
      <c r="H380" t="n">
        <v>0</v>
      </c>
      <c r="I380" t="n">
        <v>0</v>
      </c>
      <c r="J380" t="n">
        <v>0</v>
      </c>
      <c r="K380" t="n">
        <v>0</v>
      </c>
      <c r="L380" t="n">
        <v>0</v>
      </c>
      <c r="M380" t="n">
        <v>0</v>
      </c>
      <c r="N380" t="n">
        <v>0</v>
      </c>
      <c r="O380" t="n">
        <v>0</v>
      </c>
      <c r="P380" t="n">
        <v>0</v>
      </c>
      <c r="Q380" t="n">
        <v>0</v>
      </c>
      <c r="R380" s="2" t="inlineStr"/>
    </row>
    <row r="381" ht="15" customHeight="1">
      <c r="A381" t="inlineStr">
        <is>
          <t>A 17931-2024</t>
        </is>
      </c>
      <c r="B381" s="1" t="n">
        <v>45419</v>
      </c>
      <c r="C381" s="1" t="n">
        <v>46140</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18339-2024</t>
        </is>
      </c>
      <c r="B382" s="1" t="n">
        <v>45422.58119212963</v>
      </c>
      <c r="C382" s="1" t="n">
        <v>46140</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27446-2021</t>
        </is>
      </c>
      <c r="B383" s="1" t="n">
        <v>44351</v>
      </c>
      <c r="C383" s="1" t="n">
        <v>46140</v>
      </c>
      <c r="D383" t="inlineStr">
        <is>
          <t>VÄRMLANDS LÄN</t>
        </is>
      </c>
      <c r="E383" t="inlineStr">
        <is>
          <t>TORSBY</t>
        </is>
      </c>
      <c r="G383" t="n">
        <v>7.6</v>
      </c>
      <c r="H383" t="n">
        <v>0</v>
      </c>
      <c r="I383" t="n">
        <v>0</v>
      </c>
      <c r="J383" t="n">
        <v>0</v>
      </c>
      <c r="K383" t="n">
        <v>0</v>
      </c>
      <c r="L383" t="n">
        <v>0</v>
      </c>
      <c r="M383" t="n">
        <v>0</v>
      </c>
      <c r="N383" t="n">
        <v>0</v>
      </c>
      <c r="O383" t="n">
        <v>0</v>
      </c>
      <c r="P383" t="n">
        <v>0</v>
      </c>
      <c r="Q383" t="n">
        <v>0</v>
      </c>
      <c r="R383" s="2" t="inlineStr"/>
    </row>
    <row r="384" ht="15" customHeight="1">
      <c r="A384" t="inlineStr">
        <is>
          <t>A 62250-2023</t>
        </is>
      </c>
      <c r="B384" s="1" t="n">
        <v>45266</v>
      </c>
      <c r="C384" s="1" t="n">
        <v>46140</v>
      </c>
      <c r="D384" t="inlineStr">
        <is>
          <t>VÄRMLANDS LÄN</t>
        </is>
      </c>
      <c r="E384" t="inlineStr">
        <is>
          <t>TORSBY</t>
        </is>
      </c>
      <c r="G384" t="n">
        <v>4.7</v>
      </c>
      <c r="H384" t="n">
        <v>0</v>
      </c>
      <c r="I384" t="n">
        <v>0</v>
      </c>
      <c r="J384" t="n">
        <v>0</v>
      </c>
      <c r="K384" t="n">
        <v>0</v>
      </c>
      <c r="L384" t="n">
        <v>0</v>
      </c>
      <c r="M384" t="n">
        <v>0</v>
      </c>
      <c r="N384" t="n">
        <v>0</v>
      </c>
      <c r="O384" t="n">
        <v>0</v>
      </c>
      <c r="P384" t="n">
        <v>0</v>
      </c>
      <c r="Q384" t="n">
        <v>0</v>
      </c>
      <c r="R384" s="2" t="inlineStr"/>
    </row>
    <row r="385" ht="15" customHeight="1">
      <c r="A385" t="inlineStr">
        <is>
          <t>A 38497-2024</t>
        </is>
      </c>
      <c r="B385" s="1" t="n">
        <v>45546.51869212963</v>
      </c>
      <c r="C385" s="1" t="n">
        <v>46140</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51505-2021</t>
        </is>
      </c>
      <c r="B386" s="1" t="n">
        <v>44460</v>
      </c>
      <c r="C386" s="1" t="n">
        <v>46140</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53492-2022</t>
        </is>
      </c>
      <c r="B387" s="1" t="n">
        <v>44879.56734953704</v>
      </c>
      <c r="C387" s="1" t="n">
        <v>46140</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27458-2023</t>
        </is>
      </c>
      <c r="B388" s="1" t="n">
        <v>45097</v>
      </c>
      <c r="C388" s="1" t="n">
        <v>46140</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9902-2024</t>
        </is>
      </c>
      <c r="B389" s="1" t="n">
        <v>45363</v>
      </c>
      <c r="C389" s="1" t="n">
        <v>46140</v>
      </c>
      <c r="D389" t="inlineStr">
        <is>
          <t>VÄRMLANDS LÄN</t>
        </is>
      </c>
      <c r="E389" t="inlineStr">
        <is>
          <t>TORSBY</t>
        </is>
      </c>
      <c r="G389" t="n">
        <v>4.4</v>
      </c>
      <c r="H389" t="n">
        <v>0</v>
      </c>
      <c r="I389" t="n">
        <v>0</v>
      </c>
      <c r="J389" t="n">
        <v>0</v>
      </c>
      <c r="K389" t="n">
        <v>0</v>
      </c>
      <c r="L389" t="n">
        <v>0</v>
      </c>
      <c r="M389" t="n">
        <v>0</v>
      </c>
      <c r="N389" t="n">
        <v>0</v>
      </c>
      <c r="O389" t="n">
        <v>0</v>
      </c>
      <c r="P389" t="n">
        <v>0</v>
      </c>
      <c r="Q389" t="n">
        <v>0</v>
      </c>
      <c r="R389" s="2" t="inlineStr"/>
    </row>
    <row r="390" ht="15" customHeight="1">
      <c r="A390" t="inlineStr">
        <is>
          <t>A 15101-2024</t>
        </is>
      </c>
      <c r="B390" s="1" t="n">
        <v>45399.66148148148</v>
      </c>
      <c r="C390" s="1" t="n">
        <v>46140</v>
      </c>
      <c r="D390" t="inlineStr">
        <is>
          <t>VÄRMLANDS LÄN</t>
        </is>
      </c>
      <c r="E390" t="inlineStr">
        <is>
          <t>TORSBY</t>
        </is>
      </c>
      <c r="G390" t="n">
        <v>1.9</v>
      </c>
      <c r="H390" t="n">
        <v>0</v>
      </c>
      <c r="I390" t="n">
        <v>0</v>
      </c>
      <c r="J390" t="n">
        <v>0</v>
      </c>
      <c r="K390" t="n">
        <v>0</v>
      </c>
      <c r="L390" t="n">
        <v>0</v>
      </c>
      <c r="M390" t="n">
        <v>0</v>
      </c>
      <c r="N390" t="n">
        <v>0</v>
      </c>
      <c r="O390" t="n">
        <v>0</v>
      </c>
      <c r="P390" t="n">
        <v>0</v>
      </c>
      <c r="Q390" t="n">
        <v>0</v>
      </c>
      <c r="R390" s="2" t="inlineStr"/>
    </row>
    <row r="391" ht="15" customHeight="1">
      <c r="A391" t="inlineStr">
        <is>
          <t>A 16192-2025</t>
        </is>
      </c>
      <c r="B391" s="1" t="n">
        <v>45750.59760416667</v>
      </c>
      <c r="C391" s="1" t="n">
        <v>46140</v>
      </c>
      <c r="D391" t="inlineStr">
        <is>
          <t>VÄRMLANDS LÄN</t>
        </is>
      </c>
      <c r="E391" t="inlineStr">
        <is>
          <t>TORSBY</t>
        </is>
      </c>
      <c r="G391" t="n">
        <v>1.8</v>
      </c>
      <c r="H391" t="n">
        <v>0</v>
      </c>
      <c r="I391" t="n">
        <v>0</v>
      </c>
      <c r="J391" t="n">
        <v>0</v>
      </c>
      <c r="K391" t="n">
        <v>0</v>
      </c>
      <c r="L391" t="n">
        <v>0</v>
      </c>
      <c r="M391" t="n">
        <v>0</v>
      </c>
      <c r="N391" t="n">
        <v>0</v>
      </c>
      <c r="O391" t="n">
        <v>0</v>
      </c>
      <c r="P391" t="n">
        <v>0</v>
      </c>
      <c r="Q391" t="n">
        <v>0</v>
      </c>
      <c r="R391" s="2" t="inlineStr"/>
    </row>
    <row r="392" ht="15" customHeight="1">
      <c r="A392" t="inlineStr">
        <is>
          <t>A 24170-2023</t>
        </is>
      </c>
      <c r="B392" s="1" t="n">
        <v>45079</v>
      </c>
      <c r="C392" s="1" t="n">
        <v>46140</v>
      </c>
      <c r="D392" t="inlineStr">
        <is>
          <t>VÄRMLANDS LÄN</t>
        </is>
      </c>
      <c r="E392" t="inlineStr">
        <is>
          <t>TORSBY</t>
        </is>
      </c>
      <c r="F392" t="inlineStr">
        <is>
          <t>Bergvik skog väst AB</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50608-2023</t>
        </is>
      </c>
      <c r="B393" s="1" t="n">
        <v>45217</v>
      </c>
      <c r="C393" s="1" t="n">
        <v>46140</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18330-2024</t>
        </is>
      </c>
      <c r="B394" s="1" t="n">
        <v>45422</v>
      </c>
      <c r="C394" s="1" t="n">
        <v>46140</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12701-2024</t>
        </is>
      </c>
      <c r="B395" s="1" t="n">
        <v>45384</v>
      </c>
      <c r="C395" s="1" t="n">
        <v>46140</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32340-2024</t>
        </is>
      </c>
      <c r="B396" s="1" t="n">
        <v>45512.50826388889</v>
      </c>
      <c r="C396" s="1" t="n">
        <v>46140</v>
      </c>
      <c r="D396" t="inlineStr">
        <is>
          <t>VÄRMLANDS LÄN</t>
        </is>
      </c>
      <c r="E396" t="inlineStr">
        <is>
          <t>TORSBY</t>
        </is>
      </c>
      <c r="G396" t="n">
        <v>9.9</v>
      </c>
      <c r="H396" t="n">
        <v>0</v>
      </c>
      <c r="I396" t="n">
        <v>0</v>
      </c>
      <c r="J396" t="n">
        <v>0</v>
      </c>
      <c r="K396" t="n">
        <v>0</v>
      </c>
      <c r="L396" t="n">
        <v>0</v>
      </c>
      <c r="M396" t="n">
        <v>0</v>
      </c>
      <c r="N396" t="n">
        <v>0</v>
      </c>
      <c r="O396" t="n">
        <v>0</v>
      </c>
      <c r="P396" t="n">
        <v>0</v>
      </c>
      <c r="Q396" t="n">
        <v>0</v>
      </c>
      <c r="R396" s="2" t="inlineStr"/>
    </row>
    <row r="397" ht="15" customHeight="1">
      <c r="A397" t="inlineStr">
        <is>
          <t>A 56902-2023</t>
        </is>
      </c>
      <c r="B397" s="1" t="n">
        <v>45244</v>
      </c>
      <c r="C397" s="1" t="n">
        <v>46140</v>
      </c>
      <c r="D397" t="inlineStr">
        <is>
          <t>VÄRMLANDS LÄN</t>
        </is>
      </c>
      <c r="E397" t="inlineStr">
        <is>
          <t>TORSBY</t>
        </is>
      </c>
      <c r="G397" t="n">
        <v>17.4</v>
      </c>
      <c r="H397" t="n">
        <v>0</v>
      </c>
      <c r="I397" t="n">
        <v>0</v>
      </c>
      <c r="J397" t="n">
        <v>0</v>
      </c>
      <c r="K397" t="n">
        <v>0</v>
      </c>
      <c r="L397" t="n">
        <v>0</v>
      </c>
      <c r="M397" t="n">
        <v>0</v>
      </c>
      <c r="N397" t="n">
        <v>0</v>
      </c>
      <c r="O397" t="n">
        <v>0</v>
      </c>
      <c r="P397" t="n">
        <v>0</v>
      </c>
      <c r="Q397" t="n">
        <v>0</v>
      </c>
      <c r="R397" s="2" t="inlineStr"/>
    </row>
    <row r="398" ht="15" customHeight="1">
      <c r="A398" t="inlineStr">
        <is>
          <t>A 16003-2025</t>
        </is>
      </c>
      <c r="B398" s="1" t="n">
        <v>45749</v>
      </c>
      <c r="C398" s="1" t="n">
        <v>46140</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26223-2021</t>
        </is>
      </c>
      <c r="B399" s="1" t="n">
        <v>44347</v>
      </c>
      <c r="C399" s="1" t="n">
        <v>46140</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27363-2024</t>
        </is>
      </c>
      <c r="B400" s="1" t="n">
        <v>45473</v>
      </c>
      <c r="C400" s="1" t="n">
        <v>46140</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29042-2023</t>
        </is>
      </c>
      <c r="B401" s="1" t="n">
        <v>45104</v>
      </c>
      <c r="C401" s="1" t="n">
        <v>46140</v>
      </c>
      <c r="D401" t="inlineStr">
        <is>
          <t>VÄRMLANDS LÄN</t>
        </is>
      </c>
      <c r="E401" t="inlineStr">
        <is>
          <t>TORSBY</t>
        </is>
      </c>
      <c r="G401" t="n">
        <v>2.8</v>
      </c>
      <c r="H401" t="n">
        <v>0</v>
      </c>
      <c r="I401" t="n">
        <v>0</v>
      </c>
      <c r="J401" t="n">
        <v>0</v>
      </c>
      <c r="K401" t="n">
        <v>0</v>
      </c>
      <c r="L401" t="n">
        <v>0</v>
      </c>
      <c r="M401" t="n">
        <v>0</v>
      </c>
      <c r="N401" t="n">
        <v>0</v>
      </c>
      <c r="O401" t="n">
        <v>0</v>
      </c>
      <c r="P401" t="n">
        <v>0</v>
      </c>
      <c r="Q401" t="n">
        <v>0</v>
      </c>
      <c r="R401" s="2" t="inlineStr"/>
    </row>
    <row r="402" ht="15" customHeight="1">
      <c r="A402" t="inlineStr">
        <is>
          <t>A 39260-2021</t>
        </is>
      </c>
      <c r="B402" s="1" t="n">
        <v>44413</v>
      </c>
      <c r="C402" s="1" t="n">
        <v>46140</v>
      </c>
      <c r="D402" t="inlineStr">
        <is>
          <t>VÄRMLANDS LÄN</t>
        </is>
      </c>
      <c r="E402" t="inlineStr">
        <is>
          <t>TORSBY</t>
        </is>
      </c>
      <c r="G402" t="n">
        <v>4.7</v>
      </c>
      <c r="H402" t="n">
        <v>0</v>
      </c>
      <c r="I402" t="n">
        <v>0</v>
      </c>
      <c r="J402" t="n">
        <v>0</v>
      </c>
      <c r="K402" t="n">
        <v>0</v>
      </c>
      <c r="L402" t="n">
        <v>0</v>
      </c>
      <c r="M402" t="n">
        <v>0</v>
      </c>
      <c r="N402" t="n">
        <v>0</v>
      </c>
      <c r="O402" t="n">
        <v>0</v>
      </c>
      <c r="P402" t="n">
        <v>0</v>
      </c>
      <c r="Q402" t="n">
        <v>0</v>
      </c>
      <c r="R402" s="2" t="inlineStr"/>
    </row>
    <row r="403" ht="15" customHeight="1">
      <c r="A403" t="inlineStr">
        <is>
          <t>A 37752-2022</t>
        </is>
      </c>
      <c r="B403" s="1" t="n">
        <v>44810</v>
      </c>
      <c r="C403" s="1" t="n">
        <v>46140</v>
      </c>
      <c r="D403" t="inlineStr">
        <is>
          <t>VÄRMLANDS LÄN</t>
        </is>
      </c>
      <c r="E403" t="inlineStr">
        <is>
          <t>TORSBY</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39003-2021</t>
        </is>
      </c>
      <c r="B404" s="1" t="n">
        <v>44412</v>
      </c>
      <c r="C404" s="1" t="n">
        <v>46140</v>
      </c>
      <c r="D404" t="inlineStr">
        <is>
          <t>VÄRMLANDS LÄN</t>
        </is>
      </c>
      <c r="E404" t="inlineStr">
        <is>
          <t>TORSBY</t>
        </is>
      </c>
      <c r="F404" t="inlineStr">
        <is>
          <t>Bergvik skog väst AB</t>
        </is>
      </c>
      <c r="G404" t="n">
        <v>3.1</v>
      </c>
      <c r="H404" t="n">
        <v>0</v>
      </c>
      <c r="I404" t="n">
        <v>0</v>
      </c>
      <c r="J404" t="n">
        <v>0</v>
      </c>
      <c r="K404" t="n">
        <v>0</v>
      </c>
      <c r="L404" t="n">
        <v>0</v>
      </c>
      <c r="M404" t="n">
        <v>0</v>
      </c>
      <c r="N404" t="n">
        <v>0</v>
      </c>
      <c r="O404" t="n">
        <v>0</v>
      </c>
      <c r="P404" t="n">
        <v>0</v>
      </c>
      <c r="Q404" t="n">
        <v>0</v>
      </c>
      <c r="R404" s="2" t="inlineStr"/>
    </row>
    <row r="405" ht="15" customHeight="1">
      <c r="A405" t="inlineStr">
        <is>
          <t>A 22565-2024</t>
        </is>
      </c>
      <c r="B405" s="1" t="n">
        <v>45447</v>
      </c>
      <c r="C405" s="1" t="n">
        <v>46140</v>
      </c>
      <c r="D405" t="inlineStr">
        <is>
          <t>VÄRMLANDS LÄN</t>
        </is>
      </c>
      <c r="E405" t="inlineStr">
        <is>
          <t>TORSBY</t>
        </is>
      </c>
      <c r="G405" t="n">
        <v>3</v>
      </c>
      <c r="H405" t="n">
        <v>0</v>
      </c>
      <c r="I405" t="n">
        <v>0</v>
      </c>
      <c r="J405" t="n">
        <v>0</v>
      </c>
      <c r="K405" t="n">
        <v>0</v>
      </c>
      <c r="L405" t="n">
        <v>0</v>
      </c>
      <c r="M405" t="n">
        <v>0</v>
      </c>
      <c r="N405" t="n">
        <v>0</v>
      </c>
      <c r="O405" t="n">
        <v>0</v>
      </c>
      <c r="P405" t="n">
        <v>0</v>
      </c>
      <c r="Q405" t="n">
        <v>0</v>
      </c>
      <c r="R405" s="2" t="inlineStr"/>
    </row>
    <row r="406" ht="15" customHeight="1">
      <c r="A406" t="inlineStr">
        <is>
          <t>A 15175-2024</t>
        </is>
      </c>
      <c r="B406" s="1" t="n">
        <v>45400</v>
      </c>
      <c r="C406" s="1" t="n">
        <v>46140</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21308-2024</t>
        </is>
      </c>
      <c r="B407" s="1" t="n">
        <v>45440</v>
      </c>
      <c r="C407" s="1" t="n">
        <v>46140</v>
      </c>
      <c r="D407" t="inlineStr">
        <is>
          <t>VÄRMLANDS LÄN</t>
        </is>
      </c>
      <c r="E407" t="inlineStr">
        <is>
          <t>TORSBY</t>
        </is>
      </c>
      <c r="G407" t="n">
        <v>18.9</v>
      </c>
      <c r="H407" t="n">
        <v>0</v>
      </c>
      <c r="I407" t="n">
        <v>0</v>
      </c>
      <c r="J407" t="n">
        <v>0</v>
      </c>
      <c r="K407" t="n">
        <v>0</v>
      </c>
      <c r="L407" t="n">
        <v>0</v>
      </c>
      <c r="M407" t="n">
        <v>0</v>
      </c>
      <c r="N407" t="n">
        <v>0</v>
      </c>
      <c r="O407" t="n">
        <v>0</v>
      </c>
      <c r="P407" t="n">
        <v>0</v>
      </c>
      <c r="Q407" t="n">
        <v>0</v>
      </c>
      <c r="R407" s="2" t="inlineStr"/>
    </row>
    <row r="408" ht="15" customHeight="1">
      <c r="A408" t="inlineStr">
        <is>
          <t>A 36184-2024</t>
        </is>
      </c>
      <c r="B408" s="1" t="n">
        <v>45534.4178125</v>
      </c>
      <c r="C408" s="1" t="n">
        <v>46140</v>
      </c>
      <c r="D408" t="inlineStr">
        <is>
          <t>VÄRMLANDS LÄN</t>
        </is>
      </c>
      <c r="E408" t="inlineStr">
        <is>
          <t>TORSBY</t>
        </is>
      </c>
      <c r="G408" t="n">
        <v>2.2</v>
      </c>
      <c r="H408" t="n">
        <v>0</v>
      </c>
      <c r="I408" t="n">
        <v>0</v>
      </c>
      <c r="J408" t="n">
        <v>0</v>
      </c>
      <c r="K408" t="n">
        <v>0</v>
      </c>
      <c r="L408" t="n">
        <v>0</v>
      </c>
      <c r="M408" t="n">
        <v>0</v>
      </c>
      <c r="N408" t="n">
        <v>0</v>
      </c>
      <c r="O408" t="n">
        <v>0</v>
      </c>
      <c r="P408" t="n">
        <v>0</v>
      </c>
      <c r="Q408" t="n">
        <v>0</v>
      </c>
      <c r="R408" s="2" t="inlineStr"/>
    </row>
    <row r="409" ht="15" customHeight="1">
      <c r="A409" t="inlineStr">
        <is>
          <t>A 53921-2023</t>
        </is>
      </c>
      <c r="B409" s="1" t="n">
        <v>45231</v>
      </c>
      <c r="C409" s="1" t="n">
        <v>46140</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25163-2023</t>
        </is>
      </c>
      <c r="B410" s="1" t="n">
        <v>45086</v>
      </c>
      <c r="C410" s="1" t="n">
        <v>46140</v>
      </c>
      <c r="D410" t="inlineStr">
        <is>
          <t>VÄRMLANDS LÄN</t>
        </is>
      </c>
      <c r="E410" t="inlineStr">
        <is>
          <t>TORSBY</t>
        </is>
      </c>
      <c r="G410" t="n">
        <v>5.2</v>
      </c>
      <c r="H410" t="n">
        <v>0</v>
      </c>
      <c r="I410" t="n">
        <v>0</v>
      </c>
      <c r="J410" t="n">
        <v>0</v>
      </c>
      <c r="K410" t="n">
        <v>0</v>
      </c>
      <c r="L410" t="n">
        <v>0</v>
      </c>
      <c r="M410" t="n">
        <v>0</v>
      </c>
      <c r="N410" t="n">
        <v>0</v>
      </c>
      <c r="O410" t="n">
        <v>0</v>
      </c>
      <c r="P410" t="n">
        <v>0</v>
      </c>
      <c r="Q410" t="n">
        <v>0</v>
      </c>
      <c r="R410" s="2" t="inlineStr"/>
    </row>
    <row r="411" ht="15" customHeight="1">
      <c r="A411" t="inlineStr">
        <is>
          <t>A 41264-2022</t>
        </is>
      </c>
      <c r="B411" s="1" t="n">
        <v>44823</v>
      </c>
      <c r="C411" s="1" t="n">
        <v>46140</v>
      </c>
      <c r="D411" t="inlineStr">
        <is>
          <t>VÄRMLANDS LÄN</t>
        </is>
      </c>
      <c r="E411" t="inlineStr">
        <is>
          <t>TORSBY</t>
        </is>
      </c>
      <c r="G411" t="n">
        <v>6.5</v>
      </c>
      <c r="H411" t="n">
        <v>0</v>
      </c>
      <c r="I411" t="n">
        <v>0</v>
      </c>
      <c r="J411" t="n">
        <v>0</v>
      </c>
      <c r="K411" t="n">
        <v>0</v>
      </c>
      <c r="L411" t="n">
        <v>0</v>
      </c>
      <c r="M411" t="n">
        <v>0</v>
      </c>
      <c r="N411" t="n">
        <v>0</v>
      </c>
      <c r="O411" t="n">
        <v>0</v>
      </c>
      <c r="P411" t="n">
        <v>0</v>
      </c>
      <c r="Q411" t="n">
        <v>0</v>
      </c>
      <c r="R411" s="2" t="inlineStr"/>
    </row>
    <row r="412" ht="15" customHeight="1">
      <c r="A412" t="inlineStr">
        <is>
          <t>A 44532-2022</t>
        </is>
      </c>
      <c r="B412" s="1" t="n">
        <v>44840</v>
      </c>
      <c r="C412" s="1" t="n">
        <v>46140</v>
      </c>
      <c r="D412" t="inlineStr">
        <is>
          <t>VÄRMLANDS LÄN</t>
        </is>
      </c>
      <c r="E412" t="inlineStr">
        <is>
          <t>TORSBY</t>
        </is>
      </c>
      <c r="G412" t="n">
        <v>12.3</v>
      </c>
      <c r="H412" t="n">
        <v>0</v>
      </c>
      <c r="I412" t="n">
        <v>0</v>
      </c>
      <c r="J412" t="n">
        <v>0</v>
      </c>
      <c r="K412" t="n">
        <v>0</v>
      </c>
      <c r="L412" t="n">
        <v>0</v>
      </c>
      <c r="M412" t="n">
        <v>0</v>
      </c>
      <c r="N412" t="n">
        <v>0</v>
      </c>
      <c r="O412" t="n">
        <v>0</v>
      </c>
      <c r="P412" t="n">
        <v>0</v>
      </c>
      <c r="Q412" t="n">
        <v>0</v>
      </c>
      <c r="R412" s="2" t="inlineStr"/>
    </row>
    <row r="413" ht="15" customHeight="1">
      <c r="A413" t="inlineStr">
        <is>
          <t>A 40590-2021</t>
        </is>
      </c>
      <c r="B413" s="1" t="n">
        <v>44420</v>
      </c>
      <c r="C413" s="1" t="n">
        <v>46140</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2155-2024</t>
        </is>
      </c>
      <c r="B414" s="1" t="n">
        <v>45309</v>
      </c>
      <c r="C414" s="1" t="n">
        <v>46140</v>
      </c>
      <c r="D414" t="inlineStr">
        <is>
          <t>VÄRMLANDS LÄN</t>
        </is>
      </c>
      <c r="E414" t="inlineStr">
        <is>
          <t>TORSBY</t>
        </is>
      </c>
      <c r="G414" t="n">
        <v>2.8</v>
      </c>
      <c r="H414" t="n">
        <v>0</v>
      </c>
      <c r="I414" t="n">
        <v>0</v>
      </c>
      <c r="J414" t="n">
        <v>0</v>
      </c>
      <c r="K414" t="n">
        <v>0</v>
      </c>
      <c r="L414" t="n">
        <v>0</v>
      </c>
      <c r="M414" t="n">
        <v>0</v>
      </c>
      <c r="N414" t="n">
        <v>0</v>
      </c>
      <c r="O414" t="n">
        <v>0</v>
      </c>
      <c r="P414" t="n">
        <v>0</v>
      </c>
      <c r="Q414" t="n">
        <v>0</v>
      </c>
      <c r="R414" s="2" t="inlineStr"/>
    </row>
    <row r="415" ht="15" customHeight="1">
      <c r="A415" t="inlineStr">
        <is>
          <t>A 59097-2022</t>
        </is>
      </c>
      <c r="B415" s="1" t="n">
        <v>44904</v>
      </c>
      <c r="C415" s="1" t="n">
        <v>46140</v>
      </c>
      <c r="D415" t="inlineStr">
        <is>
          <t>VÄRMLANDS LÄN</t>
        </is>
      </c>
      <c r="E415" t="inlineStr">
        <is>
          <t>TORSBY</t>
        </is>
      </c>
      <c r="G415" t="n">
        <v>6.6</v>
      </c>
      <c r="H415" t="n">
        <v>0</v>
      </c>
      <c r="I415" t="n">
        <v>0</v>
      </c>
      <c r="J415" t="n">
        <v>0</v>
      </c>
      <c r="K415" t="n">
        <v>0</v>
      </c>
      <c r="L415" t="n">
        <v>0</v>
      </c>
      <c r="M415" t="n">
        <v>0</v>
      </c>
      <c r="N415" t="n">
        <v>0</v>
      </c>
      <c r="O415" t="n">
        <v>0</v>
      </c>
      <c r="P415" t="n">
        <v>0</v>
      </c>
      <c r="Q415" t="n">
        <v>0</v>
      </c>
      <c r="R415" s="2" t="inlineStr"/>
    </row>
    <row r="416" ht="15" customHeight="1">
      <c r="A416" t="inlineStr">
        <is>
          <t>A 14730-2024</t>
        </is>
      </c>
      <c r="B416" s="1" t="n">
        <v>45397.58518518518</v>
      </c>
      <c r="C416" s="1" t="n">
        <v>46140</v>
      </c>
      <c r="D416" t="inlineStr">
        <is>
          <t>VÄRMLANDS LÄN</t>
        </is>
      </c>
      <c r="E416" t="inlineStr">
        <is>
          <t>TORSBY</t>
        </is>
      </c>
      <c r="G416" t="n">
        <v>1.4</v>
      </c>
      <c r="H416" t="n">
        <v>0</v>
      </c>
      <c r="I416" t="n">
        <v>0</v>
      </c>
      <c r="J416" t="n">
        <v>0</v>
      </c>
      <c r="K416" t="n">
        <v>0</v>
      </c>
      <c r="L416" t="n">
        <v>0</v>
      </c>
      <c r="M416" t="n">
        <v>0</v>
      </c>
      <c r="N416" t="n">
        <v>0</v>
      </c>
      <c r="O416" t="n">
        <v>0</v>
      </c>
      <c r="P416" t="n">
        <v>0</v>
      </c>
      <c r="Q416" t="n">
        <v>0</v>
      </c>
      <c r="R416" s="2" t="inlineStr"/>
    </row>
    <row r="417" ht="15" customHeight="1">
      <c r="A417" t="inlineStr">
        <is>
          <t>A 9381-2024</t>
        </is>
      </c>
      <c r="B417" s="1" t="n">
        <v>45359</v>
      </c>
      <c r="C417" s="1" t="n">
        <v>46140</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9904-2024</t>
        </is>
      </c>
      <c r="B418" s="1" t="n">
        <v>45363</v>
      </c>
      <c r="C418" s="1" t="n">
        <v>46140</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24717-2024</t>
        </is>
      </c>
      <c r="B419" s="1" t="n">
        <v>45460</v>
      </c>
      <c r="C419" s="1" t="n">
        <v>46140</v>
      </c>
      <c r="D419" t="inlineStr">
        <is>
          <t>VÄRMLANDS LÄN</t>
        </is>
      </c>
      <c r="E419" t="inlineStr">
        <is>
          <t>TORSBY</t>
        </is>
      </c>
      <c r="F419" t="inlineStr">
        <is>
          <t>Övriga statliga verk och myndigheter</t>
        </is>
      </c>
      <c r="G419" t="n">
        <v>2.1</v>
      </c>
      <c r="H419" t="n">
        <v>0</v>
      </c>
      <c r="I419" t="n">
        <v>0</v>
      </c>
      <c r="J419" t="n">
        <v>0</v>
      </c>
      <c r="K419" t="n">
        <v>0</v>
      </c>
      <c r="L419" t="n">
        <v>0</v>
      </c>
      <c r="M419" t="n">
        <v>0</v>
      </c>
      <c r="N419" t="n">
        <v>0</v>
      </c>
      <c r="O419" t="n">
        <v>0</v>
      </c>
      <c r="P419" t="n">
        <v>0</v>
      </c>
      <c r="Q419" t="n">
        <v>0</v>
      </c>
      <c r="R419" s="2" t="inlineStr"/>
    </row>
    <row r="420" ht="15" customHeight="1">
      <c r="A420" t="inlineStr">
        <is>
          <t>A 44325-2024</t>
        </is>
      </c>
      <c r="B420" s="1" t="n">
        <v>45573</v>
      </c>
      <c r="C420" s="1" t="n">
        <v>46140</v>
      </c>
      <c r="D420" t="inlineStr">
        <is>
          <t>VÄRMLANDS LÄN</t>
        </is>
      </c>
      <c r="E420" t="inlineStr">
        <is>
          <t>TORSBY</t>
        </is>
      </c>
      <c r="G420" t="n">
        <v>1.2</v>
      </c>
      <c r="H420" t="n">
        <v>0</v>
      </c>
      <c r="I420" t="n">
        <v>0</v>
      </c>
      <c r="J420" t="n">
        <v>0</v>
      </c>
      <c r="K420" t="n">
        <v>0</v>
      </c>
      <c r="L420" t="n">
        <v>0</v>
      </c>
      <c r="M420" t="n">
        <v>0</v>
      </c>
      <c r="N420" t="n">
        <v>0</v>
      </c>
      <c r="O420" t="n">
        <v>0</v>
      </c>
      <c r="P420" t="n">
        <v>0</v>
      </c>
      <c r="Q420" t="n">
        <v>0</v>
      </c>
      <c r="R420" s="2" t="inlineStr"/>
    </row>
    <row r="421" ht="15" customHeight="1">
      <c r="A421" t="inlineStr">
        <is>
          <t>A 33268-2023</t>
        </is>
      </c>
      <c r="B421" s="1" t="n">
        <v>45127.58094907407</v>
      </c>
      <c r="C421" s="1" t="n">
        <v>46140</v>
      </c>
      <c r="D421" t="inlineStr">
        <is>
          <t>VÄRMLANDS LÄN</t>
        </is>
      </c>
      <c r="E421" t="inlineStr">
        <is>
          <t>TORSBY</t>
        </is>
      </c>
      <c r="G421" t="n">
        <v>1.3</v>
      </c>
      <c r="H421" t="n">
        <v>0</v>
      </c>
      <c r="I421" t="n">
        <v>0</v>
      </c>
      <c r="J421" t="n">
        <v>0</v>
      </c>
      <c r="K421" t="n">
        <v>0</v>
      </c>
      <c r="L421" t="n">
        <v>0</v>
      </c>
      <c r="M421" t="n">
        <v>0</v>
      </c>
      <c r="N421" t="n">
        <v>0</v>
      </c>
      <c r="O421" t="n">
        <v>0</v>
      </c>
      <c r="P421" t="n">
        <v>0</v>
      </c>
      <c r="Q421" t="n">
        <v>0</v>
      </c>
      <c r="R421" s="2" t="inlineStr"/>
    </row>
    <row r="422" ht="15" customHeight="1">
      <c r="A422" t="inlineStr">
        <is>
          <t>A 32988-2024</t>
        </is>
      </c>
      <c r="B422" s="1" t="n">
        <v>45517.46616898148</v>
      </c>
      <c r="C422" s="1" t="n">
        <v>46140</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25932-2024</t>
        </is>
      </c>
      <c r="B423" s="1" t="n">
        <v>45467.62097222222</v>
      </c>
      <c r="C423" s="1" t="n">
        <v>46140</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3666-2023</t>
        </is>
      </c>
      <c r="B424" s="1" t="n">
        <v>44950</v>
      </c>
      <c r="C424" s="1" t="n">
        <v>46140</v>
      </c>
      <c r="D424" t="inlineStr">
        <is>
          <t>VÄRMLANDS LÄN</t>
        </is>
      </c>
      <c r="E424" t="inlineStr">
        <is>
          <t>TORSBY</t>
        </is>
      </c>
      <c r="G424" t="n">
        <v>6.8</v>
      </c>
      <c r="H424" t="n">
        <v>0</v>
      </c>
      <c r="I424" t="n">
        <v>0</v>
      </c>
      <c r="J424" t="n">
        <v>0</v>
      </c>
      <c r="K424" t="n">
        <v>0</v>
      </c>
      <c r="L424" t="n">
        <v>0</v>
      </c>
      <c r="M424" t="n">
        <v>0</v>
      </c>
      <c r="N424" t="n">
        <v>0</v>
      </c>
      <c r="O424" t="n">
        <v>0</v>
      </c>
      <c r="P424" t="n">
        <v>0</v>
      </c>
      <c r="Q424" t="n">
        <v>0</v>
      </c>
      <c r="R424" s="2" t="inlineStr"/>
    </row>
    <row r="425" ht="15" customHeight="1">
      <c r="A425" t="inlineStr">
        <is>
          <t>A 3670-2023</t>
        </is>
      </c>
      <c r="B425" s="1" t="n">
        <v>44950</v>
      </c>
      <c r="C425" s="1" t="n">
        <v>46140</v>
      </c>
      <c r="D425" t="inlineStr">
        <is>
          <t>VÄRMLANDS LÄN</t>
        </is>
      </c>
      <c r="E425" t="inlineStr">
        <is>
          <t>TORSBY</t>
        </is>
      </c>
      <c r="G425" t="n">
        <v>15.4</v>
      </c>
      <c r="H425" t="n">
        <v>0</v>
      </c>
      <c r="I425" t="n">
        <v>0</v>
      </c>
      <c r="J425" t="n">
        <v>0</v>
      </c>
      <c r="K425" t="n">
        <v>0</v>
      </c>
      <c r="L425" t="n">
        <v>0</v>
      </c>
      <c r="M425" t="n">
        <v>0</v>
      </c>
      <c r="N425" t="n">
        <v>0</v>
      </c>
      <c r="O425" t="n">
        <v>0</v>
      </c>
      <c r="P425" t="n">
        <v>0</v>
      </c>
      <c r="Q425" t="n">
        <v>0</v>
      </c>
      <c r="R425" s="2" t="inlineStr"/>
    </row>
    <row r="426" ht="15" customHeight="1">
      <c r="A426" t="inlineStr">
        <is>
          <t>A 39642-2021</t>
        </is>
      </c>
      <c r="B426" s="1" t="n">
        <v>44417</v>
      </c>
      <c r="C426" s="1" t="n">
        <v>46140</v>
      </c>
      <c r="D426" t="inlineStr">
        <is>
          <t>VÄRMLANDS LÄN</t>
        </is>
      </c>
      <c r="E426" t="inlineStr">
        <is>
          <t>TORSBY</t>
        </is>
      </c>
      <c r="G426" t="n">
        <v>0.7</v>
      </c>
      <c r="H426" t="n">
        <v>0</v>
      </c>
      <c r="I426" t="n">
        <v>0</v>
      </c>
      <c r="J426" t="n">
        <v>0</v>
      </c>
      <c r="K426" t="n">
        <v>0</v>
      </c>
      <c r="L426" t="n">
        <v>0</v>
      </c>
      <c r="M426" t="n">
        <v>0</v>
      </c>
      <c r="N426" t="n">
        <v>0</v>
      </c>
      <c r="O426" t="n">
        <v>0</v>
      </c>
      <c r="P426" t="n">
        <v>0</v>
      </c>
      <c r="Q426" t="n">
        <v>0</v>
      </c>
      <c r="R426" s="2" t="inlineStr"/>
    </row>
    <row r="427" ht="15" customHeight="1">
      <c r="A427" t="inlineStr">
        <is>
          <t>A 3590-2024</t>
        </is>
      </c>
      <c r="B427" s="1" t="n">
        <v>45320</v>
      </c>
      <c r="C427" s="1" t="n">
        <v>46140</v>
      </c>
      <c r="D427" t="inlineStr">
        <is>
          <t>VÄRMLANDS LÄN</t>
        </is>
      </c>
      <c r="E427" t="inlineStr">
        <is>
          <t>TORSBY</t>
        </is>
      </c>
      <c r="G427" t="n">
        <v>3.5</v>
      </c>
      <c r="H427" t="n">
        <v>0</v>
      </c>
      <c r="I427" t="n">
        <v>0</v>
      </c>
      <c r="J427" t="n">
        <v>0</v>
      </c>
      <c r="K427" t="n">
        <v>0</v>
      </c>
      <c r="L427" t="n">
        <v>0</v>
      </c>
      <c r="M427" t="n">
        <v>0</v>
      </c>
      <c r="N427" t="n">
        <v>0</v>
      </c>
      <c r="O427" t="n">
        <v>0</v>
      </c>
      <c r="P427" t="n">
        <v>0</v>
      </c>
      <c r="Q427" t="n">
        <v>0</v>
      </c>
      <c r="R427" s="2" t="inlineStr"/>
    </row>
    <row r="428" ht="15" customHeight="1">
      <c r="A428" t="inlineStr">
        <is>
          <t>A 22421-2024</t>
        </is>
      </c>
      <c r="B428" s="1" t="n">
        <v>45446.70890046296</v>
      </c>
      <c r="C428" s="1" t="n">
        <v>46140</v>
      </c>
      <c r="D428" t="inlineStr">
        <is>
          <t>VÄRMLANDS LÄN</t>
        </is>
      </c>
      <c r="E428" t="inlineStr">
        <is>
          <t>TORSBY</t>
        </is>
      </c>
      <c r="G428" t="n">
        <v>8.9</v>
      </c>
      <c r="H428" t="n">
        <v>0</v>
      </c>
      <c r="I428" t="n">
        <v>0</v>
      </c>
      <c r="J428" t="n">
        <v>0</v>
      </c>
      <c r="K428" t="n">
        <v>0</v>
      </c>
      <c r="L428" t="n">
        <v>0</v>
      </c>
      <c r="M428" t="n">
        <v>0</v>
      </c>
      <c r="N428" t="n">
        <v>0</v>
      </c>
      <c r="O428" t="n">
        <v>0</v>
      </c>
      <c r="P428" t="n">
        <v>0</v>
      </c>
      <c r="Q428" t="n">
        <v>0</v>
      </c>
      <c r="R428" s="2" t="inlineStr"/>
    </row>
    <row r="429" ht="15" customHeight="1">
      <c r="A429" t="inlineStr">
        <is>
          <t>A 39780-2022</t>
        </is>
      </c>
      <c r="B429" s="1" t="n">
        <v>44819.46672453704</v>
      </c>
      <c r="C429" s="1" t="n">
        <v>46140</v>
      </c>
      <c r="D429" t="inlineStr">
        <is>
          <t>VÄRMLANDS LÄN</t>
        </is>
      </c>
      <c r="E429" t="inlineStr">
        <is>
          <t>TORSBY</t>
        </is>
      </c>
      <c r="G429" t="n">
        <v>0.7</v>
      </c>
      <c r="H429" t="n">
        <v>0</v>
      </c>
      <c r="I429" t="n">
        <v>0</v>
      </c>
      <c r="J429" t="n">
        <v>0</v>
      </c>
      <c r="K429" t="n">
        <v>0</v>
      </c>
      <c r="L429" t="n">
        <v>0</v>
      </c>
      <c r="M429" t="n">
        <v>0</v>
      </c>
      <c r="N429" t="n">
        <v>0</v>
      </c>
      <c r="O429" t="n">
        <v>0</v>
      </c>
      <c r="P429" t="n">
        <v>0</v>
      </c>
      <c r="Q429" t="n">
        <v>0</v>
      </c>
      <c r="R429" s="2" t="inlineStr"/>
    </row>
    <row r="430" ht="15" customHeight="1">
      <c r="A430" t="inlineStr">
        <is>
          <t>A 24261-2024</t>
        </is>
      </c>
      <c r="B430" s="1" t="n">
        <v>45457</v>
      </c>
      <c r="C430" s="1" t="n">
        <v>46140</v>
      </c>
      <c r="D430" t="inlineStr">
        <is>
          <t>VÄRMLANDS LÄN</t>
        </is>
      </c>
      <c r="E430" t="inlineStr">
        <is>
          <t>TORSBY</t>
        </is>
      </c>
      <c r="G430" t="n">
        <v>3.5</v>
      </c>
      <c r="H430" t="n">
        <v>0</v>
      </c>
      <c r="I430" t="n">
        <v>0</v>
      </c>
      <c r="J430" t="n">
        <v>0</v>
      </c>
      <c r="K430" t="n">
        <v>0</v>
      </c>
      <c r="L430" t="n">
        <v>0</v>
      </c>
      <c r="M430" t="n">
        <v>0</v>
      </c>
      <c r="N430" t="n">
        <v>0</v>
      </c>
      <c r="O430" t="n">
        <v>0</v>
      </c>
      <c r="P430" t="n">
        <v>0</v>
      </c>
      <c r="Q430" t="n">
        <v>0</v>
      </c>
      <c r="R430" s="2" t="inlineStr"/>
    </row>
    <row r="431" ht="15" customHeight="1">
      <c r="A431" t="inlineStr">
        <is>
          <t>A 54528-2023</t>
        </is>
      </c>
      <c r="B431" s="1" t="n">
        <v>45233.59122685185</v>
      </c>
      <c r="C431" s="1" t="n">
        <v>46140</v>
      </c>
      <c r="D431" t="inlineStr">
        <is>
          <t>VÄRMLANDS LÄN</t>
        </is>
      </c>
      <c r="E431" t="inlineStr">
        <is>
          <t>TORSBY</t>
        </is>
      </c>
      <c r="G431" t="n">
        <v>1.1</v>
      </c>
      <c r="H431" t="n">
        <v>0</v>
      </c>
      <c r="I431" t="n">
        <v>0</v>
      </c>
      <c r="J431" t="n">
        <v>0</v>
      </c>
      <c r="K431" t="n">
        <v>0</v>
      </c>
      <c r="L431" t="n">
        <v>0</v>
      </c>
      <c r="M431" t="n">
        <v>0</v>
      </c>
      <c r="N431" t="n">
        <v>0</v>
      </c>
      <c r="O431" t="n">
        <v>0</v>
      </c>
      <c r="P431" t="n">
        <v>0</v>
      </c>
      <c r="Q431" t="n">
        <v>0</v>
      </c>
      <c r="R431" s="2" t="inlineStr"/>
    </row>
    <row r="432" ht="15" customHeight="1">
      <c r="A432" t="inlineStr">
        <is>
          <t>A 60058-2023</t>
        </is>
      </c>
      <c r="B432" s="1" t="n">
        <v>45258.37978009259</v>
      </c>
      <c r="C432" s="1" t="n">
        <v>46140</v>
      </c>
      <c r="D432" t="inlineStr">
        <is>
          <t>VÄRMLANDS LÄN</t>
        </is>
      </c>
      <c r="E432" t="inlineStr">
        <is>
          <t>TORSBY</t>
        </is>
      </c>
      <c r="G432" t="n">
        <v>5</v>
      </c>
      <c r="H432" t="n">
        <v>0</v>
      </c>
      <c r="I432" t="n">
        <v>0</v>
      </c>
      <c r="J432" t="n">
        <v>0</v>
      </c>
      <c r="K432" t="n">
        <v>0</v>
      </c>
      <c r="L432" t="n">
        <v>0</v>
      </c>
      <c r="M432" t="n">
        <v>0</v>
      </c>
      <c r="N432" t="n">
        <v>0</v>
      </c>
      <c r="O432" t="n">
        <v>0</v>
      </c>
      <c r="P432" t="n">
        <v>0</v>
      </c>
      <c r="Q432" t="n">
        <v>0</v>
      </c>
      <c r="R432" s="2" t="inlineStr"/>
    </row>
    <row r="433" ht="15" customHeight="1">
      <c r="A433" t="inlineStr">
        <is>
          <t>A 1123-2023</t>
        </is>
      </c>
      <c r="B433" s="1" t="n">
        <v>44935</v>
      </c>
      <c r="C433" s="1" t="n">
        <v>46140</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36700-2021</t>
        </is>
      </c>
      <c r="B434" s="1" t="n">
        <v>44392</v>
      </c>
      <c r="C434" s="1" t="n">
        <v>46140</v>
      </c>
      <c r="D434" t="inlineStr">
        <is>
          <t>VÄRMLANDS LÄN</t>
        </is>
      </c>
      <c r="E434" t="inlineStr">
        <is>
          <t>TORSBY</t>
        </is>
      </c>
      <c r="F434" t="inlineStr">
        <is>
          <t>Bergvik skog väst AB</t>
        </is>
      </c>
      <c r="G434" t="n">
        <v>9.9</v>
      </c>
      <c r="H434" t="n">
        <v>0</v>
      </c>
      <c r="I434" t="n">
        <v>0</v>
      </c>
      <c r="J434" t="n">
        <v>0</v>
      </c>
      <c r="K434" t="n">
        <v>0</v>
      </c>
      <c r="L434" t="n">
        <v>0</v>
      </c>
      <c r="M434" t="n">
        <v>0</v>
      </c>
      <c r="N434" t="n">
        <v>0</v>
      </c>
      <c r="O434" t="n">
        <v>0</v>
      </c>
      <c r="P434" t="n">
        <v>0</v>
      </c>
      <c r="Q434" t="n">
        <v>0</v>
      </c>
      <c r="R434" s="2" t="inlineStr"/>
    </row>
    <row r="435" ht="15" customHeight="1">
      <c r="A435" t="inlineStr">
        <is>
          <t>A 55092-2022</t>
        </is>
      </c>
      <c r="B435" s="1" t="n">
        <v>44886.61493055556</v>
      </c>
      <c r="C435" s="1" t="n">
        <v>46140</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25629-2024</t>
        </is>
      </c>
      <c r="B436" s="1" t="n">
        <v>45463</v>
      </c>
      <c r="C436" s="1" t="n">
        <v>46140</v>
      </c>
      <c r="D436" t="inlineStr">
        <is>
          <t>VÄRMLANDS LÄN</t>
        </is>
      </c>
      <c r="E436" t="inlineStr">
        <is>
          <t>TORSBY</t>
        </is>
      </c>
      <c r="G436" t="n">
        <v>1.1</v>
      </c>
      <c r="H436" t="n">
        <v>0</v>
      </c>
      <c r="I436" t="n">
        <v>0</v>
      </c>
      <c r="J436" t="n">
        <v>0</v>
      </c>
      <c r="K436" t="n">
        <v>0</v>
      </c>
      <c r="L436" t="n">
        <v>0</v>
      </c>
      <c r="M436" t="n">
        <v>0</v>
      </c>
      <c r="N436" t="n">
        <v>0</v>
      </c>
      <c r="O436" t="n">
        <v>0</v>
      </c>
      <c r="P436" t="n">
        <v>0</v>
      </c>
      <c r="Q436" t="n">
        <v>0</v>
      </c>
      <c r="R436" s="2" t="inlineStr"/>
    </row>
    <row r="437" ht="15" customHeight="1">
      <c r="A437" t="inlineStr">
        <is>
          <t>A 43248-2022</t>
        </is>
      </c>
      <c r="B437" s="1" t="n">
        <v>44834</v>
      </c>
      <c r="C437" s="1" t="n">
        <v>46140</v>
      </c>
      <c r="D437" t="inlineStr">
        <is>
          <t>VÄRMLANDS LÄN</t>
        </is>
      </c>
      <c r="E437" t="inlineStr">
        <is>
          <t>TORSBY</t>
        </is>
      </c>
      <c r="G437" t="n">
        <v>2.9</v>
      </c>
      <c r="H437" t="n">
        <v>0</v>
      </c>
      <c r="I437" t="n">
        <v>0</v>
      </c>
      <c r="J437" t="n">
        <v>0</v>
      </c>
      <c r="K437" t="n">
        <v>0</v>
      </c>
      <c r="L437" t="n">
        <v>0</v>
      </c>
      <c r="M437" t="n">
        <v>0</v>
      </c>
      <c r="N437" t="n">
        <v>0</v>
      </c>
      <c r="O437" t="n">
        <v>0</v>
      </c>
      <c r="P437" t="n">
        <v>0</v>
      </c>
      <c r="Q437" t="n">
        <v>0</v>
      </c>
      <c r="R437" s="2" t="inlineStr"/>
    </row>
    <row r="438" ht="15" customHeight="1">
      <c r="A438" t="inlineStr">
        <is>
          <t>A 43289-2022</t>
        </is>
      </c>
      <c r="B438" s="1" t="n">
        <v>44834.51623842592</v>
      </c>
      <c r="C438" s="1" t="n">
        <v>46140</v>
      </c>
      <c r="D438" t="inlineStr">
        <is>
          <t>VÄRMLANDS LÄN</t>
        </is>
      </c>
      <c r="E438" t="inlineStr">
        <is>
          <t>TORSBY</t>
        </is>
      </c>
      <c r="G438" t="n">
        <v>11.2</v>
      </c>
      <c r="H438" t="n">
        <v>0</v>
      </c>
      <c r="I438" t="n">
        <v>0</v>
      </c>
      <c r="J438" t="n">
        <v>0</v>
      </c>
      <c r="K438" t="n">
        <v>0</v>
      </c>
      <c r="L438" t="n">
        <v>0</v>
      </c>
      <c r="M438" t="n">
        <v>0</v>
      </c>
      <c r="N438" t="n">
        <v>0</v>
      </c>
      <c r="O438" t="n">
        <v>0</v>
      </c>
      <c r="P438" t="n">
        <v>0</v>
      </c>
      <c r="Q438" t="n">
        <v>0</v>
      </c>
      <c r="R438" s="2" t="inlineStr"/>
    </row>
    <row r="439" ht="15" customHeight="1">
      <c r="A439" t="inlineStr">
        <is>
          <t>A 26086-2024</t>
        </is>
      </c>
      <c r="B439" s="1" t="n">
        <v>45468</v>
      </c>
      <c r="C439" s="1" t="n">
        <v>46140</v>
      </c>
      <c r="D439" t="inlineStr">
        <is>
          <t>VÄRMLANDS LÄN</t>
        </is>
      </c>
      <c r="E439" t="inlineStr">
        <is>
          <t>TORSBY</t>
        </is>
      </c>
      <c r="G439" t="n">
        <v>1.1</v>
      </c>
      <c r="H439" t="n">
        <v>0</v>
      </c>
      <c r="I439" t="n">
        <v>0</v>
      </c>
      <c r="J439" t="n">
        <v>0</v>
      </c>
      <c r="K439" t="n">
        <v>0</v>
      </c>
      <c r="L439" t="n">
        <v>0</v>
      </c>
      <c r="M439" t="n">
        <v>0</v>
      </c>
      <c r="N439" t="n">
        <v>0</v>
      </c>
      <c r="O439" t="n">
        <v>0</v>
      </c>
      <c r="P439" t="n">
        <v>0</v>
      </c>
      <c r="Q439" t="n">
        <v>0</v>
      </c>
      <c r="R439" s="2" t="inlineStr"/>
    </row>
    <row r="440" ht="15" customHeight="1">
      <c r="A440" t="inlineStr">
        <is>
          <t>A 3071-2022</t>
        </is>
      </c>
      <c r="B440" s="1" t="n">
        <v>44582.42109953704</v>
      </c>
      <c r="C440" s="1" t="n">
        <v>46140</v>
      </c>
      <c r="D440" t="inlineStr">
        <is>
          <t>VÄRMLANDS LÄN</t>
        </is>
      </c>
      <c r="E440" t="inlineStr">
        <is>
          <t>TORSBY</t>
        </is>
      </c>
      <c r="G440" t="n">
        <v>7.9</v>
      </c>
      <c r="H440" t="n">
        <v>0</v>
      </c>
      <c r="I440" t="n">
        <v>0</v>
      </c>
      <c r="J440" t="n">
        <v>0</v>
      </c>
      <c r="K440" t="n">
        <v>0</v>
      </c>
      <c r="L440" t="n">
        <v>0</v>
      </c>
      <c r="M440" t="n">
        <v>0</v>
      </c>
      <c r="N440" t="n">
        <v>0</v>
      </c>
      <c r="O440" t="n">
        <v>0</v>
      </c>
      <c r="P440" t="n">
        <v>0</v>
      </c>
      <c r="Q440" t="n">
        <v>0</v>
      </c>
      <c r="R440" s="2" t="inlineStr"/>
    </row>
    <row r="441" ht="15" customHeight="1">
      <c r="A441" t="inlineStr">
        <is>
          <t>A 55794-2021</t>
        </is>
      </c>
      <c r="B441" s="1" t="n">
        <v>44476</v>
      </c>
      <c r="C441" s="1" t="n">
        <v>46140</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35553-2023</t>
        </is>
      </c>
      <c r="B442" s="1" t="n">
        <v>45147</v>
      </c>
      <c r="C442" s="1" t="n">
        <v>46140</v>
      </c>
      <c r="D442" t="inlineStr">
        <is>
          <t>VÄRMLANDS LÄN</t>
        </is>
      </c>
      <c r="E442" t="inlineStr">
        <is>
          <t>TORSBY</t>
        </is>
      </c>
      <c r="G442" t="n">
        <v>6.2</v>
      </c>
      <c r="H442" t="n">
        <v>0</v>
      </c>
      <c r="I442" t="n">
        <v>0</v>
      </c>
      <c r="J442" t="n">
        <v>0</v>
      </c>
      <c r="K442" t="n">
        <v>0</v>
      </c>
      <c r="L442" t="n">
        <v>0</v>
      </c>
      <c r="M442" t="n">
        <v>0</v>
      </c>
      <c r="N442" t="n">
        <v>0</v>
      </c>
      <c r="O442" t="n">
        <v>0</v>
      </c>
      <c r="P442" t="n">
        <v>0</v>
      </c>
      <c r="Q442" t="n">
        <v>0</v>
      </c>
      <c r="R442" s="2" t="inlineStr"/>
    </row>
    <row r="443" ht="15" customHeight="1">
      <c r="A443" t="inlineStr">
        <is>
          <t>A 20647-2024</t>
        </is>
      </c>
      <c r="B443" s="1" t="n">
        <v>45436</v>
      </c>
      <c r="C443" s="1" t="n">
        <v>46140</v>
      </c>
      <c r="D443" t="inlineStr">
        <is>
          <t>VÄRMLANDS LÄN</t>
        </is>
      </c>
      <c r="E443" t="inlineStr">
        <is>
          <t>TORSBY</t>
        </is>
      </c>
      <c r="G443" t="n">
        <v>1.3</v>
      </c>
      <c r="H443" t="n">
        <v>0</v>
      </c>
      <c r="I443" t="n">
        <v>0</v>
      </c>
      <c r="J443" t="n">
        <v>0</v>
      </c>
      <c r="K443" t="n">
        <v>0</v>
      </c>
      <c r="L443" t="n">
        <v>0</v>
      </c>
      <c r="M443" t="n">
        <v>0</v>
      </c>
      <c r="N443" t="n">
        <v>0</v>
      </c>
      <c r="O443" t="n">
        <v>0</v>
      </c>
      <c r="P443" t="n">
        <v>0</v>
      </c>
      <c r="Q443" t="n">
        <v>0</v>
      </c>
      <c r="R443" s="2" t="inlineStr"/>
    </row>
    <row r="444" ht="15" customHeight="1">
      <c r="A444" t="inlineStr">
        <is>
          <t>A 48320-2022</t>
        </is>
      </c>
      <c r="B444" s="1" t="n">
        <v>44853</v>
      </c>
      <c r="C444" s="1" t="n">
        <v>46140</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50380-2024</t>
        </is>
      </c>
      <c r="B445" s="1" t="n">
        <v>45601.30582175926</v>
      </c>
      <c r="C445" s="1" t="n">
        <v>46140</v>
      </c>
      <c r="D445" t="inlineStr">
        <is>
          <t>VÄRMLANDS LÄN</t>
        </is>
      </c>
      <c r="E445" t="inlineStr">
        <is>
          <t>TORSBY</t>
        </is>
      </c>
      <c r="F445" t="inlineStr">
        <is>
          <t>Bergvik skog väst AB</t>
        </is>
      </c>
      <c r="G445" t="n">
        <v>7.9</v>
      </c>
      <c r="H445" t="n">
        <v>0</v>
      </c>
      <c r="I445" t="n">
        <v>0</v>
      </c>
      <c r="J445" t="n">
        <v>0</v>
      </c>
      <c r="K445" t="n">
        <v>0</v>
      </c>
      <c r="L445" t="n">
        <v>0</v>
      </c>
      <c r="M445" t="n">
        <v>0</v>
      </c>
      <c r="N445" t="n">
        <v>0</v>
      </c>
      <c r="O445" t="n">
        <v>0</v>
      </c>
      <c r="P445" t="n">
        <v>0</v>
      </c>
      <c r="Q445" t="n">
        <v>0</v>
      </c>
      <c r="R445" s="2" t="inlineStr"/>
    </row>
    <row r="446" ht="15" customHeight="1">
      <c r="A446" t="inlineStr">
        <is>
          <t>A 2308-2024</t>
        </is>
      </c>
      <c r="B446" s="1" t="n">
        <v>45310</v>
      </c>
      <c r="C446" s="1" t="n">
        <v>46140</v>
      </c>
      <c r="D446" t="inlineStr">
        <is>
          <t>VÄRMLANDS LÄN</t>
        </is>
      </c>
      <c r="E446" t="inlineStr">
        <is>
          <t>TORSBY</t>
        </is>
      </c>
      <c r="G446" t="n">
        <v>2.4</v>
      </c>
      <c r="H446" t="n">
        <v>0</v>
      </c>
      <c r="I446" t="n">
        <v>0</v>
      </c>
      <c r="J446" t="n">
        <v>0</v>
      </c>
      <c r="K446" t="n">
        <v>0</v>
      </c>
      <c r="L446" t="n">
        <v>0</v>
      </c>
      <c r="M446" t="n">
        <v>0</v>
      </c>
      <c r="N446" t="n">
        <v>0</v>
      </c>
      <c r="O446" t="n">
        <v>0</v>
      </c>
      <c r="P446" t="n">
        <v>0</v>
      </c>
      <c r="Q446" t="n">
        <v>0</v>
      </c>
      <c r="R446" s="2" t="inlineStr"/>
    </row>
    <row r="447" ht="15" customHeight="1">
      <c r="A447" t="inlineStr">
        <is>
          <t>A 58185-2023</t>
        </is>
      </c>
      <c r="B447" s="1" t="n">
        <v>45250.41873842593</v>
      </c>
      <c r="C447" s="1" t="n">
        <v>46140</v>
      </c>
      <c r="D447" t="inlineStr">
        <is>
          <t>VÄRMLANDS LÄN</t>
        </is>
      </c>
      <c r="E447" t="inlineStr">
        <is>
          <t>TORSBY</t>
        </is>
      </c>
      <c r="G447" t="n">
        <v>2.9</v>
      </c>
      <c r="H447" t="n">
        <v>0</v>
      </c>
      <c r="I447" t="n">
        <v>0</v>
      </c>
      <c r="J447" t="n">
        <v>0</v>
      </c>
      <c r="K447" t="n">
        <v>0</v>
      </c>
      <c r="L447" t="n">
        <v>0</v>
      </c>
      <c r="M447" t="n">
        <v>0</v>
      </c>
      <c r="N447" t="n">
        <v>0</v>
      </c>
      <c r="O447" t="n">
        <v>0</v>
      </c>
      <c r="P447" t="n">
        <v>0</v>
      </c>
      <c r="Q447" t="n">
        <v>0</v>
      </c>
      <c r="R447" s="2" t="inlineStr"/>
    </row>
    <row r="448" ht="15" customHeight="1">
      <c r="A448" t="inlineStr">
        <is>
          <t>A 57072-2022</t>
        </is>
      </c>
      <c r="B448" s="1" t="n">
        <v>44895.4252662037</v>
      </c>
      <c r="C448" s="1" t="n">
        <v>46140</v>
      </c>
      <c r="D448" t="inlineStr">
        <is>
          <t>VÄRMLANDS LÄN</t>
        </is>
      </c>
      <c r="E448" t="inlineStr">
        <is>
          <t>TORSBY</t>
        </is>
      </c>
      <c r="F448" t="inlineStr">
        <is>
          <t>Övriga statliga verk och myndigheter</t>
        </is>
      </c>
      <c r="G448" t="n">
        <v>7.8</v>
      </c>
      <c r="H448" t="n">
        <v>0</v>
      </c>
      <c r="I448" t="n">
        <v>0</v>
      </c>
      <c r="J448" t="n">
        <v>0</v>
      </c>
      <c r="K448" t="n">
        <v>0</v>
      </c>
      <c r="L448" t="n">
        <v>0</v>
      </c>
      <c r="M448" t="n">
        <v>0</v>
      </c>
      <c r="N448" t="n">
        <v>0</v>
      </c>
      <c r="O448" t="n">
        <v>0</v>
      </c>
      <c r="P448" t="n">
        <v>0</v>
      </c>
      <c r="Q448" t="n">
        <v>0</v>
      </c>
      <c r="R448" s="2" t="inlineStr"/>
    </row>
    <row r="449" ht="15" customHeight="1">
      <c r="A449" t="inlineStr">
        <is>
          <t>A 35107-2024</t>
        </is>
      </c>
      <c r="B449" s="1" t="n">
        <v>45529.5588425926</v>
      </c>
      <c r="C449" s="1" t="n">
        <v>46140</v>
      </c>
      <c r="D449" t="inlineStr">
        <is>
          <t>VÄRMLANDS LÄN</t>
        </is>
      </c>
      <c r="E449" t="inlineStr">
        <is>
          <t>TORSBY</t>
        </is>
      </c>
      <c r="G449" t="n">
        <v>5.1</v>
      </c>
      <c r="H449" t="n">
        <v>0</v>
      </c>
      <c r="I449" t="n">
        <v>0</v>
      </c>
      <c r="J449" t="n">
        <v>0</v>
      </c>
      <c r="K449" t="n">
        <v>0</v>
      </c>
      <c r="L449" t="n">
        <v>0</v>
      </c>
      <c r="M449" t="n">
        <v>0</v>
      </c>
      <c r="N449" t="n">
        <v>0</v>
      </c>
      <c r="O449" t="n">
        <v>0</v>
      </c>
      <c r="P449" t="n">
        <v>0</v>
      </c>
      <c r="Q449" t="n">
        <v>0</v>
      </c>
      <c r="R449" s="2" t="inlineStr"/>
    </row>
    <row r="450" ht="15" customHeight="1">
      <c r="A450" t="inlineStr">
        <is>
          <t>A 54714-2023</t>
        </is>
      </c>
      <c r="B450" s="1" t="n">
        <v>45236.3515162037</v>
      </c>
      <c r="C450" s="1" t="n">
        <v>46140</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18959-2024</t>
        </is>
      </c>
      <c r="B451" s="1" t="n">
        <v>45427.53032407408</v>
      </c>
      <c r="C451" s="1" t="n">
        <v>46140</v>
      </c>
      <c r="D451" t="inlineStr">
        <is>
          <t>VÄRMLANDS LÄN</t>
        </is>
      </c>
      <c r="E451" t="inlineStr">
        <is>
          <t>TORSBY</t>
        </is>
      </c>
      <c r="G451" t="n">
        <v>0.5</v>
      </c>
      <c r="H451" t="n">
        <v>0</v>
      </c>
      <c r="I451" t="n">
        <v>0</v>
      </c>
      <c r="J451" t="n">
        <v>0</v>
      </c>
      <c r="K451" t="n">
        <v>0</v>
      </c>
      <c r="L451" t="n">
        <v>0</v>
      </c>
      <c r="M451" t="n">
        <v>0</v>
      </c>
      <c r="N451" t="n">
        <v>0</v>
      </c>
      <c r="O451" t="n">
        <v>0</v>
      </c>
      <c r="P451" t="n">
        <v>0</v>
      </c>
      <c r="Q451" t="n">
        <v>0</v>
      </c>
      <c r="R451" s="2" t="inlineStr"/>
    </row>
    <row r="452" ht="15" customHeight="1">
      <c r="A452" t="inlineStr">
        <is>
          <t>A 41022-2023</t>
        </is>
      </c>
      <c r="B452" s="1" t="n">
        <v>45173</v>
      </c>
      <c r="C452" s="1" t="n">
        <v>46140</v>
      </c>
      <c r="D452" t="inlineStr">
        <is>
          <t>VÄRMLANDS LÄN</t>
        </is>
      </c>
      <c r="E452" t="inlineStr">
        <is>
          <t>TORSBY</t>
        </is>
      </c>
      <c r="G452" t="n">
        <v>3.8</v>
      </c>
      <c r="H452" t="n">
        <v>0</v>
      </c>
      <c r="I452" t="n">
        <v>0</v>
      </c>
      <c r="J452" t="n">
        <v>0</v>
      </c>
      <c r="K452" t="n">
        <v>0</v>
      </c>
      <c r="L452" t="n">
        <v>0</v>
      </c>
      <c r="M452" t="n">
        <v>0</v>
      </c>
      <c r="N452" t="n">
        <v>0</v>
      </c>
      <c r="O452" t="n">
        <v>0</v>
      </c>
      <c r="P452" t="n">
        <v>0</v>
      </c>
      <c r="Q452" t="n">
        <v>0</v>
      </c>
      <c r="R452" s="2" t="inlineStr"/>
    </row>
    <row r="453" ht="15" customHeight="1">
      <c r="A453" t="inlineStr">
        <is>
          <t>A 44879-2022</t>
        </is>
      </c>
      <c r="B453" s="1" t="n">
        <v>44839</v>
      </c>
      <c r="C453" s="1" t="n">
        <v>46140</v>
      </c>
      <c r="D453" t="inlineStr">
        <is>
          <t>VÄRMLANDS LÄN</t>
        </is>
      </c>
      <c r="E453" t="inlineStr">
        <is>
          <t>TORSBY</t>
        </is>
      </c>
      <c r="G453" t="n">
        <v>3.5</v>
      </c>
      <c r="H453" t="n">
        <v>0</v>
      </c>
      <c r="I453" t="n">
        <v>0</v>
      </c>
      <c r="J453" t="n">
        <v>0</v>
      </c>
      <c r="K453" t="n">
        <v>0</v>
      </c>
      <c r="L453" t="n">
        <v>0</v>
      </c>
      <c r="M453" t="n">
        <v>0</v>
      </c>
      <c r="N453" t="n">
        <v>0</v>
      </c>
      <c r="O453" t="n">
        <v>0</v>
      </c>
      <c r="P453" t="n">
        <v>0</v>
      </c>
      <c r="Q453" t="n">
        <v>0</v>
      </c>
      <c r="R453" s="2" t="inlineStr"/>
    </row>
    <row r="454" ht="15" customHeight="1">
      <c r="A454" t="inlineStr">
        <is>
          <t>A 30700-2024</t>
        </is>
      </c>
      <c r="B454" s="1" t="n">
        <v>45496.35869212963</v>
      </c>
      <c r="C454" s="1" t="n">
        <v>46140</v>
      </c>
      <c r="D454" t="inlineStr">
        <is>
          <t>VÄRMLANDS LÄN</t>
        </is>
      </c>
      <c r="E454" t="inlineStr">
        <is>
          <t>TORSBY</t>
        </is>
      </c>
      <c r="G454" t="n">
        <v>7.2</v>
      </c>
      <c r="H454" t="n">
        <v>0</v>
      </c>
      <c r="I454" t="n">
        <v>0</v>
      </c>
      <c r="J454" t="n">
        <v>0</v>
      </c>
      <c r="K454" t="n">
        <v>0</v>
      </c>
      <c r="L454" t="n">
        <v>0</v>
      </c>
      <c r="M454" t="n">
        <v>0</v>
      </c>
      <c r="N454" t="n">
        <v>0</v>
      </c>
      <c r="O454" t="n">
        <v>0</v>
      </c>
      <c r="P454" t="n">
        <v>0</v>
      </c>
      <c r="Q454" t="n">
        <v>0</v>
      </c>
      <c r="R454" s="2" t="inlineStr"/>
    </row>
    <row r="455" ht="15" customHeight="1">
      <c r="A455" t="inlineStr">
        <is>
          <t>A 30705-2024</t>
        </is>
      </c>
      <c r="B455" s="1" t="n">
        <v>45496.38092592593</v>
      </c>
      <c r="C455" s="1" t="n">
        <v>46140</v>
      </c>
      <c r="D455" t="inlineStr">
        <is>
          <t>VÄRMLANDS LÄN</t>
        </is>
      </c>
      <c r="E455" t="inlineStr">
        <is>
          <t>TORSBY</t>
        </is>
      </c>
      <c r="F455" t="inlineStr">
        <is>
          <t>Bergvik skog väst AB</t>
        </is>
      </c>
      <c r="G455" t="n">
        <v>1.4</v>
      </c>
      <c r="H455" t="n">
        <v>0</v>
      </c>
      <c r="I455" t="n">
        <v>0</v>
      </c>
      <c r="J455" t="n">
        <v>0</v>
      </c>
      <c r="K455" t="n">
        <v>0</v>
      </c>
      <c r="L455" t="n">
        <v>0</v>
      </c>
      <c r="M455" t="n">
        <v>0</v>
      </c>
      <c r="N455" t="n">
        <v>0</v>
      </c>
      <c r="O455" t="n">
        <v>0</v>
      </c>
      <c r="P455" t="n">
        <v>0</v>
      </c>
      <c r="Q455" t="n">
        <v>0</v>
      </c>
      <c r="R455" s="2" t="inlineStr"/>
    </row>
    <row r="456" ht="15" customHeight="1">
      <c r="A456" t="inlineStr">
        <is>
          <t>A 39215-2022</t>
        </is>
      </c>
      <c r="B456" s="1" t="n">
        <v>44817</v>
      </c>
      <c r="C456" s="1" t="n">
        <v>46140</v>
      </c>
      <c r="D456" t="inlineStr">
        <is>
          <t>VÄRMLANDS LÄN</t>
        </is>
      </c>
      <c r="E456" t="inlineStr">
        <is>
          <t>TORSBY</t>
        </is>
      </c>
      <c r="G456" t="n">
        <v>3.8</v>
      </c>
      <c r="H456" t="n">
        <v>0</v>
      </c>
      <c r="I456" t="n">
        <v>0</v>
      </c>
      <c r="J456" t="n">
        <v>0</v>
      </c>
      <c r="K456" t="n">
        <v>0</v>
      </c>
      <c r="L456" t="n">
        <v>0</v>
      </c>
      <c r="M456" t="n">
        <v>0</v>
      </c>
      <c r="N456" t="n">
        <v>0</v>
      </c>
      <c r="O456" t="n">
        <v>0</v>
      </c>
      <c r="P456" t="n">
        <v>0</v>
      </c>
      <c r="Q456" t="n">
        <v>0</v>
      </c>
      <c r="R456" s="2" t="inlineStr"/>
    </row>
    <row r="457" ht="15" customHeight="1">
      <c r="A457" t="inlineStr">
        <is>
          <t>A 54865-2022</t>
        </is>
      </c>
      <c r="B457" s="1" t="n">
        <v>44884</v>
      </c>
      <c r="C457" s="1" t="n">
        <v>46140</v>
      </c>
      <c r="D457" t="inlineStr">
        <is>
          <t>VÄRMLANDS LÄN</t>
        </is>
      </c>
      <c r="E457" t="inlineStr">
        <is>
          <t>TORSBY</t>
        </is>
      </c>
      <c r="G457" t="n">
        <v>2.3</v>
      </c>
      <c r="H457" t="n">
        <v>0</v>
      </c>
      <c r="I457" t="n">
        <v>0</v>
      </c>
      <c r="J457" t="n">
        <v>0</v>
      </c>
      <c r="K457" t="n">
        <v>0</v>
      </c>
      <c r="L457" t="n">
        <v>0</v>
      </c>
      <c r="M457" t="n">
        <v>0</v>
      </c>
      <c r="N457" t="n">
        <v>0</v>
      </c>
      <c r="O457" t="n">
        <v>0</v>
      </c>
      <c r="P457" t="n">
        <v>0</v>
      </c>
      <c r="Q457" t="n">
        <v>0</v>
      </c>
      <c r="R457" s="2" t="inlineStr"/>
    </row>
    <row r="458" ht="15" customHeight="1">
      <c r="A458" t="inlineStr">
        <is>
          <t>A 27270-2024</t>
        </is>
      </c>
      <c r="B458" s="1" t="n">
        <v>45471.81967592592</v>
      </c>
      <c r="C458" s="1" t="n">
        <v>46140</v>
      </c>
      <c r="D458" t="inlineStr">
        <is>
          <t>VÄRMLANDS LÄN</t>
        </is>
      </c>
      <c r="E458" t="inlineStr">
        <is>
          <t>TORSBY</t>
        </is>
      </c>
      <c r="G458" t="n">
        <v>6.9</v>
      </c>
      <c r="H458" t="n">
        <v>0</v>
      </c>
      <c r="I458" t="n">
        <v>0</v>
      </c>
      <c r="J458" t="n">
        <v>0</v>
      </c>
      <c r="K458" t="n">
        <v>0</v>
      </c>
      <c r="L458" t="n">
        <v>0</v>
      </c>
      <c r="M458" t="n">
        <v>0</v>
      </c>
      <c r="N458" t="n">
        <v>0</v>
      </c>
      <c r="O458" t="n">
        <v>0</v>
      </c>
      <c r="P458" t="n">
        <v>0</v>
      </c>
      <c r="Q458" t="n">
        <v>0</v>
      </c>
      <c r="R458" s="2" t="inlineStr"/>
    </row>
    <row r="459" ht="15" customHeight="1">
      <c r="A459" t="inlineStr">
        <is>
          <t>A 21518-2024</t>
        </is>
      </c>
      <c r="B459" s="1" t="n">
        <v>45441</v>
      </c>
      <c r="C459" s="1" t="n">
        <v>46140</v>
      </c>
      <c r="D459" t="inlineStr">
        <is>
          <t>VÄRMLANDS LÄN</t>
        </is>
      </c>
      <c r="E459" t="inlineStr">
        <is>
          <t>TORSBY</t>
        </is>
      </c>
      <c r="G459" t="n">
        <v>1.7</v>
      </c>
      <c r="H459" t="n">
        <v>0</v>
      </c>
      <c r="I459" t="n">
        <v>0</v>
      </c>
      <c r="J459" t="n">
        <v>0</v>
      </c>
      <c r="K459" t="n">
        <v>0</v>
      </c>
      <c r="L459" t="n">
        <v>0</v>
      </c>
      <c r="M459" t="n">
        <v>0</v>
      </c>
      <c r="N459" t="n">
        <v>0</v>
      </c>
      <c r="O459" t="n">
        <v>0</v>
      </c>
      <c r="P459" t="n">
        <v>0</v>
      </c>
      <c r="Q459" t="n">
        <v>0</v>
      </c>
      <c r="R459" s="2" t="inlineStr"/>
    </row>
    <row r="460" ht="15" customHeight="1">
      <c r="A460" t="inlineStr">
        <is>
          <t>A 59256-2023</t>
        </is>
      </c>
      <c r="B460" s="1" t="n">
        <v>45251</v>
      </c>
      <c r="C460" s="1" t="n">
        <v>46140</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27358-2024</t>
        </is>
      </c>
      <c r="B461" s="1" t="n">
        <v>45473.71635416667</v>
      </c>
      <c r="C461" s="1" t="n">
        <v>46140</v>
      </c>
      <c r="D461" t="inlineStr">
        <is>
          <t>VÄRMLANDS LÄN</t>
        </is>
      </c>
      <c r="E461" t="inlineStr">
        <is>
          <t>TORSBY</t>
        </is>
      </c>
      <c r="G461" t="n">
        <v>4.2</v>
      </c>
      <c r="H461" t="n">
        <v>0</v>
      </c>
      <c r="I461" t="n">
        <v>0</v>
      </c>
      <c r="J461" t="n">
        <v>0</v>
      </c>
      <c r="K461" t="n">
        <v>0</v>
      </c>
      <c r="L461" t="n">
        <v>0</v>
      </c>
      <c r="M461" t="n">
        <v>0</v>
      </c>
      <c r="N461" t="n">
        <v>0</v>
      </c>
      <c r="O461" t="n">
        <v>0</v>
      </c>
      <c r="P461" t="n">
        <v>0</v>
      </c>
      <c r="Q461" t="n">
        <v>0</v>
      </c>
      <c r="R461" s="2" t="inlineStr"/>
    </row>
    <row r="462" ht="15" customHeight="1">
      <c r="A462" t="inlineStr">
        <is>
          <t>A 27360-2024</t>
        </is>
      </c>
      <c r="B462" s="1" t="n">
        <v>45473</v>
      </c>
      <c r="C462" s="1" t="n">
        <v>46140</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12051-2024</t>
        </is>
      </c>
      <c r="B463" s="1" t="n">
        <v>45377</v>
      </c>
      <c r="C463" s="1" t="n">
        <v>46140</v>
      </c>
      <c r="D463" t="inlineStr">
        <is>
          <t>VÄRMLANDS LÄN</t>
        </is>
      </c>
      <c r="E463" t="inlineStr">
        <is>
          <t>TORSBY</t>
        </is>
      </c>
      <c r="F463" t="inlineStr">
        <is>
          <t>Bergvik skog väst AB</t>
        </is>
      </c>
      <c r="G463" t="n">
        <v>2</v>
      </c>
      <c r="H463" t="n">
        <v>0</v>
      </c>
      <c r="I463" t="n">
        <v>0</v>
      </c>
      <c r="J463" t="n">
        <v>0</v>
      </c>
      <c r="K463" t="n">
        <v>0</v>
      </c>
      <c r="L463" t="n">
        <v>0</v>
      </c>
      <c r="M463" t="n">
        <v>0</v>
      </c>
      <c r="N463" t="n">
        <v>0</v>
      </c>
      <c r="O463" t="n">
        <v>0</v>
      </c>
      <c r="P463" t="n">
        <v>0</v>
      </c>
      <c r="Q463" t="n">
        <v>0</v>
      </c>
      <c r="R463" s="2" t="inlineStr"/>
    </row>
    <row r="464" ht="15" customHeight="1">
      <c r="A464" t="inlineStr">
        <is>
          <t>A 9574-2023</t>
        </is>
      </c>
      <c r="B464" s="1" t="n">
        <v>44982.55168981481</v>
      </c>
      <c r="C464" s="1" t="n">
        <v>46140</v>
      </c>
      <c r="D464" t="inlineStr">
        <is>
          <t>VÄRMLANDS LÄN</t>
        </is>
      </c>
      <c r="E464" t="inlineStr">
        <is>
          <t>TORSBY</t>
        </is>
      </c>
      <c r="F464" t="inlineStr">
        <is>
          <t>Övriga statliga verk och myndigheter</t>
        </is>
      </c>
      <c r="G464" t="n">
        <v>6.2</v>
      </c>
      <c r="H464" t="n">
        <v>0</v>
      </c>
      <c r="I464" t="n">
        <v>0</v>
      </c>
      <c r="J464" t="n">
        <v>0</v>
      </c>
      <c r="K464" t="n">
        <v>0</v>
      </c>
      <c r="L464" t="n">
        <v>0</v>
      </c>
      <c r="M464" t="n">
        <v>0</v>
      </c>
      <c r="N464" t="n">
        <v>0</v>
      </c>
      <c r="O464" t="n">
        <v>0</v>
      </c>
      <c r="P464" t="n">
        <v>0</v>
      </c>
      <c r="Q464" t="n">
        <v>0</v>
      </c>
      <c r="R464" s="2" t="inlineStr"/>
    </row>
    <row r="465" ht="15" customHeight="1">
      <c r="A465" t="inlineStr">
        <is>
          <t>A 39216-2022</t>
        </is>
      </c>
      <c r="B465" s="1" t="n">
        <v>44817</v>
      </c>
      <c r="C465" s="1" t="n">
        <v>46140</v>
      </c>
      <c r="D465" t="inlineStr">
        <is>
          <t>VÄRMLANDS LÄN</t>
        </is>
      </c>
      <c r="E465" t="inlineStr">
        <is>
          <t>TORSBY</t>
        </is>
      </c>
      <c r="G465" t="n">
        <v>6.6</v>
      </c>
      <c r="H465" t="n">
        <v>0</v>
      </c>
      <c r="I465" t="n">
        <v>0</v>
      </c>
      <c r="J465" t="n">
        <v>0</v>
      </c>
      <c r="K465" t="n">
        <v>0</v>
      </c>
      <c r="L465" t="n">
        <v>0</v>
      </c>
      <c r="M465" t="n">
        <v>0</v>
      </c>
      <c r="N465" t="n">
        <v>0</v>
      </c>
      <c r="O465" t="n">
        <v>0</v>
      </c>
      <c r="P465" t="n">
        <v>0</v>
      </c>
      <c r="Q465" t="n">
        <v>0</v>
      </c>
      <c r="R465" s="2" t="inlineStr"/>
    </row>
    <row r="466" ht="15" customHeight="1">
      <c r="A466" t="inlineStr">
        <is>
          <t>A 35762-2024</t>
        </is>
      </c>
      <c r="B466" s="1" t="n">
        <v>45532.57373842593</v>
      </c>
      <c r="C466" s="1" t="n">
        <v>46140</v>
      </c>
      <c r="D466" t="inlineStr">
        <is>
          <t>VÄRMLANDS LÄN</t>
        </is>
      </c>
      <c r="E466" t="inlineStr">
        <is>
          <t>TORSBY</t>
        </is>
      </c>
      <c r="G466" t="n">
        <v>11.8</v>
      </c>
      <c r="H466" t="n">
        <v>0</v>
      </c>
      <c r="I466" t="n">
        <v>0</v>
      </c>
      <c r="J466" t="n">
        <v>0</v>
      </c>
      <c r="K466" t="n">
        <v>0</v>
      </c>
      <c r="L466" t="n">
        <v>0</v>
      </c>
      <c r="M466" t="n">
        <v>0</v>
      </c>
      <c r="N466" t="n">
        <v>0</v>
      </c>
      <c r="O466" t="n">
        <v>0</v>
      </c>
      <c r="P466" t="n">
        <v>0</v>
      </c>
      <c r="Q466" t="n">
        <v>0</v>
      </c>
      <c r="R466" s="2" t="inlineStr"/>
    </row>
    <row r="467" ht="15" customHeight="1">
      <c r="A467" t="inlineStr">
        <is>
          <t>A 35609-2024</t>
        </is>
      </c>
      <c r="B467" s="1" t="n">
        <v>45531.68758101852</v>
      </c>
      <c r="C467" s="1" t="n">
        <v>46140</v>
      </c>
      <c r="D467" t="inlineStr">
        <is>
          <t>VÄRMLANDS LÄN</t>
        </is>
      </c>
      <c r="E467" t="inlineStr">
        <is>
          <t>TORSBY</t>
        </is>
      </c>
      <c r="G467" t="n">
        <v>38.3</v>
      </c>
      <c r="H467" t="n">
        <v>0</v>
      </c>
      <c r="I467" t="n">
        <v>0</v>
      </c>
      <c r="J467" t="n">
        <v>0</v>
      </c>
      <c r="K467" t="n">
        <v>0</v>
      </c>
      <c r="L467" t="n">
        <v>0</v>
      </c>
      <c r="M467" t="n">
        <v>0</v>
      </c>
      <c r="N467" t="n">
        <v>0</v>
      </c>
      <c r="O467" t="n">
        <v>0</v>
      </c>
      <c r="P467" t="n">
        <v>0</v>
      </c>
      <c r="Q467" t="n">
        <v>0</v>
      </c>
      <c r="R467" s="2" t="inlineStr"/>
    </row>
    <row r="468" ht="15" customHeight="1">
      <c r="A468" t="inlineStr">
        <is>
          <t>A 9067-2023</t>
        </is>
      </c>
      <c r="B468" s="1" t="n">
        <v>44979</v>
      </c>
      <c r="C468" s="1" t="n">
        <v>46140</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32138-2024</t>
        </is>
      </c>
      <c r="B469" s="1" t="n">
        <v>45511</v>
      </c>
      <c r="C469" s="1" t="n">
        <v>46140</v>
      </c>
      <c r="D469" t="inlineStr">
        <is>
          <t>VÄRMLANDS LÄN</t>
        </is>
      </c>
      <c r="E469" t="inlineStr">
        <is>
          <t>TORSBY</t>
        </is>
      </c>
      <c r="F469" t="inlineStr">
        <is>
          <t>Bergvik skog väst AB</t>
        </is>
      </c>
      <c r="G469" t="n">
        <v>26.3</v>
      </c>
      <c r="H469" t="n">
        <v>0</v>
      </c>
      <c r="I469" t="n">
        <v>0</v>
      </c>
      <c r="J469" t="n">
        <v>0</v>
      </c>
      <c r="K469" t="n">
        <v>0</v>
      </c>
      <c r="L469" t="n">
        <v>0</v>
      </c>
      <c r="M469" t="n">
        <v>0</v>
      </c>
      <c r="N469" t="n">
        <v>0</v>
      </c>
      <c r="O469" t="n">
        <v>0</v>
      </c>
      <c r="P469" t="n">
        <v>0</v>
      </c>
      <c r="Q469" t="n">
        <v>0</v>
      </c>
      <c r="R469" s="2" t="inlineStr"/>
    </row>
    <row r="470" ht="15" customHeight="1">
      <c r="A470" t="inlineStr">
        <is>
          <t>A 36718-2024</t>
        </is>
      </c>
      <c r="B470" s="1" t="n">
        <v>45537</v>
      </c>
      <c r="C470" s="1" t="n">
        <v>46140</v>
      </c>
      <c r="D470" t="inlineStr">
        <is>
          <t>VÄRMLANDS LÄN</t>
        </is>
      </c>
      <c r="E470" t="inlineStr">
        <is>
          <t>TORSBY</t>
        </is>
      </c>
      <c r="G470" t="n">
        <v>3.7</v>
      </c>
      <c r="H470" t="n">
        <v>0</v>
      </c>
      <c r="I470" t="n">
        <v>0</v>
      </c>
      <c r="J470" t="n">
        <v>0</v>
      </c>
      <c r="K470" t="n">
        <v>0</v>
      </c>
      <c r="L470" t="n">
        <v>0</v>
      </c>
      <c r="M470" t="n">
        <v>0</v>
      </c>
      <c r="N470" t="n">
        <v>0</v>
      </c>
      <c r="O470" t="n">
        <v>0</v>
      </c>
      <c r="P470" t="n">
        <v>0</v>
      </c>
      <c r="Q470" t="n">
        <v>0</v>
      </c>
      <c r="R470" s="2" t="inlineStr"/>
    </row>
    <row r="471" ht="15" customHeight="1">
      <c r="A471" t="inlineStr">
        <is>
          <t>A 20872-2024</t>
        </is>
      </c>
      <c r="B471" s="1" t="n">
        <v>45439.44173611111</v>
      </c>
      <c r="C471" s="1" t="n">
        <v>46140</v>
      </c>
      <c r="D471" t="inlineStr">
        <is>
          <t>VÄRMLANDS LÄN</t>
        </is>
      </c>
      <c r="E471" t="inlineStr">
        <is>
          <t>TORSBY</t>
        </is>
      </c>
      <c r="G471" t="n">
        <v>7.4</v>
      </c>
      <c r="H471" t="n">
        <v>0</v>
      </c>
      <c r="I471" t="n">
        <v>0</v>
      </c>
      <c r="J471" t="n">
        <v>0</v>
      </c>
      <c r="K471" t="n">
        <v>0</v>
      </c>
      <c r="L471" t="n">
        <v>0</v>
      </c>
      <c r="M471" t="n">
        <v>0</v>
      </c>
      <c r="N471" t="n">
        <v>0</v>
      </c>
      <c r="O471" t="n">
        <v>0</v>
      </c>
      <c r="P471" t="n">
        <v>0</v>
      </c>
      <c r="Q471" t="n">
        <v>0</v>
      </c>
      <c r="R471" s="2" t="inlineStr"/>
    </row>
    <row r="472" ht="15" customHeight="1">
      <c r="A472" t="inlineStr">
        <is>
          <t>A 37075-2021</t>
        </is>
      </c>
      <c r="B472" s="1" t="n">
        <v>44394</v>
      </c>
      <c r="C472" s="1" t="n">
        <v>46140</v>
      </c>
      <c r="D472" t="inlineStr">
        <is>
          <t>VÄRMLANDS LÄN</t>
        </is>
      </c>
      <c r="E472" t="inlineStr">
        <is>
          <t>TORSBY</t>
        </is>
      </c>
      <c r="G472" t="n">
        <v>3.2</v>
      </c>
      <c r="H472" t="n">
        <v>0</v>
      </c>
      <c r="I472" t="n">
        <v>0</v>
      </c>
      <c r="J472" t="n">
        <v>0</v>
      </c>
      <c r="K472" t="n">
        <v>0</v>
      </c>
      <c r="L472" t="n">
        <v>0</v>
      </c>
      <c r="M472" t="n">
        <v>0</v>
      </c>
      <c r="N472" t="n">
        <v>0</v>
      </c>
      <c r="O472" t="n">
        <v>0</v>
      </c>
      <c r="P472" t="n">
        <v>0</v>
      </c>
      <c r="Q472" t="n">
        <v>0</v>
      </c>
      <c r="R472" s="2" t="inlineStr"/>
    </row>
    <row r="473" ht="15" customHeight="1">
      <c r="A473" t="inlineStr">
        <is>
          <t>A 25949-2024</t>
        </is>
      </c>
      <c r="B473" s="1" t="n">
        <v>45467.6442824074</v>
      </c>
      <c r="C473" s="1" t="n">
        <v>46140</v>
      </c>
      <c r="D473" t="inlineStr">
        <is>
          <t>VÄRMLANDS LÄN</t>
        </is>
      </c>
      <c r="E473" t="inlineStr">
        <is>
          <t>TORSBY</t>
        </is>
      </c>
      <c r="F473" t="inlineStr">
        <is>
          <t>Bergvik skog väst AB</t>
        </is>
      </c>
      <c r="G473" t="n">
        <v>2.3</v>
      </c>
      <c r="H473" t="n">
        <v>0</v>
      </c>
      <c r="I473" t="n">
        <v>0</v>
      </c>
      <c r="J473" t="n">
        <v>0</v>
      </c>
      <c r="K473" t="n">
        <v>0</v>
      </c>
      <c r="L473" t="n">
        <v>0</v>
      </c>
      <c r="M473" t="n">
        <v>0</v>
      </c>
      <c r="N473" t="n">
        <v>0</v>
      </c>
      <c r="O473" t="n">
        <v>0</v>
      </c>
      <c r="P473" t="n">
        <v>0</v>
      </c>
      <c r="Q473" t="n">
        <v>0</v>
      </c>
      <c r="R473" s="2" t="inlineStr"/>
    </row>
    <row r="474" ht="15" customHeight="1">
      <c r="A474" t="inlineStr">
        <is>
          <t>A 32847-2024</t>
        </is>
      </c>
      <c r="B474" s="1" t="n">
        <v>45516.63021990741</v>
      </c>
      <c r="C474" s="1" t="n">
        <v>46140</v>
      </c>
      <c r="D474" t="inlineStr">
        <is>
          <t>VÄRMLANDS LÄN</t>
        </is>
      </c>
      <c r="E474" t="inlineStr">
        <is>
          <t>TORSBY</t>
        </is>
      </c>
      <c r="F474" t="inlineStr">
        <is>
          <t>Bergvik skog väst AB</t>
        </is>
      </c>
      <c r="G474" t="n">
        <v>3.9</v>
      </c>
      <c r="H474" t="n">
        <v>0</v>
      </c>
      <c r="I474" t="n">
        <v>0</v>
      </c>
      <c r="J474" t="n">
        <v>0</v>
      </c>
      <c r="K474" t="n">
        <v>0</v>
      </c>
      <c r="L474" t="n">
        <v>0</v>
      </c>
      <c r="M474" t="n">
        <v>0</v>
      </c>
      <c r="N474" t="n">
        <v>0</v>
      </c>
      <c r="O474" t="n">
        <v>0</v>
      </c>
      <c r="P474" t="n">
        <v>0</v>
      </c>
      <c r="Q474" t="n">
        <v>0</v>
      </c>
      <c r="R474" s="2" t="inlineStr"/>
    </row>
    <row r="475" ht="15" customHeight="1">
      <c r="A475" t="inlineStr">
        <is>
          <t>A 54796-2024</t>
        </is>
      </c>
      <c r="B475" s="1" t="n">
        <v>45618</v>
      </c>
      <c r="C475" s="1" t="n">
        <v>46140</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21365-2023</t>
        </is>
      </c>
      <c r="B476" s="1" t="n">
        <v>45063.26761574074</v>
      </c>
      <c r="C476" s="1" t="n">
        <v>46140</v>
      </c>
      <c r="D476" t="inlineStr">
        <is>
          <t>VÄRMLANDS LÄN</t>
        </is>
      </c>
      <c r="E476" t="inlineStr">
        <is>
          <t>TORSBY</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60781-2024</t>
        </is>
      </c>
      <c r="B477" s="1" t="n">
        <v>45642</v>
      </c>
      <c r="C477" s="1" t="n">
        <v>46140</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61128-2022</t>
        </is>
      </c>
      <c r="B478" s="1" t="n">
        <v>44915.4455787037</v>
      </c>
      <c r="C478" s="1" t="n">
        <v>46140</v>
      </c>
      <c r="D478" t="inlineStr">
        <is>
          <t>VÄRMLANDS LÄN</t>
        </is>
      </c>
      <c r="E478" t="inlineStr">
        <is>
          <t>TORSBY</t>
        </is>
      </c>
      <c r="G478" t="n">
        <v>2.4</v>
      </c>
      <c r="H478" t="n">
        <v>0</v>
      </c>
      <c r="I478" t="n">
        <v>0</v>
      </c>
      <c r="J478" t="n">
        <v>0</v>
      </c>
      <c r="K478" t="n">
        <v>0</v>
      </c>
      <c r="L478" t="n">
        <v>0</v>
      </c>
      <c r="M478" t="n">
        <v>0</v>
      </c>
      <c r="N478" t="n">
        <v>0</v>
      </c>
      <c r="O478" t="n">
        <v>0</v>
      </c>
      <c r="P478" t="n">
        <v>0</v>
      </c>
      <c r="Q478" t="n">
        <v>0</v>
      </c>
      <c r="R478" s="2" t="inlineStr"/>
    </row>
    <row r="479" ht="15" customHeight="1">
      <c r="A479" t="inlineStr">
        <is>
          <t>A 41671-2021</t>
        </is>
      </c>
      <c r="B479" s="1" t="n">
        <v>44425</v>
      </c>
      <c r="C479" s="1" t="n">
        <v>46140</v>
      </c>
      <c r="D479" t="inlineStr">
        <is>
          <t>VÄRMLANDS LÄN</t>
        </is>
      </c>
      <c r="E479" t="inlineStr">
        <is>
          <t>TORSBY</t>
        </is>
      </c>
      <c r="F479" t="inlineStr">
        <is>
          <t>Övriga Aktiebolag</t>
        </is>
      </c>
      <c r="G479" t="n">
        <v>10.1</v>
      </c>
      <c r="H479" t="n">
        <v>0</v>
      </c>
      <c r="I479" t="n">
        <v>0</v>
      </c>
      <c r="J479" t="n">
        <v>0</v>
      </c>
      <c r="K479" t="n">
        <v>0</v>
      </c>
      <c r="L479" t="n">
        <v>0</v>
      </c>
      <c r="M479" t="n">
        <v>0</v>
      </c>
      <c r="N479" t="n">
        <v>0</v>
      </c>
      <c r="O479" t="n">
        <v>0</v>
      </c>
      <c r="P479" t="n">
        <v>0</v>
      </c>
      <c r="Q479" t="n">
        <v>0</v>
      </c>
      <c r="R479" s="2" t="inlineStr"/>
    </row>
    <row r="480" ht="15" customHeight="1">
      <c r="A480" t="inlineStr">
        <is>
          <t>A 27086-2024</t>
        </is>
      </c>
      <c r="B480" s="1" t="n">
        <v>45471</v>
      </c>
      <c r="C480" s="1" t="n">
        <v>46140</v>
      </c>
      <c r="D480" t="inlineStr">
        <is>
          <t>VÄRMLANDS LÄN</t>
        </is>
      </c>
      <c r="E480" t="inlineStr">
        <is>
          <t>TORSBY</t>
        </is>
      </c>
      <c r="G480" t="n">
        <v>0.7</v>
      </c>
      <c r="H480" t="n">
        <v>0</v>
      </c>
      <c r="I480" t="n">
        <v>0</v>
      </c>
      <c r="J480" t="n">
        <v>0</v>
      </c>
      <c r="K480" t="n">
        <v>0</v>
      </c>
      <c r="L480" t="n">
        <v>0</v>
      </c>
      <c r="M480" t="n">
        <v>0</v>
      </c>
      <c r="N480" t="n">
        <v>0</v>
      </c>
      <c r="O480" t="n">
        <v>0</v>
      </c>
      <c r="P480" t="n">
        <v>0</v>
      </c>
      <c r="Q480" t="n">
        <v>0</v>
      </c>
      <c r="R480" s="2" t="inlineStr"/>
    </row>
    <row r="481" ht="15" customHeight="1">
      <c r="A481" t="inlineStr">
        <is>
          <t>A 66978-2021</t>
        </is>
      </c>
      <c r="B481" s="1" t="n">
        <v>44522</v>
      </c>
      <c r="C481" s="1" t="n">
        <v>46140</v>
      </c>
      <c r="D481" t="inlineStr">
        <is>
          <t>VÄRMLANDS LÄN</t>
        </is>
      </c>
      <c r="E481" t="inlineStr">
        <is>
          <t>TORSBY</t>
        </is>
      </c>
      <c r="F481" t="inlineStr">
        <is>
          <t>Kommuner</t>
        </is>
      </c>
      <c r="G481" t="n">
        <v>1</v>
      </c>
      <c r="H481" t="n">
        <v>0</v>
      </c>
      <c r="I481" t="n">
        <v>0</v>
      </c>
      <c r="J481" t="n">
        <v>0</v>
      </c>
      <c r="K481" t="n">
        <v>0</v>
      </c>
      <c r="L481" t="n">
        <v>0</v>
      </c>
      <c r="M481" t="n">
        <v>0</v>
      </c>
      <c r="N481" t="n">
        <v>0</v>
      </c>
      <c r="O481" t="n">
        <v>0</v>
      </c>
      <c r="P481" t="n">
        <v>0</v>
      </c>
      <c r="Q481" t="n">
        <v>0</v>
      </c>
      <c r="R481" s="2" t="inlineStr"/>
    </row>
    <row r="482" ht="15" customHeight="1">
      <c r="A482" t="inlineStr">
        <is>
          <t>A 14025-2025</t>
        </is>
      </c>
      <c r="B482" s="1" t="n">
        <v>45740</v>
      </c>
      <c r="C482" s="1" t="n">
        <v>46140</v>
      </c>
      <c r="D482" t="inlineStr">
        <is>
          <t>VÄRMLANDS LÄN</t>
        </is>
      </c>
      <c r="E482" t="inlineStr">
        <is>
          <t>TORSBY</t>
        </is>
      </c>
      <c r="G482" t="n">
        <v>1.2</v>
      </c>
      <c r="H482" t="n">
        <v>0</v>
      </c>
      <c r="I482" t="n">
        <v>0</v>
      </c>
      <c r="J482" t="n">
        <v>0</v>
      </c>
      <c r="K482" t="n">
        <v>0</v>
      </c>
      <c r="L482" t="n">
        <v>0</v>
      </c>
      <c r="M482" t="n">
        <v>0</v>
      </c>
      <c r="N482" t="n">
        <v>0</v>
      </c>
      <c r="O482" t="n">
        <v>0</v>
      </c>
      <c r="P482" t="n">
        <v>0</v>
      </c>
      <c r="Q482" t="n">
        <v>0</v>
      </c>
      <c r="R482" s="2" t="inlineStr"/>
    </row>
    <row r="483" ht="15" customHeight="1">
      <c r="A483" t="inlineStr">
        <is>
          <t>A 45587-2023</t>
        </is>
      </c>
      <c r="B483" s="1" t="n">
        <v>45194.62877314815</v>
      </c>
      <c r="C483" s="1" t="n">
        <v>46140</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29375-2024</t>
        </is>
      </c>
      <c r="B484" s="1" t="n">
        <v>45483.58712962963</v>
      </c>
      <c r="C484" s="1" t="n">
        <v>46140</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56430-2024</t>
        </is>
      </c>
      <c r="B485" s="1" t="n">
        <v>45625</v>
      </c>
      <c r="C485" s="1" t="n">
        <v>46140</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38541-2023</t>
        </is>
      </c>
      <c r="B486" s="1" t="n">
        <v>45162</v>
      </c>
      <c r="C486" s="1" t="n">
        <v>46140</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10888-2023</t>
        </is>
      </c>
      <c r="B487" s="1" t="n">
        <v>44985</v>
      </c>
      <c r="C487" s="1" t="n">
        <v>46140</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56240-2024</t>
        </is>
      </c>
      <c r="B488" s="1" t="n">
        <v>45624.63012731481</v>
      </c>
      <c r="C488" s="1" t="n">
        <v>46140</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2387-2025</t>
        </is>
      </c>
      <c r="B489" s="1" t="n">
        <v>45674</v>
      </c>
      <c r="C489" s="1" t="n">
        <v>46140</v>
      </c>
      <c r="D489" t="inlineStr">
        <is>
          <t>VÄRMLANDS LÄN</t>
        </is>
      </c>
      <c r="E489" t="inlineStr">
        <is>
          <t>TORSBY</t>
        </is>
      </c>
      <c r="G489" t="n">
        <v>2.1</v>
      </c>
      <c r="H489" t="n">
        <v>0</v>
      </c>
      <c r="I489" t="n">
        <v>0</v>
      </c>
      <c r="J489" t="n">
        <v>0</v>
      </c>
      <c r="K489" t="n">
        <v>0</v>
      </c>
      <c r="L489" t="n">
        <v>0</v>
      </c>
      <c r="M489" t="n">
        <v>0</v>
      </c>
      <c r="N489" t="n">
        <v>0</v>
      </c>
      <c r="O489" t="n">
        <v>0</v>
      </c>
      <c r="P489" t="n">
        <v>0</v>
      </c>
      <c r="Q489" t="n">
        <v>0</v>
      </c>
      <c r="R489" s="2" t="inlineStr"/>
    </row>
    <row r="490" ht="15" customHeight="1">
      <c r="A490" t="inlineStr">
        <is>
          <t>A 42834-2024</t>
        </is>
      </c>
      <c r="B490" s="1" t="n">
        <v>45566</v>
      </c>
      <c r="C490" s="1" t="n">
        <v>46140</v>
      </c>
      <c r="D490" t="inlineStr">
        <is>
          <t>VÄRMLANDS LÄN</t>
        </is>
      </c>
      <c r="E490" t="inlineStr">
        <is>
          <t>TORSBY</t>
        </is>
      </c>
      <c r="G490" t="n">
        <v>5.8</v>
      </c>
      <c r="H490" t="n">
        <v>0</v>
      </c>
      <c r="I490" t="n">
        <v>0</v>
      </c>
      <c r="J490" t="n">
        <v>0</v>
      </c>
      <c r="K490" t="n">
        <v>0</v>
      </c>
      <c r="L490" t="n">
        <v>0</v>
      </c>
      <c r="M490" t="n">
        <v>0</v>
      </c>
      <c r="N490" t="n">
        <v>0</v>
      </c>
      <c r="O490" t="n">
        <v>0</v>
      </c>
      <c r="P490" t="n">
        <v>0</v>
      </c>
      <c r="Q490" t="n">
        <v>0</v>
      </c>
      <c r="R490" s="2" t="inlineStr"/>
    </row>
    <row r="491" ht="15" customHeight="1">
      <c r="A491" t="inlineStr">
        <is>
          <t>A 47355-2023</t>
        </is>
      </c>
      <c r="B491" s="1" t="n">
        <v>45202</v>
      </c>
      <c r="C491" s="1" t="n">
        <v>46140</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24004-2024</t>
        </is>
      </c>
      <c r="B492" s="1" t="n">
        <v>45456</v>
      </c>
      <c r="C492" s="1" t="n">
        <v>46140</v>
      </c>
      <c r="D492" t="inlineStr">
        <is>
          <t>VÄRMLANDS LÄN</t>
        </is>
      </c>
      <c r="E492" t="inlineStr">
        <is>
          <t>TORSBY</t>
        </is>
      </c>
      <c r="G492" t="n">
        <v>2.9</v>
      </c>
      <c r="H492" t="n">
        <v>0</v>
      </c>
      <c r="I492" t="n">
        <v>0</v>
      </c>
      <c r="J492" t="n">
        <v>0</v>
      </c>
      <c r="K492" t="n">
        <v>0</v>
      </c>
      <c r="L492" t="n">
        <v>0</v>
      </c>
      <c r="M492" t="n">
        <v>0</v>
      </c>
      <c r="N492" t="n">
        <v>0</v>
      </c>
      <c r="O492" t="n">
        <v>0</v>
      </c>
      <c r="P492" t="n">
        <v>0</v>
      </c>
      <c r="Q492" t="n">
        <v>0</v>
      </c>
      <c r="R492" s="2" t="inlineStr"/>
    </row>
    <row r="493" ht="15" customHeight="1">
      <c r="A493" t="inlineStr">
        <is>
          <t>A 44448-2024</t>
        </is>
      </c>
      <c r="B493" s="1" t="n">
        <v>45574</v>
      </c>
      <c r="C493" s="1" t="n">
        <v>46140</v>
      </c>
      <c r="D493" t="inlineStr">
        <is>
          <t>VÄRMLANDS LÄN</t>
        </is>
      </c>
      <c r="E493" t="inlineStr">
        <is>
          <t>TORSBY</t>
        </is>
      </c>
      <c r="G493" t="n">
        <v>8.9</v>
      </c>
      <c r="H493" t="n">
        <v>0</v>
      </c>
      <c r="I493" t="n">
        <v>0</v>
      </c>
      <c r="J493" t="n">
        <v>0</v>
      </c>
      <c r="K493" t="n">
        <v>0</v>
      </c>
      <c r="L493" t="n">
        <v>0</v>
      </c>
      <c r="M493" t="n">
        <v>0</v>
      </c>
      <c r="N493" t="n">
        <v>0</v>
      </c>
      <c r="O493" t="n">
        <v>0</v>
      </c>
      <c r="P493" t="n">
        <v>0</v>
      </c>
      <c r="Q493" t="n">
        <v>0</v>
      </c>
      <c r="R493" s="2" t="inlineStr"/>
    </row>
    <row r="494" ht="15" customHeight="1">
      <c r="A494" t="inlineStr">
        <is>
          <t>A 60537-2024</t>
        </is>
      </c>
      <c r="B494" s="1" t="n">
        <v>45643.77138888889</v>
      </c>
      <c r="C494" s="1" t="n">
        <v>46140</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36917-2024</t>
        </is>
      </c>
      <c r="B495" s="1" t="n">
        <v>45538.65065972223</v>
      </c>
      <c r="C495" s="1" t="n">
        <v>46140</v>
      </c>
      <c r="D495" t="inlineStr">
        <is>
          <t>VÄRMLANDS LÄN</t>
        </is>
      </c>
      <c r="E495" t="inlineStr">
        <is>
          <t>TORSBY</t>
        </is>
      </c>
      <c r="G495" t="n">
        <v>2.9</v>
      </c>
      <c r="H495" t="n">
        <v>0</v>
      </c>
      <c r="I495" t="n">
        <v>0</v>
      </c>
      <c r="J495" t="n">
        <v>0</v>
      </c>
      <c r="K495" t="n">
        <v>0</v>
      </c>
      <c r="L495" t="n">
        <v>0</v>
      </c>
      <c r="M495" t="n">
        <v>0</v>
      </c>
      <c r="N495" t="n">
        <v>0</v>
      </c>
      <c r="O495" t="n">
        <v>0</v>
      </c>
      <c r="P495" t="n">
        <v>0</v>
      </c>
      <c r="Q495" t="n">
        <v>0</v>
      </c>
      <c r="R495" s="2" t="inlineStr"/>
    </row>
    <row r="496" ht="15" customHeight="1">
      <c r="A496" t="inlineStr">
        <is>
          <t>A 36922-2024</t>
        </is>
      </c>
      <c r="B496" s="1" t="n">
        <v>45538</v>
      </c>
      <c r="C496" s="1" t="n">
        <v>46140</v>
      </c>
      <c r="D496" t="inlineStr">
        <is>
          <t>VÄRMLANDS LÄN</t>
        </is>
      </c>
      <c r="E496" t="inlineStr">
        <is>
          <t>TORSBY</t>
        </is>
      </c>
      <c r="G496" t="n">
        <v>2</v>
      </c>
      <c r="H496" t="n">
        <v>0</v>
      </c>
      <c r="I496" t="n">
        <v>0</v>
      </c>
      <c r="J496" t="n">
        <v>0</v>
      </c>
      <c r="K496" t="n">
        <v>0</v>
      </c>
      <c r="L496" t="n">
        <v>0</v>
      </c>
      <c r="M496" t="n">
        <v>0</v>
      </c>
      <c r="N496" t="n">
        <v>0</v>
      </c>
      <c r="O496" t="n">
        <v>0</v>
      </c>
      <c r="P496" t="n">
        <v>0</v>
      </c>
      <c r="Q496" t="n">
        <v>0</v>
      </c>
      <c r="R496" s="2" t="inlineStr"/>
    </row>
    <row r="497" ht="15" customHeight="1">
      <c r="A497" t="inlineStr">
        <is>
          <t>A 15773-2023</t>
        </is>
      </c>
      <c r="B497" s="1" t="n">
        <v>45021</v>
      </c>
      <c r="C497" s="1" t="n">
        <v>46140</v>
      </c>
      <c r="D497" t="inlineStr">
        <is>
          <t>VÄRMLANDS LÄN</t>
        </is>
      </c>
      <c r="E497" t="inlineStr">
        <is>
          <t>TORSBY</t>
        </is>
      </c>
      <c r="G497" t="n">
        <v>2.5</v>
      </c>
      <c r="H497" t="n">
        <v>0</v>
      </c>
      <c r="I497" t="n">
        <v>0</v>
      </c>
      <c r="J497" t="n">
        <v>0</v>
      </c>
      <c r="K497" t="n">
        <v>0</v>
      </c>
      <c r="L497" t="n">
        <v>0</v>
      </c>
      <c r="M497" t="n">
        <v>0</v>
      </c>
      <c r="N497" t="n">
        <v>0</v>
      </c>
      <c r="O497" t="n">
        <v>0</v>
      </c>
      <c r="P497" t="n">
        <v>0</v>
      </c>
      <c r="Q497" t="n">
        <v>0</v>
      </c>
      <c r="R497" s="2" t="inlineStr"/>
    </row>
    <row r="498" ht="15" customHeight="1">
      <c r="A498" t="inlineStr">
        <is>
          <t>A 58951-2022</t>
        </is>
      </c>
      <c r="B498" s="1" t="n">
        <v>44903.65313657407</v>
      </c>
      <c r="C498" s="1" t="n">
        <v>46140</v>
      </c>
      <c r="D498" t="inlineStr">
        <is>
          <t>VÄRMLANDS LÄN</t>
        </is>
      </c>
      <c r="E498" t="inlineStr">
        <is>
          <t>TORSBY</t>
        </is>
      </c>
      <c r="G498" t="n">
        <v>2.7</v>
      </c>
      <c r="H498" t="n">
        <v>0</v>
      </c>
      <c r="I498" t="n">
        <v>0</v>
      </c>
      <c r="J498" t="n">
        <v>0</v>
      </c>
      <c r="K498" t="n">
        <v>0</v>
      </c>
      <c r="L498" t="n">
        <v>0</v>
      </c>
      <c r="M498" t="n">
        <v>0</v>
      </c>
      <c r="N498" t="n">
        <v>0</v>
      </c>
      <c r="O498" t="n">
        <v>0</v>
      </c>
      <c r="P498" t="n">
        <v>0</v>
      </c>
      <c r="Q498" t="n">
        <v>0</v>
      </c>
      <c r="R498" s="2" t="inlineStr"/>
    </row>
    <row r="499" ht="15" customHeight="1">
      <c r="A499" t="inlineStr">
        <is>
          <t>A 33499-2024</t>
        </is>
      </c>
      <c r="B499" s="1" t="n">
        <v>45519.62280092593</v>
      </c>
      <c r="C499" s="1" t="n">
        <v>46140</v>
      </c>
      <c r="D499" t="inlineStr">
        <is>
          <t>VÄRMLANDS LÄN</t>
        </is>
      </c>
      <c r="E499" t="inlineStr">
        <is>
          <t>TORSBY</t>
        </is>
      </c>
      <c r="G499" t="n">
        <v>1.6</v>
      </c>
      <c r="H499" t="n">
        <v>0</v>
      </c>
      <c r="I499" t="n">
        <v>0</v>
      </c>
      <c r="J499" t="n">
        <v>0</v>
      </c>
      <c r="K499" t="n">
        <v>0</v>
      </c>
      <c r="L499" t="n">
        <v>0</v>
      </c>
      <c r="M499" t="n">
        <v>0</v>
      </c>
      <c r="N499" t="n">
        <v>0</v>
      </c>
      <c r="O499" t="n">
        <v>0</v>
      </c>
      <c r="P499" t="n">
        <v>0</v>
      </c>
      <c r="Q499" t="n">
        <v>0</v>
      </c>
      <c r="R499" s="2" t="inlineStr"/>
    </row>
    <row r="500" ht="15" customHeight="1">
      <c r="A500" t="inlineStr">
        <is>
          <t>A 11121-2024</t>
        </is>
      </c>
      <c r="B500" s="1" t="n">
        <v>45371.40634259259</v>
      </c>
      <c r="C500" s="1" t="n">
        <v>46140</v>
      </c>
      <c r="D500" t="inlineStr">
        <is>
          <t>VÄRMLANDS LÄN</t>
        </is>
      </c>
      <c r="E500" t="inlineStr">
        <is>
          <t>TORSBY</t>
        </is>
      </c>
      <c r="G500" t="n">
        <v>2.3</v>
      </c>
      <c r="H500" t="n">
        <v>0</v>
      </c>
      <c r="I500" t="n">
        <v>0</v>
      </c>
      <c r="J500" t="n">
        <v>0</v>
      </c>
      <c r="K500" t="n">
        <v>0</v>
      </c>
      <c r="L500" t="n">
        <v>0</v>
      </c>
      <c r="M500" t="n">
        <v>0</v>
      </c>
      <c r="N500" t="n">
        <v>0</v>
      </c>
      <c r="O500" t="n">
        <v>0</v>
      </c>
      <c r="P500" t="n">
        <v>0</v>
      </c>
      <c r="Q500" t="n">
        <v>0</v>
      </c>
      <c r="R500" s="2" t="inlineStr"/>
    </row>
    <row r="501" ht="15" customHeight="1">
      <c r="A501" t="inlineStr">
        <is>
          <t>A 40157-2024</t>
        </is>
      </c>
      <c r="B501" s="1" t="n">
        <v>45554</v>
      </c>
      <c r="C501" s="1" t="n">
        <v>46140</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40227-2024</t>
        </is>
      </c>
      <c r="B502" s="1" t="n">
        <v>45554</v>
      </c>
      <c r="C502" s="1" t="n">
        <v>46140</v>
      </c>
      <c r="D502" t="inlineStr">
        <is>
          <t>VÄRMLANDS LÄN</t>
        </is>
      </c>
      <c r="E502" t="inlineStr">
        <is>
          <t>TORSBY</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1120-2023</t>
        </is>
      </c>
      <c r="B503" s="1" t="n">
        <v>44935</v>
      </c>
      <c r="C503" s="1" t="n">
        <v>46140</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3841-2022</t>
        </is>
      </c>
      <c r="B504" s="1" t="n">
        <v>44587</v>
      </c>
      <c r="C504" s="1" t="n">
        <v>46140</v>
      </c>
      <c r="D504" t="inlineStr">
        <is>
          <t>VÄRMLANDS LÄN</t>
        </is>
      </c>
      <c r="E504" t="inlineStr">
        <is>
          <t>TORSBY</t>
        </is>
      </c>
      <c r="G504" t="n">
        <v>6.4</v>
      </c>
      <c r="H504" t="n">
        <v>0</v>
      </c>
      <c r="I504" t="n">
        <v>0</v>
      </c>
      <c r="J504" t="n">
        <v>0</v>
      </c>
      <c r="K504" t="n">
        <v>0</v>
      </c>
      <c r="L504" t="n">
        <v>0</v>
      </c>
      <c r="M504" t="n">
        <v>0</v>
      </c>
      <c r="N504" t="n">
        <v>0</v>
      </c>
      <c r="O504" t="n">
        <v>0</v>
      </c>
      <c r="P504" t="n">
        <v>0</v>
      </c>
      <c r="Q504" t="n">
        <v>0</v>
      </c>
      <c r="R504" s="2" t="inlineStr"/>
    </row>
    <row r="505" ht="15" customHeight="1">
      <c r="A505" t="inlineStr">
        <is>
          <t>A 50973-2023</t>
        </is>
      </c>
      <c r="B505" s="1" t="n">
        <v>45218.50408564815</v>
      </c>
      <c r="C505" s="1" t="n">
        <v>46140</v>
      </c>
      <c r="D505" t="inlineStr">
        <is>
          <t>VÄRMLANDS LÄN</t>
        </is>
      </c>
      <c r="E505" t="inlineStr">
        <is>
          <t>TORSBY</t>
        </is>
      </c>
      <c r="G505" t="n">
        <v>10.7</v>
      </c>
      <c r="H505" t="n">
        <v>0</v>
      </c>
      <c r="I505" t="n">
        <v>0</v>
      </c>
      <c r="J505" t="n">
        <v>0</v>
      </c>
      <c r="K505" t="n">
        <v>0</v>
      </c>
      <c r="L505" t="n">
        <v>0</v>
      </c>
      <c r="M505" t="n">
        <v>0</v>
      </c>
      <c r="N505" t="n">
        <v>0</v>
      </c>
      <c r="O505" t="n">
        <v>0</v>
      </c>
      <c r="P505" t="n">
        <v>0</v>
      </c>
      <c r="Q505" t="n">
        <v>0</v>
      </c>
      <c r="R505" s="2" t="inlineStr"/>
    </row>
    <row r="506" ht="15" customHeight="1">
      <c r="A506" t="inlineStr">
        <is>
          <t>A 57393-2022</t>
        </is>
      </c>
      <c r="B506" s="1" t="n">
        <v>44896.47630787037</v>
      </c>
      <c r="C506" s="1" t="n">
        <v>46140</v>
      </c>
      <c r="D506" t="inlineStr">
        <is>
          <t>VÄRMLANDS LÄN</t>
        </is>
      </c>
      <c r="E506" t="inlineStr">
        <is>
          <t>TORSBY</t>
        </is>
      </c>
      <c r="G506" t="n">
        <v>5</v>
      </c>
      <c r="H506" t="n">
        <v>0</v>
      </c>
      <c r="I506" t="n">
        <v>0</v>
      </c>
      <c r="J506" t="n">
        <v>0</v>
      </c>
      <c r="K506" t="n">
        <v>0</v>
      </c>
      <c r="L506" t="n">
        <v>0</v>
      </c>
      <c r="M506" t="n">
        <v>0</v>
      </c>
      <c r="N506" t="n">
        <v>0</v>
      </c>
      <c r="O506" t="n">
        <v>0</v>
      </c>
      <c r="P506" t="n">
        <v>0</v>
      </c>
      <c r="Q506" t="n">
        <v>0</v>
      </c>
      <c r="R506" s="2" t="inlineStr"/>
    </row>
    <row r="507" ht="15" customHeight="1">
      <c r="A507" t="inlineStr">
        <is>
          <t>A 63032-2023</t>
        </is>
      </c>
      <c r="B507" s="1" t="n">
        <v>45272.72728009259</v>
      </c>
      <c r="C507" s="1" t="n">
        <v>46140</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2981-2025</t>
        </is>
      </c>
      <c r="B508" s="1" t="n">
        <v>45678.48844907407</v>
      </c>
      <c r="C508" s="1" t="n">
        <v>46140</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33338-2024</t>
        </is>
      </c>
      <c r="B509" s="1" t="n">
        <v>45519</v>
      </c>
      <c r="C509" s="1" t="n">
        <v>46140</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17687-2024</t>
        </is>
      </c>
      <c r="B510" s="1" t="n">
        <v>45418</v>
      </c>
      <c r="C510" s="1" t="n">
        <v>46140</v>
      </c>
      <c r="D510" t="inlineStr">
        <is>
          <t>VÄRMLANDS LÄN</t>
        </is>
      </c>
      <c r="E510" t="inlineStr">
        <is>
          <t>TORSBY</t>
        </is>
      </c>
      <c r="G510" t="n">
        <v>1.9</v>
      </c>
      <c r="H510" t="n">
        <v>0</v>
      </c>
      <c r="I510" t="n">
        <v>0</v>
      </c>
      <c r="J510" t="n">
        <v>0</v>
      </c>
      <c r="K510" t="n">
        <v>0</v>
      </c>
      <c r="L510" t="n">
        <v>0</v>
      </c>
      <c r="M510" t="n">
        <v>0</v>
      </c>
      <c r="N510" t="n">
        <v>0</v>
      </c>
      <c r="O510" t="n">
        <v>0</v>
      </c>
      <c r="P510" t="n">
        <v>0</v>
      </c>
      <c r="Q510" t="n">
        <v>0</v>
      </c>
      <c r="R510" s="2" t="inlineStr"/>
    </row>
    <row r="511" ht="15" customHeight="1">
      <c r="A511" t="inlineStr">
        <is>
          <t>A 40541-2024</t>
        </is>
      </c>
      <c r="B511" s="1" t="n">
        <v>45555.62736111111</v>
      </c>
      <c r="C511" s="1" t="n">
        <v>46140</v>
      </c>
      <c r="D511" t="inlineStr">
        <is>
          <t>VÄRMLANDS LÄN</t>
        </is>
      </c>
      <c r="E511" t="inlineStr">
        <is>
          <t>TORSBY</t>
        </is>
      </c>
      <c r="F511" t="inlineStr">
        <is>
          <t>Bergvik skog väst AB</t>
        </is>
      </c>
      <c r="G511" t="n">
        <v>1.5</v>
      </c>
      <c r="H511" t="n">
        <v>0</v>
      </c>
      <c r="I511" t="n">
        <v>0</v>
      </c>
      <c r="J511" t="n">
        <v>0</v>
      </c>
      <c r="K511" t="n">
        <v>0</v>
      </c>
      <c r="L511" t="n">
        <v>0</v>
      </c>
      <c r="M511" t="n">
        <v>0</v>
      </c>
      <c r="N511" t="n">
        <v>0</v>
      </c>
      <c r="O511" t="n">
        <v>0</v>
      </c>
      <c r="P511" t="n">
        <v>0</v>
      </c>
      <c r="Q511" t="n">
        <v>0</v>
      </c>
      <c r="R511" s="2" t="inlineStr"/>
    </row>
    <row r="512" ht="15" customHeight="1">
      <c r="A512" t="inlineStr">
        <is>
          <t>A 33227-2024</t>
        </is>
      </c>
      <c r="B512" s="1" t="n">
        <v>45518.5708912037</v>
      </c>
      <c r="C512" s="1" t="n">
        <v>46140</v>
      </c>
      <c r="D512" t="inlineStr">
        <is>
          <t>VÄRMLANDS LÄN</t>
        </is>
      </c>
      <c r="E512" t="inlineStr">
        <is>
          <t>TORSBY</t>
        </is>
      </c>
      <c r="F512" t="inlineStr">
        <is>
          <t>Bergvik skog väst AB</t>
        </is>
      </c>
      <c r="G512" t="n">
        <v>3.8</v>
      </c>
      <c r="H512" t="n">
        <v>0</v>
      </c>
      <c r="I512" t="n">
        <v>0</v>
      </c>
      <c r="J512" t="n">
        <v>0</v>
      </c>
      <c r="K512" t="n">
        <v>0</v>
      </c>
      <c r="L512" t="n">
        <v>0</v>
      </c>
      <c r="M512" t="n">
        <v>0</v>
      </c>
      <c r="N512" t="n">
        <v>0</v>
      </c>
      <c r="O512" t="n">
        <v>0</v>
      </c>
      <c r="P512" t="n">
        <v>0</v>
      </c>
      <c r="Q512" t="n">
        <v>0</v>
      </c>
      <c r="R512" s="2" t="inlineStr"/>
    </row>
    <row r="513" ht="15" customHeight="1">
      <c r="A513" t="inlineStr">
        <is>
          <t>A 13848-2024</t>
        </is>
      </c>
      <c r="B513" s="1" t="n">
        <v>45390</v>
      </c>
      <c r="C513" s="1" t="n">
        <v>46140</v>
      </c>
      <c r="D513" t="inlineStr">
        <is>
          <t>VÄRMLANDS LÄN</t>
        </is>
      </c>
      <c r="E513" t="inlineStr">
        <is>
          <t>TORSBY</t>
        </is>
      </c>
      <c r="G513" t="n">
        <v>4.5</v>
      </c>
      <c r="H513" t="n">
        <v>0</v>
      </c>
      <c r="I513" t="n">
        <v>0</v>
      </c>
      <c r="J513" t="n">
        <v>0</v>
      </c>
      <c r="K513" t="n">
        <v>0</v>
      </c>
      <c r="L513" t="n">
        <v>0</v>
      </c>
      <c r="M513" t="n">
        <v>0</v>
      </c>
      <c r="N513" t="n">
        <v>0</v>
      </c>
      <c r="O513" t="n">
        <v>0</v>
      </c>
      <c r="P513" t="n">
        <v>0</v>
      </c>
      <c r="Q513" t="n">
        <v>0</v>
      </c>
      <c r="R513" s="2" t="inlineStr"/>
    </row>
    <row r="514" ht="15" customHeight="1">
      <c r="A514" t="inlineStr">
        <is>
          <t>A 60454-2024</t>
        </is>
      </c>
      <c r="B514" s="1" t="n">
        <v>45643</v>
      </c>
      <c r="C514" s="1" t="n">
        <v>46140</v>
      </c>
      <c r="D514" t="inlineStr">
        <is>
          <t>VÄRMLANDS LÄN</t>
        </is>
      </c>
      <c r="E514" t="inlineStr">
        <is>
          <t>TORSBY</t>
        </is>
      </c>
      <c r="G514" t="n">
        <v>4.5</v>
      </c>
      <c r="H514" t="n">
        <v>0</v>
      </c>
      <c r="I514" t="n">
        <v>0</v>
      </c>
      <c r="J514" t="n">
        <v>0</v>
      </c>
      <c r="K514" t="n">
        <v>0</v>
      </c>
      <c r="L514" t="n">
        <v>0</v>
      </c>
      <c r="M514" t="n">
        <v>0</v>
      </c>
      <c r="N514" t="n">
        <v>0</v>
      </c>
      <c r="O514" t="n">
        <v>0</v>
      </c>
      <c r="P514" t="n">
        <v>0</v>
      </c>
      <c r="Q514" t="n">
        <v>0</v>
      </c>
      <c r="R514" s="2" t="inlineStr"/>
    </row>
    <row r="515" ht="15" customHeight="1">
      <c r="A515" t="inlineStr">
        <is>
          <t>A 59425-2021</t>
        </is>
      </c>
      <c r="B515" s="1" t="n">
        <v>44491.43469907407</v>
      </c>
      <c r="C515" s="1" t="n">
        <v>46140</v>
      </c>
      <c r="D515" t="inlineStr">
        <is>
          <t>VÄRMLANDS LÄN</t>
        </is>
      </c>
      <c r="E515" t="inlineStr">
        <is>
          <t>TORSBY</t>
        </is>
      </c>
      <c r="F515" t="inlineStr">
        <is>
          <t>Bergvik skog väst AB</t>
        </is>
      </c>
      <c r="G515" t="n">
        <v>14.9</v>
      </c>
      <c r="H515" t="n">
        <v>0</v>
      </c>
      <c r="I515" t="n">
        <v>0</v>
      </c>
      <c r="J515" t="n">
        <v>0</v>
      </c>
      <c r="K515" t="n">
        <v>0</v>
      </c>
      <c r="L515" t="n">
        <v>0</v>
      </c>
      <c r="M515" t="n">
        <v>0</v>
      </c>
      <c r="N515" t="n">
        <v>0</v>
      </c>
      <c r="O515" t="n">
        <v>0</v>
      </c>
      <c r="P515" t="n">
        <v>0</v>
      </c>
      <c r="Q515" t="n">
        <v>0</v>
      </c>
      <c r="R515" s="2" t="inlineStr"/>
    </row>
    <row r="516" ht="15" customHeight="1">
      <c r="A516" t="inlineStr">
        <is>
          <t>A 54023-2024</t>
        </is>
      </c>
      <c r="B516" s="1" t="n">
        <v>45616</v>
      </c>
      <c r="C516" s="1" t="n">
        <v>46140</v>
      </c>
      <c r="D516" t="inlineStr">
        <is>
          <t>VÄRMLANDS LÄN</t>
        </is>
      </c>
      <c r="E516" t="inlineStr">
        <is>
          <t>TORSBY</t>
        </is>
      </c>
      <c r="F516" t="inlineStr">
        <is>
          <t>Kommuner</t>
        </is>
      </c>
      <c r="G516" t="n">
        <v>3</v>
      </c>
      <c r="H516" t="n">
        <v>0</v>
      </c>
      <c r="I516" t="n">
        <v>0</v>
      </c>
      <c r="J516" t="n">
        <v>0</v>
      </c>
      <c r="K516" t="n">
        <v>0</v>
      </c>
      <c r="L516" t="n">
        <v>0</v>
      </c>
      <c r="M516" t="n">
        <v>0</v>
      </c>
      <c r="N516" t="n">
        <v>0</v>
      </c>
      <c r="O516" t="n">
        <v>0</v>
      </c>
      <c r="P516" t="n">
        <v>0</v>
      </c>
      <c r="Q516" t="n">
        <v>0</v>
      </c>
      <c r="R516" s="2" t="inlineStr"/>
    </row>
    <row r="517" ht="15" customHeight="1">
      <c r="A517" t="inlineStr">
        <is>
          <t>A 54027-2024</t>
        </is>
      </c>
      <c r="B517" s="1" t="n">
        <v>45616</v>
      </c>
      <c r="C517" s="1" t="n">
        <v>46140</v>
      </c>
      <c r="D517" t="inlineStr">
        <is>
          <t>VÄRMLANDS LÄN</t>
        </is>
      </c>
      <c r="E517" t="inlineStr">
        <is>
          <t>TORSBY</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40546-2024</t>
        </is>
      </c>
      <c r="B518" s="1" t="n">
        <v>45555</v>
      </c>
      <c r="C518" s="1" t="n">
        <v>46140</v>
      </c>
      <c r="D518" t="inlineStr">
        <is>
          <t>VÄRMLANDS LÄN</t>
        </is>
      </c>
      <c r="E518" t="inlineStr">
        <is>
          <t>TORSBY</t>
        </is>
      </c>
      <c r="F518" t="inlineStr">
        <is>
          <t>Bergvik skog väst AB</t>
        </is>
      </c>
      <c r="G518" t="n">
        <v>13.9</v>
      </c>
      <c r="H518" t="n">
        <v>0</v>
      </c>
      <c r="I518" t="n">
        <v>0</v>
      </c>
      <c r="J518" t="n">
        <v>0</v>
      </c>
      <c r="K518" t="n">
        <v>0</v>
      </c>
      <c r="L518" t="n">
        <v>0</v>
      </c>
      <c r="M518" t="n">
        <v>0</v>
      </c>
      <c r="N518" t="n">
        <v>0</v>
      </c>
      <c r="O518" t="n">
        <v>0</v>
      </c>
      <c r="P518" t="n">
        <v>0</v>
      </c>
      <c r="Q518" t="n">
        <v>0</v>
      </c>
      <c r="R518" s="2" t="inlineStr"/>
    </row>
    <row r="519" ht="15" customHeight="1">
      <c r="A519" t="inlineStr">
        <is>
          <t>A 55436-2022</t>
        </is>
      </c>
      <c r="B519" s="1" t="n">
        <v>44887</v>
      </c>
      <c r="C519" s="1" t="n">
        <v>46140</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54609-2024</t>
        </is>
      </c>
      <c r="B520" s="1" t="n">
        <v>45617</v>
      </c>
      <c r="C520" s="1" t="n">
        <v>46140</v>
      </c>
      <c r="D520" t="inlineStr">
        <is>
          <t>VÄRMLANDS LÄN</t>
        </is>
      </c>
      <c r="E520" t="inlineStr">
        <is>
          <t>TORSBY</t>
        </is>
      </c>
      <c r="F520" t="inlineStr">
        <is>
          <t>Kommuner</t>
        </is>
      </c>
      <c r="G520" t="n">
        <v>1.1</v>
      </c>
      <c r="H520" t="n">
        <v>0</v>
      </c>
      <c r="I520" t="n">
        <v>0</v>
      </c>
      <c r="J520" t="n">
        <v>0</v>
      </c>
      <c r="K520" t="n">
        <v>0</v>
      </c>
      <c r="L520" t="n">
        <v>0</v>
      </c>
      <c r="M520" t="n">
        <v>0</v>
      </c>
      <c r="N520" t="n">
        <v>0</v>
      </c>
      <c r="O520" t="n">
        <v>0</v>
      </c>
      <c r="P520" t="n">
        <v>0</v>
      </c>
      <c r="Q520" t="n">
        <v>0</v>
      </c>
      <c r="R520" s="2" t="inlineStr"/>
    </row>
    <row r="521" ht="15" customHeight="1">
      <c r="A521" t="inlineStr">
        <is>
          <t>A 19964-2025</t>
        </is>
      </c>
      <c r="B521" s="1" t="n">
        <v>45771.67315972222</v>
      </c>
      <c r="C521" s="1" t="n">
        <v>46140</v>
      </c>
      <c r="D521" t="inlineStr">
        <is>
          <t>VÄRMLANDS LÄN</t>
        </is>
      </c>
      <c r="E521" t="inlineStr">
        <is>
          <t>TORSBY</t>
        </is>
      </c>
      <c r="F521" t="inlineStr">
        <is>
          <t>Bergvik skog väst AB</t>
        </is>
      </c>
      <c r="G521" t="n">
        <v>23.8</v>
      </c>
      <c r="H521" t="n">
        <v>0</v>
      </c>
      <c r="I521" t="n">
        <v>0</v>
      </c>
      <c r="J521" t="n">
        <v>0</v>
      </c>
      <c r="K521" t="n">
        <v>0</v>
      </c>
      <c r="L521" t="n">
        <v>0</v>
      </c>
      <c r="M521" t="n">
        <v>0</v>
      </c>
      <c r="N521" t="n">
        <v>0</v>
      </c>
      <c r="O521" t="n">
        <v>0</v>
      </c>
      <c r="P521" t="n">
        <v>0</v>
      </c>
      <c r="Q521" t="n">
        <v>0</v>
      </c>
      <c r="R521" s="2" t="inlineStr"/>
    </row>
    <row r="522" ht="15" customHeight="1">
      <c r="A522" t="inlineStr">
        <is>
          <t>A 54004-2024</t>
        </is>
      </c>
      <c r="B522" s="1" t="n">
        <v>45616.36659722222</v>
      </c>
      <c r="C522" s="1" t="n">
        <v>46140</v>
      </c>
      <c r="D522" t="inlineStr">
        <is>
          <t>VÄRMLANDS LÄN</t>
        </is>
      </c>
      <c r="E522" t="inlineStr">
        <is>
          <t>TORSBY</t>
        </is>
      </c>
      <c r="F522" t="inlineStr">
        <is>
          <t>Kommuner</t>
        </is>
      </c>
      <c r="G522" t="n">
        <v>4</v>
      </c>
      <c r="H522" t="n">
        <v>0</v>
      </c>
      <c r="I522" t="n">
        <v>0</v>
      </c>
      <c r="J522" t="n">
        <v>0</v>
      </c>
      <c r="K522" t="n">
        <v>0</v>
      </c>
      <c r="L522" t="n">
        <v>0</v>
      </c>
      <c r="M522" t="n">
        <v>0</v>
      </c>
      <c r="N522" t="n">
        <v>0</v>
      </c>
      <c r="O522" t="n">
        <v>0</v>
      </c>
      <c r="P522" t="n">
        <v>0</v>
      </c>
      <c r="Q522" t="n">
        <v>0</v>
      </c>
      <c r="R522" s="2" t="inlineStr"/>
    </row>
    <row r="523" ht="15" customHeight="1">
      <c r="A523" t="inlineStr">
        <is>
          <t>A 17039-2025</t>
        </is>
      </c>
      <c r="B523" s="1" t="n">
        <v>45754</v>
      </c>
      <c r="C523" s="1" t="n">
        <v>46140</v>
      </c>
      <c r="D523" t="inlineStr">
        <is>
          <t>VÄRMLANDS LÄN</t>
        </is>
      </c>
      <c r="E523" t="inlineStr">
        <is>
          <t>TORSBY</t>
        </is>
      </c>
      <c r="G523" t="n">
        <v>6.7</v>
      </c>
      <c r="H523" t="n">
        <v>0</v>
      </c>
      <c r="I523" t="n">
        <v>0</v>
      </c>
      <c r="J523" t="n">
        <v>0</v>
      </c>
      <c r="K523" t="n">
        <v>0</v>
      </c>
      <c r="L523" t="n">
        <v>0</v>
      </c>
      <c r="M523" t="n">
        <v>0</v>
      </c>
      <c r="N523" t="n">
        <v>0</v>
      </c>
      <c r="O523" t="n">
        <v>0</v>
      </c>
      <c r="P523" t="n">
        <v>0</v>
      </c>
      <c r="Q523" t="n">
        <v>0</v>
      </c>
      <c r="R523" s="2" t="inlineStr"/>
    </row>
    <row r="524" ht="15" customHeight="1">
      <c r="A524" t="inlineStr">
        <is>
          <t>A 14614-2025</t>
        </is>
      </c>
      <c r="B524" s="1" t="n">
        <v>45742</v>
      </c>
      <c r="C524" s="1" t="n">
        <v>46140</v>
      </c>
      <c r="D524" t="inlineStr">
        <is>
          <t>VÄRMLANDS LÄN</t>
        </is>
      </c>
      <c r="E524" t="inlineStr">
        <is>
          <t>TORSBY</t>
        </is>
      </c>
      <c r="G524" t="n">
        <v>2.1</v>
      </c>
      <c r="H524" t="n">
        <v>0</v>
      </c>
      <c r="I524" t="n">
        <v>0</v>
      </c>
      <c r="J524" t="n">
        <v>0</v>
      </c>
      <c r="K524" t="n">
        <v>0</v>
      </c>
      <c r="L524" t="n">
        <v>0</v>
      </c>
      <c r="M524" t="n">
        <v>0</v>
      </c>
      <c r="N524" t="n">
        <v>0</v>
      </c>
      <c r="O524" t="n">
        <v>0</v>
      </c>
      <c r="P524" t="n">
        <v>0</v>
      </c>
      <c r="Q524" t="n">
        <v>0</v>
      </c>
      <c r="R524" s="2" t="inlineStr"/>
    </row>
    <row r="525" ht="15" customHeight="1">
      <c r="A525" t="inlineStr">
        <is>
          <t>A 53945-2023</t>
        </is>
      </c>
      <c r="B525" s="1" t="n">
        <v>45231.6009837963</v>
      </c>
      <c r="C525" s="1" t="n">
        <v>46140</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58945-2024</t>
        </is>
      </c>
      <c r="B526" s="1" t="n">
        <v>45636</v>
      </c>
      <c r="C526" s="1" t="n">
        <v>46140</v>
      </c>
      <c r="D526" t="inlineStr">
        <is>
          <t>VÄRMLANDS LÄN</t>
        </is>
      </c>
      <c r="E526" t="inlineStr">
        <is>
          <t>TORSBY</t>
        </is>
      </c>
      <c r="F526" t="inlineStr">
        <is>
          <t>Bergvik skog väst AB</t>
        </is>
      </c>
      <c r="G526" t="n">
        <v>12</v>
      </c>
      <c r="H526" t="n">
        <v>0</v>
      </c>
      <c r="I526" t="n">
        <v>0</v>
      </c>
      <c r="J526" t="n">
        <v>0</v>
      </c>
      <c r="K526" t="n">
        <v>0</v>
      </c>
      <c r="L526" t="n">
        <v>0</v>
      </c>
      <c r="M526" t="n">
        <v>0</v>
      </c>
      <c r="N526" t="n">
        <v>0</v>
      </c>
      <c r="O526" t="n">
        <v>0</v>
      </c>
      <c r="P526" t="n">
        <v>0</v>
      </c>
      <c r="Q526" t="n">
        <v>0</v>
      </c>
      <c r="R526" s="2" t="inlineStr"/>
    </row>
    <row r="527" ht="15" customHeight="1">
      <c r="A527" t="inlineStr">
        <is>
          <t>A 43179-2023</t>
        </is>
      </c>
      <c r="B527" s="1" t="n">
        <v>45183.37615740741</v>
      </c>
      <c r="C527" s="1" t="n">
        <v>46140</v>
      </c>
      <c r="D527" t="inlineStr">
        <is>
          <t>VÄRMLANDS LÄN</t>
        </is>
      </c>
      <c r="E527" t="inlineStr">
        <is>
          <t>TORSBY</t>
        </is>
      </c>
      <c r="G527" t="n">
        <v>2.1</v>
      </c>
      <c r="H527" t="n">
        <v>0</v>
      </c>
      <c r="I527" t="n">
        <v>0</v>
      </c>
      <c r="J527" t="n">
        <v>0</v>
      </c>
      <c r="K527" t="n">
        <v>0</v>
      </c>
      <c r="L527" t="n">
        <v>0</v>
      </c>
      <c r="M527" t="n">
        <v>0</v>
      </c>
      <c r="N527" t="n">
        <v>0</v>
      </c>
      <c r="O527" t="n">
        <v>0</v>
      </c>
      <c r="P527" t="n">
        <v>0</v>
      </c>
      <c r="Q527" t="n">
        <v>0</v>
      </c>
      <c r="R527" s="2" t="inlineStr"/>
    </row>
    <row r="528" ht="15" customHeight="1">
      <c r="A528" t="inlineStr">
        <is>
          <t>A 42457-2024</t>
        </is>
      </c>
      <c r="B528" s="1" t="n">
        <v>45565.46346064815</v>
      </c>
      <c r="C528" s="1" t="n">
        <v>46140</v>
      </c>
      <c r="D528" t="inlineStr">
        <is>
          <t>VÄRMLANDS LÄN</t>
        </is>
      </c>
      <c r="E528" t="inlineStr">
        <is>
          <t>TORSBY</t>
        </is>
      </c>
      <c r="G528" t="n">
        <v>5.2</v>
      </c>
      <c r="H528" t="n">
        <v>0</v>
      </c>
      <c r="I528" t="n">
        <v>0</v>
      </c>
      <c r="J528" t="n">
        <v>0</v>
      </c>
      <c r="K528" t="n">
        <v>0</v>
      </c>
      <c r="L528" t="n">
        <v>0</v>
      </c>
      <c r="M528" t="n">
        <v>0</v>
      </c>
      <c r="N528" t="n">
        <v>0</v>
      </c>
      <c r="O528" t="n">
        <v>0</v>
      </c>
      <c r="P528" t="n">
        <v>0</v>
      </c>
      <c r="Q528" t="n">
        <v>0</v>
      </c>
      <c r="R528" s="2" t="inlineStr"/>
    </row>
    <row r="529" ht="15" customHeight="1">
      <c r="A529" t="inlineStr">
        <is>
          <t>A 3536-2024</t>
        </is>
      </c>
      <c r="B529" s="1" t="n">
        <v>45320</v>
      </c>
      <c r="C529" s="1" t="n">
        <v>46140</v>
      </c>
      <c r="D529" t="inlineStr">
        <is>
          <t>VÄRMLANDS LÄN</t>
        </is>
      </c>
      <c r="E529" t="inlineStr">
        <is>
          <t>TORSBY</t>
        </is>
      </c>
      <c r="G529" t="n">
        <v>2.7</v>
      </c>
      <c r="H529" t="n">
        <v>0</v>
      </c>
      <c r="I529" t="n">
        <v>0</v>
      </c>
      <c r="J529" t="n">
        <v>0</v>
      </c>
      <c r="K529" t="n">
        <v>0</v>
      </c>
      <c r="L529" t="n">
        <v>0</v>
      </c>
      <c r="M529" t="n">
        <v>0</v>
      </c>
      <c r="N529" t="n">
        <v>0</v>
      </c>
      <c r="O529" t="n">
        <v>0</v>
      </c>
      <c r="P529" t="n">
        <v>0</v>
      </c>
      <c r="Q529" t="n">
        <v>0</v>
      </c>
      <c r="R529" s="2" t="inlineStr"/>
    </row>
    <row r="530" ht="15" customHeight="1">
      <c r="A530" t="inlineStr">
        <is>
          <t>A 60737-2022</t>
        </is>
      </c>
      <c r="B530" s="1" t="n">
        <v>44913.88537037037</v>
      </c>
      <c r="C530" s="1" t="n">
        <v>46140</v>
      </c>
      <c r="D530" t="inlineStr">
        <is>
          <t>VÄRMLANDS LÄN</t>
        </is>
      </c>
      <c r="E530" t="inlineStr">
        <is>
          <t>TORSBY</t>
        </is>
      </c>
      <c r="G530" t="n">
        <v>1.9</v>
      </c>
      <c r="H530" t="n">
        <v>0</v>
      </c>
      <c r="I530" t="n">
        <v>0</v>
      </c>
      <c r="J530" t="n">
        <v>0</v>
      </c>
      <c r="K530" t="n">
        <v>0</v>
      </c>
      <c r="L530" t="n">
        <v>0</v>
      </c>
      <c r="M530" t="n">
        <v>0</v>
      </c>
      <c r="N530" t="n">
        <v>0</v>
      </c>
      <c r="O530" t="n">
        <v>0</v>
      </c>
      <c r="P530" t="n">
        <v>0</v>
      </c>
      <c r="Q530" t="n">
        <v>0</v>
      </c>
      <c r="R530" s="2" t="inlineStr"/>
    </row>
    <row r="531" ht="15" customHeight="1">
      <c r="A531" t="inlineStr">
        <is>
          <t>A 41501-2024</t>
        </is>
      </c>
      <c r="B531" s="1" t="n">
        <v>45560</v>
      </c>
      <c r="C531" s="1" t="n">
        <v>46140</v>
      </c>
      <c r="D531" t="inlineStr">
        <is>
          <t>VÄRMLANDS LÄN</t>
        </is>
      </c>
      <c r="E531" t="inlineStr">
        <is>
          <t>TORSBY</t>
        </is>
      </c>
      <c r="G531" t="n">
        <v>7.5</v>
      </c>
      <c r="H531" t="n">
        <v>0</v>
      </c>
      <c r="I531" t="n">
        <v>0</v>
      </c>
      <c r="J531" t="n">
        <v>0</v>
      </c>
      <c r="K531" t="n">
        <v>0</v>
      </c>
      <c r="L531" t="n">
        <v>0</v>
      </c>
      <c r="M531" t="n">
        <v>0</v>
      </c>
      <c r="N531" t="n">
        <v>0</v>
      </c>
      <c r="O531" t="n">
        <v>0</v>
      </c>
      <c r="P531" t="n">
        <v>0</v>
      </c>
      <c r="Q531" t="n">
        <v>0</v>
      </c>
      <c r="R531" s="2" t="inlineStr"/>
    </row>
    <row r="532" ht="15" customHeight="1">
      <c r="A532" t="inlineStr">
        <is>
          <t>A 55485-2023</t>
        </is>
      </c>
      <c r="B532" s="1" t="n">
        <v>45238.52023148148</v>
      </c>
      <c r="C532" s="1" t="n">
        <v>46140</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16488-2024</t>
        </is>
      </c>
      <c r="B533" s="1" t="n">
        <v>45408.34597222223</v>
      </c>
      <c r="C533" s="1" t="n">
        <v>46140</v>
      </c>
      <c r="D533" t="inlineStr">
        <is>
          <t>VÄRMLANDS LÄN</t>
        </is>
      </c>
      <c r="E533" t="inlineStr">
        <is>
          <t>TORSBY</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42414-2024</t>
        </is>
      </c>
      <c r="B534" s="1" t="n">
        <v>45565</v>
      </c>
      <c r="C534" s="1" t="n">
        <v>46140</v>
      </c>
      <c r="D534" t="inlineStr">
        <is>
          <t>VÄRMLANDS LÄN</t>
        </is>
      </c>
      <c r="E534" t="inlineStr">
        <is>
          <t>TORSBY</t>
        </is>
      </c>
      <c r="F534" t="inlineStr">
        <is>
          <t>Bergvik skog väst AB</t>
        </is>
      </c>
      <c r="G534" t="n">
        <v>0.7</v>
      </c>
      <c r="H534" t="n">
        <v>0</v>
      </c>
      <c r="I534" t="n">
        <v>0</v>
      </c>
      <c r="J534" t="n">
        <v>0</v>
      </c>
      <c r="K534" t="n">
        <v>0</v>
      </c>
      <c r="L534" t="n">
        <v>0</v>
      </c>
      <c r="M534" t="n">
        <v>0</v>
      </c>
      <c r="N534" t="n">
        <v>0</v>
      </c>
      <c r="O534" t="n">
        <v>0</v>
      </c>
      <c r="P534" t="n">
        <v>0</v>
      </c>
      <c r="Q534" t="n">
        <v>0</v>
      </c>
      <c r="R534" s="2" t="inlineStr"/>
    </row>
    <row r="535" ht="15" customHeight="1">
      <c r="A535" t="inlineStr">
        <is>
          <t>A 39771-2024</t>
        </is>
      </c>
      <c r="B535" s="1" t="n">
        <v>45552</v>
      </c>
      <c r="C535" s="1" t="n">
        <v>46140</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392-2025</t>
        </is>
      </c>
      <c r="B536" s="1" t="n">
        <v>45663.35111111111</v>
      </c>
      <c r="C536" s="1" t="n">
        <v>46140</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50147-2023</t>
        </is>
      </c>
      <c r="B537" s="1" t="n">
        <v>45215</v>
      </c>
      <c r="C537" s="1" t="n">
        <v>46140</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36175-2024</t>
        </is>
      </c>
      <c r="B538" s="1" t="n">
        <v>45534.40834490741</v>
      </c>
      <c r="C538" s="1" t="n">
        <v>46140</v>
      </c>
      <c r="D538" t="inlineStr">
        <is>
          <t>VÄRMLANDS LÄN</t>
        </is>
      </c>
      <c r="E538" t="inlineStr">
        <is>
          <t>TORSBY</t>
        </is>
      </c>
      <c r="G538" t="n">
        <v>1.1</v>
      </c>
      <c r="H538" t="n">
        <v>0</v>
      </c>
      <c r="I538" t="n">
        <v>0</v>
      </c>
      <c r="J538" t="n">
        <v>0</v>
      </c>
      <c r="K538" t="n">
        <v>0</v>
      </c>
      <c r="L538" t="n">
        <v>0</v>
      </c>
      <c r="M538" t="n">
        <v>0</v>
      </c>
      <c r="N538" t="n">
        <v>0</v>
      </c>
      <c r="O538" t="n">
        <v>0</v>
      </c>
      <c r="P538" t="n">
        <v>0</v>
      </c>
      <c r="Q538" t="n">
        <v>0</v>
      </c>
      <c r="R538" s="2" t="inlineStr"/>
    </row>
    <row r="539" ht="15" customHeight="1">
      <c r="A539" t="inlineStr">
        <is>
          <t>A 8284-2023</t>
        </is>
      </c>
      <c r="B539" s="1" t="n">
        <v>44974.64714120371</v>
      </c>
      <c r="C539" s="1" t="n">
        <v>46140</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45812-2024</t>
        </is>
      </c>
      <c r="B540" s="1" t="n">
        <v>45579</v>
      </c>
      <c r="C540" s="1" t="n">
        <v>46140</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45849-2024</t>
        </is>
      </c>
      <c r="B541" s="1" t="n">
        <v>45580</v>
      </c>
      <c r="C541" s="1" t="n">
        <v>46140</v>
      </c>
      <c r="D541" t="inlineStr">
        <is>
          <t>VÄRMLANDS LÄN</t>
        </is>
      </c>
      <c r="E541" t="inlineStr">
        <is>
          <t>TORSBY</t>
        </is>
      </c>
      <c r="G541" t="n">
        <v>2.5</v>
      </c>
      <c r="H541" t="n">
        <v>0</v>
      </c>
      <c r="I541" t="n">
        <v>0</v>
      </c>
      <c r="J541" t="n">
        <v>0</v>
      </c>
      <c r="K541" t="n">
        <v>0</v>
      </c>
      <c r="L541" t="n">
        <v>0</v>
      </c>
      <c r="M541" t="n">
        <v>0</v>
      </c>
      <c r="N541" t="n">
        <v>0</v>
      </c>
      <c r="O541" t="n">
        <v>0</v>
      </c>
      <c r="P541" t="n">
        <v>0</v>
      </c>
      <c r="Q541" t="n">
        <v>0</v>
      </c>
      <c r="R541" s="2" t="inlineStr"/>
    </row>
    <row r="542" ht="15" customHeight="1">
      <c r="A542" t="inlineStr">
        <is>
          <t>A 61510-2022</t>
        </is>
      </c>
      <c r="B542" s="1" t="n">
        <v>44916.49820601852</v>
      </c>
      <c r="C542" s="1" t="n">
        <v>46140</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53297-2024</t>
        </is>
      </c>
      <c r="B543" s="1" t="n">
        <v>45614.38802083334</v>
      </c>
      <c r="C543" s="1" t="n">
        <v>46140</v>
      </c>
      <c r="D543" t="inlineStr">
        <is>
          <t>VÄRMLANDS LÄN</t>
        </is>
      </c>
      <c r="E543" t="inlineStr">
        <is>
          <t>TORSBY</t>
        </is>
      </c>
      <c r="F543" t="inlineStr">
        <is>
          <t>Bergvik skog väst AB</t>
        </is>
      </c>
      <c r="G543" t="n">
        <v>9.5</v>
      </c>
      <c r="H543" t="n">
        <v>0</v>
      </c>
      <c r="I543" t="n">
        <v>0</v>
      </c>
      <c r="J543" t="n">
        <v>0</v>
      </c>
      <c r="K543" t="n">
        <v>0</v>
      </c>
      <c r="L543" t="n">
        <v>0</v>
      </c>
      <c r="M543" t="n">
        <v>0</v>
      </c>
      <c r="N543" t="n">
        <v>0</v>
      </c>
      <c r="O543" t="n">
        <v>0</v>
      </c>
      <c r="P543" t="n">
        <v>0</v>
      </c>
      <c r="Q543" t="n">
        <v>0</v>
      </c>
      <c r="R543" s="2" t="inlineStr"/>
    </row>
    <row r="544" ht="15" customHeight="1">
      <c r="A544" t="inlineStr">
        <is>
          <t>A 8016-2023</t>
        </is>
      </c>
      <c r="B544" s="1" t="n">
        <v>44973</v>
      </c>
      <c r="C544" s="1" t="n">
        <v>46140</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53368-2024</t>
        </is>
      </c>
      <c r="B545" s="1" t="n">
        <v>45614</v>
      </c>
      <c r="C545" s="1" t="n">
        <v>46140</v>
      </c>
      <c r="D545" t="inlineStr">
        <is>
          <t>VÄRMLANDS LÄN</t>
        </is>
      </c>
      <c r="E545" t="inlineStr">
        <is>
          <t>TORSBY</t>
        </is>
      </c>
      <c r="G545" t="n">
        <v>0.5</v>
      </c>
      <c r="H545" t="n">
        <v>0</v>
      </c>
      <c r="I545" t="n">
        <v>0</v>
      </c>
      <c r="J545" t="n">
        <v>0</v>
      </c>
      <c r="K545" t="n">
        <v>0</v>
      </c>
      <c r="L545" t="n">
        <v>0</v>
      </c>
      <c r="M545" t="n">
        <v>0</v>
      </c>
      <c r="N545" t="n">
        <v>0</v>
      </c>
      <c r="O545" t="n">
        <v>0</v>
      </c>
      <c r="P545" t="n">
        <v>0</v>
      </c>
      <c r="Q545" t="n">
        <v>0</v>
      </c>
      <c r="R545" s="2" t="inlineStr"/>
    </row>
    <row r="546" ht="15" customHeight="1">
      <c r="A546" t="inlineStr">
        <is>
          <t>A 20968-2024</t>
        </is>
      </c>
      <c r="B546" s="1" t="n">
        <v>45439</v>
      </c>
      <c r="C546" s="1" t="n">
        <v>46140</v>
      </c>
      <c r="D546" t="inlineStr">
        <is>
          <t>VÄRMLANDS LÄN</t>
        </is>
      </c>
      <c r="E546" t="inlineStr">
        <is>
          <t>TORSBY</t>
        </is>
      </c>
      <c r="G546" t="n">
        <v>0.6</v>
      </c>
      <c r="H546" t="n">
        <v>0</v>
      </c>
      <c r="I546" t="n">
        <v>0</v>
      </c>
      <c r="J546" t="n">
        <v>0</v>
      </c>
      <c r="K546" t="n">
        <v>0</v>
      </c>
      <c r="L546" t="n">
        <v>0</v>
      </c>
      <c r="M546" t="n">
        <v>0</v>
      </c>
      <c r="N546" t="n">
        <v>0</v>
      </c>
      <c r="O546" t="n">
        <v>0</v>
      </c>
      <c r="P546" t="n">
        <v>0</v>
      </c>
      <c r="Q546" t="n">
        <v>0</v>
      </c>
      <c r="R546" s="2" t="inlineStr"/>
    </row>
    <row r="547" ht="15" customHeight="1">
      <c r="A547" t="inlineStr">
        <is>
          <t>A 34961-2024</t>
        </is>
      </c>
      <c r="B547" s="1" t="n">
        <v>45527.48923611111</v>
      </c>
      <c r="C547" s="1" t="n">
        <v>46140</v>
      </c>
      <c r="D547" t="inlineStr">
        <is>
          <t>VÄRMLANDS LÄN</t>
        </is>
      </c>
      <c r="E547" t="inlineStr">
        <is>
          <t>TORSBY</t>
        </is>
      </c>
      <c r="F547" t="inlineStr">
        <is>
          <t>Bergvik skog väst AB</t>
        </is>
      </c>
      <c r="G547" t="n">
        <v>3.6</v>
      </c>
      <c r="H547" t="n">
        <v>0</v>
      </c>
      <c r="I547" t="n">
        <v>0</v>
      </c>
      <c r="J547" t="n">
        <v>0</v>
      </c>
      <c r="K547" t="n">
        <v>0</v>
      </c>
      <c r="L547" t="n">
        <v>0</v>
      </c>
      <c r="M547" t="n">
        <v>0</v>
      </c>
      <c r="N547" t="n">
        <v>0</v>
      </c>
      <c r="O547" t="n">
        <v>0</v>
      </c>
      <c r="P547" t="n">
        <v>0</v>
      </c>
      <c r="Q547" t="n">
        <v>0</v>
      </c>
      <c r="R547" s="2" t="inlineStr"/>
    </row>
    <row r="548" ht="15" customHeight="1">
      <c r="A548" t="inlineStr">
        <is>
          <t>A 33078-2024</t>
        </is>
      </c>
      <c r="B548" s="1" t="n">
        <v>45517</v>
      </c>
      <c r="C548" s="1" t="n">
        <v>46140</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41631-2024</t>
        </is>
      </c>
      <c r="B549" s="1" t="n">
        <v>45560</v>
      </c>
      <c r="C549" s="1" t="n">
        <v>46140</v>
      </c>
      <c r="D549" t="inlineStr">
        <is>
          <t>VÄRMLANDS LÄN</t>
        </is>
      </c>
      <c r="E549" t="inlineStr">
        <is>
          <t>TORSBY</t>
        </is>
      </c>
      <c r="F549" t="inlineStr">
        <is>
          <t>Bergvik skog väst AB</t>
        </is>
      </c>
      <c r="G549" t="n">
        <v>16.3</v>
      </c>
      <c r="H549" t="n">
        <v>0</v>
      </c>
      <c r="I549" t="n">
        <v>0</v>
      </c>
      <c r="J549" t="n">
        <v>0</v>
      </c>
      <c r="K549" t="n">
        <v>0</v>
      </c>
      <c r="L549" t="n">
        <v>0</v>
      </c>
      <c r="M549" t="n">
        <v>0</v>
      </c>
      <c r="N549" t="n">
        <v>0</v>
      </c>
      <c r="O549" t="n">
        <v>0</v>
      </c>
      <c r="P549" t="n">
        <v>0</v>
      </c>
      <c r="Q549" t="n">
        <v>0</v>
      </c>
      <c r="R549" s="2" t="inlineStr"/>
    </row>
    <row r="550" ht="15" customHeight="1">
      <c r="A550" t="inlineStr">
        <is>
          <t>A 54822-2023</t>
        </is>
      </c>
      <c r="B550" s="1" t="n">
        <v>45229</v>
      </c>
      <c r="C550" s="1" t="n">
        <v>46140</v>
      </c>
      <c r="D550" t="inlineStr">
        <is>
          <t>VÄRMLANDS LÄN</t>
        </is>
      </c>
      <c r="E550" t="inlineStr">
        <is>
          <t>TORSBY</t>
        </is>
      </c>
      <c r="F550" t="inlineStr">
        <is>
          <t>Övriga Aktiebolag</t>
        </is>
      </c>
      <c r="G550" t="n">
        <v>9</v>
      </c>
      <c r="H550" t="n">
        <v>0</v>
      </c>
      <c r="I550" t="n">
        <v>0</v>
      </c>
      <c r="J550" t="n">
        <v>0</v>
      </c>
      <c r="K550" t="n">
        <v>0</v>
      </c>
      <c r="L550" t="n">
        <v>0</v>
      </c>
      <c r="M550" t="n">
        <v>0</v>
      </c>
      <c r="N550" t="n">
        <v>0</v>
      </c>
      <c r="O550" t="n">
        <v>0</v>
      </c>
      <c r="P550" t="n">
        <v>0</v>
      </c>
      <c r="Q550" t="n">
        <v>0</v>
      </c>
      <c r="R550" s="2" t="inlineStr"/>
    </row>
    <row r="551" ht="15" customHeight="1">
      <c r="A551" t="inlineStr">
        <is>
          <t>A 21542-2024</t>
        </is>
      </c>
      <c r="B551" s="1" t="n">
        <v>45441</v>
      </c>
      <c r="C551" s="1" t="n">
        <v>46140</v>
      </c>
      <c r="D551" t="inlineStr">
        <is>
          <t>VÄRMLANDS LÄN</t>
        </is>
      </c>
      <c r="E551" t="inlineStr">
        <is>
          <t>TORSBY</t>
        </is>
      </c>
      <c r="G551" t="n">
        <v>3.7</v>
      </c>
      <c r="H551" t="n">
        <v>0</v>
      </c>
      <c r="I551" t="n">
        <v>0</v>
      </c>
      <c r="J551" t="n">
        <v>0</v>
      </c>
      <c r="K551" t="n">
        <v>0</v>
      </c>
      <c r="L551" t="n">
        <v>0</v>
      </c>
      <c r="M551" t="n">
        <v>0</v>
      </c>
      <c r="N551" t="n">
        <v>0</v>
      </c>
      <c r="O551" t="n">
        <v>0</v>
      </c>
      <c r="P551" t="n">
        <v>0</v>
      </c>
      <c r="Q551" t="n">
        <v>0</v>
      </c>
      <c r="R551" s="2" t="inlineStr"/>
    </row>
    <row r="552" ht="15" customHeight="1">
      <c r="A552" t="inlineStr">
        <is>
          <t>A 15660-2025</t>
        </is>
      </c>
      <c r="B552" s="1" t="n">
        <v>45748</v>
      </c>
      <c r="C552" s="1" t="n">
        <v>46140</v>
      </c>
      <c r="D552" t="inlineStr">
        <is>
          <t>VÄRMLANDS LÄN</t>
        </is>
      </c>
      <c r="E552" t="inlineStr">
        <is>
          <t>TORSBY</t>
        </is>
      </c>
      <c r="G552" t="n">
        <v>1.3</v>
      </c>
      <c r="H552" t="n">
        <v>0</v>
      </c>
      <c r="I552" t="n">
        <v>0</v>
      </c>
      <c r="J552" t="n">
        <v>0</v>
      </c>
      <c r="K552" t="n">
        <v>0</v>
      </c>
      <c r="L552" t="n">
        <v>0</v>
      </c>
      <c r="M552" t="n">
        <v>0</v>
      </c>
      <c r="N552" t="n">
        <v>0</v>
      </c>
      <c r="O552" t="n">
        <v>0</v>
      </c>
      <c r="P552" t="n">
        <v>0</v>
      </c>
      <c r="Q552" t="n">
        <v>0</v>
      </c>
      <c r="R552" s="2" t="inlineStr"/>
    </row>
    <row r="553" ht="15" customHeight="1">
      <c r="A553" t="inlineStr">
        <is>
          <t>A 3223-2025</t>
        </is>
      </c>
      <c r="B553" s="1" t="n">
        <v>45679</v>
      </c>
      <c r="C553" s="1" t="n">
        <v>46140</v>
      </c>
      <c r="D553" t="inlineStr">
        <is>
          <t>VÄRMLANDS LÄN</t>
        </is>
      </c>
      <c r="E553" t="inlineStr">
        <is>
          <t>TORSBY</t>
        </is>
      </c>
      <c r="G553" t="n">
        <v>3.4</v>
      </c>
      <c r="H553" t="n">
        <v>0</v>
      </c>
      <c r="I553" t="n">
        <v>0</v>
      </c>
      <c r="J553" t="n">
        <v>0</v>
      </c>
      <c r="K553" t="n">
        <v>0</v>
      </c>
      <c r="L553" t="n">
        <v>0</v>
      </c>
      <c r="M553" t="n">
        <v>0</v>
      </c>
      <c r="N553" t="n">
        <v>0</v>
      </c>
      <c r="O553" t="n">
        <v>0</v>
      </c>
      <c r="P553" t="n">
        <v>0</v>
      </c>
      <c r="Q553" t="n">
        <v>0</v>
      </c>
      <c r="R553" s="2" t="inlineStr"/>
    </row>
    <row r="554" ht="15" customHeight="1">
      <c r="A554" t="inlineStr">
        <is>
          <t>A 3226-2025</t>
        </is>
      </c>
      <c r="B554" s="1" t="n">
        <v>45679.48003472222</v>
      </c>
      <c r="C554" s="1" t="n">
        <v>46140</v>
      </c>
      <c r="D554" t="inlineStr">
        <is>
          <t>VÄRMLANDS LÄN</t>
        </is>
      </c>
      <c r="E554" t="inlineStr">
        <is>
          <t>TORSBY</t>
        </is>
      </c>
      <c r="G554" t="n">
        <v>3.3</v>
      </c>
      <c r="H554" t="n">
        <v>0</v>
      </c>
      <c r="I554" t="n">
        <v>0</v>
      </c>
      <c r="J554" t="n">
        <v>0</v>
      </c>
      <c r="K554" t="n">
        <v>0</v>
      </c>
      <c r="L554" t="n">
        <v>0</v>
      </c>
      <c r="M554" t="n">
        <v>0</v>
      </c>
      <c r="N554" t="n">
        <v>0</v>
      </c>
      <c r="O554" t="n">
        <v>0</v>
      </c>
      <c r="P554" t="n">
        <v>0</v>
      </c>
      <c r="Q554" t="n">
        <v>0</v>
      </c>
      <c r="R554" s="2" t="inlineStr"/>
    </row>
    <row r="555" ht="15" customHeight="1">
      <c r="A555" t="inlineStr">
        <is>
          <t>A 59080-2024</t>
        </is>
      </c>
      <c r="B555" s="1" t="n">
        <v>45637</v>
      </c>
      <c r="C555" s="1" t="n">
        <v>46140</v>
      </c>
      <c r="D555" t="inlineStr">
        <is>
          <t>VÄRMLANDS LÄN</t>
        </is>
      </c>
      <c r="E555" t="inlineStr">
        <is>
          <t>TORSBY</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5763-2023</t>
        </is>
      </c>
      <c r="B556" s="1" t="n">
        <v>44963.36383101852</v>
      </c>
      <c r="C556" s="1" t="n">
        <v>46140</v>
      </c>
      <c r="D556" t="inlineStr">
        <is>
          <t>VÄRMLANDS LÄN</t>
        </is>
      </c>
      <c r="E556" t="inlineStr">
        <is>
          <t>TORSBY</t>
        </is>
      </c>
      <c r="G556" t="n">
        <v>1.2</v>
      </c>
      <c r="H556" t="n">
        <v>0</v>
      </c>
      <c r="I556" t="n">
        <v>0</v>
      </c>
      <c r="J556" t="n">
        <v>0</v>
      </c>
      <c r="K556" t="n">
        <v>0</v>
      </c>
      <c r="L556" t="n">
        <v>0</v>
      </c>
      <c r="M556" t="n">
        <v>0</v>
      </c>
      <c r="N556" t="n">
        <v>0</v>
      </c>
      <c r="O556" t="n">
        <v>0</v>
      </c>
      <c r="P556" t="n">
        <v>0</v>
      </c>
      <c r="Q556" t="n">
        <v>0</v>
      </c>
      <c r="R556" s="2" t="inlineStr"/>
    </row>
    <row r="557" ht="15" customHeight="1">
      <c r="A557" t="inlineStr">
        <is>
          <t>A 49936-2024</t>
        </is>
      </c>
      <c r="B557" s="1" t="n">
        <v>45597</v>
      </c>
      <c r="C557" s="1" t="n">
        <v>46140</v>
      </c>
      <c r="D557" t="inlineStr">
        <is>
          <t>VÄRMLANDS LÄN</t>
        </is>
      </c>
      <c r="E557" t="inlineStr">
        <is>
          <t>TORSBY</t>
        </is>
      </c>
      <c r="F557" t="inlineStr">
        <is>
          <t>Bergvik skog väst AB</t>
        </is>
      </c>
      <c r="G557" t="n">
        <v>2.1</v>
      </c>
      <c r="H557" t="n">
        <v>0</v>
      </c>
      <c r="I557" t="n">
        <v>0</v>
      </c>
      <c r="J557" t="n">
        <v>0</v>
      </c>
      <c r="K557" t="n">
        <v>0</v>
      </c>
      <c r="L557" t="n">
        <v>0</v>
      </c>
      <c r="M557" t="n">
        <v>0</v>
      </c>
      <c r="N557" t="n">
        <v>0</v>
      </c>
      <c r="O557" t="n">
        <v>0</v>
      </c>
      <c r="P557" t="n">
        <v>0</v>
      </c>
      <c r="Q557" t="n">
        <v>0</v>
      </c>
      <c r="R557" s="2" t="inlineStr"/>
    </row>
    <row r="558" ht="15" customHeight="1">
      <c r="A558" t="inlineStr">
        <is>
          <t>A 31351-2024</t>
        </is>
      </c>
      <c r="B558" s="1" t="n">
        <v>45505</v>
      </c>
      <c r="C558" s="1" t="n">
        <v>46140</v>
      </c>
      <c r="D558" t="inlineStr">
        <is>
          <t>VÄRMLANDS LÄN</t>
        </is>
      </c>
      <c r="E558" t="inlineStr">
        <is>
          <t>TORSBY</t>
        </is>
      </c>
      <c r="F558" t="inlineStr">
        <is>
          <t>Kyrkan</t>
        </is>
      </c>
      <c r="G558" t="n">
        <v>6.5</v>
      </c>
      <c r="H558" t="n">
        <v>0</v>
      </c>
      <c r="I558" t="n">
        <v>0</v>
      </c>
      <c r="J558" t="n">
        <v>0</v>
      </c>
      <c r="K558" t="n">
        <v>0</v>
      </c>
      <c r="L558" t="n">
        <v>0</v>
      </c>
      <c r="M558" t="n">
        <v>0</v>
      </c>
      <c r="N558" t="n">
        <v>0</v>
      </c>
      <c r="O558" t="n">
        <v>0</v>
      </c>
      <c r="P558" t="n">
        <v>0</v>
      </c>
      <c r="Q558" t="n">
        <v>0</v>
      </c>
      <c r="R558" s="2" t="inlineStr"/>
    </row>
    <row r="559" ht="15" customHeight="1">
      <c r="A559" t="inlineStr">
        <is>
          <t>A 47619-2024</t>
        </is>
      </c>
      <c r="B559" s="1" t="n">
        <v>45588.32371527778</v>
      </c>
      <c r="C559" s="1" t="n">
        <v>46140</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10218-2023</t>
        </is>
      </c>
      <c r="B560" s="1" t="n">
        <v>44986.59697916666</v>
      </c>
      <c r="C560" s="1" t="n">
        <v>46140</v>
      </c>
      <c r="D560" t="inlineStr">
        <is>
          <t>VÄRMLANDS LÄN</t>
        </is>
      </c>
      <c r="E560" t="inlineStr">
        <is>
          <t>TORSBY</t>
        </is>
      </c>
      <c r="G560" t="n">
        <v>0.6</v>
      </c>
      <c r="H560" t="n">
        <v>0</v>
      </c>
      <c r="I560" t="n">
        <v>0</v>
      </c>
      <c r="J560" t="n">
        <v>0</v>
      </c>
      <c r="K560" t="n">
        <v>0</v>
      </c>
      <c r="L560" t="n">
        <v>0</v>
      </c>
      <c r="M560" t="n">
        <v>0</v>
      </c>
      <c r="N560" t="n">
        <v>0</v>
      </c>
      <c r="O560" t="n">
        <v>0</v>
      </c>
      <c r="P560" t="n">
        <v>0</v>
      </c>
      <c r="Q560" t="n">
        <v>0</v>
      </c>
      <c r="R560" s="2" t="inlineStr"/>
    </row>
    <row r="561" ht="15" customHeight="1">
      <c r="A561" t="inlineStr">
        <is>
          <t>A 9057-2022</t>
        </is>
      </c>
      <c r="B561" s="1" t="n">
        <v>44615</v>
      </c>
      <c r="C561" s="1" t="n">
        <v>46140</v>
      </c>
      <c r="D561" t="inlineStr">
        <is>
          <t>VÄRMLANDS LÄN</t>
        </is>
      </c>
      <c r="E561" t="inlineStr">
        <is>
          <t>TORSBY</t>
        </is>
      </c>
      <c r="G561" t="n">
        <v>2.9</v>
      </c>
      <c r="H561" t="n">
        <v>0</v>
      </c>
      <c r="I561" t="n">
        <v>0</v>
      </c>
      <c r="J561" t="n">
        <v>0</v>
      </c>
      <c r="K561" t="n">
        <v>0</v>
      </c>
      <c r="L561" t="n">
        <v>0</v>
      </c>
      <c r="M561" t="n">
        <v>0</v>
      </c>
      <c r="N561" t="n">
        <v>0</v>
      </c>
      <c r="O561" t="n">
        <v>0</v>
      </c>
      <c r="P561" t="n">
        <v>0</v>
      </c>
      <c r="Q561" t="n">
        <v>0</v>
      </c>
      <c r="R561" s="2" t="inlineStr"/>
    </row>
    <row r="562" ht="15" customHeight="1">
      <c r="A562" t="inlineStr">
        <is>
          <t>A 13207-2022</t>
        </is>
      </c>
      <c r="B562" s="1" t="n">
        <v>44644.56116898148</v>
      </c>
      <c r="C562" s="1" t="n">
        <v>46140</v>
      </c>
      <c r="D562" t="inlineStr">
        <is>
          <t>VÄRMLANDS LÄN</t>
        </is>
      </c>
      <c r="E562" t="inlineStr">
        <is>
          <t>TORSBY</t>
        </is>
      </c>
      <c r="G562" t="n">
        <v>1.3</v>
      </c>
      <c r="H562" t="n">
        <v>0</v>
      </c>
      <c r="I562" t="n">
        <v>0</v>
      </c>
      <c r="J562" t="n">
        <v>0</v>
      </c>
      <c r="K562" t="n">
        <v>0</v>
      </c>
      <c r="L562" t="n">
        <v>0</v>
      </c>
      <c r="M562" t="n">
        <v>0</v>
      </c>
      <c r="N562" t="n">
        <v>0</v>
      </c>
      <c r="O562" t="n">
        <v>0</v>
      </c>
      <c r="P562" t="n">
        <v>0</v>
      </c>
      <c r="Q562" t="n">
        <v>0</v>
      </c>
      <c r="R562" s="2" t="inlineStr"/>
    </row>
    <row r="563" ht="15" customHeight="1">
      <c r="A563" t="inlineStr">
        <is>
          <t>A 24965-2023</t>
        </is>
      </c>
      <c r="B563" s="1" t="n">
        <v>45085</v>
      </c>
      <c r="C563" s="1" t="n">
        <v>46140</v>
      </c>
      <c r="D563" t="inlineStr">
        <is>
          <t>VÄRMLANDS LÄN</t>
        </is>
      </c>
      <c r="E563" t="inlineStr">
        <is>
          <t>TORSBY</t>
        </is>
      </c>
      <c r="G563" t="n">
        <v>0.7</v>
      </c>
      <c r="H563" t="n">
        <v>0</v>
      </c>
      <c r="I563" t="n">
        <v>0</v>
      </c>
      <c r="J563" t="n">
        <v>0</v>
      </c>
      <c r="K563" t="n">
        <v>0</v>
      </c>
      <c r="L563" t="n">
        <v>0</v>
      </c>
      <c r="M563" t="n">
        <v>0</v>
      </c>
      <c r="N563" t="n">
        <v>0</v>
      </c>
      <c r="O563" t="n">
        <v>0</v>
      </c>
      <c r="P563" t="n">
        <v>0</v>
      </c>
      <c r="Q563" t="n">
        <v>0</v>
      </c>
      <c r="R563" s="2" t="inlineStr"/>
    </row>
    <row r="564" ht="15" customHeight="1">
      <c r="A564" t="inlineStr">
        <is>
          <t>A 24969-2023</t>
        </is>
      </c>
      <c r="B564" s="1" t="n">
        <v>45085.61429398148</v>
      </c>
      <c r="C564" s="1" t="n">
        <v>46140</v>
      </c>
      <c r="D564" t="inlineStr">
        <is>
          <t>VÄRMLANDS LÄN</t>
        </is>
      </c>
      <c r="E564" t="inlineStr">
        <is>
          <t>TORSBY</t>
        </is>
      </c>
      <c r="G564" t="n">
        <v>0.2</v>
      </c>
      <c r="H564" t="n">
        <v>0</v>
      </c>
      <c r="I564" t="n">
        <v>0</v>
      </c>
      <c r="J564" t="n">
        <v>0</v>
      </c>
      <c r="K564" t="n">
        <v>0</v>
      </c>
      <c r="L564" t="n">
        <v>0</v>
      </c>
      <c r="M564" t="n">
        <v>0</v>
      </c>
      <c r="N564" t="n">
        <v>0</v>
      </c>
      <c r="O564" t="n">
        <v>0</v>
      </c>
      <c r="P564" t="n">
        <v>0</v>
      </c>
      <c r="Q564" t="n">
        <v>0</v>
      </c>
      <c r="R564" s="2" t="inlineStr"/>
    </row>
    <row r="565" ht="15" customHeight="1">
      <c r="A565" t="inlineStr">
        <is>
          <t>A 10589-2024</t>
        </is>
      </c>
      <c r="B565" s="1" t="n">
        <v>45366</v>
      </c>
      <c r="C565" s="1" t="n">
        <v>46140</v>
      </c>
      <c r="D565" t="inlineStr">
        <is>
          <t>VÄRMLANDS LÄN</t>
        </is>
      </c>
      <c r="E565" t="inlineStr">
        <is>
          <t>TORSBY</t>
        </is>
      </c>
      <c r="G565" t="n">
        <v>0.5</v>
      </c>
      <c r="H565" t="n">
        <v>0</v>
      </c>
      <c r="I565" t="n">
        <v>0</v>
      </c>
      <c r="J565" t="n">
        <v>0</v>
      </c>
      <c r="K565" t="n">
        <v>0</v>
      </c>
      <c r="L565" t="n">
        <v>0</v>
      </c>
      <c r="M565" t="n">
        <v>0</v>
      </c>
      <c r="N565" t="n">
        <v>0</v>
      </c>
      <c r="O565" t="n">
        <v>0</v>
      </c>
      <c r="P565" t="n">
        <v>0</v>
      </c>
      <c r="Q565" t="n">
        <v>0</v>
      </c>
      <c r="R565" s="2" t="inlineStr"/>
    </row>
    <row r="566" ht="15" customHeight="1">
      <c r="A566" t="inlineStr">
        <is>
          <t>A 15126-2024</t>
        </is>
      </c>
      <c r="B566" s="1" t="n">
        <v>45399</v>
      </c>
      <c r="C566" s="1" t="n">
        <v>46140</v>
      </c>
      <c r="D566" t="inlineStr">
        <is>
          <t>VÄRMLANDS LÄN</t>
        </is>
      </c>
      <c r="E566" t="inlineStr">
        <is>
          <t>TORSBY</t>
        </is>
      </c>
      <c r="G566" t="n">
        <v>1.8</v>
      </c>
      <c r="H566" t="n">
        <v>0</v>
      </c>
      <c r="I566" t="n">
        <v>0</v>
      </c>
      <c r="J566" t="n">
        <v>0</v>
      </c>
      <c r="K566" t="n">
        <v>0</v>
      </c>
      <c r="L566" t="n">
        <v>0</v>
      </c>
      <c r="M566" t="n">
        <v>0</v>
      </c>
      <c r="N566" t="n">
        <v>0</v>
      </c>
      <c r="O566" t="n">
        <v>0</v>
      </c>
      <c r="P566" t="n">
        <v>0</v>
      </c>
      <c r="Q566" t="n">
        <v>0</v>
      </c>
      <c r="R566" s="2" t="inlineStr"/>
    </row>
    <row r="567" ht="15" customHeight="1">
      <c r="A567" t="inlineStr">
        <is>
          <t>A 15127-2024</t>
        </is>
      </c>
      <c r="B567" s="1" t="n">
        <v>45399.76815972223</v>
      </c>
      <c r="C567" s="1" t="n">
        <v>46140</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43538-2024</t>
        </is>
      </c>
      <c r="B568" s="1" t="n">
        <v>45569.36136574074</v>
      </c>
      <c r="C568" s="1" t="n">
        <v>46140</v>
      </c>
      <c r="D568" t="inlineStr">
        <is>
          <t>VÄRMLANDS LÄN</t>
        </is>
      </c>
      <c r="E568" t="inlineStr">
        <is>
          <t>TORSBY</t>
        </is>
      </c>
      <c r="F568" t="inlineStr">
        <is>
          <t>Bergvik skog väst AB</t>
        </is>
      </c>
      <c r="G568" t="n">
        <v>14.4</v>
      </c>
      <c r="H568" t="n">
        <v>0</v>
      </c>
      <c r="I568" t="n">
        <v>0</v>
      </c>
      <c r="J568" t="n">
        <v>0</v>
      </c>
      <c r="K568" t="n">
        <v>0</v>
      </c>
      <c r="L568" t="n">
        <v>0</v>
      </c>
      <c r="M568" t="n">
        <v>0</v>
      </c>
      <c r="N568" t="n">
        <v>0</v>
      </c>
      <c r="O568" t="n">
        <v>0</v>
      </c>
      <c r="P568" t="n">
        <v>0</v>
      </c>
      <c r="Q568" t="n">
        <v>0</v>
      </c>
      <c r="R568" s="2" t="inlineStr"/>
    </row>
    <row r="569" ht="15" customHeight="1">
      <c r="A569" t="inlineStr">
        <is>
          <t>A 3672-2024</t>
        </is>
      </c>
      <c r="B569" s="1" t="n">
        <v>45321.36465277777</v>
      </c>
      <c r="C569" s="1" t="n">
        <v>46140</v>
      </c>
      <c r="D569" t="inlineStr">
        <is>
          <t>VÄRMLANDS LÄN</t>
        </is>
      </c>
      <c r="E569" t="inlineStr">
        <is>
          <t>TORSBY</t>
        </is>
      </c>
      <c r="G569" t="n">
        <v>1.5</v>
      </c>
      <c r="H569" t="n">
        <v>0</v>
      </c>
      <c r="I569" t="n">
        <v>0</v>
      </c>
      <c r="J569" t="n">
        <v>0</v>
      </c>
      <c r="K569" t="n">
        <v>0</v>
      </c>
      <c r="L569" t="n">
        <v>0</v>
      </c>
      <c r="M569" t="n">
        <v>0</v>
      </c>
      <c r="N569" t="n">
        <v>0</v>
      </c>
      <c r="O569" t="n">
        <v>0</v>
      </c>
      <c r="P569" t="n">
        <v>0</v>
      </c>
      <c r="Q569" t="n">
        <v>0</v>
      </c>
      <c r="R569" s="2" t="inlineStr"/>
    </row>
    <row r="570" ht="15" customHeight="1">
      <c r="A570" t="inlineStr">
        <is>
          <t>A 48253-2024</t>
        </is>
      </c>
      <c r="B570" s="1" t="n">
        <v>45590</v>
      </c>
      <c r="C570" s="1" t="n">
        <v>46140</v>
      </c>
      <c r="D570" t="inlineStr">
        <is>
          <t>VÄRMLANDS LÄN</t>
        </is>
      </c>
      <c r="E570" t="inlineStr">
        <is>
          <t>TORSBY</t>
        </is>
      </c>
      <c r="F570" t="inlineStr">
        <is>
          <t>Bergvik skog väst AB</t>
        </is>
      </c>
      <c r="G570" t="n">
        <v>20.7</v>
      </c>
      <c r="H570" t="n">
        <v>0</v>
      </c>
      <c r="I570" t="n">
        <v>0</v>
      </c>
      <c r="J570" t="n">
        <v>0</v>
      </c>
      <c r="K570" t="n">
        <v>0</v>
      </c>
      <c r="L570" t="n">
        <v>0</v>
      </c>
      <c r="M570" t="n">
        <v>0</v>
      </c>
      <c r="N570" t="n">
        <v>0</v>
      </c>
      <c r="O570" t="n">
        <v>0</v>
      </c>
      <c r="P570" t="n">
        <v>0</v>
      </c>
      <c r="Q570" t="n">
        <v>0</v>
      </c>
      <c r="R570" s="2" t="inlineStr"/>
    </row>
    <row r="571" ht="15" customHeight="1">
      <c r="A571" t="inlineStr">
        <is>
          <t>A 47651-2024</t>
        </is>
      </c>
      <c r="B571" s="1" t="n">
        <v>45588</v>
      </c>
      <c r="C571" s="1" t="n">
        <v>46140</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18682-2024</t>
        </is>
      </c>
      <c r="B572" s="1" t="n">
        <v>45426.37251157407</v>
      </c>
      <c r="C572" s="1" t="n">
        <v>46140</v>
      </c>
      <c r="D572" t="inlineStr">
        <is>
          <t>VÄRMLANDS LÄN</t>
        </is>
      </c>
      <c r="E572" t="inlineStr">
        <is>
          <t>TORSBY</t>
        </is>
      </c>
      <c r="G572" t="n">
        <v>1.5</v>
      </c>
      <c r="H572" t="n">
        <v>0</v>
      </c>
      <c r="I572" t="n">
        <v>0</v>
      </c>
      <c r="J572" t="n">
        <v>0</v>
      </c>
      <c r="K572" t="n">
        <v>0</v>
      </c>
      <c r="L572" t="n">
        <v>0</v>
      </c>
      <c r="M572" t="n">
        <v>0</v>
      </c>
      <c r="N572" t="n">
        <v>0</v>
      </c>
      <c r="O572" t="n">
        <v>0</v>
      </c>
      <c r="P572" t="n">
        <v>0</v>
      </c>
      <c r="Q572" t="n">
        <v>0</v>
      </c>
      <c r="R572" s="2" t="inlineStr"/>
    </row>
    <row r="573" ht="15" customHeight="1">
      <c r="A573" t="inlineStr">
        <is>
          <t>A 44424-2024</t>
        </is>
      </c>
      <c r="B573" s="1" t="n">
        <v>45573</v>
      </c>
      <c r="C573" s="1" t="n">
        <v>46140</v>
      </c>
      <c r="D573" t="inlineStr">
        <is>
          <t>VÄRMLANDS LÄN</t>
        </is>
      </c>
      <c r="E573" t="inlineStr">
        <is>
          <t>TORSBY</t>
        </is>
      </c>
      <c r="G573" t="n">
        <v>8.5</v>
      </c>
      <c r="H573" t="n">
        <v>0</v>
      </c>
      <c r="I573" t="n">
        <v>0</v>
      </c>
      <c r="J573" t="n">
        <v>0</v>
      </c>
      <c r="K573" t="n">
        <v>0</v>
      </c>
      <c r="L573" t="n">
        <v>0</v>
      </c>
      <c r="M573" t="n">
        <v>0</v>
      </c>
      <c r="N573" t="n">
        <v>0</v>
      </c>
      <c r="O573" t="n">
        <v>0</v>
      </c>
      <c r="P573" t="n">
        <v>0</v>
      </c>
      <c r="Q573" t="n">
        <v>0</v>
      </c>
      <c r="R573" s="2" t="inlineStr"/>
    </row>
    <row r="574" ht="15" customHeight="1">
      <c r="A574" t="inlineStr">
        <is>
          <t>A 47452-2024</t>
        </is>
      </c>
      <c r="B574" s="1" t="n">
        <v>45587</v>
      </c>
      <c r="C574" s="1" t="n">
        <v>46140</v>
      </c>
      <c r="D574" t="inlineStr">
        <is>
          <t>VÄRMLANDS LÄN</t>
        </is>
      </c>
      <c r="E574" t="inlineStr">
        <is>
          <t>TORSBY</t>
        </is>
      </c>
      <c r="F574" t="inlineStr">
        <is>
          <t>Övriga Aktiebolag</t>
        </is>
      </c>
      <c r="G574" t="n">
        <v>1.4</v>
      </c>
      <c r="H574" t="n">
        <v>0</v>
      </c>
      <c r="I574" t="n">
        <v>0</v>
      </c>
      <c r="J574" t="n">
        <v>0</v>
      </c>
      <c r="K574" t="n">
        <v>0</v>
      </c>
      <c r="L574" t="n">
        <v>0</v>
      </c>
      <c r="M574" t="n">
        <v>0</v>
      </c>
      <c r="N574" t="n">
        <v>0</v>
      </c>
      <c r="O574" t="n">
        <v>0</v>
      </c>
      <c r="P574" t="n">
        <v>0</v>
      </c>
      <c r="Q574" t="n">
        <v>0</v>
      </c>
      <c r="R574" s="2" t="inlineStr"/>
    </row>
    <row r="575" ht="15" customHeight="1">
      <c r="A575" t="inlineStr">
        <is>
          <t>A 39768-2024</t>
        </is>
      </c>
      <c r="B575" s="1" t="n">
        <v>45552</v>
      </c>
      <c r="C575" s="1" t="n">
        <v>46140</v>
      </c>
      <c r="D575" t="inlineStr">
        <is>
          <t>VÄRMLANDS LÄN</t>
        </is>
      </c>
      <c r="E575" t="inlineStr">
        <is>
          <t>TORSBY</t>
        </is>
      </c>
      <c r="G575" t="n">
        <v>3.1</v>
      </c>
      <c r="H575" t="n">
        <v>0</v>
      </c>
      <c r="I575" t="n">
        <v>0</v>
      </c>
      <c r="J575" t="n">
        <v>0</v>
      </c>
      <c r="K575" t="n">
        <v>0</v>
      </c>
      <c r="L575" t="n">
        <v>0</v>
      </c>
      <c r="M575" t="n">
        <v>0</v>
      </c>
      <c r="N575" t="n">
        <v>0</v>
      </c>
      <c r="O575" t="n">
        <v>0</v>
      </c>
      <c r="P575" t="n">
        <v>0</v>
      </c>
      <c r="Q575" t="n">
        <v>0</v>
      </c>
      <c r="R575" s="2" t="inlineStr"/>
    </row>
    <row r="576" ht="15" customHeight="1">
      <c r="A576" t="inlineStr">
        <is>
          <t>A 51836-2024</t>
        </is>
      </c>
      <c r="B576" s="1" t="n">
        <v>45607</v>
      </c>
      <c r="C576" s="1" t="n">
        <v>46140</v>
      </c>
      <c r="D576" t="inlineStr">
        <is>
          <t>VÄRMLANDS LÄN</t>
        </is>
      </c>
      <c r="E576" t="inlineStr">
        <is>
          <t>TORSBY</t>
        </is>
      </c>
      <c r="G576" t="n">
        <v>2</v>
      </c>
      <c r="H576" t="n">
        <v>0</v>
      </c>
      <c r="I576" t="n">
        <v>0</v>
      </c>
      <c r="J576" t="n">
        <v>0</v>
      </c>
      <c r="K576" t="n">
        <v>0</v>
      </c>
      <c r="L576" t="n">
        <v>0</v>
      </c>
      <c r="M576" t="n">
        <v>0</v>
      </c>
      <c r="N576" t="n">
        <v>0</v>
      </c>
      <c r="O576" t="n">
        <v>0</v>
      </c>
      <c r="P576" t="n">
        <v>0</v>
      </c>
      <c r="Q576" t="n">
        <v>0</v>
      </c>
      <c r="R576" s="2" t="inlineStr"/>
    </row>
    <row r="577" ht="15" customHeight="1">
      <c r="A577" t="inlineStr">
        <is>
          <t>A 48185-2024</t>
        </is>
      </c>
      <c r="B577" s="1" t="n">
        <v>45589.90284722222</v>
      </c>
      <c r="C577" s="1" t="n">
        <v>46140</v>
      </c>
      <c r="D577" t="inlineStr">
        <is>
          <t>VÄRMLANDS LÄN</t>
        </is>
      </c>
      <c r="E577" t="inlineStr">
        <is>
          <t>TORSBY</t>
        </is>
      </c>
      <c r="G577" t="n">
        <v>4.8</v>
      </c>
      <c r="H577" t="n">
        <v>0</v>
      </c>
      <c r="I577" t="n">
        <v>0</v>
      </c>
      <c r="J577" t="n">
        <v>0</v>
      </c>
      <c r="K577" t="n">
        <v>0</v>
      </c>
      <c r="L577" t="n">
        <v>0</v>
      </c>
      <c r="M577" t="n">
        <v>0</v>
      </c>
      <c r="N577" t="n">
        <v>0</v>
      </c>
      <c r="O577" t="n">
        <v>0</v>
      </c>
      <c r="P577" t="n">
        <v>0</v>
      </c>
      <c r="Q577" t="n">
        <v>0</v>
      </c>
      <c r="R577" s="2" t="inlineStr"/>
    </row>
    <row r="578" ht="15" customHeight="1">
      <c r="A578" t="inlineStr">
        <is>
          <t>A 22943-2023</t>
        </is>
      </c>
      <c r="B578" s="1" t="n">
        <v>45072</v>
      </c>
      <c r="C578" s="1" t="n">
        <v>46140</v>
      </c>
      <c r="D578" t="inlineStr">
        <is>
          <t>VÄRMLANDS LÄN</t>
        </is>
      </c>
      <c r="E578" t="inlineStr">
        <is>
          <t>TORSBY</t>
        </is>
      </c>
      <c r="G578" t="n">
        <v>0.5</v>
      </c>
      <c r="H578" t="n">
        <v>0</v>
      </c>
      <c r="I578" t="n">
        <v>0</v>
      </c>
      <c r="J578" t="n">
        <v>0</v>
      </c>
      <c r="K578" t="n">
        <v>0</v>
      </c>
      <c r="L578" t="n">
        <v>0</v>
      </c>
      <c r="M578" t="n">
        <v>0</v>
      </c>
      <c r="N578" t="n">
        <v>0</v>
      </c>
      <c r="O578" t="n">
        <v>0</v>
      </c>
      <c r="P578" t="n">
        <v>0</v>
      </c>
      <c r="Q578" t="n">
        <v>0</v>
      </c>
      <c r="R578" s="2" t="inlineStr"/>
    </row>
    <row r="579" ht="15" customHeight="1">
      <c r="A579" t="inlineStr">
        <is>
          <t>A 22301-2023</t>
        </is>
      </c>
      <c r="B579" s="1" t="n">
        <v>45070</v>
      </c>
      <c r="C579" s="1" t="n">
        <v>46140</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19575-2025</t>
        </is>
      </c>
      <c r="B580" s="1" t="n">
        <v>45770.55957175926</v>
      </c>
      <c r="C580" s="1" t="n">
        <v>46140</v>
      </c>
      <c r="D580" t="inlineStr">
        <is>
          <t>VÄRMLANDS LÄN</t>
        </is>
      </c>
      <c r="E580" t="inlineStr">
        <is>
          <t>TORSBY</t>
        </is>
      </c>
      <c r="F580" t="inlineStr">
        <is>
          <t>Bergvik skog väst AB</t>
        </is>
      </c>
      <c r="G580" t="n">
        <v>1.8</v>
      </c>
      <c r="H580" t="n">
        <v>0</v>
      </c>
      <c r="I580" t="n">
        <v>0</v>
      </c>
      <c r="J580" t="n">
        <v>0</v>
      </c>
      <c r="K580" t="n">
        <v>0</v>
      </c>
      <c r="L580" t="n">
        <v>0</v>
      </c>
      <c r="M580" t="n">
        <v>0</v>
      </c>
      <c r="N580" t="n">
        <v>0</v>
      </c>
      <c r="O580" t="n">
        <v>0</v>
      </c>
      <c r="P580" t="n">
        <v>0</v>
      </c>
      <c r="Q580" t="n">
        <v>0</v>
      </c>
      <c r="R580" s="2" t="inlineStr"/>
    </row>
    <row r="581" ht="15" customHeight="1">
      <c r="A581" t="inlineStr">
        <is>
          <t>A 26979-2023</t>
        </is>
      </c>
      <c r="B581" s="1" t="n">
        <v>45091</v>
      </c>
      <c r="C581" s="1" t="n">
        <v>46140</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36856-2025</t>
        </is>
      </c>
      <c r="B582" s="1" t="n">
        <v>45874.40421296296</v>
      </c>
      <c r="C582" s="1" t="n">
        <v>46140</v>
      </c>
      <c r="D582" t="inlineStr">
        <is>
          <t>VÄRMLANDS LÄN</t>
        </is>
      </c>
      <c r="E582" t="inlineStr">
        <is>
          <t>TORSBY</t>
        </is>
      </c>
      <c r="G582" t="n">
        <v>4.4</v>
      </c>
      <c r="H582" t="n">
        <v>0</v>
      </c>
      <c r="I582" t="n">
        <v>0</v>
      </c>
      <c r="J582" t="n">
        <v>0</v>
      </c>
      <c r="K582" t="n">
        <v>0</v>
      </c>
      <c r="L582" t="n">
        <v>0</v>
      </c>
      <c r="M582" t="n">
        <v>0</v>
      </c>
      <c r="N582" t="n">
        <v>0</v>
      </c>
      <c r="O582" t="n">
        <v>0</v>
      </c>
      <c r="P582" t="n">
        <v>0</v>
      </c>
      <c r="Q582" t="n">
        <v>0</v>
      </c>
      <c r="R582" s="2" t="inlineStr"/>
    </row>
    <row r="583" ht="15" customHeight="1">
      <c r="A583" t="inlineStr">
        <is>
          <t>A 13924-2025</t>
        </is>
      </c>
      <c r="B583" s="1" t="n">
        <v>45737</v>
      </c>
      <c r="C583" s="1" t="n">
        <v>46140</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7907-2025</t>
        </is>
      </c>
      <c r="B584" s="1" t="n">
        <v>45707</v>
      </c>
      <c r="C584" s="1" t="n">
        <v>46140</v>
      </c>
      <c r="D584" t="inlineStr">
        <is>
          <t>VÄRMLANDS LÄN</t>
        </is>
      </c>
      <c r="E584" t="inlineStr">
        <is>
          <t>TORSBY</t>
        </is>
      </c>
      <c r="G584" t="n">
        <v>0.8</v>
      </c>
      <c r="H584" t="n">
        <v>0</v>
      </c>
      <c r="I584" t="n">
        <v>0</v>
      </c>
      <c r="J584" t="n">
        <v>0</v>
      </c>
      <c r="K584" t="n">
        <v>0</v>
      </c>
      <c r="L584" t="n">
        <v>0</v>
      </c>
      <c r="M584" t="n">
        <v>0</v>
      </c>
      <c r="N584" t="n">
        <v>0</v>
      </c>
      <c r="O584" t="n">
        <v>0</v>
      </c>
      <c r="P584" t="n">
        <v>0</v>
      </c>
      <c r="Q584" t="n">
        <v>0</v>
      </c>
      <c r="R584" s="2" t="inlineStr"/>
    </row>
    <row r="585" ht="15" customHeight="1">
      <c r="A585" t="inlineStr">
        <is>
          <t>A 18897-2024</t>
        </is>
      </c>
      <c r="B585" s="1" t="n">
        <v>45427.34046296297</v>
      </c>
      <c r="C585" s="1" t="n">
        <v>46140</v>
      </c>
      <c r="D585" t="inlineStr">
        <is>
          <t>VÄRMLANDS LÄN</t>
        </is>
      </c>
      <c r="E585" t="inlineStr">
        <is>
          <t>TORSBY</t>
        </is>
      </c>
      <c r="F585" t="inlineStr">
        <is>
          <t>Övriga statliga verk och myndigheter</t>
        </is>
      </c>
      <c r="G585" t="n">
        <v>4.6</v>
      </c>
      <c r="H585" t="n">
        <v>0</v>
      </c>
      <c r="I585" t="n">
        <v>0</v>
      </c>
      <c r="J585" t="n">
        <v>0</v>
      </c>
      <c r="K585" t="n">
        <v>0</v>
      </c>
      <c r="L585" t="n">
        <v>0</v>
      </c>
      <c r="M585" t="n">
        <v>0</v>
      </c>
      <c r="N585" t="n">
        <v>0</v>
      </c>
      <c r="O585" t="n">
        <v>0</v>
      </c>
      <c r="P585" t="n">
        <v>0</v>
      </c>
      <c r="Q585" t="n">
        <v>0</v>
      </c>
      <c r="R585" s="2" t="inlineStr"/>
    </row>
    <row r="586" ht="15" customHeight="1">
      <c r="A586" t="inlineStr">
        <is>
          <t>A 4585-2023</t>
        </is>
      </c>
      <c r="B586" s="1" t="n">
        <v>44956.79790509259</v>
      </c>
      <c r="C586" s="1" t="n">
        <v>46140</v>
      </c>
      <c r="D586" t="inlineStr">
        <is>
          <t>VÄRMLANDS LÄN</t>
        </is>
      </c>
      <c r="E586" t="inlineStr">
        <is>
          <t>TORSBY</t>
        </is>
      </c>
      <c r="G586" t="n">
        <v>1.3</v>
      </c>
      <c r="H586" t="n">
        <v>0</v>
      </c>
      <c r="I586" t="n">
        <v>0</v>
      </c>
      <c r="J586" t="n">
        <v>0</v>
      </c>
      <c r="K586" t="n">
        <v>0</v>
      </c>
      <c r="L586" t="n">
        <v>0</v>
      </c>
      <c r="M586" t="n">
        <v>0</v>
      </c>
      <c r="N586" t="n">
        <v>0</v>
      </c>
      <c r="O586" t="n">
        <v>0</v>
      </c>
      <c r="P586" t="n">
        <v>0</v>
      </c>
      <c r="Q586" t="n">
        <v>0</v>
      </c>
      <c r="R586" s="2" t="inlineStr"/>
    </row>
    <row r="587" ht="15" customHeight="1">
      <c r="A587" t="inlineStr">
        <is>
          <t>A 20175-2022</t>
        </is>
      </c>
      <c r="B587" s="1" t="n">
        <v>44698</v>
      </c>
      <c r="C587" s="1" t="n">
        <v>46140</v>
      </c>
      <c r="D587" t="inlineStr">
        <is>
          <t>VÄRMLANDS LÄN</t>
        </is>
      </c>
      <c r="E587" t="inlineStr">
        <is>
          <t>TORSBY</t>
        </is>
      </c>
      <c r="G587" t="n">
        <v>2.8</v>
      </c>
      <c r="H587" t="n">
        <v>0</v>
      </c>
      <c r="I587" t="n">
        <v>0</v>
      </c>
      <c r="J587" t="n">
        <v>0</v>
      </c>
      <c r="K587" t="n">
        <v>0</v>
      </c>
      <c r="L587" t="n">
        <v>0</v>
      </c>
      <c r="M587" t="n">
        <v>0</v>
      </c>
      <c r="N587" t="n">
        <v>0</v>
      </c>
      <c r="O587" t="n">
        <v>0</v>
      </c>
      <c r="P587" t="n">
        <v>0</v>
      </c>
      <c r="Q587" t="n">
        <v>0</v>
      </c>
      <c r="R587" s="2" t="inlineStr"/>
    </row>
    <row r="588" ht="15" customHeight="1">
      <c r="A588" t="inlineStr">
        <is>
          <t>A 1512-2025</t>
        </is>
      </c>
      <c r="B588" s="1" t="n">
        <v>45670.45255787037</v>
      </c>
      <c r="C588" s="1" t="n">
        <v>46140</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36920-2025</t>
        </is>
      </c>
      <c r="B589" s="1" t="n">
        <v>45874</v>
      </c>
      <c r="C589" s="1" t="n">
        <v>46140</v>
      </c>
      <c r="D589" t="inlineStr">
        <is>
          <t>VÄRMLANDS LÄN</t>
        </is>
      </c>
      <c r="E589" t="inlineStr">
        <is>
          <t>TORSBY</t>
        </is>
      </c>
      <c r="F589" t="inlineStr">
        <is>
          <t>Bergvik skog väst AB</t>
        </is>
      </c>
      <c r="G589" t="n">
        <v>15.9</v>
      </c>
      <c r="H589" t="n">
        <v>0</v>
      </c>
      <c r="I589" t="n">
        <v>0</v>
      </c>
      <c r="J589" t="n">
        <v>0</v>
      </c>
      <c r="K589" t="n">
        <v>0</v>
      </c>
      <c r="L589" t="n">
        <v>0</v>
      </c>
      <c r="M589" t="n">
        <v>0</v>
      </c>
      <c r="N589" t="n">
        <v>0</v>
      </c>
      <c r="O589" t="n">
        <v>0</v>
      </c>
      <c r="P589" t="n">
        <v>0</v>
      </c>
      <c r="Q589" t="n">
        <v>0</v>
      </c>
      <c r="R589" s="2" t="inlineStr"/>
    </row>
    <row r="590" ht="15" customHeight="1">
      <c r="A590" t="inlineStr">
        <is>
          <t>A 38497-2025</t>
        </is>
      </c>
      <c r="B590" s="1" t="n">
        <v>45884</v>
      </c>
      <c r="C590" s="1" t="n">
        <v>46140</v>
      </c>
      <c r="D590" t="inlineStr">
        <is>
          <t>VÄRMLANDS LÄN</t>
        </is>
      </c>
      <c r="E590" t="inlineStr">
        <is>
          <t>TORSBY</t>
        </is>
      </c>
      <c r="G590" t="n">
        <v>7.7</v>
      </c>
      <c r="H590" t="n">
        <v>0</v>
      </c>
      <c r="I590" t="n">
        <v>0</v>
      </c>
      <c r="J590" t="n">
        <v>0</v>
      </c>
      <c r="K590" t="n">
        <v>0</v>
      </c>
      <c r="L590" t="n">
        <v>0</v>
      </c>
      <c r="M590" t="n">
        <v>0</v>
      </c>
      <c r="N590" t="n">
        <v>0</v>
      </c>
      <c r="O590" t="n">
        <v>0</v>
      </c>
      <c r="P590" t="n">
        <v>0</v>
      </c>
      <c r="Q590" t="n">
        <v>0</v>
      </c>
      <c r="R590" s="2" t="inlineStr"/>
    </row>
    <row r="591" ht="15" customHeight="1">
      <c r="A591" t="inlineStr">
        <is>
          <t>A 42428-2024</t>
        </is>
      </c>
      <c r="B591" s="1" t="n">
        <v>45565</v>
      </c>
      <c r="C591" s="1" t="n">
        <v>46140</v>
      </c>
      <c r="D591" t="inlineStr">
        <is>
          <t>VÄRMLANDS LÄN</t>
        </is>
      </c>
      <c r="E591" t="inlineStr">
        <is>
          <t>TORSBY</t>
        </is>
      </c>
      <c r="F591" t="inlineStr">
        <is>
          <t>Bergvik skog väst AB</t>
        </is>
      </c>
      <c r="G591" t="n">
        <v>20.7</v>
      </c>
      <c r="H591" t="n">
        <v>0</v>
      </c>
      <c r="I591" t="n">
        <v>0</v>
      </c>
      <c r="J591" t="n">
        <v>0</v>
      </c>
      <c r="K591" t="n">
        <v>0</v>
      </c>
      <c r="L591" t="n">
        <v>0</v>
      </c>
      <c r="M591" t="n">
        <v>0</v>
      </c>
      <c r="N591" t="n">
        <v>0</v>
      </c>
      <c r="O591" t="n">
        <v>0</v>
      </c>
      <c r="P591" t="n">
        <v>0</v>
      </c>
      <c r="Q591" t="n">
        <v>0</v>
      </c>
      <c r="R591" s="2" t="inlineStr"/>
    </row>
    <row r="592" ht="15" customHeight="1">
      <c r="A592" t="inlineStr">
        <is>
          <t>A 64432-2023</t>
        </is>
      </c>
      <c r="B592" s="1" t="n">
        <v>45280.67184027778</v>
      </c>
      <c r="C592" s="1" t="n">
        <v>46140</v>
      </c>
      <c r="D592" t="inlineStr">
        <is>
          <t>VÄRMLANDS LÄN</t>
        </is>
      </c>
      <c r="E592" t="inlineStr">
        <is>
          <t>TORSBY</t>
        </is>
      </c>
      <c r="G592" t="n">
        <v>3</v>
      </c>
      <c r="H592" t="n">
        <v>0</v>
      </c>
      <c r="I592" t="n">
        <v>0</v>
      </c>
      <c r="J592" t="n">
        <v>0</v>
      </c>
      <c r="K592" t="n">
        <v>0</v>
      </c>
      <c r="L592" t="n">
        <v>0</v>
      </c>
      <c r="M592" t="n">
        <v>0</v>
      </c>
      <c r="N592" t="n">
        <v>0</v>
      </c>
      <c r="O592" t="n">
        <v>0</v>
      </c>
      <c r="P592" t="n">
        <v>0</v>
      </c>
      <c r="Q592" t="n">
        <v>0</v>
      </c>
      <c r="R592" s="2" t="inlineStr"/>
    </row>
    <row r="593" ht="15" customHeight="1">
      <c r="A593" t="inlineStr">
        <is>
          <t>A 38536-2025</t>
        </is>
      </c>
      <c r="B593" s="1" t="n">
        <v>45884.42</v>
      </c>
      <c r="C593" s="1" t="n">
        <v>46140</v>
      </c>
      <c r="D593" t="inlineStr">
        <is>
          <t>VÄRMLANDS LÄN</t>
        </is>
      </c>
      <c r="E593" t="inlineStr">
        <is>
          <t>TORSBY</t>
        </is>
      </c>
      <c r="G593" t="n">
        <v>2.2</v>
      </c>
      <c r="H593" t="n">
        <v>0</v>
      </c>
      <c r="I593" t="n">
        <v>0</v>
      </c>
      <c r="J593" t="n">
        <v>0</v>
      </c>
      <c r="K593" t="n">
        <v>0</v>
      </c>
      <c r="L593" t="n">
        <v>0</v>
      </c>
      <c r="M593" t="n">
        <v>0</v>
      </c>
      <c r="N593" t="n">
        <v>0</v>
      </c>
      <c r="O593" t="n">
        <v>0</v>
      </c>
      <c r="P593" t="n">
        <v>0</v>
      </c>
      <c r="Q593" t="n">
        <v>0</v>
      </c>
      <c r="R593" s="2" t="inlineStr"/>
    </row>
    <row r="594" ht="15" customHeight="1">
      <c r="A594" t="inlineStr">
        <is>
          <t>A 9900-2024</t>
        </is>
      </c>
      <c r="B594" s="1" t="n">
        <v>45363</v>
      </c>
      <c r="C594" s="1" t="n">
        <v>46140</v>
      </c>
      <c r="D594" t="inlineStr">
        <is>
          <t>VÄRMLANDS LÄN</t>
        </is>
      </c>
      <c r="E594" t="inlineStr">
        <is>
          <t>TORSBY</t>
        </is>
      </c>
      <c r="G594" t="n">
        <v>13.6</v>
      </c>
      <c r="H594" t="n">
        <v>0</v>
      </c>
      <c r="I594" t="n">
        <v>0</v>
      </c>
      <c r="J594" t="n">
        <v>0</v>
      </c>
      <c r="K594" t="n">
        <v>0</v>
      </c>
      <c r="L594" t="n">
        <v>0</v>
      </c>
      <c r="M594" t="n">
        <v>0</v>
      </c>
      <c r="N594" t="n">
        <v>0</v>
      </c>
      <c r="O594" t="n">
        <v>0</v>
      </c>
      <c r="P594" t="n">
        <v>0</v>
      </c>
      <c r="Q594" t="n">
        <v>0</v>
      </c>
      <c r="R594" s="2" t="inlineStr"/>
    </row>
    <row r="595" ht="15" customHeight="1">
      <c r="A595" t="inlineStr">
        <is>
          <t>A 18595-2025</t>
        </is>
      </c>
      <c r="B595" s="1" t="n">
        <v>45763</v>
      </c>
      <c r="C595" s="1" t="n">
        <v>46140</v>
      </c>
      <c r="D595" t="inlineStr">
        <is>
          <t>VÄRMLANDS LÄN</t>
        </is>
      </c>
      <c r="E595" t="inlineStr">
        <is>
          <t>TORSBY</t>
        </is>
      </c>
      <c r="F595" t="inlineStr">
        <is>
          <t>Kyrkan</t>
        </is>
      </c>
      <c r="G595" t="n">
        <v>7.9</v>
      </c>
      <c r="H595" t="n">
        <v>0</v>
      </c>
      <c r="I595" t="n">
        <v>0</v>
      </c>
      <c r="J595" t="n">
        <v>0</v>
      </c>
      <c r="K595" t="n">
        <v>0</v>
      </c>
      <c r="L595" t="n">
        <v>0</v>
      </c>
      <c r="M595" t="n">
        <v>0</v>
      </c>
      <c r="N595" t="n">
        <v>0</v>
      </c>
      <c r="O595" t="n">
        <v>0</v>
      </c>
      <c r="P595" t="n">
        <v>0</v>
      </c>
      <c r="Q595" t="n">
        <v>0</v>
      </c>
      <c r="R595" s="2" t="inlineStr"/>
    </row>
    <row r="596" ht="15" customHeight="1">
      <c r="A596" t="inlineStr">
        <is>
          <t>A 40987-2024</t>
        </is>
      </c>
      <c r="B596" s="1" t="n">
        <v>45558</v>
      </c>
      <c r="C596" s="1" t="n">
        <v>46140</v>
      </c>
      <c r="D596" t="inlineStr">
        <is>
          <t>VÄRMLANDS LÄN</t>
        </is>
      </c>
      <c r="E596" t="inlineStr">
        <is>
          <t>TORSBY</t>
        </is>
      </c>
      <c r="G596" t="n">
        <v>11.6</v>
      </c>
      <c r="H596" t="n">
        <v>0</v>
      </c>
      <c r="I596" t="n">
        <v>0</v>
      </c>
      <c r="J596" t="n">
        <v>0</v>
      </c>
      <c r="K596" t="n">
        <v>0</v>
      </c>
      <c r="L596" t="n">
        <v>0</v>
      </c>
      <c r="M596" t="n">
        <v>0</v>
      </c>
      <c r="N596" t="n">
        <v>0</v>
      </c>
      <c r="O596" t="n">
        <v>0</v>
      </c>
      <c r="P596" t="n">
        <v>0</v>
      </c>
      <c r="Q596" t="n">
        <v>0</v>
      </c>
      <c r="R596" s="2" t="inlineStr"/>
    </row>
    <row r="597" ht="15" customHeight="1">
      <c r="A597" t="inlineStr">
        <is>
          <t>A 37230-2025</t>
        </is>
      </c>
      <c r="B597" s="1" t="n">
        <v>45876</v>
      </c>
      <c r="C597" s="1" t="n">
        <v>46140</v>
      </c>
      <c r="D597" t="inlineStr">
        <is>
          <t>VÄRMLANDS LÄN</t>
        </is>
      </c>
      <c r="E597" t="inlineStr">
        <is>
          <t>TORSBY</t>
        </is>
      </c>
      <c r="F597" t="inlineStr">
        <is>
          <t>Bergvik skog väst AB</t>
        </is>
      </c>
      <c r="G597" t="n">
        <v>7.2</v>
      </c>
      <c r="H597" t="n">
        <v>0</v>
      </c>
      <c r="I597" t="n">
        <v>0</v>
      </c>
      <c r="J597" t="n">
        <v>0</v>
      </c>
      <c r="K597" t="n">
        <v>0</v>
      </c>
      <c r="L597" t="n">
        <v>0</v>
      </c>
      <c r="M597" t="n">
        <v>0</v>
      </c>
      <c r="N597" t="n">
        <v>0</v>
      </c>
      <c r="O597" t="n">
        <v>0</v>
      </c>
      <c r="P597" t="n">
        <v>0</v>
      </c>
      <c r="Q597" t="n">
        <v>0</v>
      </c>
      <c r="R597" s="2" t="inlineStr"/>
    </row>
    <row r="598" ht="15" customHeight="1">
      <c r="A598" t="inlineStr">
        <is>
          <t>A 37236-2025</t>
        </is>
      </c>
      <c r="B598" s="1" t="n">
        <v>45876.36116898148</v>
      </c>
      <c r="C598" s="1" t="n">
        <v>46140</v>
      </c>
      <c r="D598" t="inlineStr">
        <is>
          <t>VÄRMLANDS LÄN</t>
        </is>
      </c>
      <c r="E598" t="inlineStr">
        <is>
          <t>TORSBY</t>
        </is>
      </c>
      <c r="F598" t="inlineStr">
        <is>
          <t>Bergvik skog väst AB</t>
        </is>
      </c>
      <c r="G598" t="n">
        <v>4.2</v>
      </c>
      <c r="H598" t="n">
        <v>0</v>
      </c>
      <c r="I598" t="n">
        <v>0</v>
      </c>
      <c r="J598" t="n">
        <v>0</v>
      </c>
      <c r="K598" t="n">
        <v>0</v>
      </c>
      <c r="L598" t="n">
        <v>0</v>
      </c>
      <c r="M598" t="n">
        <v>0</v>
      </c>
      <c r="N598" t="n">
        <v>0</v>
      </c>
      <c r="O598" t="n">
        <v>0</v>
      </c>
      <c r="P598" t="n">
        <v>0</v>
      </c>
      <c r="Q598" t="n">
        <v>0</v>
      </c>
      <c r="R598" s="2" t="inlineStr"/>
    </row>
    <row r="599" ht="15" customHeight="1">
      <c r="A599" t="inlineStr">
        <is>
          <t>A 37334-2025</t>
        </is>
      </c>
      <c r="B599" s="1" t="n">
        <v>45876.66663194444</v>
      </c>
      <c r="C599" s="1" t="n">
        <v>46140</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37339-2025</t>
        </is>
      </c>
      <c r="B600" s="1" t="n">
        <v>45876.68457175926</v>
      </c>
      <c r="C600" s="1" t="n">
        <v>46140</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31830-2024</t>
        </is>
      </c>
      <c r="B601" s="1" t="n">
        <v>45509</v>
      </c>
      <c r="C601" s="1" t="n">
        <v>46140</v>
      </c>
      <c r="D601" t="inlineStr">
        <is>
          <t>VÄRMLANDS LÄN</t>
        </is>
      </c>
      <c r="E601" t="inlineStr">
        <is>
          <t>TORSBY</t>
        </is>
      </c>
      <c r="G601" t="n">
        <v>2.6</v>
      </c>
      <c r="H601" t="n">
        <v>0</v>
      </c>
      <c r="I601" t="n">
        <v>0</v>
      </c>
      <c r="J601" t="n">
        <v>0</v>
      </c>
      <c r="K601" t="n">
        <v>0</v>
      </c>
      <c r="L601" t="n">
        <v>0</v>
      </c>
      <c r="M601" t="n">
        <v>0</v>
      </c>
      <c r="N601" t="n">
        <v>0</v>
      </c>
      <c r="O601" t="n">
        <v>0</v>
      </c>
      <c r="P601" t="n">
        <v>0</v>
      </c>
      <c r="Q601" t="n">
        <v>0</v>
      </c>
      <c r="R601" s="2" t="inlineStr"/>
    </row>
    <row r="602" ht="15" customHeight="1">
      <c r="A602" t="inlineStr">
        <is>
          <t>A 37348-2025</t>
        </is>
      </c>
      <c r="B602" s="1" t="n">
        <v>45876.71136574074</v>
      </c>
      <c r="C602" s="1" t="n">
        <v>46140</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37260-2025</t>
        </is>
      </c>
      <c r="B603" s="1" t="n">
        <v>45876</v>
      </c>
      <c r="C603" s="1" t="n">
        <v>46140</v>
      </c>
      <c r="D603" t="inlineStr">
        <is>
          <t>VÄRMLANDS LÄN</t>
        </is>
      </c>
      <c r="E603" t="inlineStr">
        <is>
          <t>TORSBY</t>
        </is>
      </c>
      <c r="F603" t="inlineStr">
        <is>
          <t>Bergvik skog väst AB</t>
        </is>
      </c>
      <c r="G603" t="n">
        <v>4.3</v>
      </c>
      <c r="H603" t="n">
        <v>0</v>
      </c>
      <c r="I603" t="n">
        <v>0</v>
      </c>
      <c r="J603" t="n">
        <v>0</v>
      </c>
      <c r="K603" t="n">
        <v>0</v>
      </c>
      <c r="L603" t="n">
        <v>0</v>
      </c>
      <c r="M603" t="n">
        <v>0</v>
      </c>
      <c r="N603" t="n">
        <v>0</v>
      </c>
      <c r="O603" t="n">
        <v>0</v>
      </c>
      <c r="P603" t="n">
        <v>0</v>
      </c>
      <c r="Q603" t="n">
        <v>0</v>
      </c>
      <c r="R603" s="2" t="inlineStr"/>
    </row>
    <row r="604" ht="15" customHeight="1">
      <c r="A604" t="inlineStr">
        <is>
          <t>A 37300-2025</t>
        </is>
      </c>
      <c r="B604" s="1" t="n">
        <v>45876</v>
      </c>
      <c r="C604" s="1" t="n">
        <v>46140</v>
      </c>
      <c r="D604" t="inlineStr">
        <is>
          <t>VÄRMLANDS LÄN</t>
        </is>
      </c>
      <c r="E604" t="inlineStr">
        <is>
          <t>TORSBY</t>
        </is>
      </c>
      <c r="F604" t="inlineStr">
        <is>
          <t>Bergvik skog väst AB</t>
        </is>
      </c>
      <c r="G604" t="n">
        <v>33.6</v>
      </c>
      <c r="H604" t="n">
        <v>0</v>
      </c>
      <c r="I604" t="n">
        <v>0</v>
      </c>
      <c r="J604" t="n">
        <v>0</v>
      </c>
      <c r="K604" t="n">
        <v>0</v>
      </c>
      <c r="L604" t="n">
        <v>0</v>
      </c>
      <c r="M604" t="n">
        <v>0</v>
      </c>
      <c r="N604" t="n">
        <v>0</v>
      </c>
      <c r="O604" t="n">
        <v>0</v>
      </c>
      <c r="P604" t="n">
        <v>0</v>
      </c>
      <c r="Q604" t="n">
        <v>0</v>
      </c>
      <c r="R604" s="2" t="inlineStr"/>
    </row>
    <row r="605" ht="15" customHeight="1">
      <c r="A605" t="inlineStr">
        <is>
          <t>A 37273-2025</t>
        </is>
      </c>
      <c r="B605" s="1" t="n">
        <v>45876</v>
      </c>
      <c r="C605" s="1" t="n">
        <v>46140</v>
      </c>
      <c r="D605" t="inlineStr">
        <is>
          <t>VÄRMLANDS LÄN</t>
        </is>
      </c>
      <c r="E605" t="inlineStr">
        <is>
          <t>TORSBY</t>
        </is>
      </c>
      <c r="F605" t="inlineStr">
        <is>
          <t>Bergvik skog väst AB</t>
        </is>
      </c>
      <c r="G605" t="n">
        <v>10.4</v>
      </c>
      <c r="H605" t="n">
        <v>0</v>
      </c>
      <c r="I605" t="n">
        <v>0</v>
      </c>
      <c r="J605" t="n">
        <v>0</v>
      </c>
      <c r="K605" t="n">
        <v>0</v>
      </c>
      <c r="L605" t="n">
        <v>0</v>
      </c>
      <c r="M605" t="n">
        <v>0</v>
      </c>
      <c r="N605" t="n">
        <v>0</v>
      </c>
      <c r="O605" t="n">
        <v>0</v>
      </c>
      <c r="P605" t="n">
        <v>0</v>
      </c>
      <c r="Q605" t="n">
        <v>0</v>
      </c>
      <c r="R605" s="2" t="inlineStr"/>
    </row>
    <row r="606" ht="15" customHeight="1">
      <c r="A606" t="inlineStr">
        <is>
          <t>A 63177-2023</t>
        </is>
      </c>
      <c r="B606" s="1" t="n">
        <v>45272</v>
      </c>
      <c r="C606" s="1" t="n">
        <v>46140</v>
      </c>
      <c r="D606" t="inlineStr">
        <is>
          <t>VÄRMLANDS LÄN</t>
        </is>
      </c>
      <c r="E606" t="inlineStr">
        <is>
          <t>TORSBY</t>
        </is>
      </c>
      <c r="G606" t="n">
        <v>14.9</v>
      </c>
      <c r="H606" t="n">
        <v>0</v>
      </c>
      <c r="I606" t="n">
        <v>0</v>
      </c>
      <c r="J606" t="n">
        <v>0</v>
      </c>
      <c r="K606" t="n">
        <v>0</v>
      </c>
      <c r="L606" t="n">
        <v>0</v>
      </c>
      <c r="M606" t="n">
        <v>0</v>
      </c>
      <c r="N606" t="n">
        <v>0</v>
      </c>
      <c r="O606" t="n">
        <v>0</v>
      </c>
      <c r="P606" t="n">
        <v>0</v>
      </c>
      <c r="Q606" t="n">
        <v>0</v>
      </c>
      <c r="R606" s="2" t="inlineStr"/>
    </row>
    <row r="607" ht="15" customHeight="1">
      <c r="A607" t="inlineStr">
        <is>
          <t>A 63266-2023</t>
        </is>
      </c>
      <c r="B607" s="1" t="n">
        <v>45273.741875</v>
      </c>
      <c r="C607" s="1" t="n">
        <v>46140</v>
      </c>
      <c r="D607" t="inlineStr">
        <is>
          <t>VÄRMLANDS LÄN</t>
        </is>
      </c>
      <c r="E607" t="inlineStr">
        <is>
          <t>TORSBY</t>
        </is>
      </c>
      <c r="G607" t="n">
        <v>2</v>
      </c>
      <c r="H607" t="n">
        <v>0</v>
      </c>
      <c r="I607" t="n">
        <v>0</v>
      </c>
      <c r="J607" t="n">
        <v>0</v>
      </c>
      <c r="K607" t="n">
        <v>0</v>
      </c>
      <c r="L607" t="n">
        <v>0</v>
      </c>
      <c r="M607" t="n">
        <v>0</v>
      </c>
      <c r="N607" t="n">
        <v>0</v>
      </c>
      <c r="O607" t="n">
        <v>0</v>
      </c>
      <c r="P607" t="n">
        <v>0</v>
      </c>
      <c r="Q607" t="n">
        <v>0</v>
      </c>
      <c r="R607" s="2" t="inlineStr"/>
    </row>
    <row r="608" ht="15" customHeight="1">
      <c r="A608" t="inlineStr">
        <is>
          <t>A 12402-2025</t>
        </is>
      </c>
      <c r="B608" s="1" t="n">
        <v>45730.4228125</v>
      </c>
      <c r="C608" s="1" t="n">
        <v>46140</v>
      </c>
      <c r="D608" t="inlineStr">
        <is>
          <t>VÄRMLANDS LÄN</t>
        </is>
      </c>
      <c r="E608" t="inlineStr">
        <is>
          <t>TORSBY</t>
        </is>
      </c>
      <c r="G608" t="n">
        <v>1.5</v>
      </c>
      <c r="H608" t="n">
        <v>0</v>
      </c>
      <c r="I608" t="n">
        <v>0</v>
      </c>
      <c r="J608" t="n">
        <v>0</v>
      </c>
      <c r="K608" t="n">
        <v>0</v>
      </c>
      <c r="L608" t="n">
        <v>0</v>
      </c>
      <c r="M608" t="n">
        <v>0</v>
      </c>
      <c r="N608" t="n">
        <v>0</v>
      </c>
      <c r="O608" t="n">
        <v>0</v>
      </c>
      <c r="P608" t="n">
        <v>0</v>
      </c>
      <c r="Q608" t="n">
        <v>0</v>
      </c>
      <c r="R608" s="2" t="inlineStr"/>
    </row>
    <row r="609" ht="15" customHeight="1">
      <c r="A609" t="inlineStr">
        <is>
          <t>A 49845-2024</t>
        </is>
      </c>
      <c r="B609" s="1" t="n">
        <v>45597</v>
      </c>
      <c r="C609" s="1" t="n">
        <v>46140</v>
      </c>
      <c r="D609" t="inlineStr">
        <is>
          <t>VÄRMLANDS LÄN</t>
        </is>
      </c>
      <c r="E609" t="inlineStr">
        <is>
          <t>TORSBY</t>
        </is>
      </c>
      <c r="G609" t="n">
        <v>0.4</v>
      </c>
      <c r="H609" t="n">
        <v>0</v>
      </c>
      <c r="I609" t="n">
        <v>0</v>
      </c>
      <c r="J609" t="n">
        <v>0</v>
      </c>
      <c r="K609" t="n">
        <v>0</v>
      </c>
      <c r="L609" t="n">
        <v>0</v>
      </c>
      <c r="M609" t="n">
        <v>0</v>
      </c>
      <c r="N609" t="n">
        <v>0</v>
      </c>
      <c r="O609" t="n">
        <v>0</v>
      </c>
      <c r="P609" t="n">
        <v>0</v>
      </c>
      <c r="Q609" t="n">
        <v>0</v>
      </c>
      <c r="R609" s="2" t="inlineStr"/>
    </row>
    <row r="610" ht="15" customHeight="1">
      <c r="A610" t="inlineStr">
        <is>
          <t>A 50372-2024</t>
        </is>
      </c>
      <c r="B610" s="1" t="n">
        <v>45601.25935185186</v>
      </c>
      <c r="C610" s="1" t="n">
        <v>46140</v>
      </c>
      <c r="D610" t="inlineStr">
        <is>
          <t>VÄRMLANDS LÄN</t>
        </is>
      </c>
      <c r="E610" t="inlineStr">
        <is>
          <t>TORSBY</t>
        </is>
      </c>
      <c r="F610" t="inlineStr">
        <is>
          <t>Övriga Aktiebolag</t>
        </is>
      </c>
      <c r="G610" t="n">
        <v>1.9</v>
      </c>
      <c r="H610" t="n">
        <v>0</v>
      </c>
      <c r="I610" t="n">
        <v>0</v>
      </c>
      <c r="J610" t="n">
        <v>0</v>
      </c>
      <c r="K610" t="n">
        <v>0</v>
      </c>
      <c r="L610" t="n">
        <v>0</v>
      </c>
      <c r="M610" t="n">
        <v>0</v>
      </c>
      <c r="N610" t="n">
        <v>0</v>
      </c>
      <c r="O610" t="n">
        <v>0</v>
      </c>
      <c r="P610" t="n">
        <v>0</v>
      </c>
      <c r="Q610" t="n">
        <v>0</v>
      </c>
      <c r="R610" s="2" t="inlineStr"/>
    </row>
    <row r="611" ht="15" customHeight="1">
      <c r="A611" t="inlineStr">
        <is>
          <t>A 37566-2025</t>
        </is>
      </c>
      <c r="B611" s="1" t="n">
        <v>45880</v>
      </c>
      <c r="C611" s="1" t="n">
        <v>46140</v>
      </c>
      <c r="D611" t="inlineStr">
        <is>
          <t>VÄRMLANDS LÄN</t>
        </is>
      </c>
      <c r="E611" t="inlineStr">
        <is>
          <t>TORSBY</t>
        </is>
      </c>
      <c r="G611" t="n">
        <v>3.6</v>
      </c>
      <c r="H611" t="n">
        <v>0</v>
      </c>
      <c r="I611" t="n">
        <v>0</v>
      </c>
      <c r="J611" t="n">
        <v>0</v>
      </c>
      <c r="K611" t="n">
        <v>0</v>
      </c>
      <c r="L611" t="n">
        <v>0</v>
      </c>
      <c r="M611" t="n">
        <v>0</v>
      </c>
      <c r="N611" t="n">
        <v>0</v>
      </c>
      <c r="O611" t="n">
        <v>0</v>
      </c>
      <c r="P611" t="n">
        <v>0</v>
      </c>
      <c r="Q611" t="n">
        <v>0</v>
      </c>
      <c r="R611" s="2" t="inlineStr"/>
    </row>
    <row r="612" ht="15" customHeight="1">
      <c r="A612" t="inlineStr">
        <is>
          <t>A 50852-2023</t>
        </is>
      </c>
      <c r="B612" s="1" t="n">
        <v>45218.29837962963</v>
      </c>
      <c r="C612" s="1" t="n">
        <v>46140</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52982-2023</t>
        </is>
      </c>
      <c r="B613" s="1" t="n">
        <v>45226.61299768519</v>
      </c>
      <c r="C613" s="1" t="n">
        <v>46140</v>
      </c>
      <c r="D613" t="inlineStr">
        <is>
          <t>VÄRMLANDS LÄN</t>
        </is>
      </c>
      <c r="E613" t="inlineStr">
        <is>
          <t>TORSBY</t>
        </is>
      </c>
      <c r="G613" t="n">
        <v>35.5</v>
      </c>
      <c r="H613" t="n">
        <v>0</v>
      </c>
      <c r="I613" t="n">
        <v>0</v>
      </c>
      <c r="J613" t="n">
        <v>0</v>
      </c>
      <c r="K613" t="n">
        <v>0</v>
      </c>
      <c r="L613" t="n">
        <v>0</v>
      </c>
      <c r="M613" t="n">
        <v>0</v>
      </c>
      <c r="N613" t="n">
        <v>0</v>
      </c>
      <c r="O613" t="n">
        <v>0</v>
      </c>
      <c r="P613" t="n">
        <v>0</v>
      </c>
      <c r="Q613" t="n">
        <v>0</v>
      </c>
      <c r="R613" s="2" t="inlineStr"/>
    </row>
    <row r="614" ht="15" customHeight="1">
      <c r="A614" t="inlineStr">
        <is>
          <t>A 57216-2023</t>
        </is>
      </c>
      <c r="B614" s="1" t="n">
        <v>45245</v>
      </c>
      <c r="C614" s="1" t="n">
        <v>46140</v>
      </c>
      <c r="D614" t="inlineStr">
        <is>
          <t>VÄRMLANDS LÄN</t>
        </is>
      </c>
      <c r="E614" t="inlineStr">
        <is>
          <t>TORSBY</t>
        </is>
      </c>
      <c r="G614" t="n">
        <v>2.8</v>
      </c>
      <c r="H614" t="n">
        <v>0</v>
      </c>
      <c r="I614" t="n">
        <v>0</v>
      </c>
      <c r="J614" t="n">
        <v>0</v>
      </c>
      <c r="K614" t="n">
        <v>0</v>
      </c>
      <c r="L614" t="n">
        <v>0</v>
      </c>
      <c r="M614" t="n">
        <v>0</v>
      </c>
      <c r="N614" t="n">
        <v>0</v>
      </c>
      <c r="O614" t="n">
        <v>0</v>
      </c>
      <c r="P614" t="n">
        <v>0</v>
      </c>
      <c r="Q614" t="n">
        <v>0</v>
      </c>
      <c r="R614" s="2" t="inlineStr"/>
    </row>
    <row r="615" ht="15" customHeight="1">
      <c r="A615" t="inlineStr">
        <is>
          <t>A 39208-2025</t>
        </is>
      </c>
      <c r="B615" s="1" t="n">
        <v>45888</v>
      </c>
      <c r="C615" s="1" t="n">
        <v>46140</v>
      </c>
      <c r="D615" t="inlineStr">
        <is>
          <t>VÄRMLANDS LÄN</t>
        </is>
      </c>
      <c r="E615" t="inlineStr">
        <is>
          <t>TORSBY</t>
        </is>
      </c>
      <c r="F615" t="inlineStr">
        <is>
          <t>Bergvik skog väst AB</t>
        </is>
      </c>
      <c r="G615" t="n">
        <v>39.1</v>
      </c>
      <c r="H615" t="n">
        <v>0</v>
      </c>
      <c r="I615" t="n">
        <v>0</v>
      </c>
      <c r="J615" t="n">
        <v>0</v>
      </c>
      <c r="K615" t="n">
        <v>0</v>
      </c>
      <c r="L615" t="n">
        <v>0</v>
      </c>
      <c r="M615" t="n">
        <v>0</v>
      </c>
      <c r="N615" t="n">
        <v>0</v>
      </c>
      <c r="O615" t="n">
        <v>0</v>
      </c>
      <c r="P615" t="n">
        <v>0</v>
      </c>
      <c r="Q615" t="n">
        <v>0</v>
      </c>
      <c r="R615" s="2" t="inlineStr"/>
    </row>
    <row r="616" ht="15" customHeight="1">
      <c r="A616" t="inlineStr">
        <is>
          <t>A 41270-2023</t>
        </is>
      </c>
      <c r="B616" s="1" t="n">
        <v>45174.54952546296</v>
      </c>
      <c r="C616" s="1" t="n">
        <v>46140</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32932-2024</t>
        </is>
      </c>
      <c r="B617" s="1" t="n">
        <v>45517.31537037037</v>
      </c>
      <c r="C617" s="1" t="n">
        <v>46140</v>
      </c>
      <c r="D617" t="inlineStr">
        <is>
          <t>VÄRMLANDS LÄN</t>
        </is>
      </c>
      <c r="E617" t="inlineStr">
        <is>
          <t>TORSBY</t>
        </is>
      </c>
      <c r="G617" t="n">
        <v>6.3</v>
      </c>
      <c r="H617" t="n">
        <v>0</v>
      </c>
      <c r="I617" t="n">
        <v>0</v>
      </c>
      <c r="J617" t="n">
        <v>0</v>
      </c>
      <c r="K617" t="n">
        <v>0</v>
      </c>
      <c r="L617" t="n">
        <v>0</v>
      </c>
      <c r="M617" t="n">
        <v>0</v>
      </c>
      <c r="N617" t="n">
        <v>0</v>
      </c>
      <c r="O617" t="n">
        <v>0</v>
      </c>
      <c r="P617" t="n">
        <v>0</v>
      </c>
      <c r="Q617" t="n">
        <v>0</v>
      </c>
      <c r="R617" s="2" t="inlineStr"/>
    </row>
    <row r="618" ht="15" customHeight="1">
      <c r="A618" t="inlineStr">
        <is>
          <t>A 61565-2024</t>
        </is>
      </c>
      <c r="B618" s="1" t="n">
        <v>45646</v>
      </c>
      <c r="C618" s="1" t="n">
        <v>46140</v>
      </c>
      <c r="D618" t="inlineStr">
        <is>
          <t>VÄRMLANDS LÄN</t>
        </is>
      </c>
      <c r="E618" t="inlineStr">
        <is>
          <t>TORSBY</t>
        </is>
      </c>
      <c r="F618" t="inlineStr">
        <is>
          <t>Bergvik skog väst AB</t>
        </is>
      </c>
      <c r="G618" t="n">
        <v>14.4</v>
      </c>
      <c r="H618" t="n">
        <v>0</v>
      </c>
      <c r="I618" t="n">
        <v>0</v>
      </c>
      <c r="J618" t="n">
        <v>0</v>
      </c>
      <c r="K618" t="n">
        <v>0</v>
      </c>
      <c r="L618" t="n">
        <v>0</v>
      </c>
      <c r="M618" t="n">
        <v>0</v>
      </c>
      <c r="N618" t="n">
        <v>0</v>
      </c>
      <c r="O618" t="n">
        <v>0</v>
      </c>
      <c r="P618" t="n">
        <v>0</v>
      </c>
      <c r="Q618" t="n">
        <v>0</v>
      </c>
      <c r="R618" s="2" t="inlineStr"/>
    </row>
    <row r="619" ht="15" customHeight="1">
      <c r="A619" t="inlineStr">
        <is>
          <t>A 22386-2025</t>
        </is>
      </c>
      <c r="B619" s="1" t="n">
        <v>45786.50703703704</v>
      </c>
      <c r="C619" s="1" t="n">
        <v>46140</v>
      </c>
      <c r="D619" t="inlineStr">
        <is>
          <t>VÄRMLANDS LÄN</t>
        </is>
      </c>
      <c r="E619" t="inlineStr">
        <is>
          <t>TORSBY</t>
        </is>
      </c>
      <c r="G619" t="n">
        <v>5.2</v>
      </c>
      <c r="H619" t="n">
        <v>0</v>
      </c>
      <c r="I619" t="n">
        <v>0</v>
      </c>
      <c r="J619" t="n">
        <v>0</v>
      </c>
      <c r="K619" t="n">
        <v>0</v>
      </c>
      <c r="L619" t="n">
        <v>0</v>
      </c>
      <c r="M619" t="n">
        <v>0</v>
      </c>
      <c r="N619" t="n">
        <v>0</v>
      </c>
      <c r="O619" t="n">
        <v>0</v>
      </c>
      <c r="P619" t="n">
        <v>0</v>
      </c>
      <c r="Q619" t="n">
        <v>0</v>
      </c>
      <c r="R619" s="2" t="inlineStr"/>
    </row>
    <row r="620" ht="15" customHeight="1">
      <c r="A620" t="inlineStr">
        <is>
          <t>A 20898-2023</t>
        </is>
      </c>
      <c r="B620" s="1" t="n">
        <v>45059</v>
      </c>
      <c r="C620" s="1" t="n">
        <v>46140</v>
      </c>
      <c r="D620" t="inlineStr">
        <is>
          <t>VÄRMLANDS LÄN</t>
        </is>
      </c>
      <c r="E620" t="inlineStr">
        <is>
          <t>TORSBY</t>
        </is>
      </c>
      <c r="G620" t="n">
        <v>3.1</v>
      </c>
      <c r="H620" t="n">
        <v>0</v>
      </c>
      <c r="I620" t="n">
        <v>0</v>
      </c>
      <c r="J620" t="n">
        <v>0</v>
      </c>
      <c r="K620" t="n">
        <v>0</v>
      </c>
      <c r="L620" t="n">
        <v>0</v>
      </c>
      <c r="M620" t="n">
        <v>0</v>
      </c>
      <c r="N620" t="n">
        <v>0</v>
      </c>
      <c r="O620" t="n">
        <v>0</v>
      </c>
      <c r="P620" t="n">
        <v>0</v>
      </c>
      <c r="Q620" t="n">
        <v>0</v>
      </c>
      <c r="R620" s="2" t="inlineStr"/>
    </row>
    <row r="621" ht="15" customHeight="1">
      <c r="A621" t="inlineStr">
        <is>
          <t>A 37760-2025</t>
        </is>
      </c>
      <c r="B621" s="1" t="n">
        <v>45880</v>
      </c>
      <c r="C621" s="1" t="n">
        <v>46140</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50138-2023</t>
        </is>
      </c>
      <c r="B622" s="1" t="n">
        <v>45215.66738425926</v>
      </c>
      <c r="C622" s="1" t="n">
        <v>46140</v>
      </c>
      <c r="D622" t="inlineStr">
        <is>
          <t>VÄRMLANDS LÄN</t>
        </is>
      </c>
      <c r="E622" t="inlineStr">
        <is>
          <t>TORSBY</t>
        </is>
      </c>
      <c r="G622" t="n">
        <v>2.6</v>
      </c>
      <c r="H622" t="n">
        <v>0</v>
      </c>
      <c r="I622" t="n">
        <v>0</v>
      </c>
      <c r="J622" t="n">
        <v>0</v>
      </c>
      <c r="K622" t="n">
        <v>0</v>
      </c>
      <c r="L622" t="n">
        <v>0</v>
      </c>
      <c r="M622" t="n">
        <v>0</v>
      </c>
      <c r="N622" t="n">
        <v>0</v>
      </c>
      <c r="O622" t="n">
        <v>0</v>
      </c>
      <c r="P622" t="n">
        <v>0</v>
      </c>
      <c r="Q622" t="n">
        <v>0</v>
      </c>
      <c r="R622" s="2" t="inlineStr"/>
    </row>
    <row r="623" ht="15" customHeight="1">
      <c r="A623" t="inlineStr">
        <is>
          <t>A 31493-2021</t>
        </is>
      </c>
      <c r="B623" s="1" t="n">
        <v>44369</v>
      </c>
      <c r="C623" s="1" t="n">
        <v>46140</v>
      </c>
      <c r="D623" t="inlineStr">
        <is>
          <t>VÄRMLANDS LÄN</t>
        </is>
      </c>
      <c r="E623" t="inlineStr">
        <is>
          <t>TORSBY</t>
        </is>
      </c>
      <c r="G623" t="n">
        <v>2.6</v>
      </c>
      <c r="H623" t="n">
        <v>0</v>
      </c>
      <c r="I623" t="n">
        <v>0</v>
      </c>
      <c r="J623" t="n">
        <v>0</v>
      </c>
      <c r="K623" t="n">
        <v>0</v>
      </c>
      <c r="L623" t="n">
        <v>0</v>
      </c>
      <c r="M623" t="n">
        <v>0</v>
      </c>
      <c r="N623" t="n">
        <v>0</v>
      </c>
      <c r="O623" t="n">
        <v>0</v>
      </c>
      <c r="P623" t="n">
        <v>0</v>
      </c>
      <c r="Q623" t="n">
        <v>0</v>
      </c>
      <c r="R623" s="2" t="inlineStr"/>
    </row>
    <row r="624" ht="15" customHeight="1">
      <c r="A624" t="inlineStr">
        <is>
          <t>A 6653-2025</t>
        </is>
      </c>
      <c r="B624" s="1" t="n">
        <v>45700.42601851852</v>
      </c>
      <c r="C624" s="1" t="n">
        <v>46140</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41315-2022</t>
        </is>
      </c>
      <c r="B625" s="1" t="n">
        <v>44826</v>
      </c>
      <c r="C625" s="1" t="n">
        <v>46140</v>
      </c>
      <c r="D625" t="inlineStr">
        <is>
          <t>VÄRMLANDS LÄN</t>
        </is>
      </c>
      <c r="E625" t="inlineStr">
        <is>
          <t>TORSBY</t>
        </is>
      </c>
      <c r="G625" t="n">
        <v>5.5</v>
      </c>
      <c r="H625" t="n">
        <v>0</v>
      </c>
      <c r="I625" t="n">
        <v>0</v>
      </c>
      <c r="J625" t="n">
        <v>0</v>
      </c>
      <c r="K625" t="n">
        <v>0</v>
      </c>
      <c r="L625" t="n">
        <v>0</v>
      </c>
      <c r="M625" t="n">
        <v>0</v>
      </c>
      <c r="N625" t="n">
        <v>0</v>
      </c>
      <c r="O625" t="n">
        <v>0</v>
      </c>
      <c r="P625" t="n">
        <v>0</v>
      </c>
      <c r="Q625" t="n">
        <v>0</v>
      </c>
      <c r="R625" s="2" t="inlineStr"/>
    </row>
    <row r="626" ht="15" customHeight="1">
      <c r="A626" t="inlineStr">
        <is>
          <t>A 18411-2023</t>
        </is>
      </c>
      <c r="B626" s="1" t="n">
        <v>45042</v>
      </c>
      <c r="C626" s="1" t="n">
        <v>46140</v>
      </c>
      <c r="D626" t="inlineStr">
        <is>
          <t>VÄRMLANDS LÄN</t>
        </is>
      </c>
      <c r="E626" t="inlineStr">
        <is>
          <t>TORSBY</t>
        </is>
      </c>
      <c r="G626" t="n">
        <v>5.9</v>
      </c>
      <c r="H626" t="n">
        <v>0</v>
      </c>
      <c r="I626" t="n">
        <v>0</v>
      </c>
      <c r="J626" t="n">
        <v>0</v>
      </c>
      <c r="K626" t="n">
        <v>0</v>
      </c>
      <c r="L626" t="n">
        <v>0</v>
      </c>
      <c r="M626" t="n">
        <v>0</v>
      </c>
      <c r="N626" t="n">
        <v>0</v>
      </c>
      <c r="O626" t="n">
        <v>0</v>
      </c>
      <c r="P626" t="n">
        <v>0</v>
      </c>
      <c r="Q626" t="n">
        <v>0</v>
      </c>
      <c r="R626" s="2" t="inlineStr"/>
    </row>
    <row r="627" ht="15" customHeight="1">
      <c r="A627" t="inlineStr">
        <is>
          <t>A 58062-2021</t>
        </is>
      </c>
      <c r="B627" s="1" t="n">
        <v>44487</v>
      </c>
      <c r="C627" s="1" t="n">
        <v>46140</v>
      </c>
      <c r="D627" t="inlineStr">
        <is>
          <t>VÄRMLANDS LÄN</t>
        </is>
      </c>
      <c r="E627" t="inlineStr">
        <is>
          <t>TORSBY</t>
        </is>
      </c>
      <c r="G627" t="n">
        <v>6</v>
      </c>
      <c r="H627" t="n">
        <v>0</v>
      </c>
      <c r="I627" t="n">
        <v>0</v>
      </c>
      <c r="J627" t="n">
        <v>0</v>
      </c>
      <c r="K627" t="n">
        <v>0</v>
      </c>
      <c r="L627" t="n">
        <v>0</v>
      </c>
      <c r="M627" t="n">
        <v>0</v>
      </c>
      <c r="N627" t="n">
        <v>0</v>
      </c>
      <c r="O627" t="n">
        <v>0</v>
      </c>
      <c r="P627" t="n">
        <v>0</v>
      </c>
      <c r="Q627" t="n">
        <v>0</v>
      </c>
      <c r="R627" s="2" t="inlineStr"/>
    </row>
    <row r="628" ht="15" customHeight="1">
      <c r="A628" t="inlineStr">
        <is>
          <t>A 24150-2021</t>
        </is>
      </c>
      <c r="B628" s="1" t="n">
        <v>44336</v>
      </c>
      <c r="C628" s="1" t="n">
        <v>46140</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54029-2021</t>
        </is>
      </c>
      <c r="B629" s="1" t="n">
        <v>44470.37834490741</v>
      </c>
      <c r="C629" s="1" t="n">
        <v>46140</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12528-2025</t>
        </is>
      </c>
      <c r="B630" s="1" t="n">
        <v>45730</v>
      </c>
      <c r="C630" s="1" t="n">
        <v>46140</v>
      </c>
      <c r="D630" t="inlineStr">
        <is>
          <t>VÄRMLANDS LÄN</t>
        </is>
      </c>
      <c r="E630" t="inlineStr">
        <is>
          <t>TORSBY</t>
        </is>
      </c>
      <c r="G630" t="n">
        <v>5.2</v>
      </c>
      <c r="H630" t="n">
        <v>0</v>
      </c>
      <c r="I630" t="n">
        <v>0</v>
      </c>
      <c r="J630" t="n">
        <v>0</v>
      </c>
      <c r="K630" t="n">
        <v>0</v>
      </c>
      <c r="L630" t="n">
        <v>0</v>
      </c>
      <c r="M630" t="n">
        <v>0</v>
      </c>
      <c r="N630" t="n">
        <v>0</v>
      </c>
      <c r="O630" t="n">
        <v>0</v>
      </c>
      <c r="P630" t="n">
        <v>0</v>
      </c>
      <c r="Q630" t="n">
        <v>0</v>
      </c>
      <c r="R630" s="2" t="inlineStr"/>
    </row>
    <row r="631" ht="15" customHeight="1">
      <c r="A631" t="inlineStr">
        <is>
          <t>A 12554-2025</t>
        </is>
      </c>
      <c r="B631" s="1" t="n">
        <v>45731</v>
      </c>
      <c r="C631" s="1" t="n">
        <v>46140</v>
      </c>
      <c r="D631" t="inlineStr">
        <is>
          <t>VÄRMLANDS LÄN</t>
        </is>
      </c>
      <c r="E631" t="inlineStr">
        <is>
          <t>TORSBY</t>
        </is>
      </c>
      <c r="G631" t="n">
        <v>7.5</v>
      </c>
      <c r="H631" t="n">
        <v>0</v>
      </c>
      <c r="I631" t="n">
        <v>0</v>
      </c>
      <c r="J631" t="n">
        <v>0</v>
      </c>
      <c r="K631" t="n">
        <v>0</v>
      </c>
      <c r="L631" t="n">
        <v>0</v>
      </c>
      <c r="M631" t="n">
        <v>0</v>
      </c>
      <c r="N631" t="n">
        <v>0</v>
      </c>
      <c r="O631" t="n">
        <v>0</v>
      </c>
      <c r="P631" t="n">
        <v>0</v>
      </c>
      <c r="Q631" t="n">
        <v>0</v>
      </c>
      <c r="R631" s="2" t="inlineStr"/>
    </row>
    <row r="632" ht="15" customHeight="1">
      <c r="A632" t="inlineStr">
        <is>
          <t>A 38143-2025</t>
        </is>
      </c>
      <c r="B632" s="1" t="n">
        <v>45882</v>
      </c>
      <c r="C632" s="1" t="n">
        <v>46140</v>
      </c>
      <c r="D632" t="inlineStr">
        <is>
          <t>VÄRMLANDS LÄN</t>
        </is>
      </c>
      <c r="E632" t="inlineStr">
        <is>
          <t>TORSBY</t>
        </is>
      </c>
      <c r="G632" t="n">
        <v>4.3</v>
      </c>
      <c r="H632" t="n">
        <v>0</v>
      </c>
      <c r="I632" t="n">
        <v>0</v>
      </c>
      <c r="J632" t="n">
        <v>0</v>
      </c>
      <c r="K632" t="n">
        <v>0</v>
      </c>
      <c r="L632" t="n">
        <v>0</v>
      </c>
      <c r="M632" t="n">
        <v>0</v>
      </c>
      <c r="N632" t="n">
        <v>0</v>
      </c>
      <c r="O632" t="n">
        <v>0</v>
      </c>
      <c r="P632" t="n">
        <v>0</v>
      </c>
      <c r="Q632" t="n">
        <v>0</v>
      </c>
      <c r="R632" s="2" t="inlineStr"/>
    </row>
    <row r="633" ht="15" customHeight="1">
      <c r="A633" t="inlineStr">
        <is>
          <t>A 15464-2025</t>
        </is>
      </c>
      <c r="B633" s="1" t="n">
        <v>45747</v>
      </c>
      <c r="C633" s="1" t="n">
        <v>46140</v>
      </c>
      <c r="D633" t="inlineStr">
        <is>
          <t>VÄRMLANDS LÄN</t>
        </is>
      </c>
      <c r="E633" t="inlineStr">
        <is>
          <t>TORSBY</t>
        </is>
      </c>
      <c r="G633" t="n">
        <v>0.6</v>
      </c>
      <c r="H633" t="n">
        <v>0</v>
      </c>
      <c r="I633" t="n">
        <v>0</v>
      </c>
      <c r="J633" t="n">
        <v>0</v>
      </c>
      <c r="K633" t="n">
        <v>0</v>
      </c>
      <c r="L633" t="n">
        <v>0</v>
      </c>
      <c r="M633" t="n">
        <v>0</v>
      </c>
      <c r="N633" t="n">
        <v>0</v>
      </c>
      <c r="O633" t="n">
        <v>0</v>
      </c>
      <c r="P633" t="n">
        <v>0</v>
      </c>
      <c r="Q633" t="n">
        <v>0</v>
      </c>
      <c r="R633" s="2" t="inlineStr"/>
    </row>
    <row r="634" ht="15" customHeight="1">
      <c r="A634" t="inlineStr">
        <is>
          <t>A 59941-2023</t>
        </is>
      </c>
      <c r="B634" s="1" t="n">
        <v>45257.67721064815</v>
      </c>
      <c r="C634" s="1" t="n">
        <v>46140</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7927-2024</t>
        </is>
      </c>
      <c r="B635" s="1" t="n">
        <v>45350</v>
      </c>
      <c r="C635" s="1" t="n">
        <v>46140</v>
      </c>
      <c r="D635" t="inlineStr">
        <is>
          <t>VÄRMLANDS LÄN</t>
        </is>
      </c>
      <c r="E635" t="inlineStr">
        <is>
          <t>TORSBY</t>
        </is>
      </c>
      <c r="G635" t="n">
        <v>3.3</v>
      </c>
      <c r="H635" t="n">
        <v>0</v>
      </c>
      <c r="I635" t="n">
        <v>0</v>
      </c>
      <c r="J635" t="n">
        <v>0</v>
      </c>
      <c r="K635" t="n">
        <v>0</v>
      </c>
      <c r="L635" t="n">
        <v>0</v>
      </c>
      <c r="M635" t="n">
        <v>0</v>
      </c>
      <c r="N635" t="n">
        <v>0</v>
      </c>
      <c r="O635" t="n">
        <v>0</v>
      </c>
      <c r="P635" t="n">
        <v>0</v>
      </c>
      <c r="Q635" t="n">
        <v>0</v>
      </c>
      <c r="R635" s="2" t="inlineStr"/>
    </row>
    <row r="636" ht="15" customHeight="1">
      <c r="A636" t="inlineStr">
        <is>
          <t>A 60314-2023</t>
        </is>
      </c>
      <c r="B636" s="1" t="n">
        <v>45258.87101851852</v>
      </c>
      <c r="C636" s="1" t="n">
        <v>46140</v>
      </c>
      <c r="D636" t="inlineStr">
        <is>
          <t>VÄRMLANDS LÄN</t>
        </is>
      </c>
      <c r="E636" t="inlineStr">
        <is>
          <t>TORSBY</t>
        </is>
      </c>
      <c r="G636" t="n">
        <v>0.1</v>
      </c>
      <c r="H636" t="n">
        <v>0</v>
      </c>
      <c r="I636" t="n">
        <v>0</v>
      </c>
      <c r="J636" t="n">
        <v>0</v>
      </c>
      <c r="K636" t="n">
        <v>0</v>
      </c>
      <c r="L636" t="n">
        <v>0</v>
      </c>
      <c r="M636" t="n">
        <v>0</v>
      </c>
      <c r="N636" t="n">
        <v>0</v>
      </c>
      <c r="O636" t="n">
        <v>0</v>
      </c>
      <c r="P636" t="n">
        <v>0</v>
      </c>
      <c r="Q636" t="n">
        <v>0</v>
      </c>
      <c r="R636" s="2" t="inlineStr"/>
    </row>
    <row r="637" ht="15" customHeight="1">
      <c r="A637" t="inlineStr">
        <is>
          <t>A 52580-2023</t>
        </is>
      </c>
      <c r="B637" s="1" t="n">
        <v>45225.59354166667</v>
      </c>
      <c r="C637" s="1" t="n">
        <v>46140</v>
      </c>
      <c r="D637" t="inlineStr">
        <is>
          <t>VÄRMLANDS LÄN</t>
        </is>
      </c>
      <c r="E637" t="inlineStr">
        <is>
          <t>TORSBY</t>
        </is>
      </c>
      <c r="G637" t="n">
        <v>3.3</v>
      </c>
      <c r="H637" t="n">
        <v>0</v>
      </c>
      <c r="I637" t="n">
        <v>0</v>
      </c>
      <c r="J637" t="n">
        <v>0</v>
      </c>
      <c r="K637" t="n">
        <v>0</v>
      </c>
      <c r="L637" t="n">
        <v>0</v>
      </c>
      <c r="M637" t="n">
        <v>0</v>
      </c>
      <c r="N637" t="n">
        <v>0</v>
      </c>
      <c r="O637" t="n">
        <v>0</v>
      </c>
      <c r="P637" t="n">
        <v>0</v>
      </c>
      <c r="Q637" t="n">
        <v>0</v>
      </c>
      <c r="R637" s="2" t="inlineStr"/>
    </row>
    <row r="638" ht="15" customHeight="1">
      <c r="A638" t="inlineStr">
        <is>
          <t>A 52591-2023</t>
        </is>
      </c>
      <c r="B638" s="1" t="n">
        <v>45225</v>
      </c>
      <c r="C638" s="1" t="n">
        <v>46140</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30299-2025</t>
        </is>
      </c>
      <c r="B639" s="1" t="n">
        <v>45827</v>
      </c>
      <c r="C639" s="1" t="n">
        <v>46140</v>
      </c>
      <c r="D639" t="inlineStr">
        <is>
          <t>VÄRMLANDS LÄN</t>
        </is>
      </c>
      <c r="E639" t="inlineStr">
        <is>
          <t>TORSBY</t>
        </is>
      </c>
      <c r="G639" t="n">
        <v>2.6</v>
      </c>
      <c r="H639" t="n">
        <v>0</v>
      </c>
      <c r="I639" t="n">
        <v>0</v>
      </c>
      <c r="J639" t="n">
        <v>0</v>
      </c>
      <c r="K639" t="n">
        <v>0</v>
      </c>
      <c r="L639" t="n">
        <v>0</v>
      </c>
      <c r="M639" t="n">
        <v>0</v>
      </c>
      <c r="N639" t="n">
        <v>0</v>
      </c>
      <c r="O639" t="n">
        <v>0</v>
      </c>
      <c r="P639" t="n">
        <v>0</v>
      </c>
      <c r="Q639" t="n">
        <v>0</v>
      </c>
      <c r="R639" s="2" t="inlineStr"/>
    </row>
    <row r="640" ht="15" customHeight="1">
      <c r="A640" t="inlineStr">
        <is>
          <t>A 36782-2024</t>
        </is>
      </c>
      <c r="B640" s="1" t="n">
        <v>45538</v>
      </c>
      <c r="C640" s="1" t="n">
        <v>46140</v>
      </c>
      <c r="D640" t="inlineStr">
        <is>
          <t>VÄRMLANDS LÄN</t>
        </is>
      </c>
      <c r="E640" t="inlineStr">
        <is>
          <t>TORSBY</t>
        </is>
      </c>
      <c r="G640" t="n">
        <v>4.6</v>
      </c>
      <c r="H640" t="n">
        <v>0</v>
      </c>
      <c r="I640" t="n">
        <v>0</v>
      </c>
      <c r="J640" t="n">
        <v>0</v>
      </c>
      <c r="K640" t="n">
        <v>0</v>
      </c>
      <c r="L640" t="n">
        <v>0</v>
      </c>
      <c r="M640" t="n">
        <v>0</v>
      </c>
      <c r="N640" t="n">
        <v>0</v>
      </c>
      <c r="O640" t="n">
        <v>0</v>
      </c>
      <c r="P640" t="n">
        <v>0</v>
      </c>
      <c r="Q640" t="n">
        <v>0</v>
      </c>
      <c r="R640" s="2" t="inlineStr"/>
    </row>
    <row r="641" ht="15" customHeight="1">
      <c r="A641" t="inlineStr">
        <is>
          <t>A 36790-2024</t>
        </is>
      </c>
      <c r="B641" s="1" t="n">
        <v>45538.43484953704</v>
      </c>
      <c r="C641" s="1" t="n">
        <v>46140</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38738-2025</t>
        </is>
      </c>
      <c r="B642" s="1" t="n">
        <v>45887.3715162037</v>
      </c>
      <c r="C642" s="1" t="n">
        <v>46140</v>
      </c>
      <c r="D642" t="inlineStr">
        <is>
          <t>VÄRMLANDS LÄN</t>
        </is>
      </c>
      <c r="E642" t="inlineStr">
        <is>
          <t>TORSBY</t>
        </is>
      </c>
      <c r="F642" t="inlineStr">
        <is>
          <t>Bergvik skog väst AB</t>
        </is>
      </c>
      <c r="G642" t="n">
        <v>1.4</v>
      </c>
      <c r="H642" t="n">
        <v>0</v>
      </c>
      <c r="I642" t="n">
        <v>0</v>
      </c>
      <c r="J642" t="n">
        <v>0</v>
      </c>
      <c r="K642" t="n">
        <v>0</v>
      </c>
      <c r="L642" t="n">
        <v>0</v>
      </c>
      <c r="M642" t="n">
        <v>0</v>
      </c>
      <c r="N642" t="n">
        <v>0</v>
      </c>
      <c r="O642" t="n">
        <v>0</v>
      </c>
      <c r="P642" t="n">
        <v>0</v>
      </c>
      <c r="Q642" t="n">
        <v>0</v>
      </c>
      <c r="R642" s="2" t="inlineStr"/>
    </row>
    <row r="643" ht="15" customHeight="1">
      <c r="A643" t="inlineStr">
        <is>
          <t>A 37736-2025</t>
        </is>
      </c>
      <c r="B643" s="1" t="n">
        <v>45880</v>
      </c>
      <c r="C643" s="1" t="n">
        <v>46140</v>
      </c>
      <c r="D643" t="inlineStr">
        <is>
          <t>VÄRMLANDS LÄN</t>
        </is>
      </c>
      <c r="E643" t="inlineStr">
        <is>
          <t>TORSBY</t>
        </is>
      </c>
      <c r="G643" t="n">
        <v>0.7</v>
      </c>
      <c r="H643" t="n">
        <v>0</v>
      </c>
      <c r="I643" t="n">
        <v>0</v>
      </c>
      <c r="J643" t="n">
        <v>0</v>
      </c>
      <c r="K643" t="n">
        <v>0</v>
      </c>
      <c r="L643" t="n">
        <v>0</v>
      </c>
      <c r="M643" t="n">
        <v>0</v>
      </c>
      <c r="N643" t="n">
        <v>0</v>
      </c>
      <c r="O643" t="n">
        <v>0</v>
      </c>
      <c r="P643" t="n">
        <v>0</v>
      </c>
      <c r="Q643" t="n">
        <v>0</v>
      </c>
      <c r="R643" s="2" t="inlineStr"/>
    </row>
    <row r="644" ht="15" customHeight="1">
      <c r="A644" t="inlineStr">
        <is>
          <t>A 37547-2025</t>
        </is>
      </c>
      <c r="B644" s="1" t="n">
        <v>45879</v>
      </c>
      <c r="C644" s="1" t="n">
        <v>46140</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54160-2022</t>
        </is>
      </c>
      <c r="B645" s="1" t="n">
        <v>44881</v>
      </c>
      <c r="C645" s="1" t="n">
        <v>46140</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36674-2023</t>
        </is>
      </c>
      <c r="B646" s="1" t="n">
        <v>45153.5908912037</v>
      </c>
      <c r="C646" s="1" t="n">
        <v>46140</v>
      </c>
      <c r="D646" t="inlineStr">
        <is>
          <t>VÄRMLANDS LÄN</t>
        </is>
      </c>
      <c r="E646" t="inlineStr">
        <is>
          <t>TORSBY</t>
        </is>
      </c>
      <c r="G646" t="n">
        <v>4.9</v>
      </c>
      <c r="H646" t="n">
        <v>0</v>
      </c>
      <c r="I646" t="n">
        <v>0</v>
      </c>
      <c r="J646" t="n">
        <v>0</v>
      </c>
      <c r="K646" t="n">
        <v>0</v>
      </c>
      <c r="L646" t="n">
        <v>0</v>
      </c>
      <c r="M646" t="n">
        <v>0</v>
      </c>
      <c r="N646" t="n">
        <v>0</v>
      </c>
      <c r="O646" t="n">
        <v>0</v>
      </c>
      <c r="P646" t="n">
        <v>0</v>
      </c>
      <c r="Q646" t="n">
        <v>0</v>
      </c>
      <c r="R646" s="2" t="inlineStr"/>
    </row>
    <row r="647" ht="15" customHeight="1">
      <c r="A647" t="inlineStr">
        <is>
          <t>A 19675-2023</t>
        </is>
      </c>
      <c r="B647" s="1" t="n">
        <v>45051</v>
      </c>
      <c r="C647" s="1" t="n">
        <v>46140</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37583-2025</t>
        </is>
      </c>
      <c r="B648" s="1" t="n">
        <v>45880</v>
      </c>
      <c r="C648" s="1" t="n">
        <v>46140</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27677-2024</t>
        </is>
      </c>
      <c r="B649" s="1" t="n">
        <v>45475</v>
      </c>
      <c r="C649" s="1" t="n">
        <v>46140</v>
      </c>
      <c r="D649" t="inlineStr">
        <is>
          <t>VÄRMLANDS LÄN</t>
        </is>
      </c>
      <c r="E649" t="inlineStr">
        <is>
          <t>TORSBY</t>
        </is>
      </c>
      <c r="G649" t="n">
        <v>0.7</v>
      </c>
      <c r="H649" t="n">
        <v>0</v>
      </c>
      <c r="I649" t="n">
        <v>0</v>
      </c>
      <c r="J649" t="n">
        <v>0</v>
      </c>
      <c r="K649" t="n">
        <v>0</v>
      </c>
      <c r="L649" t="n">
        <v>0</v>
      </c>
      <c r="M649" t="n">
        <v>0</v>
      </c>
      <c r="N649" t="n">
        <v>0</v>
      </c>
      <c r="O649" t="n">
        <v>0</v>
      </c>
      <c r="P649" t="n">
        <v>0</v>
      </c>
      <c r="Q649" t="n">
        <v>0</v>
      </c>
      <c r="R649" s="2" t="inlineStr"/>
    </row>
    <row r="650" ht="15" customHeight="1">
      <c r="A650" t="inlineStr">
        <is>
          <t>A 27678-2024</t>
        </is>
      </c>
      <c r="B650" s="1" t="n">
        <v>45475</v>
      </c>
      <c r="C650" s="1" t="n">
        <v>46140</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45152-2023</t>
        </is>
      </c>
      <c r="B651" s="1" t="n">
        <v>45191</v>
      </c>
      <c r="C651" s="1" t="n">
        <v>46140</v>
      </c>
      <c r="D651" t="inlineStr">
        <is>
          <t>VÄRMLANDS LÄN</t>
        </is>
      </c>
      <c r="E651" t="inlineStr">
        <is>
          <t>TORSBY</t>
        </is>
      </c>
      <c r="G651" t="n">
        <v>2.3</v>
      </c>
      <c r="H651" t="n">
        <v>0</v>
      </c>
      <c r="I651" t="n">
        <v>0</v>
      </c>
      <c r="J651" t="n">
        <v>0</v>
      </c>
      <c r="K651" t="n">
        <v>0</v>
      </c>
      <c r="L651" t="n">
        <v>0</v>
      </c>
      <c r="M651" t="n">
        <v>0</v>
      </c>
      <c r="N651" t="n">
        <v>0</v>
      </c>
      <c r="O651" t="n">
        <v>0</v>
      </c>
      <c r="P651" t="n">
        <v>0</v>
      </c>
      <c r="Q651" t="n">
        <v>0</v>
      </c>
      <c r="R651" s="2" t="inlineStr"/>
    </row>
    <row r="652" ht="15" customHeight="1">
      <c r="A652" t="inlineStr">
        <is>
          <t>A 28005-2024</t>
        </is>
      </c>
      <c r="B652" s="1" t="n">
        <v>45476</v>
      </c>
      <c r="C652" s="1" t="n">
        <v>46140</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49840-2024</t>
        </is>
      </c>
      <c r="B653" s="1" t="n">
        <v>45597</v>
      </c>
      <c r="C653" s="1" t="n">
        <v>46140</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17879-2024</t>
        </is>
      </c>
      <c r="B654" s="1" t="n">
        <v>45419</v>
      </c>
      <c r="C654" s="1" t="n">
        <v>46140</v>
      </c>
      <c r="D654" t="inlineStr">
        <is>
          <t>VÄRMLANDS LÄN</t>
        </is>
      </c>
      <c r="E654" t="inlineStr">
        <is>
          <t>TORSBY</t>
        </is>
      </c>
      <c r="G654" t="n">
        <v>0.7</v>
      </c>
      <c r="H654" t="n">
        <v>0</v>
      </c>
      <c r="I654" t="n">
        <v>0</v>
      </c>
      <c r="J654" t="n">
        <v>0</v>
      </c>
      <c r="K654" t="n">
        <v>0</v>
      </c>
      <c r="L654" t="n">
        <v>0</v>
      </c>
      <c r="M654" t="n">
        <v>0</v>
      </c>
      <c r="N654" t="n">
        <v>0</v>
      </c>
      <c r="O654" t="n">
        <v>0</v>
      </c>
      <c r="P654" t="n">
        <v>0</v>
      </c>
      <c r="Q654" t="n">
        <v>0</v>
      </c>
      <c r="R654" s="2" t="inlineStr"/>
    </row>
    <row r="655" ht="15" customHeight="1">
      <c r="A655" t="inlineStr">
        <is>
          <t>A 41322-2022</t>
        </is>
      </c>
      <c r="B655" s="1" t="n">
        <v>44826</v>
      </c>
      <c r="C655" s="1" t="n">
        <v>46140</v>
      </c>
      <c r="D655" t="inlineStr">
        <is>
          <t>VÄRMLANDS LÄN</t>
        </is>
      </c>
      <c r="E655" t="inlineStr">
        <is>
          <t>TORSBY</t>
        </is>
      </c>
      <c r="G655" t="n">
        <v>3.7</v>
      </c>
      <c r="H655" t="n">
        <v>0</v>
      </c>
      <c r="I655" t="n">
        <v>0</v>
      </c>
      <c r="J655" t="n">
        <v>0</v>
      </c>
      <c r="K655" t="n">
        <v>0</v>
      </c>
      <c r="L655" t="n">
        <v>0</v>
      </c>
      <c r="M655" t="n">
        <v>0</v>
      </c>
      <c r="N655" t="n">
        <v>0</v>
      </c>
      <c r="O655" t="n">
        <v>0</v>
      </c>
      <c r="P655" t="n">
        <v>0</v>
      </c>
      <c r="Q655" t="n">
        <v>0</v>
      </c>
      <c r="R655" s="2" t="inlineStr"/>
    </row>
    <row r="656" ht="15" customHeight="1">
      <c r="A656" t="inlineStr">
        <is>
          <t>A 13561-2023</t>
        </is>
      </c>
      <c r="B656" s="1" t="n">
        <v>45006.47429398148</v>
      </c>
      <c r="C656" s="1" t="n">
        <v>46140</v>
      </c>
      <c r="D656" t="inlineStr">
        <is>
          <t>VÄRMLANDS LÄN</t>
        </is>
      </c>
      <c r="E656" t="inlineStr">
        <is>
          <t>TORSBY</t>
        </is>
      </c>
      <c r="G656" t="n">
        <v>4.2</v>
      </c>
      <c r="H656" t="n">
        <v>0</v>
      </c>
      <c r="I656" t="n">
        <v>0</v>
      </c>
      <c r="J656" t="n">
        <v>0</v>
      </c>
      <c r="K656" t="n">
        <v>0</v>
      </c>
      <c r="L656" t="n">
        <v>0</v>
      </c>
      <c r="M656" t="n">
        <v>0</v>
      </c>
      <c r="N656" t="n">
        <v>0</v>
      </c>
      <c r="O656" t="n">
        <v>0</v>
      </c>
      <c r="P656" t="n">
        <v>0</v>
      </c>
      <c r="Q656" t="n">
        <v>0</v>
      </c>
      <c r="R656" s="2" t="inlineStr"/>
    </row>
    <row r="657" ht="15" customHeight="1">
      <c r="A657" t="inlineStr">
        <is>
          <t>A 54033-2021</t>
        </is>
      </c>
      <c r="B657" s="1" t="n">
        <v>44470.38454861111</v>
      </c>
      <c r="C657" s="1" t="n">
        <v>46140</v>
      </c>
      <c r="D657" t="inlineStr">
        <is>
          <t>VÄRMLANDS LÄN</t>
        </is>
      </c>
      <c r="E657" t="inlineStr">
        <is>
          <t>TORSBY</t>
        </is>
      </c>
      <c r="G657" t="n">
        <v>6</v>
      </c>
      <c r="H657" t="n">
        <v>0</v>
      </c>
      <c r="I657" t="n">
        <v>0</v>
      </c>
      <c r="J657" t="n">
        <v>0</v>
      </c>
      <c r="K657" t="n">
        <v>0</v>
      </c>
      <c r="L657" t="n">
        <v>0</v>
      </c>
      <c r="M657" t="n">
        <v>0</v>
      </c>
      <c r="N657" t="n">
        <v>0</v>
      </c>
      <c r="O657" t="n">
        <v>0</v>
      </c>
      <c r="P657" t="n">
        <v>0</v>
      </c>
      <c r="Q657" t="n">
        <v>0</v>
      </c>
      <c r="R657" s="2" t="inlineStr"/>
    </row>
    <row r="658" ht="15" customHeight="1">
      <c r="A658" t="inlineStr">
        <is>
          <t>A 40718-2022</t>
        </is>
      </c>
      <c r="B658" s="1" t="n">
        <v>44824.49635416667</v>
      </c>
      <c r="C658" s="1" t="n">
        <v>46140</v>
      </c>
      <c r="D658" t="inlineStr">
        <is>
          <t>VÄRMLANDS LÄN</t>
        </is>
      </c>
      <c r="E658" t="inlineStr">
        <is>
          <t>TORSBY</t>
        </is>
      </c>
      <c r="G658" t="n">
        <v>2.6</v>
      </c>
      <c r="H658" t="n">
        <v>0</v>
      </c>
      <c r="I658" t="n">
        <v>0</v>
      </c>
      <c r="J658" t="n">
        <v>0</v>
      </c>
      <c r="K658" t="n">
        <v>0</v>
      </c>
      <c r="L658" t="n">
        <v>0</v>
      </c>
      <c r="M658" t="n">
        <v>0</v>
      </c>
      <c r="N658" t="n">
        <v>0</v>
      </c>
      <c r="O658" t="n">
        <v>0</v>
      </c>
      <c r="P658" t="n">
        <v>0</v>
      </c>
      <c r="Q658" t="n">
        <v>0</v>
      </c>
      <c r="R658" s="2" t="inlineStr"/>
    </row>
    <row r="659" ht="15" customHeight="1">
      <c r="A659" t="inlineStr">
        <is>
          <t>A 1040-2024</t>
        </is>
      </c>
      <c r="B659" s="1" t="n">
        <v>45301</v>
      </c>
      <c r="C659" s="1" t="n">
        <v>46140</v>
      </c>
      <c r="D659" t="inlineStr">
        <is>
          <t>VÄRMLANDS LÄN</t>
        </is>
      </c>
      <c r="E659" t="inlineStr">
        <is>
          <t>TORSBY</t>
        </is>
      </c>
      <c r="G659" t="n">
        <v>1</v>
      </c>
      <c r="H659" t="n">
        <v>0</v>
      </c>
      <c r="I659" t="n">
        <v>0</v>
      </c>
      <c r="J659" t="n">
        <v>0</v>
      </c>
      <c r="K659" t="n">
        <v>0</v>
      </c>
      <c r="L659" t="n">
        <v>0</v>
      </c>
      <c r="M659" t="n">
        <v>0</v>
      </c>
      <c r="N659" t="n">
        <v>0</v>
      </c>
      <c r="O659" t="n">
        <v>0</v>
      </c>
      <c r="P659" t="n">
        <v>0</v>
      </c>
      <c r="Q659" t="n">
        <v>0</v>
      </c>
      <c r="R659" s="2" t="inlineStr"/>
    </row>
    <row r="660" ht="15" customHeight="1">
      <c r="A660" t="inlineStr">
        <is>
          <t>A 42701-2022</t>
        </is>
      </c>
      <c r="B660" s="1" t="n">
        <v>44832</v>
      </c>
      <c r="C660" s="1" t="n">
        <v>46140</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59613-2024</t>
        </is>
      </c>
      <c r="B661" s="1" t="n">
        <v>45638</v>
      </c>
      <c r="C661" s="1" t="n">
        <v>46140</v>
      </c>
      <c r="D661" t="inlineStr">
        <is>
          <t>VÄRMLANDS LÄN</t>
        </is>
      </c>
      <c r="E661" t="inlineStr">
        <is>
          <t>TORSBY</t>
        </is>
      </c>
      <c r="G661" t="n">
        <v>4.6</v>
      </c>
      <c r="H661" t="n">
        <v>0</v>
      </c>
      <c r="I661" t="n">
        <v>0</v>
      </c>
      <c r="J661" t="n">
        <v>0</v>
      </c>
      <c r="K661" t="n">
        <v>0</v>
      </c>
      <c r="L661" t="n">
        <v>0</v>
      </c>
      <c r="M661" t="n">
        <v>0</v>
      </c>
      <c r="N661" t="n">
        <v>0</v>
      </c>
      <c r="O661" t="n">
        <v>0</v>
      </c>
      <c r="P661" t="n">
        <v>0</v>
      </c>
      <c r="Q661" t="n">
        <v>0</v>
      </c>
      <c r="R661" s="2" t="inlineStr"/>
    </row>
    <row r="662" ht="15" customHeight="1">
      <c r="A662" t="inlineStr">
        <is>
          <t>A 14023-2025</t>
        </is>
      </c>
      <c r="B662" s="1" t="n">
        <v>45740</v>
      </c>
      <c r="C662" s="1" t="n">
        <v>46140</v>
      </c>
      <c r="D662" t="inlineStr">
        <is>
          <t>VÄRMLANDS LÄN</t>
        </is>
      </c>
      <c r="E662" t="inlineStr">
        <is>
          <t>TORSBY</t>
        </is>
      </c>
      <c r="G662" t="n">
        <v>2.4</v>
      </c>
      <c r="H662" t="n">
        <v>0</v>
      </c>
      <c r="I662" t="n">
        <v>0</v>
      </c>
      <c r="J662" t="n">
        <v>0</v>
      </c>
      <c r="K662" t="n">
        <v>0</v>
      </c>
      <c r="L662" t="n">
        <v>0</v>
      </c>
      <c r="M662" t="n">
        <v>0</v>
      </c>
      <c r="N662" t="n">
        <v>0</v>
      </c>
      <c r="O662" t="n">
        <v>0</v>
      </c>
      <c r="P662" t="n">
        <v>0</v>
      </c>
      <c r="Q662" t="n">
        <v>0</v>
      </c>
      <c r="R662" s="2" t="inlineStr"/>
    </row>
    <row r="663" ht="15" customHeight="1">
      <c r="A663" t="inlineStr">
        <is>
          <t>A 38771-2025</t>
        </is>
      </c>
      <c r="B663" s="1" t="n">
        <v>45887</v>
      </c>
      <c r="C663" s="1" t="n">
        <v>46140</v>
      </c>
      <c r="D663" t="inlineStr">
        <is>
          <t>VÄRMLANDS LÄN</t>
        </is>
      </c>
      <c r="E663" t="inlineStr">
        <is>
          <t>TORSBY</t>
        </is>
      </c>
      <c r="G663" t="n">
        <v>2.7</v>
      </c>
      <c r="H663" t="n">
        <v>0</v>
      </c>
      <c r="I663" t="n">
        <v>0</v>
      </c>
      <c r="J663" t="n">
        <v>0</v>
      </c>
      <c r="K663" t="n">
        <v>0</v>
      </c>
      <c r="L663" t="n">
        <v>0</v>
      </c>
      <c r="M663" t="n">
        <v>0</v>
      </c>
      <c r="N663" t="n">
        <v>0</v>
      </c>
      <c r="O663" t="n">
        <v>0</v>
      </c>
      <c r="P663" t="n">
        <v>0</v>
      </c>
      <c r="Q663" t="n">
        <v>0</v>
      </c>
      <c r="R663" s="2" t="inlineStr"/>
    </row>
    <row r="664" ht="15" customHeight="1">
      <c r="A664" t="inlineStr">
        <is>
          <t>A 37546-2025</t>
        </is>
      </c>
      <c r="B664" s="1" t="n">
        <v>45879</v>
      </c>
      <c r="C664" s="1" t="n">
        <v>46140</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37575-2025</t>
        </is>
      </c>
      <c r="B665" s="1" t="n">
        <v>45880.38028935185</v>
      </c>
      <c r="C665" s="1" t="n">
        <v>46140</v>
      </c>
      <c r="D665" t="inlineStr">
        <is>
          <t>VÄRMLANDS LÄN</t>
        </is>
      </c>
      <c r="E665" t="inlineStr">
        <is>
          <t>TORSBY</t>
        </is>
      </c>
      <c r="G665" t="n">
        <v>1.4</v>
      </c>
      <c r="H665" t="n">
        <v>0</v>
      </c>
      <c r="I665" t="n">
        <v>0</v>
      </c>
      <c r="J665" t="n">
        <v>0</v>
      </c>
      <c r="K665" t="n">
        <v>0</v>
      </c>
      <c r="L665" t="n">
        <v>0</v>
      </c>
      <c r="M665" t="n">
        <v>0</v>
      </c>
      <c r="N665" t="n">
        <v>0</v>
      </c>
      <c r="O665" t="n">
        <v>0</v>
      </c>
      <c r="P665" t="n">
        <v>0</v>
      </c>
      <c r="Q665" t="n">
        <v>0</v>
      </c>
      <c r="R665" s="2" t="inlineStr"/>
    </row>
    <row r="666" ht="15" customHeight="1">
      <c r="A666" t="inlineStr">
        <is>
          <t>A 38808-2025</t>
        </is>
      </c>
      <c r="B666" s="1" t="n">
        <v>45887.47344907407</v>
      </c>
      <c r="C666" s="1" t="n">
        <v>46140</v>
      </c>
      <c r="D666" t="inlineStr">
        <is>
          <t>VÄRMLANDS LÄN</t>
        </is>
      </c>
      <c r="E666" t="inlineStr">
        <is>
          <t>TORSBY</t>
        </is>
      </c>
      <c r="G666" t="n">
        <v>4.6</v>
      </c>
      <c r="H666" t="n">
        <v>0</v>
      </c>
      <c r="I666" t="n">
        <v>0</v>
      </c>
      <c r="J666" t="n">
        <v>0</v>
      </c>
      <c r="K666" t="n">
        <v>0</v>
      </c>
      <c r="L666" t="n">
        <v>0</v>
      </c>
      <c r="M666" t="n">
        <v>0</v>
      </c>
      <c r="N666" t="n">
        <v>0</v>
      </c>
      <c r="O666" t="n">
        <v>0</v>
      </c>
      <c r="P666" t="n">
        <v>0</v>
      </c>
      <c r="Q666" t="n">
        <v>0</v>
      </c>
      <c r="R666" s="2" t="inlineStr"/>
    </row>
    <row r="667" ht="15" customHeight="1">
      <c r="A667" t="inlineStr">
        <is>
          <t>A 56716-2023</t>
        </is>
      </c>
      <c r="B667" s="1" t="n">
        <v>45238</v>
      </c>
      <c r="C667" s="1" t="n">
        <v>46140</v>
      </c>
      <c r="D667" t="inlineStr">
        <is>
          <t>VÄRMLANDS LÄN</t>
        </is>
      </c>
      <c r="E667" t="inlineStr">
        <is>
          <t>TORSBY</t>
        </is>
      </c>
      <c r="G667" t="n">
        <v>2.9</v>
      </c>
      <c r="H667" t="n">
        <v>0</v>
      </c>
      <c r="I667" t="n">
        <v>0</v>
      </c>
      <c r="J667" t="n">
        <v>0</v>
      </c>
      <c r="K667" t="n">
        <v>0</v>
      </c>
      <c r="L667" t="n">
        <v>0</v>
      </c>
      <c r="M667" t="n">
        <v>0</v>
      </c>
      <c r="N667" t="n">
        <v>0</v>
      </c>
      <c r="O667" t="n">
        <v>0</v>
      </c>
      <c r="P667" t="n">
        <v>0</v>
      </c>
      <c r="Q667" t="n">
        <v>0</v>
      </c>
      <c r="R667" s="2" t="inlineStr"/>
    </row>
    <row r="668" ht="15" customHeight="1">
      <c r="A668" t="inlineStr">
        <is>
          <t>A 31547-2023</t>
        </is>
      </c>
      <c r="B668" s="1" t="n">
        <v>45117</v>
      </c>
      <c r="C668" s="1" t="n">
        <v>46140</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26042-2024</t>
        </is>
      </c>
      <c r="B669" s="1" t="n">
        <v>45468.29846064815</v>
      </c>
      <c r="C669" s="1" t="n">
        <v>46140</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58976-2024</t>
        </is>
      </c>
      <c r="B670" s="1" t="n">
        <v>45636.6081712963</v>
      </c>
      <c r="C670" s="1" t="n">
        <v>46140</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39059-2025</t>
        </is>
      </c>
      <c r="B671" s="1" t="n">
        <v>45888</v>
      </c>
      <c r="C671" s="1" t="n">
        <v>46140</v>
      </c>
      <c r="D671" t="inlineStr">
        <is>
          <t>VÄRMLANDS LÄN</t>
        </is>
      </c>
      <c r="E671" t="inlineStr">
        <is>
          <t>TORSBY</t>
        </is>
      </c>
      <c r="G671" t="n">
        <v>8.6</v>
      </c>
      <c r="H671" t="n">
        <v>0</v>
      </c>
      <c r="I671" t="n">
        <v>0</v>
      </c>
      <c r="J671" t="n">
        <v>0</v>
      </c>
      <c r="K671" t="n">
        <v>0</v>
      </c>
      <c r="L671" t="n">
        <v>0</v>
      </c>
      <c r="M671" t="n">
        <v>0</v>
      </c>
      <c r="N671" t="n">
        <v>0</v>
      </c>
      <c r="O671" t="n">
        <v>0</v>
      </c>
      <c r="P671" t="n">
        <v>0</v>
      </c>
      <c r="Q671" t="n">
        <v>0</v>
      </c>
      <c r="R671" s="2" t="inlineStr"/>
    </row>
    <row r="672" ht="15" customHeight="1">
      <c r="A672" t="inlineStr">
        <is>
          <t>A 37878-2025</t>
        </is>
      </c>
      <c r="B672" s="1" t="n">
        <v>45881</v>
      </c>
      <c r="C672" s="1" t="n">
        <v>46140</v>
      </c>
      <c r="D672" t="inlineStr">
        <is>
          <t>VÄRMLANDS LÄN</t>
        </is>
      </c>
      <c r="E672" t="inlineStr">
        <is>
          <t>TORSBY</t>
        </is>
      </c>
      <c r="F672" t="inlineStr">
        <is>
          <t>Bergvik skog väst AB</t>
        </is>
      </c>
      <c r="G672" t="n">
        <v>9.9</v>
      </c>
      <c r="H672" t="n">
        <v>0</v>
      </c>
      <c r="I672" t="n">
        <v>0</v>
      </c>
      <c r="J672" t="n">
        <v>0</v>
      </c>
      <c r="K672" t="n">
        <v>0</v>
      </c>
      <c r="L672" t="n">
        <v>0</v>
      </c>
      <c r="M672" t="n">
        <v>0</v>
      </c>
      <c r="N672" t="n">
        <v>0</v>
      </c>
      <c r="O672" t="n">
        <v>0</v>
      </c>
      <c r="P672" t="n">
        <v>0</v>
      </c>
      <c r="Q672" t="n">
        <v>0</v>
      </c>
      <c r="R672" s="2" t="inlineStr"/>
    </row>
    <row r="673" ht="15" customHeight="1">
      <c r="A673" t="inlineStr">
        <is>
          <t>A 37904-2025</t>
        </is>
      </c>
      <c r="B673" s="1" t="n">
        <v>45881</v>
      </c>
      <c r="C673" s="1" t="n">
        <v>46140</v>
      </c>
      <c r="D673" t="inlineStr">
        <is>
          <t>VÄRMLANDS LÄN</t>
        </is>
      </c>
      <c r="E673" t="inlineStr">
        <is>
          <t>TORSBY</t>
        </is>
      </c>
      <c r="G673" t="n">
        <v>1.9</v>
      </c>
      <c r="H673" t="n">
        <v>0</v>
      </c>
      <c r="I673" t="n">
        <v>0</v>
      </c>
      <c r="J673" t="n">
        <v>0</v>
      </c>
      <c r="K673" t="n">
        <v>0</v>
      </c>
      <c r="L673" t="n">
        <v>0</v>
      </c>
      <c r="M673" t="n">
        <v>0</v>
      </c>
      <c r="N673" t="n">
        <v>0</v>
      </c>
      <c r="O673" t="n">
        <v>0</v>
      </c>
      <c r="P673" t="n">
        <v>0</v>
      </c>
      <c r="Q673" t="n">
        <v>0</v>
      </c>
      <c r="R673" s="2" t="inlineStr"/>
    </row>
    <row r="674" ht="15" customHeight="1">
      <c r="A674" t="inlineStr">
        <is>
          <t>A 37927-2025</t>
        </is>
      </c>
      <c r="B674" s="1" t="n">
        <v>45881.58063657407</v>
      </c>
      <c r="C674" s="1" t="n">
        <v>46140</v>
      </c>
      <c r="D674" t="inlineStr">
        <is>
          <t>VÄRMLANDS LÄN</t>
        </is>
      </c>
      <c r="E674" t="inlineStr">
        <is>
          <t>TORSBY</t>
        </is>
      </c>
      <c r="G674" t="n">
        <v>2.7</v>
      </c>
      <c r="H674" t="n">
        <v>0</v>
      </c>
      <c r="I674" t="n">
        <v>0</v>
      </c>
      <c r="J674" t="n">
        <v>0</v>
      </c>
      <c r="K674" t="n">
        <v>0</v>
      </c>
      <c r="L674" t="n">
        <v>0</v>
      </c>
      <c r="M674" t="n">
        <v>0</v>
      </c>
      <c r="N674" t="n">
        <v>0</v>
      </c>
      <c r="O674" t="n">
        <v>0</v>
      </c>
      <c r="P674" t="n">
        <v>0</v>
      </c>
      <c r="Q674" t="n">
        <v>0</v>
      </c>
      <c r="R674" s="2" t="inlineStr"/>
    </row>
    <row r="675" ht="15" customHeight="1">
      <c r="A675" t="inlineStr">
        <is>
          <t>A 39033-2025</t>
        </is>
      </c>
      <c r="B675" s="1" t="n">
        <v>45888</v>
      </c>
      <c r="C675" s="1" t="n">
        <v>46140</v>
      </c>
      <c r="D675" t="inlineStr">
        <is>
          <t>VÄRMLANDS LÄN</t>
        </is>
      </c>
      <c r="E675" t="inlineStr">
        <is>
          <t>TORSBY</t>
        </is>
      </c>
      <c r="G675" t="n">
        <v>6.4</v>
      </c>
      <c r="H675" t="n">
        <v>0</v>
      </c>
      <c r="I675" t="n">
        <v>0</v>
      </c>
      <c r="J675" t="n">
        <v>0</v>
      </c>
      <c r="K675" t="n">
        <v>0</v>
      </c>
      <c r="L675" t="n">
        <v>0</v>
      </c>
      <c r="M675" t="n">
        <v>0</v>
      </c>
      <c r="N675" t="n">
        <v>0</v>
      </c>
      <c r="O675" t="n">
        <v>0</v>
      </c>
      <c r="P675" t="n">
        <v>0</v>
      </c>
      <c r="Q675" t="n">
        <v>0</v>
      </c>
      <c r="R675" s="2" t="inlineStr"/>
    </row>
    <row r="676" ht="15" customHeight="1">
      <c r="A676" t="inlineStr">
        <is>
          <t>A 14945-2023</t>
        </is>
      </c>
      <c r="B676" s="1" t="n">
        <v>45014</v>
      </c>
      <c r="C676" s="1" t="n">
        <v>46140</v>
      </c>
      <c r="D676" t="inlineStr">
        <is>
          <t>VÄRMLANDS LÄN</t>
        </is>
      </c>
      <c r="E676" t="inlineStr">
        <is>
          <t>TORSBY</t>
        </is>
      </c>
      <c r="G676" t="n">
        <v>6.5</v>
      </c>
      <c r="H676" t="n">
        <v>0</v>
      </c>
      <c r="I676" t="n">
        <v>0</v>
      </c>
      <c r="J676" t="n">
        <v>0</v>
      </c>
      <c r="K676" t="n">
        <v>0</v>
      </c>
      <c r="L676" t="n">
        <v>0</v>
      </c>
      <c r="M676" t="n">
        <v>0</v>
      </c>
      <c r="N676" t="n">
        <v>0</v>
      </c>
      <c r="O676" t="n">
        <v>0</v>
      </c>
      <c r="P676" t="n">
        <v>0</v>
      </c>
      <c r="Q676" t="n">
        <v>0</v>
      </c>
      <c r="R676" s="2" t="inlineStr"/>
    </row>
    <row r="677" ht="15" customHeight="1">
      <c r="A677" t="inlineStr">
        <is>
          <t>A 37937-2025</t>
        </is>
      </c>
      <c r="B677" s="1" t="n">
        <v>45881</v>
      </c>
      <c r="C677" s="1" t="n">
        <v>46140</v>
      </c>
      <c r="D677" t="inlineStr">
        <is>
          <t>VÄRMLANDS LÄN</t>
        </is>
      </c>
      <c r="E677" t="inlineStr">
        <is>
          <t>TORSBY</t>
        </is>
      </c>
      <c r="G677" t="n">
        <v>3.2</v>
      </c>
      <c r="H677" t="n">
        <v>0</v>
      </c>
      <c r="I677" t="n">
        <v>0</v>
      </c>
      <c r="J677" t="n">
        <v>0</v>
      </c>
      <c r="K677" t="n">
        <v>0</v>
      </c>
      <c r="L677" t="n">
        <v>0</v>
      </c>
      <c r="M677" t="n">
        <v>0</v>
      </c>
      <c r="N677" t="n">
        <v>0</v>
      </c>
      <c r="O677" t="n">
        <v>0</v>
      </c>
      <c r="P677" t="n">
        <v>0</v>
      </c>
      <c r="Q677" t="n">
        <v>0</v>
      </c>
      <c r="R677" s="2" t="inlineStr"/>
    </row>
    <row r="678" ht="15" customHeight="1">
      <c r="A678" t="inlineStr">
        <is>
          <t>A 38165-2025</t>
        </is>
      </c>
      <c r="B678" s="1" t="n">
        <v>45882.63063657407</v>
      </c>
      <c r="C678" s="1" t="n">
        <v>46140</v>
      </c>
      <c r="D678" t="inlineStr">
        <is>
          <t>VÄRMLANDS LÄN</t>
        </is>
      </c>
      <c r="E678" t="inlineStr">
        <is>
          <t>TORSBY</t>
        </is>
      </c>
      <c r="F678" t="inlineStr">
        <is>
          <t>Bergvik skog väst AB</t>
        </is>
      </c>
      <c r="G678" t="n">
        <v>15.2</v>
      </c>
      <c r="H678" t="n">
        <v>0</v>
      </c>
      <c r="I678" t="n">
        <v>0</v>
      </c>
      <c r="J678" t="n">
        <v>0</v>
      </c>
      <c r="K678" t="n">
        <v>0</v>
      </c>
      <c r="L678" t="n">
        <v>0</v>
      </c>
      <c r="M678" t="n">
        <v>0</v>
      </c>
      <c r="N678" t="n">
        <v>0</v>
      </c>
      <c r="O678" t="n">
        <v>0</v>
      </c>
      <c r="P678" t="n">
        <v>0</v>
      </c>
      <c r="Q678" t="n">
        <v>0</v>
      </c>
      <c r="R678" s="2" t="inlineStr"/>
    </row>
    <row r="679" ht="15" customHeight="1">
      <c r="A679" t="inlineStr">
        <is>
          <t>A 38979-2025</t>
        </is>
      </c>
      <c r="B679" s="1" t="n">
        <v>45887.99758101852</v>
      </c>
      <c r="C679" s="1" t="n">
        <v>46140</v>
      </c>
      <c r="D679" t="inlineStr">
        <is>
          <t>VÄRMLANDS LÄN</t>
        </is>
      </c>
      <c r="E679" t="inlineStr">
        <is>
          <t>TORSBY</t>
        </is>
      </c>
      <c r="G679" t="n">
        <v>5</v>
      </c>
      <c r="H679" t="n">
        <v>0</v>
      </c>
      <c r="I679" t="n">
        <v>0</v>
      </c>
      <c r="J679" t="n">
        <v>0</v>
      </c>
      <c r="K679" t="n">
        <v>0</v>
      </c>
      <c r="L679" t="n">
        <v>0</v>
      </c>
      <c r="M679" t="n">
        <v>0</v>
      </c>
      <c r="N679" t="n">
        <v>0</v>
      </c>
      <c r="O679" t="n">
        <v>0</v>
      </c>
      <c r="P679" t="n">
        <v>0</v>
      </c>
      <c r="Q679" t="n">
        <v>0</v>
      </c>
      <c r="R679" s="2" t="inlineStr"/>
    </row>
    <row r="680" ht="15" customHeight="1">
      <c r="A680" t="inlineStr">
        <is>
          <t>A 51823-2024</t>
        </is>
      </c>
      <c r="B680" s="1" t="n">
        <v>45607</v>
      </c>
      <c r="C680" s="1" t="n">
        <v>46140</v>
      </c>
      <c r="D680" t="inlineStr">
        <is>
          <t>VÄRMLANDS LÄN</t>
        </is>
      </c>
      <c r="E680" t="inlineStr">
        <is>
          <t>TORSBY</t>
        </is>
      </c>
      <c r="G680" t="n">
        <v>1</v>
      </c>
      <c r="H680" t="n">
        <v>0</v>
      </c>
      <c r="I680" t="n">
        <v>0</v>
      </c>
      <c r="J680" t="n">
        <v>0</v>
      </c>
      <c r="K680" t="n">
        <v>0</v>
      </c>
      <c r="L680" t="n">
        <v>0</v>
      </c>
      <c r="M680" t="n">
        <v>0</v>
      </c>
      <c r="N680" t="n">
        <v>0</v>
      </c>
      <c r="O680" t="n">
        <v>0</v>
      </c>
      <c r="P680" t="n">
        <v>0</v>
      </c>
      <c r="Q680" t="n">
        <v>0</v>
      </c>
      <c r="R680" s="2" t="inlineStr"/>
    </row>
    <row r="681" ht="15" customHeight="1">
      <c r="A681" t="inlineStr">
        <is>
          <t>A 38795-2025</t>
        </is>
      </c>
      <c r="B681" s="1" t="n">
        <v>45887</v>
      </c>
      <c r="C681" s="1" t="n">
        <v>46140</v>
      </c>
      <c r="D681" t="inlineStr">
        <is>
          <t>VÄRMLANDS LÄN</t>
        </is>
      </c>
      <c r="E681" t="inlineStr">
        <is>
          <t>TORSBY</t>
        </is>
      </c>
      <c r="F681" t="inlineStr">
        <is>
          <t>Bergvik skog väst AB</t>
        </is>
      </c>
      <c r="G681" t="n">
        <v>4.2</v>
      </c>
      <c r="H681" t="n">
        <v>0</v>
      </c>
      <c r="I681" t="n">
        <v>0</v>
      </c>
      <c r="J681" t="n">
        <v>0</v>
      </c>
      <c r="K681" t="n">
        <v>0</v>
      </c>
      <c r="L681" t="n">
        <v>0</v>
      </c>
      <c r="M681" t="n">
        <v>0</v>
      </c>
      <c r="N681" t="n">
        <v>0</v>
      </c>
      <c r="O681" t="n">
        <v>0</v>
      </c>
      <c r="P681" t="n">
        <v>0</v>
      </c>
      <c r="Q681" t="n">
        <v>0</v>
      </c>
      <c r="R681" s="2" t="inlineStr"/>
    </row>
    <row r="682" ht="15" customHeight="1">
      <c r="A682" t="inlineStr">
        <is>
          <t>A 37908-2025</t>
        </is>
      </c>
      <c r="B682" s="1" t="n">
        <v>45881.5732175926</v>
      </c>
      <c r="C682" s="1" t="n">
        <v>46140</v>
      </c>
      <c r="D682" t="inlineStr">
        <is>
          <t>VÄRMLANDS LÄN</t>
        </is>
      </c>
      <c r="E682" t="inlineStr">
        <is>
          <t>TORSBY</t>
        </is>
      </c>
      <c r="G682" t="n">
        <v>2.1</v>
      </c>
      <c r="H682" t="n">
        <v>0</v>
      </c>
      <c r="I682" t="n">
        <v>0</v>
      </c>
      <c r="J682" t="n">
        <v>0</v>
      </c>
      <c r="K682" t="n">
        <v>0</v>
      </c>
      <c r="L682" t="n">
        <v>0</v>
      </c>
      <c r="M682" t="n">
        <v>0</v>
      </c>
      <c r="N682" t="n">
        <v>0</v>
      </c>
      <c r="O682" t="n">
        <v>0</v>
      </c>
      <c r="P682" t="n">
        <v>0</v>
      </c>
      <c r="Q682" t="n">
        <v>0</v>
      </c>
      <c r="R682" s="2" t="inlineStr"/>
    </row>
    <row r="683" ht="15" customHeight="1">
      <c r="A683" t="inlineStr">
        <is>
          <t>A 37945-2025</t>
        </is>
      </c>
      <c r="B683" s="1" t="n">
        <v>45881</v>
      </c>
      <c r="C683" s="1" t="n">
        <v>46140</v>
      </c>
      <c r="D683" t="inlineStr">
        <is>
          <t>VÄRMLANDS LÄN</t>
        </is>
      </c>
      <c r="E683" t="inlineStr">
        <is>
          <t>TORSBY</t>
        </is>
      </c>
      <c r="G683" t="n">
        <v>3.2</v>
      </c>
      <c r="H683" t="n">
        <v>0</v>
      </c>
      <c r="I683" t="n">
        <v>0</v>
      </c>
      <c r="J683" t="n">
        <v>0</v>
      </c>
      <c r="K683" t="n">
        <v>0</v>
      </c>
      <c r="L683" t="n">
        <v>0</v>
      </c>
      <c r="M683" t="n">
        <v>0</v>
      </c>
      <c r="N683" t="n">
        <v>0</v>
      </c>
      <c r="O683" t="n">
        <v>0</v>
      </c>
      <c r="P683" t="n">
        <v>0</v>
      </c>
      <c r="Q683" t="n">
        <v>0</v>
      </c>
      <c r="R683" s="2" t="inlineStr"/>
    </row>
    <row r="684" ht="15" customHeight="1">
      <c r="A684" t="inlineStr">
        <is>
          <t>A 38056-2025</t>
        </is>
      </c>
      <c r="B684" s="1" t="n">
        <v>45882</v>
      </c>
      <c r="C684" s="1" t="n">
        <v>46140</v>
      </c>
      <c r="D684" t="inlineStr">
        <is>
          <t>VÄRMLANDS LÄN</t>
        </is>
      </c>
      <c r="E684" t="inlineStr">
        <is>
          <t>TORSBY</t>
        </is>
      </c>
      <c r="G684" t="n">
        <v>4.9</v>
      </c>
      <c r="H684" t="n">
        <v>0</v>
      </c>
      <c r="I684" t="n">
        <v>0</v>
      </c>
      <c r="J684" t="n">
        <v>0</v>
      </c>
      <c r="K684" t="n">
        <v>0</v>
      </c>
      <c r="L684" t="n">
        <v>0</v>
      </c>
      <c r="M684" t="n">
        <v>0</v>
      </c>
      <c r="N684" t="n">
        <v>0</v>
      </c>
      <c r="O684" t="n">
        <v>0</v>
      </c>
      <c r="P684" t="n">
        <v>0</v>
      </c>
      <c r="Q684" t="n">
        <v>0</v>
      </c>
      <c r="R684" s="2" t="inlineStr"/>
    </row>
    <row r="685" ht="15" customHeight="1">
      <c r="A685" t="inlineStr">
        <is>
          <t>A 39039-2025</t>
        </is>
      </c>
      <c r="B685" s="1" t="n">
        <v>45888.42684027777</v>
      </c>
      <c r="C685" s="1" t="n">
        <v>46140</v>
      </c>
      <c r="D685" t="inlineStr">
        <is>
          <t>VÄRMLANDS LÄN</t>
        </is>
      </c>
      <c r="E685" t="inlineStr">
        <is>
          <t>TORSBY</t>
        </is>
      </c>
      <c r="G685" t="n">
        <v>1.8</v>
      </c>
      <c r="H685" t="n">
        <v>0</v>
      </c>
      <c r="I685" t="n">
        <v>0</v>
      </c>
      <c r="J685" t="n">
        <v>0</v>
      </c>
      <c r="K685" t="n">
        <v>0</v>
      </c>
      <c r="L685" t="n">
        <v>0</v>
      </c>
      <c r="M685" t="n">
        <v>0</v>
      </c>
      <c r="N685" t="n">
        <v>0</v>
      </c>
      <c r="O685" t="n">
        <v>0</v>
      </c>
      <c r="P685" t="n">
        <v>0</v>
      </c>
      <c r="Q685" t="n">
        <v>0</v>
      </c>
      <c r="R685" s="2" t="inlineStr"/>
    </row>
    <row r="686" ht="15" customHeight="1">
      <c r="A686" t="inlineStr">
        <is>
          <t>A 39565-2025</t>
        </is>
      </c>
      <c r="B686" s="1" t="n">
        <v>45890</v>
      </c>
      <c r="C686" s="1" t="n">
        <v>46140</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39454-2025</t>
        </is>
      </c>
      <c r="B687" s="1" t="n">
        <v>45889.7462962963</v>
      </c>
      <c r="C687" s="1" t="n">
        <v>46140</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39451-2025</t>
        </is>
      </c>
      <c r="B688" s="1" t="n">
        <v>45889.72677083333</v>
      </c>
      <c r="C688" s="1" t="n">
        <v>46140</v>
      </c>
      <c r="D688" t="inlineStr">
        <is>
          <t>VÄRMLANDS LÄN</t>
        </is>
      </c>
      <c r="E688" t="inlineStr">
        <is>
          <t>TORSBY</t>
        </is>
      </c>
      <c r="F688" t="inlineStr">
        <is>
          <t>Bergvik skog väst AB</t>
        </is>
      </c>
      <c r="G688" t="n">
        <v>7.5</v>
      </c>
      <c r="H688" t="n">
        <v>0</v>
      </c>
      <c r="I688" t="n">
        <v>0</v>
      </c>
      <c r="J688" t="n">
        <v>0</v>
      </c>
      <c r="K688" t="n">
        <v>0</v>
      </c>
      <c r="L688" t="n">
        <v>0</v>
      </c>
      <c r="M688" t="n">
        <v>0</v>
      </c>
      <c r="N688" t="n">
        <v>0</v>
      </c>
      <c r="O688" t="n">
        <v>0</v>
      </c>
      <c r="P688" t="n">
        <v>0</v>
      </c>
      <c r="Q688" t="n">
        <v>0</v>
      </c>
      <c r="R688" s="2" t="inlineStr"/>
    </row>
    <row r="689" ht="15" customHeight="1">
      <c r="A689" t="inlineStr">
        <is>
          <t>A 56107-2024</t>
        </is>
      </c>
      <c r="B689" s="1" t="n">
        <v>45624.44055555556</v>
      </c>
      <c r="C689" s="1" t="n">
        <v>46140</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55836-2024</t>
        </is>
      </c>
      <c r="B690" s="1" t="n">
        <v>45623.49150462963</v>
      </c>
      <c r="C690" s="1" t="n">
        <v>46140</v>
      </c>
      <c r="D690" t="inlineStr">
        <is>
          <t>VÄRMLANDS LÄN</t>
        </is>
      </c>
      <c r="E690" t="inlineStr">
        <is>
          <t>TORSBY</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38905-2025</t>
        </is>
      </c>
      <c r="B691" s="1" t="n">
        <v>45884</v>
      </c>
      <c r="C691" s="1" t="n">
        <v>46140</v>
      </c>
      <c r="D691" t="inlineStr">
        <is>
          <t>VÄRMLANDS LÄN</t>
        </is>
      </c>
      <c r="E691" t="inlineStr">
        <is>
          <t>TORSBY</t>
        </is>
      </c>
      <c r="G691" t="n">
        <v>5.4</v>
      </c>
      <c r="H691" t="n">
        <v>0</v>
      </c>
      <c r="I691" t="n">
        <v>0</v>
      </c>
      <c r="J691" t="n">
        <v>0</v>
      </c>
      <c r="K691" t="n">
        <v>0</v>
      </c>
      <c r="L691" t="n">
        <v>0</v>
      </c>
      <c r="M691" t="n">
        <v>0</v>
      </c>
      <c r="N691" t="n">
        <v>0</v>
      </c>
      <c r="O691" t="n">
        <v>0</v>
      </c>
      <c r="P691" t="n">
        <v>0</v>
      </c>
      <c r="Q691" t="n">
        <v>0</v>
      </c>
      <c r="R691" s="2" t="inlineStr"/>
    </row>
    <row r="692" ht="15" customHeight="1">
      <c r="A692" t="inlineStr">
        <is>
          <t>A 39258-2025</t>
        </is>
      </c>
      <c r="B692" s="1" t="n">
        <v>45889</v>
      </c>
      <c r="C692" s="1" t="n">
        <v>46140</v>
      </c>
      <c r="D692" t="inlineStr">
        <is>
          <t>VÄRMLANDS LÄN</t>
        </is>
      </c>
      <c r="E692" t="inlineStr">
        <is>
          <t>TORSBY</t>
        </is>
      </c>
      <c r="F692" t="inlineStr">
        <is>
          <t>Bergvik skog väst AB</t>
        </is>
      </c>
      <c r="G692" t="n">
        <v>12.1</v>
      </c>
      <c r="H692" t="n">
        <v>0</v>
      </c>
      <c r="I692" t="n">
        <v>0</v>
      </c>
      <c r="J692" t="n">
        <v>0</v>
      </c>
      <c r="K692" t="n">
        <v>0</v>
      </c>
      <c r="L692" t="n">
        <v>0</v>
      </c>
      <c r="M692" t="n">
        <v>0</v>
      </c>
      <c r="N692" t="n">
        <v>0</v>
      </c>
      <c r="O692" t="n">
        <v>0</v>
      </c>
      <c r="P692" t="n">
        <v>0</v>
      </c>
      <c r="Q692" t="n">
        <v>0</v>
      </c>
      <c r="R692" s="2" t="inlineStr"/>
    </row>
    <row r="693" ht="15" customHeight="1">
      <c r="A693" t="inlineStr">
        <is>
          <t>A 39321-2025</t>
        </is>
      </c>
      <c r="B693" s="1" t="n">
        <v>45889</v>
      </c>
      <c r="C693" s="1" t="n">
        <v>46140</v>
      </c>
      <c r="D693" t="inlineStr">
        <is>
          <t>VÄRMLANDS LÄN</t>
        </is>
      </c>
      <c r="E693" t="inlineStr">
        <is>
          <t>TORSBY</t>
        </is>
      </c>
      <c r="F693" t="inlineStr">
        <is>
          <t>Bergvik skog väst AB</t>
        </is>
      </c>
      <c r="G693" t="n">
        <v>47.1</v>
      </c>
      <c r="H693" t="n">
        <v>0</v>
      </c>
      <c r="I693" t="n">
        <v>0</v>
      </c>
      <c r="J693" t="n">
        <v>0</v>
      </c>
      <c r="K693" t="n">
        <v>0</v>
      </c>
      <c r="L693" t="n">
        <v>0</v>
      </c>
      <c r="M693" t="n">
        <v>0</v>
      </c>
      <c r="N693" t="n">
        <v>0</v>
      </c>
      <c r="O693" t="n">
        <v>0</v>
      </c>
      <c r="P693" t="n">
        <v>0</v>
      </c>
      <c r="Q693" t="n">
        <v>0</v>
      </c>
      <c r="R693" s="2" t="inlineStr"/>
    </row>
    <row r="694" ht="15" customHeight="1">
      <c r="A694" t="inlineStr">
        <is>
          <t>A 39473-2025</t>
        </is>
      </c>
      <c r="B694" s="1" t="n">
        <v>45890</v>
      </c>
      <c r="C694" s="1" t="n">
        <v>46140</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39652-2025</t>
        </is>
      </c>
      <c r="B695" s="1" t="n">
        <v>45890.61689814815</v>
      </c>
      <c r="C695" s="1" t="n">
        <v>46140</v>
      </c>
      <c r="D695" t="inlineStr">
        <is>
          <t>VÄRMLANDS LÄN</t>
        </is>
      </c>
      <c r="E695" t="inlineStr">
        <is>
          <t>TORSBY</t>
        </is>
      </c>
      <c r="G695" t="n">
        <v>3.1</v>
      </c>
      <c r="H695" t="n">
        <v>0</v>
      </c>
      <c r="I695" t="n">
        <v>0</v>
      </c>
      <c r="J695" t="n">
        <v>0</v>
      </c>
      <c r="K695" t="n">
        <v>0</v>
      </c>
      <c r="L695" t="n">
        <v>0</v>
      </c>
      <c r="M695" t="n">
        <v>0</v>
      </c>
      <c r="N695" t="n">
        <v>0</v>
      </c>
      <c r="O695" t="n">
        <v>0</v>
      </c>
      <c r="P695" t="n">
        <v>0</v>
      </c>
      <c r="Q695" t="n">
        <v>0</v>
      </c>
      <c r="R695" s="2" t="inlineStr"/>
    </row>
    <row r="696" ht="15" customHeight="1">
      <c r="A696" t="inlineStr">
        <is>
          <t>A 38611-2025</t>
        </is>
      </c>
      <c r="B696" s="1" t="n">
        <v>45884.53958333333</v>
      </c>
      <c r="C696" s="1" t="n">
        <v>46140</v>
      </c>
      <c r="D696" t="inlineStr">
        <is>
          <t>VÄRMLANDS LÄN</t>
        </is>
      </c>
      <c r="E696" t="inlineStr">
        <is>
          <t>TORSBY</t>
        </is>
      </c>
      <c r="G696" t="n">
        <v>3.3</v>
      </c>
      <c r="H696" t="n">
        <v>0</v>
      </c>
      <c r="I696" t="n">
        <v>0</v>
      </c>
      <c r="J696" t="n">
        <v>0</v>
      </c>
      <c r="K696" t="n">
        <v>0</v>
      </c>
      <c r="L696" t="n">
        <v>0</v>
      </c>
      <c r="M696" t="n">
        <v>0</v>
      </c>
      <c r="N696" t="n">
        <v>0</v>
      </c>
      <c r="O696" t="n">
        <v>0</v>
      </c>
      <c r="P696" t="n">
        <v>0</v>
      </c>
      <c r="Q696" t="n">
        <v>0</v>
      </c>
      <c r="R696" s="2" t="inlineStr"/>
    </row>
    <row r="697" ht="15" customHeight="1">
      <c r="A697" t="inlineStr">
        <is>
          <t>A 13586-2023</t>
        </is>
      </c>
      <c r="B697" s="1" t="n">
        <v>45006</v>
      </c>
      <c r="C697" s="1" t="n">
        <v>46140</v>
      </c>
      <c r="D697" t="inlineStr">
        <is>
          <t>VÄRMLANDS LÄN</t>
        </is>
      </c>
      <c r="E697" t="inlineStr">
        <is>
          <t>TORSBY</t>
        </is>
      </c>
      <c r="F697" t="inlineStr">
        <is>
          <t>Kommuner</t>
        </is>
      </c>
      <c r="G697" t="n">
        <v>0.7</v>
      </c>
      <c r="H697" t="n">
        <v>0</v>
      </c>
      <c r="I697" t="n">
        <v>0</v>
      </c>
      <c r="J697" t="n">
        <v>0</v>
      </c>
      <c r="K697" t="n">
        <v>0</v>
      </c>
      <c r="L697" t="n">
        <v>0</v>
      </c>
      <c r="M697" t="n">
        <v>0</v>
      </c>
      <c r="N697" t="n">
        <v>0</v>
      </c>
      <c r="O697" t="n">
        <v>0</v>
      </c>
      <c r="P697" t="n">
        <v>0</v>
      </c>
      <c r="Q697" t="n">
        <v>0</v>
      </c>
      <c r="R697" s="2" t="inlineStr"/>
    </row>
    <row r="698" ht="15" customHeight="1">
      <c r="A698" t="inlineStr">
        <is>
          <t>A 39815-2025</t>
        </is>
      </c>
      <c r="B698" s="1" t="n">
        <v>45891.52760416667</v>
      </c>
      <c r="C698" s="1" t="n">
        <v>46140</v>
      </c>
      <c r="D698" t="inlineStr">
        <is>
          <t>VÄRMLANDS LÄN</t>
        </is>
      </c>
      <c r="E698" t="inlineStr">
        <is>
          <t>TORSBY</t>
        </is>
      </c>
      <c r="G698" t="n">
        <v>1.5</v>
      </c>
      <c r="H698" t="n">
        <v>0</v>
      </c>
      <c r="I698" t="n">
        <v>0</v>
      </c>
      <c r="J698" t="n">
        <v>0</v>
      </c>
      <c r="K698" t="n">
        <v>0</v>
      </c>
      <c r="L698" t="n">
        <v>0</v>
      </c>
      <c r="M698" t="n">
        <v>0</v>
      </c>
      <c r="N698" t="n">
        <v>0</v>
      </c>
      <c r="O698" t="n">
        <v>0</v>
      </c>
      <c r="P698" t="n">
        <v>0</v>
      </c>
      <c r="Q698" t="n">
        <v>0</v>
      </c>
      <c r="R698" s="2" t="inlineStr"/>
    </row>
    <row r="699" ht="15" customHeight="1">
      <c r="A699" t="inlineStr">
        <is>
          <t>A 38315-2025</t>
        </is>
      </c>
      <c r="B699" s="1" t="n">
        <v>45883.47824074074</v>
      </c>
      <c r="C699" s="1" t="n">
        <v>46140</v>
      </c>
      <c r="D699" t="inlineStr">
        <is>
          <t>VÄRMLANDS LÄN</t>
        </is>
      </c>
      <c r="E699" t="inlineStr">
        <is>
          <t>TORSBY</t>
        </is>
      </c>
      <c r="G699" t="n">
        <v>2.5</v>
      </c>
      <c r="H699" t="n">
        <v>0</v>
      </c>
      <c r="I699" t="n">
        <v>0</v>
      </c>
      <c r="J699" t="n">
        <v>0</v>
      </c>
      <c r="K699" t="n">
        <v>0</v>
      </c>
      <c r="L699" t="n">
        <v>0</v>
      </c>
      <c r="M699" t="n">
        <v>0</v>
      </c>
      <c r="N699" t="n">
        <v>0</v>
      </c>
      <c r="O699" t="n">
        <v>0</v>
      </c>
      <c r="P699" t="n">
        <v>0</v>
      </c>
      <c r="Q699" t="n">
        <v>0</v>
      </c>
      <c r="R699" s="2" t="inlineStr"/>
    </row>
    <row r="700" ht="15" customHeight="1">
      <c r="A700" t="inlineStr">
        <is>
          <t>A 40195-2025</t>
        </is>
      </c>
      <c r="B700" s="1" t="n">
        <v>45894.65922453703</v>
      </c>
      <c r="C700" s="1" t="n">
        <v>46140</v>
      </c>
      <c r="D700" t="inlineStr">
        <is>
          <t>VÄRMLANDS LÄN</t>
        </is>
      </c>
      <c r="E700" t="inlineStr">
        <is>
          <t>TORSBY</t>
        </is>
      </c>
      <c r="F700" t="inlineStr">
        <is>
          <t>Bergvik skog väst AB</t>
        </is>
      </c>
      <c r="G700" t="n">
        <v>3.7</v>
      </c>
      <c r="H700" t="n">
        <v>0</v>
      </c>
      <c r="I700" t="n">
        <v>0</v>
      </c>
      <c r="J700" t="n">
        <v>0</v>
      </c>
      <c r="K700" t="n">
        <v>0</v>
      </c>
      <c r="L700" t="n">
        <v>0</v>
      </c>
      <c r="M700" t="n">
        <v>0</v>
      </c>
      <c r="N700" t="n">
        <v>0</v>
      </c>
      <c r="O700" t="n">
        <v>0</v>
      </c>
      <c r="P700" t="n">
        <v>0</v>
      </c>
      <c r="Q700" t="n">
        <v>0</v>
      </c>
      <c r="R700" s="2" t="inlineStr"/>
    </row>
    <row r="701" ht="15" customHeight="1">
      <c r="A701" t="inlineStr">
        <is>
          <t>A 40051-2025</t>
        </is>
      </c>
      <c r="B701" s="1" t="n">
        <v>45894.40730324074</v>
      </c>
      <c r="C701" s="1" t="n">
        <v>46140</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9793-2024</t>
        </is>
      </c>
      <c r="B702" s="1" t="n">
        <v>45362.71013888889</v>
      </c>
      <c r="C702" s="1" t="n">
        <v>46140</v>
      </c>
      <c r="D702" t="inlineStr">
        <is>
          <t>VÄRMLANDS LÄN</t>
        </is>
      </c>
      <c r="E702" t="inlineStr">
        <is>
          <t>TORSBY</t>
        </is>
      </c>
      <c r="G702" t="n">
        <v>6</v>
      </c>
      <c r="H702" t="n">
        <v>0</v>
      </c>
      <c r="I702" t="n">
        <v>0</v>
      </c>
      <c r="J702" t="n">
        <v>0</v>
      </c>
      <c r="K702" t="n">
        <v>0</v>
      </c>
      <c r="L702" t="n">
        <v>0</v>
      </c>
      <c r="M702" t="n">
        <v>0</v>
      </c>
      <c r="N702" t="n">
        <v>0</v>
      </c>
      <c r="O702" t="n">
        <v>0</v>
      </c>
      <c r="P702" t="n">
        <v>0</v>
      </c>
      <c r="Q702" t="n">
        <v>0</v>
      </c>
      <c r="R702" s="2" t="inlineStr"/>
    </row>
    <row r="703" ht="15" customHeight="1">
      <c r="A703" t="inlineStr">
        <is>
          <t>A 39919-2025</t>
        </is>
      </c>
      <c r="B703" s="1" t="n">
        <v>45891.66664351852</v>
      </c>
      <c r="C703" s="1" t="n">
        <v>46140</v>
      </c>
      <c r="D703" t="inlineStr">
        <is>
          <t>VÄRMLANDS LÄN</t>
        </is>
      </c>
      <c r="E703" t="inlineStr">
        <is>
          <t>TORSBY</t>
        </is>
      </c>
      <c r="F703" t="inlineStr">
        <is>
          <t>Bergvik skog väst AB</t>
        </is>
      </c>
      <c r="G703" t="n">
        <v>1.9</v>
      </c>
      <c r="H703" t="n">
        <v>0</v>
      </c>
      <c r="I703" t="n">
        <v>0</v>
      </c>
      <c r="J703" t="n">
        <v>0</v>
      </c>
      <c r="K703" t="n">
        <v>0</v>
      </c>
      <c r="L703" t="n">
        <v>0</v>
      </c>
      <c r="M703" t="n">
        <v>0</v>
      </c>
      <c r="N703" t="n">
        <v>0</v>
      </c>
      <c r="O703" t="n">
        <v>0</v>
      </c>
      <c r="P703" t="n">
        <v>0</v>
      </c>
      <c r="Q703" t="n">
        <v>0</v>
      </c>
      <c r="R703" s="2" t="inlineStr"/>
    </row>
    <row r="704" ht="15" customHeight="1">
      <c r="A704" t="inlineStr">
        <is>
          <t>A 38232-2025</t>
        </is>
      </c>
      <c r="B704" s="1" t="n">
        <v>45883</v>
      </c>
      <c r="C704" s="1" t="n">
        <v>46140</v>
      </c>
      <c r="D704" t="inlineStr">
        <is>
          <t>VÄRMLANDS LÄN</t>
        </is>
      </c>
      <c r="E704" t="inlineStr">
        <is>
          <t>TORSBY</t>
        </is>
      </c>
      <c r="F704" t="inlineStr">
        <is>
          <t>Bergvik skog väst AB</t>
        </is>
      </c>
      <c r="G704" t="n">
        <v>4.3</v>
      </c>
      <c r="H704" t="n">
        <v>0</v>
      </c>
      <c r="I704" t="n">
        <v>0</v>
      </c>
      <c r="J704" t="n">
        <v>0</v>
      </c>
      <c r="K704" t="n">
        <v>0</v>
      </c>
      <c r="L704" t="n">
        <v>0</v>
      </c>
      <c r="M704" t="n">
        <v>0</v>
      </c>
      <c r="N704" t="n">
        <v>0</v>
      </c>
      <c r="O704" t="n">
        <v>0</v>
      </c>
      <c r="P704" t="n">
        <v>0</v>
      </c>
      <c r="Q704" t="n">
        <v>0</v>
      </c>
      <c r="R704" s="2" t="inlineStr"/>
    </row>
    <row r="705" ht="15" customHeight="1">
      <c r="A705" t="inlineStr">
        <is>
          <t>A 33620-2024</t>
        </is>
      </c>
      <c r="B705" s="1" t="n">
        <v>45520.41530092592</v>
      </c>
      <c r="C705" s="1" t="n">
        <v>46140</v>
      </c>
      <c r="D705" t="inlineStr">
        <is>
          <t>VÄRMLANDS LÄN</t>
        </is>
      </c>
      <c r="E705" t="inlineStr">
        <is>
          <t>TORSBY</t>
        </is>
      </c>
      <c r="F705" t="inlineStr">
        <is>
          <t>Bergvik skog väst AB</t>
        </is>
      </c>
      <c r="G705" t="n">
        <v>2.8</v>
      </c>
      <c r="H705" t="n">
        <v>0</v>
      </c>
      <c r="I705" t="n">
        <v>0</v>
      </c>
      <c r="J705" t="n">
        <v>0</v>
      </c>
      <c r="K705" t="n">
        <v>0</v>
      </c>
      <c r="L705" t="n">
        <v>0</v>
      </c>
      <c r="M705" t="n">
        <v>0</v>
      </c>
      <c r="N705" t="n">
        <v>0</v>
      </c>
      <c r="O705" t="n">
        <v>0</v>
      </c>
      <c r="P705" t="n">
        <v>0</v>
      </c>
      <c r="Q705" t="n">
        <v>0</v>
      </c>
      <c r="R705" s="2" t="inlineStr"/>
    </row>
    <row r="706" ht="15" customHeight="1">
      <c r="A706" t="inlineStr">
        <is>
          <t>A 40034-2025</t>
        </is>
      </c>
      <c r="B706" s="1" t="n">
        <v>45894.38159722222</v>
      </c>
      <c r="C706" s="1" t="n">
        <v>46140</v>
      </c>
      <c r="D706" t="inlineStr">
        <is>
          <t>VÄRMLANDS LÄN</t>
        </is>
      </c>
      <c r="E706" t="inlineStr">
        <is>
          <t>TORSBY</t>
        </is>
      </c>
      <c r="G706" t="n">
        <v>5.3</v>
      </c>
      <c r="H706" t="n">
        <v>0</v>
      </c>
      <c r="I706" t="n">
        <v>0</v>
      </c>
      <c r="J706" t="n">
        <v>0</v>
      </c>
      <c r="K706" t="n">
        <v>0</v>
      </c>
      <c r="L706" t="n">
        <v>0</v>
      </c>
      <c r="M706" t="n">
        <v>0</v>
      </c>
      <c r="N706" t="n">
        <v>0</v>
      </c>
      <c r="O706" t="n">
        <v>0</v>
      </c>
      <c r="P706" t="n">
        <v>0</v>
      </c>
      <c r="Q706" t="n">
        <v>0</v>
      </c>
      <c r="R706" s="2" t="inlineStr"/>
    </row>
    <row r="707" ht="15" customHeight="1">
      <c r="A707" t="inlineStr">
        <is>
          <t>A 32343-2024</t>
        </is>
      </c>
      <c r="B707" s="1" t="n">
        <v>45512.520625</v>
      </c>
      <c r="C707" s="1" t="n">
        <v>46140</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39845-2025</t>
        </is>
      </c>
      <c r="B708" s="1" t="n">
        <v>45891</v>
      </c>
      <c r="C708" s="1" t="n">
        <v>46140</v>
      </c>
      <c r="D708" t="inlineStr">
        <is>
          <t>VÄRMLANDS LÄN</t>
        </is>
      </c>
      <c r="E708" t="inlineStr">
        <is>
          <t>TORSBY</t>
        </is>
      </c>
      <c r="F708" t="inlineStr">
        <is>
          <t>Bergvik skog väst AB</t>
        </is>
      </c>
      <c r="G708" t="n">
        <v>14.1</v>
      </c>
      <c r="H708" t="n">
        <v>0</v>
      </c>
      <c r="I708" t="n">
        <v>0</v>
      </c>
      <c r="J708" t="n">
        <v>0</v>
      </c>
      <c r="K708" t="n">
        <v>0</v>
      </c>
      <c r="L708" t="n">
        <v>0</v>
      </c>
      <c r="M708" t="n">
        <v>0</v>
      </c>
      <c r="N708" t="n">
        <v>0</v>
      </c>
      <c r="O708" t="n">
        <v>0</v>
      </c>
      <c r="P708" t="n">
        <v>0</v>
      </c>
      <c r="Q708" t="n">
        <v>0</v>
      </c>
      <c r="R708" s="2" t="inlineStr"/>
    </row>
    <row r="709" ht="15" customHeight="1">
      <c r="A709" t="inlineStr">
        <is>
          <t>A 39743-2025</t>
        </is>
      </c>
      <c r="B709" s="1" t="n">
        <v>45891</v>
      </c>
      <c r="C709" s="1" t="n">
        <v>46140</v>
      </c>
      <c r="D709" t="inlineStr">
        <is>
          <t>VÄRMLANDS LÄN</t>
        </is>
      </c>
      <c r="E709" t="inlineStr">
        <is>
          <t>TORSBY</t>
        </is>
      </c>
      <c r="F709" t="inlineStr">
        <is>
          <t>Bergvik skog väst AB</t>
        </is>
      </c>
      <c r="G709" t="n">
        <v>2.5</v>
      </c>
      <c r="H709" t="n">
        <v>0</v>
      </c>
      <c r="I709" t="n">
        <v>0</v>
      </c>
      <c r="J709" t="n">
        <v>0</v>
      </c>
      <c r="K709" t="n">
        <v>0</v>
      </c>
      <c r="L709" t="n">
        <v>0</v>
      </c>
      <c r="M709" t="n">
        <v>0</v>
      </c>
      <c r="N709" t="n">
        <v>0</v>
      </c>
      <c r="O709" t="n">
        <v>0</v>
      </c>
      <c r="P709" t="n">
        <v>0</v>
      </c>
      <c r="Q709" t="n">
        <v>0</v>
      </c>
      <c r="R709" s="2" t="inlineStr"/>
    </row>
    <row r="710" ht="15" customHeight="1">
      <c r="A710" t="inlineStr">
        <is>
          <t>A 40128-2025</t>
        </is>
      </c>
      <c r="B710" s="1" t="n">
        <v>45894</v>
      </c>
      <c r="C710" s="1" t="n">
        <v>46140</v>
      </c>
      <c r="D710" t="inlineStr">
        <is>
          <t>VÄRMLANDS LÄN</t>
        </is>
      </c>
      <c r="E710" t="inlineStr">
        <is>
          <t>TORSBY</t>
        </is>
      </c>
      <c r="G710" t="n">
        <v>0.6</v>
      </c>
      <c r="H710" t="n">
        <v>0</v>
      </c>
      <c r="I710" t="n">
        <v>0</v>
      </c>
      <c r="J710" t="n">
        <v>0</v>
      </c>
      <c r="K710" t="n">
        <v>0</v>
      </c>
      <c r="L710" t="n">
        <v>0</v>
      </c>
      <c r="M710" t="n">
        <v>0</v>
      </c>
      <c r="N710" t="n">
        <v>0</v>
      </c>
      <c r="O710" t="n">
        <v>0</v>
      </c>
      <c r="P710" t="n">
        <v>0</v>
      </c>
      <c r="Q710" t="n">
        <v>0</v>
      </c>
      <c r="R710" s="2" t="inlineStr"/>
    </row>
    <row r="711" ht="15" customHeight="1">
      <c r="A711" t="inlineStr">
        <is>
          <t>A 39731-2025</t>
        </is>
      </c>
      <c r="B711" s="1" t="n">
        <v>45891</v>
      </c>
      <c r="C711" s="1" t="n">
        <v>46140</v>
      </c>
      <c r="D711" t="inlineStr">
        <is>
          <t>VÄRMLANDS LÄN</t>
        </is>
      </c>
      <c r="E711" t="inlineStr">
        <is>
          <t>TORSBY</t>
        </is>
      </c>
      <c r="F711" t="inlineStr">
        <is>
          <t>Bergvik skog väst AB</t>
        </is>
      </c>
      <c r="G711" t="n">
        <v>4.6</v>
      </c>
      <c r="H711" t="n">
        <v>0</v>
      </c>
      <c r="I711" t="n">
        <v>0</v>
      </c>
      <c r="J711" t="n">
        <v>0</v>
      </c>
      <c r="K711" t="n">
        <v>0</v>
      </c>
      <c r="L711" t="n">
        <v>0</v>
      </c>
      <c r="M711" t="n">
        <v>0</v>
      </c>
      <c r="N711" t="n">
        <v>0</v>
      </c>
      <c r="O711" t="n">
        <v>0</v>
      </c>
      <c r="P711" t="n">
        <v>0</v>
      </c>
      <c r="Q711" t="n">
        <v>0</v>
      </c>
      <c r="R711" s="2" t="inlineStr"/>
    </row>
    <row r="712" ht="15" customHeight="1">
      <c r="A712" t="inlineStr">
        <is>
          <t>A 51199-2023</t>
        </is>
      </c>
      <c r="B712" s="1" t="n">
        <v>45219.42247685185</v>
      </c>
      <c r="C712" s="1" t="n">
        <v>46140</v>
      </c>
      <c r="D712" t="inlineStr">
        <is>
          <t>VÄRMLANDS LÄN</t>
        </is>
      </c>
      <c r="E712" t="inlineStr">
        <is>
          <t>TORSBY</t>
        </is>
      </c>
      <c r="G712" t="n">
        <v>4.8</v>
      </c>
      <c r="H712" t="n">
        <v>0</v>
      </c>
      <c r="I712" t="n">
        <v>0</v>
      </c>
      <c r="J712" t="n">
        <v>0</v>
      </c>
      <c r="K712" t="n">
        <v>0</v>
      </c>
      <c r="L712" t="n">
        <v>0</v>
      </c>
      <c r="M712" t="n">
        <v>0</v>
      </c>
      <c r="N712" t="n">
        <v>0</v>
      </c>
      <c r="O712" t="n">
        <v>0</v>
      </c>
      <c r="P712" t="n">
        <v>0</v>
      </c>
      <c r="Q712" t="n">
        <v>0</v>
      </c>
      <c r="R712" s="2" t="inlineStr"/>
    </row>
    <row r="713" ht="15" customHeight="1">
      <c r="A713" t="inlineStr">
        <is>
          <t>A 24580-2025</t>
        </is>
      </c>
      <c r="B713" s="1" t="n">
        <v>45798</v>
      </c>
      <c r="C713" s="1" t="n">
        <v>46140</v>
      </c>
      <c r="D713" t="inlineStr">
        <is>
          <t>VÄRMLANDS LÄN</t>
        </is>
      </c>
      <c r="E713" t="inlineStr">
        <is>
          <t>TORSBY</t>
        </is>
      </c>
      <c r="G713" t="n">
        <v>12.2</v>
      </c>
      <c r="H713" t="n">
        <v>0</v>
      </c>
      <c r="I713" t="n">
        <v>0</v>
      </c>
      <c r="J713" t="n">
        <v>0</v>
      </c>
      <c r="K713" t="n">
        <v>0</v>
      </c>
      <c r="L713" t="n">
        <v>0</v>
      </c>
      <c r="M713" t="n">
        <v>0</v>
      </c>
      <c r="N713" t="n">
        <v>0</v>
      </c>
      <c r="O713" t="n">
        <v>0</v>
      </c>
      <c r="P713" t="n">
        <v>0</v>
      </c>
      <c r="Q713" t="n">
        <v>0</v>
      </c>
      <c r="R713" s="2" t="inlineStr"/>
    </row>
    <row r="714" ht="15" customHeight="1">
      <c r="A714" t="inlineStr">
        <is>
          <t>A 38249-2025</t>
        </is>
      </c>
      <c r="B714" s="1" t="n">
        <v>45883</v>
      </c>
      <c r="C714" s="1" t="n">
        <v>46140</v>
      </c>
      <c r="D714" t="inlineStr">
        <is>
          <t>VÄRMLANDS LÄN</t>
        </is>
      </c>
      <c r="E714" t="inlineStr">
        <is>
          <t>TORSBY</t>
        </is>
      </c>
      <c r="F714" t="inlineStr">
        <is>
          <t>Bergvik skog väst AB</t>
        </is>
      </c>
      <c r="G714" t="n">
        <v>4.3</v>
      </c>
      <c r="H714" t="n">
        <v>0</v>
      </c>
      <c r="I714" t="n">
        <v>0</v>
      </c>
      <c r="J714" t="n">
        <v>0</v>
      </c>
      <c r="K714" t="n">
        <v>0</v>
      </c>
      <c r="L714" t="n">
        <v>0</v>
      </c>
      <c r="M714" t="n">
        <v>0</v>
      </c>
      <c r="N714" t="n">
        <v>0</v>
      </c>
      <c r="O714" t="n">
        <v>0</v>
      </c>
      <c r="P714" t="n">
        <v>0</v>
      </c>
      <c r="Q714" t="n">
        <v>0</v>
      </c>
      <c r="R714" s="2" t="inlineStr"/>
    </row>
    <row r="715" ht="15" customHeight="1">
      <c r="A715" t="inlineStr">
        <is>
          <t>A 39499-2025</t>
        </is>
      </c>
      <c r="B715" s="1" t="n">
        <v>45890</v>
      </c>
      <c r="C715" s="1" t="n">
        <v>46140</v>
      </c>
      <c r="D715" t="inlineStr">
        <is>
          <t>VÄRMLANDS LÄN</t>
        </is>
      </c>
      <c r="E715" t="inlineStr">
        <is>
          <t>TORSBY</t>
        </is>
      </c>
      <c r="F715" t="inlineStr">
        <is>
          <t>Kommuner</t>
        </is>
      </c>
      <c r="G715" t="n">
        <v>1.3</v>
      </c>
      <c r="H715" t="n">
        <v>0</v>
      </c>
      <c r="I715" t="n">
        <v>0</v>
      </c>
      <c r="J715" t="n">
        <v>0</v>
      </c>
      <c r="K715" t="n">
        <v>0</v>
      </c>
      <c r="L715" t="n">
        <v>0</v>
      </c>
      <c r="M715" t="n">
        <v>0</v>
      </c>
      <c r="N715" t="n">
        <v>0</v>
      </c>
      <c r="O715" t="n">
        <v>0</v>
      </c>
      <c r="P715" t="n">
        <v>0</v>
      </c>
      <c r="Q715" t="n">
        <v>0</v>
      </c>
      <c r="R715" s="2" t="inlineStr"/>
    </row>
    <row r="716" ht="15" customHeight="1">
      <c r="A716" t="inlineStr">
        <is>
          <t>A 18115-2025</t>
        </is>
      </c>
      <c r="B716" s="1" t="n">
        <v>45761</v>
      </c>
      <c r="C716" s="1" t="n">
        <v>46140</v>
      </c>
      <c r="D716" t="inlineStr">
        <is>
          <t>VÄRMLANDS LÄN</t>
        </is>
      </c>
      <c r="E716" t="inlineStr">
        <is>
          <t>TORSBY</t>
        </is>
      </c>
      <c r="G716" t="n">
        <v>2.5</v>
      </c>
      <c r="H716" t="n">
        <v>0</v>
      </c>
      <c r="I716" t="n">
        <v>0</v>
      </c>
      <c r="J716" t="n">
        <v>0</v>
      </c>
      <c r="K716" t="n">
        <v>0</v>
      </c>
      <c r="L716" t="n">
        <v>0</v>
      </c>
      <c r="M716" t="n">
        <v>0</v>
      </c>
      <c r="N716" t="n">
        <v>0</v>
      </c>
      <c r="O716" t="n">
        <v>0</v>
      </c>
      <c r="P716" t="n">
        <v>0</v>
      </c>
      <c r="Q716" t="n">
        <v>0</v>
      </c>
      <c r="R716" s="2" t="inlineStr"/>
    </row>
    <row r="717" ht="15" customHeight="1">
      <c r="A717" t="inlineStr">
        <is>
          <t>A 55811-2021</t>
        </is>
      </c>
      <c r="B717" s="1" t="n">
        <v>44476</v>
      </c>
      <c r="C717" s="1" t="n">
        <v>46140</v>
      </c>
      <c r="D717" t="inlineStr">
        <is>
          <t>VÄRMLANDS LÄN</t>
        </is>
      </c>
      <c r="E717" t="inlineStr">
        <is>
          <t>TORSBY</t>
        </is>
      </c>
      <c r="G717" t="n">
        <v>3.7</v>
      </c>
      <c r="H717" t="n">
        <v>0</v>
      </c>
      <c r="I717" t="n">
        <v>0</v>
      </c>
      <c r="J717" t="n">
        <v>0</v>
      </c>
      <c r="K717" t="n">
        <v>0</v>
      </c>
      <c r="L717" t="n">
        <v>0</v>
      </c>
      <c r="M717" t="n">
        <v>0</v>
      </c>
      <c r="N717" t="n">
        <v>0</v>
      </c>
      <c r="O717" t="n">
        <v>0</v>
      </c>
      <c r="P717" t="n">
        <v>0</v>
      </c>
      <c r="Q717" t="n">
        <v>0</v>
      </c>
      <c r="R717" s="2" t="inlineStr"/>
    </row>
    <row r="718" ht="15" customHeight="1">
      <c r="A718" t="inlineStr">
        <is>
          <t>A 28035-2024</t>
        </is>
      </c>
      <c r="B718" s="1" t="n">
        <v>45476</v>
      </c>
      <c r="C718" s="1" t="n">
        <v>46140</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52532-2023</t>
        </is>
      </c>
      <c r="B719" s="1" t="n">
        <v>45225.54318287037</v>
      </c>
      <c r="C719" s="1" t="n">
        <v>46140</v>
      </c>
      <c r="D719" t="inlineStr">
        <is>
          <t>VÄRMLANDS LÄN</t>
        </is>
      </c>
      <c r="E719" t="inlineStr">
        <is>
          <t>TORSBY</t>
        </is>
      </c>
      <c r="G719" t="n">
        <v>0.4</v>
      </c>
      <c r="H719" t="n">
        <v>0</v>
      </c>
      <c r="I719" t="n">
        <v>0</v>
      </c>
      <c r="J719" t="n">
        <v>0</v>
      </c>
      <c r="K719" t="n">
        <v>0</v>
      </c>
      <c r="L719" t="n">
        <v>0</v>
      </c>
      <c r="M719" t="n">
        <v>0</v>
      </c>
      <c r="N719" t="n">
        <v>0</v>
      </c>
      <c r="O719" t="n">
        <v>0</v>
      </c>
      <c r="P719" t="n">
        <v>0</v>
      </c>
      <c r="Q719" t="n">
        <v>0</v>
      </c>
      <c r="R719" s="2" t="inlineStr"/>
    </row>
    <row r="720" ht="15" customHeight="1">
      <c r="A720" t="inlineStr">
        <is>
          <t>A 40519-2025</t>
        </is>
      </c>
      <c r="B720" s="1" t="n">
        <v>45896.3640162037</v>
      </c>
      <c r="C720" s="1" t="n">
        <v>46140</v>
      </c>
      <c r="D720" t="inlineStr">
        <is>
          <t>VÄRMLANDS LÄN</t>
        </is>
      </c>
      <c r="E720" t="inlineStr">
        <is>
          <t>TORSBY</t>
        </is>
      </c>
      <c r="F720" t="inlineStr">
        <is>
          <t>Bergvik skog väst AB</t>
        </is>
      </c>
      <c r="G720" t="n">
        <v>0.4</v>
      </c>
      <c r="H720" t="n">
        <v>0</v>
      </c>
      <c r="I720" t="n">
        <v>0</v>
      </c>
      <c r="J720" t="n">
        <v>0</v>
      </c>
      <c r="K720" t="n">
        <v>0</v>
      </c>
      <c r="L720" t="n">
        <v>0</v>
      </c>
      <c r="M720" t="n">
        <v>0</v>
      </c>
      <c r="N720" t="n">
        <v>0</v>
      </c>
      <c r="O720" t="n">
        <v>0</v>
      </c>
      <c r="P720" t="n">
        <v>0</v>
      </c>
      <c r="Q720" t="n">
        <v>0</v>
      </c>
      <c r="R720" s="2" t="inlineStr"/>
    </row>
    <row r="721" ht="15" customHeight="1">
      <c r="A721" t="inlineStr">
        <is>
          <t>A 24827-2025</t>
        </is>
      </c>
      <c r="B721" s="1" t="n">
        <v>45799</v>
      </c>
      <c r="C721" s="1" t="n">
        <v>46140</v>
      </c>
      <c r="D721" t="inlineStr">
        <is>
          <t>VÄRMLANDS LÄN</t>
        </is>
      </c>
      <c r="E721" t="inlineStr">
        <is>
          <t>TORSBY</t>
        </is>
      </c>
      <c r="G721" t="n">
        <v>27.5</v>
      </c>
      <c r="H721" t="n">
        <v>0</v>
      </c>
      <c r="I721" t="n">
        <v>0</v>
      </c>
      <c r="J721" t="n">
        <v>0</v>
      </c>
      <c r="K721" t="n">
        <v>0</v>
      </c>
      <c r="L721" t="n">
        <v>0</v>
      </c>
      <c r="M721" t="n">
        <v>0</v>
      </c>
      <c r="N721" t="n">
        <v>0</v>
      </c>
      <c r="O721" t="n">
        <v>0</v>
      </c>
      <c r="P721" t="n">
        <v>0</v>
      </c>
      <c r="Q721" t="n">
        <v>0</v>
      </c>
      <c r="R721" s="2" t="inlineStr"/>
    </row>
    <row r="722" ht="15" customHeight="1">
      <c r="A722" t="inlineStr">
        <is>
          <t>A 18096-2025</t>
        </is>
      </c>
      <c r="B722" s="1" t="n">
        <v>45761</v>
      </c>
      <c r="C722" s="1" t="n">
        <v>46140</v>
      </c>
      <c r="D722" t="inlineStr">
        <is>
          <t>VÄRMLANDS LÄN</t>
        </is>
      </c>
      <c r="E722" t="inlineStr">
        <is>
          <t>TORSBY</t>
        </is>
      </c>
      <c r="G722" t="n">
        <v>3.6</v>
      </c>
      <c r="H722" t="n">
        <v>0</v>
      </c>
      <c r="I722" t="n">
        <v>0</v>
      </c>
      <c r="J722" t="n">
        <v>0</v>
      </c>
      <c r="K722" t="n">
        <v>0</v>
      </c>
      <c r="L722" t="n">
        <v>0</v>
      </c>
      <c r="M722" t="n">
        <v>0</v>
      </c>
      <c r="N722" t="n">
        <v>0</v>
      </c>
      <c r="O722" t="n">
        <v>0</v>
      </c>
      <c r="P722" t="n">
        <v>0</v>
      </c>
      <c r="Q722" t="n">
        <v>0</v>
      </c>
      <c r="R722" s="2" t="inlineStr"/>
    </row>
    <row r="723" ht="15" customHeight="1">
      <c r="A723" t="inlineStr">
        <is>
          <t>A 41293-2025</t>
        </is>
      </c>
      <c r="B723" s="1" t="n">
        <v>45898</v>
      </c>
      <c r="C723" s="1" t="n">
        <v>46140</v>
      </c>
      <c r="D723" t="inlineStr">
        <is>
          <t>VÄRMLANDS LÄN</t>
        </is>
      </c>
      <c r="E723" t="inlineStr">
        <is>
          <t>TORSBY</t>
        </is>
      </c>
      <c r="G723" t="n">
        <v>0.7</v>
      </c>
      <c r="H723" t="n">
        <v>0</v>
      </c>
      <c r="I723" t="n">
        <v>0</v>
      </c>
      <c r="J723" t="n">
        <v>0</v>
      </c>
      <c r="K723" t="n">
        <v>0</v>
      </c>
      <c r="L723" t="n">
        <v>0</v>
      </c>
      <c r="M723" t="n">
        <v>0</v>
      </c>
      <c r="N723" t="n">
        <v>0</v>
      </c>
      <c r="O723" t="n">
        <v>0</v>
      </c>
      <c r="P723" t="n">
        <v>0</v>
      </c>
      <c r="Q723" t="n">
        <v>0</v>
      </c>
      <c r="R723" s="2" t="inlineStr"/>
    </row>
    <row r="724" ht="15" customHeight="1">
      <c r="A724" t="inlineStr">
        <is>
          <t>A 40729-2025</t>
        </is>
      </c>
      <c r="B724" s="1" t="n">
        <v>45897.35421296296</v>
      </c>
      <c r="C724" s="1" t="n">
        <v>46140</v>
      </c>
      <c r="D724" t="inlineStr">
        <is>
          <t>VÄRMLANDS LÄN</t>
        </is>
      </c>
      <c r="E724" t="inlineStr">
        <is>
          <t>TORSBY</t>
        </is>
      </c>
      <c r="F724" t="inlineStr">
        <is>
          <t>Bergvik skog väst AB</t>
        </is>
      </c>
      <c r="G724" t="n">
        <v>25.4</v>
      </c>
      <c r="H724" t="n">
        <v>0</v>
      </c>
      <c r="I724" t="n">
        <v>0</v>
      </c>
      <c r="J724" t="n">
        <v>0</v>
      </c>
      <c r="K724" t="n">
        <v>0</v>
      </c>
      <c r="L724" t="n">
        <v>0</v>
      </c>
      <c r="M724" t="n">
        <v>0</v>
      </c>
      <c r="N724" t="n">
        <v>0</v>
      </c>
      <c r="O724" t="n">
        <v>0</v>
      </c>
      <c r="P724" t="n">
        <v>0</v>
      </c>
      <c r="Q724" t="n">
        <v>0</v>
      </c>
      <c r="R724" s="2" t="inlineStr"/>
    </row>
    <row r="725" ht="15" customHeight="1">
      <c r="A725" t="inlineStr">
        <is>
          <t>A 11364-2023</t>
        </is>
      </c>
      <c r="B725" s="1" t="n">
        <v>44993.43150462963</v>
      </c>
      <c r="C725" s="1" t="n">
        <v>46140</v>
      </c>
      <c r="D725" t="inlineStr">
        <is>
          <t>VÄRMLANDS LÄN</t>
        </is>
      </c>
      <c r="E725" t="inlineStr">
        <is>
          <t>TORSBY</t>
        </is>
      </c>
      <c r="G725" t="n">
        <v>31.9</v>
      </c>
      <c r="H725" t="n">
        <v>0</v>
      </c>
      <c r="I725" t="n">
        <v>0</v>
      </c>
      <c r="J725" t="n">
        <v>0</v>
      </c>
      <c r="K725" t="n">
        <v>0</v>
      </c>
      <c r="L725" t="n">
        <v>0</v>
      </c>
      <c r="M725" t="n">
        <v>0</v>
      </c>
      <c r="N725" t="n">
        <v>0</v>
      </c>
      <c r="O725" t="n">
        <v>0</v>
      </c>
      <c r="P725" t="n">
        <v>0</v>
      </c>
      <c r="Q725" t="n">
        <v>0</v>
      </c>
      <c r="R725" s="2" t="inlineStr"/>
    </row>
    <row r="726" ht="15" customHeight="1">
      <c r="A726" t="inlineStr">
        <is>
          <t>A 61073-2024</t>
        </is>
      </c>
      <c r="B726" s="1" t="n">
        <v>45645.50665509259</v>
      </c>
      <c r="C726" s="1" t="n">
        <v>46140</v>
      </c>
      <c r="D726" t="inlineStr">
        <is>
          <t>VÄRMLANDS LÄN</t>
        </is>
      </c>
      <c r="E726" t="inlineStr">
        <is>
          <t>TORSBY</t>
        </is>
      </c>
      <c r="G726" t="n">
        <v>3.4</v>
      </c>
      <c r="H726" t="n">
        <v>0</v>
      </c>
      <c r="I726" t="n">
        <v>0</v>
      </c>
      <c r="J726" t="n">
        <v>0</v>
      </c>
      <c r="K726" t="n">
        <v>0</v>
      </c>
      <c r="L726" t="n">
        <v>0</v>
      </c>
      <c r="M726" t="n">
        <v>0</v>
      </c>
      <c r="N726" t="n">
        <v>0</v>
      </c>
      <c r="O726" t="n">
        <v>0</v>
      </c>
      <c r="P726" t="n">
        <v>0</v>
      </c>
      <c r="Q726" t="n">
        <v>0</v>
      </c>
      <c r="R726" s="2" t="inlineStr"/>
    </row>
    <row r="727" ht="15" customHeight="1">
      <c r="A727" t="inlineStr">
        <is>
          <t>A 52801-2024</t>
        </is>
      </c>
      <c r="B727" s="1" t="n">
        <v>45610.56784722222</v>
      </c>
      <c r="C727" s="1" t="n">
        <v>46140</v>
      </c>
      <c r="D727" t="inlineStr">
        <is>
          <t>VÄRMLANDS LÄN</t>
        </is>
      </c>
      <c r="E727" t="inlineStr">
        <is>
          <t>TORSBY</t>
        </is>
      </c>
      <c r="G727" t="n">
        <v>7.4</v>
      </c>
      <c r="H727" t="n">
        <v>0</v>
      </c>
      <c r="I727" t="n">
        <v>0</v>
      </c>
      <c r="J727" t="n">
        <v>0</v>
      </c>
      <c r="K727" t="n">
        <v>0</v>
      </c>
      <c r="L727" t="n">
        <v>0</v>
      </c>
      <c r="M727" t="n">
        <v>0</v>
      </c>
      <c r="N727" t="n">
        <v>0</v>
      </c>
      <c r="O727" t="n">
        <v>0</v>
      </c>
      <c r="P727" t="n">
        <v>0</v>
      </c>
      <c r="Q727" t="n">
        <v>0</v>
      </c>
      <c r="R727" s="2" t="inlineStr"/>
    </row>
    <row r="728" ht="15" customHeight="1">
      <c r="A728" t="inlineStr">
        <is>
          <t>A 7283-2023</t>
        </is>
      </c>
      <c r="B728" s="1" t="n">
        <v>44970</v>
      </c>
      <c r="C728" s="1" t="n">
        <v>46140</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25866-2025</t>
        </is>
      </c>
      <c r="B729" s="1" t="n">
        <v>45804.48143518518</v>
      </c>
      <c r="C729" s="1" t="n">
        <v>46140</v>
      </c>
      <c r="D729" t="inlineStr">
        <is>
          <t>VÄRMLANDS LÄN</t>
        </is>
      </c>
      <c r="E729" t="inlineStr">
        <is>
          <t>TORSBY</t>
        </is>
      </c>
      <c r="G729" t="n">
        <v>1.3</v>
      </c>
      <c r="H729" t="n">
        <v>0</v>
      </c>
      <c r="I729" t="n">
        <v>0</v>
      </c>
      <c r="J729" t="n">
        <v>0</v>
      </c>
      <c r="K729" t="n">
        <v>0</v>
      </c>
      <c r="L729" t="n">
        <v>0</v>
      </c>
      <c r="M729" t="n">
        <v>0</v>
      </c>
      <c r="N729" t="n">
        <v>0</v>
      </c>
      <c r="O729" t="n">
        <v>0</v>
      </c>
      <c r="P729" t="n">
        <v>0</v>
      </c>
      <c r="Q729" t="n">
        <v>0</v>
      </c>
      <c r="R729" s="2" t="inlineStr"/>
    </row>
    <row r="730" ht="15" customHeight="1">
      <c r="A730" t="inlineStr">
        <is>
          <t>A 25537-2022</t>
        </is>
      </c>
      <c r="B730" s="1" t="n">
        <v>44732</v>
      </c>
      <c r="C730" s="1" t="n">
        <v>46140</v>
      </c>
      <c r="D730" t="inlineStr">
        <is>
          <t>VÄRMLANDS LÄN</t>
        </is>
      </c>
      <c r="E730" t="inlineStr">
        <is>
          <t>TORSBY</t>
        </is>
      </c>
      <c r="G730" t="n">
        <v>0.8</v>
      </c>
      <c r="H730" t="n">
        <v>0</v>
      </c>
      <c r="I730" t="n">
        <v>0</v>
      </c>
      <c r="J730" t="n">
        <v>0</v>
      </c>
      <c r="K730" t="n">
        <v>0</v>
      </c>
      <c r="L730" t="n">
        <v>0</v>
      </c>
      <c r="M730" t="n">
        <v>0</v>
      </c>
      <c r="N730" t="n">
        <v>0</v>
      </c>
      <c r="O730" t="n">
        <v>0</v>
      </c>
      <c r="P730" t="n">
        <v>0</v>
      </c>
      <c r="Q730" t="n">
        <v>0</v>
      </c>
      <c r="R730" s="2" t="inlineStr"/>
    </row>
    <row r="731" ht="15" customHeight="1">
      <c r="A731" t="inlineStr">
        <is>
          <t>A 20725-2024</t>
        </is>
      </c>
      <c r="B731" s="1" t="n">
        <v>45436.65284722222</v>
      </c>
      <c r="C731" s="1" t="n">
        <v>46140</v>
      </c>
      <c r="D731" t="inlineStr">
        <is>
          <t>VÄRMLANDS LÄN</t>
        </is>
      </c>
      <c r="E731" t="inlineStr">
        <is>
          <t>TORSBY</t>
        </is>
      </c>
      <c r="F731" t="inlineStr">
        <is>
          <t>Bergvik skog väst AB</t>
        </is>
      </c>
      <c r="G731" t="n">
        <v>5.7</v>
      </c>
      <c r="H731" t="n">
        <v>0</v>
      </c>
      <c r="I731" t="n">
        <v>0</v>
      </c>
      <c r="J731" t="n">
        <v>0</v>
      </c>
      <c r="K731" t="n">
        <v>0</v>
      </c>
      <c r="L731" t="n">
        <v>0</v>
      </c>
      <c r="M731" t="n">
        <v>0</v>
      </c>
      <c r="N731" t="n">
        <v>0</v>
      </c>
      <c r="O731" t="n">
        <v>0</v>
      </c>
      <c r="P731" t="n">
        <v>0</v>
      </c>
      <c r="Q731" t="n">
        <v>0</v>
      </c>
      <c r="R731" s="2" t="inlineStr"/>
    </row>
    <row r="732" ht="15" customHeight="1">
      <c r="A732" t="inlineStr">
        <is>
          <t>A 41209-2025</t>
        </is>
      </c>
      <c r="B732" s="1" t="n">
        <v>45898</v>
      </c>
      <c r="C732" s="1" t="n">
        <v>46140</v>
      </c>
      <c r="D732" t="inlineStr">
        <is>
          <t>VÄRMLANDS LÄN</t>
        </is>
      </c>
      <c r="E732" t="inlineStr">
        <is>
          <t>TORSBY</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11259-2024</t>
        </is>
      </c>
      <c r="B733" s="1" t="n">
        <v>45371</v>
      </c>
      <c r="C733" s="1" t="n">
        <v>46140</v>
      </c>
      <c r="D733" t="inlineStr">
        <is>
          <t>VÄRMLANDS LÄN</t>
        </is>
      </c>
      <c r="E733" t="inlineStr">
        <is>
          <t>TORSBY</t>
        </is>
      </c>
      <c r="G733" t="n">
        <v>3.4</v>
      </c>
      <c r="H733" t="n">
        <v>0</v>
      </c>
      <c r="I733" t="n">
        <v>0</v>
      </c>
      <c r="J733" t="n">
        <v>0</v>
      </c>
      <c r="K733" t="n">
        <v>0</v>
      </c>
      <c r="L733" t="n">
        <v>0</v>
      </c>
      <c r="M733" t="n">
        <v>0</v>
      </c>
      <c r="N733" t="n">
        <v>0</v>
      </c>
      <c r="O733" t="n">
        <v>0</v>
      </c>
      <c r="P733" t="n">
        <v>0</v>
      </c>
      <c r="Q733" t="n">
        <v>0</v>
      </c>
      <c r="R733" s="2" t="inlineStr"/>
    </row>
    <row r="734" ht="15" customHeight="1">
      <c r="A734" t="inlineStr">
        <is>
          <t>A 41168-2025</t>
        </is>
      </c>
      <c r="B734" s="1" t="n">
        <v>45898</v>
      </c>
      <c r="C734" s="1" t="n">
        <v>46140</v>
      </c>
      <c r="D734" t="inlineStr">
        <is>
          <t>VÄRMLANDS LÄN</t>
        </is>
      </c>
      <c r="E734" t="inlineStr">
        <is>
          <t>TORSBY</t>
        </is>
      </c>
      <c r="F734" t="inlineStr">
        <is>
          <t>Övriga Aktiebolag</t>
        </is>
      </c>
      <c r="G734" t="n">
        <v>5</v>
      </c>
      <c r="H734" t="n">
        <v>0</v>
      </c>
      <c r="I734" t="n">
        <v>0</v>
      </c>
      <c r="J734" t="n">
        <v>0</v>
      </c>
      <c r="K734" t="n">
        <v>0</v>
      </c>
      <c r="L734" t="n">
        <v>0</v>
      </c>
      <c r="M734" t="n">
        <v>0</v>
      </c>
      <c r="N734" t="n">
        <v>0</v>
      </c>
      <c r="O734" t="n">
        <v>0</v>
      </c>
      <c r="P734" t="n">
        <v>0</v>
      </c>
      <c r="Q734" t="n">
        <v>0</v>
      </c>
      <c r="R734" s="2" t="inlineStr"/>
    </row>
    <row r="735" ht="15" customHeight="1">
      <c r="A735" t="inlineStr">
        <is>
          <t>A 38662-2025</t>
        </is>
      </c>
      <c r="B735" s="1" t="n">
        <v>45884.61193287037</v>
      </c>
      <c r="C735" s="1" t="n">
        <v>46140</v>
      </c>
      <c r="D735" t="inlineStr">
        <is>
          <t>VÄRMLANDS LÄN</t>
        </is>
      </c>
      <c r="E735" t="inlineStr">
        <is>
          <t>TORSBY</t>
        </is>
      </c>
      <c r="F735" t="inlineStr">
        <is>
          <t>Bergvik skog väst AB</t>
        </is>
      </c>
      <c r="G735" t="n">
        <v>5.1</v>
      </c>
      <c r="H735" t="n">
        <v>0</v>
      </c>
      <c r="I735" t="n">
        <v>0</v>
      </c>
      <c r="J735" t="n">
        <v>0</v>
      </c>
      <c r="K735" t="n">
        <v>0</v>
      </c>
      <c r="L735" t="n">
        <v>0</v>
      </c>
      <c r="M735" t="n">
        <v>0</v>
      </c>
      <c r="N735" t="n">
        <v>0</v>
      </c>
      <c r="O735" t="n">
        <v>0</v>
      </c>
      <c r="P735" t="n">
        <v>0</v>
      </c>
      <c r="Q735" t="n">
        <v>0</v>
      </c>
      <c r="R735" s="2" t="inlineStr"/>
    </row>
    <row r="736" ht="15" customHeight="1">
      <c r="A736" t="inlineStr">
        <is>
          <t>A 34353-2025</t>
        </is>
      </c>
      <c r="B736" s="1" t="n">
        <v>45846.4775</v>
      </c>
      <c r="C736" s="1" t="n">
        <v>46140</v>
      </c>
      <c r="D736" t="inlineStr">
        <is>
          <t>VÄRMLANDS LÄN</t>
        </is>
      </c>
      <c r="E736" t="inlineStr">
        <is>
          <t>TORSBY</t>
        </is>
      </c>
      <c r="G736" t="n">
        <v>14.5</v>
      </c>
      <c r="H736" t="n">
        <v>0</v>
      </c>
      <c r="I736" t="n">
        <v>0</v>
      </c>
      <c r="J736" t="n">
        <v>0</v>
      </c>
      <c r="K736" t="n">
        <v>0</v>
      </c>
      <c r="L736" t="n">
        <v>0</v>
      </c>
      <c r="M736" t="n">
        <v>0</v>
      </c>
      <c r="N736" t="n">
        <v>0</v>
      </c>
      <c r="O736" t="n">
        <v>0</v>
      </c>
      <c r="P736" t="n">
        <v>0</v>
      </c>
      <c r="Q736" t="n">
        <v>0</v>
      </c>
      <c r="R736" s="2" t="inlineStr"/>
    </row>
    <row r="737" ht="15" customHeight="1">
      <c r="A737" t="inlineStr">
        <is>
          <t>A 1161-2025</t>
        </is>
      </c>
      <c r="B737" s="1" t="n">
        <v>45666</v>
      </c>
      <c r="C737" s="1" t="n">
        <v>46140</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41137-2025</t>
        </is>
      </c>
      <c r="B738" s="1" t="n">
        <v>45898</v>
      </c>
      <c r="C738" s="1" t="n">
        <v>46140</v>
      </c>
      <c r="D738" t="inlineStr">
        <is>
          <t>VÄRMLANDS LÄN</t>
        </is>
      </c>
      <c r="E738" t="inlineStr">
        <is>
          <t>TORSBY</t>
        </is>
      </c>
      <c r="F738" t="inlineStr">
        <is>
          <t>Övriga Aktiebolag</t>
        </is>
      </c>
      <c r="G738" t="n">
        <v>3.3</v>
      </c>
      <c r="H738" t="n">
        <v>0</v>
      </c>
      <c r="I738" t="n">
        <v>0</v>
      </c>
      <c r="J738" t="n">
        <v>0</v>
      </c>
      <c r="K738" t="n">
        <v>0</v>
      </c>
      <c r="L738" t="n">
        <v>0</v>
      </c>
      <c r="M738" t="n">
        <v>0</v>
      </c>
      <c r="N738" t="n">
        <v>0</v>
      </c>
      <c r="O738" t="n">
        <v>0</v>
      </c>
      <c r="P738" t="n">
        <v>0</v>
      </c>
      <c r="Q738" t="n">
        <v>0</v>
      </c>
      <c r="R738" s="2" t="inlineStr"/>
    </row>
    <row r="739" ht="15" customHeight="1">
      <c r="A739" t="inlineStr">
        <is>
          <t>A 50494-2024</t>
        </is>
      </c>
      <c r="B739" s="1" t="n">
        <v>45601.50818287037</v>
      </c>
      <c r="C739" s="1" t="n">
        <v>46140</v>
      </c>
      <c r="D739" t="inlineStr">
        <is>
          <t>VÄRMLANDS LÄN</t>
        </is>
      </c>
      <c r="E739" t="inlineStr">
        <is>
          <t>TORSBY</t>
        </is>
      </c>
      <c r="G739" t="n">
        <v>5.4</v>
      </c>
      <c r="H739" t="n">
        <v>0</v>
      </c>
      <c r="I739" t="n">
        <v>0</v>
      </c>
      <c r="J739" t="n">
        <v>0</v>
      </c>
      <c r="K739" t="n">
        <v>0</v>
      </c>
      <c r="L739" t="n">
        <v>0</v>
      </c>
      <c r="M739" t="n">
        <v>0</v>
      </c>
      <c r="N739" t="n">
        <v>0</v>
      </c>
      <c r="O739" t="n">
        <v>0</v>
      </c>
      <c r="P739" t="n">
        <v>0</v>
      </c>
      <c r="Q739" t="n">
        <v>0</v>
      </c>
      <c r="R739" s="2" t="inlineStr"/>
    </row>
    <row r="740" ht="15" customHeight="1">
      <c r="A740" t="inlineStr">
        <is>
          <t>A 37818-2025</t>
        </is>
      </c>
      <c r="B740" s="1" t="n">
        <v>45881</v>
      </c>
      <c r="C740" s="1" t="n">
        <v>46140</v>
      </c>
      <c r="D740" t="inlineStr">
        <is>
          <t>VÄRMLANDS LÄN</t>
        </is>
      </c>
      <c r="E740" t="inlineStr">
        <is>
          <t>TORSBY</t>
        </is>
      </c>
      <c r="G740" t="n">
        <v>1.6</v>
      </c>
      <c r="H740" t="n">
        <v>0</v>
      </c>
      <c r="I740" t="n">
        <v>0</v>
      </c>
      <c r="J740" t="n">
        <v>0</v>
      </c>
      <c r="K740" t="n">
        <v>0</v>
      </c>
      <c r="L740" t="n">
        <v>0</v>
      </c>
      <c r="M740" t="n">
        <v>0</v>
      </c>
      <c r="N740" t="n">
        <v>0</v>
      </c>
      <c r="O740" t="n">
        <v>0</v>
      </c>
      <c r="P740" t="n">
        <v>0</v>
      </c>
      <c r="Q740" t="n">
        <v>0</v>
      </c>
      <c r="R740" s="2" t="inlineStr"/>
    </row>
    <row r="741" ht="15" customHeight="1">
      <c r="A741" t="inlineStr">
        <is>
          <t>A 38252-2023</t>
        </is>
      </c>
      <c r="B741" s="1" t="n">
        <v>45161</v>
      </c>
      <c r="C741" s="1" t="n">
        <v>46140</v>
      </c>
      <c r="D741" t="inlineStr">
        <is>
          <t>VÄRMLANDS LÄN</t>
        </is>
      </c>
      <c r="E741" t="inlineStr">
        <is>
          <t>TORSBY</t>
        </is>
      </c>
      <c r="G741" t="n">
        <v>9.6</v>
      </c>
      <c r="H741" t="n">
        <v>0</v>
      </c>
      <c r="I741" t="n">
        <v>0</v>
      </c>
      <c r="J741" t="n">
        <v>0</v>
      </c>
      <c r="K741" t="n">
        <v>0</v>
      </c>
      <c r="L741" t="n">
        <v>0</v>
      </c>
      <c r="M741" t="n">
        <v>0</v>
      </c>
      <c r="N741" t="n">
        <v>0</v>
      </c>
      <c r="O741" t="n">
        <v>0</v>
      </c>
      <c r="P741" t="n">
        <v>0</v>
      </c>
      <c r="Q741" t="n">
        <v>0</v>
      </c>
      <c r="R741" s="2" t="inlineStr"/>
    </row>
    <row r="742" ht="15" customHeight="1">
      <c r="A742" t="inlineStr">
        <is>
          <t>A 41148-2025</t>
        </is>
      </c>
      <c r="B742" s="1" t="n">
        <v>45898</v>
      </c>
      <c r="C742" s="1" t="n">
        <v>46140</v>
      </c>
      <c r="D742" t="inlineStr">
        <is>
          <t>VÄRMLANDS LÄN</t>
        </is>
      </c>
      <c r="E742" t="inlineStr">
        <is>
          <t>TORSBY</t>
        </is>
      </c>
      <c r="G742" t="n">
        <v>0.9</v>
      </c>
      <c r="H742" t="n">
        <v>0</v>
      </c>
      <c r="I742" t="n">
        <v>0</v>
      </c>
      <c r="J742" t="n">
        <v>0</v>
      </c>
      <c r="K742" t="n">
        <v>0</v>
      </c>
      <c r="L742" t="n">
        <v>0</v>
      </c>
      <c r="M742" t="n">
        <v>0</v>
      </c>
      <c r="N742" t="n">
        <v>0</v>
      </c>
      <c r="O742" t="n">
        <v>0</v>
      </c>
      <c r="P742" t="n">
        <v>0</v>
      </c>
      <c r="Q742" t="n">
        <v>0</v>
      </c>
      <c r="R742" s="2" t="inlineStr"/>
    </row>
    <row r="743" ht="15" customHeight="1">
      <c r="A743" t="inlineStr">
        <is>
          <t>A 46915-2024</t>
        </is>
      </c>
      <c r="B743" s="1" t="n">
        <v>45583</v>
      </c>
      <c r="C743" s="1" t="n">
        <v>46140</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28329-2024</t>
        </is>
      </c>
      <c r="B744" s="1" t="n">
        <v>45477</v>
      </c>
      <c r="C744" s="1" t="n">
        <v>46140</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41232-2025</t>
        </is>
      </c>
      <c r="B745" s="1" t="n">
        <v>45898</v>
      </c>
      <c r="C745" s="1" t="n">
        <v>46140</v>
      </c>
      <c r="D745" t="inlineStr">
        <is>
          <t>VÄRMLANDS LÄN</t>
        </is>
      </c>
      <c r="E745" t="inlineStr">
        <is>
          <t>TORSBY</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24576-2025</t>
        </is>
      </c>
      <c r="B746" s="1" t="n">
        <v>45798</v>
      </c>
      <c r="C746" s="1" t="n">
        <v>46140</v>
      </c>
      <c r="D746" t="inlineStr">
        <is>
          <t>VÄRMLANDS LÄN</t>
        </is>
      </c>
      <c r="E746" t="inlineStr">
        <is>
          <t>TORSBY</t>
        </is>
      </c>
      <c r="G746" t="n">
        <v>2.4</v>
      </c>
      <c r="H746" t="n">
        <v>0</v>
      </c>
      <c r="I746" t="n">
        <v>0</v>
      </c>
      <c r="J746" t="n">
        <v>0</v>
      </c>
      <c r="K746" t="n">
        <v>0</v>
      </c>
      <c r="L746" t="n">
        <v>0</v>
      </c>
      <c r="M746" t="n">
        <v>0</v>
      </c>
      <c r="N746" t="n">
        <v>0</v>
      </c>
      <c r="O746" t="n">
        <v>0</v>
      </c>
      <c r="P746" t="n">
        <v>0</v>
      </c>
      <c r="Q746" t="n">
        <v>0</v>
      </c>
      <c r="R746" s="2" t="inlineStr"/>
    </row>
    <row r="747" ht="15" customHeight="1">
      <c r="A747" t="inlineStr">
        <is>
          <t>A 41189-2025</t>
        </is>
      </c>
      <c r="B747" s="1" t="n">
        <v>45898</v>
      </c>
      <c r="C747" s="1" t="n">
        <v>46140</v>
      </c>
      <c r="D747" t="inlineStr">
        <is>
          <t>VÄRMLANDS LÄN</t>
        </is>
      </c>
      <c r="E747" t="inlineStr">
        <is>
          <t>TORSBY</t>
        </is>
      </c>
      <c r="F747" t="inlineStr">
        <is>
          <t>Övriga Aktiebolag</t>
        </is>
      </c>
      <c r="G747" t="n">
        <v>10.3</v>
      </c>
      <c r="H747" t="n">
        <v>0</v>
      </c>
      <c r="I747" t="n">
        <v>0</v>
      </c>
      <c r="J747" t="n">
        <v>0</v>
      </c>
      <c r="K747" t="n">
        <v>0</v>
      </c>
      <c r="L747" t="n">
        <v>0</v>
      </c>
      <c r="M747" t="n">
        <v>0</v>
      </c>
      <c r="N747" t="n">
        <v>0</v>
      </c>
      <c r="O747" t="n">
        <v>0</v>
      </c>
      <c r="P747" t="n">
        <v>0</v>
      </c>
      <c r="Q747" t="n">
        <v>0</v>
      </c>
      <c r="R747" s="2" t="inlineStr"/>
    </row>
    <row r="748" ht="15" customHeight="1">
      <c r="A748" t="inlineStr">
        <is>
          <t>A 41194-2025</t>
        </is>
      </c>
      <c r="B748" s="1" t="n">
        <v>45898.57028935185</v>
      </c>
      <c r="C748" s="1" t="n">
        <v>46140</v>
      </c>
      <c r="D748" t="inlineStr">
        <is>
          <t>VÄRMLANDS LÄN</t>
        </is>
      </c>
      <c r="E748" t="inlineStr">
        <is>
          <t>TORSBY</t>
        </is>
      </c>
      <c r="F748" t="inlineStr">
        <is>
          <t>Bergvik skog väst AB</t>
        </is>
      </c>
      <c r="G748" t="n">
        <v>5.6</v>
      </c>
      <c r="H748" t="n">
        <v>0</v>
      </c>
      <c r="I748" t="n">
        <v>0</v>
      </c>
      <c r="J748" t="n">
        <v>0</v>
      </c>
      <c r="K748" t="n">
        <v>0</v>
      </c>
      <c r="L748" t="n">
        <v>0</v>
      </c>
      <c r="M748" t="n">
        <v>0</v>
      </c>
      <c r="N748" t="n">
        <v>0</v>
      </c>
      <c r="O748" t="n">
        <v>0</v>
      </c>
      <c r="P748" t="n">
        <v>0</v>
      </c>
      <c r="Q748" t="n">
        <v>0</v>
      </c>
      <c r="R748" s="2" t="inlineStr"/>
    </row>
    <row r="749" ht="15" customHeight="1">
      <c r="A749" t="inlineStr">
        <is>
          <t>A 41124-2025</t>
        </is>
      </c>
      <c r="B749" s="1" t="n">
        <v>45898.47166666666</v>
      </c>
      <c r="C749" s="1" t="n">
        <v>46140</v>
      </c>
      <c r="D749" t="inlineStr">
        <is>
          <t>VÄRMLANDS LÄN</t>
        </is>
      </c>
      <c r="E749" t="inlineStr">
        <is>
          <t>TORSBY</t>
        </is>
      </c>
      <c r="F749" t="inlineStr">
        <is>
          <t>Bergvik skog väst AB</t>
        </is>
      </c>
      <c r="G749" t="n">
        <v>8.9</v>
      </c>
      <c r="H749" t="n">
        <v>0</v>
      </c>
      <c r="I749" t="n">
        <v>0</v>
      </c>
      <c r="J749" t="n">
        <v>0</v>
      </c>
      <c r="K749" t="n">
        <v>0</v>
      </c>
      <c r="L749" t="n">
        <v>0</v>
      </c>
      <c r="M749" t="n">
        <v>0</v>
      </c>
      <c r="N749" t="n">
        <v>0</v>
      </c>
      <c r="O749" t="n">
        <v>0</v>
      </c>
      <c r="P749" t="n">
        <v>0</v>
      </c>
      <c r="Q749" t="n">
        <v>0</v>
      </c>
      <c r="R749" s="2" t="inlineStr"/>
    </row>
    <row r="750" ht="15" customHeight="1">
      <c r="A750" t="inlineStr">
        <is>
          <t>A 8022-2025</t>
        </is>
      </c>
      <c r="B750" s="1" t="n">
        <v>45707.57733796296</v>
      </c>
      <c r="C750" s="1" t="n">
        <v>46140</v>
      </c>
      <c r="D750" t="inlineStr">
        <is>
          <t>VÄRMLANDS LÄN</t>
        </is>
      </c>
      <c r="E750" t="inlineStr">
        <is>
          <t>TORSBY</t>
        </is>
      </c>
      <c r="G750" t="n">
        <v>5</v>
      </c>
      <c r="H750" t="n">
        <v>0</v>
      </c>
      <c r="I750" t="n">
        <v>0</v>
      </c>
      <c r="J750" t="n">
        <v>0</v>
      </c>
      <c r="K750" t="n">
        <v>0</v>
      </c>
      <c r="L750" t="n">
        <v>0</v>
      </c>
      <c r="M750" t="n">
        <v>0</v>
      </c>
      <c r="N750" t="n">
        <v>0</v>
      </c>
      <c r="O750" t="n">
        <v>0</v>
      </c>
      <c r="P750" t="n">
        <v>0</v>
      </c>
      <c r="Q750" t="n">
        <v>0</v>
      </c>
      <c r="R750" s="2" t="inlineStr"/>
    </row>
    <row r="751" ht="15" customHeight="1">
      <c r="A751" t="inlineStr">
        <is>
          <t>A 24111-2025</t>
        </is>
      </c>
      <c r="B751" s="1" t="n">
        <v>45796.60822916667</v>
      </c>
      <c r="C751" s="1" t="n">
        <v>46140</v>
      </c>
      <c r="D751" t="inlineStr">
        <is>
          <t>VÄRMLANDS LÄN</t>
        </is>
      </c>
      <c r="E751" t="inlineStr">
        <is>
          <t>TORSBY</t>
        </is>
      </c>
      <c r="G751" t="n">
        <v>2.1</v>
      </c>
      <c r="H751" t="n">
        <v>0</v>
      </c>
      <c r="I751" t="n">
        <v>0</v>
      </c>
      <c r="J751" t="n">
        <v>0</v>
      </c>
      <c r="K751" t="n">
        <v>0</v>
      </c>
      <c r="L751" t="n">
        <v>0</v>
      </c>
      <c r="M751" t="n">
        <v>0</v>
      </c>
      <c r="N751" t="n">
        <v>0</v>
      </c>
      <c r="O751" t="n">
        <v>0</v>
      </c>
      <c r="P751" t="n">
        <v>0</v>
      </c>
      <c r="Q751" t="n">
        <v>0</v>
      </c>
      <c r="R751" s="2" t="inlineStr"/>
    </row>
    <row r="752" ht="15" customHeight="1">
      <c r="A752" t="inlineStr">
        <is>
          <t>A 33149-2025</t>
        </is>
      </c>
      <c r="B752" s="1" t="n">
        <v>45840.54246527778</v>
      </c>
      <c r="C752" s="1" t="n">
        <v>46140</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39767-2024</t>
        </is>
      </c>
      <c r="B753" s="1" t="n">
        <v>45552</v>
      </c>
      <c r="C753" s="1" t="n">
        <v>46140</v>
      </c>
      <c r="D753" t="inlineStr">
        <is>
          <t>VÄRMLANDS LÄN</t>
        </is>
      </c>
      <c r="E753" t="inlineStr">
        <is>
          <t>TORSBY</t>
        </is>
      </c>
      <c r="G753" t="n">
        <v>7</v>
      </c>
      <c r="H753" t="n">
        <v>0</v>
      </c>
      <c r="I753" t="n">
        <v>0</v>
      </c>
      <c r="J753" t="n">
        <v>0</v>
      </c>
      <c r="K753" t="n">
        <v>0</v>
      </c>
      <c r="L753" t="n">
        <v>0</v>
      </c>
      <c r="M753" t="n">
        <v>0</v>
      </c>
      <c r="N753" t="n">
        <v>0</v>
      </c>
      <c r="O753" t="n">
        <v>0</v>
      </c>
      <c r="P753" t="n">
        <v>0</v>
      </c>
      <c r="Q753" t="n">
        <v>0</v>
      </c>
      <c r="R753" s="2" t="inlineStr"/>
    </row>
    <row r="754" ht="15" customHeight="1">
      <c r="A754" t="inlineStr">
        <is>
          <t>A 23804-2022</t>
        </is>
      </c>
      <c r="B754" s="1" t="n">
        <v>44722</v>
      </c>
      <c r="C754" s="1" t="n">
        <v>46140</v>
      </c>
      <c r="D754" t="inlineStr">
        <is>
          <t>VÄRMLANDS LÄN</t>
        </is>
      </c>
      <c r="E754" t="inlineStr">
        <is>
          <t>TORSBY</t>
        </is>
      </c>
      <c r="G754" t="n">
        <v>6.1</v>
      </c>
      <c r="H754" t="n">
        <v>0</v>
      </c>
      <c r="I754" t="n">
        <v>0</v>
      </c>
      <c r="J754" t="n">
        <v>0</v>
      </c>
      <c r="K754" t="n">
        <v>0</v>
      </c>
      <c r="L754" t="n">
        <v>0</v>
      </c>
      <c r="M754" t="n">
        <v>0</v>
      </c>
      <c r="N754" t="n">
        <v>0</v>
      </c>
      <c r="O754" t="n">
        <v>0</v>
      </c>
      <c r="P754" t="n">
        <v>0</v>
      </c>
      <c r="Q754" t="n">
        <v>0</v>
      </c>
      <c r="R754" s="2" t="inlineStr"/>
    </row>
    <row r="755" ht="15" customHeight="1">
      <c r="A755" t="inlineStr">
        <is>
          <t>A 41471-2025</t>
        </is>
      </c>
      <c r="B755" s="1" t="n">
        <v>45901.46770833333</v>
      </c>
      <c r="C755" s="1" t="n">
        <v>46140</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35724-2022</t>
        </is>
      </c>
      <c r="B756" s="1" t="n">
        <v>44799</v>
      </c>
      <c r="C756" s="1" t="n">
        <v>46140</v>
      </c>
      <c r="D756" t="inlineStr">
        <is>
          <t>VÄRMLANDS LÄN</t>
        </is>
      </c>
      <c r="E756" t="inlineStr">
        <is>
          <t>TORSBY</t>
        </is>
      </c>
      <c r="G756" t="n">
        <v>3.9</v>
      </c>
      <c r="H756" t="n">
        <v>0</v>
      </c>
      <c r="I756" t="n">
        <v>0</v>
      </c>
      <c r="J756" t="n">
        <v>0</v>
      </c>
      <c r="K756" t="n">
        <v>0</v>
      </c>
      <c r="L756" t="n">
        <v>0</v>
      </c>
      <c r="M756" t="n">
        <v>0</v>
      </c>
      <c r="N756" t="n">
        <v>0</v>
      </c>
      <c r="O756" t="n">
        <v>0</v>
      </c>
      <c r="P756" t="n">
        <v>0</v>
      </c>
      <c r="Q756" t="n">
        <v>0</v>
      </c>
      <c r="R756" s="2" t="inlineStr"/>
    </row>
    <row r="757" ht="15" customHeight="1">
      <c r="A757" t="inlineStr">
        <is>
          <t>A 41478-2025</t>
        </is>
      </c>
      <c r="B757" s="1" t="n">
        <v>45901</v>
      </c>
      <c r="C757" s="1" t="n">
        <v>46140</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54006-2024</t>
        </is>
      </c>
      <c r="B758" s="1" t="n">
        <v>45616.3717824074</v>
      </c>
      <c r="C758" s="1" t="n">
        <v>46140</v>
      </c>
      <c r="D758" t="inlineStr">
        <is>
          <t>VÄRMLANDS LÄN</t>
        </is>
      </c>
      <c r="E758" t="inlineStr">
        <is>
          <t>TORSBY</t>
        </is>
      </c>
      <c r="F758" t="inlineStr">
        <is>
          <t>Kommuner</t>
        </is>
      </c>
      <c r="G758" t="n">
        <v>1.9</v>
      </c>
      <c r="H758" t="n">
        <v>0</v>
      </c>
      <c r="I758" t="n">
        <v>0</v>
      </c>
      <c r="J758" t="n">
        <v>0</v>
      </c>
      <c r="K758" t="n">
        <v>0</v>
      </c>
      <c r="L758" t="n">
        <v>0</v>
      </c>
      <c r="M758" t="n">
        <v>0</v>
      </c>
      <c r="N758" t="n">
        <v>0</v>
      </c>
      <c r="O758" t="n">
        <v>0</v>
      </c>
      <c r="P758" t="n">
        <v>0</v>
      </c>
      <c r="Q758" t="n">
        <v>0</v>
      </c>
      <c r="R758" s="2" t="inlineStr"/>
    </row>
    <row r="759" ht="15" customHeight="1">
      <c r="A759" t="inlineStr">
        <is>
          <t>A 21078-2023</t>
        </is>
      </c>
      <c r="B759" s="1" t="n">
        <v>45061</v>
      </c>
      <c r="C759" s="1" t="n">
        <v>46140</v>
      </c>
      <c r="D759" t="inlineStr">
        <is>
          <t>VÄRMLANDS LÄN</t>
        </is>
      </c>
      <c r="E759" t="inlineStr">
        <is>
          <t>TORSBY</t>
        </is>
      </c>
      <c r="G759" t="n">
        <v>1.3</v>
      </c>
      <c r="H759" t="n">
        <v>0</v>
      </c>
      <c r="I759" t="n">
        <v>0</v>
      </c>
      <c r="J759" t="n">
        <v>0</v>
      </c>
      <c r="K759" t="n">
        <v>0</v>
      </c>
      <c r="L759" t="n">
        <v>0</v>
      </c>
      <c r="M759" t="n">
        <v>0</v>
      </c>
      <c r="N759" t="n">
        <v>0</v>
      </c>
      <c r="O759" t="n">
        <v>0</v>
      </c>
      <c r="P759" t="n">
        <v>0</v>
      </c>
      <c r="Q759" t="n">
        <v>0</v>
      </c>
      <c r="R759" s="2" t="inlineStr"/>
    </row>
    <row r="760" ht="15" customHeight="1">
      <c r="A760" t="inlineStr">
        <is>
          <t>A 41711-2025</t>
        </is>
      </c>
      <c r="B760" s="1" t="n">
        <v>45902.43106481482</v>
      </c>
      <c r="C760" s="1" t="n">
        <v>46140</v>
      </c>
      <c r="D760" t="inlineStr">
        <is>
          <t>VÄRMLANDS LÄN</t>
        </is>
      </c>
      <c r="E760" t="inlineStr">
        <is>
          <t>TORSBY</t>
        </is>
      </c>
      <c r="G760" t="n">
        <v>11.1</v>
      </c>
      <c r="H760" t="n">
        <v>0</v>
      </c>
      <c r="I760" t="n">
        <v>0</v>
      </c>
      <c r="J760" t="n">
        <v>0</v>
      </c>
      <c r="K760" t="n">
        <v>0</v>
      </c>
      <c r="L760" t="n">
        <v>0</v>
      </c>
      <c r="M760" t="n">
        <v>0</v>
      </c>
      <c r="N760" t="n">
        <v>0</v>
      </c>
      <c r="O760" t="n">
        <v>0</v>
      </c>
      <c r="P760" t="n">
        <v>0</v>
      </c>
      <c r="Q760" t="n">
        <v>0</v>
      </c>
      <c r="R760" s="2" t="inlineStr"/>
    </row>
    <row r="761" ht="15" customHeight="1">
      <c r="A761" t="inlineStr">
        <is>
          <t>A 41376-2025</t>
        </is>
      </c>
      <c r="B761" s="1" t="n">
        <v>45900.84105324074</v>
      </c>
      <c r="C761" s="1" t="n">
        <v>46140</v>
      </c>
      <c r="D761" t="inlineStr">
        <is>
          <t>VÄRMLANDS LÄN</t>
        </is>
      </c>
      <c r="E761" t="inlineStr">
        <is>
          <t>TORSBY</t>
        </is>
      </c>
      <c r="G761" t="n">
        <v>1</v>
      </c>
      <c r="H761" t="n">
        <v>0</v>
      </c>
      <c r="I761" t="n">
        <v>0</v>
      </c>
      <c r="J761" t="n">
        <v>0</v>
      </c>
      <c r="K761" t="n">
        <v>0</v>
      </c>
      <c r="L761" t="n">
        <v>0</v>
      </c>
      <c r="M761" t="n">
        <v>0</v>
      </c>
      <c r="N761" t="n">
        <v>0</v>
      </c>
      <c r="O761" t="n">
        <v>0</v>
      </c>
      <c r="P761" t="n">
        <v>0</v>
      </c>
      <c r="Q761" t="n">
        <v>0</v>
      </c>
      <c r="R761" s="2" t="inlineStr"/>
    </row>
    <row r="762" ht="15" customHeight="1">
      <c r="A762" t="inlineStr">
        <is>
          <t>A 41634-2025</t>
        </is>
      </c>
      <c r="B762" s="1" t="n">
        <v>45902</v>
      </c>
      <c r="C762" s="1" t="n">
        <v>46140</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10027-2023</t>
        </is>
      </c>
      <c r="B763" s="1" t="n">
        <v>44979</v>
      </c>
      <c r="C763" s="1" t="n">
        <v>46140</v>
      </c>
      <c r="D763" t="inlineStr">
        <is>
          <t>VÄRMLANDS LÄN</t>
        </is>
      </c>
      <c r="E763" t="inlineStr">
        <is>
          <t>TORSBY</t>
        </is>
      </c>
      <c r="G763" t="n">
        <v>2.2</v>
      </c>
      <c r="H763" t="n">
        <v>0</v>
      </c>
      <c r="I763" t="n">
        <v>0</v>
      </c>
      <c r="J763" t="n">
        <v>0</v>
      </c>
      <c r="K763" t="n">
        <v>0</v>
      </c>
      <c r="L763" t="n">
        <v>0</v>
      </c>
      <c r="M763" t="n">
        <v>0</v>
      </c>
      <c r="N763" t="n">
        <v>0</v>
      </c>
      <c r="O763" t="n">
        <v>0</v>
      </c>
      <c r="P763" t="n">
        <v>0</v>
      </c>
      <c r="Q763" t="n">
        <v>0</v>
      </c>
      <c r="R763" s="2" t="inlineStr"/>
    </row>
    <row r="764" ht="15" customHeight="1">
      <c r="A764" t="inlineStr">
        <is>
          <t>A 41740-2025</t>
        </is>
      </c>
      <c r="B764" s="1" t="n">
        <v>45902</v>
      </c>
      <c r="C764" s="1" t="n">
        <v>46140</v>
      </c>
      <c r="D764" t="inlineStr">
        <is>
          <t>VÄRMLANDS LÄN</t>
        </is>
      </c>
      <c r="E764" t="inlineStr">
        <is>
          <t>TORSBY</t>
        </is>
      </c>
      <c r="G764" t="n">
        <v>0.8</v>
      </c>
      <c r="H764" t="n">
        <v>0</v>
      </c>
      <c r="I764" t="n">
        <v>0</v>
      </c>
      <c r="J764" t="n">
        <v>0</v>
      </c>
      <c r="K764" t="n">
        <v>0</v>
      </c>
      <c r="L764" t="n">
        <v>0</v>
      </c>
      <c r="M764" t="n">
        <v>0</v>
      </c>
      <c r="N764" t="n">
        <v>0</v>
      </c>
      <c r="O764" t="n">
        <v>0</v>
      </c>
      <c r="P764" t="n">
        <v>0</v>
      </c>
      <c r="Q764" t="n">
        <v>0</v>
      </c>
      <c r="R764" s="2" t="inlineStr"/>
    </row>
    <row r="765" ht="15" customHeight="1">
      <c r="A765" t="inlineStr">
        <is>
          <t>A 41746-2025</t>
        </is>
      </c>
      <c r="B765" s="1" t="n">
        <v>45902.48660879629</v>
      </c>
      <c r="C765" s="1" t="n">
        <v>46140</v>
      </c>
      <c r="D765" t="inlineStr">
        <is>
          <t>VÄRMLANDS LÄN</t>
        </is>
      </c>
      <c r="E765" t="inlineStr">
        <is>
          <t>TORSBY</t>
        </is>
      </c>
      <c r="G765" t="n">
        <v>3</v>
      </c>
      <c r="H765" t="n">
        <v>0</v>
      </c>
      <c r="I765" t="n">
        <v>0</v>
      </c>
      <c r="J765" t="n">
        <v>0</v>
      </c>
      <c r="K765" t="n">
        <v>0</v>
      </c>
      <c r="L765" t="n">
        <v>0</v>
      </c>
      <c r="M765" t="n">
        <v>0</v>
      </c>
      <c r="N765" t="n">
        <v>0</v>
      </c>
      <c r="O765" t="n">
        <v>0</v>
      </c>
      <c r="P765" t="n">
        <v>0</v>
      </c>
      <c r="Q765" t="n">
        <v>0</v>
      </c>
      <c r="R765" s="2" t="inlineStr"/>
    </row>
    <row r="766" ht="15" customHeight="1">
      <c r="A766" t="inlineStr">
        <is>
          <t>A 48721-2024</t>
        </is>
      </c>
      <c r="B766" s="1" t="n">
        <v>45593.54752314815</v>
      </c>
      <c r="C766" s="1" t="n">
        <v>46140</v>
      </c>
      <c r="D766" t="inlineStr">
        <is>
          <t>VÄRMLANDS LÄN</t>
        </is>
      </c>
      <c r="E766" t="inlineStr">
        <is>
          <t>TORSBY</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39746-2024</t>
        </is>
      </c>
      <c r="B767" s="1" t="n">
        <v>45552</v>
      </c>
      <c r="C767" s="1" t="n">
        <v>46140</v>
      </c>
      <c r="D767" t="inlineStr">
        <is>
          <t>VÄRMLANDS LÄN</t>
        </is>
      </c>
      <c r="E767" t="inlineStr">
        <is>
          <t>TORSBY</t>
        </is>
      </c>
      <c r="G767" t="n">
        <v>1.5</v>
      </c>
      <c r="H767" t="n">
        <v>0</v>
      </c>
      <c r="I767" t="n">
        <v>0</v>
      </c>
      <c r="J767" t="n">
        <v>0</v>
      </c>
      <c r="K767" t="n">
        <v>0</v>
      </c>
      <c r="L767" t="n">
        <v>0</v>
      </c>
      <c r="M767" t="n">
        <v>0</v>
      </c>
      <c r="N767" t="n">
        <v>0</v>
      </c>
      <c r="O767" t="n">
        <v>0</v>
      </c>
      <c r="P767" t="n">
        <v>0</v>
      </c>
      <c r="Q767" t="n">
        <v>0</v>
      </c>
      <c r="R767" s="2" t="inlineStr"/>
    </row>
    <row r="768" ht="15" customHeight="1">
      <c r="A768" t="inlineStr">
        <is>
          <t>A 8188-2025</t>
        </is>
      </c>
      <c r="B768" s="1" t="n">
        <v>45708.40246527778</v>
      </c>
      <c r="C768" s="1" t="n">
        <v>46140</v>
      </c>
      <c r="D768" t="inlineStr">
        <is>
          <t>VÄRMLANDS LÄN</t>
        </is>
      </c>
      <c r="E768" t="inlineStr">
        <is>
          <t>TORSBY</t>
        </is>
      </c>
      <c r="G768" t="n">
        <v>9.6</v>
      </c>
      <c r="H768" t="n">
        <v>0</v>
      </c>
      <c r="I768" t="n">
        <v>0</v>
      </c>
      <c r="J768" t="n">
        <v>0</v>
      </c>
      <c r="K768" t="n">
        <v>0</v>
      </c>
      <c r="L768" t="n">
        <v>0</v>
      </c>
      <c r="M768" t="n">
        <v>0</v>
      </c>
      <c r="N768" t="n">
        <v>0</v>
      </c>
      <c r="O768" t="n">
        <v>0</v>
      </c>
      <c r="P768" t="n">
        <v>0</v>
      </c>
      <c r="Q768" t="n">
        <v>0</v>
      </c>
      <c r="R768" s="2" t="inlineStr"/>
    </row>
    <row r="769" ht="15" customHeight="1">
      <c r="A769" t="inlineStr">
        <is>
          <t>A 38991-2023</t>
        </is>
      </c>
      <c r="B769" s="1" t="n">
        <v>45163.65929398148</v>
      </c>
      <c r="C769" s="1" t="n">
        <v>46140</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906-2025</t>
        </is>
      </c>
      <c r="B770" s="1" t="n">
        <v>45664</v>
      </c>
      <c r="C770" s="1" t="n">
        <v>46140</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17053-2025</t>
        </is>
      </c>
      <c r="B771" s="1" t="n">
        <v>45754</v>
      </c>
      <c r="C771" s="1" t="n">
        <v>46140</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26686-2022</t>
        </is>
      </c>
      <c r="B772" s="1" t="n">
        <v>44739.67833333334</v>
      </c>
      <c r="C772" s="1" t="n">
        <v>46140</v>
      </c>
      <c r="D772" t="inlineStr">
        <is>
          <t>VÄRMLANDS LÄN</t>
        </is>
      </c>
      <c r="E772" t="inlineStr">
        <is>
          <t>TORSBY</t>
        </is>
      </c>
      <c r="G772" t="n">
        <v>0.8</v>
      </c>
      <c r="H772" t="n">
        <v>0</v>
      </c>
      <c r="I772" t="n">
        <v>0</v>
      </c>
      <c r="J772" t="n">
        <v>0</v>
      </c>
      <c r="K772" t="n">
        <v>0</v>
      </c>
      <c r="L772" t="n">
        <v>0</v>
      </c>
      <c r="M772" t="n">
        <v>0</v>
      </c>
      <c r="N772" t="n">
        <v>0</v>
      </c>
      <c r="O772" t="n">
        <v>0</v>
      </c>
      <c r="P772" t="n">
        <v>0</v>
      </c>
      <c r="Q772" t="n">
        <v>0</v>
      </c>
      <c r="R772" s="2" t="inlineStr"/>
    </row>
    <row r="773" ht="15" customHeight="1">
      <c r="A773" t="inlineStr">
        <is>
          <t>A 41744-2025</t>
        </is>
      </c>
      <c r="B773" s="1" t="n">
        <v>45902</v>
      </c>
      <c r="C773" s="1" t="n">
        <v>46140</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38076-2024</t>
        </is>
      </c>
      <c r="B774" s="1" t="n">
        <v>45544</v>
      </c>
      <c r="C774" s="1" t="n">
        <v>46140</v>
      </c>
      <c r="D774" t="inlineStr">
        <is>
          <t>VÄRMLANDS LÄN</t>
        </is>
      </c>
      <c r="E774" t="inlineStr">
        <is>
          <t>TORSBY</t>
        </is>
      </c>
      <c r="G774" t="n">
        <v>6.3</v>
      </c>
      <c r="H774" t="n">
        <v>0</v>
      </c>
      <c r="I774" t="n">
        <v>0</v>
      </c>
      <c r="J774" t="n">
        <v>0</v>
      </c>
      <c r="K774" t="n">
        <v>0</v>
      </c>
      <c r="L774" t="n">
        <v>0</v>
      </c>
      <c r="M774" t="n">
        <v>0</v>
      </c>
      <c r="N774" t="n">
        <v>0</v>
      </c>
      <c r="O774" t="n">
        <v>0</v>
      </c>
      <c r="P774" t="n">
        <v>0</v>
      </c>
      <c r="Q774" t="n">
        <v>0</v>
      </c>
      <c r="R774" s="2" t="inlineStr"/>
    </row>
    <row r="775" ht="15" customHeight="1">
      <c r="A775" t="inlineStr">
        <is>
          <t>A 1432-2025</t>
        </is>
      </c>
      <c r="B775" s="1" t="n">
        <v>45669</v>
      </c>
      <c r="C775" s="1" t="n">
        <v>46140</v>
      </c>
      <c r="D775" t="inlineStr">
        <is>
          <t>VÄRMLANDS LÄN</t>
        </is>
      </c>
      <c r="E775" t="inlineStr">
        <is>
          <t>TORSBY</t>
        </is>
      </c>
      <c r="G775" t="n">
        <v>0.6</v>
      </c>
      <c r="H775" t="n">
        <v>0</v>
      </c>
      <c r="I775" t="n">
        <v>0</v>
      </c>
      <c r="J775" t="n">
        <v>0</v>
      </c>
      <c r="K775" t="n">
        <v>0</v>
      </c>
      <c r="L775" t="n">
        <v>0</v>
      </c>
      <c r="M775" t="n">
        <v>0</v>
      </c>
      <c r="N775" t="n">
        <v>0</v>
      </c>
      <c r="O775" t="n">
        <v>0</v>
      </c>
      <c r="P775" t="n">
        <v>0</v>
      </c>
      <c r="Q775" t="n">
        <v>0</v>
      </c>
      <c r="R775" s="2" t="inlineStr"/>
    </row>
    <row r="776" ht="15" customHeight="1">
      <c r="A776" t="inlineStr">
        <is>
          <t>A 1435-2025</t>
        </is>
      </c>
      <c r="B776" s="1" t="n">
        <v>45669</v>
      </c>
      <c r="C776" s="1" t="n">
        <v>46140</v>
      </c>
      <c r="D776" t="inlineStr">
        <is>
          <t>VÄRMLANDS LÄN</t>
        </is>
      </c>
      <c r="E776" t="inlineStr">
        <is>
          <t>TORSBY</t>
        </is>
      </c>
      <c r="G776" t="n">
        <v>5</v>
      </c>
      <c r="H776" t="n">
        <v>0</v>
      </c>
      <c r="I776" t="n">
        <v>0</v>
      </c>
      <c r="J776" t="n">
        <v>0</v>
      </c>
      <c r="K776" t="n">
        <v>0</v>
      </c>
      <c r="L776" t="n">
        <v>0</v>
      </c>
      <c r="M776" t="n">
        <v>0</v>
      </c>
      <c r="N776" t="n">
        <v>0</v>
      </c>
      <c r="O776" t="n">
        <v>0</v>
      </c>
      <c r="P776" t="n">
        <v>0</v>
      </c>
      <c r="Q776" t="n">
        <v>0</v>
      </c>
      <c r="R776" s="2" t="inlineStr"/>
    </row>
    <row r="777" ht="15" customHeight="1">
      <c r="A777" t="inlineStr">
        <is>
          <t>A 41627-2025</t>
        </is>
      </c>
      <c r="B777" s="1" t="n">
        <v>45901.79328703704</v>
      </c>
      <c r="C777" s="1" t="n">
        <v>46140</v>
      </c>
      <c r="D777" t="inlineStr">
        <is>
          <t>VÄRMLANDS LÄN</t>
        </is>
      </c>
      <c r="E777" t="inlineStr">
        <is>
          <t>TORSBY</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28559-2021</t>
        </is>
      </c>
      <c r="B778" s="1" t="n">
        <v>44356</v>
      </c>
      <c r="C778" s="1" t="n">
        <v>46140</v>
      </c>
      <c r="D778" t="inlineStr">
        <is>
          <t>VÄRMLANDS LÄN</t>
        </is>
      </c>
      <c r="E778" t="inlineStr">
        <is>
          <t>TORSBY</t>
        </is>
      </c>
      <c r="G778" t="n">
        <v>2.3</v>
      </c>
      <c r="H778" t="n">
        <v>0</v>
      </c>
      <c r="I778" t="n">
        <v>0</v>
      </c>
      <c r="J778" t="n">
        <v>0</v>
      </c>
      <c r="K778" t="n">
        <v>0</v>
      </c>
      <c r="L778" t="n">
        <v>0</v>
      </c>
      <c r="M778" t="n">
        <v>0</v>
      </c>
      <c r="N778" t="n">
        <v>0</v>
      </c>
      <c r="O778" t="n">
        <v>0</v>
      </c>
      <c r="P778" t="n">
        <v>0</v>
      </c>
      <c r="Q778" t="n">
        <v>0</v>
      </c>
      <c r="R778" s="2" t="inlineStr"/>
    </row>
    <row r="779" ht="15" customHeight="1">
      <c r="A779" t="inlineStr">
        <is>
          <t>A 51987-2024</t>
        </is>
      </c>
      <c r="B779" s="1" t="n">
        <v>45607</v>
      </c>
      <c r="C779" s="1" t="n">
        <v>46140</v>
      </c>
      <c r="D779" t="inlineStr">
        <is>
          <t>VÄRMLANDS LÄN</t>
        </is>
      </c>
      <c r="E779" t="inlineStr">
        <is>
          <t>TORSBY</t>
        </is>
      </c>
      <c r="G779" t="n">
        <v>17.7</v>
      </c>
      <c r="H779" t="n">
        <v>0</v>
      </c>
      <c r="I779" t="n">
        <v>0</v>
      </c>
      <c r="J779" t="n">
        <v>0</v>
      </c>
      <c r="K779" t="n">
        <v>0</v>
      </c>
      <c r="L779" t="n">
        <v>0</v>
      </c>
      <c r="M779" t="n">
        <v>0</v>
      </c>
      <c r="N779" t="n">
        <v>0</v>
      </c>
      <c r="O779" t="n">
        <v>0</v>
      </c>
      <c r="P779" t="n">
        <v>0</v>
      </c>
      <c r="Q779" t="n">
        <v>0</v>
      </c>
      <c r="R779" s="2" t="inlineStr"/>
    </row>
    <row r="780" ht="15" customHeight="1">
      <c r="A780" t="inlineStr">
        <is>
          <t>A 42308-2025</t>
        </is>
      </c>
      <c r="B780" s="1" t="n">
        <v>45904</v>
      </c>
      <c r="C780" s="1" t="n">
        <v>46140</v>
      </c>
      <c r="D780" t="inlineStr">
        <is>
          <t>VÄRMLANDS LÄN</t>
        </is>
      </c>
      <c r="E780" t="inlineStr">
        <is>
          <t>TORSBY</t>
        </is>
      </c>
      <c r="G780" t="n">
        <v>4.4</v>
      </c>
      <c r="H780" t="n">
        <v>0</v>
      </c>
      <c r="I780" t="n">
        <v>0</v>
      </c>
      <c r="J780" t="n">
        <v>0</v>
      </c>
      <c r="K780" t="n">
        <v>0</v>
      </c>
      <c r="L780" t="n">
        <v>0</v>
      </c>
      <c r="M780" t="n">
        <v>0</v>
      </c>
      <c r="N780" t="n">
        <v>0</v>
      </c>
      <c r="O780" t="n">
        <v>0</v>
      </c>
      <c r="P780" t="n">
        <v>0</v>
      </c>
      <c r="Q780" t="n">
        <v>0</v>
      </c>
      <c r="R780" s="2" t="inlineStr"/>
    </row>
    <row r="781" ht="15" customHeight="1">
      <c r="A781" t="inlineStr">
        <is>
          <t>A 42352-2025</t>
        </is>
      </c>
      <c r="B781" s="1" t="n">
        <v>45904</v>
      </c>
      <c r="C781" s="1" t="n">
        <v>46140</v>
      </c>
      <c r="D781" t="inlineStr">
        <is>
          <t>VÄRMLANDS LÄN</t>
        </is>
      </c>
      <c r="E781" t="inlineStr">
        <is>
          <t>TORSBY</t>
        </is>
      </c>
      <c r="G781" t="n">
        <v>0.1</v>
      </c>
      <c r="H781" t="n">
        <v>0</v>
      </c>
      <c r="I781" t="n">
        <v>0</v>
      </c>
      <c r="J781" t="n">
        <v>0</v>
      </c>
      <c r="K781" t="n">
        <v>0</v>
      </c>
      <c r="L781" t="n">
        <v>0</v>
      </c>
      <c r="M781" t="n">
        <v>0</v>
      </c>
      <c r="N781" t="n">
        <v>0</v>
      </c>
      <c r="O781" t="n">
        <v>0</v>
      </c>
      <c r="P781" t="n">
        <v>0</v>
      </c>
      <c r="Q781" t="n">
        <v>0</v>
      </c>
      <c r="R781" s="2" t="inlineStr"/>
    </row>
    <row r="782" ht="15" customHeight="1">
      <c r="A782" t="inlineStr">
        <is>
          <t>A 41895-2025</t>
        </is>
      </c>
      <c r="B782" s="1" t="n">
        <v>45903.38645833333</v>
      </c>
      <c r="C782" s="1" t="n">
        <v>46140</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42349-2025</t>
        </is>
      </c>
      <c r="B783" s="1" t="n">
        <v>45904</v>
      </c>
      <c r="C783" s="1" t="n">
        <v>46140</v>
      </c>
      <c r="D783" t="inlineStr">
        <is>
          <t>VÄRMLANDS LÄN</t>
        </is>
      </c>
      <c r="E783" t="inlineStr">
        <is>
          <t>TORSBY</t>
        </is>
      </c>
      <c r="G783" t="n">
        <v>0.2</v>
      </c>
      <c r="H783" t="n">
        <v>0</v>
      </c>
      <c r="I783" t="n">
        <v>0</v>
      </c>
      <c r="J783" t="n">
        <v>0</v>
      </c>
      <c r="K783" t="n">
        <v>0</v>
      </c>
      <c r="L783" t="n">
        <v>0</v>
      </c>
      <c r="M783" t="n">
        <v>0</v>
      </c>
      <c r="N783" t="n">
        <v>0</v>
      </c>
      <c r="O783" t="n">
        <v>0</v>
      </c>
      <c r="P783" t="n">
        <v>0</v>
      </c>
      <c r="Q783" t="n">
        <v>0</v>
      </c>
      <c r="R783" s="2" t="inlineStr"/>
    </row>
    <row r="784" ht="15" customHeight="1">
      <c r="A784" t="inlineStr">
        <is>
          <t>A 42354-2025</t>
        </is>
      </c>
      <c r="B784" s="1" t="n">
        <v>45904</v>
      </c>
      <c r="C784" s="1" t="n">
        <v>46140</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42273-2025</t>
        </is>
      </c>
      <c r="B785" s="1" t="n">
        <v>45904.60708333334</v>
      </c>
      <c r="C785" s="1" t="n">
        <v>46140</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46503-2024</t>
        </is>
      </c>
      <c r="B786" s="1" t="n">
        <v>45582</v>
      </c>
      <c r="C786" s="1" t="n">
        <v>46140</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21790-2023</t>
        </is>
      </c>
      <c r="B787" s="1" t="n">
        <v>45067</v>
      </c>
      <c r="C787" s="1" t="n">
        <v>46140</v>
      </c>
      <c r="D787" t="inlineStr">
        <is>
          <t>VÄRMLANDS LÄN</t>
        </is>
      </c>
      <c r="E787" t="inlineStr">
        <is>
          <t>TORSBY</t>
        </is>
      </c>
      <c r="F787" t="inlineStr">
        <is>
          <t>Övriga statliga verk och myndigheter</t>
        </is>
      </c>
      <c r="G787" t="n">
        <v>1.1</v>
      </c>
      <c r="H787" t="n">
        <v>0</v>
      </c>
      <c r="I787" t="n">
        <v>0</v>
      </c>
      <c r="J787" t="n">
        <v>0</v>
      </c>
      <c r="K787" t="n">
        <v>0</v>
      </c>
      <c r="L787" t="n">
        <v>0</v>
      </c>
      <c r="M787" t="n">
        <v>0</v>
      </c>
      <c r="N787" t="n">
        <v>0</v>
      </c>
      <c r="O787" t="n">
        <v>0</v>
      </c>
      <c r="P787" t="n">
        <v>0</v>
      </c>
      <c r="Q787" t="n">
        <v>0</v>
      </c>
      <c r="R787" s="2" t="inlineStr"/>
    </row>
    <row r="788" ht="15" customHeight="1">
      <c r="A788" t="inlineStr">
        <is>
          <t>A 43157-2021</t>
        </is>
      </c>
      <c r="B788" s="1" t="n">
        <v>44431</v>
      </c>
      <c r="C788" s="1" t="n">
        <v>46140</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42350-2025</t>
        </is>
      </c>
      <c r="B789" s="1" t="n">
        <v>45904</v>
      </c>
      <c r="C789" s="1" t="n">
        <v>46140</v>
      </c>
      <c r="D789" t="inlineStr">
        <is>
          <t>VÄRMLANDS LÄN</t>
        </is>
      </c>
      <c r="E789" t="inlineStr">
        <is>
          <t>TORSBY</t>
        </is>
      </c>
      <c r="G789" t="n">
        <v>0.2</v>
      </c>
      <c r="H789" t="n">
        <v>0</v>
      </c>
      <c r="I789" t="n">
        <v>0</v>
      </c>
      <c r="J789" t="n">
        <v>0</v>
      </c>
      <c r="K789" t="n">
        <v>0</v>
      </c>
      <c r="L789" t="n">
        <v>0</v>
      </c>
      <c r="M789" t="n">
        <v>0</v>
      </c>
      <c r="N789" t="n">
        <v>0</v>
      </c>
      <c r="O789" t="n">
        <v>0</v>
      </c>
      <c r="P789" t="n">
        <v>0</v>
      </c>
      <c r="Q789" t="n">
        <v>0</v>
      </c>
      <c r="R789" s="2" t="inlineStr"/>
    </row>
    <row r="790" ht="15" customHeight="1">
      <c r="A790" t="inlineStr">
        <is>
          <t>A 41958-2025</t>
        </is>
      </c>
      <c r="B790" s="1" t="n">
        <v>45903.46856481482</v>
      </c>
      <c r="C790" s="1" t="n">
        <v>46140</v>
      </c>
      <c r="D790" t="inlineStr">
        <is>
          <t>VÄRMLANDS LÄN</t>
        </is>
      </c>
      <c r="E790" t="inlineStr">
        <is>
          <t>TORSBY</t>
        </is>
      </c>
      <c r="F790" t="inlineStr">
        <is>
          <t>Bergvik skog väst AB</t>
        </is>
      </c>
      <c r="G790" t="n">
        <v>15.8</v>
      </c>
      <c r="H790" t="n">
        <v>0</v>
      </c>
      <c r="I790" t="n">
        <v>0</v>
      </c>
      <c r="J790" t="n">
        <v>0</v>
      </c>
      <c r="K790" t="n">
        <v>0</v>
      </c>
      <c r="L790" t="n">
        <v>0</v>
      </c>
      <c r="M790" t="n">
        <v>0</v>
      </c>
      <c r="N790" t="n">
        <v>0</v>
      </c>
      <c r="O790" t="n">
        <v>0</v>
      </c>
      <c r="P790" t="n">
        <v>0</v>
      </c>
      <c r="Q790" t="n">
        <v>0</v>
      </c>
      <c r="R790" s="2" t="inlineStr"/>
    </row>
    <row r="791" ht="15" customHeight="1">
      <c r="A791" t="inlineStr">
        <is>
          <t>A 43529-2023</t>
        </is>
      </c>
      <c r="B791" s="1" t="n">
        <v>45181</v>
      </c>
      <c r="C791" s="1" t="n">
        <v>46140</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42152-2025</t>
        </is>
      </c>
      <c r="B792" s="1" t="n">
        <v>45904.3884375</v>
      </c>
      <c r="C792" s="1" t="n">
        <v>46140</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42108-2025</t>
        </is>
      </c>
      <c r="B793" s="1" t="n">
        <v>45903</v>
      </c>
      <c r="C793" s="1" t="n">
        <v>46140</v>
      </c>
      <c r="D793" t="inlineStr">
        <is>
          <t>VÄRMLANDS LÄN</t>
        </is>
      </c>
      <c r="E793" t="inlineStr">
        <is>
          <t>TORSBY</t>
        </is>
      </c>
      <c r="F793" t="inlineStr">
        <is>
          <t>Bergvik skog väst AB</t>
        </is>
      </c>
      <c r="G793" t="n">
        <v>13.5</v>
      </c>
      <c r="H793" t="n">
        <v>0</v>
      </c>
      <c r="I793" t="n">
        <v>0</v>
      </c>
      <c r="J793" t="n">
        <v>0</v>
      </c>
      <c r="K793" t="n">
        <v>0</v>
      </c>
      <c r="L793" t="n">
        <v>0</v>
      </c>
      <c r="M793" t="n">
        <v>0</v>
      </c>
      <c r="N793" t="n">
        <v>0</v>
      </c>
      <c r="O793" t="n">
        <v>0</v>
      </c>
      <c r="P793" t="n">
        <v>0</v>
      </c>
      <c r="Q793" t="n">
        <v>0</v>
      </c>
      <c r="R793" s="2" t="inlineStr"/>
    </row>
    <row r="794" ht="15" customHeight="1">
      <c r="A794" t="inlineStr">
        <is>
          <t>A 68153-2021</t>
        </is>
      </c>
      <c r="B794" s="1" t="n">
        <v>44526.43881944445</v>
      </c>
      <c r="C794" s="1" t="n">
        <v>46140</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42296-2025</t>
        </is>
      </c>
      <c r="B795" s="1" t="n">
        <v>45904.63361111111</v>
      </c>
      <c r="C795" s="1" t="n">
        <v>46140</v>
      </c>
      <c r="D795" t="inlineStr">
        <is>
          <t>VÄRMLANDS LÄN</t>
        </is>
      </c>
      <c r="E795" t="inlineStr">
        <is>
          <t>TORSBY</t>
        </is>
      </c>
      <c r="F795" t="inlineStr">
        <is>
          <t>Bergvik skog väst AB</t>
        </is>
      </c>
      <c r="G795" t="n">
        <v>1</v>
      </c>
      <c r="H795" t="n">
        <v>0</v>
      </c>
      <c r="I795" t="n">
        <v>0</v>
      </c>
      <c r="J795" t="n">
        <v>0</v>
      </c>
      <c r="K795" t="n">
        <v>0</v>
      </c>
      <c r="L795" t="n">
        <v>0</v>
      </c>
      <c r="M795" t="n">
        <v>0</v>
      </c>
      <c r="N795" t="n">
        <v>0</v>
      </c>
      <c r="O795" t="n">
        <v>0</v>
      </c>
      <c r="P795" t="n">
        <v>0</v>
      </c>
      <c r="Q795" t="n">
        <v>0</v>
      </c>
      <c r="R795" s="2" t="inlineStr"/>
    </row>
    <row r="796" ht="15" customHeight="1">
      <c r="A796" t="inlineStr">
        <is>
          <t>A 42305-2025</t>
        </is>
      </c>
      <c r="B796" s="1" t="n">
        <v>45904.64886574074</v>
      </c>
      <c r="C796" s="1" t="n">
        <v>46140</v>
      </c>
      <c r="D796" t="inlineStr">
        <is>
          <t>VÄRMLANDS LÄN</t>
        </is>
      </c>
      <c r="E796" t="inlineStr">
        <is>
          <t>TORSBY</t>
        </is>
      </c>
      <c r="F796" t="inlineStr">
        <is>
          <t>Bergvik skog väst AB</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41975-2025</t>
        </is>
      </c>
      <c r="B797" s="1" t="n">
        <v>45903.49732638889</v>
      </c>
      <c r="C797" s="1" t="n">
        <v>46140</v>
      </c>
      <c r="D797" t="inlineStr">
        <is>
          <t>VÄRMLANDS LÄN</t>
        </is>
      </c>
      <c r="E797" t="inlineStr">
        <is>
          <t>TORSBY</t>
        </is>
      </c>
      <c r="F797" t="inlineStr">
        <is>
          <t>Bergvik skog väst AB</t>
        </is>
      </c>
      <c r="G797" t="n">
        <v>10.4</v>
      </c>
      <c r="H797" t="n">
        <v>0</v>
      </c>
      <c r="I797" t="n">
        <v>0</v>
      </c>
      <c r="J797" t="n">
        <v>0</v>
      </c>
      <c r="K797" t="n">
        <v>0</v>
      </c>
      <c r="L797" t="n">
        <v>0</v>
      </c>
      <c r="M797" t="n">
        <v>0</v>
      </c>
      <c r="N797" t="n">
        <v>0</v>
      </c>
      <c r="O797" t="n">
        <v>0</v>
      </c>
      <c r="P797" t="n">
        <v>0</v>
      </c>
      <c r="Q797" t="n">
        <v>0</v>
      </c>
      <c r="R797" s="2" t="inlineStr"/>
    </row>
    <row r="798" ht="15" customHeight="1">
      <c r="A798" t="inlineStr">
        <is>
          <t>A 42304-2025</t>
        </is>
      </c>
      <c r="B798" s="1" t="n">
        <v>45904</v>
      </c>
      <c r="C798" s="1" t="n">
        <v>46140</v>
      </c>
      <c r="D798" t="inlineStr">
        <is>
          <t>VÄRMLANDS LÄN</t>
        </is>
      </c>
      <c r="E798" t="inlineStr">
        <is>
          <t>TORSBY</t>
        </is>
      </c>
      <c r="F798" t="inlineStr">
        <is>
          <t>Bergvik skog väst AB</t>
        </is>
      </c>
      <c r="G798" t="n">
        <v>1.5</v>
      </c>
      <c r="H798" t="n">
        <v>0</v>
      </c>
      <c r="I798" t="n">
        <v>0</v>
      </c>
      <c r="J798" t="n">
        <v>0</v>
      </c>
      <c r="K798" t="n">
        <v>0</v>
      </c>
      <c r="L798" t="n">
        <v>0</v>
      </c>
      <c r="M798" t="n">
        <v>0</v>
      </c>
      <c r="N798" t="n">
        <v>0</v>
      </c>
      <c r="O798" t="n">
        <v>0</v>
      </c>
      <c r="P798" t="n">
        <v>0</v>
      </c>
      <c r="Q798" t="n">
        <v>0</v>
      </c>
      <c r="R798" s="2" t="inlineStr"/>
    </row>
    <row r="799" ht="15" customHeight="1">
      <c r="A799" t="inlineStr">
        <is>
          <t>A 42149-2025</t>
        </is>
      </c>
      <c r="B799" s="1" t="n">
        <v>45904.38109953704</v>
      </c>
      <c r="C799" s="1" t="n">
        <v>46140</v>
      </c>
      <c r="D799" t="inlineStr">
        <is>
          <t>VÄRMLANDS LÄN</t>
        </is>
      </c>
      <c r="E799" t="inlineStr">
        <is>
          <t>TORSBY</t>
        </is>
      </c>
      <c r="G799" t="n">
        <v>2.3</v>
      </c>
      <c r="H799" t="n">
        <v>0</v>
      </c>
      <c r="I799" t="n">
        <v>0</v>
      </c>
      <c r="J799" t="n">
        <v>0</v>
      </c>
      <c r="K799" t="n">
        <v>0</v>
      </c>
      <c r="L799" t="n">
        <v>0</v>
      </c>
      <c r="M799" t="n">
        <v>0</v>
      </c>
      <c r="N799" t="n">
        <v>0</v>
      </c>
      <c r="O799" t="n">
        <v>0</v>
      </c>
      <c r="P799" t="n">
        <v>0</v>
      </c>
      <c r="Q799" t="n">
        <v>0</v>
      </c>
      <c r="R799" s="2" t="inlineStr"/>
    </row>
    <row r="800" ht="15" customHeight="1">
      <c r="A800" t="inlineStr">
        <is>
          <t>A 27115-2024</t>
        </is>
      </c>
      <c r="B800" s="1" t="n">
        <v>45471</v>
      </c>
      <c r="C800" s="1" t="n">
        <v>46140</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27144-2024</t>
        </is>
      </c>
      <c r="B801" s="1" t="n">
        <v>45471.55459490741</v>
      </c>
      <c r="C801" s="1" t="n">
        <v>46140</v>
      </c>
      <c r="D801" t="inlineStr">
        <is>
          <t>VÄRMLANDS LÄN</t>
        </is>
      </c>
      <c r="E801" t="inlineStr">
        <is>
          <t>TORSBY</t>
        </is>
      </c>
      <c r="G801" t="n">
        <v>3.5</v>
      </c>
      <c r="H801" t="n">
        <v>0</v>
      </c>
      <c r="I801" t="n">
        <v>0</v>
      </c>
      <c r="J801" t="n">
        <v>0</v>
      </c>
      <c r="K801" t="n">
        <v>0</v>
      </c>
      <c r="L801" t="n">
        <v>0</v>
      </c>
      <c r="M801" t="n">
        <v>0</v>
      </c>
      <c r="N801" t="n">
        <v>0</v>
      </c>
      <c r="O801" t="n">
        <v>0</v>
      </c>
      <c r="P801" t="n">
        <v>0</v>
      </c>
      <c r="Q801" t="n">
        <v>0</v>
      </c>
      <c r="R801" s="2" t="inlineStr"/>
    </row>
    <row r="802" ht="15" customHeight="1">
      <c r="A802" t="inlineStr">
        <is>
          <t>A 25090-2023</t>
        </is>
      </c>
      <c r="B802" s="1" t="n">
        <v>45086</v>
      </c>
      <c r="C802" s="1" t="n">
        <v>46140</v>
      </c>
      <c r="D802" t="inlineStr">
        <is>
          <t>VÄRMLANDS LÄN</t>
        </is>
      </c>
      <c r="E802" t="inlineStr">
        <is>
          <t>TORSBY</t>
        </is>
      </c>
      <c r="F802" t="inlineStr">
        <is>
          <t>Bergvik skog väst AB</t>
        </is>
      </c>
      <c r="G802" t="n">
        <v>8.1</v>
      </c>
      <c r="H802" t="n">
        <v>0</v>
      </c>
      <c r="I802" t="n">
        <v>0</v>
      </c>
      <c r="J802" t="n">
        <v>0</v>
      </c>
      <c r="K802" t="n">
        <v>0</v>
      </c>
      <c r="L802" t="n">
        <v>0</v>
      </c>
      <c r="M802" t="n">
        <v>0</v>
      </c>
      <c r="N802" t="n">
        <v>0</v>
      </c>
      <c r="O802" t="n">
        <v>0</v>
      </c>
      <c r="P802" t="n">
        <v>0</v>
      </c>
      <c r="Q802" t="n">
        <v>0</v>
      </c>
      <c r="R802" s="2" t="inlineStr"/>
    </row>
    <row r="803" ht="15" customHeight="1">
      <c r="A803" t="inlineStr">
        <is>
          <t>A 41253-2021</t>
        </is>
      </c>
      <c r="B803" s="1" t="n">
        <v>44424</v>
      </c>
      <c r="C803" s="1" t="n">
        <v>46140</v>
      </c>
      <c r="D803" t="inlineStr">
        <is>
          <t>VÄRMLANDS LÄN</t>
        </is>
      </c>
      <c r="E803" t="inlineStr">
        <is>
          <t>TORSBY</t>
        </is>
      </c>
      <c r="G803" t="n">
        <v>2</v>
      </c>
      <c r="H803" t="n">
        <v>0</v>
      </c>
      <c r="I803" t="n">
        <v>0</v>
      </c>
      <c r="J803" t="n">
        <v>0</v>
      </c>
      <c r="K803" t="n">
        <v>0</v>
      </c>
      <c r="L803" t="n">
        <v>0</v>
      </c>
      <c r="M803" t="n">
        <v>0</v>
      </c>
      <c r="N803" t="n">
        <v>0</v>
      </c>
      <c r="O803" t="n">
        <v>0</v>
      </c>
      <c r="P803" t="n">
        <v>0</v>
      </c>
      <c r="Q803" t="n">
        <v>0</v>
      </c>
      <c r="R803" s="2" t="inlineStr"/>
    </row>
    <row r="804" ht="15" customHeight="1">
      <c r="A804" t="inlineStr">
        <is>
          <t>A 11569-2025</t>
        </is>
      </c>
      <c r="B804" s="1" t="n">
        <v>45727.37971064815</v>
      </c>
      <c r="C804" s="1" t="n">
        <v>46140</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52689-2024</t>
        </is>
      </c>
      <c r="B805" s="1" t="n">
        <v>45610.39621527777</v>
      </c>
      <c r="C805" s="1" t="n">
        <v>46140</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34534-2024</t>
        </is>
      </c>
      <c r="B806" s="1" t="n">
        <v>45525</v>
      </c>
      <c r="C806" s="1" t="n">
        <v>46140</v>
      </c>
      <c r="D806" t="inlineStr">
        <is>
          <t>VÄRMLANDS LÄN</t>
        </is>
      </c>
      <c r="E806" t="inlineStr">
        <is>
          <t>TORSBY</t>
        </is>
      </c>
      <c r="G806" t="n">
        <v>1.5</v>
      </c>
      <c r="H806" t="n">
        <v>0</v>
      </c>
      <c r="I806" t="n">
        <v>0</v>
      </c>
      <c r="J806" t="n">
        <v>0</v>
      </c>
      <c r="K806" t="n">
        <v>0</v>
      </c>
      <c r="L806" t="n">
        <v>0</v>
      </c>
      <c r="M806" t="n">
        <v>0</v>
      </c>
      <c r="N806" t="n">
        <v>0</v>
      </c>
      <c r="O806" t="n">
        <v>0</v>
      </c>
      <c r="P806" t="n">
        <v>0</v>
      </c>
      <c r="Q806" t="n">
        <v>0</v>
      </c>
      <c r="R806" s="2" t="inlineStr"/>
    </row>
    <row r="807" ht="15" customHeight="1">
      <c r="A807" t="inlineStr">
        <is>
          <t>A 37913-2022</t>
        </is>
      </c>
      <c r="B807" s="1" t="n">
        <v>44811</v>
      </c>
      <c r="C807" s="1" t="n">
        <v>46140</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52750-2024</t>
        </is>
      </c>
      <c r="B808" s="1" t="n">
        <v>45610</v>
      </c>
      <c r="C808" s="1" t="n">
        <v>46140</v>
      </c>
      <c r="D808" t="inlineStr">
        <is>
          <t>VÄRMLANDS LÄN</t>
        </is>
      </c>
      <c r="E808" t="inlineStr">
        <is>
          <t>TORSBY</t>
        </is>
      </c>
      <c r="F808" t="inlineStr">
        <is>
          <t>Kyrkan</t>
        </is>
      </c>
      <c r="G808" t="n">
        <v>7.7</v>
      </c>
      <c r="H808" t="n">
        <v>0</v>
      </c>
      <c r="I808" t="n">
        <v>0</v>
      </c>
      <c r="J808" t="n">
        <v>0</v>
      </c>
      <c r="K808" t="n">
        <v>0</v>
      </c>
      <c r="L808" t="n">
        <v>0</v>
      </c>
      <c r="M808" t="n">
        <v>0</v>
      </c>
      <c r="N808" t="n">
        <v>0</v>
      </c>
      <c r="O808" t="n">
        <v>0</v>
      </c>
      <c r="P808" t="n">
        <v>0</v>
      </c>
      <c r="Q808" t="n">
        <v>0</v>
      </c>
      <c r="R808" s="2" t="inlineStr"/>
    </row>
    <row r="809" ht="15" customHeight="1">
      <c r="A809" t="inlineStr">
        <is>
          <t>A 364-2025</t>
        </is>
      </c>
      <c r="B809" s="1" t="n">
        <v>45661</v>
      </c>
      <c r="C809" s="1" t="n">
        <v>46140</v>
      </c>
      <c r="D809" t="inlineStr">
        <is>
          <t>VÄRMLANDS LÄN</t>
        </is>
      </c>
      <c r="E809" t="inlineStr">
        <is>
          <t>TORSBY</t>
        </is>
      </c>
      <c r="G809" t="n">
        <v>5.9</v>
      </c>
      <c r="H809" t="n">
        <v>0</v>
      </c>
      <c r="I809" t="n">
        <v>0</v>
      </c>
      <c r="J809" t="n">
        <v>0</v>
      </c>
      <c r="K809" t="n">
        <v>0</v>
      </c>
      <c r="L809" t="n">
        <v>0</v>
      </c>
      <c r="M809" t="n">
        <v>0</v>
      </c>
      <c r="N809" t="n">
        <v>0</v>
      </c>
      <c r="O809" t="n">
        <v>0</v>
      </c>
      <c r="P809" t="n">
        <v>0</v>
      </c>
      <c r="Q809" t="n">
        <v>0</v>
      </c>
      <c r="R809" s="2" t="inlineStr"/>
    </row>
    <row r="810" ht="15" customHeight="1">
      <c r="A810" t="inlineStr">
        <is>
          <t>A 51662-2024</t>
        </is>
      </c>
      <c r="B810" s="1" t="n">
        <v>45606.75559027777</v>
      </c>
      <c r="C810" s="1" t="n">
        <v>46140</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23264-2022</t>
        </is>
      </c>
      <c r="B811" s="1" t="n">
        <v>44720.40818287037</v>
      </c>
      <c r="C811" s="1" t="n">
        <v>46140</v>
      </c>
      <c r="D811" t="inlineStr">
        <is>
          <t>VÄRMLANDS LÄN</t>
        </is>
      </c>
      <c r="E811" t="inlineStr">
        <is>
          <t>TORSBY</t>
        </is>
      </c>
      <c r="G811" t="n">
        <v>3</v>
      </c>
      <c r="H811" t="n">
        <v>0</v>
      </c>
      <c r="I811" t="n">
        <v>0</v>
      </c>
      <c r="J811" t="n">
        <v>0</v>
      </c>
      <c r="K811" t="n">
        <v>0</v>
      </c>
      <c r="L811" t="n">
        <v>0</v>
      </c>
      <c r="M811" t="n">
        <v>0</v>
      </c>
      <c r="N811" t="n">
        <v>0</v>
      </c>
      <c r="O811" t="n">
        <v>0</v>
      </c>
      <c r="P811" t="n">
        <v>0</v>
      </c>
      <c r="Q811" t="n">
        <v>0</v>
      </c>
      <c r="R811" s="2" t="inlineStr"/>
    </row>
    <row r="812" ht="15" customHeight="1">
      <c r="A812" t="inlineStr">
        <is>
          <t>A 47141-2022</t>
        </is>
      </c>
      <c r="B812" s="1" t="n">
        <v>44852.56548611111</v>
      </c>
      <c r="C812" s="1" t="n">
        <v>46140</v>
      </c>
      <c r="D812" t="inlineStr">
        <is>
          <t>VÄRMLANDS LÄN</t>
        </is>
      </c>
      <c r="E812" t="inlineStr">
        <is>
          <t>TORSBY</t>
        </is>
      </c>
      <c r="G812" t="n">
        <v>2.6</v>
      </c>
      <c r="H812" t="n">
        <v>0</v>
      </c>
      <c r="I812" t="n">
        <v>0</v>
      </c>
      <c r="J812" t="n">
        <v>0</v>
      </c>
      <c r="K812" t="n">
        <v>0</v>
      </c>
      <c r="L812" t="n">
        <v>0</v>
      </c>
      <c r="M812" t="n">
        <v>0</v>
      </c>
      <c r="N812" t="n">
        <v>0</v>
      </c>
      <c r="O812" t="n">
        <v>0</v>
      </c>
      <c r="P812" t="n">
        <v>0</v>
      </c>
      <c r="Q812" t="n">
        <v>0</v>
      </c>
      <c r="R812" s="2" t="inlineStr"/>
    </row>
    <row r="813" ht="15" customHeight="1">
      <c r="A813" t="inlineStr">
        <is>
          <t>A 57809-2024</t>
        </is>
      </c>
      <c r="B813" s="1" t="n">
        <v>45631</v>
      </c>
      <c r="C813" s="1" t="n">
        <v>46140</v>
      </c>
      <c r="D813" t="inlineStr">
        <is>
          <t>VÄRMLANDS LÄN</t>
        </is>
      </c>
      <c r="E813" t="inlineStr">
        <is>
          <t>TORSBY</t>
        </is>
      </c>
      <c r="F813" t="inlineStr">
        <is>
          <t>Bergvik skog väst AB</t>
        </is>
      </c>
      <c r="G813" t="n">
        <v>10.9</v>
      </c>
      <c r="H813" t="n">
        <v>0</v>
      </c>
      <c r="I813" t="n">
        <v>0</v>
      </c>
      <c r="J813" t="n">
        <v>0</v>
      </c>
      <c r="K813" t="n">
        <v>0</v>
      </c>
      <c r="L813" t="n">
        <v>0</v>
      </c>
      <c r="M813" t="n">
        <v>0</v>
      </c>
      <c r="N813" t="n">
        <v>0</v>
      </c>
      <c r="O813" t="n">
        <v>0</v>
      </c>
      <c r="P813" t="n">
        <v>0</v>
      </c>
      <c r="Q813" t="n">
        <v>0</v>
      </c>
      <c r="R813" s="2" t="inlineStr"/>
    </row>
    <row r="814" ht="15" customHeight="1">
      <c r="A814" t="inlineStr">
        <is>
          <t>A 42499-2025</t>
        </is>
      </c>
      <c r="B814" s="1" t="n">
        <v>45905.5194675926</v>
      </c>
      <c r="C814" s="1" t="n">
        <v>46140</v>
      </c>
      <c r="D814" t="inlineStr">
        <is>
          <t>VÄRMLANDS LÄN</t>
        </is>
      </c>
      <c r="E814" t="inlineStr">
        <is>
          <t>TORSBY</t>
        </is>
      </c>
      <c r="F814" t="inlineStr">
        <is>
          <t>Bergvik skog väst AB</t>
        </is>
      </c>
      <c r="G814" t="n">
        <v>3.3</v>
      </c>
      <c r="H814" t="n">
        <v>0</v>
      </c>
      <c r="I814" t="n">
        <v>0</v>
      </c>
      <c r="J814" t="n">
        <v>0</v>
      </c>
      <c r="K814" t="n">
        <v>0</v>
      </c>
      <c r="L814" t="n">
        <v>0</v>
      </c>
      <c r="M814" t="n">
        <v>0</v>
      </c>
      <c r="N814" t="n">
        <v>0</v>
      </c>
      <c r="O814" t="n">
        <v>0</v>
      </c>
      <c r="P814" t="n">
        <v>0</v>
      </c>
      <c r="Q814" t="n">
        <v>0</v>
      </c>
      <c r="R814" s="2" t="inlineStr"/>
    </row>
    <row r="815" ht="15" customHeight="1">
      <c r="A815" t="inlineStr">
        <is>
          <t>A 31936-2023</t>
        </is>
      </c>
      <c r="B815" s="1" t="n">
        <v>45107</v>
      </c>
      <c r="C815" s="1" t="n">
        <v>46140</v>
      </c>
      <c r="D815" t="inlineStr">
        <is>
          <t>VÄRMLANDS LÄN</t>
        </is>
      </c>
      <c r="E815" t="inlineStr">
        <is>
          <t>TORSBY</t>
        </is>
      </c>
      <c r="G815" t="n">
        <v>1.6</v>
      </c>
      <c r="H815" t="n">
        <v>0</v>
      </c>
      <c r="I815" t="n">
        <v>0</v>
      </c>
      <c r="J815" t="n">
        <v>0</v>
      </c>
      <c r="K815" t="n">
        <v>0</v>
      </c>
      <c r="L815" t="n">
        <v>0</v>
      </c>
      <c r="M815" t="n">
        <v>0</v>
      </c>
      <c r="N815" t="n">
        <v>0</v>
      </c>
      <c r="O815" t="n">
        <v>0</v>
      </c>
      <c r="P815" t="n">
        <v>0</v>
      </c>
      <c r="Q815" t="n">
        <v>0</v>
      </c>
      <c r="R815" s="2" t="inlineStr"/>
    </row>
    <row r="816" ht="15" customHeight="1">
      <c r="A816" t="inlineStr">
        <is>
          <t>A 42720-2025</t>
        </is>
      </c>
      <c r="B816" s="1" t="n">
        <v>45908.39427083333</v>
      </c>
      <c r="C816" s="1" t="n">
        <v>46140</v>
      </c>
      <c r="D816" t="inlineStr">
        <is>
          <t>VÄRMLANDS LÄN</t>
        </is>
      </c>
      <c r="E816" t="inlineStr">
        <is>
          <t>TORSBY</t>
        </is>
      </c>
      <c r="F816" t="inlineStr">
        <is>
          <t>Bergvik skog väst AB</t>
        </is>
      </c>
      <c r="G816" t="n">
        <v>6.8</v>
      </c>
      <c r="H816" t="n">
        <v>0</v>
      </c>
      <c r="I816" t="n">
        <v>0</v>
      </c>
      <c r="J816" t="n">
        <v>0</v>
      </c>
      <c r="K816" t="n">
        <v>0</v>
      </c>
      <c r="L816" t="n">
        <v>0</v>
      </c>
      <c r="M816" t="n">
        <v>0</v>
      </c>
      <c r="N816" t="n">
        <v>0</v>
      </c>
      <c r="O816" t="n">
        <v>0</v>
      </c>
      <c r="P816" t="n">
        <v>0</v>
      </c>
      <c r="Q816" t="n">
        <v>0</v>
      </c>
      <c r="R816" s="2" t="inlineStr"/>
    </row>
    <row r="817" ht="15" customHeight="1">
      <c r="A817" t="inlineStr">
        <is>
          <t>A 42886-2025</t>
        </is>
      </c>
      <c r="B817" s="1" t="n">
        <v>45908.65288194444</v>
      </c>
      <c r="C817" s="1" t="n">
        <v>46140</v>
      </c>
      <c r="D817" t="inlineStr">
        <is>
          <t>VÄRMLANDS LÄN</t>
        </is>
      </c>
      <c r="E817" t="inlineStr">
        <is>
          <t>TORSBY</t>
        </is>
      </c>
      <c r="G817" t="n">
        <v>5.8</v>
      </c>
      <c r="H817" t="n">
        <v>0</v>
      </c>
      <c r="I817" t="n">
        <v>0</v>
      </c>
      <c r="J817" t="n">
        <v>0</v>
      </c>
      <c r="K817" t="n">
        <v>0</v>
      </c>
      <c r="L817" t="n">
        <v>0</v>
      </c>
      <c r="M817" t="n">
        <v>0</v>
      </c>
      <c r="N817" t="n">
        <v>0</v>
      </c>
      <c r="O817" t="n">
        <v>0</v>
      </c>
      <c r="P817" t="n">
        <v>0</v>
      </c>
      <c r="Q817" t="n">
        <v>0</v>
      </c>
      <c r="R817" s="2" t="inlineStr"/>
    </row>
    <row r="818" ht="15" customHeight="1">
      <c r="A818" t="inlineStr">
        <is>
          <t>A 61206-2024</t>
        </is>
      </c>
      <c r="B818" s="1" t="n">
        <v>45645.64626157407</v>
      </c>
      <c r="C818" s="1" t="n">
        <v>46140</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42496-2025</t>
        </is>
      </c>
      <c r="B819" s="1" t="n">
        <v>45905.50864583333</v>
      </c>
      <c r="C819" s="1" t="n">
        <v>46140</v>
      </c>
      <c r="D819" t="inlineStr">
        <is>
          <t>VÄRMLANDS LÄN</t>
        </is>
      </c>
      <c r="E819" t="inlineStr">
        <is>
          <t>TORSBY</t>
        </is>
      </c>
      <c r="G819" t="n">
        <v>3.9</v>
      </c>
      <c r="H819" t="n">
        <v>0</v>
      </c>
      <c r="I819" t="n">
        <v>0</v>
      </c>
      <c r="J819" t="n">
        <v>0</v>
      </c>
      <c r="K819" t="n">
        <v>0</v>
      </c>
      <c r="L819" t="n">
        <v>0</v>
      </c>
      <c r="M819" t="n">
        <v>0</v>
      </c>
      <c r="N819" t="n">
        <v>0</v>
      </c>
      <c r="O819" t="n">
        <v>0</v>
      </c>
      <c r="P819" t="n">
        <v>0</v>
      </c>
      <c r="Q819" t="n">
        <v>0</v>
      </c>
      <c r="R819" s="2" t="inlineStr"/>
    </row>
    <row r="820" ht="15" customHeight="1">
      <c r="A820" t="inlineStr">
        <is>
          <t>A 42529-2025</t>
        </is>
      </c>
      <c r="B820" s="1" t="n">
        <v>45905.55716435185</v>
      </c>
      <c r="C820" s="1" t="n">
        <v>46140</v>
      </c>
      <c r="D820" t="inlineStr">
        <is>
          <t>VÄRMLANDS LÄN</t>
        </is>
      </c>
      <c r="E820" t="inlineStr">
        <is>
          <t>TORSBY</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42563-2025</t>
        </is>
      </c>
      <c r="B821" s="1" t="n">
        <v>45905.60097222222</v>
      </c>
      <c r="C821" s="1" t="n">
        <v>46140</v>
      </c>
      <c r="D821" t="inlineStr">
        <is>
          <t>VÄRMLANDS LÄN</t>
        </is>
      </c>
      <c r="E821" t="inlineStr">
        <is>
          <t>TORSBY</t>
        </is>
      </c>
      <c r="F821" t="inlineStr">
        <is>
          <t>Bergvik skog väst AB</t>
        </is>
      </c>
      <c r="G821" t="n">
        <v>3.1</v>
      </c>
      <c r="H821" t="n">
        <v>0</v>
      </c>
      <c r="I821" t="n">
        <v>0</v>
      </c>
      <c r="J821" t="n">
        <v>0</v>
      </c>
      <c r="K821" t="n">
        <v>0</v>
      </c>
      <c r="L821" t="n">
        <v>0</v>
      </c>
      <c r="M821" t="n">
        <v>0</v>
      </c>
      <c r="N821" t="n">
        <v>0</v>
      </c>
      <c r="O821" t="n">
        <v>0</v>
      </c>
      <c r="P821" t="n">
        <v>0</v>
      </c>
      <c r="Q821" t="n">
        <v>0</v>
      </c>
      <c r="R821" s="2" t="inlineStr"/>
    </row>
    <row r="822" ht="15" customHeight="1">
      <c r="A822" t="inlineStr">
        <is>
          <t>A 40036-2022</t>
        </is>
      </c>
      <c r="B822" s="1" t="n">
        <v>44820.43179398148</v>
      </c>
      <c r="C822" s="1" t="n">
        <v>46140</v>
      </c>
      <c r="D822" t="inlineStr">
        <is>
          <t>VÄRMLANDS LÄN</t>
        </is>
      </c>
      <c r="E822" t="inlineStr">
        <is>
          <t>TORSBY</t>
        </is>
      </c>
      <c r="G822" t="n">
        <v>1</v>
      </c>
      <c r="H822" t="n">
        <v>0</v>
      </c>
      <c r="I822" t="n">
        <v>0</v>
      </c>
      <c r="J822" t="n">
        <v>0</v>
      </c>
      <c r="K822" t="n">
        <v>0</v>
      </c>
      <c r="L822" t="n">
        <v>0</v>
      </c>
      <c r="M822" t="n">
        <v>0</v>
      </c>
      <c r="N822" t="n">
        <v>0</v>
      </c>
      <c r="O822" t="n">
        <v>0</v>
      </c>
      <c r="P822" t="n">
        <v>0</v>
      </c>
      <c r="Q822" t="n">
        <v>0</v>
      </c>
      <c r="R822" s="2" t="inlineStr"/>
    </row>
    <row r="823" ht="15" customHeight="1">
      <c r="A823" t="inlineStr">
        <is>
          <t>A 42705-2025</t>
        </is>
      </c>
      <c r="B823" s="1" t="n">
        <v>45908.37063657407</v>
      </c>
      <c r="C823" s="1" t="n">
        <v>46140</v>
      </c>
      <c r="D823" t="inlineStr">
        <is>
          <t>VÄRMLANDS LÄN</t>
        </is>
      </c>
      <c r="E823" t="inlineStr">
        <is>
          <t>TORSBY</t>
        </is>
      </c>
      <c r="G823" t="n">
        <v>2.7</v>
      </c>
      <c r="H823" t="n">
        <v>0</v>
      </c>
      <c r="I823" t="n">
        <v>0</v>
      </c>
      <c r="J823" t="n">
        <v>0</v>
      </c>
      <c r="K823" t="n">
        <v>0</v>
      </c>
      <c r="L823" t="n">
        <v>0</v>
      </c>
      <c r="M823" t="n">
        <v>0</v>
      </c>
      <c r="N823" t="n">
        <v>0</v>
      </c>
      <c r="O823" t="n">
        <v>0</v>
      </c>
      <c r="P823" t="n">
        <v>0</v>
      </c>
      <c r="Q823" t="n">
        <v>0</v>
      </c>
      <c r="R823" s="2" t="inlineStr"/>
    </row>
    <row r="824" ht="15" customHeight="1">
      <c r="A824" t="inlineStr">
        <is>
          <t>A 43128-2021</t>
        </is>
      </c>
      <c r="B824" s="1" t="n">
        <v>44431.65930555556</v>
      </c>
      <c r="C824" s="1" t="n">
        <v>46140</v>
      </c>
      <c r="D824" t="inlineStr">
        <is>
          <t>VÄRMLANDS LÄN</t>
        </is>
      </c>
      <c r="E824" t="inlineStr">
        <is>
          <t>TORSBY</t>
        </is>
      </c>
      <c r="G824" t="n">
        <v>10.9</v>
      </c>
      <c r="H824" t="n">
        <v>0</v>
      </c>
      <c r="I824" t="n">
        <v>0</v>
      </c>
      <c r="J824" t="n">
        <v>0</v>
      </c>
      <c r="K824" t="n">
        <v>0</v>
      </c>
      <c r="L824" t="n">
        <v>0</v>
      </c>
      <c r="M824" t="n">
        <v>0</v>
      </c>
      <c r="N824" t="n">
        <v>0</v>
      </c>
      <c r="O824" t="n">
        <v>0</v>
      </c>
      <c r="P824" t="n">
        <v>0</v>
      </c>
      <c r="Q824" t="n">
        <v>0</v>
      </c>
      <c r="R824" s="2" t="inlineStr"/>
    </row>
    <row r="825" ht="15" customHeight="1">
      <c r="A825" t="inlineStr">
        <is>
          <t>A 17153-2025</t>
        </is>
      </c>
      <c r="B825" s="1" t="n">
        <v>45756</v>
      </c>
      <c r="C825" s="1" t="n">
        <v>46140</v>
      </c>
      <c r="D825" t="inlineStr">
        <is>
          <t>VÄRMLANDS LÄN</t>
        </is>
      </c>
      <c r="E825" t="inlineStr">
        <is>
          <t>TORSBY</t>
        </is>
      </c>
      <c r="F825" t="inlineStr">
        <is>
          <t>Bergvik skog väst AB</t>
        </is>
      </c>
      <c r="G825" t="n">
        <v>3.7</v>
      </c>
      <c r="H825" t="n">
        <v>0</v>
      </c>
      <c r="I825" t="n">
        <v>0</v>
      </c>
      <c r="J825" t="n">
        <v>0</v>
      </c>
      <c r="K825" t="n">
        <v>0</v>
      </c>
      <c r="L825" t="n">
        <v>0</v>
      </c>
      <c r="M825" t="n">
        <v>0</v>
      </c>
      <c r="N825" t="n">
        <v>0</v>
      </c>
      <c r="O825" t="n">
        <v>0</v>
      </c>
      <c r="P825" t="n">
        <v>0</v>
      </c>
      <c r="Q825" t="n">
        <v>0</v>
      </c>
      <c r="R825" s="2" t="inlineStr"/>
    </row>
    <row r="826" ht="15" customHeight="1">
      <c r="A826" t="inlineStr">
        <is>
          <t>A 42742-2025</t>
        </is>
      </c>
      <c r="B826" s="1" t="n">
        <v>45908</v>
      </c>
      <c r="C826" s="1" t="n">
        <v>46140</v>
      </c>
      <c r="D826" t="inlineStr">
        <is>
          <t>VÄRMLANDS LÄN</t>
        </is>
      </c>
      <c r="E826" t="inlineStr">
        <is>
          <t>TORSBY</t>
        </is>
      </c>
      <c r="F826" t="inlineStr">
        <is>
          <t>Bergvik skog väst AB</t>
        </is>
      </c>
      <c r="G826" t="n">
        <v>0.5</v>
      </c>
      <c r="H826" t="n">
        <v>0</v>
      </c>
      <c r="I826" t="n">
        <v>0</v>
      </c>
      <c r="J826" t="n">
        <v>0</v>
      </c>
      <c r="K826" t="n">
        <v>0</v>
      </c>
      <c r="L826" t="n">
        <v>0</v>
      </c>
      <c r="M826" t="n">
        <v>0</v>
      </c>
      <c r="N826" t="n">
        <v>0</v>
      </c>
      <c r="O826" t="n">
        <v>0</v>
      </c>
      <c r="P826" t="n">
        <v>0</v>
      </c>
      <c r="Q826" t="n">
        <v>0</v>
      </c>
      <c r="R826" s="2" t="inlineStr"/>
    </row>
    <row r="827" ht="15" customHeight="1">
      <c r="A827" t="inlineStr">
        <is>
          <t>A 375-2025</t>
        </is>
      </c>
      <c r="B827" s="1" t="n">
        <v>45661</v>
      </c>
      <c r="C827" s="1" t="n">
        <v>46140</v>
      </c>
      <c r="D827" t="inlineStr">
        <is>
          <t>VÄRMLANDS LÄN</t>
        </is>
      </c>
      <c r="E827" t="inlineStr">
        <is>
          <t>TORSBY</t>
        </is>
      </c>
      <c r="G827" t="n">
        <v>5.5</v>
      </c>
      <c r="H827" t="n">
        <v>0</v>
      </c>
      <c r="I827" t="n">
        <v>0</v>
      </c>
      <c r="J827" t="n">
        <v>0</v>
      </c>
      <c r="K827" t="n">
        <v>0</v>
      </c>
      <c r="L827" t="n">
        <v>0</v>
      </c>
      <c r="M827" t="n">
        <v>0</v>
      </c>
      <c r="N827" t="n">
        <v>0</v>
      </c>
      <c r="O827" t="n">
        <v>0</v>
      </c>
      <c r="P827" t="n">
        <v>0</v>
      </c>
      <c r="Q827" t="n">
        <v>0</v>
      </c>
      <c r="R827" s="2" t="inlineStr"/>
    </row>
    <row r="828" ht="15" customHeight="1">
      <c r="A828" t="inlineStr">
        <is>
          <t>A 47077-2023</t>
        </is>
      </c>
      <c r="B828" s="1" t="n">
        <v>45201</v>
      </c>
      <c r="C828" s="1" t="n">
        <v>46140</v>
      </c>
      <c r="D828" t="inlineStr">
        <is>
          <t>VÄRMLANDS LÄN</t>
        </is>
      </c>
      <c r="E828" t="inlineStr">
        <is>
          <t>TORSBY</t>
        </is>
      </c>
      <c r="G828" t="n">
        <v>2.1</v>
      </c>
      <c r="H828" t="n">
        <v>0</v>
      </c>
      <c r="I828" t="n">
        <v>0</v>
      </c>
      <c r="J828" t="n">
        <v>0</v>
      </c>
      <c r="K828" t="n">
        <v>0</v>
      </c>
      <c r="L828" t="n">
        <v>0</v>
      </c>
      <c r="M828" t="n">
        <v>0</v>
      </c>
      <c r="N828" t="n">
        <v>0</v>
      </c>
      <c r="O828" t="n">
        <v>0</v>
      </c>
      <c r="P828" t="n">
        <v>0</v>
      </c>
      <c r="Q828" t="n">
        <v>0</v>
      </c>
      <c r="R828" s="2" t="inlineStr"/>
    </row>
    <row r="829" ht="15" customHeight="1">
      <c r="A829" t="inlineStr">
        <is>
          <t>A 18855-2024</t>
        </is>
      </c>
      <c r="B829" s="1" t="n">
        <v>45426.73634259259</v>
      </c>
      <c r="C829" s="1" t="n">
        <v>46140</v>
      </c>
      <c r="D829" t="inlineStr">
        <is>
          <t>VÄRMLANDS LÄN</t>
        </is>
      </c>
      <c r="E829" t="inlineStr">
        <is>
          <t>TORSBY</t>
        </is>
      </c>
      <c r="G829" t="n">
        <v>5</v>
      </c>
      <c r="H829" t="n">
        <v>0</v>
      </c>
      <c r="I829" t="n">
        <v>0</v>
      </c>
      <c r="J829" t="n">
        <v>0</v>
      </c>
      <c r="K829" t="n">
        <v>0</v>
      </c>
      <c r="L829" t="n">
        <v>0</v>
      </c>
      <c r="M829" t="n">
        <v>0</v>
      </c>
      <c r="N829" t="n">
        <v>0</v>
      </c>
      <c r="O829" t="n">
        <v>0</v>
      </c>
      <c r="P829" t="n">
        <v>0</v>
      </c>
      <c r="Q829" t="n">
        <v>0</v>
      </c>
      <c r="R829" s="2" t="inlineStr"/>
    </row>
    <row r="830" ht="15" customHeight="1">
      <c r="A830" t="inlineStr">
        <is>
          <t>A 36318-2022</t>
        </is>
      </c>
      <c r="B830" s="1" t="n">
        <v>44803</v>
      </c>
      <c r="C830" s="1" t="n">
        <v>46140</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33146-2025</t>
        </is>
      </c>
      <c r="B831" s="1" t="n">
        <v>45840.53549768519</v>
      </c>
      <c r="C831" s="1" t="n">
        <v>46140</v>
      </c>
      <c r="D831" t="inlineStr">
        <is>
          <t>VÄRMLANDS LÄN</t>
        </is>
      </c>
      <c r="E831" t="inlineStr">
        <is>
          <t>TORSBY</t>
        </is>
      </c>
      <c r="G831" t="n">
        <v>4.8</v>
      </c>
      <c r="H831" t="n">
        <v>0</v>
      </c>
      <c r="I831" t="n">
        <v>0</v>
      </c>
      <c r="J831" t="n">
        <v>0</v>
      </c>
      <c r="K831" t="n">
        <v>0</v>
      </c>
      <c r="L831" t="n">
        <v>0</v>
      </c>
      <c r="M831" t="n">
        <v>0</v>
      </c>
      <c r="N831" t="n">
        <v>0</v>
      </c>
      <c r="O831" t="n">
        <v>0</v>
      </c>
      <c r="P831" t="n">
        <v>0</v>
      </c>
      <c r="Q831" t="n">
        <v>0</v>
      </c>
      <c r="R831" s="2" t="inlineStr"/>
    </row>
    <row r="832" ht="15" customHeight="1">
      <c r="A832" t="inlineStr">
        <is>
          <t>A 1092-2025</t>
        </is>
      </c>
      <c r="B832" s="1" t="n">
        <v>45666.6333912037</v>
      </c>
      <c r="C832" s="1" t="n">
        <v>46140</v>
      </c>
      <c r="D832" t="inlineStr">
        <is>
          <t>VÄRMLANDS LÄN</t>
        </is>
      </c>
      <c r="E832" t="inlineStr">
        <is>
          <t>TORSBY</t>
        </is>
      </c>
      <c r="G832" t="n">
        <v>2.6</v>
      </c>
      <c r="H832" t="n">
        <v>0</v>
      </c>
      <c r="I832" t="n">
        <v>0</v>
      </c>
      <c r="J832" t="n">
        <v>0</v>
      </c>
      <c r="K832" t="n">
        <v>0</v>
      </c>
      <c r="L832" t="n">
        <v>0</v>
      </c>
      <c r="M832" t="n">
        <v>0</v>
      </c>
      <c r="N832" t="n">
        <v>0</v>
      </c>
      <c r="O832" t="n">
        <v>0</v>
      </c>
      <c r="P832" t="n">
        <v>0</v>
      </c>
      <c r="Q832" t="n">
        <v>0</v>
      </c>
      <c r="R832" s="2" t="inlineStr"/>
    </row>
    <row r="833" ht="15" customHeight="1">
      <c r="A833" t="inlineStr">
        <is>
          <t>A 43304-2025</t>
        </is>
      </c>
      <c r="B833" s="1" t="n">
        <v>45910.63630787037</v>
      </c>
      <c r="C833" s="1" t="n">
        <v>46140</v>
      </c>
      <c r="D833" t="inlineStr">
        <is>
          <t>VÄRMLANDS LÄN</t>
        </is>
      </c>
      <c r="E833" t="inlineStr">
        <is>
          <t>TORSBY</t>
        </is>
      </c>
      <c r="G833" t="n">
        <v>1.1</v>
      </c>
      <c r="H833" t="n">
        <v>0</v>
      </c>
      <c r="I833" t="n">
        <v>0</v>
      </c>
      <c r="J833" t="n">
        <v>0</v>
      </c>
      <c r="K833" t="n">
        <v>0</v>
      </c>
      <c r="L833" t="n">
        <v>0</v>
      </c>
      <c r="M833" t="n">
        <v>0</v>
      </c>
      <c r="N833" t="n">
        <v>0</v>
      </c>
      <c r="O833" t="n">
        <v>0</v>
      </c>
      <c r="P833" t="n">
        <v>0</v>
      </c>
      <c r="Q833" t="n">
        <v>0</v>
      </c>
      <c r="R833" s="2" t="inlineStr"/>
    </row>
    <row r="834" ht="15" customHeight="1">
      <c r="A834" t="inlineStr">
        <is>
          <t>A 42347-2021</t>
        </is>
      </c>
      <c r="B834" s="1" t="n">
        <v>44427</v>
      </c>
      <c r="C834" s="1" t="n">
        <v>46140</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29908-2022</t>
        </is>
      </c>
      <c r="B835" s="1" t="n">
        <v>44756</v>
      </c>
      <c r="C835" s="1" t="n">
        <v>46140</v>
      </c>
      <c r="D835" t="inlineStr">
        <is>
          <t>VÄRMLANDS LÄN</t>
        </is>
      </c>
      <c r="E835" t="inlineStr">
        <is>
          <t>TORSBY</t>
        </is>
      </c>
      <c r="F835" t="inlineStr">
        <is>
          <t>Kommuner</t>
        </is>
      </c>
      <c r="G835" t="n">
        <v>1.9</v>
      </c>
      <c r="H835" t="n">
        <v>0</v>
      </c>
      <c r="I835" t="n">
        <v>0</v>
      </c>
      <c r="J835" t="n">
        <v>0</v>
      </c>
      <c r="K835" t="n">
        <v>0</v>
      </c>
      <c r="L835" t="n">
        <v>0</v>
      </c>
      <c r="M835" t="n">
        <v>0</v>
      </c>
      <c r="N835" t="n">
        <v>0</v>
      </c>
      <c r="O835" t="n">
        <v>0</v>
      </c>
      <c r="P835" t="n">
        <v>0</v>
      </c>
      <c r="Q835" t="n">
        <v>0</v>
      </c>
      <c r="R835" s="2" t="inlineStr"/>
    </row>
    <row r="836" ht="15" customHeight="1">
      <c r="A836" t="inlineStr">
        <is>
          <t>A 43313-2025</t>
        </is>
      </c>
      <c r="B836" s="1" t="n">
        <v>45910</v>
      </c>
      <c r="C836" s="1" t="n">
        <v>46140</v>
      </c>
      <c r="D836" t="inlineStr">
        <is>
          <t>VÄRMLANDS LÄN</t>
        </is>
      </c>
      <c r="E836" t="inlineStr">
        <is>
          <t>TORSBY</t>
        </is>
      </c>
      <c r="F836" t="inlineStr">
        <is>
          <t>Övriga Aktiebolag</t>
        </is>
      </c>
      <c r="G836" t="n">
        <v>9.5</v>
      </c>
      <c r="H836" t="n">
        <v>0</v>
      </c>
      <c r="I836" t="n">
        <v>0</v>
      </c>
      <c r="J836" t="n">
        <v>0</v>
      </c>
      <c r="K836" t="n">
        <v>0</v>
      </c>
      <c r="L836" t="n">
        <v>0</v>
      </c>
      <c r="M836" t="n">
        <v>0</v>
      </c>
      <c r="N836" t="n">
        <v>0</v>
      </c>
      <c r="O836" t="n">
        <v>0</v>
      </c>
      <c r="P836" t="n">
        <v>0</v>
      </c>
      <c r="Q836" t="n">
        <v>0</v>
      </c>
      <c r="R836" s="2" t="inlineStr"/>
    </row>
    <row r="837" ht="15" customHeight="1">
      <c r="A837" t="inlineStr">
        <is>
          <t>A 42966-2025</t>
        </is>
      </c>
      <c r="B837" s="1" t="n">
        <v>45909.38825231481</v>
      </c>
      <c r="C837" s="1" t="n">
        <v>46140</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42932-2025</t>
        </is>
      </c>
      <c r="B838" s="1" t="n">
        <v>45909</v>
      </c>
      <c r="C838" s="1" t="n">
        <v>46140</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17184-2023</t>
        </is>
      </c>
      <c r="B839" s="1" t="n">
        <v>45034.69127314815</v>
      </c>
      <c r="C839" s="1" t="n">
        <v>46140</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42931-2025</t>
        </is>
      </c>
      <c r="B840" s="1" t="n">
        <v>45909</v>
      </c>
      <c r="C840" s="1" t="n">
        <v>46140</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42961-2025</t>
        </is>
      </c>
      <c r="B841" s="1" t="n">
        <v>45909.36737268518</v>
      </c>
      <c r="C841" s="1" t="n">
        <v>46140</v>
      </c>
      <c r="D841" t="inlineStr">
        <is>
          <t>VÄRMLANDS LÄN</t>
        </is>
      </c>
      <c r="E841" t="inlineStr">
        <is>
          <t>TORSBY</t>
        </is>
      </c>
      <c r="G841" t="n">
        <v>1.5</v>
      </c>
      <c r="H841" t="n">
        <v>0</v>
      </c>
      <c r="I841" t="n">
        <v>0</v>
      </c>
      <c r="J841" t="n">
        <v>0</v>
      </c>
      <c r="K841" t="n">
        <v>0</v>
      </c>
      <c r="L841" t="n">
        <v>0</v>
      </c>
      <c r="M841" t="n">
        <v>0</v>
      </c>
      <c r="N841" t="n">
        <v>0</v>
      </c>
      <c r="O841" t="n">
        <v>0</v>
      </c>
      <c r="P841" t="n">
        <v>0</v>
      </c>
      <c r="Q841" t="n">
        <v>0</v>
      </c>
      <c r="R841" s="2" t="inlineStr"/>
    </row>
    <row r="842" ht="15" customHeight="1">
      <c r="A842" t="inlineStr">
        <is>
          <t>A 43055-2025</t>
        </is>
      </c>
      <c r="B842" s="1" t="n">
        <v>45909</v>
      </c>
      <c r="C842" s="1" t="n">
        <v>46140</v>
      </c>
      <c r="D842" t="inlineStr">
        <is>
          <t>VÄRMLANDS LÄN</t>
        </is>
      </c>
      <c r="E842" t="inlineStr">
        <is>
          <t>TORSBY</t>
        </is>
      </c>
      <c r="F842" t="inlineStr">
        <is>
          <t>Bergvik skog väst AB</t>
        </is>
      </c>
      <c r="G842" t="n">
        <v>20.1</v>
      </c>
      <c r="H842" t="n">
        <v>0</v>
      </c>
      <c r="I842" t="n">
        <v>0</v>
      </c>
      <c r="J842" t="n">
        <v>0</v>
      </c>
      <c r="K842" t="n">
        <v>0</v>
      </c>
      <c r="L842" t="n">
        <v>0</v>
      </c>
      <c r="M842" t="n">
        <v>0</v>
      </c>
      <c r="N842" t="n">
        <v>0</v>
      </c>
      <c r="O842" t="n">
        <v>0</v>
      </c>
      <c r="P842" t="n">
        <v>0</v>
      </c>
      <c r="Q842" t="n">
        <v>0</v>
      </c>
      <c r="R842" s="2" t="inlineStr"/>
    </row>
    <row r="843" ht="15" customHeight="1">
      <c r="A843" t="inlineStr">
        <is>
          <t>A 17065-2025</t>
        </is>
      </c>
      <c r="B843" s="1" t="n">
        <v>45754</v>
      </c>
      <c r="C843" s="1" t="n">
        <v>46140</v>
      </c>
      <c r="D843" t="inlineStr">
        <is>
          <t>VÄRMLANDS LÄN</t>
        </is>
      </c>
      <c r="E843" t="inlineStr">
        <is>
          <t>TORSBY</t>
        </is>
      </c>
      <c r="G843" t="n">
        <v>2.2</v>
      </c>
      <c r="H843" t="n">
        <v>0</v>
      </c>
      <c r="I843" t="n">
        <v>0</v>
      </c>
      <c r="J843" t="n">
        <v>0</v>
      </c>
      <c r="K843" t="n">
        <v>0</v>
      </c>
      <c r="L843" t="n">
        <v>0</v>
      </c>
      <c r="M843" t="n">
        <v>0</v>
      </c>
      <c r="N843" t="n">
        <v>0</v>
      </c>
      <c r="O843" t="n">
        <v>0</v>
      </c>
      <c r="P843" t="n">
        <v>0</v>
      </c>
      <c r="Q843" t="n">
        <v>0</v>
      </c>
      <c r="R843" s="2" t="inlineStr"/>
    </row>
    <row r="844" ht="15" customHeight="1">
      <c r="A844" t="inlineStr">
        <is>
          <t>A 14801-2025</t>
        </is>
      </c>
      <c r="B844" s="1" t="n">
        <v>45743</v>
      </c>
      <c r="C844" s="1" t="n">
        <v>46140</v>
      </c>
      <c r="D844" t="inlineStr">
        <is>
          <t>VÄRMLANDS LÄN</t>
        </is>
      </c>
      <c r="E844" t="inlineStr">
        <is>
          <t>TORSBY</t>
        </is>
      </c>
      <c r="G844" t="n">
        <v>4.8</v>
      </c>
      <c r="H844" t="n">
        <v>0</v>
      </c>
      <c r="I844" t="n">
        <v>0</v>
      </c>
      <c r="J844" t="n">
        <v>0</v>
      </c>
      <c r="K844" t="n">
        <v>0</v>
      </c>
      <c r="L844" t="n">
        <v>0</v>
      </c>
      <c r="M844" t="n">
        <v>0</v>
      </c>
      <c r="N844" t="n">
        <v>0</v>
      </c>
      <c r="O844" t="n">
        <v>0</v>
      </c>
      <c r="P844" t="n">
        <v>0</v>
      </c>
      <c r="Q844" t="n">
        <v>0</v>
      </c>
      <c r="R844" s="2" t="inlineStr"/>
    </row>
    <row r="845" ht="15" customHeight="1">
      <c r="A845" t="inlineStr">
        <is>
          <t>A 42965-2025</t>
        </is>
      </c>
      <c r="B845" s="1" t="n">
        <v>45909.37575231482</v>
      </c>
      <c r="C845" s="1" t="n">
        <v>46140</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6968-2025</t>
        </is>
      </c>
      <c r="B846" s="1" t="n">
        <v>45701.53253472222</v>
      </c>
      <c r="C846" s="1" t="n">
        <v>46140</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16309-2023</t>
        </is>
      </c>
      <c r="B847" s="1" t="n">
        <v>45028.58873842593</v>
      </c>
      <c r="C847" s="1" t="n">
        <v>46140</v>
      </c>
      <c r="D847" t="inlineStr">
        <is>
          <t>VÄRMLANDS LÄN</t>
        </is>
      </c>
      <c r="E847" t="inlineStr">
        <is>
          <t>TORSBY</t>
        </is>
      </c>
      <c r="G847" t="n">
        <v>2.1</v>
      </c>
      <c r="H847" t="n">
        <v>0</v>
      </c>
      <c r="I847" t="n">
        <v>0</v>
      </c>
      <c r="J847" t="n">
        <v>0</v>
      </c>
      <c r="K847" t="n">
        <v>0</v>
      </c>
      <c r="L847" t="n">
        <v>0</v>
      </c>
      <c r="M847" t="n">
        <v>0</v>
      </c>
      <c r="N847" t="n">
        <v>0</v>
      </c>
      <c r="O847" t="n">
        <v>0</v>
      </c>
      <c r="P847" t="n">
        <v>0</v>
      </c>
      <c r="Q847" t="n">
        <v>0</v>
      </c>
      <c r="R847" s="2" t="inlineStr"/>
    </row>
    <row r="848" ht="15" customHeight="1">
      <c r="A848" t="inlineStr">
        <is>
          <t>A 30011-2024</t>
        </is>
      </c>
      <c r="B848" s="1" t="n">
        <v>45488</v>
      </c>
      <c r="C848" s="1" t="n">
        <v>46140</v>
      </c>
      <c r="D848" t="inlineStr">
        <is>
          <t>VÄRMLANDS LÄN</t>
        </is>
      </c>
      <c r="E848" t="inlineStr">
        <is>
          <t>TORSBY</t>
        </is>
      </c>
      <c r="F848" t="inlineStr">
        <is>
          <t>Kommuner</t>
        </is>
      </c>
      <c r="G848" t="n">
        <v>4.7</v>
      </c>
      <c r="H848" t="n">
        <v>0</v>
      </c>
      <c r="I848" t="n">
        <v>0</v>
      </c>
      <c r="J848" t="n">
        <v>0</v>
      </c>
      <c r="K848" t="n">
        <v>0</v>
      </c>
      <c r="L848" t="n">
        <v>0</v>
      </c>
      <c r="M848" t="n">
        <v>0</v>
      </c>
      <c r="N848" t="n">
        <v>0</v>
      </c>
      <c r="O848" t="n">
        <v>0</v>
      </c>
      <c r="P848" t="n">
        <v>0</v>
      </c>
      <c r="Q848" t="n">
        <v>0</v>
      </c>
      <c r="R848" s="2" t="inlineStr"/>
    </row>
    <row r="849" ht="15" customHeight="1">
      <c r="A849" t="inlineStr">
        <is>
          <t>A 10329-2025</t>
        </is>
      </c>
      <c r="B849" s="1" t="n">
        <v>45720</v>
      </c>
      <c r="C849" s="1" t="n">
        <v>46140</v>
      </c>
      <c r="D849" t="inlineStr">
        <is>
          <t>VÄRMLANDS LÄN</t>
        </is>
      </c>
      <c r="E849" t="inlineStr">
        <is>
          <t>TORSBY</t>
        </is>
      </c>
      <c r="G849" t="n">
        <v>2.4</v>
      </c>
      <c r="H849" t="n">
        <v>0</v>
      </c>
      <c r="I849" t="n">
        <v>0</v>
      </c>
      <c r="J849" t="n">
        <v>0</v>
      </c>
      <c r="K849" t="n">
        <v>0</v>
      </c>
      <c r="L849" t="n">
        <v>0</v>
      </c>
      <c r="M849" t="n">
        <v>0</v>
      </c>
      <c r="N849" t="n">
        <v>0</v>
      </c>
      <c r="O849" t="n">
        <v>0</v>
      </c>
      <c r="P849" t="n">
        <v>0</v>
      </c>
      <c r="Q849" t="n">
        <v>0</v>
      </c>
      <c r="R849" s="2" t="inlineStr"/>
    </row>
    <row r="850" ht="15" customHeight="1">
      <c r="A850" t="inlineStr">
        <is>
          <t>A 10343-2025</t>
        </is>
      </c>
      <c r="B850" s="1" t="n">
        <v>45720</v>
      </c>
      <c r="C850" s="1" t="n">
        <v>46140</v>
      </c>
      <c r="D850" t="inlineStr">
        <is>
          <t>VÄRMLANDS LÄN</t>
        </is>
      </c>
      <c r="E850" t="inlineStr">
        <is>
          <t>TORSBY</t>
        </is>
      </c>
      <c r="G850" t="n">
        <v>3.1</v>
      </c>
      <c r="H850" t="n">
        <v>0</v>
      </c>
      <c r="I850" t="n">
        <v>0</v>
      </c>
      <c r="J850" t="n">
        <v>0</v>
      </c>
      <c r="K850" t="n">
        <v>0</v>
      </c>
      <c r="L850" t="n">
        <v>0</v>
      </c>
      <c r="M850" t="n">
        <v>0</v>
      </c>
      <c r="N850" t="n">
        <v>0</v>
      </c>
      <c r="O850" t="n">
        <v>0</v>
      </c>
      <c r="P850" t="n">
        <v>0</v>
      </c>
      <c r="Q850" t="n">
        <v>0</v>
      </c>
      <c r="R850" s="2" t="inlineStr"/>
    </row>
    <row r="851" ht="15" customHeight="1">
      <c r="A851" t="inlineStr">
        <is>
          <t>A 43669-2025</t>
        </is>
      </c>
      <c r="B851" s="1" t="n">
        <v>45912.36299768519</v>
      </c>
      <c r="C851" s="1" t="n">
        <v>46140</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43614-2025</t>
        </is>
      </c>
      <c r="B852" s="1" t="n">
        <v>45911.67766203704</v>
      </c>
      <c r="C852" s="1" t="n">
        <v>46140</v>
      </c>
      <c r="D852" t="inlineStr">
        <is>
          <t>VÄRMLANDS LÄN</t>
        </is>
      </c>
      <c r="E852" t="inlineStr">
        <is>
          <t>TORSBY</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43787-2025</t>
        </is>
      </c>
      <c r="B853" s="1" t="n">
        <v>45912</v>
      </c>
      <c r="C853" s="1" t="n">
        <v>46140</v>
      </c>
      <c r="D853" t="inlineStr">
        <is>
          <t>VÄRMLANDS LÄN</t>
        </is>
      </c>
      <c r="E853" t="inlineStr">
        <is>
          <t>TORSBY</t>
        </is>
      </c>
      <c r="G853" t="n">
        <v>13.1</v>
      </c>
      <c r="H853" t="n">
        <v>0</v>
      </c>
      <c r="I853" t="n">
        <v>0</v>
      </c>
      <c r="J853" t="n">
        <v>0</v>
      </c>
      <c r="K853" t="n">
        <v>0</v>
      </c>
      <c r="L853" t="n">
        <v>0</v>
      </c>
      <c r="M853" t="n">
        <v>0</v>
      </c>
      <c r="N853" t="n">
        <v>0</v>
      </c>
      <c r="O853" t="n">
        <v>0</v>
      </c>
      <c r="P853" t="n">
        <v>0</v>
      </c>
      <c r="Q853" t="n">
        <v>0</v>
      </c>
      <c r="R853" s="2" t="inlineStr"/>
    </row>
    <row r="854" ht="15" customHeight="1">
      <c r="A854" t="inlineStr">
        <is>
          <t>A 37279-2022</t>
        </is>
      </c>
      <c r="B854" s="1" t="n">
        <v>44807</v>
      </c>
      <c r="C854" s="1" t="n">
        <v>46140</v>
      </c>
      <c r="D854" t="inlineStr">
        <is>
          <t>VÄRMLANDS LÄN</t>
        </is>
      </c>
      <c r="E854" t="inlineStr">
        <is>
          <t>TORSBY</t>
        </is>
      </c>
      <c r="G854" t="n">
        <v>18.2</v>
      </c>
      <c r="H854" t="n">
        <v>0</v>
      </c>
      <c r="I854" t="n">
        <v>0</v>
      </c>
      <c r="J854" t="n">
        <v>0</v>
      </c>
      <c r="K854" t="n">
        <v>0</v>
      </c>
      <c r="L854" t="n">
        <v>0</v>
      </c>
      <c r="M854" t="n">
        <v>0</v>
      </c>
      <c r="N854" t="n">
        <v>0</v>
      </c>
      <c r="O854" t="n">
        <v>0</v>
      </c>
      <c r="P854" t="n">
        <v>0</v>
      </c>
      <c r="Q854" t="n">
        <v>0</v>
      </c>
      <c r="R854" s="2" t="inlineStr"/>
    </row>
    <row r="855" ht="15" customHeight="1">
      <c r="A855" t="inlineStr">
        <is>
          <t>A 56571-2024</t>
        </is>
      </c>
      <c r="B855" s="1" t="n">
        <v>45625</v>
      </c>
      <c r="C855" s="1" t="n">
        <v>46140</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41377-2021</t>
        </is>
      </c>
      <c r="B856" s="1" t="n">
        <v>44424.65148148148</v>
      </c>
      <c r="C856" s="1" t="n">
        <v>46140</v>
      </c>
      <c r="D856" t="inlineStr">
        <is>
          <t>VÄRMLANDS LÄN</t>
        </is>
      </c>
      <c r="E856" t="inlineStr">
        <is>
          <t>TORSBY</t>
        </is>
      </c>
      <c r="G856" t="n">
        <v>1.2</v>
      </c>
      <c r="H856" t="n">
        <v>0</v>
      </c>
      <c r="I856" t="n">
        <v>0</v>
      </c>
      <c r="J856" t="n">
        <v>0</v>
      </c>
      <c r="K856" t="n">
        <v>0</v>
      </c>
      <c r="L856" t="n">
        <v>0</v>
      </c>
      <c r="M856" t="n">
        <v>0</v>
      </c>
      <c r="N856" t="n">
        <v>0</v>
      </c>
      <c r="O856" t="n">
        <v>0</v>
      </c>
      <c r="P856" t="n">
        <v>0</v>
      </c>
      <c r="Q856" t="n">
        <v>0</v>
      </c>
      <c r="R856" s="2" t="inlineStr"/>
    </row>
    <row r="857" ht="15" customHeight="1">
      <c r="A857" t="inlineStr">
        <is>
          <t>A 18544-2023</t>
        </is>
      </c>
      <c r="B857" s="1" t="n">
        <v>45041</v>
      </c>
      <c r="C857" s="1" t="n">
        <v>46140</v>
      </c>
      <c r="D857" t="inlineStr">
        <is>
          <t>VÄRMLANDS LÄN</t>
        </is>
      </c>
      <c r="E857" t="inlineStr">
        <is>
          <t>TORSBY</t>
        </is>
      </c>
      <c r="G857" t="n">
        <v>1.7</v>
      </c>
      <c r="H857" t="n">
        <v>0</v>
      </c>
      <c r="I857" t="n">
        <v>0</v>
      </c>
      <c r="J857" t="n">
        <v>0</v>
      </c>
      <c r="K857" t="n">
        <v>0</v>
      </c>
      <c r="L857" t="n">
        <v>0</v>
      </c>
      <c r="M857" t="n">
        <v>0</v>
      </c>
      <c r="N857" t="n">
        <v>0</v>
      </c>
      <c r="O857" t="n">
        <v>0</v>
      </c>
      <c r="P857" t="n">
        <v>0</v>
      </c>
      <c r="Q857" t="n">
        <v>0</v>
      </c>
      <c r="R857" s="2" t="inlineStr"/>
    </row>
    <row r="858" ht="15" customHeight="1">
      <c r="A858" t="inlineStr">
        <is>
          <t>A 43608-2025</t>
        </is>
      </c>
      <c r="B858" s="1" t="n">
        <v>45911.67491898148</v>
      </c>
      <c r="C858" s="1" t="n">
        <v>46140</v>
      </c>
      <c r="D858" t="inlineStr">
        <is>
          <t>VÄRMLANDS LÄN</t>
        </is>
      </c>
      <c r="E858" t="inlineStr">
        <is>
          <t>TORSBY</t>
        </is>
      </c>
      <c r="F858" t="inlineStr">
        <is>
          <t>Bergvik skog väst AB</t>
        </is>
      </c>
      <c r="G858" t="n">
        <v>6</v>
      </c>
      <c r="H858" t="n">
        <v>0</v>
      </c>
      <c r="I858" t="n">
        <v>0</v>
      </c>
      <c r="J858" t="n">
        <v>0</v>
      </c>
      <c r="K858" t="n">
        <v>0</v>
      </c>
      <c r="L858" t="n">
        <v>0</v>
      </c>
      <c r="M858" t="n">
        <v>0</v>
      </c>
      <c r="N858" t="n">
        <v>0</v>
      </c>
      <c r="O858" t="n">
        <v>0</v>
      </c>
      <c r="P858" t="n">
        <v>0</v>
      </c>
      <c r="Q858" t="n">
        <v>0</v>
      </c>
      <c r="R858" s="2" t="inlineStr"/>
    </row>
    <row r="859" ht="15" customHeight="1">
      <c r="A859" t="inlineStr">
        <is>
          <t>A 67457-2021</t>
        </is>
      </c>
      <c r="B859" s="1" t="n">
        <v>44524</v>
      </c>
      <c r="C859" s="1" t="n">
        <v>46140</v>
      </c>
      <c r="D859" t="inlineStr">
        <is>
          <t>VÄRMLANDS LÄN</t>
        </is>
      </c>
      <c r="E859" t="inlineStr">
        <is>
          <t>TORSBY</t>
        </is>
      </c>
      <c r="G859" t="n">
        <v>7.6</v>
      </c>
      <c r="H859" t="n">
        <v>0</v>
      </c>
      <c r="I859" t="n">
        <v>0</v>
      </c>
      <c r="J859" t="n">
        <v>0</v>
      </c>
      <c r="K859" t="n">
        <v>0</v>
      </c>
      <c r="L859" t="n">
        <v>0</v>
      </c>
      <c r="M859" t="n">
        <v>0</v>
      </c>
      <c r="N859" t="n">
        <v>0</v>
      </c>
      <c r="O859" t="n">
        <v>0</v>
      </c>
      <c r="P859" t="n">
        <v>0</v>
      </c>
      <c r="Q859" t="n">
        <v>0</v>
      </c>
      <c r="R859" s="2" t="inlineStr"/>
    </row>
    <row r="860" ht="15" customHeight="1">
      <c r="A860" t="inlineStr">
        <is>
          <t>A 33853-2021</t>
        </is>
      </c>
      <c r="B860" s="1" t="n">
        <v>44378.61460648148</v>
      </c>
      <c r="C860" s="1" t="n">
        <v>46140</v>
      </c>
      <c r="D860" t="inlineStr">
        <is>
          <t>VÄRMLANDS LÄN</t>
        </is>
      </c>
      <c r="E860" t="inlineStr">
        <is>
          <t>TORSBY</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43831-2025</t>
        </is>
      </c>
      <c r="B861" s="1" t="n">
        <v>45912.62987268518</v>
      </c>
      <c r="C861" s="1" t="n">
        <v>46140</v>
      </c>
      <c r="D861" t="inlineStr">
        <is>
          <t>VÄRMLANDS LÄN</t>
        </is>
      </c>
      <c r="E861" t="inlineStr">
        <is>
          <t>TORSBY</t>
        </is>
      </c>
      <c r="F861" t="inlineStr">
        <is>
          <t>Bergvik skog väst AB</t>
        </is>
      </c>
      <c r="G861" t="n">
        <v>5.1</v>
      </c>
      <c r="H861" t="n">
        <v>0</v>
      </c>
      <c r="I861" t="n">
        <v>0</v>
      </c>
      <c r="J861" t="n">
        <v>0</v>
      </c>
      <c r="K861" t="n">
        <v>0</v>
      </c>
      <c r="L861" t="n">
        <v>0</v>
      </c>
      <c r="M861" t="n">
        <v>0</v>
      </c>
      <c r="N861" t="n">
        <v>0</v>
      </c>
      <c r="O861" t="n">
        <v>0</v>
      </c>
      <c r="P861" t="n">
        <v>0</v>
      </c>
      <c r="Q861" t="n">
        <v>0</v>
      </c>
      <c r="R861" s="2" t="inlineStr"/>
    </row>
    <row r="862" ht="15" customHeight="1">
      <c r="A862" t="inlineStr">
        <is>
          <t>A 44233-2025</t>
        </is>
      </c>
      <c r="B862" s="1" t="n">
        <v>45915.65515046296</v>
      </c>
      <c r="C862" s="1" t="n">
        <v>46140</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44141-2025</t>
        </is>
      </c>
      <c r="B863" s="1" t="n">
        <v>45915</v>
      </c>
      <c r="C863" s="1" t="n">
        <v>46140</v>
      </c>
      <c r="D863" t="inlineStr">
        <is>
          <t>VÄRMLANDS LÄN</t>
        </is>
      </c>
      <c r="E863" t="inlineStr">
        <is>
          <t>TORSBY</t>
        </is>
      </c>
      <c r="F863" t="inlineStr">
        <is>
          <t>Kyrkan</t>
        </is>
      </c>
      <c r="G863" t="n">
        <v>2.4</v>
      </c>
      <c r="H863" t="n">
        <v>0</v>
      </c>
      <c r="I863" t="n">
        <v>0</v>
      </c>
      <c r="J863" t="n">
        <v>0</v>
      </c>
      <c r="K863" t="n">
        <v>0</v>
      </c>
      <c r="L863" t="n">
        <v>0</v>
      </c>
      <c r="M863" t="n">
        <v>0</v>
      </c>
      <c r="N863" t="n">
        <v>0</v>
      </c>
      <c r="O863" t="n">
        <v>0</v>
      </c>
      <c r="P863" t="n">
        <v>0</v>
      </c>
      <c r="Q863" t="n">
        <v>0</v>
      </c>
      <c r="R863" s="2" t="inlineStr"/>
    </row>
    <row r="864" ht="15" customHeight="1">
      <c r="A864" t="inlineStr">
        <is>
          <t>A 44507-2025</t>
        </is>
      </c>
      <c r="B864" s="1" t="n">
        <v>45916</v>
      </c>
      <c r="C864" s="1" t="n">
        <v>46140</v>
      </c>
      <c r="D864" t="inlineStr">
        <is>
          <t>VÄRMLANDS LÄN</t>
        </is>
      </c>
      <c r="E864" t="inlineStr">
        <is>
          <t>TORSBY</t>
        </is>
      </c>
      <c r="F864" t="inlineStr">
        <is>
          <t>Bergvik skog väst AB</t>
        </is>
      </c>
      <c r="G864" t="n">
        <v>10.9</v>
      </c>
      <c r="H864" t="n">
        <v>0</v>
      </c>
      <c r="I864" t="n">
        <v>0</v>
      </c>
      <c r="J864" t="n">
        <v>0</v>
      </c>
      <c r="K864" t="n">
        <v>0</v>
      </c>
      <c r="L864" t="n">
        <v>0</v>
      </c>
      <c r="M864" t="n">
        <v>0</v>
      </c>
      <c r="N864" t="n">
        <v>0</v>
      </c>
      <c r="O864" t="n">
        <v>0</v>
      </c>
      <c r="P864" t="n">
        <v>0</v>
      </c>
      <c r="Q864" t="n">
        <v>0</v>
      </c>
      <c r="R864" s="2" t="inlineStr"/>
    </row>
    <row r="865" ht="15" customHeight="1">
      <c r="A865" t="inlineStr">
        <is>
          <t>A 44273-2025</t>
        </is>
      </c>
      <c r="B865" s="1" t="n">
        <v>45916</v>
      </c>
      <c r="C865" s="1" t="n">
        <v>46140</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38184-2024</t>
        </is>
      </c>
      <c r="B866" s="1" t="n">
        <v>45545</v>
      </c>
      <c r="C866" s="1" t="n">
        <v>46140</v>
      </c>
      <c r="D866" t="inlineStr">
        <is>
          <t>VÄRMLANDS LÄN</t>
        </is>
      </c>
      <c r="E866" t="inlineStr">
        <is>
          <t>TORSBY</t>
        </is>
      </c>
      <c r="G866" t="n">
        <v>2.4</v>
      </c>
      <c r="H866" t="n">
        <v>0</v>
      </c>
      <c r="I866" t="n">
        <v>0</v>
      </c>
      <c r="J866" t="n">
        <v>0</v>
      </c>
      <c r="K866" t="n">
        <v>0</v>
      </c>
      <c r="L866" t="n">
        <v>0</v>
      </c>
      <c r="M866" t="n">
        <v>0</v>
      </c>
      <c r="N866" t="n">
        <v>0</v>
      </c>
      <c r="O866" t="n">
        <v>0</v>
      </c>
      <c r="P866" t="n">
        <v>0</v>
      </c>
      <c r="Q866" t="n">
        <v>0</v>
      </c>
      <c r="R866" s="2" t="inlineStr"/>
    </row>
    <row r="867" ht="15" customHeight="1">
      <c r="A867" t="inlineStr">
        <is>
          <t>A 61546-2024</t>
        </is>
      </c>
      <c r="B867" s="1" t="n">
        <v>45645</v>
      </c>
      <c r="C867" s="1" t="n">
        <v>46140</v>
      </c>
      <c r="D867" t="inlineStr">
        <is>
          <t>VÄRMLANDS LÄN</t>
        </is>
      </c>
      <c r="E867" t="inlineStr">
        <is>
          <t>TORSBY</t>
        </is>
      </c>
      <c r="G867" t="n">
        <v>7.5</v>
      </c>
      <c r="H867" t="n">
        <v>0</v>
      </c>
      <c r="I867" t="n">
        <v>0</v>
      </c>
      <c r="J867" t="n">
        <v>0</v>
      </c>
      <c r="K867" t="n">
        <v>0</v>
      </c>
      <c r="L867" t="n">
        <v>0</v>
      </c>
      <c r="M867" t="n">
        <v>0</v>
      </c>
      <c r="N867" t="n">
        <v>0</v>
      </c>
      <c r="O867" t="n">
        <v>0</v>
      </c>
      <c r="P867" t="n">
        <v>0</v>
      </c>
      <c r="Q867" t="n">
        <v>0</v>
      </c>
      <c r="R867" s="2" t="inlineStr"/>
    </row>
    <row r="868" ht="15" customHeight="1">
      <c r="A868" t="inlineStr">
        <is>
          <t>A 44288-2025</t>
        </is>
      </c>
      <c r="B868" s="1" t="n">
        <v>45916.3500462963</v>
      </c>
      <c r="C868" s="1" t="n">
        <v>46140</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33782-2023</t>
        </is>
      </c>
      <c r="B869" s="1" t="n">
        <v>45120</v>
      </c>
      <c r="C869" s="1" t="n">
        <v>46140</v>
      </c>
      <c r="D869" t="inlineStr">
        <is>
          <t>VÄRMLANDS LÄN</t>
        </is>
      </c>
      <c r="E869" t="inlineStr">
        <is>
          <t>TORSBY</t>
        </is>
      </c>
      <c r="G869" t="n">
        <v>4.1</v>
      </c>
      <c r="H869" t="n">
        <v>0</v>
      </c>
      <c r="I869" t="n">
        <v>0</v>
      </c>
      <c r="J869" t="n">
        <v>0</v>
      </c>
      <c r="K869" t="n">
        <v>0</v>
      </c>
      <c r="L869" t="n">
        <v>0</v>
      </c>
      <c r="M869" t="n">
        <v>0</v>
      </c>
      <c r="N869" t="n">
        <v>0</v>
      </c>
      <c r="O869" t="n">
        <v>0</v>
      </c>
      <c r="P869" t="n">
        <v>0</v>
      </c>
      <c r="Q869" t="n">
        <v>0</v>
      </c>
      <c r="R869" s="2" t="inlineStr"/>
    </row>
    <row r="870" ht="15" customHeight="1">
      <c r="A870" t="inlineStr">
        <is>
          <t>A 44522-2025</t>
        </is>
      </c>
      <c r="B870" s="1" t="n">
        <v>45916</v>
      </c>
      <c r="C870" s="1" t="n">
        <v>46140</v>
      </c>
      <c r="D870" t="inlineStr">
        <is>
          <t>VÄRMLANDS LÄN</t>
        </is>
      </c>
      <c r="E870" t="inlineStr">
        <is>
          <t>TORSBY</t>
        </is>
      </c>
      <c r="G870" t="n">
        <v>3.9</v>
      </c>
      <c r="H870" t="n">
        <v>0</v>
      </c>
      <c r="I870" t="n">
        <v>0</v>
      </c>
      <c r="J870" t="n">
        <v>0</v>
      </c>
      <c r="K870" t="n">
        <v>0</v>
      </c>
      <c r="L870" t="n">
        <v>0</v>
      </c>
      <c r="M870" t="n">
        <v>0</v>
      </c>
      <c r="N870" t="n">
        <v>0</v>
      </c>
      <c r="O870" t="n">
        <v>0</v>
      </c>
      <c r="P870" t="n">
        <v>0</v>
      </c>
      <c r="Q870" t="n">
        <v>0</v>
      </c>
      <c r="R870" s="2" t="inlineStr"/>
    </row>
    <row r="871" ht="15" customHeight="1">
      <c r="A871" t="inlineStr">
        <is>
          <t>A 44055-2025</t>
        </is>
      </c>
      <c r="B871" s="1" t="n">
        <v>45915.52358796296</v>
      </c>
      <c r="C871" s="1" t="n">
        <v>46140</v>
      </c>
      <c r="D871" t="inlineStr">
        <is>
          <t>VÄRMLANDS LÄN</t>
        </is>
      </c>
      <c r="E871" t="inlineStr">
        <is>
          <t>TORSBY</t>
        </is>
      </c>
      <c r="F871" t="inlineStr">
        <is>
          <t>Kyrkan</t>
        </is>
      </c>
      <c r="G871" t="n">
        <v>5.4</v>
      </c>
      <c r="H871" t="n">
        <v>0</v>
      </c>
      <c r="I871" t="n">
        <v>0</v>
      </c>
      <c r="J871" t="n">
        <v>0</v>
      </c>
      <c r="K871" t="n">
        <v>0</v>
      </c>
      <c r="L871" t="n">
        <v>0</v>
      </c>
      <c r="M871" t="n">
        <v>0</v>
      </c>
      <c r="N871" t="n">
        <v>0</v>
      </c>
      <c r="O871" t="n">
        <v>0</v>
      </c>
      <c r="P871" t="n">
        <v>0</v>
      </c>
      <c r="Q871" t="n">
        <v>0</v>
      </c>
      <c r="R871" s="2" t="inlineStr"/>
    </row>
    <row r="872" ht="15" customHeight="1">
      <c r="A872" t="inlineStr">
        <is>
          <t>A 44156-2025</t>
        </is>
      </c>
      <c r="B872" s="1" t="n">
        <v>45915.59539351852</v>
      </c>
      <c r="C872" s="1" t="n">
        <v>46140</v>
      </c>
      <c r="D872" t="inlineStr">
        <is>
          <t>VÄRMLANDS LÄN</t>
        </is>
      </c>
      <c r="E872" t="inlineStr">
        <is>
          <t>TORSBY</t>
        </is>
      </c>
      <c r="F872" t="inlineStr">
        <is>
          <t>Kyrkan</t>
        </is>
      </c>
      <c r="G872" t="n">
        <v>3.2</v>
      </c>
      <c r="H872" t="n">
        <v>0</v>
      </c>
      <c r="I872" t="n">
        <v>0</v>
      </c>
      <c r="J872" t="n">
        <v>0</v>
      </c>
      <c r="K872" t="n">
        <v>0</v>
      </c>
      <c r="L872" t="n">
        <v>0</v>
      </c>
      <c r="M872" t="n">
        <v>0</v>
      </c>
      <c r="N872" t="n">
        <v>0</v>
      </c>
      <c r="O872" t="n">
        <v>0</v>
      </c>
      <c r="P872" t="n">
        <v>0</v>
      </c>
      <c r="Q872" t="n">
        <v>0</v>
      </c>
      <c r="R872" s="2" t="inlineStr"/>
    </row>
    <row r="873" ht="15" customHeight="1">
      <c r="A873" t="inlineStr">
        <is>
          <t>A 44374-2025</t>
        </is>
      </c>
      <c r="B873" s="1" t="n">
        <v>45916.47035879629</v>
      </c>
      <c r="C873" s="1" t="n">
        <v>46140</v>
      </c>
      <c r="D873" t="inlineStr">
        <is>
          <t>VÄRMLANDS LÄN</t>
        </is>
      </c>
      <c r="E873" t="inlineStr">
        <is>
          <t>TORSBY</t>
        </is>
      </c>
      <c r="F873" t="inlineStr">
        <is>
          <t>Bergvik skog väst AB</t>
        </is>
      </c>
      <c r="G873" t="n">
        <v>10.5</v>
      </c>
      <c r="H873" t="n">
        <v>0</v>
      </c>
      <c r="I873" t="n">
        <v>0</v>
      </c>
      <c r="J873" t="n">
        <v>0</v>
      </c>
      <c r="K873" t="n">
        <v>0</v>
      </c>
      <c r="L873" t="n">
        <v>0</v>
      </c>
      <c r="M873" t="n">
        <v>0</v>
      </c>
      <c r="N873" t="n">
        <v>0</v>
      </c>
      <c r="O873" t="n">
        <v>0</v>
      </c>
      <c r="P873" t="n">
        <v>0</v>
      </c>
      <c r="Q873" t="n">
        <v>0</v>
      </c>
      <c r="R873" s="2" t="inlineStr"/>
    </row>
    <row r="874" ht="15" customHeight="1">
      <c r="A874" t="inlineStr">
        <is>
          <t>A 44133-2025</t>
        </is>
      </c>
      <c r="B874" s="1" t="n">
        <v>45915</v>
      </c>
      <c r="C874" s="1" t="n">
        <v>46140</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44286-2025</t>
        </is>
      </c>
      <c r="B875" s="1" t="n">
        <v>45916</v>
      </c>
      <c r="C875" s="1" t="n">
        <v>46140</v>
      </c>
      <c r="D875" t="inlineStr">
        <is>
          <t>VÄRMLANDS LÄN</t>
        </is>
      </c>
      <c r="E875" t="inlineStr">
        <is>
          <t>TORSBY</t>
        </is>
      </c>
      <c r="F875" t="inlineStr">
        <is>
          <t>Bergvik skog väst AB</t>
        </is>
      </c>
      <c r="G875" t="n">
        <v>13.8</v>
      </c>
      <c r="H875" t="n">
        <v>0</v>
      </c>
      <c r="I875" t="n">
        <v>0</v>
      </c>
      <c r="J875" t="n">
        <v>0</v>
      </c>
      <c r="K875" t="n">
        <v>0</v>
      </c>
      <c r="L875" t="n">
        <v>0</v>
      </c>
      <c r="M875" t="n">
        <v>0</v>
      </c>
      <c r="N875" t="n">
        <v>0</v>
      </c>
      <c r="O875" t="n">
        <v>0</v>
      </c>
      <c r="P875" t="n">
        <v>0</v>
      </c>
      <c r="Q875" t="n">
        <v>0</v>
      </c>
      <c r="R875" s="2" t="inlineStr"/>
    </row>
    <row r="876" ht="15" customHeight="1">
      <c r="A876" t="inlineStr">
        <is>
          <t>A 44290-2025</t>
        </is>
      </c>
      <c r="B876" s="1" t="n">
        <v>45916.35228009259</v>
      </c>
      <c r="C876" s="1" t="n">
        <v>46140</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44220-2025</t>
        </is>
      </c>
      <c r="B877" s="1" t="n">
        <v>45915</v>
      </c>
      <c r="C877" s="1" t="n">
        <v>46140</v>
      </c>
      <c r="D877" t="inlineStr">
        <is>
          <t>VÄRMLANDS LÄN</t>
        </is>
      </c>
      <c r="E877" t="inlineStr">
        <is>
          <t>TORSBY</t>
        </is>
      </c>
      <c r="F877" t="inlineStr">
        <is>
          <t>Kommuner</t>
        </is>
      </c>
      <c r="G877" t="n">
        <v>4.9</v>
      </c>
      <c r="H877" t="n">
        <v>0</v>
      </c>
      <c r="I877" t="n">
        <v>0</v>
      </c>
      <c r="J877" t="n">
        <v>0</v>
      </c>
      <c r="K877" t="n">
        <v>0</v>
      </c>
      <c r="L877" t="n">
        <v>0</v>
      </c>
      <c r="M877" t="n">
        <v>0</v>
      </c>
      <c r="N877" t="n">
        <v>0</v>
      </c>
      <c r="O877" t="n">
        <v>0</v>
      </c>
      <c r="P877" t="n">
        <v>0</v>
      </c>
      <c r="Q877" t="n">
        <v>0</v>
      </c>
      <c r="R877" s="2" t="inlineStr"/>
    </row>
    <row r="878" ht="15" customHeight="1">
      <c r="A878" t="inlineStr">
        <is>
          <t>A 34568-2022</t>
        </is>
      </c>
      <c r="B878" s="1" t="n">
        <v>44795.28277777778</v>
      </c>
      <c r="C878" s="1" t="n">
        <v>46140</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44901-2025</t>
        </is>
      </c>
      <c r="B879" s="1" t="n">
        <v>45918</v>
      </c>
      <c r="C879" s="1" t="n">
        <v>46140</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44808-2025</t>
        </is>
      </c>
      <c r="B880" s="1" t="n">
        <v>45918</v>
      </c>
      <c r="C880" s="1" t="n">
        <v>46140</v>
      </c>
      <c r="D880" t="inlineStr">
        <is>
          <t>VÄRMLANDS LÄN</t>
        </is>
      </c>
      <c r="E880" t="inlineStr">
        <is>
          <t>TORSBY</t>
        </is>
      </c>
      <c r="G880" t="n">
        <v>7.2</v>
      </c>
      <c r="H880" t="n">
        <v>0</v>
      </c>
      <c r="I880" t="n">
        <v>0</v>
      </c>
      <c r="J880" t="n">
        <v>0</v>
      </c>
      <c r="K880" t="n">
        <v>0</v>
      </c>
      <c r="L880" t="n">
        <v>0</v>
      </c>
      <c r="M880" t="n">
        <v>0</v>
      </c>
      <c r="N880" t="n">
        <v>0</v>
      </c>
      <c r="O880" t="n">
        <v>0</v>
      </c>
      <c r="P880" t="n">
        <v>0</v>
      </c>
      <c r="Q880" t="n">
        <v>0</v>
      </c>
      <c r="R880" s="2" t="inlineStr"/>
    </row>
    <row r="881" ht="15" customHeight="1">
      <c r="A881" t="inlineStr">
        <is>
          <t>A 18684-2025</t>
        </is>
      </c>
      <c r="B881" s="1" t="n">
        <v>45763.61064814815</v>
      </c>
      <c r="C881" s="1" t="n">
        <v>46140</v>
      </c>
      <c r="D881" t="inlineStr">
        <is>
          <t>VÄRMLANDS LÄN</t>
        </is>
      </c>
      <c r="E881" t="inlineStr">
        <is>
          <t>TORSBY</t>
        </is>
      </c>
      <c r="G881" t="n">
        <v>4.5</v>
      </c>
      <c r="H881" t="n">
        <v>0</v>
      </c>
      <c r="I881" t="n">
        <v>0</v>
      </c>
      <c r="J881" t="n">
        <v>0</v>
      </c>
      <c r="K881" t="n">
        <v>0</v>
      </c>
      <c r="L881" t="n">
        <v>0</v>
      </c>
      <c r="M881" t="n">
        <v>0</v>
      </c>
      <c r="N881" t="n">
        <v>0</v>
      </c>
      <c r="O881" t="n">
        <v>0</v>
      </c>
      <c r="P881" t="n">
        <v>0</v>
      </c>
      <c r="Q881" t="n">
        <v>0</v>
      </c>
      <c r="R881" s="2" t="inlineStr"/>
    </row>
    <row r="882" ht="15" customHeight="1">
      <c r="A882" t="inlineStr">
        <is>
          <t>A 44590-2025</t>
        </is>
      </c>
      <c r="B882" s="1" t="n">
        <v>45917.42607638889</v>
      </c>
      <c r="C882" s="1" t="n">
        <v>46140</v>
      </c>
      <c r="D882" t="inlineStr">
        <is>
          <t>VÄRMLANDS LÄN</t>
        </is>
      </c>
      <c r="E882" t="inlineStr">
        <is>
          <t>TORSBY</t>
        </is>
      </c>
      <c r="F882" t="inlineStr">
        <is>
          <t>Bergvik skog väst AB</t>
        </is>
      </c>
      <c r="G882" t="n">
        <v>10.3</v>
      </c>
      <c r="H882" t="n">
        <v>0</v>
      </c>
      <c r="I882" t="n">
        <v>0</v>
      </c>
      <c r="J882" t="n">
        <v>0</v>
      </c>
      <c r="K882" t="n">
        <v>0</v>
      </c>
      <c r="L882" t="n">
        <v>0</v>
      </c>
      <c r="M882" t="n">
        <v>0</v>
      </c>
      <c r="N882" t="n">
        <v>0</v>
      </c>
      <c r="O882" t="n">
        <v>0</v>
      </c>
      <c r="P882" t="n">
        <v>0</v>
      </c>
      <c r="Q882" t="n">
        <v>0</v>
      </c>
      <c r="R882" s="2" t="inlineStr"/>
    </row>
    <row r="883" ht="15" customHeight="1">
      <c r="A883" t="inlineStr">
        <is>
          <t>A 44710-2025</t>
        </is>
      </c>
      <c r="B883" s="1" t="n">
        <v>45917.61743055555</v>
      </c>
      <c r="C883" s="1" t="n">
        <v>46140</v>
      </c>
      <c r="D883" t="inlineStr">
        <is>
          <t>VÄRMLANDS LÄN</t>
        </is>
      </c>
      <c r="E883" t="inlineStr">
        <is>
          <t>TORSBY</t>
        </is>
      </c>
      <c r="G883" t="n">
        <v>7.5</v>
      </c>
      <c r="H883" t="n">
        <v>0</v>
      </c>
      <c r="I883" t="n">
        <v>0</v>
      </c>
      <c r="J883" t="n">
        <v>0</v>
      </c>
      <c r="K883" t="n">
        <v>0</v>
      </c>
      <c r="L883" t="n">
        <v>0</v>
      </c>
      <c r="M883" t="n">
        <v>0</v>
      </c>
      <c r="N883" t="n">
        <v>0</v>
      </c>
      <c r="O883" t="n">
        <v>0</v>
      </c>
      <c r="P883" t="n">
        <v>0</v>
      </c>
      <c r="Q883" t="n">
        <v>0</v>
      </c>
      <c r="R883" s="2" t="inlineStr"/>
    </row>
    <row r="884" ht="15" customHeight="1">
      <c r="A884" t="inlineStr">
        <is>
          <t>A 44794-2025</t>
        </is>
      </c>
      <c r="B884" s="1" t="n">
        <v>45918.34465277778</v>
      </c>
      <c r="C884" s="1" t="n">
        <v>46140</v>
      </c>
      <c r="D884" t="inlineStr">
        <is>
          <t>VÄRMLANDS LÄN</t>
        </is>
      </c>
      <c r="E884" t="inlineStr">
        <is>
          <t>TORSBY</t>
        </is>
      </c>
      <c r="G884" t="n">
        <v>3.4</v>
      </c>
      <c r="H884" t="n">
        <v>0</v>
      </c>
      <c r="I884" t="n">
        <v>0</v>
      </c>
      <c r="J884" t="n">
        <v>0</v>
      </c>
      <c r="K884" t="n">
        <v>0</v>
      </c>
      <c r="L884" t="n">
        <v>0</v>
      </c>
      <c r="M884" t="n">
        <v>0</v>
      </c>
      <c r="N884" t="n">
        <v>0</v>
      </c>
      <c r="O884" t="n">
        <v>0</v>
      </c>
      <c r="P884" t="n">
        <v>0</v>
      </c>
      <c r="Q884" t="n">
        <v>0</v>
      </c>
      <c r="R884" s="2" t="inlineStr"/>
    </row>
    <row r="885" ht="15" customHeight="1">
      <c r="A885" t="inlineStr">
        <is>
          <t>A 44817-2025</t>
        </is>
      </c>
      <c r="B885" s="1" t="n">
        <v>45918</v>
      </c>
      <c r="C885" s="1" t="n">
        <v>46140</v>
      </c>
      <c r="D885" t="inlineStr">
        <is>
          <t>VÄRMLANDS LÄN</t>
        </is>
      </c>
      <c r="E885" t="inlineStr">
        <is>
          <t>TORSBY</t>
        </is>
      </c>
      <c r="F885" t="inlineStr">
        <is>
          <t>Bergvik skog väst AB</t>
        </is>
      </c>
      <c r="G885" t="n">
        <v>6.2</v>
      </c>
      <c r="H885" t="n">
        <v>0</v>
      </c>
      <c r="I885" t="n">
        <v>0</v>
      </c>
      <c r="J885" t="n">
        <v>0</v>
      </c>
      <c r="K885" t="n">
        <v>0</v>
      </c>
      <c r="L885" t="n">
        <v>0</v>
      </c>
      <c r="M885" t="n">
        <v>0</v>
      </c>
      <c r="N885" t="n">
        <v>0</v>
      </c>
      <c r="O885" t="n">
        <v>0</v>
      </c>
      <c r="P885" t="n">
        <v>0</v>
      </c>
      <c r="Q885" t="n">
        <v>0</v>
      </c>
      <c r="R885" s="2" t="inlineStr"/>
    </row>
    <row r="886" ht="15" customHeight="1">
      <c r="A886" t="inlineStr">
        <is>
          <t>A 57172-2022</t>
        </is>
      </c>
      <c r="B886" s="1" t="n">
        <v>44895</v>
      </c>
      <c r="C886" s="1" t="n">
        <v>46140</v>
      </c>
      <c r="D886" t="inlineStr">
        <is>
          <t>VÄRMLANDS LÄN</t>
        </is>
      </c>
      <c r="E886" t="inlineStr">
        <is>
          <t>TORSBY</t>
        </is>
      </c>
      <c r="G886" t="n">
        <v>3.8</v>
      </c>
      <c r="H886" t="n">
        <v>0</v>
      </c>
      <c r="I886" t="n">
        <v>0</v>
      </c>
      <c r="J886" t="n">
        <v>0</v>
      </c>
      <c r="K886" t="n">
        <v>0</v>
      </c>
      <c r="L886" t="n">
        <v>0</v>
      </c>
      <c r="M886" t="n">
        <v>0</v>
      </c>
      <c r="N886" t="n">
        <v>0</v>
      </c>
      <c r="O886" t="n">
        <v>0</v>
      </c>
      <c r="P886" t="n">
        <v>0</v>
      </c>
      <c r="Q886" t="n">
        <v>0</v>
      </c>
      <c r="R886" s="2" t="inlineStr"/>
    </row>
    <row r="887" ht="15" customHeight="1">
      <c r="A887" t="inlineStr">
        <is>
          <t>A 41843-2023</t>
        </is>
      </c>
      <c r="B887" s="1" t="n">
        <v>45176.60533564815</v>
      </c>
      <c r="C887" s="1" t="n">
        <v>46140</v>
      </c>
      <c r="D887" t="inlineStr">
        <is>
          <t>VÄRMLANDS LÄN</t>
        </is>
      </c>
      <c r="E887" t="inlineStr">
        <is>
          <t>TORSBY</t>
        </is>
      </c>
      <c r="G887" t="n">
        <v>2.2</v>
      </c>
      <c r="H887" t="n">
        <v>0</v>
      </c>
      <c r="I887" t="n">
        <v>0</v>
      </c>
      <c r="J887" t="n">
        <v>0</v>
      </c>
      <c r="K887" t="n">
        <v>0</v>
      </c>
      <c r="L887" t="n">
        <v>0</v>
      </c>
      <c r="M887" t="n">
        <v>0</v>
      </c>
      <c r="N887" t="n">
        <v>0</v>
      </c>
      <c r="O887" t="n">
        <v>0</v>
      </c>
      <c r="P887" t="n">
        <v>0</v>
      </c>
      <c r="Q887" t="n">
        <v>0</v>
      </c>
      <c r="R887" s="2" t="inlineStr"/>
    </row>
    <row r="888" ht="15" customHeight="1">
      <c r="A888" t="inlineStr">
        <is>
          <t>A 44976-2025</t>
        </is>
      </c>
      <c r="B888" s="1" t="n">
        <v>45918</v>
      </c>
      <c r="C888" s="1" t="n">
        <v>46140</v>
      </c>
      <c r="D888" t="inlineStr">
        <is>
          <t>VÄRMLANDS LÄN</t>
        </is>
      </c>
      <c r="E888" t="inlineStr">
        <is>
          <t>TORSBY</t>
        </is>
      </c>
      <c r="F888" t="inlineStr">
        <is>
          <t>Bergvik skog väst AB</t>
        </is>
      </c>
      <c r="G888" t="n">
        <v>2.6</v>
      </c>
      <c r="H888" t="n">
        <v>0</v>
      </c>
      <c r="I888" t="n">
        <v>0</v>
      </c>
      <c r="J888" t="n">
        <v>0</v>
      </c>
      <c r="K888" t="n">
        <v>0</v>
      </c>
      <c r="L888" t="n">
        <v>0</v>
      </c>
      <c r="M888" t="n">
        <v>0</v>
      </c>
      <c r="N888" t="n">
        <v>0</v>
      </c>
      <c r="O888" t="n">
        <v>0</v>
      </c>
      <c r="P888" t="n">
        <v>0</v>
      </c>
      <c r="Q888" t="n">
        <v>0</v>
      </c>
      <c r="R888" s="2" t="inlineStr"/>
    </row>
    <row r="889" ht="15" customHeight="1">
      <c r="A889" t="inlineStr">
        <is>
          <t>A 44995-2025</t>
        </is>
      </c>
      <c r="B889" s="1" t="n">
        <v>45918</v>
      </c>
      <c r="C889" s="1" t="n">
        <v>46140</v>
      </c>
      <c r="D889" t="inlineStr">
        <is>
          <t>VÄRMLANDS LÄN</t>
        </is>
      </c>
      <c r="E889" t="inlineStr">
        <is>
          <t>TORSBY</t>
        </is>
      </c>
      <c r="F889" t="inlineStr">
        <is>
          <t>Bergvik skog väst AB</t>
        </is>
      </c>
      <c r="G889" t="n">
        <v>18.7</v>
      </c>
      <c r="H889" t="n">
        <v>0</v>
      </c>
      <c r="I889" t="n">
        <v>0</v>
      </c>
      <c r="J889" t="n">
        <v>0</v>
      </c>
      <c r="K889" t="n">
        <v>0</v>
      </c>
      <c r="L889" t="n">
        <v>0</v>
      </c>
      <c r="M889" t="n">
        <v>0</v>
      </c>
      <c r="N889" t="n">
        <v>0</v>
      </c>
      <c r="O889" t="n">
        <v>0</v>
      </c>
      <c r="P889" t="n">
        <v>0</v>
      </c>
      <c r="Q889" t="n">
        <v>0</v>
      </c>
      <c r="R889" s="2" t="inlineStr"/>
      <c r="U889">
        <f>HYPERLINK("https://klasma.github.io/Logging_1737/knärot/A 44995-2025 karta knärot.png", "A 44995-2025")</f>
        <v/>
      </c>
      <c r="V889">
        <f>HYPERLINK("https://klasma.github.io/Logging_1737/klagomål/A 44995-2025 FSC-klagomål.docx", "A 44995-2025")</f>
        <v/>
      </c>
      <c r="W889">
        <f>HYPERLINK("https://klasma.github.io/Logging_1737/klagomålsmail/A 44995-2025 FSC-klagomål mail.docx", "A 44995-2025")</f>
        <v/>
      </c>
      <c r="X889">
        <f>HYPERLINK("https://klasma.github.io/Logging_1737/tillsyn/A 44995-2025 tillsynsbegäran.docx", "A 44995-2025")</f>
        <v/>
      </c>
      <c r="Y889">
        <f>HYPERLINK("https://klasma.github.io/Logging_1737/tillsynsmail/A 44995-2025 tillsynsbegäran mail.docx", "A 44995-2025")</f>
        <v/>
      </c>
    </row>
    <row r="890" ht="15" customHeight="1">
      <c r="A890" t="inlineStr">
        <is>
          <t>A 19527-2023</t>
        </is>
      </c>
      <c r="B890" s="1" t="n">
        <v>45050</v>
      </c>
      <c r="C890" s="1" t="n">
        <v>46140</v>
      </c>
      <c r="D890" t="inlineStr">
        <is>
          <t>VÄRMLANDS LÄN</t>
        </is>
      </c>
      <c r="E890" t="inlineStr">
        <is>
          <t>TORSBY</t>
        </is>
      </c>
      <c r="G890" t="n">
        <v>1.9</v>
      </c>
      <c r="H890" t="n">
        <v>0</v>
      </c>
      <c r="I890" t="n">
        <v>0</v>
      </c>
      <c r="J890" t="n">
        <v>0</v>
      </c>
      <c r="K890" t="n">
        <v>0</v>
      </c>
      <c r="L890" t="n">
        <v>0</v>
      </c>
      <c r="M890" t="n">
        <v>0</v>
      </c>
      <c r="N890" t="n">
        <v>0</v>
      </c>
      <c r="O890" t="n">
        <v>0</v>
      </c>
      <c r="P890" t="n">
        <v>0</v>
      </c>
      <c r="Q890" t="n">
        <v>0</v>
      </c>
      <c r="R890" s="2" t="inlineStr"/>
    </row>
    <row r="891" ht="15" customHeight="1">
      <c r="A891" t="inlineStr">
        <is>
          <t>A 44821-2025</t>
        </is>
      </c>
      <c r="B891" s="1" t="n">
        <v>45918</v>
      </c>
      <c r="C891" s="1" t="n">
        <v>46140</v>
      </c>
      <c r="D891" t="inlineStr">
        <is>
          <t>VÄRMLANDS LÄN</t>
        </is>
      </c>
      <c r="E891" t="inlineStr">
        <is>
          <t>TORSBY</t>
        </is>
      </c>
      <c r="F891" t="inlineStr">
        <is>
          <t>Bergvik skog väst AB</t>
        </is>
      </c>
      <c r="G891" t="n">
        <v>10.9</v>
      </c>
      <c r="H891" t="n">
        <v>0</v>
      </c>
      <c r="I891" t="n">
        <v>0</v>
      </c>
      <c r="J891" t="n">
        <v>0</v>
      </c>
      <c r="K891" t="n">
        <v>0</v>
      </c>
      <c r="L891" t="n">
        <v>0</v>
      </c>
      <c r="M891" t="n">
        <v>0</v>
      </c>
      <c r="N891" t="n">
        <v>0</v>
      </c>
      <c r="O891" t="n">
        <v>0</v>
      </c>
      <c r="P891" t="n">
        <v>0</v>
      </c>
      <c r="Q891" t="n">
        <v>0</v>
      </c>
      <c r="R891" s="2" t="inlineStr"/>
    </row>
    <row r="892" ht="15" customHeight="1">
      <c r="A892" t="inlineStr">
        <is>
          <t>A 44715-2025</t>
        </is>
      </c>
      <c r="B892" s="1" t="n">
        <v>45917.62854166667</v>
      </c>
      <c r="C892" s="1" t="n">
        <v>46140</v>
      </c>
      <c r="D892" t="inlineStr">
        <is>
          <t>VÄRMLANDS LÄN</t>
        </is>
      </c>
      <c r="E892" t="inlineStr">
        <is>
          <t>TORSBY</t>
        </is>
      </c>
      <c r="G892" t="n">
        <v>0.6</v>
      </c>
      <c r="H892" t="n">
        <v>0</v>
      </c>
      <c r="I892" t="n">
        <v>0</v>
      </c>
      <c r="J892" t="n">
        <v>0</v>
      </c>
      <c r="K892" t="n">
        <v>0</v>
      </c>
      <c r="L892" t="n">
        <v>0</v>
      </c>
      <c r="M892" t="n">
        <v>0</v>
      </c>
      <c r="N892" t="n">
        <v>0</v>
      </c>
      <c r="O892" t="n">
        <v>0</v>
      </c>
      <c r="P892" t="n">
        <v>0</v>
      </c>
      <c r="Q892" t="n">
        <v>0</v>
      </c>
      <c r="R892" s="2" t="inlineStr"/>
    </row>
    <row r="893" ht="15" customHeight="1">
      <c r="A893" t="inlineStr">
        <is>
          <t>A 18244-2023</t>
        </is>
      </c>
      <c r="B893" s="1" t="n">
        <v>45041</v>
      </c>
      <c r="C893" s="1" t="n">
        <v>46140</v>
      </c>
      <c r="D893" t="inlineStr">
        <is>
          <t>VÄRMLANDS LÄN</t>
        </is>
      </c>
      <c r="E893" t="inlineStr">
        <is>
          <t>TORSBY</t>
        </is>
      </c>
      <c r="G893" t="n">
        <v>0.6</v>
      </c>
      <c r="H893" t="n">
        <v>0</v>
      </c>
      <c r="I893" t="n">
        <v>0</v>
      </c>
      <c r="J893" t="n">
        <v>0</v>
      </c>
      <c r="K893" t="n">
        <v>0</v>
      </c>
      <c r="L893" t="n">
        <v>0</v>
      </c>
      <c r="M893" t="n">
        <v>0</v>
      </c>
      <c r="N893" t="n">
        <v>0</v>
      </c>
      <c r="O893" t="n">
        <v>0</v>
      </c>
      <c r="P893" t="n">
        <v>0</v>
      </c>
      <c r="Q893" t="n">
        <v>0</v>
      </c>
      <c r="R893" s="2" t="inlineStr"/>
    </row>
    <row r="894" ht="15" customHeight="1">
      <c r="A894" t="inlineStr">
        <is>
          <t>A 45380-2025</t>
        </is>
      </c>
      <c r="B894" s="1" t="n">
        <v>45922</v>
      </c>
      <c r="C894" s="1" t="n">
        <v>46140</v>
      </c>
      <c r="D894" t="inlineStr">
        <is>
          <t>VÄRMLANDS LÄN</t>
        </is>
      </c>
      <c r="E894" t="inlineStr">
        <is>
          <t>TORSBY</t>
        </is>
      </c>
      <c r="G894" t="n">
        <v>4.8</v>
      </c>
      <c r="H894" t="n">
        <v>0</v>
      </c>
      <c r="I894" t="n">
        <v>0</v>
      </c>
      <c r="J894" t="n">
        <v>0</v>
      </c>
      <c r="K894" t="n">
        <v>0</v>
      </c>
      <c r="L894" t="n">
        <v>0</v>
      </c>
      <c r="M894" t="n">
        <v>0</v>
      </c>
      <c r="N894" t="n">
        <v>0</v>
      </c>
      <c r="O894" t="n">
        <v>0</v>
      </c>
      <c r="P894" t="n">
        <v>0</v>
      </c>
      <c r="Q894" t="n">
        <v>0</v>
      </c>
      <c r="R894" s="2" t="inlineStr"/>
    </row>
    <row r="895" ht="15" customHeight="1">
      <c r="A895" t="inlineStr">
        <is>
          <t>A 45108-2025</t>
        </is>
      </c>
      <c r="B895" s="1" t="n">
        <v>45919.41467592592</v>
      </c>
      <c r="C895" s="1" t="n">
        <v>46140</v>
      </c>
      <c r="D895" t="inlineStr">
        <is>
          <t>VÄRMLANDS LÄN</t>
        </is>
      </c>
      <c r="E895" t="inlineStr">
        <is>
          <t>TORSBY</t>
        </is>
      </c>
      <c r="F895" t="inlineStr">
        <is>
          <t>Bergvik skog väst AB</t>
        </is>
      </c>
      <c r="G895" t="n">
        <v>24.4</v>
      </c>
      <c r="H895" t="n">
        <v>0</v>
      </c>
      <c r="I895" t="n">
        <v>0</v>
      </c>
      <c r="J895" t="n">
        <v>0</v>
      </c>
      <c r="K895" t="n">
        <v>0</v>
      </c>
      <c r="L895" t="n">
        <v>0</v>
      </c>
      <c r="M895" t="n">
        <v>0</v>
      </c>
      <c r="N895" t="n">
        <v>0</v>
      </c>
      <c r="O895" t="n">
        <v>0</v>
      </c>
      <c r="P895" t="n">
        <v>0</v>
      </c>
      <c r="Q895" t="n">
        <v>0</v>
      </c>
      <c r="R895" s="2" t="inlineStr"/>
    </row>
    <row r="896" ht="15" customHeight="1">
      <c r="A896" t="inlineStr">
        <is>
          <t>A 43111-2022</t>
        </is>
      </c>
      <c r="B896" s="1" t="n">
        <v>44833</v>
      </c>
      <c r="C896" s="1" t="n">
        <v>46140</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45245-2025</t>
        </is>
      </c>
      <c r="B897" s="1" t="n">
        <v>45919.60621527778</v>
      </c>
      <c r="C897" s="1" t="n">
        <v>46140</v>
      </c>
      <c r="D897" t="inlineStr">
        <is>
          <t>VÄRMLANDS LÄN</t>
        </is>
      </c>
      <c r="E897" t="inlineStr">
        <is>
          <t>TORSBY</t>
        </is>
      </c>
      <c r="F897" t="inlineStr">
        <is>
          <t>Kyrkan</t>
        </is>
      </c>
      <c r="G897" t="n">
        <v>2.8</v>
      </c>
      <c r="H897" t="n">
        <v>0</v>
      </c>
      <c r="I897" t="n">
        <v>0</v>
      </c>
      <c r="J897" t="n">
        <v>0</v>
      </c>
      <c r="K897" t="n">
        <v>0</v>
      </c>
      <c r="L897" t="n">
        <v>0</v>
      </c>
      <c r="M897" t="n">
        <v>0</v>
      </c>
      <c r="N897" t="n">
        <v>0</v>
      </c>
      <c r="O897" t="n">
        <v>0</v>
      </c>
      <c r="P897" t="n">
        <v>0</v>
      </c>
      <c r="Q897" t="n">
        <v>0</v>
      </c>
      <c r="R897" s="2" t="inlineStr"/>
    </row>
    <row r="898" ht="15" customHeight="1">
      <c r="A898" t="inlineStr">
        <is>
          <t>A 45268-2025</t>
        </is>
      </c>
      <c r="B898" s="1" t="n">
        <v>45919.66782407407</v>
      </c>
      <c r="C898" s="1" t="n">
        <v>46140</v>
      </c>
      <c r="D898" t="inlineStr">
        <is>
          <t>VÄRMLANDS LÄN</t>
        </is>
      </c>
      <c r="E898" t="inlineStr">
        <is>
          <t>TORSBY</t>
        </is>
      </c>
      <c r="F898" t="inlineStr">
        <is>
          <t>Bergvik skog väst AB</t>
        </is>
      </c>
      <c r="G898" t="n">
        <v>2</v>
      </c>
      <c r="H898" t="n">
        <v>0</v>
      </c>
      <c r="I898" t="n">
        <v>0</v>
      </c>
      <c r="J898" t="n">
        <v>0</v>
      </c>
      <c r="K898" t="n">
        <v>0</v>
      </c>
      <c r="L898" t="n">
        <v>0</v>
      </c>
      <c r="M898" t="n">
        <v>0</v>
      </c>
      <c r="N898" t="n">
        <v>0</v>
      </c>
      <c r="O898" t="n">
        <v>0</v>
      </c>
      <c r="P898" t="n">
        <v>0</v>
      </c>
      <c r="Q898" t="n">
        <v>0</v>
      </c>
      <c r="R898" s="2" t="inlineStr"/>
    </row>
    <row r="899" ht="15" customHeight="1">
      <c r="A899" t="inlineStr">
        <is>
          <t>A 45269-2025</t>
        </is>
      </c>
      <c r="B899" s="1" t="n">
        <v>45919.67443287037</v>
      </c>
      <c r="C899" s="1" t="n">
        <v>46140</v>
      </c>
      <c r="D899" t="inlineStr">
        <is>
          <t>VÄRMLANDS LÄN</t>
        </is>
      </c>
      <c r="E899" t="inlineStr">
        <is>
          <t>TORSBY</t>
        </is>
      </c>
      <c r="F899" t="inlineStr">
        <is>
          <t>Bergvik skog väst AB</t>
        </is>
      </c>
      <c r="G899" t="n">
        <v>3.4</v>
      </c>
      <c r="H899" t="n">
        <v>0</v>
      </c>
      <c r="I899" t="n">
        <v>0</v>
      </c>
      <c r="J899" t="n">
        <v>0</v>
      </c>
      <c r="K899" t="n">
        <v>0</v>
      </c>
      <c r="L899" t="n">
        <v>0</v>
      </c>
      <c r="M899" t="n">
        <v>0</v>
      </c>
      <c r="N899" t="n">
        <v>0</v>
      </c>
      <c r="O899" t="n">
        <v>0</v>
      </c>
      <c r="P899" t="n">
        <v>0</v>
      </c>
      <c r="Q899" t="n">
        <v>0</v>
      </c>
      <c r="R899" s="2" t="inlineStr"/>
    </row>
    <row r="900" ht="15" customHeight="1">
      <c r="A900" t="inlineStr">
        <is>
          <t>A 45043-2025</t>
        </is>
      </c>
      <c r="B900" s="1" t="n">
        <v>45918.92902777778</v>
      </c>
      <c r="C900" s="1" t="n">
        <v>46140</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45056-2022</t>
        </is>
      </c>
      <c r="B901" s="1" t="n">
        <v>44841.72731481482</v>
      </c>
      <c r="C901" s="1" t="n">
        <v>46140</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42481-2025</t>
        </is>
      </c>
      <c r="B902" s="1" t="n">
        <v>45904</v>
      </c>
      <c r="C902" s="1" t="n">
        <v>46140</v>
      </c>
      <c r="D902" t="inlineStr">
        <is>
          <t>VÄRMLANDS LÄN</t>
        </is>
      </c>
      <c r="E902" t="inlineStr">
        <is>
          <t>TORSBY</t>
        </is>
      </c>
      <c r="G902" t="n">
        <v>1.7</v>
      </c>
      <c r="H902" t="n">
        <v>0</v>
      </c>
      <c r="I902" t="n">
        <v>0</v>
      </c>
      <c r="J902" t="n">
        <v>0</v>
      </c>
      <c r="K902" t="n">
        <v>0</v>
      </c>
      <c r="L902" t="n">
        <v>0</v>
      </c>
      <c r="M902" t="n">
        <v>0</v>
      </c>
      <c r="N902" t="n">
        <v>0</v>
      </c>
      <c r="O902" t="n">
        <v>0</v>
      </c>
      <c r="P902" t="n">
        <v>0</v>
      </c>
      <c r="Q902" t="n">
        <v>0</v>
      </c>
      <c r="R902" s="2" t="inlineStr"/>
    </row>
    <row r="903" ht="15" customHeight="1">
      <c r="A903" t="inlineStr">
        <is>
          <t>A 3397-2022</t>
        </is>
      </c>
      <c r="B903" s="1" t="n">
        <v>44585</v>
      </c>
      <c r="C903" s="1" t="n">
        <v>46140</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45093-2025</t>
        </is>
      </c>
      <c r="B904" s="1" t="n">
        <v>45919.38398148148</v>
      </c>
      <c r="C904" s="1" t="n">
        <v>46140</v>
      </c>
      <c r="D904" t="inlineStr">
        <is>
          <t>VÄRMLANDS LÄN</t>
        </is>
      </c>
      <c r="E904" t="inlineStr">
        <is>
          <t>TORSBY</t>
        </is>
      </c>
      <c r="G904" t="n">
        <v>4.2</v>
      </c>
      <c r="H904" t="n">
        <v>0</v>
      </c>
      <c r="I904" t="n">
        <v>0</v>
      </c>
      <c r="J904" t="n">
        <v>0</v>
      </c>
      <c r="K904" t="n">
        <v>0</v>
      </c>
      <c r="L904" t="n">
        <v>0</v>
      </c>
      <c r="M904" t="n">
        <v>0</v>
      </c>
      <c r="N904" t="n">
        <v>0</v>
      </c>
      <c r="O904" t="n">
        <v>0</v>
      </c>
      <c r="P904" t="n">
        <v>0</v>
      </c>
      <c r="Q904" t="n">
        <v>0</v>
      </c>
      <c r="R904" s="2" t="inlineStr"/>
    </row>
    <row r="905" ht="15" customHeight="1">
      <c r="A905" t="inlineStr">
        <is>
          <t>A 45133-2025</t>
        </is>
      </c>
      <c r="B905" s="1" t="n">
        <v>45919.4447337963</v>
      </c>
      <c r="C905" s="1" t="n">
        <v>46140</v>
      </c>
      <c r="D905" t="inlineStr">
        <is>
          <t>VÄRMLANDS LÄN</t>
        </is>
      </c>
      <c r="E905" t="inlineStr">
        <is>
          <t>TORSBY</t>
        </is>
      </c>
      <c r="F905" t="inlineStr">
        <is>
          <t>Bergvik skog väst AB</t>
        </is>
      </c>
      <c r="G905" t="n">
        <v>4.3</v>
      </c>
      <c r="H905" t="n">
        <v>0</v>
      </c>
      <c r="I905" t="n">
        <v>0</v>
      </c>
      <c r="J905" t="n">
        <v>0</v>
      </c>
      <c r="K905" t="n">
        <v>0</v>
      </c>
      <c r="L905" t="n">
        <v>0</v>
      </c>
      <c r="M905" t="n">
        <v>0</v>
      </c>
      <c r="N905" t="n">
        <v>0</v>
      </c>
      <c r="O905" t="n">
        <v>0</v>
      </c>
      <c r="P905" t="n">
        <v>0</v>
      </c>
      <c r="Q905" t="n">
        <v>0</v>
      </c>
      <c r="R905" s="2" t="inlineStr"/>
    </row>
    <row r="906" ht="15" customHeight="1">
      <c r="A906" t="inlineStr">
        <is>
          <t>A 45489-2025</t>
        </is>
      </c>
      <c r="B906" s="1" t="n">
        <v>45921</v>
      </c>
      <c r="C906" s="1" t="n">
        <v>46140</v>
      </c>
      <c r="D906" t="inlineStr">
        <is>
          <t>VÄRMLANDS LÄN</t>
        </is>
      </c>
      <c r="E906" t="inlineStr">
        <is>
          <t>TORSBY</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30735-2025</t>
        </is>
      </c>
      <c r="B907" s="1" t="n">
        <v>45831.57479166667</v>
      </c>
      <c r="C907" s="1" t="n">
        <v>46140</v>
      </c>
      <c r="D907" t="inlineStr">
        <is>
          <t>VÄRMLANDS LÄN</t>
        </is>
      </c>
      <c r="E907" t="inlineStr">
        <is>
          <t>TORSBY</t>
        </is>
      </c>
      <c r="F907" t="inlineStr">
        <is>
          <t>Bergvik skog väst AB</t>
        </is>
      </c>
      <c r="G907" t="n">
        <v>11.2</v>
      </c>
      <c r="H907" t="n">
        <v>0</v>
      </c>
      <c r="I907" t="n">
        <v>0</v>
      </c>
      <c r="J907" t="n">
        <v>0</v>
      </c>
      <c r="K907" t="n">
        <v>0</v>
      </c>
      <c r="L907" t="n">
        <v>0</v>
      </c>
      <c r="M907" t="n">
        <v>0</v>
      </c>
      <c r="N907" t="n">
        <v>0</v>
      </c>
      <c r="O907" t="n">
        <v>0</v>
      </c>
      <c r="P907" t="n">
        <v>0</v>
      </c>
      <c r="Q907" t="n">
        <v>0</v>
      </c>
      <c r="R907" s="2" t="inlineStr"/>
    </row>
    <row r="908" ht="15" customHeight="1">
      <c r="A908" t="inlineStr">
        <is>
          <t>A 45425-2025</t>
        </is>
      </c>
      <c r="B908" s="1" t="n">
        <v>45922.45195601852</v>
      </c>
      <c r="C908" s="1" t="n">
        <v>46140</v>
      </c>
      <c r="D908" t="inlineStr">
        <is>
          <t>VÄRMLANDS LÄN</t>
        </is>
      </c>
      <c r="E908" t="inlineStr">
        <is>
          <t>TORSBY</t>
        </is>
      </c>
      <c r="F908" t="inlineStr">
        <is>
          <t>Bergvik skog väst AB</t>
        </is>
      </c>
      <c r="G908" t="n">
        <v>6.3</v>
      </c>
      <c r="H908" t="n">
        <v>0</v>
      </c>
      <c r="I908" t="n">
        <v>0</v>
      </c>
      <c r="J908" t="n">
        <v>0</v>
      </c>
      <c r="K908" t="n">
        <v>0</v>
      </c>
      <c r="L908" t="n">
        <v>0</v>
      </c>
      <c r="M908" t="n">
        <v>0</v>
      </c>
      <c r="N908" t="n">
        <v>0</v>
      </c>
      <c r="O908" t="n">
        <v>0</v>
      </c>
      <c r="P908" t="n">
        <v>0</v>
      </c>
      <c r="Q908" t="n">
        <v>0</v>
      </c>
      <c r="R908" s="2" t="inlineStr"/>
    </row>
    <row r="909" ht="15" customHeight="1">
      <c r="A909" t="inlineStr">
        <is>
          <t>A 45490-2025</t>
        </is>
      </c>
      <c r="B909" s="1" t="n">
        <v>45921</v>
      </c>
      <c r="C909" s="1" t="n">
        <v>46140</v>
      </c>
      <c r="D909" t="inlineStr">
        <is>
          <t>VÄRMLANDS LÄN</t>
        </is>
      </c>
      <c r="E909" t="inlineStr">
        <is>
          <t>TORSBY</t>
        </is>
      </c>
      <c r="G909" t="n">
        <v>5.2</v>
      </c>
      <c r="H909" t="n">
        <v>0</v>
      </c>
      <c r="I909" t="n">
        <v>0</v>
      </c>
      <c r="J909" t="n">
        <v>0</v>
      </c>
      <c r="K909" t="n">
        <v>0</v>
      </c>
      <c r="L909" t="n">
        <v>0</v>
      </c>
      <c r="M909" t="n">
        <v>0</v>
      </c>
      <c r="N909" t="n">
        <v>0</v>
      </c>
      <c r="O909" t="n">
        <v>0</v>
      </c>
      <c r="P909" t="n">
        <v>0</v>
      </c>
      <c r="Q909" t="n">
        <v>0</v>
      </c>
      <c r="R909" s="2" t="inlineStr"/>
    </row>
    <row r="910" ht="15" customHeight="1">
      <c r="A910" t="inlineStr">
        <is>
          <t>A 45508-2025</t>
        </is>
      </c>
      <c r="B910" s="1" t="n">
        <v>45922</v>
      </c>
      <c r="C910" s="1" t="n">
        <v>46140</v>
      </c>
      <c r="D910" t="inlineStr">
        <is>
          <t>VÄRMLANDS LÄN</t>
        </is>
      </c>
      <c r="E910" t="inlineStr">
        <is>
          <t>TORSBY</t>
        </is>
      </c>
      <c r="G910" t="n">
        <v>2.5</v>
      </c>
      <c r="H910" t="n">
        <v>0</v>
      </c>
      <c r="I910" t="n">
        <v>0</v>
      </c>
      <c r="J910" t="n">
        <v>0</v>
      </c>
      <c r="K910" t="n">
        <v>0</v>
      </c>
      <c r="L910" t="n">
        <v>0</v>
      </c>
      <c r="M910" t="n">
        <v>0</v>
      </c>
      <c r="N910" t="n">
        <v>0</v>
      </c>
      <c r="O910" t="n">
        <v>0</v>
      </c>
      <c r="P910" t="n">
        <v>0</v>
      </c>
      <c r="Q910" t="n">
        <v>0</v>
      </c>
      <c r="R910" s="2" t="inlineStr"/>
    </row>
    <row r="911" ht="15" customHeight="1">
      <c r="A911" t="inlineStr">
        <is>
          <t>A 45615-2025</t>
        </is>
      </c>
      <c r="B911" s="1" t="n">
        <v>45921</v>
      </c>
      <c r="C911" s="1" t="n">
        <v>46140</v>
      </c>
      <c r="D911" t="inlineStr">
        <is>
          <t>VÄRMLANDS LÄN</t>
        </is>
      </c>
      <c r="E911" t="inlineStr">
        <is>
          <t>TORSBY</t>
        </is>
      </c>
      <c r="G911" t="n">
        <v>7</v>
      </c>
      <c r="H911" t="n">
        <v>0</v>
      </c>
      <c r="I911" t="n">
        <v>0</v>
      </c>
      <c r="J911" t="n">
        <v>0</v>
      </c>
      <c r="K911" t="n">
        <v>0</v>
      </c>
      <c r="L911" t="n">
        <v>0</v>
      </c>
      <c r="M911" t="n">
        <v>0</v>
      </c>
      <c r="N911" t="n">
        <v>0</v>
      </c>
      <c r="O911" t="n">
        <v>0</v>
      </c>
      <c r="P911" t="n">
        <v>0</v>
      </c>
      <c r="Q911" t="n">
        <v>0</v>
      </c>
      <c r="R911" s="2" t="inlineStr"/>
    </row>
    <row r="912" ht="15" customHeight="1">
      <c r="A912" t="inlineStr">
        <is>
          <t>A 45357-2025</t>
        </is>
      </c>
      <c r="B912" s="1" t="n">
        <v>45922.36716435185</v>
      </c>
      <c r="C912" s="1" t="n">
        <v>46140</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44292-2025</t>
        </is>
      </c>
      <c r="B913" s="1" t="n">
        <v>45915</v>
      </c>
      <c r="C913" s="1" t="n">
        <v>46140</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45360-2025</t>
        </is>
      </c>
      <c r="B914" s="1" t="n">
        <v>45922.37266203704</v>
      </c>
      <c r="C914" s="1" t="n">
        <v>46140</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2803-2025</t>
        </is>
      </c>
      <c r="B915" s="1" t="n">
        <v>45677</v>
      </c>
      <c r="C915" s="1" t="n">
        <v>46140</v>
      </c>
      <c r="D915" t="inlineStr">
        <is>
          <t>VÄRMLANDS LÄN</t>
        </is>
      </c>
      <c r="E915" t="inlineStr">
        <is>
          <t>TORSBY</t>
        </is>
      </c>
      <c r="F915" t="inlineStr">
        <is>
          <t>Bergvik skog väst AB</t>
        </is>
      </c>
      <c r="G915" t="n">
        <v>0.6</v>
      </c>
      <c r="H915" t="n">
        <v>0</v>
      </c>
      <c r="I915" t="n">
        <v>0</v>
      </c>
      <c r="J915" t="n">
        <v>0</v>
      </c>
      <c r="K915" t="n">
        <v>0</v>
      </c>
      <c r="L915" t="n">
        <v>0</v>
      </c>
      <c r="M915" t="n">
        <v>0</v>
      </c>
      <c r="N915" t="n">
        <v>0</v>
      </c>
      <c r="O915" t="n">
        <v>0</v>
      </c>
      <c r="P915" t="n">
        <v>0</v>
      </c>
      <c r="Q915" t="n">
        <v>0</v>
      </c>
      <c r="R915" s="2" t="inlineStr"/>
    </row>
    <row r="916" ht="15" customHeight="1">
      <c r="A916" t="inlineStr">
        <is>
          <t>A 45967-2025</t>
        </is>
      </c>
      <c r="B916" s="1" t="n">
        <v>45924</v>
      </c>
      <c r="C916" s="1" t="n">
        <v>46140</v>
      </c>
      <c r="D916" t="inlineStr">
        <is>
          <t>VÄRMLANDS LÄN</t>
        </is>
      </c>
      <c r="E916" t="inlineStr">
        <is>
          <t>TORSBY</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45825-2025</t>
        </is>
      </c>
      <c r="B917" s="1" t="n">
        <v>45923.59983796296</v>
      </c>
      <c r="C917" s="1" t="n">
        <v>46140</v>
      </c>
      <c r="D917" t="inlineStr">
        <is>
          <t>VÄRMLANDS LÄN</t>
        </is>
      </c>
      <c r="E917" t="inlineStr">
        <is>
          <t>TORSBY</t>
        </is>
      </c>
      <c r="G917" t="n">
        <v>11.4</v>
      </c>
      <c r="H917" t="n">
        <v>0</v>
      </c>
      <c r="I917" t="n">
        <v>0</v>
      </c>
      <c r="J917" t="n">
        <v>0</v>
      </c>
      <c r="K917" t="n">
        <v>0</v>
      </c>
      <c r="L917" t="n">
        <v>0</v>
      </c>
      <c r="M917" t="n">
        <v>0</v>
      </c>
      <c r="N917" t="n">
        <v>0</v>
      </c>
      <c r="O917" t="n">
        <v>0</v>
      </c>
      <c r="P917" t="n">
        <v>0</v>
      </c>
      <c r="Q917" t="n">
        <v>0</v>
      </c>
      <c r="R917" s="2" t="inlineStr"/>
    </row>
    <row r="918" ht="15" customHeight="1">
      <c r="A918" t="inlineStr">
        <is>
          <t>A 45966-2025</t>
        </is>
      </c>
      <c r="B918" s="1" t="n">
        <v>45924</v>
      </c>
      <c r="C918" s="1" t="n">
        <v>46140</v>
      </c>
      <c r="D918" t="inlineStr">
        <is>
          <t>VÄRMLANDS LÄN</t>
        </is>
      </c>
      <c r="E918" t="inlineStr">
        <is>
          <t>TORSBY</t>
        </is>
      </c>
      <c r="F918" t="inlineStr">
        <is>
          <t>Övriga Aktiebolag</t>
        </is>
      </c>
      <c r="G918" t="n">
        <v>1.5</v>
      </c>
      <c r="H918" t="n">
        <v>0</v>
      </c>
      <c r="I918" t="n">
        <v>0</v>
      </c>
      <c r="J918" t="n">
        <v>0</v>
      </c>
      <c r="K918" t="n">
        <v>0</v>
      </c>
      <c r="L918" t="n">
        <v>0</v>
      </c>
      <c r="M918" t="n">
        <v>0</v>
      </c>
      <c r="N918" t="n">
        <v>0</v>
      </c>
      <c r="O918" t="n">
        <v>0</v>
      </c>
      <c r="P918" t="n">
        <v>0</v>
      </c>
      <c r="Q918" t="n">
        <v>0</v>
      </c>
      <c r="R918" s="2" t="inlineStr"/>
    </row>
    <row r="919" ht="15" customHeight="1">
      <c r="A919" t="inlineStr">
        <is>
          <t>A 46221-2023</t>
        </is>
      </c>
      <c r="B919" s="1" t="n">
        <v>45196.66636574074</v>
      </c>
      <c r="C919" s="1" t="n">
        <v>46140</v>
      </c>
      <c r="D919" t="inlineStr">
        <is>
          <t>VÄRMLANDS LÄN</t>
        </is>
      </c>
      <c r="E919" t="inlineStr">
        <is>
          <t>TORSBY</t>
        </is>
      </c>
      <c r="G919" t="n">
        <v>6.5</v>
      </c>
      <c r="H919" t="n">
        <v>0</v>
      </c>
      <c r="I919" t="n">
        <v>0</v>
      </c>
      <c r="J919" t="n">
        <v>0</v>
      </c>
      <c r="K919" t="n">
        <v>0</v>
      </c>
      <c r="L919" t="n">
        <v>0</v>
      </c>
      <c r="M919" t="n">
        <v>0</v>
      </c>
      <c r="N919" t="n">
        <v>0</v>
      </c>
      <c r="O919" t="n">
        <v>0</v>
      </c>
      <c r="P919" t="n">
        <v>0</v>
      </c>
      <c r="Q919" t="n">
        <v>0</v>
      </c>
      <c r="R919" s="2" t="inlineStr"/>
    </row>
    <row r="920" ht="15" customHeight="1">
      <c r="A920" t="inlineStr">
        <is>
          <t>A 45679-2025</t>
        </is>
      </c>
      <c r="B920" s="1" t="n">
        <v>45923.36864583333</v>
      </c>
      <c r="C920" s="1" t="n">
        <v>46140</v>
      </c>
      <c r="D920" t="inlineStr">
        <is>
          <t>VÄRMLANDS LÄN</t>
        </is>
      </c>
      <c r="E920" t="inlineStr">
        <is>
          <t>TORSBY</t>
        </is>
      </c>
      <c r="F920" t="inlineStr">
        <is>
          <t>Bergvik skog väst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12440-2025</t>
        </is>
      </c>
      <c r="B921" s="1" t="n">
        <v>45730</v>
      </c>
      <c r="C921" s="1" t="n">
        <v>46140</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56021-2023</t>
        </is>
      </c>
      <c r="B922" s="1" t="n">
        <v>45240</v>
      </c>
      <c r="C922" s="1" t="n">
        <v>46140</v>
      </c>
      <c r="D922" t="inlineStr">
        <is>
          <t>VÄRMLANDS LÄN</t>
        </is>
      </c>
      <c r="E922" t="inlineStr">
        <is>
          <t>TORSBY</t>
        </is>
      </c>
      <c r="G922" t="n">
        <v>2.1</v>
      </c>
      <c r="H922" t="n">
        <v>0</v>
      </c>
      <c r="I922" t="n">
        <v>0</v>
      </c>
      <c r="J922" t="n">
        <v>0</v>
      </c>
      <c r="K922" t="n">
        <v>0</v>
      </c>
      <c r="L922" t="n">
        <v>0</v>
      </c>
      <c r="M922" t="n">
        <v>0</v>
      </c>
      <c r="N922" t="n">
        <v>0</v>
      </c>
      <c r="O922" t="n">
        <v>0</v>
      </c>
      <c r="P922" t="n">
        <v>0</v>
      </c>
      <c r="Q922" t="n">
        <v>0</v>
      </c>
      <c r="R922" s="2" t="inlineStr"/>
    </row>
    <row r="923" ht="15" customHeight="1">
      <c r="A923" t="inlineStr">
        <is>
          <t>A 37081-2023</t>
        </is>
      </c>
      <c r="B923" s="1" t="n">
        <v>45155</v>
      </c>
      <c r="C923" s="1" t="n">
        <v>46140</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46102-2025</t>
        </is>
      </c>
      <c r="B924" s="1" t="n">
        <v>45924</v>
      </c>
      <c r="C924" s="1" t="n">
        <v>46140</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46110-2025</t>
        </is>
      </c>
      <c r="B925" s="1" t="n">
        <v>45924</v>
      </c>
      <c r="C925" s="1" t="n">
        <v>46140</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57980-2023</t>
        </is>
      </c>
      <c r="B926" s="1" t="n">
        <v>45247.59328703704</v>
      </c>
      <c r="C926" s="1" t="n">
        <v>46140</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14613-2025</t>
        </is>
      </c>
      <c r="B927" s="1" t="n">
        <v>45742.39615740741</v>
      </c>
      <c r="C927" s="1" t="n">
        <v>46140</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19662-2025</t>
        </is>
      </c>
      <c r="B928" s="1" t="n">
        <v>45770</v>
      </c>
      <c r="C928" s="1" t="n">
        <v>46140</v>
      </c>
      <c r="D928" t="inlineStr">
        <is>
          <t>VÄRMLANDS LÄN</t>
        </is>
      </c>
      <c r="E928" t="inlineStr">
        <is>
          <t>TORSBY</t>
        </is>
      </c>
      <c r="F928" t="inlineStr">
        <is>
          <t>Bergvik skog väst AB</t>
        </is>
      </c>
      <c r="G928" t="n">
        <v>11.6</v>
      </c>
      <c r="H928" t="n">
        <v>0</v>
      </c>
      <c r="I928" t="n">
        <v>0</v>
      </c>
      <c r="J928" t="n">
        <v>0</v>
      </c>
      <c r="K928" t="n">
        <v>0</v>
      </c>
      <c r="L928" t="n">
        <v>0</v>
      </c>
      <c r="M928" t="n">
        <v>0</v>
      </c>
      <c r="N928" t="n">
        <v>0</v>
      </c>
      <c r="O928" t="n">
        <v>0</v>
      </c>
      <c r="P928" t="n">
        <v>0</v>
      </c>
      <c r="Q928" t="n">
        <v>0</v>
      </c>
      <c r="R928" s="2" t="inlineStr"/>
    </row>
    <row r="929" ht="15" customHeight="1">
      <c r="A929" t="inlineStr">
        <is>
          <t>A 19763-2025</t>
        </is>
      </c>
      <c r="B929" s="1" t="n">
        <v>45771.40707175926</v>
      </c>
      <c r="C929" s="1" t="n">
        <v>46140</v>
      </c>
      <c r="D929" t="inlineStr">
        <is>
          <t>VÄRMLANDS LÄN</t>
        </is>
      </c>
      <c r="E929" t="inlineStr">
        <is>
          <t>TORSBY</t>
        </is>
      </c>
      <c r="F929" t="inlineStr">
        <is>
          <t>Bergvik skog väst AB</t>
        </is>
      </c>
      <c r="G929" t="n">
        <v>1.9</v>
      </c>
      <c r="H929" t="n">
        <v>0</v>
      </c>
      <c r="I929" t="n">
        <v>0</v>
      </c>
      <c r="J929" t="n">
        <v>0</v>
      </c>
      <c r="K929" t="n">
        <v>0</v>
      </c>
      <c r="L929" t="n">
        <v>0</v>
      </c>
      <c r="M929" t="n">
        <v>0</v>
      </c>
      <c r="N929" t="n">
        <v>0</v>
      </c>
      <c r="O929" t="n">
        <v>0</v>
      </c>
      <c r="P929" t="n">
        <v>0</v>
      </c>
      <c r="Q929" t="n">
        <v>0</v>
      </c>
      <c r="R929" s="2" t="inlineStr"/>
    </row>
    <row r="930" ht="15" customHeight="1">
      <c r="A930" t="inlineStr">
        <is>
          <t>A 19159-2025</t>
        </is>
      </c>
      <c r="B930" s="1" t="n">
        <v>45769</v>
      </c>
      <c r="C930" s="1" t="n">
        <v>46140</v>
      </c>
      <c r="D930" t="inlineStr">
        <is>
          <t>VÄRMLANDS LÄN</t>
        </is>
      </c>
      <c r="E930" t="inlineStr">
        <is>
          <t>TORSBY</t>
        </is>
      </c>
      <c r="F930" t="inlineStr">
        <is>
          <t>Bergvik skog väst AB</t>
        </is>
      </c>
      <c r="G930" t="n">
        <v>10.2</v>
      </c>
      <c r="H930" t="n">
        <v>0</v>
      </c>
      <c r="I930" t="n">
        <v>0</v>
      </c>
      <c r="J930" t="n">
        <v>0</v>
      </c>
      <c r="K930" t="n">
        <v>0</v>
      </c>
      <c r="L930" t="n">
        <v>0</v>
      </c>
      <c r="M930" t="n">
        <v>0</v>
      </c>
      <c r="N930" t="n">
        <v>0</v>
      </c>
      <c r="O930" t="n">
        <v>0</v>
      </c>
      <c r="P930" t="n">
        <v>0</v>
      </c>
      <c r="Q930" t="n">
        <v>0</v>
      </c>
      <c r="R930" s="2" t="inlineStr"/>
    </row>
    <row r="931" ht="15" customHeight="1">
      <c r="A931" t="inlineStr">
        <is>
          <t>A 40180-2024</t>
        </is>
      </c>
      <c r="B931" s="1" t="n">
        <v>45554.55413194445</v>
      </c>
      <c r="C931" s="1" t="n">
        <v>46140</v>
      </c>
      <c r="D931" t="inlineStr">
        <is>
          <t>VÄRMLANDS LÄN</t>
        </is>
      </c>
      <c r="E931" t="inlineStr">
        <is>
          <t>TORSBY</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20461-2025</t>
        </is>
      </c>
      <c r="B932" s="1" t="n">
        <v>45775.53158564815</v>
      </c>
      <c r="C932" s="1" t="n">
        <v>46140</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38699-2022</t>
        </is>
      </c>
      <c r="B933" s="1" t="n">
        <v>44814.53259259259</v>
      </c>
      <c r="C933" s="1" t="n">
        <v>46140</v>
      </c>
      <c r="D933" t="inlineStr">
        <is>
          <t>VÄRMLANDS LÄN</t>
        </is>
      </c>
      <c r="E933" t="inlineStr">
        <is>
          <t>TORSBY</t>
        </is>
      </c>
      <c r="F933" t="inlineStr">
        <is>
          <t>Bergvik skog väst AB</t>
        </is>
      </c>
      <c r="G933" t="n">
        <v>22.6</v>
      </c>
      <c r="H933" t="n">
        <v>0</v>
      </c>
      <c r="I933" t="n">
        <v>0</v>
      </c>
      <c r="J933" t="n">
        <v>0</v>
      </c>
      <c r="K933" t="n">
        <v>0</v>
      </c>
      <c r="L933" t="n">
        <v>0</v>
      </c>
      <c r="M933" t="n">
        <v>0</v>
      </c>
      <c r="N933" t="n">
        <v>0</v>
      </c>
      <c r="O933" t="n">
        <v>0</v>
      </c>
      <c r="P933" t="n">
        <v>0</v>
      </c>
      <c r="Q933" t="n">
        <v>0</v>
      </c>
      <c r="R933" s="2" t="inlineStr"/>
    </row>
    <row r="934" ht="15" customHeight="1">
      <c r="A934" t="inlineStr">
        <is>
          <t>A 34093-2024</t>
        </is>
      </c>
      <c r="B934" s="1" t="n">
        <v>45523</v>
      </c>
      <c r="C934" s="1" t="n">
        <v>46140</v>
      </c>
      <c r="D934" t="inlineStr">
        <is>
          <t>VÄRMLANDS LÄN</t>
        </is>
      </c>
      <c r="E934" t="inlineStr">
        <is>
          <t>TORSBY</t>
        </is>
      </c>
      <c r="F934" t="inlineStr">
        <is>
          <t>Bergvik skog väst AB</t>
        </is>
      </c>
      <c r="G934" t="n">
        <v>5.9</v>
      </c>
      <c r="H934" t="n">
        <v>0</v>
      </c>
      <c r="I934" t="n">
        <v>0</v>
      </c>
      <c r="J934" t="n">
        <v>0</v>
      </c>
      <c r="K934" t="n">
        <v>0</v>
      </c>
      <c r="L934" t="n">
        <v>0</v>
      </c>
      <c r="M934" t="n">
        <v>0</v>
      </c>
      <c r="N934" t="n">
        <v>0</v>
      </c>
      <c r="O934" t="n">
        <v>0</v>
      </c>
      <c r="P934" t="n">
        <v>0</v>
      </c>
      <c r="Q934" t="n">
        <v>0</v>
      </c>
      <c r="R934" s="2" t="inlineStr"/>
    </row>
    <row r="935" ht="15" customHeight="1">
      <c r="A935" t="inlineStr">
        <is>
          <t>A 46658-2025</t>
        </is>
      </c>
      <c r="B935" s="1" t="n">
        <v>45926.49914351852</v>
      </c>
      <c r="C935" s="1" t="n">
        <v>46140</v>
      </c>
      <c r="D935" t="inlineStr">
        <is>
          <t>VÄRMLANDS LÄN</t>
        </is>
      </c>
      <c r="E935" t="inlineStr">
        <is>
          <t>TORSBY</t>
        </is>
      </c>
      <c r="F935" t="inlineStr">
        <is>
          <t>Bergvik skog väst AB</t>
        </is>
      </c>
      <c r="G935" t="n">
        <v>5.4</v>
      </c>
      <c r="H935" t="n">
        <v>0</v>
      </c>
      <c r="I935" t="n">
        <v>0</v>
      </c>
      <c r="J935" t="n">
        <v>0</v>
      </c>
      <c r="K935" t="n">
        <v>0</v>
      </c>
      <c r="L935" t="n">
        <v>0</v>
      </c>
      <c r="M935" t="n">
        <v>0</v>
      </c>
      <c r="N935" t="n">
        <v>0</v>
      </c>
      <c r="O935" t="n">
        <v>0</v>
      </c>
      <c r="P935" t="n">
        <v>0</v>
      </c>
      <c r="Q935" t="n">
        <v>0</v>
      </c>
      <c r="R935" s="2" t="inlineStr"/>
    </row>
    <row r="936" ht="15" customHeight="1">
      <c r="A936" t="inlineStr">
        <is>
          <t>A 46503-2025</t>
        </is>
      </c>
      <c r="B936" s="1" t="n">
        <v>45925</v>
      </c>
      <c r="C936" s="1" t="n">
        <v>46140</v>
      </c>
      <c r="D936" t="inlineStr">
        <is>
          <t>VÄRMLANDS LÄN</t>
        </is>
      </c>
      <c r="E936" t="inlineStr">
        <is>
          <t>TORSBY</t>
        </is>
      </c>
      <c r="G936" t="n">
        <v>5.4</v>
      </c>
      <c r="H936" t="n">
        <v>0</v>
      </c>
      <c r="I936" t="n">
        <v>0</v>
      </c>
      <c r="J936" t="n">
        <v>0</v>
      </c>
      <c r="K936" t="n">
        <v>0</v>
      </c>
      <c r="L936" t="n">
        <v>0</v>
      </c>
      <c r="M936" t="n">
        <v>0</v>
      </c>
      <c r="N936" t="n">
        <v>0</v>
      </c>
      <c r="O936" t="n">
        <v>0</v>
      </c>
      <c r="P936" t="n">
        <v>0</v>
      </c>
      <c r="Q936" t="n">
        <v>0</v>
      </c>
      <c r="R936" s="2" t="inlineStr"/>
    </row>
    <row r="937" ht="15" customHeight="1">
      <c r="A937" t="inlineStr">
        <is>
          <t>A 6317-2025</t>
        </is>
      </c>
      <c r="B937" s="1" t="n">
        <v>45698.74826388889</v>
      </c>
      <c r="C937" s="1" t="n">
        <v>46140</v>
      </c>
      <c r="D937" t="inlineStr">
        <is>
          <t>VÄRMLANDS LÄN</t>
        </is>
      </c>
      <c r="E937" t="inlineStr">
        <is>
          <t>TORSBY</t>
        </is>
      </c>
      <c r="G937" t="n">
        <v>5.8</v>
      </c>
      <c r="H937" t="n">
        <v>0</v>
      </c>
      <c r="I937" t="n">
        <v>0</v>
      </c>
      <c r="J937" t="n">
        <v>0</v>
      </c>
      <c r="K937" t="n">
        <v>0</v>
      </c>
      <c r="L937" t="n">
        <v>0</v>
      </c>
      <c r="M937" t="n">
        <v>0</v>
      </c>
      <c r="N937" t="n">
        <v>0</v>
      </c>
      <c r="O937" t="n">
        <v>0</v>
      </c>
      <c r="P937" t="n">
        <v>0</v>
      </c>
      <c r="Q937" t="n">
        <v>0</v>
      </c>
      <c r="R937" s="2" t="inlineStr"/>
    </row>
    <row r="938" ht="15" customHeight="1">
      <c r="A938" t="inlineStr">
        <is>
          <t>A 46702-2025</t>
        </is>
      </c>
      <c r="B938" s="1" t="n">
        <v>45926</v>
      </c>
      <c r="C938" s="1" t="n">
        <v>46140</v>
      </c>
      <c r="D938" t="inlineStr">
        <is>
          <t>VÄRMLANDS LÄN</t>
        </is>
      </c>
      <c r="E938" t="inlineStr">
        <is>
          <t>TORSBY</t>
        </is>
      </c>
      <c r="G938" t="n">
        <v>0.9</v>
      </c>
      <c r="H938" t="n">
        <v>0</v>
      </c>
      <c r="I938" t="n">
        <v>0</v>
      </c>
      <c r="J938" t="n">
        <v>0</v>
      </c>
      <c r="K938" t="n">
        <v>0</v>
      </c>
      <c r="L938" t="n">
        <v>0</v>
      </c>
      <c r="M938" t="n">
        <v>0</v>
      </c>
      <c r="N938" t="n">
        <v>0</v>
      </c>
      <c r="O938" t="n">
        <v>0</v>
      </c>
      <c r="P938" t="n">
        <v>0</v>
      </c>
      <c r="Q938" t="n">
        <v>0</v>
      </c>
      <c r="R938" s="2" t="inlineStr"/>
    </row>
    <row r="939" ht="15" customHeight="1">
      <c r="A939" t="inlineStr">
        <is>
          <t>A 46243-2025</t>
        </is>
      </c>
      <c r="B939" s="1" t="n">
        <v>45925.32122685185</v>
      </c>
      <c r="C939" s="1" t="n">
        <v>46140</v>
      </c>
      <c r="D939" t="inlineStr">
        <is>
          <t>VÄRMLANDS LÄN</t>
        </is>
      </c>
      <c r="E939" t="inlineStr">
        <is>
          <t>TORSBY</t>
        </is>
      </c>
      <c r="F939" t="inlineStr">
        <is>
          <t>Bergvik skog väst AB</t>
        </is>
      </c>
      <c r="G939" t="n">
        <v>4.8</v>
      </c>
      <c r="H939" t="n">
        <v>0</v>
      </c>
      <c r="I939" t="n">
        <v>0</v>
      </c>
      <c r="J939" t="n">
        <v>0</v>
      </c>
      <c r="K939" t="n">
        <v>0</v>
      </c>
      <c r="L939" t="n">
        <v>0</v>
      </c>
      <c r="M939" t="n">
        <v>0</v>
      </c>
      <c r="N939" t="n">
        <v>0</v>
      </c>
      <c r="O939" t="n">
        <v>0</v>
      </c>
      <c r="P939" t="n">
        <v>0</v>
      </c>
      <c r="Q939" t="n">
        <v>0</v>
      </c>
      <c r="R939" s="2" t="inlineStr"/>
    </row>
    <row r="940" ht="15" customHeight="1">
      <c r="A940" t="inlineStr">
        <is>
          <t>A 38298-2021</t>
        </is>
      </c>
      <c r="B940" s="1" t="n">
        <v>44406</v>
      </c>
      <c r="C940" s="1" t="n">
        <v>46140</v>
      </c>
      <c r="D940" t="inlineStr">
        <is>
          <t>VÄRMLANDS LÄN</t>
        </is>
      </c>
      <c r="E940" t="inlineStr">
        <is>
          <t>TORSBY</t>
        </is>
      </c>
      <c r="G940" t="n">
        <v>3.3</v>
      </c>
      <c r="H940" t="n">
        <v>0</v>
      </c>
      <c r="I940" t="n">
        <v>0</v>
      </c>
      <c r="J940" t="n">
        <v>0</v>
      </c>
      <c r="K940" t="n">
        <v>0</v>
      </c>
      <c r="L940" t="n">
        <v>0</v>
      </c>
      <c r="M940" t="n">
        <v>0</v>
      </c>
      <c r="N940" t="n">
        <v>0</v>
      </c>
      <c r="O940" t="n">
        <v>0</v>
      </c>
      <c r="P940" t="n">
        <v>0</v>
      </c>
      <c r="Q940" t="n">
        <v>0</v>
      </c>
      <c r="R940" s="2" t="inlineStr"/>
    </row>
    <row r="941" ht="15" customHeight="1">
      <c r="A941" t="inlineStr">
        <is>
          <t>A 13285-2025</t>
        </is>
      </c>
      <c r="B941" s="1" t="n">
        <v>45735</v>
      </c>
      <c r="C941" s="1" t="n">
        <v>46140</v>
      </c>
      <c r="D941" t="inlineStr">
        <is>
          <t>VÄRMLANDS LÄN</t>
        </is>
      </c>
      <c r="E941" t="inlineStr">
        <is>
          <t>TORSBY</t>
        </is>
      </c>
      <c r="G941" t="n">
        <v>0.7</v>
      </c>
      <c r="H941" t="n">
        <v>0</v>
      </c>
      <c r="I941" t="n">
        <v>0</v>
      </c>
      <c r="J941" t="n">
        <v>0</v>
      </c>
      <c r="K941" t="n">
        <v>0</v>
      </c>
      <c r="L941" t="n">
        <v>0</v>
      </c>
      <c r="M941" t="n">
        <v>0</v>
      </c>
      <c r="N941" t="n">
        <v>0</v>
      </c>
      <c r="O941" t="n">
        <v>0</v>
      </c>
      <c r="P941" t="n">
        <v>0</v>
      </c>
      <c r="Q941" t="n">
        <v>0</v>
      </c>
      <c r="R941" s="2" t="inlineStr"/>
    </row>
    <row r="942" ht="15" customHeight="1">
      <c r="A942" t="inlineStr">
        <is>
          <t>A 46493-2025</t>
        </is>
      </c>
      <c r="B942" s="1" t="n">
        <v>45925</v>
      </c>
      <c r="C942" s="1" t="n">
        <v>46140</v>
      </c>
      <c r="D942" t="inlineStr">
        <is>
          <t>VÄRMLANDS LÄN</t>
        </is>
      </c>
      <c r="E942" t="inlineStr">
        <is>
          <t>TORSBY</t>
        </is>
      </c>
      <c r="G942" t="n">
        <v>0.3</v>
      </c>
      <c r="H942" t="n">
        <v>0</v>
      </c>
      <c r="I942" t="n">
        <v>0</v>
      </c>
      <c r="J942" t="n">
        <v>0</v>
      </c>
      <c r="K942" t="n">
        <v>0</v>
      </c>
      <c r="L942" t="n">
        <v>0</v>
      </c>
      <c r="M942" t="n">
        <v>0</v>
      </c>
      <c r="N942" t="n">
        <v>0</v>
      </c>
      <c r="O942" t="n">
        <v>0</v>
      </c>
      <c r="P942" t="n">
        <v>0</v>
      </c>
      <c r="Q942" t="n">
        <v>0</v>
      </c>
      <c r="R942" s="2" t="inlineStr"/>
    </row>
    <row r="943" ht="15" customHeight="1">
      <c r="A943" t="inlineStr">
        <is>
          <t>A 46550-2025</t>
        </is>
      </c>
      <c r="B943" s="1" t="n">
        <v>45926</v>
      </c>
      <c r="C943" s="1" t="n">
        <v>46140</v>
      </c>
      <c r="D943" t="inlineStr">
        <is>
          <t>VÄRMLANDS LÄN</t>
        </is>
      </c>
      <c r="E943" t="inlineStr">
        <is>
          <t>TORSBY</t>
        </is>
      </c>
      <c r="G943" t="n">
        <v>2.8</v>
      </c>
      <c r="H943" t="n">
        <v>0</v>
      </c>
      <c r="I943" t="n">
        <v>0</v>
      </c>
      <c r="J943" t="n">
        <v>0</v>
      </c>
      <c r="K943" t="n">
        <v>0</v>
      </c>
      <c r="L943" t="n">
        <v>0</v>
      </c>
      <c r="M943" t="n">
        <v>0</v>
      </c>
      <c r="N943" t="n">
        <v>0</v>
      </c>
      <c r="O943" t="n">
        <v>0</v>
      </c>
      <c r="P943" t="n">
        <v>0</v>
      </c>
      <c r="Q943" t="n">
        <v>0</v>
      </c>
      <c r="R943" s="2" t="inlineStr"/>
    </row>
    <row r="944" ht="15" customHeight="1">
      <c r="A944" t="inlineStr">
        <is>
          <t>A 46695-2025</t>
        </is>
      </c>
      <c r="B944" s="1" t="n">
        <v>45926</v>
      </c>
      <c r="C944" s="1" t="n">
        <v>46140</v>
      </c>
      <c r="D944" t="inlineStr">
        <is>
          <t>VÄRMLANDS LÄN</t>
        </is>
      </c>
      <c r="E944" t="inlineStr">
        <is>
          <t>TORSBY</t>
        </is>
      </c>
      <c r="G944" t="n">
        <v>2.3</v>
      </c>
      <c r="H944" t="n">
        <v>0</v>
      </c>
      <c r="I944" t="n">
        <v>0</v>
      </c>
      <c r="J944" t="n">
        <v>0</v>
      </c>
      <c r="K944" t="n">
        <v>0</v>
      </c>
      <c r="L944" t="n">
        <v>0</v>
      </c>
      <c r="M944" t="n">
        <v>0</v>
      </c>
      <c r="N944" t="n">
        <v>0</v>
      </c>
      <c r="O944" t="n">
        <v>0</v>
      </c>
      <c r="P944" t="n">
        <v>0</v>
      </c>
      <c r="Q944" t="n">
        <v>0</v>
      </c>
      <c r="R944" s="2" t="inlineStr"/>
    </row>
    <row r="945" ht="15" customHeight="1">
      <c r="A945" t="inlineStr">
        <is>
          <t>A 46334-2025</t>
        </is>
      </c>
      <c r="B945" s="1" t="n">
        <v>45925.45925925926</v>
      </c>
      <c r="C945" s="1" t="n">
        <v>46140</v>
      </c>
      <c r="D945" t="inlineStr">
        <is>
          <t>VÄRMLANDS LÄN</t>
        </is>
      </c>
      <c r="E945" t="inlineStr">
        <is>
          <t>TORSBY</t>
        </is>
      </c>
      <c r="G945" t="n">
        <v>1.6</v>
      </c>
      <c r="H945" t="n">
        <v>0</v>
      </c>
      <c r="I945" t="n">
        <v>0</v>
      </c>
      <c r="J945" t="n">
        <v>0</v>
      </c>
      <c r="K945" t="n">
        <v>0</v>
      </c>
      <c r="L945" t="n">
        <v>0</v>
      </c>
      <c r="M945" t="n">
        <v>0</v>
      </c>
      <c r="N945" t="n">
        <v>0</v>
      </c>
      <c r="O945" t="n">
        <v>0</v>
      </c>
      <c r="P945" t="n">
        <v>0</v>
      </c>
      <c r="Q945" t="n">
        <v>0</v>
      </c>
      <c r="R945" s="2" t="inlineStr"/>
    </row>
    <row r="946" ht="15" customHeight="1">
      <c r="A946" t="inlineStr">
        <is>
          <t>A 54885-2022</t>
        </is>
      </c>
      <c r="B946" s="1" t="n">
        <v>44886</v>
      </c>
      <c r="C946" s="1" t="n">
        <v>46140</v>
      </c>
      <c r="D946" t="inlineStr">
        <is>
          <t>VÄRMLANDS LÄN</t>
        </is>
      </c>
      <c r="E946" t="inlineStr">
        <is>
          <t>TORSBY</t>
        </is>
      </c>
      <c r="G946" t="n">
        <v>2.1</v>
      </c>
      <c r="H946" t="n">
        <v>0</v>
      </c>
      <c r="I946" t="n">
        <v>0</v>
      </c>
      <c r="J946" t="n">
        <v>0</v>
      </c>
      <c r="K946" t="n">
        <v>0</v>
      </c>
      <c r="L946" t="n">
        <v>0</v>
      </c>
      <c r="M946" t="n">
        <v>0</v>
      </c>
      <c r="N946" t="n">
        <v>0</v>
      </c>
      <c r="O946" t="n">
        <v>0</v>
      </c>
      <c r="P946" t="n">
        <v>0</v>
      </c>
      <c r="Q946" t="n">
        <v>0</v>
      </c>
      <c r="R946" s="2" t="inlineStr"/>
    </row>
    <row r="947" ht="15" customHeight="1">
      <c r="A947" t="inlineStr">
        <is>
          <t>A 46326-2025</t>
        </is>
      </c>
      <c r="B947" s="1" t="n">
        <v>45925.45237268518</v>
      </c>
      <c r="C947" s="1" t="n">
        <v>46140</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46578-2025</t>
        </is>
      </c>
      <c r="B948" s="1" t="n">
        <v>45926.37353009259</v>
      </c>
      <c r="C948" s="1" t="n">
        <v>46140</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46293-2025</t>
        </is>
      </c>
      <c r="B949" s="1" t="n">
        <v>45925.39297453704</v>
      </c>
      <c r="C949" s="1" t="n">
        <v>46140</v>
      </c>
      <c r="D949" t="inlineStr">
        <is>
          <t>VÄRMLANDS LÄN</t>
        </is>
      </c>
      <c r="E949" t="inlineStr">
        <is>
          <t>TORSBY</t>
        </is>
      </c>
      <c r="G949" t="n">
        <v>24.3</v>
      </c>
      <c r="H949" t="n">
        <v>0</v>
      </c>
      <c r="I949" t="n">
        <v>0</v>
      </c>
      <c r="J949" t="n">
        <v>0</v>
      </c>
      <c r="K949" t="n">
        <v>0</v>
      </c>
      <c r="L949" t="n">
        <v>0</v>
      </c>
      <c r="M949" t="n">
        <v>0</v>
      </c>
      <c r="N949" t="n">
        <v>0</v>
      </c>
      <c r="O949" t="n">
        <v>0</v>
      </c>
      <c r="P949" t="n">
        <v>0</v>
      </c>
      <c r="Q949" t="n">
        <v>0</v>
      </c>
      <c r="R949" s="2" t="inlineStr"/>
    </row>
    <row r="950" ht="15" customHeight="1">
      <c r="A950" t="inlineStr">
        <is>
          <t>A 23073-2023</t>
        </is>
      </c>
      <c r="B950" s="1" t="n">
        <v>45070</v>
      </c>
      <c r="C950" s="1" t="n">
        <v>46140</v>
      </c>
      <c r="D950" t="inlineStr">
        <is>
          <t>VÄRMLANDS LÄN</t>
        </is>
      </c>
      <c r="E950" t="inlineStr">
        <is>
          <t>TORSBY</t>
        </is>
      </c>
      <c r="G950" t="n">
        <v>15.1</v>
      </c>
      <c r="H950" t="n">
        <v>0</v>
      </c>
      <c r="I950" t="n">
        <v>0</v>
      </c>
      <c r="J950" t="n">
        <v>0</v>
      </c>
      <c r="K950" t="n">
        <v>0</v>
      </c>
      <c r="L950" t="n">
        <v>0</v>
      </c>
      <c r="M950" t="n">
        <v>0</v>
      </c>
      <c r="N950" t="n">
        <v>0</v>
      </c>
      <c r="O950" t="n">
        <v>0</v>
      </c>
      <c r="P950" t="n">
        <v>0</v>
      </c>
      <c r="Q950" t="n">
        <v>0</v>
      </c>
      <c r="R950" s="2" t="inlineStr"/>
    </row>
    <row r="951" ht="15" customHeight="1">
      <c r="A951" t="inlineStr">
        <is>
          <t>A 4516-2025</t>
        </is>
      </c>
      <c r="B951" s="1" t="n">
        <v>45686.88212962963</v>
      </c>
      <c r="C951" s="1" t="n">
        <v>46140</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4517-2025</t>
        </is>
      </c>
      <c r="B952" s="1" t="n">
        <v>45686</v>
      </c>
      <c r="C952" s="1" t="n">
        <v>46140</v>
      </c>
      <c r="D952" t="inlineStr">
        <is>
          <t>VÄRMLANDS LÄN</t>
        </is>
      </c>
      <c r="E952" t="inlineStr">
        <is>
          <t>TORSBY</t>
        </is>
      </c>
      <c r="G952" t="n">
        <v>1</v>
      </c>
      <c r="H952" t="n">
        <v>0</v>
      </c>
      <c r="I952" t="n">
        <v>0</v>
      </c>
      <c r="J952" t="n">
        <v>0</v>
      </c>
      <c r="K952" t="n">
        <v>0</v>
      </c>
      <c r="L952" t="n">
        <v>0</v>
      </c>
      <c r="M952" t="n">
        <v>0</v>
      </c>
      <c r="N952" t="n">
        <v>0</v>
      </c>
      <c r="O952" t="n">
        <v>0</v>
      </c>
      <c r="P952" t="n">
        <v>0</v>
      </c>
      <c r="Q952" t="n">
        <v>0</v>
      </c>
      <c r="R952" s="2" t="inlineStr"/>
    </row>
    <row r="953" ht="15" customHeight="1">
      <c r="A953" t="inlineStr">
        <is>
          <t>A 11872-2025</t>
        </is>
      </c>
      <c r="B953" s="1" t="n">
        <v>45728.43021990741</v>
      </c>
      <c r="C953" s="1" t="n">
        <v>46140</v>
      </c>
      <c r="D953" t="inlineStr">
        <is>
          <t>VÄRMLANDS LÄN</t>
        </is>
      </c>
      <c r="E953" t="inlineStr">
        <is>
          <t>TORSBY</t>
        </is>
      </c>
      <c r="G953" t="n">
        <v>7.4</v>
      </c>
      <c r="H953" t="n">
        <v>0</v>
      </c>
      <c r="I953" t="n">
        <v>0</v>
      </c>
      <c r="J953" t="n">
        <v>0</v>
      </c>
      <c r="K953" t="n">
        <v>0</v>
      </c>
      <c r="L953" t="n">
        <v>0</v>
      </c>
      <c r="M953" t="n">
        <v>0</v>
      </c>
      <c r="N953" t="n">
        <v>0</v>
      </c>
      <c r="O953" t="n">
        <v>0</v>
      </c>
      <c r="P953" t="n">
        <v>0</v>
      </c>
      <c r="Q953" t="n">
        <v>0</v>
      </c>
      <c r="R953" s="2" t="inlineStr"/>
    </row>
    <row r="954" ht="15" customHeight="1">
      <c r="A954" t="inlineStr">
        <is>
          <t>A 47366-2025</t>
        </is>
      </c>
      <c r="B954" s="1" t="n">
        <v>45930</v>
      </c>
      <c r="C954" s="1" t="n">
        <v>46140</v>
      </c>
      <c r="D954" t="inlineStr">
        <is>
          <t>VÄRMLANDS LÄN</t>
        </is>
      </c>
      <c r="E954" t="inlineStr">
        <is>
          <t>TORSBY</t>
        </is>
      </c>
      <c r="G954" t="n">
        <v>5.9</v>
      </c>
      <c r="H954" t="n">
        <v>0</v>
      </c>
      <c r="I954" t="n">
        <v>0</v>
      </c>
      <c r="J954" t="n">
        <v>0</v>
      </c>
      <c r="K954" t="n">
        <v>0</v>
      </c>
      <c r="L954" t="n">
        <v>0</v>
      </c>
      <c r="M954" t="n">
        <v>0</v>
      </c>
      <c r="N954" t="n">
        <v>0</v>
      </c>
      <c r="O954" t="n">
        <v>0</v>
      </c>
      <c r="P954" t="n">
        <v>0</v>
      </c>
      <c r="Q954" t="n">
        <v>0</v>
      </c>
      <c r="R954" s="2" t="inlineStr"/>
    </row>
    <row r="955" ht="15" customHeight="1">
      <c r="A955" t="inlineStr">
        <is>
          <t>A 47047-2025</t>
        </is>
      </c>
      <c r="B955" s="1" t="n">
        <v>45929</v>
      </c>
      <c r="C955" s="1" t="n">
        <v>46140</v>
      </c>
      <c r="D955" t="inlineStr">
        <is>
          <t>VÄRMLANDS LÄN</t>
        </is>
      </c>
      <c r="E955" t="inlineStr">
        <is>
          <t>TORSBY</t>
        </is>
      </c>
      <c r="F955" t="inlineStr">
        <is>
          <t>Kyrkan</t>
        </is>
      </c>
      <c r="G955" t="n">
        <v>6.6</v>
      </c>
      <c r="H955" t="n">
        <v>0</v>
      </c>
      <c r="I955" t="n">
        <v>0</v>
      </c>
      <c r="J955" t="n">
        <v>0</v>
      </c>
      <c r="K955" t="n">
        <v>0</v>
      </c>
      <c r="L955" t="n">
        <v>0</v>
      </c>
      <c r="M955" t="n">
        <v>0</v>
      </c>
      <c r="N955" t="n">
        <v>0</v>
      </c>
      <c r="O955" t="n">
        <v>0</v>
      </c>
      <c r="P955" t="n">
        <v>0</v>
      </c>
      <c r="Q955" t="n">
        <v>0</v>
      </c>
      <c r="R955" s="2" t="inlineStr"/>
    </row>
    <row r="956" ht="15" customHeight="1">
      <c r="A956" t="inlineStr">
        <is>
          <t>A 1839-2022</t>
        </is>
      </c>
      <c r="B956" s="1" t="n">
        <v>44574</v>
      </c>
      <c r="C956" s="1" t="n">
        <v>46140</v>
      </c>
      <c r="D956" t="inlineStr">
        <is>
          <t>VÄRMLANDS LÄN</t>
        </is>
      </c>
      <c r="E956" t="inlineStr">
        <is>
          <t>TORSBY</t>
        </is>
      </c>
      <c r="G956" t="n">
        <v>5.3</v>
      </c>
      <c r="H956" t="n">
        <v>0</v>
      </c>
      <c r="I956" t="n">
        <v>0</v>
      </c>
      <c r="J956" t="n">
        <v>0</v>
      </c>
      <c r="K956" t="n">
        <v>0</v>
      </c>
      <c r="L956" t="n">
        <v>0</v>
      </c>
      <c r="M956" t="n">
        <v>0</v>
      </c>
      <c r="N956" t="n">
        <v>0</v>
      </c>
      <c r="O956" t="n">
        <v>0</v>
      </c>
      <c r="P956" t="n">
        <v>0</v>
      </c>
      <c r="Q956" t="n">
        <v>0</v>
      </c>
      <c r="R956" s="2" t="inlineStr"/>
    </row>
    <row r="957" ht="15" customHeight="1">
      <c r="A957" t="inlineStr">
        <is>
          <t>A 47602-2021</t>
        </is>
      </c>
      <c r="B957" s="1" t="n">
        <v>44448</v>
      </c>
      <c r="C957" s="1" t="n">
        <v>46140</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6711-2023</t>
        </is>
      </c>
      <c r="B958" s="1" t="n">
        <v>44960</v>
      </c>
      <c r="C958" s="1" t="n">
        <v>46140</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6715-2023</t>
        </is>
      </c>
      <c r="B959" s="1" t="n">
        <v>44960</v>
      </c>
      <c r="C959" s="1" t="n">
        <v>46140</v>
      </c>
      <c r="D959" t="inlineStr">
        <is>
          <t>VÄRMLANDS LÄN</t>
        </is>
      </c>
      <c r="E959" t="inlineStr">
        <is>
          <t>TORSBY</t>
        </is>
      </c>
      <c r="G959" t="n">
        <v>4.8</v>
      </c>
      <c r="H959" t="n">
        <v>0</v>
      </c>
      <c r="I959" t="n">
        <v>0</v>
      </c>
      <c r="J959" t="n">
        <v>0</v>
      </c>
      <c r="K959" t="n">
        <v>0</v>
      </c>
      <c r="L959" t="n">
        <v>0</v>
      </c>
      <c r="M959" t="n">
        <v>0</v>
      </c>
      <c r="N959" t="n">
        <v>0</v>
      </c>
      <c r="O959" t="n">
        <v>0</v>
      </c>
      <c r="P959" t="n">
        <v>0</v>
      </c>
      <c r="Q959" t="n">
        <v>0</v>
      </c>
      <c r="R959" s="2" t="inlineStr"/>
    </row>
    <row r="960" ht="15" customHeight="1">
      <c r="A960" t="inlineStr">
        <is>
          <t>A 24696-2023</t>
        </is>
      </c>
      <c r="B960" s="1" t="n">
        <v>45084</v>
      </c>
      <c r="C960" s="1" t="n">
        <v>46140</v>
      </c>
      <c r="D960" t="inlineStr">
        <is>
          <t>VÄRMLANDS LÄN</t>
        </is>
      </c>
      <c r="E960" t="inlineStr">
        <is>
          <t>TORSBY</t>
        </is>
      </c>
      <c r="G960" t="n">
        <v>0.7</v>
      </c>
      <c r="H960" t="n">
        <v>0</v>
      </c>
      <c r="I960" t="n">
        <v>0</v>
      </c>
      <c r="J960" t="n">
        <v>0</v>
      </c>
      <c r="K960" t="n">
        <v>0</v>
      </c>
      <c r="L960" t="n">
        <v>0</v>
      </c>
      <c r="M960" t="n">
        <v>0</v>
      </c>
      <c r="N960" t="n">
        <v>0</v>
      </c>
      <c r="O960" t="n">
        <v>0</v>
      </c>
      <c r="P960" t="n">
        <v>0</v>
      </c>
      <c r="Q960" t="n">
        <v>0</v>
      </c>
      <c r="R960" s="2" t="inlineStr"/>
    </row>
    <row r="961" ht="15" customHeight="1">
      <c r="A961" t="inlineStr">
        <is>
          <t>A 46865-2025</t>
        </is>
      </c>
      <c r="B961" s="1" t="n">
        <v>45929</v>
      </c>
      <c r="C961" s="1" t="n">
        <v>46140</v>
      </c>
      <c r="D961" t="inlineStr">
        <is>
          <t>VÄRMLANDS LÄN</t>
        </is>
      </c>
      <c r="E961" t="inlineStr">
        <is>
          <t>TORSBY</t>
        </is>
      </c>
      <c r="F961" t="inlineStr">
        <is>
          <t>Bergvik skog väst AB</t>
        </is>
      </c>
      <c r="G961" t="n">
        <v>1.1</v>
      </c>
      <c r="H961" t="n">
        <v>0</v>
      </c>
      <c r="I961" t="n">
        <v>0</v>
      </c>
      <c r="J961" t="n">
        <v>0</v>
      </c>
      <c r="K961" t="n">
        <v>0</v>
      </c>
      <c r="L961" t="n">
        <v>0</v>
      </c>
      <c r="M961" t="n">
        <v>0</v>
      </c>
      <c r="N961" t="n">
        <v>0</v>
      </c>
      <c r="O961" t="n">
        <v>0</v>
      </c>
      <c r="P961" t="n">
        <v>0</v>
      </c>
      <c r="Q961" t="n">
        <v>0</v>
      </c>
      <c r="R961" s="2" t="inlineStr"/>
    </row>
    <row r="962" ht="15" customHeight="1">
      <c r="A962" t="inlineStr">
        <is>
          <t>A 53460-2024</t>
        </is>
      </c>
      <c r="B962" s="1" t="n">
        <v>45611</v>
      </c>
      <c r="C962" s="1" t="n">
        <v>46140</v>
      </c>
      <c r="D962" t="inlineStr">
        <is>
          <t>VÄRMLANDS LÄN</t>
        </is>
      </c>
      <c r="E962" t="inlineStr">
        <is>
          <t>TORSBY</t>
        </is>
      </c>
      <c r="G962" t="n">
        <v>12.7</v>
      </c>
      <c r="H962" t="n">
        <v>0</v>
      </c>
      <c r="I962" t="n">
        <v>0</v>
      </c>
      <c r="J962" t="n">
        <v>0</v>
      </c>
      <c r="K962" t="n">
        <v>0</v>
      </c>
      <c r="L962" t="n">
        <v>0</v>
      </c>
      <c r="M962" t="n">
        <v>0</v>
      </c>
      <c r="N962" t="n">
        <v>0</v>
      </c>
      <c r="O962" t="n">
        <v>0</v>
      </c>
      <c r="P962" t="n">
        <v>0</v>
      </c>
      <c r="Q962" t="n">
        <v>0</v>
      </c>
      <c r="R962" s="2" t="inlineStr"/>
    </row>
    <row r="963" ht="15" customHeight="1">
      <c r="A963" t="inlineStr">
        <is>
          <t>A 46921-2025</t>
        </is>
      </c>
      <c r="B963" s="1" t="n">
        <v>45929.43655092592</v>
      </c>
      <c r="C963" s="1" t="n">
        <v>46140</v>
      </c>
      <c r="D963" t="inlineStr">
        <is>
          <t>VÄRMLANDS LÄN</t>
        </is>
      </c>
      <c r="E963" t="inlineStr">
        <is>
          <t>TORSBY</t>
        </is>
      </c>
      <c r="G963" t="n">
        <v>7</v>
      </c>
      <c r="H963" t="n">
        <v>0</v>
      </c>
      <c r="I963" t="n">
        <v>0</v>
      </c>
      <c r="J963" t="n">
        <v>0</v>
      </c>
      <c r="K963" t="n">
        <v>0</v>
      </c>
      <c r="L963" t="n">
        <v>0</v>
      </c>
      <c r="M963" t="n">
        <v>0</v>
      </c>
      <c r="N963" t="n">
        <v>0</v>
      </c>
      <c r="O963" t="n">
        <v>0</v>
      </c>
      <c r="P963" t="n">
        <v>0</v>
      </c>
      <c r="Q963" t="n">
        <v>0</v>
      </c>
      <c r="R963" s="2" t="inlineStr"/>
    </row>
    <row r="964" ht="15" customHeight="1">
      <c r="A964" t="inlineStr">
        <is>
          <t>A 47049-2025</t>
        </is>
      </c>
      <c r="B964" s="1" t="n">
        <v>45929.6130324074</v>
      </c>
      <c r="C964" s="1" t="n">
        <v>46140</v>
      </c>
      <c r="D964" t="inlineStr">
        <is>
          <t>VÄRMLANDS LÄN</t>
        </is>
      </c>
      <c r="E964" t="inlineStr">
        <is>
          <t>TORSBY</t>
        </is>
      </c>
      <c r="G964" t="n">
        <v>3.1</v>
      </c>
      <c r="H964" t="n">
        <v>0</v>
      </c>
      <c r="I964" t="n">
        <v>0</v>
      </c>
      <c r="J964" t="n">
        <v>0</v>
      </c>
      <c r="K964" t="n">
        <v>0</v>
      </c>
      <c r="L964" t="n">
        <v>0</v>
      </c>
      <c r="M964" t="n">
        <v>0</v>
      </c>
      <c r="N964" t="n">
        <v>0</v>
      </c>
      <c r="O964" t="n">
        <v>0</v>
      </c>
      <c r="P964" t="n">
        <v>0</v>
      </c>
      <c r="Q964" t="n">
        <v>0</v>
      </c>
      <c r="R964" s="2" t="inlineStr"/>
    </row>
    <row r="965" ht="15" customHeight="1">
      <c r="A965" t="inlineStr">
        <is>
          <t>A 70658-2021</t>
        </is>
      </c>
      <c r="B965" s="1" t="n">
        <v>44537.52368055555</v>
      </c>
      <c r="C965" s="1" t="n">
        <v>46140</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37401-2022</t>
        </is>
      </c>
      <c r="B966" s="1" t="n">
        <v>44809</v>
      </c>
      <c r="C966" s="1" t="n">
        <v>46140</v>
      </c>
      <c r="D966" t="inlineStr">
        <is>
          <t>VÄRMLANDS LÄN</t>
        </is>
      </c>
      <c r="E966" t="inlineStr">
        <is>
          <t>TORSBY</t>
        </is>
      </c>
      <c r="G966" t="n">
        <v>1.2</v>
      </c>
      <c r="H966" t="n">
        <v>0</v>
      </c>
      <c r="I966" t="n">
        <v>0</v>
      </c>
      <c r="J966" t="n">
        <v>0</v>
      </c>
      <c r="K966" t="n">
        <v>0</v>
      </c>
      <c r="L966" t="n">
        <v>0</v>
      </c>
      <c r="M966" t="n">
        <v>0</v>
      </c>
      <c r="N966" t="n">
        <v>0</v>
      </c>
      <c r="O966" t="n">
        <v>0</v>
      </c>
      <c r="P966" t="n">
        <v>0</v>
      </c>
      <c r="Q966" t="n">
        <v>0</v>
      </c>
      <c r="R966" s="2" t="inlineStr"/>
    </row>
    <row r="967" ht="15" customHeight="1">
      <c r="A967" t="inlineStr">
        <is>
          <t>A 27273-2024</t>
        </is>
      </c>
      <c r="B967" s="1" t="n">
        <v>45471.84013888889</v>
      </c>
      <c r="C967" s="1" t="n">
        <v>46140</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27275-2024</t>
        </is>
      </c>
      <c r="B968" s="1" t="n">
        <v>45471.85645833334</v>
      </c>
      <c r="C968" s="1" t="n">
        <v>46140</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7178-2025</t>
        </is>
      </c>
      <c r="B969" s="1" t="n">
        <v>45702.42493055556</v>
      </c>
      <c r="C969" s="1" t="n">
        <v>46140</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47621-2025</t>
        </is>
      </c>
      <c r="B970" s="1" t="n">
        <v>45931.48322916667</v>
      </c>
      <c r="C970" s="1" t="n">
        <v>46140</v>
      </c>
      <c r="D970" t="inlineStr">
        <is>
          <t>VÄRMLANDS LÄN</t>
        </is>
      </c>
      <c r="E970" t="inlineStr">
        <is>
          <t>TORSBY</t>
        </is>
      </c>
      <c r="G970" t="n">
        <v>0.5</v>
      </c>
      <c r="H970" t="n">
        <v>0</v>
      </c>
      <c r="I970" t="n">
        <v>0</v>
      </c>
      <c r="J970" t="n">
        <v>0</v>
      </c>
      <c r="K970" t="n">
        <v>0</v>
      </c>
      <c r="L970" t="n">
        <v>0</v>
      </c>
      <c r="M970" t="n">
        <v>0</v>
      </c>
      <c r="N970" t="n">
        <v>0</v>
      </c>
      <c r="O970" t="n">
        <v>0</v>
      </c>
      <c r="P970" t="n">
        <v>0</v>
      </c>
      <c r="Q970" t="n">
        <v>0</v>
      </c>
      <c r="R970" s="2" t="inlineStr"/>
    </row>
    <row r="971" ht="15" customHeight="1">
      <c r="A971" t="inlineStr">
        <is>
          <t>A 55100-2023</t>
        </is>
      </c>
      <c r="B971" s="1" t="n">
        <v>45237.45715277778</v>
      </c>
      <c r="C971" s="1" t="n">
        <v>46140</v>
      </c>
      <c r="D971" t="inlineStr">
        <is>
          <t>VÄRMLANDS LÄN</t>
        </is>
      </c>
      <c r="E971" t="inlineStr">
        <is>
          <t>TORSBY</t>
        </is>
      </c>
      <c r="G971" t="n">
        <v>0.9</v>
      </c>
      <c r="H971" t="n">
        <v>0</v>
      </c>
      <c r="I971" t="n">
        <v>0</v>
      </c>
      <c r="J971" t="n">
        <v>0</v>
      </c>
      <c r="K971" t="n">
        <v>0</v>
      </c>
      <c r="L971" t="n">
        <v>0</v>
      </c>
      <c r="M971" t="n">
        <v>0</v>
      </c>
      <c r="N971" t="n">
        <v>0</v>
      </c>
      <c r="O971" t="n">
        <v>0</v>
      </c>
      <c r="P971" t="n">
        <v>0</v>
      </c>
      <c r="Q971" t="n">
        <v>0</v>
      </c>
      <c r="R971" s="2" t="inlineStr"/>
    </row>
    <row r="972" ht="15" customHeight="1">
      <c r="A972" t="inlineStr">
        <is>
          <t>A 48020-2025</t>
        </is>
      </c>
      <c r="B972" s="1" t="n">
        <v>45932</v>
      </c>
      <c r="C972" s="1" t="n">
        <v>46140</v>
      </c>
      <c r="D972" t="inlineStr">
        <is>
          <t>VÄRMLANDS LÄN</t>
        </is>
      </c>
      <c r="E972" t="inlineStr">
        <is>
          <t>TORSBY</t>
        </is>
      </c>
      <c r="F972" t="inlineStr">
        <is>
          <t>Bergvik skog väst AB</t>
        </is>
      </c>
      <c r="G972" t="n">
        <v>4.5</v>
      </c>
      <c r="H972" t="n">
        <v>0</v>
      </c>
      <c r="I972" t="n">
        <v>0</v>
      </c>
      <c r="J972" t="n">
        <v>0</v>
      </c>
      <c r="K972" t="n">
        <v>0</v>
      </c>
      <c r="L972" t="n">
        <v>0</v>
      </c>
      <c r="M972" t="n">
        <v>0</v>
      </c>
      <c r="N972" t="n">
        <v>0</v>
      </c>
      <c r="O972" t="n">
        <v>0</v>
      </c>
      <c r="P972" t="n">
        <v>0</v>
      </c>
      <c r="Q972" t="n">
        <v>0</v>
      </c>
      <c r="R972" s="2" t="inlineStr"/>
    </row>
    <row r="973" ht="15" customHeight="1">
      <c r="A973" t="inlineStr">
        <is>
          <t>A 47494-2025</t>
        </is>
      </c>
      <c r="B973" s="1" t="n">
        <v>45930.78428240741</v>
      </c>
      <c r="C973" s="1" t="n">
        <v>46140</v>
      </c>
      <c r="D973" t="inlineStr">
        <is>
          <t>VÄRMLANDS LÄN</t>
        </is>
      </c>
      <c r="E973" t="inlineStr">
        <is>
          <t>TORSBY</t>
        </is>
      </c>
      <c r="F973" t="inlineStr">
        <is>
          <t>Bergvik skog väst AB</t>
        </is>
      </c>
      <c r="G973" t="n">
        <v>2.2</v>
      </c>
      <c r="H973" t="n">
        <v>0</v>
      </c>
      <c r="I973" t="n">
        <v>0</v>
      </c>
      <c r="J973" t="n">
        <v>0</v>
      </c>
      <c r="K973" t="n">
        <v>0</v>
      </c>
      <c r="L973" t="n">
        <v>0</v>
      </c>
      <c r="M973" t="n">
        <v>0</v>
      </c>
      <c r="N973" t="n">
        <v>0</v>
      </c>
      <c r="O973" t="n">
        <v>0</v>
      </c>
      <c r="P973" t="n">
        <v>0</v>
      </c>
      <c r="Q973" t="n">
        <v>0</v>
      </c>
      <c r="R973" s="2" t="inlineStr"/>
    </row>
    <row r="974" ht="15" customHeight="1">
      <c r="A974" t="inlineStr">
        <is>
          <t>A 47495-2025</t>
        </is>
      </c>
      <c r="B974" s="1" t="n">
        <v>45930.79185185185</v>
      </c>
      <c r="C974" s="1" t="n">
        <v>46140</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9729-2025</t>
        </is>
      </c>
      <c r="B975" s="1" t="n">
        <v>45715</v>
      </c>
      <c r="C975" s="1" t="n">
        <v>46140</v>
      </c>
      <c r="D975" t="inlineStr">
        <is>
          <t>VÄRMLANDS LÄN</t>
        </is>
      </c>
      <c r="E975" t="inlineStr">
        <is>
          <t>TORSBY</t>
        </is>
      </c>
      <c r="G975" t="n">
        <v>3.4</v>
      </c>
      <c r="H975" t="n">
        <v>0</v>
      </c>
      <c r="I975" t="n">
        <v>0</v>
      </c>
      <c r="J975" t="n">
        <v>0</v>
      </c>
      <c r="K975" t="n">
        <v>0</v>
      </c>
      <c r="L975" t="n">
        <v>0</v>
      </c>
      <c r="M975" t="n">
        <v>0</v>
      </c>
      <c r="N975" t="n">
        <v>0</v>
      </c>
      <c r="O975" t="n">
        <v>0</v>
      </c>
      <c r="P975" t="n">
        <v>0</v>
      </c>
      <c r="Q975" t="n">
        <v>0</v>
      </c>
      <c r="R975" s="2" t="inlineStr"/>
    </row>
    <row r="976" ht="15" customHeight="1">
      <c r="A976" t="inlineStr">
        <is>
          <t>A 20528-2023</t>
        </is>
      </c>
      <c r="B976" s="1" t="n">
        <v>45057</v>
      </c>
      <c r="C976" s="1" t="n">
        <v>46140</v>
      </c>
      <c r="D976" t="inlineStr">
        <is>
          <t>VÄRMLANDS LÄN</t>
        </is>
      </c>
      <c r="E976" t="inlineStr">
        <is>
          <t>TORSBY</t>
        </is>
      </c>
      <c r="G976" t="n">
        <v>1</v>
      </c>
      <c r="H976" t="n">
        <v>0</v>
      </c>
      <c r="I976" t="n">
        <v>0</v>
      </c>
      <c r="J976" t="n">
        <v>0</v>
      </c>
      <c r="K976" t="n">
        <v>0</v>
      </c>
      <c r="L976" t="n">
        <v>0</v>
      </c>
      <c r="M976" t="n">
        <v>0</v>
      </c>
      <c r="N976" t="n">
        <v>0</v>
      </c>
      <c r="O976" t="n">
        <v>0</v>
      </c>
      <c r="P976" t="n">
        <v>0</v>
      </c>
      <c r="Q976" t="n">
        <v>0</v>
      </c>
      <c r="R976" s="2" t="inlineStr"/>
    </row>
    <row r="977" ht="15" customHeight="1">
      <c r="A977" t="inlineStr">
        <is>
          <t>A 43060-2021</t>
        </is>
      </c>
      <c r="B977" s="1" t="n">
        <v>44431</v>
      </c>
      <c r="C977" s="1" t="n">
        <v>46140</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23572-2023</t>
        </is>
      </c>
      <c r="B978" s="1" t="n">
        <v>45077</v>
      </c>
      <c r="C978" s="1" t="n">
        <v>46140</v>
      </c>
      <c r="D978" t="inlineStr">
        <is>
          <t>VÄRMLANDS LÄN</t>
        </is>
      </c>
      <c r="E978" t="inlineStr">
        <is>
          <t>TORSBY</t>
        </is>
      </c>
      <c r="G978" t="n">
        <v>4.4</v>
      </c>
      <c r="H978" t="n">
        <v>0</v>
      </c>
      <c r="I978" t="n">
        <v>0</v>
      </c>
      <c r="J978" t="n">
        <v>0</v>
      </c>
      <c r="K978" t="n">
        <v>0</v>
      </c>
      <c r="L978" t="n">
        <v>0</v>
      </c>
      <c r="M978" t="n">
        <v>0</v>
      </c>
      <c r="N978" t="n">
        <v>0</v>
      </c>
      <c r="O978" t="n">
        <v>0</v>
      </c>
      <c r="P978" t="n">
        <v>0</v>
      </c>
      <c r="Q978" t="n">
        <v>0</v>
      </c>
      <c r="R978" s="2" t="inlineStr"/>
    </row>
    <row r="979" ht="15" customHeight="1">
      <c r="A979" t="inlineStr">
        <is>
          <t>A 47545-2025</t>
        </is>
      </c>
      <c r="B979" s="1" t="n">
        <v>45931</v>
      </c>
      <c r="C979" s="1" t="n">
        <v>46140</v>
      </c>
      <c r="D979" t="inlineStr">
        <is>
          <t>VÄRMLANDS LÄN</t>
        </is>
      </c>
      <c r="E979" t="inlineStr">
        <is>
          <t>TORSBY</t>
        </is>
      </c>
      <c r="F979" t="inlineStr">
        <is>
          <t>Bergvik skog väst AB</t>
        </is>
      </c>
      <c r="G979" t="n">
        <v>6.8</v>
      </c>
      <c r="H979" t="n">
        <v>0</v>
      </c>
      <c r="I979" t="n">
        <v>0</v>
      </c>
      <c r="J979" t="n">
        <v>0</v>
      </c>
      <c r="K979" t="n">
        <v>0</v>
      </c>
      <c r="L979" t="n">
        <v>0</v>
      </c>
      <c r="M979" t="n">
        <v>0</v>
      </c>
      <c r="N979" t="n">
        <v>0</v>
      </c>
      <c r="O979" t="n">
        <v>0</v>
      </c>
      <c r="P979" t="n">
        <v>0</v>
      </c>
      <c r="Q979" t="n">
        <v>0</v>
      </c>
      <c r="R979" s="2" t="inlineStr"/>
    </row>
    <row r="980" ht="15" customHeight="1">
      <c r="A980" t="inlineStr">
        <is>
          <t>A 22635-2022</t>
        </is>
      </c>
      <c r="B980" s="1" t="n">
        <v>44714</v>
      </c>
      <c r="C980" s="1" t="n">
        <v>46140</v>
      </c>
      <c r="D980" t="inlineStr">
        <is>
          <t>VÄRMLANDS LÄN</t>
        </is>
      </c>
      <c r="E980" t="inlineStr">
        <is>
          <t>TORSBY</t>
        </is>
      </c>
      <c r="G980" t="n">
        <v>0.4</v>
      </c>
      <c r="H980" t="n">
        <v>0</v>
      </c>
      <c r="I980" t="n">
        <v>0</v>
      </c>
      <c r="J980" t="n">
        <v>0</v>
      </c>
      <c r="K980" t="n">
        <v>0</v>
      </c>
      <c r="L980" t="n">
        <v>0</v>
      </c>
      <c r="M980" t="n">
        <v>0</v>
      </c>
      <c r="N980" t="n">
        <v>0</v>
      </c>
      <c r="O980" t="n">
        <v>0</v>
      </c>
      <c r="P980" t="n">
        <v>0</v>
      </c>
      <c r="Q980" t="n">
        <v>0</v>
      </c>
      <c r="R980" s="2" t="inlineStr"/>
    </row>
    <row r="981" ht="15" customHeight="1">
      <c r="A981" t="inlineStr">
        <is>
          <t>A 47927-2025</t>
        </is>
      </c>
      <c r="B981" s="1" t="n">
        <v>45932.54604166667</v>
      </c>
      <c r="C981" s="1" t="n">
        <v>46140</v>
      </c>
      <c r="D981" t="inlineStr">
        <is>
          <t>VÄRMLANDS LÄN</t>
        </is>
      </c>
      <c r="E981" t="inlineStr">
        <is>
          <t>TORSBY</t>
        </is>
      </c>
      <c r="G981" t="n">
        <v>0.6</v>
      </c>
      <c r="H981" t="n">
        <v>0</v>
      </c>
      <c r="I981" t="n">
        <v>0</v>
      </c>
      <c r="J981" t="n">
        <v>0</v>
      </c>
      <c r="K981" t="n">
        <v>0</v>
      </c>
      <c r="L981" t="n">
        <v>0</v>
      </c>
      <c r="M981" t="n">
        <v>0</v>
      </c>
      <c r="N981" t="n">
        <v>0</v>
      </c>
      <c r="O981" t="n">
        <v>0</v>
      </c>
      <c r="P981" t="n">
        <v>0</v>
      </c>
      <c r="Q981" t="n">
        <v>0</v>
      </c>
      <c r="R981" s="2" t="inlineStr"/>
    </row>
    <row r="982" ht="15" customHeight="1">
      <c r="A982" t="inlineStr">
        <is>
          <t>A 47736-2025</t>
        </is>
      </c>
      <c r="B982" s="1" t="n">
        <v>45931.63822916667</v>
      </c>
      <c r="C982" s="1" t="n">
        <v>46140</v>
      </c>
      <c r="D982" t="inlineStr">
        <is>
          <t>VÄRMLANDS LÄN</t>
        </is>
      </c>
      <c r="E982" t="inlineStr">
        <is>
          <t>TORSBY</t>
        </is>
      </c>
      <c r="G982" t="n">
        <v>1</v>
      </c>
      <c r="H982" t="n">
        <v>0</v>
      </c>
      <c r="I982" t="n">
        <v>0</v>
      </c>
      <c r="J982" t="n">
        <v>0</v>
      </c>
      <c r="K982" t="n">
        <v>0</v>
      </c>
      <c r="L982" t="n">
        <v>0</v>
      </c>
      <c r="M982" t="n">
        <v>0</v>
      </c>
      <c r="N982" t="n">
        <v>0</v>
      </c>
      <c r="O982" t="n">
        <v>0</v>
      </c>
      <c r="P982" t="n">
        <v>0</v>
      </c>
      <c r="Q982" t="n">
        <v>0</v>
      </c>
      <c r="R982" s="2" t="inlineStr"/>
    </row>
    <row r="983" ht="15" customHeight="1">
      <c r="A983" t="inlineStr">
        <is>
          <t>A 47624-2025</t>
        </is>
      </c>
      <c r="B983" s="1" t="n">
        <v>45931.48381944445</v>
      </c>
      <c r="C983" s="1" t="n">
        <v>46140</v>
      </c>
      <c r="D983" t="inlineStr">
        <is>
          <t>VÄRMLANDS LÄN</t>
        </is>
      </c>
      <c r="E983" t="inlineStr">
        <is>
          <t>TORSBY</t>
        </is>
      </c>
      <c r="G983" t="n">
        <v>4.7</v>
      </c>
      <c r="H983" t="n">
        <v>0</v>
      </c>
      <c r="I983" t="n">
        <v>0</v>
      </c>
      <c r="J983" t="n">
        <v>0</v>
      </c>
      <c r="K983" t="n">
        <v>0</v>
      </c>
      <c r="L983" t="n">
        <v>0</v>
      </c>
      <c r="M983" t="n">
        <v>0</v>
      </c>
      <c r="N983" t="n">
        <v>0</v>
      </c>
      <c r="O983" t="n">
        <v>0</v>
      </c>
      <c r="P983" t="n">
        <v>0</v>
      </c>
      <c r="Q983" t="n">
        <v>0</v>
      </c>
      <c r="R983" s="2" t="inlineStr"/>
    </row>
    <row r="984" ht="15" customHeight="1">
      <c r="A984" t="inlineStr">
        <is>
          <t>A 41130-2022</t>
        </is>
      </c>
      <c r="B984" s="1" t="n">
        <v>44825</v>
      </c>
      <c r="C984" s="1" t="n">
        <v>46140</v>
      </c>
      <c r="D984" t="inlineStr">
        <is>
          <t>VÄRMLANDS LÄN</t>
        </is>
      </c>
      <c r="E984" t="inlineStr">
        <is>
          <t>TORSBY</t>
        </is>
      </c>
      <c r="F984" t="inlineStr">
        <is>
          <t>Kyrkan</t>
        </is>
      </c>
      <c r="G984" t="n">
        <v>1.3</v>
      </c>
      <c r="H984" t="n">
        <v>0</v>
      </c>
      <c r="I984" t="n">
        <v>0</v>
      </c>
      <c r="J984" t="n">
        <v>0</v>
      </c>
      <c r="K984" t="n">
        <v>0</v>
      </c>
      <c r="L984" t="n">
        <v>0</v>
      </c>
      <c r="M984" t="n">
        <v>0</v>
      </c>
      <c r="N984" t="n">
        <v>0</v>
      </c>
      <c r="O984" t="n">
        <v>0</v>
      </c>
      <c r="P984" t="n">
        <v>0</v>
      </c>
      <c r="Q984" t="n">
        <v>0</v>
      </c>
      <c r="R984" s="2" t="inlineStr"/>
    </row>
    <row r="985" ht="15" customHeight="1">
      <c r="A985" t="inlineStr">
        <is>
          <t>A 43256-2024</t>
        </is>
      </c>
      <c r="B985" s="1" t="n">
        <v>45568</v>
      </c>
      <c r="C985" s="1" t="n">
        <v>46140</v>
      </c>
      <c r="D985" t="inlineStr">
        <is>
          <t>VÄRMLANDS LÄN</t>
        </is>
      </c>
      <c r="E985" t="inlineStr">
        <is>
          <t>TORSBY</t>
        </is>
      </c>
      <c r="G985" t="n">
        <v>1.6</v>
      </c>
      <c r="H985" t="n">
        <v>0</v>
      </c>
      <c r="I985" t="n">
        <v>0</v>
      </c>
      <c r="J985" t="n">
        <v>0</v>
      </c>
      <c r="K985" t="n">
        <v>0</v>
      </c>
      <c r="L985" t="n">
        <v>0</v>
      </c>
      <c r="M985" t="n">
        <v>0</v>
      </c>
      <c r="N985" t="n">
        <v>0</v>
      </c>
      <c r="O985" t="n">
        <v>0</v>
      </c>
      <c r="P985" t="n">
        <v>0</v>
      </c>
      <c r="Q985" t="n">
        <v>0</v>
      </c>
      <c r="R985" s="2" t="inlineStr"/>
    </row>
    <row r="986" ht="15" customHeight="1">
      <c r="A986" t="inlineStr">
        <is>
          <t>A 20745-2023</t>
        </is>
      </c>
      <c r="B986" s="1" t="n">
        <v>45058</v>
      </c>
      <c r="C986" s="1" t="n">
        <v>46140</v>
      </c>
      <c r="D986" t="inlineStr">
        <is>
          <t>VÄRMLANDS LÄN</t>
        </is>
      </c>
      <c r="E986" t="inlineStr">
        <is>
          <t>TORSBY</t>
        </is>
      </c>
      <c r="G986" t="n">
        <v>1</v>
      </c>
      <c r="H986" t="n">
        <v>0</v>
      </c>
      <c r="I986" t="n">
        <v>0</v>
      </c>
      <c r="J986" t="n">
        <v>0</v>
      </c>
      <c r="K986" t="n">
        <v>0</v>
      </c>
      <c r="L986" t="n">
        <v>0</v>
      </c>
      <c r="M986" t="n">
        <v>0</v>
      </c>
      <c r="N986" t="n">
        <v>0</v>
      </c>
      <c r="O986" t="n">
        <v>0</v>
      </c>
      <c r="P986" t="n">
        <v>0</v>
      </c>
      <c r="Q986" t="n">
        <v>0</v>
      </c>
      <c r="R986" s="2" t="inlineStr"/>
    </row>
    <row r="987" ht="15" customHeight="1">
      <c r="A987" t="inlineStr">
        <is>
          <t>A 48499-2025</t>
        </is>
      </c>
      <c r="B987" s="1" t="n">
        <v>45936.37533564815</v>
      </c>
      <c r="C987" s="1" t="n">
        <v>46140</v>
      </c>
      <c r="D987" t="inlineStr">
        <is>
          <t>VÄRMLANDS LÄN</t>
        </is>
      </c>
      <c r="E987" t="inlineStr">
        <is>
          <t>TORSBY</t>
        </is>
      </c>
      <c r="F987" t="inlineStr">
        <is>
          <t>Bergvik skog väst AB</t>
        </is>
      </c>
      <c r="G987" t="n">
        <v>2.4</v>
      </c>
      <c r="H987" t="n">
        <v>0</v>
      </c>
      <c r="I987" t="n">
        <v>0</v>
      </c>
      <c r="J987" t="n">
        <v>0</v>
      </c>
      <c r="K987" t="n">
        <v>0</v>
      </c>
      <c r="L987" t="n">
        <v>0</v>
      </c>
      <c r="M987" t="n">
        <v>0</v>
      </c>
      <c r="N987" t="n">
        <v>0</v>
      </c>
      <c r="O987" t="n">
        <v>0</v>
      </c>
      <c r="P987" t="n">
        <v>0</v>
      </c>
      <c r="Q987" t="n">
        <v>0</v>
      </c>
      <c r="R987" s="2" t="inlineStr"/>
    </row>
    <row r="988" ht="15" customHeight="1">
      <c r="A988" t="inlineStr">
        <is>
          <t>A 21988-2023</t>
        </is>
      </c>
      <c r="B988" s="1" t="n">
        <v>45068</v>
      </c>
      <c r="C988" s="1" t="n">
        <v>46140</v>
      </c>
      <c r="D988" t="inlineStr">
        <is>
          <t>VÄRMLANDS LÄN</t>
        </is>
      </c>
      <c r="E988" t="inlineStr">
        <is>
          <t>TORSBY</t>
        </is>
      </c>
      <c r="F988" t="inlineStr">
        <is>
          <t>Bergvik skog väst AB</t>
        </is>
      </c>
      <c r="G988" t="n">
        <v>2</v>
      </c>
      <c r="H988" t="n">
        <v>0</v>
      </c>
      <c r="I988" t="n">
        <v>0</v>
      </c>
      <c r="J988" t="n">
        <v>0</v>
      </c>
      <c r="K988" t="n">
        <v>0</v>
      </c>
      <c r="L988" t="n">
        <v>0</v>
      </c>
      <c r="M988" t="n">
        <v>0</v>
      </c>
      <c r="N988" t="n">
        <v>0</v>
      </c>
      <c r="O988" t="n">
        <v>0</v>
      </c>
      <c r="P988" t="n">
        <v>0</v>
      </c>
      <c r="Q988" t="n">
        <v>0</v>
      </c>
      <c r="R988" s="2" t="inlineStr"/>
    </row>
    <row r="989" ht="15" customHeight="1">
      <c r="A989" t="inlineStr">
        <is>
          <t>A 36850-2024</t>
        </is>
      </c>
      <c r="B989" s="1" t="n">
        <v>45538</v>
      </c>
      <c r="C989" s="1" t="n">
        <v>46140</v>
      </c>
      <c r="D989" t="inlineStr">
        <is>
          <t>VÄRMLANDS LÄN</t>
        </is>
      </c>
      <c r="E989" t="inlineStr">
        <is>
          <t>TORSBY</t>
        </is>
      </c>
      <c r="G989" t="n">
        <v>2</v>
      </c>
      <c r="H989" t="n">
        <v>0</v>
      </c>
      <c r="I989" t="n">
        <v>0</v>
      </c>
      <c r="J989" t="n">
        <v>0</v>
      </c>
      <c r="K989" t="n">
        <v>0</v>
      </c>
      <c r="L989" t="n">
        <v>0</v>
      </c>
      <c r="M989" t="n">
        <v>0</v>
      </c>
      <c r="N989" t="n">
        <v>0</v>
      </c>
      <c r="O989" t="n">
        <v>0</v>
      </c>
      <c r="P989" t="n">
        <v>0</v>
      </c>
      <c r="Q989" t="n">
        <v>0</v>
      </c>
      <c r="R989" s="2" t="inlineStr"/>
    </row>
    <row r="990" ht="15" customHeight="1">
      <c r="A990" t="inlineStr">
        <is>
          <t>A 48375-2025</t>
        </is>
      </c>
      <c r="B990" s="1" t="n">
        <v>45933.71201388889</v>
      </c>
      <c r="C990" s="1" t="n">
        <v>46140</v>
      </c>
      <c r="D990" t="inlineStr">
        <is>
          <t>VÄRMLANDS LÄN</t>
        </is>
      </c>
      <c r="E990" t="inlineStr">
        <is>
          <t>TORSBY</t>
        </is>
      </c>
      <c r="G990" t="n">
        <v>2.5</v>
      </c>
      <c r="H990" t="n">
        <v>0</v>
      </c>
      <c r="I990" t="n">
        <v>0</v>
      </c>
      <c r="J990" t="n">
        <v>0</v>
      </c>
      <c r="K990" t="n">
        <v>0</v>
      </c>
      <c r="L990" t="n">
        <v>0</v>
      </c>
      <c r="M990" t="n">
        <v>0</v>
      </c>
      <c r="N990" t="n">
        <v>0</v>
      </c>
      <c r="O990" t="n">
        <v>0</v>
      </c>
      <c r="P990" t="n">
        <v>0</v>
      </c>
      <c r="Q990" t="n">
        <v>0</v>
      </c>
      <c r="R990" s="2" t="inlineStr"/>
    </row>
    <row r="991" ht="15" customHeight="1">
      <c r="A991" t="inlineStr">
        <is>
          <t>A 15450-2023</t>
        </is>
      </c>
      <c r="B991" s="1" t="n">
        <v>45020</v>
      </c>
      <c r="C991" s="1" t="n">
        <v>46140</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6529-2025</t>
        </is>
      </c>
      <c r="B992" s="1" t="n">
        <v>45699</v>
      </c>
      <c r="C992" s="1" t="n">
        <v>46140</v>
      </c>
      <c r="D992" t="inlineStr">
        <is>
          <t>VÄRMLANDS LÄN</t>
        </is>
      </c>
      <c r="E992" t="inlineStr">
        <is>
          <t>TORSBY</t>
        </is>
      </c>
      <c r="F992" t="inlineStr">
        <is>
          <t>Kommuner</t>
        </is>
      </c>
      <c r="G992" t="n">
        <v>0.2</v>
      </c>
      <c r="H992" t="n">
        <v>0</v>
      </c>
      <c r="I992" t="n">
        <v>0</v>
      </c>
      <c r="J992" t="n">
        <v>0</v>
      </c>
      <c r="K992" t="n">
        <v>0</v>
      </c>
      <c r="L992" t="n">
        <v>0</v>
      </c>
      <c r="M992" t="n">
        <v>0</v>
      </c>
      <c r="N992" t="n">
        <v>0</v>
      </c>
      <c r="O992" t="n">
        <v>0</v>
      </c>
      <c r="P992" t="n">
        <v>0</v>
      </c>
      <c r="Q992" t="n">
        <v>0</v>
      </c>
      <c r="R992" s="2" t="inlineStr"/>
    </row>
    <row r="993" ht="15" customHeight="1">
      <c r="A993" t="inlineStr">
        <is>
          <t>A 6532-2025</t>
        </is>
      </c>
      <c r="B993" s="1" t="n">
        <v>45699</v>
      </c>
      <c r="C993" s="1" t="n">
        <v>46140</v>
      </c>
      <c r="D993" t="inlineStr">
        <is>
          <t>VÄRMLANDS LÄN</t>
        </is>
      </c>
      <c r="E993" t="inlineStr">
        <is>
          <t>TORSBY</t>
        </is>
      </c>
      <c r="F993" t="inlineStr">
        <is>
          <t>Kommuner</t>
        </is>
      </c>
      <c r="G993" t="n">
        <v>0.3</v>
      </c>
      <c r="H993" t="n">
        <v>0</v>
      </c>
      <c r="I993" t="n">
        <v>0</v>
      </c>
      <c r="J993" t="n">
        <v>0</v>
      </c>
      <c r="K993" t="n">
        <v>0</v>
      </c>
      <c r="L993" t="n">
        <v>0</v>
      </c>
      <c r="M993" t="n">
        <v>0</v>
      </c>
      <c r="N993" t="n">
        <v>0</v>
      </c>
      <c r="O993" t="n">
        <v>0</v>
      </c>
      <c r="P993" t="n">
        <v>0</v>
      </c>
      <c r="Q993" t="n">
        <v>0</v>
      </c>
      <c r="R993" s="2" t="inlineStr"/>
    </row>
    <row r="994" ht="15" customHeight="1">
      <c r="A994" t="inlineStr">
        <is>
          <t>A 55475-2022</t>
        </is>
      </c>
      <c r="B994" s="1" t="n">
        <v>44887.66210648148</v>
      </c>
      <c r="C994" s="1" t="n">
        <v>46140</v>
      </c>
      <c r="D994" t="inlineStr">
        <is>
          <t>VÄRMLANDS LÄN</t>
        </is>
      </c>
      <c r="E994" t="inlineStr">
        <is>
          <t>TORSBY</t>
        </is>
      </c>
      <c r="G994" t="n">
        <v>2.7</v>
      </c>
      <c r="H994" t="n">
        <v>0</v>
      </c>
      <c r="I994" t="n">
        <v>0</v>
      </c>
      <c r="J994" t="n">
        <v>0</v>
      </c>
      <c r="K994" t="n">
        <v>0</v>
      </c>
      <c r="L994" t="n">
        <v>0</v>
      </c>
      <c r="M994" t="n">
        <v>0</v>
      </c>
      <c r="N994" t="n">
        <v>0</v>
      </c>
      <c r="O994" t="n">
        <v>0</v>
      </c>
      <c r="P994" t="n">
        <v>0</v>
      </c>
      <c r="Q994" t="n">
        <v>0</v>
      </c>
      <c r="R994" s="2" t="inlineStr"/>
    </row>
    <row r="995" ht="15" customHeight="1">
      <c r="A995" t="inlineStr">
        <is>
          <t>A 6863-2023</t>
        </is>
      </c>
      <c r="B995" s="1" t="n">
        <v>44964</v>
      </c>
      <c r="C995" s="1" t="n">
        <v>46140</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48202-2025</t>
        </is>
      </c>
      <c r="B996" s="1" t="n">
        <v>45933.48121527778</v>
      </c>
      <c r="C996" s="1" t="n">
        <v>46140</v>
      </c>
      <c r="D996" t="inlineStr">
        <is>
          <t>VÄRMLANDS LÄN</t>
        </is>
      </c>
      <c r="E996" t="inlineStr">
        <is>
          <t>TORSBY</t>
        </is>
      </c>
      <c r="G996" t="n">
        <v>9.4</v>
      </c>
      <c r="H996" t="n">
        <v>0</v>
      </c>
      <c r="I996" t="n">
        <v>0</v>
      </c>
      <c r="J996" t="n">
        <v>0</v>
      </c>
      <c r="K996" t="n">
        <v>0</v>
      </c>
      <c r="L996" t="n">
        <v>0</v>
      </c>
      <c r="M996" t="n">
        <v>0</v>
      </c>
      <c r="N996" t="n">
        <v>0</v>
      </c>
      <c r="O996" t="n">
        <v>0</v>
      </c>
      <c r="P996" t="n">
        <v>0</v>
      </c>
      <c r="Q996" t="n">
        <v>0</v>
      </c>
      <c r="R996" s="2" t="inlineStr"/>
    </row>
    <row r="997" ht="15" customHeight="1">
      <c r="A997" t="inlineStr">
        <is>
          <t>A 14369-2025</t>
        </is>
      </c>
      <c r="B997" s="1" t="n">
        <v>45741</v>
      </c>
      <c r="C997" s="1" t="n">
        <v>46140</v>
      </c>
      <c r="D997" t="inlineStr">
        <is>
          <t>VÄRMLANDS LÄN</t>
        </is>
      </c>
      <c r="E997" t="inlineStr">
        <is>
          <t>TORSBY</t>
        </is>
      </c>
      <c r="G997" t="n">
        <v>2.5</v>
      </c>
      <c r="H997" t="n">
        <v>0</v>
      </c>
      <c r="I997" t="n">
        <v>0</v>
      </c>
      <c r="J997" t="n">
        <v>0</v>
      </c>
      <c r="K997" t="n">
        <v>0</v>
      </c>
      <c r="L997" t="n">
        <v>0</v>
      </c>
      <c r="M997" t="n">
        <v>0</v>
      </c>
      <c r="N997" t="n">
        <v>0</v>
      </c>
      <c r="O997" t="n">
        <v>0</v>
      </c>
      <c r="P997" t="n">
        <v>0</v>
      </c>
      <c r="Q997" t="n">
        <v>0</v>
      </c>
      <c r="R997" s="2" t="inlineStr"/>
    </row>
    <row r="998" ht="15" customHeight="1">
      <c r="A998" t="inlineStr">
        <is>
          <t>A 48180-2025</t>
        </is>
      </c>
      <c r="B998" s="1" t="n">
        <v>45933.45245370371</v>
      </c>
      <c r="C998" s="1" t="n">
        <v>46140</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24896-2023</t>
        </is>
      </c>
      <c r="B999" s="1" t="n">
        <v>45085</v>
      </c>
      <c r="C999" s="1" t="n">
        <v>46140</v>
      </c>
      <c r="D999" t="inlineStr">
        <is>
          <t>VÄRMLANDS LÄN</t>
        </is>
      </c>
      <c r="E999" t="inlineStr">
        <is>
          <t>TORSBY</t>
        </is>
      </c>
      <c r="F999" t="inlineStr">
        <is>
          <t>Bergvik skog väst AB</t>
        </is>
      </c>
      <c r="G999" t="n">
        <v>4.7</v>
      </c>
      <c r="H999" t="n">
        <v>0</v>
      </c>
      <c r="I999" t="n">
        <v>0</v>
      </c>
      <c r="J999" t="n">
        <v>0</v>
      </c>
      <c r="K999" t="n">
        <v>0</v>
      </c>
      <c r="L999" t="n">
        <v>0</v>
      </c>
      <c r="M999" t="n">
        <v>0</v>
      </c>
      <c r="N999" t="n">
        <v>0</v>
      </c>
      <c r="O999" t="n">
        <v>0</v>
      </c>
      <c r="P999" t="n">
        <v>0</v>
      </c>
      <c r="Q999" t="n">
        <v>0</v>
      </c>
      <c r="R999" s="2" t="inlineStr"/>
    </row>
    <row r="1000" ht="15" customHeight="1">
      <c r="A1000" t="inlineStr">
        <is>
          <t>A 46698-2024</t>
        </is>
      </c>
      <c r="B1000" s="1" t="n">
        <v>45583.43209490741</v>
      </c>
      <c r="C1000" s="1" t="n">
        <v>46140</v>
      </c>
      <c r="D1000" t="inlineStr">
        <is>
          <t>VÄRMLANDS LÄN</t>
        </is>
      </c>
      <c r="E1000" t="inlineStr">
        <is>
          <t>TORSBY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48214-2025</t>
        </is>
      </c>
      <c r="B1001" s="1" t="n">
        <v>45933.49465277778</v>
      </c>
      <c r="C1001" s="1" t="n">
        <v>46140</v>
      </c>
      <c r="D1001" t="inlineStr">
        <is>
          <t>VÄRMLANDS LÄN</t>
        </is>
      </c>
      <c r="E1001" t="inlineStr">
        <is>
          <t>TORSBY</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49159-2025</t>
        </is>
      </c>
      <c r="B1002" s="1" t="n">
        <v>45938.35060185185</v>
      </c>
      <c r="C1002" s="1" t="n">
        <v>46140</v>
      </c>
      <c r="D1002" t="inlineStr">
        <is>
          <t>VÄRMLANDS LÄN</t>
        </is>
      </c>
      <c r="E1002" t="inlineStr">
        <is>
          <t>TORSBY</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16425-2022</t>
        </is>
      </c>
      <c r="B1003" s="1" t="n">
        <v>44671</v>
      </c>
      <c r="C1003" s="1" t="n">
        <v>46140</v>
      </c>
      <c r="D1003" t="inlineStr">
        <is>
          <t>VÄRMLANDS LÄN</t>
        </is>
      </c>
      <c r="E1003" t="inlineStr">
        <is>
          <t>TORSBY</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21255-2023</t>
        </is>
      </c>
      <c r="B1004" s="1" t="n">
        <v>45058</v>
      </c>
      <c r="C1004" s="1" t="n">
        <v>46140</v>
      </c>
      <c r="D1004" t="inlineStr">
        <is>
          <t>VÄRMLANDS LÄN</t>
        </is>
      </c>
      <c r="E1004" t="inlineStr">
        <is>
          <t>TORSBY</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48991-2025</t>
        </is>
      </c>
      <c r="B1005" s="1" t="n">
        <v>45937.58141203703</v>
      </c>
      <c r="C1005" s="1" t="n">
        <v>46140</v>
      </c>
      <c r="D1005" t="inlineStr">
        <is>
          <t>VÄRMLANDS LÄN</t>
        </is>
      </c>
      <c r="E1005" t="inlineStr">
        <is>
          <t>TORSBY</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49203-2025</t>
        </is>
      </c>
      <c r="B1006" s="1" t="n">
        <v>45938</v>
      </c>
      <c r="C1006" s="1" t="n">
        <v>46140</v>
      </c>
      <c r="D1006" t="inlineStr">
        <is>
          <t>VÄRMLANDS LÄN</t>
        </is>
      </c>
      <c r="E1006" t="inlineStr">
        <is>
          <t>TORSBY</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49344-2025</t>
        </is>
      </c>
      <c r="B1007" s="1" t="n">
        <v>45938.60028935185</v>
      </c>
      <c r="C1007" s="1" t="n">
        <v>46140</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46140</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53705-2021</t>
        </is>
      </c>
      <c r="B1009" s="1" t="n">
        <v>44469</v>
      </c>
      <c r="C1009" s="1" t="n">
        <v>46140</v>
      </c>
      <c r="D1009" t="inlineStr">
        <is>
          <t>VÄRMLANDS LÄN</t>
        </is>
      </c>
      <c r="E1009" t="inlineStr">
        <is>
          <t>TORSBY</t>
        </is>
      </c>
      <c r="F1009" t="inlineStr">
        <is>
          <t>Kyrkan</t>
        </is>
      </c>
      <c r="G1009" t="n">
        <v>12.4</v>
      </c>
      <c r="H1009" t="n">
        <v>0</v>
      </c>
      <c r="I1009" t="n">
        <v>0</v>
      </c>
      <c r="J1009" t="n">
        <v>0</v>
      </c>
      <c r="K1009" t="n">
        <v>0</v>
      </c>
      <c r="L1009" t="n">
        <v>0</v>
      </c>
      <c r="M1009" t="n">
        <v>0</v>
      </c>
      <c r="N1009" t="n">
        <v>0</v>
      </c>
      <c r="O1009" t="n">
        <v>0</v>
      </c>
      <c r="P1009" t="n">
        <v>0</v>
      </c>
      <c r="Q1009" t="n">
        <v>0</v>
      </c>
      <c r="R1009" s="2" t="inlineStr"/>
    </row>
    <row r="1010" ht="15" customHeight="1">
      <c r="A1010" t="inlineStr">
        <is>
          <t>A 16329-2025</t>
        </is>
      </c>
      <c r="B1010" s="1" t="n">
        <v>45751</v>
      </c>
      <c r="C1010" s="1" t="n">
        <v>46140</v>
      </c>
      <c r="D1010" t="inlineStr">
        <is>
          <t>VÄRMLANDS LÄN</t>
        </is>
      </c>
      <c r="E1010" t="inlineStr">
        <is>
          <t>TORSBY</t>
        </is>
      </c>
      <c r="F1010" t="inlineStr">
        <is>
          <t>Bergvik skog väst AB</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49107-2025</t>
        </is>
      </c>
      <c r="B1011" s="1" t="n">
        <v>45937.74091435185</v>
      </c>
      <c r="C1011" s="1" t="n">
        <v>46140</v>
      </c>
      <c r="D1011" t="inlineStr">
        <is>
          <t>VÄRMLANDS LÄN</t>
        </is>
      </c>
      <c r="E1011" t="inlineStr">
        <is>
          <t>TORSBY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49311-2025</t>
        </is>
      </c>
      <c r="B1012" s="1" t="n">
        <v>45938.56336805555</v>
      </c>
      <c r="C1012" s="1" t="n">
        <v>46140</v>
      </c>
      <c r="D1012" t="inlineStr">
        <is>
          <t>VÄRMLANDS LÄN</t>
        </is>
      </c>
      <c r="E1012" t="inlineStr">
        <is>
          <t>TORSBY</t>
        </is>
      </c>
      <c r="F1012" t="inlineStr">
        <is>
          <t>Bergvik skog väst AB</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49313-2025</t>
        </is>
      </c>
      <c r="B1013" s="1" t="n">
        <v>45938.56460648148</v>
      </c>
      <c r="C1013" s="1" t="n">
        <v>46140</v>
      </c>
      <c r="D1013" t="inlineStr">
        <is>
          <t>VÄRMLANDS LÄN</t>
        </is>
      </c>
      <c r="E1013" t="inlineStr">
        <is>
          <t>TORSBY</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12365-2022</t>
        </is>
      </c>
      <c r="B1014" s="1" t="n">
        <v>44637.70670138889</v>
      </c>
      <c r="C1014" s="1" t="n">
        <v>46140</v>
      </c>
      <c r="D1014" t="inlineStr">
        <is>
          <t>VÄRMLANDS LÄN</t>
        </is>
      </c>
      <c r="E1014" t="inlineStr">
        <is>
          <t>TORSBY</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38286-2023</t>
        </is>
      </c>
      <c r="B1015" s="1" t="n">
        <v>45161.63807870371</v>
      </c>
      <c r="C1015" s="1" t="n">
        <v>46140</v>
      </c>
      <c r="D1015" t="inlineStr">
        <is>
          <t>VÄRMLANDS LÄN</t>
        </is>
      </c>
      <c r="E1015" t="inlineStr">
        <is>
          <t>TORSBY</t>
        </is>
      </c>
      <c r="F1015" t="inlineStr">
        <is>
          <t>Kyrkan</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49167-2025</t>
        </is>
      </c>
      <c r="B1016" s="1" t="n">
        <v>45938</v>
      </c>
      <c r="C1016" s="1" t="n">
        <v>46140</v>
      </c>
      <c r="D1016" t="inlineStr">
        <is>
          <t>VÄRMLANDS LÄN</t>
        </is>
      </c>
      <c r="E1016" t="inlineStr">
        <is>
          <t>TORSBY</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48947-2025</t>
        </is>
      </c>
      <c r="B1017" s="1" t="n">
        <v>45937.54157407407</v>
      </c>
      <c r="C1017" s="1" t="n">
        <v>46140</v>
      </c>
      <c r="D1017" t="inlineStr">
        <is>
          <t>VÄRMLANDS LÄN</t>
        </is>
      </c>
      <c r="E1017" t="inlineStr">
        <is>
          <t>TORSBY</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19878-2025</t>
        </is>
      </c>
      <c r="B1018" s="1" t="n">
        <v>45771.55361111111</v>
      </c>
      <c r="C1018" s="1" t="n">
        <v>46140</v>
      </c>
      <c r="D1018" t="inlineStr">
        <is>
          <t>VÄRMLANDS LÄN</t>
        </is>
      </c>
      <c r="E1018" t="inlineStr">
        <is>
          <t>TORSBY</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49237-2025</t>
        </is>
      </c>
      <c r="B1019" s="1" t="n">
        <v>45938</v>
      </c>
      <c r="C1019" s="1" t="n">
        <v>46140</v>
      </c>
      <c r="D1019" t="inlineStr">
        <is>
          <t>VÄRMLANDS LÄN</t>
        </is>
      </c>
      <c r="E1019" t="inlineStr">
        <is>
          <t>TORSBY</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49250-2025</t>
        </is>
      </c>
      <c r="B1020" s="1" t="n">
        <v>45938</v>
      </c>
      <c r="C1020" s="1" t="n">
        <v>46140</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49108-2025</t>
        </is>
      </c>
      <c r="B1021" s="1" t="n">
        <v>45937.74528935185</v>
      </c>
      <c r="C1021" s="1" t="n">
        <v>46140</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49109-2025</t>
        </is>
      </c>
      <c r="B1022" s="1" t="n">
        <v>45937.74931712963</v>
      </c>
      <c r="C1022" s="1" t="n">
        <v>46140</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49181-2025</t>
        </is>
      </c>
      <c r="B1023" s="1" t="n">
        <v>45938.38640046296</v>
      </c>
      <c r="C1023" s="1" t="n">
        <v>46140</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49272-2025</t>
        </is>
      </c>
      <c r="B1024" s="1" t="n">
        <v>45938.50574074074</v>
      </c>
      <c r="C1024" s="1" t="n">
        <v>46140</v>
      </c>
      <c r="D1024" t="inlineStr">
        <is>
          <t>VÄRMLANDS LÄN</t>
        </is>
      </c>
      <c r="E1024" t="inlineStr">
        <is>
          <t>TORSBY</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26343-2023</t>
        </is>
      </c>
      <c r="B1025" s="1" t="n">
        <v>45091</v>
      </c>
      <c r="C1025" s="1" t="n">
        <v>46140</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49681-2025</t>
        </is>
      </c>
      <c r="B1026" s="1" t="n">
        <v>45939</v>
      </c>
      <c r="C1026" s="1" t="n">
        <v>46140</v>
      </c>
      <c r="D1026" t="inlineStr">
        <is>
          <t>VÄRMLANDS LÄN</t>
        </is>
      </c>
      <c r="E1026" t="inlineStr">
        <is>
          <t>TORSBY</t>
        </is>
      </c>
      <c r="F1026" t="inlineStr">
        <is>
          <t>Bergvik skog väst AB</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44699-2025</t>
        </is>
      </c>
      <c r="B1027" s="1" t="n">
        <v>45917</v>
      </c>
      <c r="C1027" s="1" t="n">
        <v>46140</v>
      </c>
      <c r="D1027" t="inlineStr">
        <is>
          <t>VÄRMLANDS LÄN</t>
        </is>
      </c>
      <c r="E1027" t="inlineStr">
        <is>
          <t>TORSBY</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49453-2025</t>
        </is>
      </c>
      <c r="B1028" s="1" t="n">
        <v>45939</v>
      </c>
      <c r="C1028" s="1" t="n">
        <v>46140</v>
      </c>
      <c r="D1028" t="inlineStr">
        <is>
          <t>VÄRMLANDS LÄN</t>
        </is>
      </c>
      <c r="E1028" t="inlineStr">
        <is>
          <t>TORSBY</t>
        </is>
      </c>
      <c r="F1028" t="inlineStr">
        <is>
          <t>Bergvik skog väst AB</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44170-2022</t>
        </is>
      </c>
      <c r="B1029" s="1" t="n">
        <v>44838</v>
      </c>
      <c r="C1029" s="1" t="n">
        <v>46140</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7127-2023</t>
        </is>
      </c>
      <c r="B1030" s="1" t="n">
        <v>44970.41383101852</v>
      </c>
      <c r="C1030" s="1" t="n">
        <v>46140</v>
      </c>
      <c r="D1030" t="inlineStr">
        <is>
          <t>VÄRMLANDS LÄN</t>
        </is>
      </c>
      <c r="E1030" t="inlineStr">
        <is>
          <t>TORSBY</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49854-2025</t>
        </is>
      </c>
      <c r="B1031" s="1" t="n">
        <v>45940.50342592593</v>
      </c>
      <c r="C1031" s="1" t="n">
        <v>46140</v>
      </c>
      <c r="D1031" t="inlineStr">
        <is>
          <t>VÄRMLANDS LÄN</t>
        </is>
      </c>
      <c r="E1031" t="inlineStr">
        <is>
          <t>TORSBY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49504-2025</t>
        </is>
      </c>
      <c r="B1032" s="1" t="n">
        <v>45939</v>
      </c>
      <c r="C1032" s="1" t="n">
        <v>46140</v>
      </c>
      <c r="D1032" t="inlineStr">
        <is>
          <t>VÄRMLANDS LÄN</t>
        </is>
      </c>
      <c r="E1032" t="inlineStr">
        <is>
          <t>TORSBY</t>
        </is>
      </c>
      <c r="F1032" t="inlineStr">
        <is>
          <t>Bergvik skog väst AB</t>
        </is>
      </c>
      <c r="G1032" t="n">
        <v>35.8</v>
      </c>
      <c r="H1032" t="n">
        <v>0</v>
      </c>
      <c r="I1032" t="n">
        <v>0</v>
      </c>
      <c r="J1032" t="n">
        <v>0</v>
      </c>
      <c r="K1032" t="n">
        <v>0</v>
      </c>
      <c r="L1032" t="n">
        <v>0</v>
      </c>
      <c r="M1032" t="n">
        <v>0</v>
      </c>
      <c r="N1032" t="n">
        <v>0</v>
      </c>
      <c r="O1032" t="n">
        <v>0</v>
      </c>
      <c r="P1032" t="n">
        <v>0</v>
      </c>
      <c r="Q1032" t="n">
        <v>0</v>
      </c>
      <c r="R1032" s="2" t="inlineStr"/>
    </row>
    <row r="1033" ht="15" customHeight="1">
      <c r="A1033" t="inlineStr">
        <is>
          <t>A 49622-2025</t>
        </is>
      </c>
      <c r="B1033" s="1" t="n">
        <v>45939</v>
      </c>
      <c r="C1033" s="1" t="n">
        <v>46140</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49636-2025</t>
        </is>
      </c>
      <c r="B1034" s="1" t="n">
        <v>45939</v>
      </c>
      <c r="C1034" s="1" t="n">
        <v>46140</v>
      </c>
      <c r="D1034" t="inlineStr">
        <is>
          <t>VÄRMLANDS LÄN</t>
        </is>
      </c>
      <c r="E1034" t="inlineStr">
        <is>
          <t>TORSBY</t>
        </is>
      </c>
      <c r="F1034" t="inlineStr">
        <is>
          <t>Bergvik skog väst AB</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16073-2024</t>
        </is>
      </c>
      <c r="B1035" s="1" t="n">
        <v>45406</v>
      </c>
      <c r="C1035" s="1" t="n">
        <v>46140</v>
      </c>
      <c r="D1035" t="inlineStr">
        <is>
          <t>VÄRMLANDS LÄN</t>
        </is>
      </c>
      <c r="E1035" t="inlineStr">
        <is>
          <t>TORSBY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58956-2022</t>
        </is>
      </c>
      <c r="B1036" s="1" t="n">
        <v>44903.65895833333</v>
      </c>
      <c r="C1036" s="1" t="n">
        <v>46140</v>
      </c>
      <c r="D1036" t="inlineStr">
        <is>
          <t>VÄRMLANDS LÄN</t>
        </is>
      </c>
      <c r="E1036" t="inlineStr">
        <is>
          <t>TORSBY</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49638-2025</t>
        </is>
      </c>
      <c r="B1037" s="1" t="n">
        <v>45939.61236111111</v>
      </c>
      <c r="C1037" s="1" t="n">
        <v>46140</v>
      </c>
      <c r="D1037" t="inlineStr">
        <is>
          <t>VÄRMLANDS LÄN</t>
        </is>
      </c>
      <c r="E1037" t="inlineStr">
        <is>
          <t>TORSBY</t>
        </is>
      </c>
      <c r="F1037" t="inlineStr">
        <is>
          <t>Bergvik skog väst AB</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36050-2023</t>
        </is>
      </c>
      <c r="B1038" s="1" t="n">
        <v>45149</v>
      </c>
      <c r="C1038" s="1" t="n">
        <v>46140</v>
      </c>
      <c r="D1038" t="inlineStr">
        <is>
          <t>VÄRMLANDS LÄN</t>
        </is>
      </c>
      <c r="E1038" t="inlineStr">
        <is>
          <t>TORSBY</t>
        </is>
      </c>
      <c r="F1038" t="inlineStr">
        <is>
          <t>Kommuner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50400-2025</t>
        </is>
      </c>
      <c r="B1039" s="1" t="n">
        <v>45944.63516203704</v>
      </c>
      <c r="C1039" s="1" t="n">
        <v>46140</v>
      </c>
      <c r="D1039" t="inlineStr">
        <is>
          <t>VÄRMLANDS LÄN</t>
        </is>
      </c>
      <c r="E1039" t="inlineStr">
        <is>
          <t>TORSBY</t>
        </is>
      </c>
      <c r="F1039" t="inlineStr">
        <is>
          <t>Bergvik skog väst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34966-2024</t>
        </is>
      </c>
      <c r="B1040" s="1" t="n">
        <v>45527.49600694444</v>
      </c>
      <c r="C1040" s="1" t="n">
        <v>46140</v>
      </c>
      <c r="D1040" t="inlineStr">
        <is>
          <t>VÄRMLANDS LÄN</t>
        </is>
      </c>
      <c r="E1040" t="inlineStr">
        <is>
          <t>TORSBY</t>
        </is>
      </c>
      <c r="F1040" t="inlineStr">
        <is>
          <t>Bergvik skog väst AB</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14162-2025</t>
        </is>
      </c>
      <c r="B1041" s="1" t="n">
        <v>45740</v>
      </c>
      <c r="C1041" s="1" t="n">
        <v>46140</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50373-2025</t>
        </is>
      </c>
      <c r="B1042" s="1" t="n">
        <v>45944.59106481481</v>
      </c>
      <c r="C1042" s="1" t="n">
        <v>46140</v>
      </c>
      <c r="D1042" t="inlineStr">
        <is>
          <t>VÄRMLANDS LÄN</t>
        </is>
      </c>
      <c r="E1042" t="inlineStr">
        <is>
          <t>TORSBY</t>
        </is>
      </c>
      <c r="F1042" t="inlineStr">
        <is>
          <t>Bergvik skog väst AB</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49206-2022</t>
        </is>
      </c>
      <c r="B1043" s="1" t="n">
        <v>44860.95984953704</v>
      </c>
      <c r="C1043" s="1" t="n">
        <v>46140</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9908-2024</t>
        </is>
      </c>
      <c r="B1044" s="1" t="n">
        <v>45363</v>
      </c>
      <c r="C1044" s="1" t="n">
        <v>46140</v>
      </c>
      <c r="D1044" t="inlineStr">
        <is>
          <t>VÄRMLANDS LÄN</t>
        </is>
      </c>
      <c r="E1044" t="inlineStr">
        <is>
          <t>TORSBY</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50750-2025</t>
        </is>
      </c>
      <c r="B1045" s="1" t="n">
        <v>45946.39091435185</v>
      </c>
      <c r="C1045" s="1" t="n">
        <v>46140</v>
      </c>
      <c r="D1045" t="inlineStr">
        <is>
          <t>VÄRMLANDS LÄN</t>
        </is>
      </c>
      <c r="E1045" t="inlineStr">
        <is>
          <t>TORSBY</t>
        </is>
      </c>
      <c r="F1045" t="inlineStr">
        <is>
          <t>Bergvik skog väst AB</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50927-2025</t>
        </is>
      </c>
      <c r="B1046" s="1" t="n">
        <v>45946.67895833333</v>
      </c>
      <c r="C1046" s="1" t="n">
        <v>46140</v>
      </c>
      <c r="D1046" t="inlineStr">
        <is>
          <t>VÄRMLANDS LÄN</t>
        </is>
      </c>
      <c r="E1046" t="inlineStr">
        <is>
          <t>TORSBY</t>
        </is>
      </c>
      <c r="F1046" t="inlineStr">
        <is>
          <t>Kommuner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20393-2023</t>
        </is>
      </c>
      <c r="B1047" s="1" t="n">
        <v>45056</v>
      </c>
      <c r="C1047" s="1" t="n">
        <v>46140</v>
      </c>
      <c r="D1047" t="inlineStr">
        <is>
          <t>VÄRMLANDS LÄN</t>
        </is>
      </c>
      <c r="E1047" t="inlineStr">
        <is>
          <t>TORSBY</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41529-2024</t>
        </is>
      </c>
      <c r="B1048" s="1" t="n">
        <v>45560.48552083333</v>
      </c>
      <c r="C1048" s="1" t="n">
        <v>46140</v>
      </c>
      <c r="D1048" t="inlineStr">
        <is>
          <t>VÄRMLANDS LÄN</t>
        </is>
      </c>
      <c r="E1048" t="inlineStr">
        <is>
          <t>TORSBY</t>
        </is>
      </c>
      <c r="F1048" t="inlineStr">
        <is>
          <t>Bergvik skog väst AB</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50918-2025</t>
        </is>
      </c>
      <c r="B1049" s="1" t="n">
        <v>45946.66516203704</v>
      </c>
      <c r="C1049" s="1" t="n">
        <v>46140</v>
      </c>
      <c r="D1049" t="inlineStr">
        <is>
          <t>VÄRMLANDS LÄN</t>
        </is>
      </c>
      <c r="E1049" t="inlineStr">
        <is>
          <t>TORSBY</t>
        </is>
      </c>
      <c r="F1049" t="inlineStr">
        <is>
          <t>Kommuner</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50921-2025</t>
        </is>
      </c>
      <c r="B1050" s="1" t="n">
        <v>45946.67092592592</v>
      </c>
      <c r="C1050" s="1" t="n">
        <v>46140</v>
      </c>
      <c r="D1050" t="inlineStr">
        <is>
          <t>VÄRMLANDS LÄN</t>
        </is>
      </c>
      <c r="E1050" t="inlineStr">
        <is>
          <t>TORSBY</t>
        </is>
      </c>
      <c r="F1050" t="inlineStr">
        <is>
          <t>Kommuner</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50906-2025</t>
        </is>
      </c>
      <c r="B1051" s="1" t="n">
        <v>45946.65119212963</v>
      </c>
      <c r="C1051" s="1" t="n">
        <v>46140</v>
      </c>
      <c r="D1051" t="inlineStr">
        <is>
          <t>VÄRMLANDS LÄN</t>
        </is>
      </c>
      <c r="E1051" t="inlineStr">
        <is>
          <t>TORSBY</t>
        </is>
      </c>
      <c r="F1051" t="inlineStr">
        <is>
          <t>Kommuner</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50892-2025</t>
        </is>
      </c>
      <c r="B1052" s="1" t="n">
        <v>45946.63763888889</v>
      </c>
      <c r="C1052" s="1" t="n">
        <v>46140</v>
      </c>
      <c r="D1052" t="inlineStr">
        <is>
          <t>VÄRMLANDS LÄN</t>
        </is>
      </c>
      <c r="E1052" t="inlineStr">
        <is>
          <t>TORSBY</t>
        </is>
      </c>
      <c r="F1052" t="inlineStr">
        <is>
          <t>Kommuner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276-2024</t>
        </is>
      </c>
      <c r="B1053" s="1" t="n">
        <v>45295</v>
      </c>
      <c r="C1053" s="1" t="n">
        <v>46140</v>
      </c>
      <c r="D1053" t="inlineStr">
        <is>
          <t>VÄRMLANDS LÄN</t>
        </is>
      </c>
      <c r="E1053" t="inlineStr">
        <is>
          <t>TORSBY</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28598-2023</t>
        </is>
      </c>
      <c r="B1054" s="1" t="n">
        <v>45103.57421296297</v>
      </c>
      <c r="C1054" s="1" t="n">
        <v>46140</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14304-2023</t>
        </is>
      </c>
      <c r="B1055" s="1" t="n">
        <v>45011.76541666667</v>
      </c>
      <c r="C1055" s="1" t="n">
        <v>46140</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46471-2024</t>
        </is>
      </c>
      <c r="B1056" s="1" t="n">
        <v>45582.5517824074</v>
      </c>
      <c r="C1056" s="1" t="n">
        <v>46140</v>
      </c>
      <c r="D1056" t="inlineStr">
        <is>
          <t>VÄRMLANDS LÄN</t>
        </is>
      </c>
      <c r="E1056" t="inlineStr">
        <is>
          <t>TORSBY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32332-2023</t>
        </is>
      </c>
      <c r="B1057" s="1" t="n">
        <v>45110</v>
      </c>
      <c r="C1057" s="1" t="n">
        <v>46140</v>
      </c>
      <c r="D1057" t="inlineStr">
        <is>
          <t>VÄRMLANDS LÄN</t>
        </is>
      </c>
      <c r="E1057" t="inlineStr">
        <is>
          <t>TORSBY</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15085-2023</t>
        </is>
      </c>
      <c r="B1058" s="1" t="n">
        <v>45016</v>
      </c>
      <c r="C1058" s="1" t="n">
        <v>46140</v>
      </c>
      <c r="D1058" t="inlineStr">
        <is>
          <t>VÄRMLANDS LÄN</t>
        </is>
      </c>
      <c r="E1058" t="inlineStr">
        <is>
          <t>TORSBY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46140</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40470-2023</t>
        </is>
      </c>
      <c r="B1060" s="1" t="n">
        <v>45170</v>
      </c>
      <c r="C1060" s="1" t="n">
        <v>46140</v>
      </c>
      <c r="D1060" t="inlineStr">
        <is>
          <t>VÄRMLANDS LÄN</t>
        </is>
      </c>
      <c r="E1060" t="inlineStr">
        <is>
          <t>TORSBY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51113-2025</t>
        </is>
      </c>
      <c r="B1061" s="1" t="n">
        <v>45947.51290509259</v>
      </c>
      <c r="C1061" s="1" t="n">
        <v>46140</v>
      </c>
      <c r="D1061" t="inlineStr">
        <is>
          <t>VÄRMLANDS LÄN</t>
        </is>
      </c>
      <c r="E1061" t="inlineStr">
        <is>
          <t>TORSBY</t>
        </is>
      </c>
      <c r="F1061" t="inlineStr">
        <is>
          <t>Kommuner</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70785-2021</t>
        </is>
      </c>
      <c r="B1062" s="1" t="n">
        <v>44537</v>
      </c>
      <c r="C1062" s="1" t="n">
        <v>46140</v>
      </c>
      <c r="D1062" t="inlineStr">
        <is>
          <t>VÄRMLANDS LÄN</t>
        </is>
      </c>
      <c r="E1062" t="inlineStr">
        <is>
          <t>TORSBY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62574-2022</t>
        </is>
      </c>
      <c r="B1063" s="1" t="n">
        <v>44924.85943287037</v>
      </c>
      <c r="C1063" s="1" t="n">
        <v>46140</v>
      </c>
      <c r="D1063" t="inlineStr">
        <is>
          <t>VÄRMLANDS LÄN</t>
        </is>
      </c>
      <c r="E1063" t="inlineStr">
        <is>
          <t>TORSBY</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3542-2023</t>
        </is>
      </c>
      <c r="B1064" s="1" t="n">
        <v>44950</v>
      </c>
      <c r="C1064" s="1" t="n">
        <v>46140</v>
      </c>
      <c r="D1064" t="inlineStr">
        <is>
          <t>VÄRMLANDS LÄN</t>
        </is>
      </c>
      <c r="E1064" t="inlineStr">
        <is>
          <t>TORSBY</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51215-2025</t>
        </is>
      </c>
      <c r="B1065" s="1" t="n">
        <v>45947.64357638889</v>
      </c>
      <c r="C1065" s="1" t="n">
        <v>46140</v>
      </c>
      <c r="D1065" t="inlineStr">
        <is>
          <t>VÄRMLANDS LÄN</t>
        </is>
      </c>
      <c r="E1065" t="inlineStr">
        <is>
          <t>TORSBY</t>
        </is>
      </c>
      <c r="F1065" t="inlineStr">
        <is>
          <t>Bergvik skog väst AB</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51219-2025</t>
        </is>
      </c>
      <c r="B1066" s="1" t="n">
        <v>45947.64710648148</v>
      </c>
      <c r="C1066" s="1" t="n">
        <v>46140</v>
      </c>
      <c r="D1066" t="inlineStr">
        <is>
          <t>VÄRMLANDS LÄN</t>
        </is>
      </c>
      <c r="E1066" t="inlineStr">
        <is>
          <t>TORSBY</t>
        </is>
      </c>
      <c r="F1066" t="inlineStr">
        <is>
          <t>Bergvik skog väst AB</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3678-2024</t>
        </is>
      </c>
      <c r="B1067" s="1" t="n">
        <v>45321.37844907407</v>
      </c>
      <c r="C1067" s="1" t="n">
        <v>46140</v>
      </c>
      <c r="D1067" t="inlineStr">
        <is>
          <t>VÄRMLANDS LÄN</t>
        </is>
      </c>
      <c r="E1067" t="inlineStr">
        <is>
          <t>TORSBY</t>
        </is>
      </c>
      <c r="G1067" t="n">
        <v>24.6</v>
      </c>
      <c r="H1067" t="n">
        <v>0</v>
      </c>
      <c r="I1067" t="n">
        <v>0</v>
      </c>
      <c r="J1067" t="n">
        <v>0</v>
      </c>
      <c r="K1067" t="n">
        <v>0</v>
      </c>
      <c r="L1067" t="n">
        <v>0</v>
      </c>
      <c r="M1067" t="n">
        <v>0</v>
      </c>
      <c r="N1067" t="n">
        <v>0</v>
      </c>
      <c r="O1067" t="n">
        <v>0</v>
      </c>
      <c r="P1067" t="n">
        <v>0</v>
      </c>
      <c r="Q1067" t="n">
        <v>0</v>
      </c>
      <c r="R1067" s="2" t="inlineStr"/>
    </row>
    <row r="1068" ht="15" customHeight="1">
      <c r="A1068" t="inlineStr">
        <is>
          <t>A 59781-2023</t>
        </is>
      </c>
      <c r="B1068" s="1" t="n">
        <v>45257.44043981482</v>
      </c>
      <c r="C1068" s="1" t="n">
        <v>46140</v>
      </c>
      <c r="D1068" t="inlineStr">
        <is>
          <t>VÄRMLANDS LÄN</t>
        </is>
      </c>
      <c r="E1068" t="inlineStr">
        <is>
          <t>TORSBY</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6828-2024</t>
        </is>
      </c>
      <c r="B1069" s="1" t="n">
        <v>45342</v>
      </c>
      <c r="C1069" s="1" t="n">
        <v>46140</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57071-2022</t>
        </is>
      </c>
      <c r="B1070" s="1" t="n">
        <v>44895.42334490741</v>
      </c>
      <c r="C1070" s="1" t="n">
        <v>46140</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51914-2025</t>
        </is>
      </c>
      <c r="B1071" s="1" t="n">
        <v>45952.47380787037</v>
      </c>
      <c r="C1071" s="1" t="n">
        <v>46140</v>
      </c>
      <c r="D1071" t="inlineStr">
        <is>
          <t>VÄRMLANDS LÄN</t>
        </is>
      </c>
      <c r="E1071" t="inlineStr">
        <is>
          <t>TORSBY</t>
        </is>
      </c>
      <c r="F1071" t="inlineStr">
        <is>
          <t>Kyrkan</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51927-2025</t>
        </is>
      </c>
      <c r="B1072" s="1" t="n">
        <v>45952.49587962963</v>
      </c>
      <c r="C1072" s="1" t="n">
        <v>46140</v>
      </c>
      <c r="D1072" t="inlineStr">
        <is>
          <t>VÄRMLANDS LÄN</t>
        </is>
      </c>
      <c r="E1072" t="inlineStr">
        <is>
          <t>TORSBY</t>
        </is>
      </c>
      <c r="F1072" t="inlineStr">
        <is>
          <t>Kyrkan</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51754-2025</t>
        </is>
      </c>
      <c r="B1073" s="1" t="n">
        <v>45951.62231481481</v>
      </c>
      <c r="C1073" s="1" t="n">
        <v>46140</v>
      </c>
      <c r="D1073" t="inlineStr">
        <is>
          <t>VÄRMLANDS LÄN</t>
        </is>
      </c>
      <c r="E1073" t="inlineStr">
        <is>
          <t>TORSBY</t>
        </is>
      </c>
      <c r="F1073" t="inlineStr">
        <is>
          <t>Bergvik skog väst AB</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63083-2023</t>
        </is>
      </c>
      <c r="B1074" s="1" t="n">
        <v>45273.348125</v>
      </c>
      <c r="C1074" s="1" t="n">
        <v>46140</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52261-2025</t>
        </is>
      </c>
      <c r="B1075" s="1" t="n">
        <v>45952</v>
      </c>
      <c r="C1075" s="1" t="n">
        <v>46140</v>
      </c>
      <c r="D1075" t="inlineStr">
        <is>
          <t>VÄRMLANDS LÄN</t>
        </is>
      </c>
      <c r="E1075" t="inlineStr">
        <is>
          <t>TORSBY</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52364-2025</t>
        </is>
      </c>
      <c r="B1076" s="1" t="n">
        <v>45952</v>
      </c>
      <c r="C1076" s="1" t="n">
        <v>46140</v>
      </c>
      <c r="D1076" t="inlineStr">
        <is>
          <t>VÄRMLANDS LÄN</t>
        </is>
      </c>
      <c r="E1076" t="inlineStr">
        <is>
          <t>TORSBY</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51659-2025</t>
        </is>
      </c>
      <c r="B1077" s="1" t="n">
        <v>45951.47482638889</v>
      </c>
      <c r="C1077" s="1" t="n">
        <v>46140</v>
      </c>
      <c r="D1077" t="inlineStr">
        <is>
          <t>VÄRMLANDS LÄN</t>
        </is>
      </c>
      <c r="E1077" t="inlineStr">
        <is>
          <t>TORSBY</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51873-2025</t>
        </is>
      </c>
      <c r="B1078" s="1" t="n">
        <v>45952.39040509259</v>
      </c>
      <c r="C1078" s="1" t="n">
        <v>46140</v>
      </c>
      <c r="D1078" t="inlineStr">
        <is>
          <t>VÄRMLANDS LÄN</t>
        </is>
      </c>
      <c r="E1078" t="inlineStr">
        <is>
          <t>TORSBY</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52358-2025</t>
        </is>
      </c>
      <c r="B1079" s="1" t="n">
        <v>45952</v>
      </c>
      <c r="C1079" s="1" t="n">
        <v>46140</v>
      </c>
      <c r="D1079" t="inlineStr">
        <is>
          <t>VÄRMLANDS LÄN</t>
        </is>
      </c>
      <c r="E1079" t="inlineStr">
        <is>
          <t>TORSBY</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58430-2023</t>
        </is>
      </c>
      <c r="B1080" s="1" t="n">
        <v>45250.80646990741</v>
      </c>
      <c r="C1080" s="1" t="n">
        <v>46140</v>
      </c>
      <c r="D1080" t="inlineStr">
        <is>
          <t>VÄRMLANDS LÄN</t>
        </is>
      </c>
      <c r="E1080" t="inlineStr">
        <is>
          <t>TORSBY</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52026-2025</t>
        </is>
      </c>
      <c r="B1081" s="1" t="n">
        <v>45952</v>
      </c>
      <c r="C1081" s="1" t="n">
        <v>46140</v>
      </c>
      <c r="D1081" t="inlineStr">
        <is>
          <t>VÄRMLANDS LÄN</t>
        </is>
      </c>
      <c r="E1081" t="inlineStr">
        <is>
          <t>TORSBY</t>
        </is>
      </c>
      <c r="F1081" t="inlineStr">
        <is>
          <t>Bergvik skog väst AB</t>
        </is>
      </c>
      <c r="G1081" t="n">
        <v>15.7</v>
      </c>
      <c r="H1081" t="n">
        <v>0</v>
      </c>
      <c r="I1081" t="n">
        <v>0</v>
      </c>
      <c r="J1081" t="n">
        <v>0</v>
      </c>
      <c r="K1081" t="n">
        <v>0</v>
      </c>
      <c r="L1081" t="n">
        <v>0</v>
      </c>
      <c r="M1081" t="n">
        <v>0</v>
      </c>
      <c r="N1081" t="n">
        <v>0</v>
      </c>
      <c r="O1081" t="n">
        <v>0</v>
      </c>
      <c r="P1081" t="n">
        <v>0</v>
      </c>
      <c r="Q1081" t="n">
        <v>0</v>
      </c>
      <c r="R1081" s="2" t="inlineStr"/>
    </row>
    <row r="1082" ht="15" customHeight="1">
      <c r="A1082" t="inlineStr">
        <is>
          <t>A 29043-2023</t>
        </is>
      </c>
      <c r="B1082" s="1" t="n">
        <v>45104</v>
      </c>
      <c r="C1082" s="1" t="n">
        <v>46140</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51637-2025</t>
        </is>
      </c>
      <c r="B1083" s="1" t="n">
        <v>45951.43625</v>
      </c>
      <c r="C1083" s="1" t="n">
        <v>46140</v>
      </c>
      <c r="D1083" t="inlineStr">
        <is>
          <t>VÄRMLANDS LÄN</t>
        </is>
      </c>
      <c r="E1083" t="inlineStr">
        <is>
          <t>TORSBY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33072-2023</t>
        </is>
      </c>
      <c r="B1084" s="1" t="n">
        <v>45126</v>
      </c>
      <c r="C1084" s="1" t="n">
        <v>46140</v>
      </c>
      <c r="D1084" t="inlineStr">
        <is>
          <t>VÄRMLANDS LÄN</t>
        </is>
      </c>
      <c r="E1084" t="inlineStr">
        <is>
          <t>TORSBY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65134-2023</t>
        </is>
      </c>
      <c r="B1085" s="1" t="n">
        <v>45288.52010416667</v>
      </c>
      <c r="C1085" s="1" t="n">
        <v>46140</v>
      </c>
      <c r="D1085" t="inlineStr">
        <is>
          <t>VÄRMLANDS LÄN</t>
        </is>
      </c>
      <c r="E1085" t="inlineStr">
        <is>
          <t>TORSBY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51819-2025</t>
        </is>
      </c>
      <c r="B1086" s="1" t="n">
        <v>45951.88194444445</v>
      </c>
      <c r="C1086" s="1" t="n">
        <v>46140</v>
      </c>
      <c r="D1086" t="inlineStr">
        <is>
          <t>VÄRMLANDS LÄN</t>
        </is>
      </c>
      <c r="E1086" t="inlineStr">
        <is>
          <t>TORSBY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51694-2025</t>
        </is>
      </c>
      <c r="B1087" s="1" t="n">
        <v>45951.54628472222</v>
      </c>
      <c r="C1087" s="1" t="n">
        <v>46140</v>
      </c>
      <c r="D1087" t="inlineStr">
        <is>
          <t>VÄRMLANDS LÄN</t>
        </is>
      </c>
      <c r="E1087" t="inlineStr">
        <is>
          <t>TORSBY</t>
        </is>
      </c>
      <c r="F1087" t="inlineStr">
        <is>
          <t>Bergvik skog väst AB</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52067-2025</t>
        </is>
      </c>
      <c r="B1088" s="1" t="n">
        <v>45952.64248842592</v>
      </c>
      <c r="C1088" s="1" t="n">
        <v>46140</v>
      </c>
      <c r="D1088" t="inlineStr">
        <is>
          <t>VÄRMLANDS LÄN</t>
        </is>
      </c>
      <c r="E1088" t="inlineStr">
        <is>
          <t>TORSBY</t>
        </is>
      </c>
      <c r="F1088" t="inlineStr">
        <is>
          <t>Bergvik skog väst AB</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52045-2025</t>
        </is>
      </c>
      <c r="B1089" s="1" t="n">
        <v>45952.61650462963</v>
      </c>
      <c r="C1089" s="1" t="n">
        <v>46140</v>
      </c>
      <c r="D1089" t="inlineStr">
        <is>
          <t>VÄRMLANDS LÄN</t>
        </is>
      </c>
      <c r="E1089" t="inlineStr">
        <is>
          <t>TORSBY</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52089-2025</t>
        </is>
      </c>
      <c r="B1090" s="1" t="n">
        <v>45952.67644675926</v>
      </c>
      <c r="C1090" s="1" t="n">
        <v>46140</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52359-2025</t>
        </is>
      </c>
      <c r="B1091" s="1" t="n">
        <v>45952</v>
      </c>
      <c r="C1091" s="1" t="n">
        <v>46140</v>
      </c>
      <c r="D1091" t="inlineStr">
        <is>
          <t>VÄRMLANDS LÄN</t>
        </is>
      </c>
      <c r="E1091" t="inlineStr">
        <is>
          <t>TORSBY</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61367-2022</t>
        </is>
      </c>
      <c r="B1092" s="1" t="n">
        <v>44915.82997685186</v>
      </c>
      <c r="C1092" s="1" t="n">
        <v>46140</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51793-2025</t>
        </is>
      </c>
      <c r="B1093" s="1" t="n">
        <v>45951.71525462963</v>
      </c>
      <c r="C1093" s="1" t="n">
        <v>46140</v>
      </c>
      <c r="D1093" t="inlineStr">
        <is>
          <t>VÄRMLANDS LÄN</t>
        </is>
      </c>
      <c r="E1093" t="inlineStr">
        <is>
          <t>TORSBY</t>
        </is>
      </c>
      <c r="F1093" t="inlineStr">
        <is>
          <t>Bergvik skog väst AB</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51944-2025</t>
        </is>
      </c>
      <c r="B1094" s="1" t="n">
        <v>45952.52608796296</v>
      </c>
      <c r="C1094" s="1" t="n">
        <v>46140</v>
      </c>
      <c r="D1094" t="inlineStr">
        <is>
          <t>VÄRMLANDS LÄN</t>
        </is>
      </c>
      <c r="E1094" t="inlineStr">
        <is>
          <t>TORSBY</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51587-2025</t>
        </is>
      </c>
      <c r="B1095" s="1" t="n">
        <v>45951.35355324074</v>
      </c>
      <c r="C1095" s="1" t="n">
        <v>46140</v>
      </c>
      <c r="D1095" t="inlineStr">
        <is>
          <t>VÄRMLANDS LÄN</t>
        </is>
      </c>
      <c r="E1095" t="inlineStr">
        <is>
          <t>TORSBY</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52609-2025</t>
        </is>
      </c>
      <c r="B1096" s="1" t="n">
        <v>45954.66649305556</v>
      </c>
      <c r="C1096" s="1" t="n">
        <v>46140</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53396-2024</t>
        </is>
      </c>
      <c r="B1097" s="1" t="n">
        <v>45614</v>
      </c>
      <c r="C1097" s="1" t="n">
        <v>46140</v>
      </c>
      <c r="D1097" t="inlineStr">
        <is>
          <t>VÄRMLANDS LÄN</t>
        </is>
      </c>
      <c r="E1097" t="inlineStr">
        <is>
          <t>TORSBY</t>
        </is>
      </c>
      <c r="F1097" t="inlineStr">
        <is>
          <t>Bergvik skog väst AB</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14917-2023</t>
        </is>
      </c>
      <c r="B1098" s="1" t="n">
        <v>45015.39938657408</v>
      </c>
      <c r="C1098" s="1" t="n">
        <v>46140</v>
      </c>
      <c r="D1098" t="inlineStr">
        <is>
          <t>VÄRMLANDS LÄN</t>
        </is>
      </c>
      <c r="E1098" t="inlineStr">
        <is>
          <t>TORSBY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52277-2025</t>
        </is>
      </c>
      <c r="B1099" s="1" t="n">
        <v>45953.55915509259</v>
      </c>
      <c r="C1099" s="1" t="n">
        <v>46140</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52436-2025</t>
        </is>
      </c>
      <c r="B1100" s="1" t="n">
        <v>45954.39688657408</v>
      </c>
      <c r="C1100" s="1" t="n">
        <v>46140</v>
      </c>
      <c r="D1100" t="inlineStr">
        <is>
          <t>VÄRMLANDS LÄN</t>
        </is>
      </c>
      <c r="E1100" t="inlineStr">
        <is>
          <t>TORSBY</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11242-2024</t>
        </is>
      </c>
      <c r="B1101" s="1" t="n">
        <v>45371</v>
      </c>
      <c r="C1101" s="1" t="n">
        <v>46140</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73521-2021</t>
        </is>
      </c>
      <c r="B1102" s="1" t="n">
        <v>44551</v>
      </c>
      <c r="C1102" s="1" t="n">
        <v>46140</v>
      </c>
      <c r="D1102" t="inlineStr">
        <is>
          <t>VÄRMLANDS LÄN</t>
        </is>
      </c>
      <c r="E1102" t="inlineStr">
        <is>
          <t>TORSBY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11776-2024</t>
        </is>
      </c>
      <c r="B1103" s="1" t="n">
        <v>45374</v>
      </c>
      <c r="C1103" s="1" t="n">
        <v>46140</v>
      </c>
      <c r="D1103" t="inlineStr">
        <is>
          <t>VÄRMLANDS LÄN</t>
        </is>
      </c>
      <c r="E1103" t="inlineStr">
        <is>
          <t>TORSBY</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52577-2025</t>
        </is>
      </c>
      <c r="B1104" s="1" t="n">
        <v>45954</v>
      </c>
      <c r="C1104" s="1" t="n">
        <v>46140</v>
      </c>
      <c r="D1104" t="inlineStr">
        <is>
          <t>VÄRMLANDS LÄN</t>
        </is>
      </c>
      <c r="E1104" t="inlineStr">
        <is>
          <t>TORSBY</t>
        </is>
      </c>
      <c r="F1104" t="inlineStr">
        <is>
          <t>Bergvik skog väst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52489-2025</t>
        </is>
      </c>
      <c r="B1105" s="1" t="n">
        <v>45954.48056712963</v>
      </c>
      <c r="C1105" s="1" t="n">
        <v>46140</v>
      </c>
      <c r="D1105" t="inlineStr">
        <is>
          <t>VÄRMLANDS LÄN</t>
        </is>
      </c>
      <c r="E1105" t="inlineStr">
        <is>
          <t>TORSBY</t>
        </is>
      </c>
      <c r="F1105" t="inlineStr">
        <is>
          <t>Bergvik skog väst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52512-2025</t>
        </is>
      </c>
      <c r="B1106" s="1" t="n">
        <v>45954.50771990741</v>
      </c>
      <c r="C1106" s="1" t="n">
        <v>46140</v>
      </c>
      <c r="D1106" t="inlineStr">
        <is>
          <t>VÄRMLANDS LÄN</t>
        </is>
      </c>
      <c r="E1106" t="inlineStr">
        <is>
          <t>TORSBY</t>
        </is>
      </c>
      <c r="F1106" t="inlineStr">
        <is>
          <t>Bergvik skog väst AB</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31052-2023</t>
        </is>
      </c>
      <c r="B1107" s="1" t="n">
        <v>45113</v>
      </c>
      <c r="C1107" s="1" t="n">
        <v>46140</v>
      </c>
      <c r="D1107" t="inlineStr">
        <is>
          <t>VÄRMLANDS LÄN</t>
        </is>
      </c>
      <c r="E1107" t="inlineStr">
        <is>
          <t>TORSBY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52564-2025</t>
        </is>
      </c>
      <c r="B1108" s="1" t="n">
        <v>45954</v>
      </c>
      <c r="C1108" s="1" t="n">
        <v>46140</v>
      </c>
      <c r="D1108" t="inlineStr">
        <is>
          <t>VÄRMLANDS LÄN</t>
        </is>
      </c>
      <c r="E1108" t="inlineStr">
        <is>
          <t>TORSBY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52509-2025</t>
        </is>
      </c>
      <c r="B1109" s="1" t="n">
        <v>45954.50586805555</v>
      </c>
      <c r="C1109" s="1" t="n">
        <v>46140</v>
      </c>
      <c r="D1109" t="inlineStr">
        <is>
          <t>VÄRMLANDS LÄN</t>
        </is>
      </c>
      <c r="E1109" t="inlineStr">
        <is>
          <t>TORSBY</t>
        </is>
      </c>
      <c r="F1109" t="inlineStr">
        <is>
          <t>Bergvik skog väst AB</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52493-2025</t>
        </is>
      </c>
      <c r="B1110" s="1" t="n">
        <v>45954.48518518519</v>
      </c>
      <c r="C1110" s="1" t="n">
        <v>46140</v>
      </c>
      <c r="D1110" t="inlineStr">
        <is>
          <t>VÄRMLANDS LÄN</t>
        </is>
      </c>
      <c r="E1110" t="inlineStr">
        <is>
          <t>TORSBY</t>
        </is>
      </c>
      <c r="F1110" t="inlineStr">
        <is>
          <t>Bergvik skog väst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60133-2023</t>
        </is>
      </c>
      <c r="B1111" s="1" t="n">
        <v>45258</v>
      </c>
      <c r="C1111" s="1" t="n">
        <v>46140</v>
      </c>
      <c r="D1111" t="inlineStr">
        <is>
          <t>VÄRMLANDS LÄN</t>
        </is>
      </c>
      <c r="E1111" t="inlineStr">
        <is>
          <t>TORSBY</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52947-2025</t>
        </is>
      </c>
      <c r="B1112" s="1" t="n">
        <v>45954</v>
      </c>
      <c r="C1112" s="1" t="n">
        <v>46140</v>
      </c>
      <c r="D1112" t="inlineStr">
        <is>
          <t>VÄRMLANDS LÄN</t>
        </is>
      </c>
      <c r="E1112" t="inlineStr">
        <is>
          <t>TORSBY</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53099-2024</t>
        </is>
      </c>
      <c r="B1113" s="1" t="n">
        <v>45611.54206018519</v>
      </c>
      <c r="C1113" s="1" t="n">
        <v>46140</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52994-2025</t>
        </is>
      </c>
      <c r="B1114" s="1" t="n">
        <v>45957.72753472222</v>
      </c>
      <c r="C1114" s="1" t="n">
        <v>46140</v>
      </c>
      <c r="D1114" t="inlineStr">
        <is>
          <t>VÄRMLANDS LÄN</t>
        </is>
      </c>
      <c r="E1114" t="inlineStr">
        <is>
          <t>TORSBY</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2130-2024</t>
        </is>
      </c>
      <c r="B1115" s="1" t="n">
        <v>45309.51518518518</v>
      </c>
      <c r="C1115" s="1" t="n">
        <v>46140</v>
      </c>
      <c r="D1115" t="inlineStr">
        <is>
          <t>VÄRMLANDS LÄN</t>
        </is>
      </c>
      <c r="E1115" t="inlineStr">
        <is>
          <t>TORSBY</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52747-2025</t>
        </is>
      </c>
      <c r="B1116" s="1" t="n">
        <v>45957.38515046296</v>
      </c>
      <c r="C1116" s="1" t="n">
        <v>46140</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234-2024</t>
        </is>
      </c>
      <c r="B1117" s="1" t="n">
        <v>45294.8253587963</v>
      </c>
      <c r="C1117" s="1" t="n">
        <v>46140</v>
      </c>
      <c r="D1117" t="inlineStr">
        <is>
          <t>VÄRMLANDS LÄN</t>
        </is>
      </c>
      <c r="E1117" t="inlineStr">
        <is>
          <t>TORSBY</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236-2024</t>
        </is>
      </c>
      <c r="B1118" s="1" t="n">
        <v>45294.85927083333</v>
      </c>
      <c r="C1118" s="1" t="n">
        <v>46140</v>
      </c>
      <c r="D1118" t="inlineStr">
        <is>
          <t>VÄRMLANDS LÄN</t>
        </is>
      </c>
      <c r="E1118" t="inlineStr">
        <is>
          <t>TORSBY</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52891-2025</t>
        </is>
      </c>
      <c r="B1119" s="1" t="n">
        <v>45957.57776620371</v>
      </c>
      <c r="C1119" s="1" t="n">
        <v>46140</v>
      </c>
      <c r="D1119" t="inlineStr">
        <is>
          <t>VÄRMLANDS LÄN</t>
        </is>
      </c>
      <c r="E1119" t="inlineStr">
        <is>
          <t>TORSBY</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52918-2025</t>
        </is>
      </c>
      <c r="B1120" s="1" t="n">
        <v>45957.6122337963</v>
      </c>
      <c r="C1120" s="1" t="n">
        <v>46140</v>
      </c>
      <c r="D1120" t="inlineStr">
        <is>
          <t>VÄRMLANDS LÄN</t>
        </is>
      </c>
      <c r="E1120" t="inlineStr">
        <is>
          <t>TORSBY</t>
        </is>
      </c>
      <c r="F1120" t="inlineStr">
        <is>
          <t>Bergvik skog väst AB</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52796-2025</t>
        </is>
      </c>
      <c r="B1121" s="1" t="n">
        <v>45957.43682870371</v>
      </c>
      <c r="C1121" s="1" t="n">
        <v>46140</v>
      </c>
      <c r="D1121" t="inlineStr">
        <is>
          <t>VÄRMLANDS LÄN</t>
        </is>
      </c>
      <c r="E1121" t="inlineStr">
        <is>
          <t>TORSBY</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53107-2025</t>
        </is>
      </c>
      <c r="B1122" s="1" t="n">
        <v>45958.43576388889</v>
      </c>
      <c r="C1122" s="1" t="n">
        <v>46140</v>
      </c>
      <c r="D1122" t="inlineStr">
        <is>
          <t>VÄRMLANDS LÄN</t>
        </is>
      </c>
      <c r="E1122" t="inlineStr">
        <is>
          <t>TORSBY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53165-2025</t>
        </is>
      </c>
      <c r="B1123" s="1" t="n">
        <v>45958.50232638889</v>
      </c>
      <c r="C1123" s="1" t="n">
        <v>46140</v>
      </c>
      <c r="D1123" t="inlineStr">
        <is>
          <t>VÄRMLANDS LÄN</t>
        </is>
      </c>
      <c r="E1123" t="inlineStr">
        <is>
          <t>TORSBY</t>
        </is>
      </c>
      <c r="F1123" t="inlineStr">
        <is>
          <t>Bergvik skog väst AB</t>
        </is>
      </c>
      <c r="G1123" t="n">
        <v>9.800000000000001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52731-2025</t>
        </is>
      </c>
      <c r="B1124" s="1" t="n">
        <v>45957.36682870371</v>
      </c>
      <c r="C1124" s="1" t="n">
        <v>46140</v>
      </c>
      <c r="D1124" t="inlineStr">
        <is>
          <t>VÄRMLANDS LÄN</t>
        </is>
      </c>
      <c r="E1124" t="inlineStr">
        <is>
          <t>TORSBY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52754-2025</t>
        </is>
      </c>
      <c r="B1125" s="1" t="n">
        <v>45957.39010416667</v>
      </c>
      <c r="C1125" s="1" t="n">
        <v>46140</v>
      </c>
      <c r="D1125" t="inlineStr">
        <is>
          <t>VÄRMLANDS LÄN</t>
        </is>
      </c>
      <c r="E1125" t="inlineStr">
        <is>
          <t>TORSBY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52772-2025</t>
        </is>
      </c>
      <c r="B1126" s="1" t="n">
        <v>45957.41255787037</v>
      </c>
      <c r="C1126" s="1" t="n">
        <v>46140</v>
      </c>
      <c r="D1126" t="inlineStr">
        <is>
          <t>VÄRMLANDS LÄN</t>
        </is>
      </c>
      <c r="E1126" t="inlineStr">
        <is>
          <t>TORSBY</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52774-2025</t>
        </is>
      </c>
      <c r="B1127" s="1" t="n">
        <v>45957.41480324074</v>
      </c>
      <c r="C1127" s="1" t="n">
        <v>46140</v>
      </c>
      <c r="D1127" t="inlineStr">
        <is>
          <t>VÄRMLANDS LÄN</t>
        </is>
      </c>
      <c r="E1127" t="inlineStr">
        <is>
          <t>TORSBY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64672-2023</t>
        </is>
      </c>
      <c r="B1128" s="1" t="n">
        <v>45281.61913194445</v>
      </c>
      <c r="C1128" s="1" t="n">
        <v>46140</v>
      </c>
      <c r="D1128" t="inlineStr">
        <is>
          <t>VÄRMLANDS LÄN</t>
        </is>
      </c>
      <c r="E1128" t="inlineStr">
        <is>
          <t>TORSBY</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52852-2025</t>
        </is>
      </c>
      <c r="B1129" s="1" t="n">
        <v>45957.49319444445</v>
      </c>
      <c r="C1129" s="1" t="n">
        <v>46140</v>
      </c>
      <c r="D1129" t="inlineStr">
        <is>
          <t>VÄRMLANDS LÄN</t>
        </is>
      </c>
      <c r="E1129" t="inlineStr">
        <is>
          <t>TORSBY</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3922-2024</t>
        </is>
      </c>
      <c r="B1130" s="1" t="n">
        <v>45322.57271990741</v>
      </c>
      <c r="C1130" s="1" t="n">
        <v>46140</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52843-2025</t>
        </is>
      </c>
      <c r="B1131" s="1" t="n">
        <v>45957</v>
      </c>
      <c r="C1131" s="1" t="n">
        <v>46140</v>
      </c>
      <c r="D1131" t="inlineStr">
        <is>
          <t>VÄRMLANDS LÄN</t>
        </is>
      </c>
      <c r="E1131" t="inlineStr">
        <is>
          <t>TORSBY</t>
        </is>
      </c>
      <c r="F1131" t="inlineStr">
        <is>
          <t>Bergvik skog väst AB</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52822-2025</t>
        </is>
      </c>
      <c r="B1132" s="1" t="n">
        <v>45957.45693287037</v>
      </c>
      <c r="C1132" s="1" t="n">
        <v>46140</v>
      </c>
      <c r="D1132" t="inlineStr">
        <is>
          <t>VÄRMLANDS LÄN</t>
        </is>
      </c>
      <c r="E1132" t="inlineStr">
        <is>
          <t>TORSBY</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52787-2025</t>
        </is>
      </c>
      <c r="B1133" s="1" t="n">
        <v>45957.42736111111</v>
      </c>
      <c r="C1133" s="1" t="n">
        <v>46140</v>
      </c>
      <c r="D1133" t="inlineStr">
        <is>
          <t>VÄRMLANDS LÄN</t>
        </is>
      </c>
      <c r="E1133" t="inlineStr">
        <is>
          <t>TORSBY</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53113-2025</t>
        </is>
      </c>
      <c r="B1134" s="1" t="n">
        <v>45958.44431712963</v>
      </c>
      <c r="C1134" s="1" t="n">
        <v>46140</v>
      </c>
      <c r="D1134" t="inlineStr">
        <is>
          <t>VÄRMLANDS LÄN</t>
        </is>
      </c>
      <c r="E1134" t="inlineStr">
        <is>
          <t>TORSBY</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53123-2025</t>
        </is>
      </c>
      <c r="B1135" s="1" t="n">
        <v>45958.45204861111</v>
      </c>
      <c r="C1135" s="1" t="n">
        <v>46140</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11050-2022</t>
        </is>
      </c>
      <c r="B1136" s="1" t="n">
        <v>44628.60393518519</v>
      </c>
      <c r="C1136" s="1" t="n">
        <v>46140</v>
      </c>
      <c r="D1136" t="inlineStr">
        <is>
          <t>VÄRMLANDS LÄN</t>
        </is>
      </c>
      <c r="E1136" t="inlineStr">
        <is>
          <t>TORSBY</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53272-2025</t>
        </is>
      </c>
      <c r="B1137" s="1" t="n">
        <v>45958.71019675926</v>
      </c>
      <c r="C1137" s="1" t="n">
        <v>46140</v>
      </c>
      <c r="D1137" t="inlineStr">
        <is>
          <t>VÄRMLANDS LÄN</t>
        </is>
      </c>
      <c r="E1137" t="inlineStr">
        <is>
          <t>TORSBY</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52981-2025</t>
        </is>
      </c>
      <c r="B1138" s="1" t="n">
        <v>45957.68748842592</v>
      </c>
      <c r="C1138" s="1" t="n">
        <v>46140</v>
      </c>
      <c r="D1138" t="inlineStr">
        <is>
          <t>VÄRMLANDS LÄN</t>
        </is>
      </c>
      <c r="E1138" t="inlineStr">
        <is>
          <t>TORSBY</t>
        </is>
      </c>
      <c r="G1138" t="n">
        <v>20.5</v>
      </c>
      <c r="H1138" t="n">
        <v>0</v>
      </c>
      <c r="I1138" t="n">
        <v>0</v>
      </c>
      <c r="J1138" t="n">
        <v>0</v>
      </c>
      <c r="K1138" t="n">
        <v>0</v>
      </c>
      <c r="L1138" t="n">
        <v>0</v>
      </c>
      <c r="M1138" t="n">
        <v>0</v>
      </c>
      <c r="N1138" t="n">
        <v>0</v>
      </c>
      <c r="O1138" t="n">
        <v>0</v>
      </c>
      <c r="P1138" t="n">
        <v>0</v>
      </c>
      <c r="Q1138" t="n">
        <v>0</v>
      </c>
      <c r="R1138" s="2" t="inlineStr"/>
    </row>
    <row r="1139" ht="15" customHeight="1">
      <c r="A1139" t="inlineStr">
        <is>
          <t>A 33862-2024</t>
        </is>
      </c>
      <c r="B1139" s="1" t="n">
        <v>45520.69163194444</v>
      </c>
      <c r="C1139" s="1" t="n">
        <v>46140</v>
      </c>
      <c r="D1139" t="inlineStr">
        <is>
          <t>VÄRMLANDS LÄN</t>
        </is>
      </c>
      <c r="E1139" t="inlineStr">
        <is>
          <t>TORSBY</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53014-2025</t>
        </is>
      </c>
      <c r="B1140" s="1" t="n">
        <v>45957.81865740741</v>
      </c>
      <c r="C1140" s="1" t="n">
        <v>46140</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52587-2025</t>
        </is>
      </c>
      <c r="B1141" s="1" t="n">
        <v>45954.63325231482</v>
      </c>
      <c r="C1141" s="1" t="n">
        <v>46140</v>
      </c>
      <c r="D1141" t="inlineStr">
        <is>
          <t>VÄRMLANDS LÄN</t>
        </is>
      </c>
      <c r="E1141" t="inlineStr">
        <is>
          <t>TORSBY</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52737-2025</t>
        </is>
      </c>
      <c r="B1142" s="1" t="n">
        <v>45957.37336805555</v>
      </c>
      <c r="C1142" s="1" t="n">
        <v>46140</v>
      </c>
      <c r="D1142" t="inlineStr">
        <is>
          <t>VÄRMLANDS LÄN</t>
        </is>
      </c>
      <c r="E1142" t="inlineStr">
        <is>
          <t>TORSBY</t>
        </is>
      </c>
      <c r="G1142" t="n">
        <v>10.1</v>
      </c>
      <c r="H1142" t="n">
        <v>0</v>
      </c>
      <c r="I1142" t="n">
        <v>0</v>
      </c>
      <c r="J1142" t="n">
        <v>0</v>
      </c>
      <c r="K1142" t="n">
        <v>0</v>
      </c>
      <c r="L1142" t="n">
        <v>0</v>
      </c>
      <c r="M1142" t="n">
        <v>0</v>
      </c>
      <c r="N1142" t="n">
        <v>0</v>
      </c>
      <c r="O1142" t="n">
        <v>0</v>
      </c>
      <c r="P1142" t="n">
        <v>0</v>
      </c>
      <c r="Q1142" t="n">
        <v>0</v>
      </c>
      <c r="R1142" s="2" t="inlineStr"/>
    </row>
    <row r="1143" ht="15" customHeight="1">
      <c r="A1143" t="inlineStr">
        <is>
          <t>A 52762-2025</t>
        </is>
      </c>
      <c r="B1143" s="1" t="n">
        <v>45957.39813657408</v>
      </c>
      <c r="C1143" s="1" t="n">
        <v>46140</v>
      </c>
      <c r="D1143" t="inlineStr">
        <is>
          <t>VÄRMLANDS LÄN</t>
        </is>
      </c>
      <c r="E1143" t="inlineStr">
        <is>
          <t>TORSBY</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34500-2024</t>
        </is>
      </c>
      <c r="B1144" s="1" t="n">
        <v>45525</v>
      </c>
      <c r="C1144" s="1" t="n">
        <v>46140</v>
      </c>
      <c r="D1144" t="inlineStr">
        <is>
          <t>VÄRMLANDS LÄN</t>
        </is>
      </c>
      <c r="E1144" t="inlineStr">
        <is>
          <t>TORSBY</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52931-2025</t>
        </is>
      </c>
      <c r="B1145" s="1" t="n">
        <v>45957.62225694444</v>
      </c>
      <c r="C1145" s="1" t="n">
        <v>46140</v>
      </c>
      <c r="D1145" t="inlineStr">
        <is>
          <t>VÄRMLANDS LÄN</t>
        </is>
      </c>
      <c r="E1145" t="inlineStr">
        <is>
          <t>TORSBY</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52982-2025</t>
        </is>
      </c>
      <c r="B1146" s="1" t="n">
        <v>45957.69270833334</v>
      </c>
      <c r="C1146" s="1" t="n">
        <v>46140</v>
      </c>
      <c r="D1146" t="inlineStr">
        <is>
          <t>VÄRMLANDS LÄN</t>
        </is>
      </c>
      <c r="E1146" t="inlineStr">
        <is>
          <t>TORSBY</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52995-2025</t>
        </is>
      </c>
      <c r="B1147" s="1" t="n">
        <v>45957</v>
      </c>
      <c r="C1147" s="1" t="n">
        <v>46140</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53049-2025</t>
        </is>
      </c>
      <c r="B1148" s="1" t="n">
        <v>45958.36173611111</v>
      </c>
      <c r="C1148" s="1" t="n">
        <v>46140</v>
      </c>
      <c r="D1148" t="inlineStr">
        <is>
          <t>VÄRMLANDS LÄN</t>
        </is>
      </c>
      <c r="E1148" t="inlineStr">
        <is>
          <t>TORSBY</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53266-2025</t>
        </is>
      </c>
      <c r="B1149" s="1" t="n">
        <v>45958.6834837963</v>
      </c>
      <c r="C1149" s="1" t="n">
        <v>46140</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1166-2023</t>
        </is>
      </c>
      <c r="B1150" s="1" t="n">
        <v>44935</v>
      </c>
      <c r="C1150" s="1" t="n">
        <v>46140</v>
      </c>
      <c r="D1150" t="inlineStr">
        <is>
          <t>VÄRMLANDS LÄN</t>
        </is>
      </c>
      <c r="E1150" t="inlineStr">
        <is>
          <t>TORSBY</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52847-2025</t>
        </is>
      </c>
      <c r="B1151" s="1" t="n">
        <v>45957.48972222222</v>
      </c>
      <c r="C1151" s="1" t="n">
        <v>46140</v>
      </c>
      <c r="D1151" t="inlineStr">
        <is>
          <t>VÄRMLANDS LÄN</t>
        </is>
      </c>
      <c r="E1151" t="inlineStr">
        <is>
          <t>TORSBY</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5814-2024</t>
        </is>
      </c>
      <c r="B1152" s="1" t="n">
        <v>45335</v>
      </c>
      <c r="C1152" s="1" t="n">
        <v>46140</v>
      </c>
      <c r="D1152" t="inlineStr">
        <is>
          <t>VÄRMLANDS LÄN</t>
        </is>
      </c>
      <c r="E1152" t="inlineStr">
        <is>
          <t>TORSBY</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33469-2024</t>
        </is>
      </c>
      <c r="B1153" s="1" t="n">
        <v>45519.5996875</v>
      </c>
      <c r="C1153" s="1" t="n">
        <v>46140</v>
      </c>
      <c r="D1153" t="inlineStr">
        <is>
          <t>VÄRMLANDS LÄN</t>
        </is>
      </c>
      <c r="E1153" t="inlineStr">
        <is>
          <t>TORSBY</t>
        </is>
      </c>
      <c r="F1153" t="inlineStr">
        <is>
          <t>Bergvik skog väst AB</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74375-2021</t>
        </is>
      </c>
      <c r="B1154" s="1" t="n">
        <v>44559.71840277778</v>
      </c>
      <c r="C1154" s="1" t="n">
        <v>46140</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32588-2024</t>
        </is>
      </c>
      <c r="B1155" s="1" t="n">
        <v>45513.59612268519</v>
      </c>
      <c r="C1155" s="1" t="n">
        <v>46140</v>
      </c>
      <c r="D1155" t="inlineStr">
        <is>
          <t>VÄRMLANDS LÄN</t>
        </is>
      </c>
      <c r="E1155" t="inlineStr">
        <is>
          <t>TORSBY</t>
        </is>
      </c>
      <c r="F1155" t="inlineStr">
        <is>
          <t>Bergvik skog väst AB</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66133-2021</t>
        </is>
      </c>
      <c r="B1156" s="1" t="n">
        <v>44517</v>
      </c>
      <c r="C1156" s="1" t="n">
        <v>46140</v>
      </c>
      <c r="D1156" t="inlineStr">
        <is>
          <t>VÄRMLANDS LÄN</t>
        </is>
      </c>
      <c r="E1156" t="inlineStr">
        <is>
          <t>TORSBY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16427-2023</t>
        </is>
      </c>
      <c r="B1157" s="1" t="n">
        <v>45022</v>
      </c>
      <c r="C1157" s="1" t="n">
        <v>46140</v>
      </c>
      <c r="D1157" t="inlineStr">
        <is>
          <t>VÄRMLANDS LÄN</t>
        </is>
      </c>
      <c r="E1157" t="inlineStr">
        <is>
          <t>TORSBY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33848-2023</t>
        </is>
      </c>
      <c r="B1158" s="1" t="n">
        <v>45133.68835648148</v>
      </c>
      <c r="C1158" s="1" t="n">
        <v>46140</v>
      </c>
      <c r="D1158" t="inlineStr">
        <is>
          <t>VÄRMLANDS LÄN</t>
        </is>
      </c>
      <c r="E1158" t="inlineStr">
        <is>
          <t>TORSBY</t>
        </is>
      </c>
      <c r="F1158" t="inlineStr">
        <is>
          <t>Bergvik skog väst AB</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52741-2025</t>
        </is>
      </c>
      <c r="B1159" s="1" t="n">
        <v>45957.3778587963</v>
      </c>
      <c r="C1159" s="1" t="n">
        <v>46140</v>
      </c>
      <c r="D1159" t="inlineStr">
        <is>
          <t>VÄRMLANDS LÄN</t>
        </is>
      </c>
      <c r="E1159" t="inlineStr">
        <is>
          <t>TORSBY</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53493-2025</t>
        </is>
      </c>
      <c r="B1160" s="1" t="n">
        <v>45960</v>
      </c>
      <c r="C1160" s="1" t="n">
        <v>46140</v>
      </c>
      <c r="D1160" t="inlineStr">
        <is>
          <t>VÄRMLANDS LÄN</t>
        </is>
      </c>
      <c r="E1160" t="inlineStr">
        <is>
          <t>TORSBY</t>
        </is>
      </c>
      <c r="F1160" t="inlineStr">
        <is>
          <t>Bergvik skog väst AB</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15413-2023</t>
        </is>
      </c>
      <c r="B1161" s="1" t="n">
        <v>45019</v>
      </c>
      <c r="C1161" s="1" t="n">
        <v>46140</v>
      </c>
      <c r="D1161" t="inlineStr">
        <is>
          <t>VÄRMLANDS LÄN</t>
        </is>
      </c>
      <c r="E1161" t="inlineStr">
        <is>
          <t>TORSBY</t>
        </is>
      </c>
      <c r="G1161" t="n">
        <v>17.1</v>
      </c>
      <c r="H1161" t="n">
        <v>0</v>
      </c>
      <c r="I1161" t="n">
        <v>0</v>
      </c>
      <c r="J1161" t="n">
        <v>0</v>
      </c>
      <c r="K1161" t="n">
        <v>0</v>
      </c>
      <c r="L1161" t="n">
        <v>0</v>
      </c>
      <c r="M1161" t="n">
        <v>0</v>
      </c>
      <c r="N1161" t="n">
        <v>0</v>
      </c>
      <c r="O1161" t="n">
        <v>0</v>
      </c>
      <c r="P1161" t="n">
        <v>0</v>
      </c>
      <c r="Q1161" t="n">
        <v>0</v>
      </c>
      <c r="R1161" s="2" t="inlineStr"/>
    </row>
    <row r="1162" ht="15" customHeight="1">
      <c r="A1162" t="inlineStr">
        <is>
          <t>A 15488-2023</t>
        </is>
      </c>
      <c r="B1162" s="1" t="n">
        <v>45020</v>
      </c>
      <c r="C1162" s="1" t="n">
        <v>46140</v>
      </c>
      <c r="D1162" t="inlineStr">
        <is>
          <t>VÄRMLANDS LÄN</t>
        </is>
      </c>
      <c r="E1162" t="inlineStr">
        <is>
          <t>TORSBY</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11878-2024</t>
        </is>
      </c>
      <c r="B1163" s="1" t="n">
        <v>45376.47877314815</v>
      </c>
      <c r="C1163" s="1" t="n">
        <v>46140</v>
      </c>
      <c r="D1163" t="inlineStr">
        <is>
          <t>VÄRMLANDS LÄN</t>
        </is>
      </c>
      <c r="E1163" t="inlineStr">
        <is>
          <t>TORSBY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23843-2024</t>
        </is>
      </c>
      <c r="B1164" s="1" t="n">
        <v>45455</v>
      </c>
      <c r="C1164" s="1" t="n">
        <v>46140</v>
      </c>
      <c r="D1164" t="inlineStr">
        <is>
          <t>VÄRMLANDS LÄN</t>
        </is>
      </c>
      <c r="E1164" t="inlineStr">
        <is>
          <t>TORSBY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53596-2025</t>
        </is>
      </c>
      <c r="B1165" s="1" t="n">
        <v>45960.44909722222</v>
      </c>
      <c r="C1165" s="1" t="n">
        <v>46140</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53520-2025</t>
        </is>
      </c>
      <c r="B1166" s="1" t="n">
        <v>45960.35893518518</v>
      </c>
      <c r="C1166" s="1" t="n">
        <v>46140</v>
      </c>
      <c r="D1166" t="inlineStr">
        <is>
          <t>VÄRMLANDS LÄN</t>
        </is>
      </c>
      <c r="E1166" t="inlineStr">
        <is>
          <t>TORSBY</t>
        </is>
      </c>
      <c r="F1166" t="inlineStr">
        <is>
          <t>Bergvik skog väst AB</t>
        </is>
      </c>
      <c r="G1166" t="n">
        <v>16.5</v>
      </c>
      <c r="H1166" t="n">
        <v>0</v>
      </c>
      <c r="I1166" t="n">
        <v>0</v>
      </c>
      <c r="J1166" t="n">
        <v>0</v>
      </c>
      <c r="K1166" t="n">
        <v>0</v>
      </c>
      <c r="L1166" t="n">
        <v>0</v>
      </c>
      <c r="M1166" t="n">
        <v>0</v>
      </c>
      <c r="N1166" t="n">
        <v>0</v>
      </c>
      <c r="O1166" t="n">
        <v>0</v>
      </c>
      <c r="P1166" t="n">
        <v>0</v>
      </c>
      <c r="Q1166" t="n">
        <v>0</v>
      </c>
      <c r="R1166" s="2" t="inlineStr"/>
    </row>
    <row r="1167" ht="15" customHeight="1">
      <c r="A1167" t="inlineStr">
        <is>
          <t>A 53763-2025</t>
        </is>
      </c>
      <c r="B1167" s="1" t="n">
        <v>45960.67592592593</v>
      </c>
      <c r="C1167" s="1" t="n">
        <v>46140</v>
      </c>
      <c r="D1167" t="inlineStr">
        <is>
          <t>VÄRMLANDS LÄN</t>
        </is>
      </c>
      <c r="E1167" t="inlineStr">
        <is>
          <t>TORSBY</t>
        </is>
      </c>
      <c r="F1167" t="inlineStr">
        <is>
          <t>Bergvik skog väst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39648-2023</t>
        </is>
      </c>
      <c r="B1168" s="1" t="n">
        <v>45167.5528587963</v>
      </c>
      <c r="C1168" s="1" t="n">
        <v>46140</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53677-2025</t>
        </is>
      </c>
      <c r="B1169" s="1" t="n">
        <v>45960.56180555555</v>
      </c>
      <c r="C1169" s="1" t="n">
        <v>46140</v>
      </c>
      <c r="D1169" t="inlineStr">
        <is>
          <t>VÄRMLANDS LÄN</t>
        </is>
      </c>
      <c r="E1169" t="inlineStr">
        <is>
          <t>TORSBY</t>
        </is>
      </c>
      <c r="F1169" t="inlineStr">
        <is>
          <t>Bergvik skog väst AB</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53601-2025</t>
        </is>
      </c>
      <c r="B1170" s="1" t="n">
        <v>45960.45984953704</v>
      </c>
      <c r="C1170" s="1" t="n">
        <v>46140</v>
      </c>
      <c r="D1170" t="inlineStr">
        <is>
          <t>VÄRMLANDS LÄN</t>
        </is>
      </c>
      <c r="E1170" t="inlineStr">
        <is>
          <t>TORSBY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40573-2024</t>
        </is>
      </c>
      <c r="B1171" s="1" t="n">
        <v>45555.69518518518</v>
      </c>
      <c r="C1171" s="1" t="n">
        <v>46140</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67172-2021</t>
        </is>
      </c>
      <c r="B1172" s="1" t="n">
        <v>44523.4271875</v>
      </c>
      <c r="C1172" s="1" t="n">
        <v>46140</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37238-2024</t>
        </is>
      </c>
      <c r="B1173" s="1" t="n">
        <v>45540</v>
      </c>
      <c r="C1173" s="1" t="n">
        <v>46140</v>
      </c>
      <c r="D1173" t="inlineStr">
        <is>
          <t>VÄRMLANDS LÄN</t>
        </is>
      </c>
      <c r="E1173" t="inlineStr">
        <is>
          <t>TORSBY</t>
        </is>
      </c>
      <c r="F1173" t="inlineStr">
        <is>
          <t>Bergvik skog väst AB</t>
        </is>
      </c>
      <c r="G1173" t="n">
        <v>11.9</v>
      </c>
      <c r="H1173" t="n">
        <v>0</v>
      </c>
      <c r="I1173" t="n">
        <v>0</v>
      </c>
      <c r="J1173" t="n">
        <v>0</v>
      </c>
      <c r="K1173" t="n">
        <v>0</v>
      </c>
      <c r="L1173" t="n">
        <v>0</v>
      </c>
      <c r="M1173" t="n">
        <v>0</v>
      </c>
      <c r="N1173" t="n">
        <v>0</v>
      </c>
      <c r="O1173" t="n">
        <v>0</v>
      </c>
      <c r="P1173" t="n">
        <v>0</v>
      </c>
      <c r="Q1173" t="n">
        <v>0</v>
      </c>
      <c r="R1173" s="2" t="inlineStr"/>
    </row>
    <row r="1174" ht="15" customHeight="1">
      <c r="A1174" t="inlineStr">
        <is>
          <t>A 53383-2025</t>
        </is>
      </c>
      <c r="B1174" s="1" t="n">
        <v>45959.54097222222</v>
      </c>
      <c r="C1174" s="1" t="n">
        <v>46140</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1911-2022</t>
        </is>
      </c>
      <c r="B1175" s="1" t="n">
        <v>44575</v>
      </c>
      <c r="C1175" s="1" t="n">
        <v>46140</v>
      </c>
      <c r="D1175" t="inlineStr">
        <is>
          <t>VÄRMLANDS LÄN</t>
        </is>
      </c>
      <c r="E1175" t="inlineStr">
        <is>
          <t>TORSBY</t>
        </is>
      </c>
      <c r="F1175" t="inlineStr">
        <is>
          <t>Kommuner</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10473-2023</t>
        </is>
      </c>
      <c r="B1176" s="1" t="n">
        <v>44981</v>
      </c>
      <c r="C1176" s="1" t="n">
        <v>46140</v>
      </c>
      <c r="D1176" t="inlineStr">
        <is>
          <t>VÄRMLANDS LÄN</t>
        </is>
      </c>
      <c r="E1176" t="inlineStr">
        <is>
          <t>TORSBY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53605-2025</t>
        </is>
      </c>
      <c r="B1177" s="1" t="n">
        <v>45960.46434027778</v>
      </c>
      <c r="C1177" s="1" t="n">
        <v>46140</v>
      </c>
      <c r="D1177" t="inlineStr">
        <is>
          <t>VÄRMLANDS LÄN</t>
        </is>
      </c>
      <c r="E1177" t="inlineStr">
        <is>
          <t>TORSBY</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54071-2025</t>
        </is>
      </c>
      <c r="B1178" s="1" t="n">
        <v>45962</v>
      </c>
      <c r="C1178" s="1" t="n">
        <v>46140</v>
      </c>
      <c r="D1178" t="inlineStr">
        <is>
          <t>VÄRMLANDS LÄN</t>
        </is>
      </c>
      <c r="E1178" t="inlineStr">
        <is>
          <t>TORSBY</t>
        </is>
      </c>
      <c r="F1178" t="inlineStr">
        <is>
          <t>Övriga Aktiebolag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38062-2024</t>
        </is>
      </c>
      <c r="B1179" s="1" t="n">
        <v>45544</v>
      </c>
      <c r="C1179" s="1" t="n">
        <v>46140</v>
      </c>
      <c r="D1179" t="inlineStr">
        <is>
          <t>VÄRMLANDS LÄN</t>
        </is>
      </c>
      <c r="E1179" t="inlineStr">
        <is>
          <t>TORSBY</t>
        </is>
      </c>
      <c r="F1179" t="inlineStr">
        <is>
          <t>Bergvik skog väst AB</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54168-2025</t>
        </is>
      </c>
      <c r="B1180" s="1" t="n">
        <v>45964.52528935186</v>
      </c>
      <c r="C1180" s="1" t="n">
        <v>46140</v>
      </c>
      <c r="D1180" t="inlineStr">
        <is>
          <t>VÄRMLANDS LÄN</t>
        </is>
      </c>
      <c r="E1180" t="inlineStr">
        <is>
          <t>TORSBY</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54101-2025</t>
        </is>
      </c>
      <c r="B1181" s="1" t="n">
        <v>45964.42424768519</v>
      </c>
      <c r="C1181" s="1" t="n">
        <v>46140</v>
      </c>
      <c r="D1181" t="inlineStr">
        <is>
          <t>VÄRMLANDS LÄN</t>
        </is>
      </c>
      <c r="E1181" t="inlineStr">
        <is>
          <t>TORSBY</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13791-2023</t>
        </is>
      </c>
      <c r="B1182" s="1" t="n">
        <v>45005</v>
      </c>
      <c r="C1182" s="1" t="n">
        <v>46140</v>
      </c>
      <c r="D1182" t="inlineStr">
        <is>
          <t>VÄRMLANDS LÄN</t>
        </is>
      </c>
      <c r="E1182" t="inlineStr">
        <is>
          <t>TORSBY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54091-2025</t>
        </is>
      </c>
      <c r="B1183" s="1" t="n">
        <v>45964.39363425926</v>
      </c>
      <c r="C1183" s="1" t="n">
        <v>46140</v>
      </c>
      <c r="D1183" t="inlineStr">
        <is>
          <t>VÄRMLANDS LÄN</t>
        </is>
      </c>
      <c r="E1183" t="inlineStr">
        <is>
          <t>TORSBY</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2662-2024</t>
        </is>
      </c>
      <c r="B1184" s="1" t="n">
        <v>45314.38747685185</v>
      </c>
      <c r="C1184" s="1" t="n">
        <v>46140</v>
      </c>
      <c r="D1184" t="inlineStr">
        <is>
          <t>VÄRMLANDS LÄN</t>
        </is>
      </c>
      <c r="E1184" t="inlineStr">
        <is>
          <t>TORSBY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54079-2025</t>
        </is>
      </c>
      <c r="B1185" s="1" t="n">
        <v>45964</v>
      </c>
      <c r="C1185" s="1" t="n">
        <v>46140</v>
      </c>
      <c r="D1185" t="inlineStr">
        <is>
          <t>VÄRMLANDS LÄN</t>
        </is>
      </c>
      <c r="E1185" t="inlineStr">
        <is>
          <t>TORSBY</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33656-2023</t>
        </is>
      </c>
      <c r="B1186" s="1" t="n">
        <v>45132.57922453704</v>
      </c>
      <c r="C1186" s="1" t="n">
        <v>46140</v>
      </c>
      <c r="D1186" t="inlineStr">
        <is>
          <t>VÄRMLANDS LÄN</t>
        </is>
      </c>
      <c r="E1186" t="inlineStr">
        <is>
          <t>TORSBY</t>
        </is>
      </c>
      <c r="F1186" t="inlineStr">
        <is>
          <t>Bergvik skog väst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27195-2023</t>
        </is>
      </c>
      <c r="B1187" s="1" t="n">
        <v>45096</v>
      </c>
      <c r="C1187" s="1" t="n">
        <v>46140</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21757-2024</t>
        </is>
      </c>
      <c r="B1188" s="1" t="n">
        <v>45442</v>
      </c>
      <c r="C1188" s="1" t="n">
        <v>46140</v>
      </c>
      <c r="D1188" t="inlineStr">
        <is>
          <t>VÄRMLANDS LÄN</t>
        </is>
      </c>
      <c r="E1188" t="inlineStr">
        <is>
          <t>TORSBY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30110-2023</t>
        </is>
      </c>
      <c r="B1189" s="1" t="n">
        <v>45110</v>
      </c>
      <c r="C1189" s="1" t="n">
        <v>46140</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53848-2025</t>
        </is>
      </c>
      <c r="B1190" s="1" t="n">
        <v>45961.36832175926</v>
      </c>
      <c r="C1190" s="1" t="n">
        <v>46140</v>
      </c>
      <c r="D1190" t="inlineStr">
        <is>
          <t>VÄRMLANDS LÄN</t>
        </is>
      </c>
      <c r="E1190" t="inlineStr">
        <is>
          <t>TORSBY</t>
        </is>
      </c>
      <c r="G1190" t="n">
        <v>19.1</v>
      </c>
      <c r="H1190" t="n">
        <v>0</v>
      </c>
      <c r="I1190" t="n">
        <v>0</v>
      </c>
      <c r="J1190" t="n">
        <v>0</v>
      </c>
      <c r="K1190" t="n">
        <v>0</v>
      </c>
      <c r="L1190" t="n">
        <v>0</v>
      </c>
      <c r="M1190" t="n">
        <v>0</v>
      </c>
      <c r="N1190" t="n">
        <v>0</v>
      </c>
      <c r="O1190" t="n">
        <v>0</v>
      </c>
      <c r="P1190" t="n">
        <v>0</v>
      </c>
      <c r="Q1190" t="n">
        <v>0</v>
      </c>
      <c r="R1190" s="2" t="inlineStr"/>
    </row>
    <row r="1191" ht="15" customHeight="1">
      <c r="A1191" t="inlineStr">
        <is>
          <t>A 54144-2025</t>
        </is>
      </c>
      <c r="B1191" s="1" t="n">
        <v>45964.48305555555</v>
      </c>
      <c r="C1191" s="1" t="n">
        <v>46140</v>
      </c>
      <c r="D1191" t="inlineStr">
        <is>
          <t>VÄRMLANDS LÄN</t>
        </is>
      </c>
      <c r="E1191" t="inlineStr">
        <is>
          <t>TORSBY</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26166-2024</t>
        </is>
      </c>
      <c r="B1192" s="1" t="n">
        <v>45468.55357638889</v>
      </c>
      <c r="C1192" s="1" t="n">
        <v>46140</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27588-2024</t>
        </is>
      </c>
      <c r="B1193" s="1" t="n">
        <v>45474</v>
      </c>
      <c r="C1193" s="1" t="n">
        <v>46140</v>
      </c>
      <c r="D1193" t="inlineStr">
        <is>
          <t>VÄRMLANDS LÄN</t>
        </is>
      </c>
      <c r="E1193" t="inlineStr">
        <is>
          <t>TORSBY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43037-2024</t>
        </is>
      </c>
      <c r="B1194" s="1" t="n">
        <v>45567</v>
      </c>
      <c r="C1194" s="1" t="n">
        <v>46140</v>
      </c>
      <c r="D1194" t="inlineStr">
        <is>
          <t>VÄRMLANDS LÄN</t>
        </is>
      </c>
      <c r="E1194" t="inlineStr">
        <is>
          <t>TORSBY</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54692-2025</t>
        </is>
      </c>
      <c r="B1195" s="1" t="n">
        <v>45966</v>
      </c>
      <c r="C1195" s="1" t="n">
        <v>46140</v>
      </c>
      <c r="D1195" t="inlineStr">
        <is>
          <t>VÄRMLANDS LÄN</t>
        </is>
      </c>
      <c r="E1195" t="inlineStr">
        <is>
          <t>TORSBY</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54729-2025</t>
        </is>
      </c>
      <c r="B1196" s="1" t="n">
        <v>45966</v>
      </c>
      <c r="C1196" s="1" t="n">
        <v>46140</v>
      </c>
      <c r="D1196" t="inlineStr">
        <is>
          <t>VÄRMLANDS LÄN</t>
        </is>
      </c>
      <c r="E1196" t="inlineStr">
        <is>
          <t>TORSBY</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54780-2025</t>
        </is>
      </c>
      <c r="B1197" s="1" t="n">
        <v>45966</v>
      </c>
      <c r="C1197" s="1" t="n">
        <v>46140</v>
      </c>
      <c r="D1197" t="inlineStr">
        <is>
          <t>VÄRMLANDS LÄN</t>
        </is>
      </c>
      <c r="E1197" t="inlineStr">
        <is>
          <t>TORSBY</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24639-2023</t>
        </is>
      </c>
      <c r="B1198" s="1" t="n">
        <v>45084</v>
      </c>
      <c r="C1198" s="1" t="n">
        <v>46140</v>
      </c>
      <c r="D1198" t="inlineStr">
        <is>
          <t>VÄRMLANDS LÄN</t>
        </is>
      </c>
      <c r="E1198" t="inlineStr">
        <is>
          <t>TORSBY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54505-2025</t>
        </is>
      </c>
      <c r="B1199" s="1" t="n">
        <v>45965.6169212963</v>
      </c>
      <c r="C1199" s="1" t="n">
        <v>46140</v>
      </c>
      <c r="D1199" t="inlineStr">
        <is>
          <t>VÄRMLANDS LÄN</t>
        </is>
      </c>
      <c r="E1199" t="inlineStr">
        <is>
          <t>TORSBY</t>
        </is>
      </c>
      <c r="F1199" t="inlineStr">
        <is>
          <t>Bergvik skog väst AB</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54412-2025</t>
        </is>
      </c>
      <c r="B1200" s="1" t="n">
        <v>45965.46076388889</v>
      </c>
      <c r="C1200" s="1" t="n">
        <v>46140</v>
      </c>
      <c r="D1200" t="inlineStr">
        <is>
          <t>VÄRMLANDS LÄN</t>
        </is>
      </c>
      <c r="E1200" t="inlineStr">
        <is>
          <t>TORSBY</t>
        </is>
      </c>
      <c r="F1200" t="inlineStr">
        <is>
          <t>Bergvik skog väst AB</t>
        </is>
      </c>
      <c r="G1200" t="n">
        <v>37.8</v>
      </c>
      <c r="H1200" t="n">
        <v>0</v>
      </c>
      <c r="I1200" t="n">
        <v>0</v>
      </c>
      <c r="J1200" t="n">
        <v>0</v>
      </c>
      <c r="K1200" t="n">
        <v>0</v>
      </c>
      <c r="L1200" t="n">
        <v>0</v>
      </c>
      <c r="M1200" t="n">
        <v>0</v>
      </c>
      <c r="N1200" t="n">
        <v>0</v>
      </c>
      <c r="O1200" t="n">
        <v>0</v>
      </c>
      <c r="P1200" t="n">
        <v>0</v>
      </c>
      <c r="Q1200" t="n">
        <v>0</v>
      </c>
      <c r="R1200" s="2" t="inlineStr"/>
    </row>
    <row r="1201" ht="15" customHeight="1">
      <c r="A1201" t="inlineStr">
        <is>
          <t>A 24995-2024</t>
        </is>
      </c>
      <c r="B1201" s="1" t="n">
        <v>45461</v>
      </c>
      <c r="C1201" s="1" t="n">
        <v>46140</v>
      </c>
      <c r="D1201" t="inlineStr">
        <is>
          <t>VÄRMLANDS LÄN</t>
        </is>
      </c>
      <c r="E1201" t="inlineStr">
        <is>
          <t>TORSBY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423-2024</t>
        </is>
      </c>
      <c r="B1202" s="1" t="n">
        <v>45296.53034722222</v>
      </c>
      <c r="C1202" s="1" t="n">
        <v>46140</v>
      </c>
      <c r="D1202" t="inlineStr">
        <is>
          <t>VÄRMLANDS LÄN</t>
        </is>
      </c>
      <c r="E1202" t="inlineStr">
        <is>
          <t>TORSBY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54732-2025</t>
        </is>
      </c>
      <c r="B1203" s="1" t="n">
        <v>45966.56212962963</v>
      </c>
      <c r="C1203" s="1" t="n">
        <v>46140</v>
      </c>
      <c r="D1203" t="inlineStr">
        <is>
          <t>VÄRMLANDS LÄN</t>
        </is>
      </c>
      <c r="E1203" t="inlineStr">
        <is>
          <t>TORSBY</t>
        </is>
      </c>
      <c r="G1203" t="n">
        <v>11.9</v>
      </c>
      <c r="H1203" t="n">
        <v>0</v>
      </c>
      <c r="I1203" t="n">
        <v>0</v>
      </c>
      <c r="J1203" t="n">
        <v>0</v>
      </c>
      <c r="K1203" t="n">
        <v>0</v>
      </c>
      <c r="L1203" t="n">
        <v>0</v>
      </c>
      <c r="M1203" t="n">
        <v>0</v>
      </c>
      <c r="N1203" t="n">
        <v>0</v>
      </c>
      <c r="O1203" t="n">
        <v>0</v>
      </c>
      <c r="P1203" t="n">
        <v>0</v>
      </c>
      <c r="Q1203" t="n">
        <v>0</v>
      </c>
      <c r="R1203" s="2" t="inlineStr"/>
    </row>
    <row r="1204" ht="15" customHeight="1">
      <c r="A1204" t="inlineStr">
        <is>
          <t>A 54734-2025</t>
        </is>
      </c>
      <c r="B1204" s="1" t="n">
        <v>45966.56431712963</v>
      </c>
      <c r="C1204" s="1" t="n">
        <v>46140</v>
      </c>
      <c r="D1204" t="inlineStr">
        <is>
          <t>VÄRMLANDS LÄN</t>
        </is>
      </c>
      <c r="E1204" t="inlineStr">
        <is>
          <t>TORSBY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11395-2025</t>
        </is>
      </c>
      <c r="B1205" s="1" t="n">
        <v>45726.5728125</v>
      </c>
      <c r="C1205" s="1" t="n">
        <v>46140</v>
      </c>
      <c r="D1205" t="inlineStr">
        <is>
          <t>VÄRMLANDS LÄN</t>
        </is>
      </c>
      <c r="E1205" t="inlineStr">
        <is>
          <t>TORSBY</t>
        </is>
      </c>
      <c r="G1205" t="n">
        <v>25.3</v>
      </c>
      <c r="H1205" t="n">
        <v>0</v>
      </c>
      <c r="I1205" t="n">
        <v>0</v>
      </c>
      <c r="J1205" t="n">
        <v>0</v>
      </c>
      <c r="K1205" t="n">
        <v>0</v>
      </c>
      <c r="L1205" t="n">
        <v>0</v>
      </c>
      <c r="M1205" t="n">
        <v>0</v>
      </c>
      <c r="N1205" t="n">
        <v>0</v>
      </c>
      <c r="O1205" t="n">
        <v>0</v>
      </c>
      <c r="P1205" t="n">
        <v>0</v>
      </c>
      <c r="Q1205" t="n">
        <v>0</v>
      </c>
      <c r="R1205" s="2" t="inlineStr"/>
    </row>
    <row r="1206" ht="15" customHeight="1">
      <c r="A1206" t="inlineStr">
        <is>
          <t>A 10583-2023</t>
        </is>
      </c>
      <c r="B1206" s="1" t="n">
        <v>44988.36435185185</v>
      </c>
      <c r="C1206" s="1" t="n">
        <v>46140</v>
      </c>
      <c r="D1206" t="inlineStr">
        <is>
          <t>VÄRMLANDS LÄN</t>
        </is>
      </c>
      <c r="E1206" t="inlineStr">
        <is>
          <t>TORSBY</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53714-2025</t>
        </is>
      </c>
      <c r="B1207" s="1" t="n">
        <v>45960</v>
      </c>
      <c r="C1207" s="1" t="n">
        <v>46140</v>
      </c>
      <c r="D1207" t="inlineStr">
        <is>
          <t>VÄRMLANDS LÄN</t>
        </is>
      </c>
      <c r="E1207" t="inlineStr">
        <is>
          <t>TORSBY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54762-2025</t>
        </is>
      </c>
      <c r="B1208" s="1" t="n">
        <v>45966.60082175926</v>
      </c>
      <c r="C1208" s="1" t="n">
        <v>46140</v>
      </c>
      <c r="D1208" t="inlineStr">
        <is>
          <t>VÄRMLANDS LÄN</t>
        </is>
      </c>
      <c r="E1208" t="inlineStr">
        <is>
          <t>TORSBY</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49298-2024</t>
        </is>
      </c>
      <c r="B1209" s="1" t="n">
        <v>45595.54357638889</v>
      </c>
      <c r="C1209" s="1" t="n">
        <v>46140</v>
      </c>
      <c r="D1209" t="inlineStr">
        <is>
          <t>VÄRMLANDS LÄN</t>
        </is>
      </c>
      <c r="E1209" t="inlineStr">
        <is>
          <t>TORSBY</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54817-2025</t>
        </is>
      </c>
      <c r="B1210" s="1" t="n">
        <v>45966.65671296296</v>
      </c>
      <c r="C1210" s="1" t="n">
        <v>46140</v>
      </c>
      <c r="D1210" t="inlineStr">
        <is>
          <t>VÄRMLANDS LÄN</t>
        </is>
      </c>
      <c r="E1210" t="inlineStr">
        <is>
          <t>TORSBY</t>
        </is>
      </c>
      <c r="F1210" t="inlineStr">
        <is>
          <t>Bergvik skog väst AB</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44659-2024</t>
        </is>
      </c>
      <c r="B1211" s="1" t="n">
        <v>45574</v>
      </c>
      <c r="C1211" s="1" t="n">
        <v>46140</v>
      </c>
      <c r="D1211" t="inlineStr">
        <is>
          <t>VÄRMLANDS LÄN</t>
        </is>
      </c>
      <c r="E1211" t="inlineStr">
        <is>
          <t>TORSBY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54784-2025</t>
        </is>
      </c>
      <c r="B1212" s="1" t="n">
        <v>45966.62114583333</v>
      </c>
      <c r="C1212" s="1" t="n">
        <v>46140</v>
      </c>
      <c r="D1212" t="inlineStr">
        <is>
          <t>VÄRMLANDS LÄN</t>
        </is>
      </c>
      <c r="E1212" t="inlineStr">
        <is>
          <t>TORSBY</t>
        </is>
      </c>
      <c r="F1212" t="inlineStr">
        <is>
          <t>Bergvik skog väst AB</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57785-2024</t>
        </is>
      </c>
      <c r="B1213" s="1" t="n">
        <v>45631</v>
      </c>
      <c r="C1213" s="1" t="n">
        <v>46140</v>
      </c>
      <c r="D1213" t="inlineStr">
        <is>
          <t>VÄRMLANDS LÄN</t>
        </is>
      </c>
      <c r="E1213" t="inlineStr">
        <is>
          <t>TORSBY</t>
        </is>
      </c>
      <c r="F1213" t="inlineStr">
        <is>
          <t>Bergvik skog väst AB</t>
        </is>
      </c>
      <c r="G1213" t="n">
        <v>10.9</v>
      </c>
      <c r="H1213" t="n">
        <v>0</v>
      </c>
      <c r="I1213" t="n">
        <v>0</v>
      </c>
      <c r="J1213" t="n">
        <v>0</v>
      </c>
      <c r="K1213" t="n">
        <v>0</v>
      </c>
      <c r="L1213" t="n">
        <v>0</v>
      </c>
      <c r="M1213" t="n">
        <v>0</v>
      </c>
      <c r="N1213" t="n">
        <v>0</v>
      </c>
      <c r="O1213" t="n">
        <v>0</v>
      </c>
      <c r="P1213" t="n">
        <v>0</v>
      </c>
      <c r="Q1213" t="n">
        <v>0</v>
      </c>
      <c r="R1213" s="2" t="inlineStr"/>
    </row>
    <row r="1214" ht="15" customHeight="1">
      <c r="A1214" t="inlineStr">
        <is>
          <t>A 60385-2024</t>
        </is>
      </c>
      <c r="B1214" s="1" t="n">
        <v>45643</v>
      </c>
      <c r="C1214" s="1" t="n">
        <v>46140</v>
      </c>
      <c r="D1214" t="inlineStr">
        <is>
          <t>VÄRMLANDS LÄN</t>
        </is>
      </c>
      <c r="E1214" t="inlineStr">
        <is>
          <t>TORSBY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51644-2025</t>
        </is>
      </c>
      <c r="B1215" s="1" t="n">
        <v>45951</v>
      </c>
      <c r="C1215" s="1" t="n">
        <v>46140</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55269-2025</t>
        </is>
      </c>
      <c r="B1216" s="1" t="n">
        <v>45968</v>
      </c>
      <c r="C1216" s="1" t="n">
        <v>46140</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39075-2024</t>
        </is>
      </c>
      <c r="B1217" s="1" t="n">
        <v>45548</v>
      </c>
      <c r="C1217" s="1" t="n">
        <v>46140</v>
      </c>
      <c r="D1217" t="inlineStr">
        <is>
          <t>VÄRMLANDS LÄN</t>
        </is>
      </c>
      <c r="E1217" t="inlineStr">
        <is>
          <t>TORSBY</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52357-2025</t>
        </is>
      </c>
      <c r="B1218" s="1" t="n">
        <v>45952</v>
      </c>
      <c r="C1218" s="1" t="n">
        <v>46140</v>
      </c>
      <c r="D1218" t="inlineStr">
        <is>
          <t>VÄRMLANDS LÄN</t>
        </is>
      </c>
      <c r="E1218" t="inlineStr">
        <is>
          <t>TORSBY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55177-2025</t>
        </is>
      </c>
      <c r="B1219" s="1" t="n">
        <v>45968</v>
      </c>
      <c r="C1219" s="1" t="n">
        <v>46140</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55178-2025</t>
        </is>
      </c>
      <c r="B1220" s="1" t="n">
        <v>45968</v>
      </c>
      <c r="C1220" s="1" t="n">
        <v>46140</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15992-2023</t>
        </is>
      </c>
      <c r="B1221" s="1" t="n">
        <v>45023.5066087963</v>
      </c>
      <c r="C1221" s="1" t="n">
        <v>46140</v>
      </c>
      <c r="D1221" t="inlineStr">
        <is>
          <t>VÄRMLANDS LÄN</t>
        </is>
      </c>
      <c r="E1221" t="inlineStr">
        <is>
          <t>TORSBY</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16044-2023</t>
        </is>
      </c>
      <c r="B1222" s="1" t="n">
        <v>45027</v>
      </c>
      <c r="C1222" s="1" t="n">
        <v>46140</v>
      </c>
      <c r="D1222" t="inlineStr">
        <is>
          <t>VÄRMLANDS LÄN</t>
        </is>
      </c>
      <c r="E1222" t="inlineStr">
        <is>
          <t>TORSBY</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15083-2024</t>
        </is>
      </c>
      <c r="B1223" s="1" t="n">
        <v>45399.63163194444</v>
      </c>
      <c r="C1223" s="1" t="n">
        <v>46140</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56101-2024</t>
        </is>
      </c>
      <c r="B1224" s="1" t="n">
        <v>45624</v>
      </c>
      <c r="C1224" s="1" t="n">
        <v>46140</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48540-2024</t>
        </is>
      </c>
      <c r="B1225" s="1" t="n">
        <v>45593</v>
      </c>
      <c r="C1225" s="1" t="n">
        <v>46140</v>
      </c>
      <c r="D1225" t="inlineStr">
        <is>
          <t>VÄRMLANDS LÄN</t>
        </is>
      </c>
      <c r="E1225" t="inlineStr">
        <is>
          <t>TORSBY</t>
        </is>
      </c>
      <c r="G1225" t="n">
        <v>16.5</v>
      </c>
      <c r="H1225" t="n">
        <v>0</v>
      </c>
      <c r="I1225" t="n">
        <v>0</v>
      </c>
      <c r="J1225" t="n">
        <v>0</v>
      </c>
      <c r="K1225" t="n">
        <v>0</v>
      </c>
      <c r="L1225" t="n">
        <v>0</v>
      </c>
      <c r="M1225" t="n">
        <v>0</v>
      </c>
      <c r="N1225" t="n">
        <v>0</v>
      </c>
      <c r="O1225" t="n">
        <v>0</v>
      </c>
      <c r="P1225" t="n">
        <v>0</v>
      </c>
      <c r="Q1225" t="n">
        <v>0</v>
      </c>
      <c r="R1225" s="2" t="inlineStr"/>
    </row>
    <row r="1226" ht="15" customHeight="1">
      <c r="A1226" t="inlineStr">
        <is>
          <t>A 54996-2025</t>
        </is>
      </c>
      <c r="B1226" s="1" t="n">
        <v>45967</v>
      </c>
      <c r="C1226" s="1" t="n">
        <v>46140</v>
      </c>
      <c r="D1226" t="inlineStr">
        <is>
          <t>VÄRMLANDS LÄN</t>
        </is>
      </c>
      <c r="E1226" t="inlineStr">
        <is>
          <t>TORSBY</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25264-2024</t>
        </is>
      </c>
      <c r="B1227" s="1" t="n">
        <v>45462.61859953704</v>
      </c>
      <c r="C1227" s="1" t="n">
        <v>46140</v>
      </c>
      <c r="D1227" t="inlineStr">
        <is>
          <t>VÄRMLANDS LÄN</t>
        </is>
      </c>
      <c r="E1227" t="inlineStr">
        <is>
          <t>TORSBY</t>
        </is>
      </c>
      <c r="G1227" t="n">
        <v>10.7</v>
      </c>
      <c r="H1227" t="n">
        <v>0</v>
      </c>
      <c r="I1227" t="n">
        <v>0</v>
      </c>
      <c r="J1227" t="n">
        <v>0</v>
      </c>
      <c r="K1227" t="n">
        <v>0</v>
      </c>
      <c r="L1227" t="n">
        <v>0</v>
      </c>
      <c r="M1227" t="n">
        <v>0</v>
      </c>
      <c r="N1227" t="n">
        <v>0</v>
      </c>
      <c r="O1227" t="n">
        <v>0</v>
      </c>
      <c r="P1227" t="n">
        <v>0</v>
      </c>
      <c r="Q1227" t="n">
        <v>0</v>
      </c>
      <c r="R1227" s="2" t="inlineStr"/>
    </row>
    <row r="1228" ht="15" customHeight="1">
      <c r="A1228" t="inlineStr">
        <is>
          <t>A 54618-2024</t>
        </is>
      </c>
      <c r="B1228" s="1" t="n">
        <v>45617</v>
      </c>
      <c r="C1228" s="1" t="n">
        <v>46140</v>
      </c>
      <c r="D1228" t="inlineStr">
        <is>
          <t>VÄRMLANDS LÄN</t>
        </is>
      </c>
      <c r="E1228" t="inlineStr">
        <is>
          <t>TORSBY</t>
        </is>
      </c>
      <c r="F1228" t="inlineStr">
        <is>
          <t>Kommuner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55139-2025</t>
        </is>
      </c>
      <c r="B1229" s="1" t="n">
        <v>45968.42827546296</v>
      </c>
      <c r="C1229" s="1" t="n">
        <v>46140</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55071-2025</t>
        </is>
      </c>
      <c r="B1230" s="1" t="n">
        <v>45967</v>
      </c>
      <c r="C1230" s="1" t="n">
        <v>46140</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52362-2025</t>
        </is>
      </c>
      <c r="B1231" s="1" t="n">
        <v>45952</v>
      </c>
      <c r="C1231" s="1" t="n">
        <v>46140</v>
      </c>
      <c r="D1231" t="inlineStr">
        <is>
          <t>VÄRMLANDS LÄN</t>
        </is>
      </c>
      <c r="E1231" t="inlineStr">
        <is>
          <t>TORSBY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37357-2023</t>
        </is>
      </c>
      <c r="B1232" s="1" t="n">
        <v>45156.48006944444</v>
      </c>
      <c r="C1232" s="1" t="n">
        <v>46140</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55320-2025</t>
        </is>
      </c>
      <c r="B1233" s="1" t="n">
        <v>45971.31269675926</v>
      </c>
      <c r="C1233" s="1" t="n">
        <v>46140</v>
      </c>
      <c r="D1233" t="inlineStr">
        <is>
          <t>VÄRMLANDS LÄN</t>
        </is>
      </c>
      <c r="E1233" t="inlineStr">
        <is>
          <t>TORSBY</t>
        </is>
      </c>
      <c r="F1233" t="inlineStr">
        <is>
          <t>Bergvik skog väst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58386-2023</t>
        </is>
      </c>
      <c r="B1234" s="1" t="n">
        <v>45250</v>
      </c>
      <c r="C1234" s="1" t="n">
        <v>46140</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55664-2025</t>
        </is>
      </c>
      <c r="B1235" s="1" t="n">
        <v>45972.39621527777</v>
      </c>
      <c r="C1235" s="1" t="n">
        <v>46140</v>
      </c>
      <c r="D1235" t="inlineStr">
        <is>
          <t>VÄRMLANDS LÄN</t>
        </is>
      </c>
      <c r="E1235" t="inlineStr">
        <is>
          <t>TORSBY</t>
        </is>
      </c>
      <c r="F1235" t="inlineStr">
        <is>
          <t>Bergvik skog väst AB</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55675-2025</t>
        </is>
      </c>
      <c r="B1236" s="1" t="n">
        <v>45972.4175</v>
      </c>
      <c r="C1236" s="1" t="n">
        <v>46140</v>
      </c>
      <c r="D1236" t="inlineStr">
        <is>
          <t>VÄRMLANDS LÄN</t>
        </is>
      </c>
      <c r="E1236" t="inlineStr">
        <is>
          <t>TORSBY</t>
        </is>
      </c>
      <c r="F1236" t="inlineStr">
        <is>
          <t>Bergvik skog väst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55296-2025</t>
        </is>
      </c>
      <c r="B1237" s="1" t="n">
        <v>45969.53423611111</v>
      </c>
      <c r="C1237" s="1" t="n">
        <v>46140</v>
      </c>
      <c r="D1237" t="inlineStr">
        <is>
          <t>VÄRMLANDS LÄN</t>
        </is>
      </c>
      <c r="E1237" t="inlineStr">
        <is>
          <t>TORSBY</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55386-2025</t>
        </is>
      </c>
      <c r="B1238" s="1" t="n">
        <v>45971</v>
      </c>
      <c r="C1238" s="1" t="n">
        <v>46140</v>
      </c>
      <c r="D1238" t="inlineStr">
        <is>
          <t>VÄRMLANDS LÄN</t>
        </is>
      </c>
      <c r="E1238" t="inlineStr">
        <is>
          <t>TORSBY</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17898-2023</t>
        </is>
      </c>
      <c r="B1239" s="1" t="n">
        <v>45039.72086805556</v>
      </c>
      <c r="C1239" s="1" t="n">
        <v>46140</v>
      </c>
      <c r="D1239" t="inlineStr">
        <is>
          <t>VÄRMLANDS LÄN</t>
        </is>
      </c>
      <c r="E1239" t="inlineStr">
        <is>
          <t>TORSBY</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55622-2025</t>
        </is>
      </c>
      <c r="B1240" s="1" t="n">
        <v>45971</v>
      </c>
      <c r="C1240" s="1" t="n">
        <v>46140</v>
      </c>
      <c r="D1240" t="inlineStr">
        <is>
          <t>VÄRMLANDS LÄN</t>
        </is>
      </c>
      <c r="E1240" t="inlineStr">
        <is>
          <t>TORSBY</t>
        </is>
      </c>
      <c r="F1240" t="inlineStr">
        <is>
          <t>Kyrkan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23044-2024</t>
        </is>
      </c>
      <c r="B1241" s="1" t="n">
        <v>45450</v>
      </c>
      <c r="C1241" s="1" t="n">
        <v>46140</v>
      </c>
      <c r="D1241" t="inlineStr">
        <is>
          <t>VÄRMLANDS LÄN</t>
        </is>
      </c>
      <c r="E1241" t="inlineStr">
        <is>
          <t>TORSBY</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24182-2024</t>
        </is>
      </c>
      <c r="B1242" s="1" t="n">
        <v>45456</v>
      </c>
      <c r="C1242" s="1" t="n">
        <v>46140</v>
      </c>
      <c r="D1242" t="inlineStr">
        <is>
          <t>VÄRMLANDS LÄN</t>
        </is>
      </c>
      <c r="E1242" t="inlineStr">
        <is>
          <t>TORSBY</t>
        </is>
      </c>
      <c r="F1242" t="inlineStr">
        <is>
          <t>Bergvik skog väst AB</t>
        </is>
      </c>
      <c r="G1242" t="n">
        <v>28.9</v>
      </c>
      <c r="H1242" t="n">
        <v>0</v>
      </c>
      <c r="I1242" t="n">
        <v>0</v>
      </c>
      <c r="J1242" t="n">
        <v>0</v>
      </c>
      <c r="K1242" t="n">
        <v>0</v>
      </c>
      <c r="L1242" t="n">
        <v>0</v>
      </c>
      <c r="M1242" t="n">
        <v>0</v>
      </c>
      <c r="N1242" t="n">
        <v>0</v>
      </c>
      <c r="O1242" t="n">
        <v>0</v>
      </c>
      <c r="P1242" t="n">
        <v>0</v>
      </c>
      <c r="Q1242" t="n">
        <v>0</v>
      </c>
      <c r="R1242" s="2" t="inlineStr"/>
    </row>
    <row r="1243" ht="15" customHeight="1">
      <c r="A1243" t="inlineStr">
        <is>
          <t>A 24708-2024</t>
        </is>
      </c>
      <c r="B1243" s="1" t="n">
        <v>45460</v>
      </c>
      <c r="C1243" s="1" t="n">
        <v>46140</v>
      </c>
      <c r="D1243" t="inlineStr">
        <is>
          <t>VÄRMLANDS LÄN</t>
        </is>
      </c>
      <c r="E1243" t="inlineStr">
        <is>
          <t>TORSBY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26799-2024</t>
        </is>
      </c>
      <c r="B1244" s="1" t="n">
        <v>45470.5071875</v>
      </c>
      <c r="C1244" s="1" t="n">
        <v>46140</v>
      </c>
      <c r="D1244" t="inlineStr">
        <is>
          <t>VÄRMLANDS LÄN</t>
        </is>
      </c>
      <c r="E1244" t="inlineStr">
        <is>
          <t>TORSBY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56187-2025</t>
        </is>
      </c>
      <c r="B1245" s="1" t="n">
        <v>45974.42451388889</v>
      </c>
      <c r="C1245" s="1" t="n">
        <v>46140</v>
      </c>
      <c r="D1245" t="inlineStr">
        <is>
          <t>VÄRMLANDS LÄN</t>
        </is>
      </c>
      <c r="E1245" t="inlineStr">
        <is>
          <t>TORSBY</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55938-2025</t>
        </is>
      </c>
      <c r="B1246" s="1" t="n">
        <v>45973.44658564815</v>
      </c>
      <c r="C1246" s="1" t="n">
        <v>46140</v>
      </c>
      <c r="D1246" t="inlineStr">
        <is>
          <t>VÄRMLANDS LÄN</t>
        </is>
      </c>
      <c r="E1246" t="inlineStr">
        <is>
          <t>TORSBY</t>
        </is>
      </c>
      <c r="F1246" t="inlineStr">
        <is>
          <t>Bergvik skog väst AB</t>
        </is>
      </c>
      <c r="G1246" t="n">
        <v>21.2</v>
      </c>
      <c r="H1246" t="n">
        <v>0</v>
      </c>
      <c r="I1246" t="n">
        <v>0</v>
      </c>
      <c r="J1246" t="n">
        <v>0</v>
      </c>
      <c r="K1246" t="n">
        <v>0</v>
      </c>
      <c r="L1246" t="n">
        <v>0</v>
      </c>
      <c r="M1246" t="n">
        <v>0</v>
      </c>
      <c r="N1246" t="n">
        <v>0</v>
      </c>
      <c r="O1246" t="n">
        <v>0</v>
      </c>
      <c r="P1246" t="n">
        <v>0</v>
      </c>
      <c r="Q1246" t="n">
        <v>0</v>
      </c>
      <c r="R1246" s="2" t="inlineStr"/>
    </row>
    <row r="1247" ht="15" customHeight="1">
      <c r="A1247" t="inlineStr">
        <is>
          <t>A 16369-2024</t>
        </is>
      </c>
      <c r="B1247" s="1" t="n">
        <v>45407</v>
      </c>
      <c r="C1247" s="1" t="n">
        <v>46140</v>
      </c>
      <c r="D1247" t="inlineStr">
        <is>
          <t>VÄRMLANDS LÄN</t>
        </is>
      </c>
      <c r="E1247" t="inlineStr">
        <is>
          <t>TORSBY</t>
        </is>
      </c>
      <c r="F1247" t="inlineStr">
        <is>
          <t>Kommuner</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63409-2023</t>
        </is>
      </c>
      <c r="B1248" s="1" t="n">
        <v>45274.51719907407</v>
      </c>
      <c r="C1248" s="1" t="n">
        <v>46140</v>
      </c>
      <c r="D1248" t="inlineStr">
        <is>
          <t>VÄRMLANDS LÄN</t>
        </is>
      </c>
      <c r="E1248" t="inlineStr">
        <is>
          <t>TORSBY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55953-2025</t>
        </is>
      </c>
      <c r="B1249" s="1" t="n">
        <v>45973</v>
      </c>
      <c r="C1249" s="1" t="n">
        <v>46140</v>
      </c>
      <c r="D1249" t="inlineStr">
        <is>
          <t>VÄRMLANDS LÄN</t>
        </is>
      </c>
      <c r="E1249" t="inlineStr">
        <is>
          <t>TORSBY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55958-2025</t>
        </is>
      </c>
      <c r="B1250" s="1" t="n">
        <v>45973</v>
      </c>
      <c r="C1250" s="1" t="n">
        <v>46140</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56130-2025</t>
        </is>
      </c>
      <c r="B1251" s="1" t="n">
        <v>45973</v>
      </c>
      <c r="C1251" s="1" t="n">
        <v>46140</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14303-2023</t>
        </is>
      </c>
      <c r="B1252" s="1" t="n">
        <v>45011.75886574074</v>
      </c>
      <c r="C1252" s="1" t="n">
        <v>46140</v>
      </c>
      <c r="D1252" t="inlineStr">
        <is>
          <t>VÄRMLANDS LÄN</t>
        </is>
      </c>
      <c r="E1252" t="inlineStr">
        <is>
          <t>TORSBY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56258-2025</t>
        </is>
      </c>
      <c r="B1253" s="1" t="n">
        <v>45974.56655092593</v>
      </c>
      <c r="C1253" s="1" t="n">
        <v>46140</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56098-2025</t>
        </is>
      </c>
      <c r="B1254" s="1" t="n">
        <v>45973</v>
      </c>
      <c r="C1254" s="1" t="n">
        <v>46140</v>
      </c>
      <c r="D1254" t="inlineStr">
        <is>
          <t>VÄRMLANDS LÄN</t>
        </is>
      </c>
      <c r="E1254" t="inlineStr">
        <is>
          <t>TORSBY</t>
        </is>
      </c>
      <c r="F1254" t="inlineStr">
        <is>
          <t>Kyrkan</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34427-2023</t>
        </is>
      </c>
      <c r="B1255" s="1" t="n">
        <v>45139.61741898148</v>
      </c>
      <c r="C1255" s="1" t="n">
        <v>46140</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54076-2025</t>
        </is>
      </c>
      <c r="B1256" s="1" t="n">
        <v>45964</v>
      </c>
      <c r="C1256" s="1" t="n">
        <v>46140</v>
      </c>
      <c r="D1256" t="inlineStr">
        <is>
          <t>VÄRMLANDS LÄN</t>
        </is>
      </c>
      <c r="E1256" t="inlineStr">
        <is>
          <t>TORSBY</t>
        </is>
      </c>
      <c r="F1256" t="inlineStr">
        <is>
          <t>Övriga statliga verk och myndigheter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15087-2023</t>
        </is>
      </c>
      <c r="B1257" s="1" t="n">
        <v>45016</v>
      </c>
      <c r="C1257" s="1" t="n">
        <v>46140</v>
      </c>
      <c r="D1257" t="inlineStr">
        <is>
          <t>VÄRMLANDS LÄN</t>
        </is>
      </c>
      <c r="E1257" t="inlineStr">
        <is>
          <t>TORSBY</t>
        </is>
      </c>
      <c r="F1257" t="inlineStr">
        <is>
          <t>Bergvik skog väst AB</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56033-2025</t>
        </is>
      </c>
      <c r="B1258" s="1" t="n">
        <v>45973.6066087963</v>
      </c>
      <c r="C1258" s="1" t="n">
        <v>46140</v>
      </c>
      <c r="D1258" t="inlineStr">
        <is>
          <t>VÄRMLANDS LÄN</t>
        </is>
      </c>
      <c r="E1258" t="inlineStr">
        <is>
          <t>TORSBY</t>
        </is>
      </c>
      <c r="F1258" t="inlineStr">
        <is>
          <t>Bergvik skog väst AB</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55863-2025</t>
        </is>
      </c>
      <c r="B1259" s="1" t="n">
        <v>45973.3465162037</v>
      </c>
      <c r="C1259" s="1" t="n">
        <v>46140</v>
      </c>
      <c r="D1259" t="inlineStr">
        <is>
          <t>VÄRMLANDS LÄN</t>
        </is>
      </c>
      <c r="E1259" t="inlineStr">
        <is>
          <t>TORSBY</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56129-2025</t>
        </is>
      </c>
      <c r="B1260" s="1" t="n">
        <v>45973</v>
      </c>
      <c r="C1260" s="1" t="n">
        <v>46140</v>
      </c>
      <c r="D1260" t="inlineStr">
        <is>
          <t>VÄRMLANDS LÄN</t>
        </is>
      </c>
      <c r="E1260" t="inlineStr">
        <is>
          <t>TORSBY</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17001-2024</t>
        </is>
      </c>
      <c r="B1261" s="1" t="n">
        <v>45412.35605324074</v>
      </c>
      <c r="C1261" s="1" t="n">
        <v>46140</v>
      </c>
      <c r="D1261" t="inlineStr">
        <is>
          <t>VÄRMLANDS LÄN</t>
        </is>
      </c>
      <c r="E1261" t="inlineStr">
        <is>
          <t>TORSBY</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56263-2025</t>
        </is>
      </c>
      <c r="B1262" s="1" t="n">
        <v>45974.57358796296</v>
      </c>
      <c r="C1262" s="1" t="n">
        <v>46140</v>
      </c>
      <c r="D1262" t="inlineStr">
        <is>
          <t>VÄRMLANDS LÄN</t>
        </is>
      </c>
      <c r="E1262" t="inlineStr">
        <is>
          <t>TORSBY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43545-2024</t>
        </is>
      </c>
      <c r="B1263" s="1" t="n">
        <v>45569.36980324074</v>
      </c>
      <c r="C1263" s="1" t="n">
        <v>46140</v>
      </c>
      <c r="D1263" t="inlineStr">
        <is>
          <t>VÄRMLANDS LÄN</t>
        </is>
      </c>
      <c r="E1263" t="inlineStr">
        <is>
          <t>TORSBY</t>
        </is>
      </c>
      <c r="F1263" t="inlineStr">
        <is>
          <t>Bergvik skog väst AB</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56052-2025</t>
        </is>
      </c>
      <c r="B1264" s="1" t="n">
        <v>45973.63180555555</v>
      </c>
      <c r="C1264" s="1" t="n">
        <v>46140</v>
      </c>
      <c r="D1264" t="inlineStr">
        <is>
          <t>VÄRMLANDS LÄN</t>
        </is>
      </c>
      <c r="E1264" t="inlineStr">
        <is>
          <t>TORSBY</t>
        </is>
      </c>
      <c r="F1264" t="inlineStr">
        <is>
          <t>Bergvik skog väst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30267-2023</t>
        </is>
      </c>
      <c r="B1265" s="1" t="n">
        <v>45110.75915509259</v>
      </c>
      <c r="C1265" s="1" t="n">
        <v>46140</v>
      </c>
      <c r="D1265" t="inlineStr">
        <is>
          <t>VÄRMLANDS LÄN</t>
        </is>
      </c>
      <c r="E1265" t="inlineStr">
        <is>
          <t>TORSBY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30269-2023</t>
        </is>
      </c>
      <c r="B1266" s="1" t="n">
        <v>45110.76082175926</v>
      </c>
      <c r="C1266" s="1" t="n">
        <v>46140</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70926-2021</t>
        </is>
      </c>
      <c r="B1267" s="1" t="n">
        <v>44538</v>
      </c>
      <c r="C1267" s="1" t="n">
        <v>46140</v>
      </c>
      <c r="D1267" t="inlineStr">
        <is>
          <t>VÄRMLANDS LÄN</t>
        </is>
      </c>
      <c r="E1267" t="inlineStr">
        <is>
          <t>TORSBY</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56761-2025</t>
        </is>
      </c>
      <c r="B1268" s="1" t="n">
        <v>45978.37505787037</v>
      </c>
      <c r="C1268" s="1" t="n">
        <v>46140</v>
      </c>
      <c r="D1268" t="inlineStr">
        <is>
          <t>VÄRMLANDS LÄN</t>
        </is>
      </c>
      <c r="E1268" t="inlineStr">
        <is>
          <t>TORSBY</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56575-2025</t>
        </is>
      </c>
      <c r="B1269" s="1" t="n">
        <v>45975</v>
      </c>
      <c r="C1269" s="1" t="n">
        <v>46140</v>
      </c>
      <c r="D1269" t="inlineStr">
        <is>
          <t>VÄRMLANDS LÄN</t>
        </is>
      </c>
      <c r="E1269" t="inlineStr">
        <is>
          <t>TORSBY</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21580-2024</t>
        </is>
      </c>
      <c r="B1270" s="1" t="n">
        <v>45441</v>
      </c>
      <c r="C1270" s="1" t="n">
        <v>46140</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56889-2025</t>
        </is>
      </c>
      <c r="B1271" s="1" t="n">
        <v>45978</v>
      </c>
      <c r="C1271" s="1" t="n">
        <v>46140</v>
      </c>
      <c r="D1271" t="inlineStr">
        <is>
          <t>VÄRMLANDS LÄN</t>
        </is>
      </c>
      <c r="E1271" t="inlineStr">
        <is>
          <t>TORSBY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36558-2024</t>
        </is>
      </c>
      <c r="B1272" s="1" t="n">
        <v>45537</v>
      </c>
      <c r="C1272" s="1" t="n">
        <v>46140</v>
      </c>
      <c r="D1272" t="inlineStr">
        <is>
          <t>VÄRMLANDS LÄN</t>
        </is>
      </c>
      <c r="E1272" t="inlineStr">
        <is>
          <t>TORSBY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10979-2025</t>
        </is>
      </c>
      <c r="B1273" s="1" t="n">
        <v>45723.39988425926</v>
      </c>
      <c r="C1273" s="1" t="n">
        <v>46140</v>
      </c>
      <c r="D1273" t="inlineStr">
        <is>
          <t>VÄRMLANDS LÄN</t>
        </is>
      </c>
      <c r="E1273" t="inlineStr">
        <is>
          <t>TORSBY</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46343-2024</t>
        </is>
      </c>
      <c r="B1274" s="1" t="n">
        <v>45582</v>
      </c>
      <c r="C1274" s="1" t="n">
        <v>46140</v>
      </c>
      <c r="D1274" t="inlineStr">
        <is>
          <t>VÄRMLANDS LÄN</t>
        </is>
      </c>
      <c r="E1274" t="inlineStr">
        <is>
          <t>TORSBY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56747-2025</t>
        </is>
      </c>
      <c r="B1275" s="1" t="n">
        <v>45978</v>
      </c>
      <c r="C1275" s="1" t="n">
        <v>46140</v>
      </c>
      <c r="D1275" t="inlineStr">
        <is>
          <t>VÄRMLANDS LÄN</t>
        </is>
      </c>
      <c r="E1275" t="inlineStr">
        <is>
          <t>TORSBY</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56848-2025</t>
        </is>
      </c>
      <c r="B1276" s="1" t="n">
        <v>45978.4887037037</v>
      </c>
      <c r="C1276" s="1" t="n">
        <v>46140</v>
      </c>
      <c r="D1276" t="inlineStr">
        <is>
          <t>VÄRMLANDS LÄN</t>
        </is>
      </c>
      <c r="E1276" t="inlineStr">
        <is>
          <t>TORSBY</t>
        </is>
      </c>
      <c r="F1276" t="inlineStr">
        <is>
          <t>Bergvik skog väst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14709-2023</t>
        </is>
      </c>
      <c r="B1277" s="1" t="n">
        <v>45014.41900462963</v>
      </c>
      <c r="C1277" s="1" t="n">
        <v>46140</v>
      </c>
      <c r="D1277" t="inlineStr">
        <is>
          <t>VÄRMLANDS LÄN</t>
        </is>
      </c>
      <c r="E1277" t="inlineStr">
        <is>
          <t>TORSBY</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56784-2025</t>
        </is>
      </c>
      <c r="B1278" s="1" t="n">
        <v>45978.41734953703</v>
      </c>
      <c r="C1278" s="1" t="n">
        <v>46140</v>
      </c>
      <c r="D1278" t="inlineStr">
        <is>
          <t>VÄRMLANDS LÄN</t>
        </is>
      </c>
      <c r="E1278" t="inlineStr">
        <is>
          <t>TORSBY</t>
        </is>
      </c>
      <c r="F1278" t="inlineStr">
        <is>
          <t>Bergvik skog väst AB</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56785-2025</t>
        </is>
      </c>
      <c r="B1279" s="1" t="n">
        <v>45978.42228009259</v>
      </c>
      <c r="C1279" s="1" t="n">
        <v>46140</v>
      </c>
      <c r="D1279" t="inlineStr">
        <is>
          <t>VÄRMLANDS LÄN</t>
        </is>
      </c>
      <c r="E1279" t="inlineStr">
        <is>
          <t>TORSBY</t>
        </is>
      </c>
      <c r="F1279" t="inlineStr">
        <is>
          <t>Bergvik skog väst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7636-2024</t>
        </is>
      </c>
      <c r="B1280" s="1" t="n">
        <v>45348</v>
      </c>
      <c r="C1280" s="1" t="n">
        <v>46140</v>
      </c>
      <c r="D1280" t="inlineStr">
        <is>
          <t>VÄRMLANDS LÄN</t>
        </is>
      </c>
      <c r="E1280" t="inlineStr">
        <is>
          <t>TORSBY</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5351-2024</t>
        </is>
      </c>
      <c r="B1281" s="1" t="n">
        <v>45331.45199074074</v>
      </c>
      <c r="C1281" s="1" t="n">
        <v>46140</v>
      </c>
      <c r="D1281" t="inlineStr">
        <is>
          <t>VÄRMLANDS LÄN</t>
        </is>
      </c>
      <c r="E1281" t="inlineStr">
        <is>
          <t>TORSBY</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56772-2025</t>
        </is>
      </c>
      <c r="B1282" s="1" t="n">
        <v>45978</v>
      </c>
      <c r="C1282" s="1" t="n">
        <v>46140</v>
      </c>
      <c r="D1282" t="inlineStr">
        <is>
          <t>VÄRMLANDS LÄN</t>
        </is>
      </c>
      <c r="E1282" t="inlineStr">
        <is>
          <t>TORSBY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56778-2025</t>
        </is>
      </c>
      <c r="B1283" s="1" t="n">
        <v>45978</v>
      </c>
      <c r="C1283" s="1" t="n">
        <v>46140</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56786-2025</t>
        </is>
      </c>
      <c r="B1284" s="1" t="n">
        <v>45978.4254050926</v>
      </c>
      <c r="C1284" s="1" t="n">
        <v>46140</v>
      </c>
      <c r="D1284" t="inlineStr">
        <is>
          <t>VÄRMLANDS LÄN</t>
        </is>
      </c>
      <c r="E1284" t="inlineStr">
        <is>
          <t>TORSBY</t>
        </is>
      </c>
      <c r="F1284" t="inlineStr">
        <is>
          <t>Bergvik skog väst AB</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57370-2025</t>
        </is>
      </c>
      <c r="B1285" s="1" t="n">
        <v>45979</v>
      </c>
      <c r="C1285" s="1" t="n">
        <v>46140</v>
      </c>
      <c r="D1285" t="inlineStr">
        <is>
          <t>VÄRMLANDS LÄN</t>
        </is>
      </c>
      <c r="E1285" t="inlineStr">
        <is>
          <t>TORSBY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18676-2025</t>
        </is>
      </c>
      <c r="B1286" s="1" t="n">
        <v>45763</v>
      </c>
      <c r="C1286" s="1" t="n">
        <v>46140</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57348-2025</t>
        </is>
      </c>
      <c r="B1287" s="1" t="n">
        <v>45980.35927083333</v>
      </c>
      <c r="C1287" s="1" t="n">
        <v>46140</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11447-2022</t>
        </is>
      </c>
      <c r="B1288" s="1" t="n">
        <v>44630</v>
      </c>
      <c r="C1288" s="1" t="n">
        <v>46140</v>
      </c>
      <c r="D1288" t="inlineStr">
        <is>
          <t>VÄRMLANDS LÄN</t>
        </is>
      </c>
      <c r="E1288" t="inlineStr">
        <is>
          <t>TORSBY</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57364-2025</t>
        </is>
      </c>
      <c r="B1289" s="1" t="n">
        <v>45980</v>
      </c>
      <c r="C1289" s="1" t="n">
        <v>46140</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58948-2024</t>
        </is>
      </c>
      <c r="B1290" s="1" t="n">
        <v>45636</v>
      </c>
      <c r="C1290" s="1" t="n">
        <v>46140</v>
      </c>
      <c r="D1290" t="inlineStr">
        <is>
          <t>VÄRMLANDS LÄN</t>
        </is>
      </c>
      <c r="E1290" t="inlineStr">
        <is>
          <t>TORSBY</t>
        </is>
      </c>
      <c r="F1290" t="inlineStr">
        <is>
          <t>Bergvik skog väst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57446-2025</t>
        </is>
      </c>
      <c r="B1291" s="1" t="n">
        <v>45980</v>
      </c>
      <c r="C1291" s="1" t="n">
        <v>46140</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57073-2025</t>
        </is>
      </c>
      <c r="B1292" s="1" t="n">
        <v>45979</v>
      </c>
      <c r="C1292" s="1" t="n">
        <v>46140</v>
      </c>
      <c r="D1292" t="inlineStr">
        <is>
          <t>VÄRMLANDS LÄN</t>
        </is>
      </c>
      <c r="E1292" t="inlineStr">
        <is>
          <t>TORSBY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57137-2025</t>
        </is>
      </c>
      <c r="B1293" s="1" t="n">
        <v>45979</v>
      </c>
      <c r="C1293" s="1" t="n">
        <v>46140</v>
      </c>
      <c r="D1293" t="inlineStr">
        <is>
          <t>VÄRMLANDS LÄN</t>
        </is>
      </c>
      <c r="E1293" t="inlineStr">
        <is>
          <t>TORSBY</t>
        </is>
      </c>
      <c r="F1293" t="inlineStr">
        <is>
          <t>Övriga statliga verk och myndigheter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22464-2021</t>
        </is>
      </c>
      <c r="B1294" s="1" t="n">
        <v>44326.67932870371</v>
      </c>
      <c r="C1294" s="1" t="n">
        <v>46140</v>
      </c>
      <c r="D1294" t="inlineStr">
        <is>
          <t>VÄRMLANDS LÄN</t>
        </is>
      </c>
      <c r="E1294" t="inlineStr">
        <is>
          <t>TORSBY</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57695-2025</t>
        </is>
      </c>
      <c r="B1295" s="1" t="n">
        <v>45981.45201388889</v>
      </c>
      <c r="C1295" s="1" t="n">
        <v>46140</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46456-2024</t>
        </is>
      </c>
      <c r="B1296" s="1" t="n">
        <v>45582</v>
      </c>
      <c r="C1296" s="1" t="n">
        <v>46140</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22536-2024</t>
        </is>
      </c>
      <c r="B1297" s="1" t="n">
        <v>45447</v>
      </c>
      <c r="C1297" s="1" t="n">
        <v>46140</v>
      </c>
      <c r="D1297" t="inlineStr">
        <is>
          <t>VÄRMLANDS LÄN</t>
        </is>
      </c>
      <c r="E1297" t="inlineStr">
        <is>
          <t>TORSBY</t>
        </is>
      </c>
      <c r="G1297" t="n">
        <v>25.2</v>
      </c>
      <c r="H1297" t="n">
        <v>0</v>
      </c>
      <c r="I1297" t="n">
        <v>0</v>
      </c>
      <c r="J1297" t="n">
        <v>0</v>
      </c>
      <c r="K1297" t="n">
        <v>0</v>
      </c>
      <c r="L1297" t="n">
        <v>0</v>
      </c>
      <c r="M1297" t="n">
        <v>0</v>
      </c>
      <c r="N1297" t="n">
        <v>0</v>
      </c>
      <c r="O1297" t="n">
        <v>0</v>
      </c>
      <c r="P1297" t="n">
        <v>0</v>
      </c>
      <c r="Q1297" t="n">
        <v>0</v>
      </c>
      <c r="R1297" s="2" t="inlineStr"/>
    </row>
    <row r="1298" ht="15" customHeight="1">
      <c r="A1298" t="inlineStr">
        <is>
          <t>A 50680-2023</t>
        </is>
      </c>
      <c r="B1298" s="1" t="n">
        <v>45217.5165625</v>
      </c>
      <c r="C1298" s="1" t="n">
        <v>46140</v>
      </c>
      <c r="D1298" t="inlineStr">
        <is>
          <t>VÄRMLANDS LÄN</t>
        </is>
      </c>
      <c r="E1298" t="inlineStr">
        <is>
          <t>TORSBY</t>
        </is>
      </c>
      <c r="F1298" t="inlineStr">
        <is>
          <t>Bergvik skog väst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57935-2025</t>
        </is>
      </c>
      <c r="B1299" s="1" t="n">
        <v>45981</v>
      </c>
      <c r="C1299" s="1" t="n">
        <v>46140</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52592-2024</t>
        </is>
      </c>
      <c r="B1300" s="1" t="n">
        <v>45609</v>
      </c>
      <c r="C1300" s="1" t="n">
        <v>46140</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45231-2023</t>
        </is>
      </c>
      <c r="B1301" s="1" t="n">
        <v>45191</v>
      </c>
      <c r="C1301" s="1" t="n">
        <v>46140</v>
      </c>
      <c r="D1301" t="inlineStr">
        <is>
          <t>VÄRMLANDS LÄN</t>
        </is>
      </c>
      <c r="E1301" t="inlineStr">
        <is>
          <t>TORSBY</t>
        </is>
      </c>
      <c r="F1301" t="inlineStr">
        <is>
          <t>Bergvik skog väst AB</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43988-2024</t>
        </is>
      </c>
      <c r="B1302" s="1" t="n">
        <v>45572</v>
      </c>
      <c r="C1302" s="1" t="n">
        <v>46140</v>
      </c>
      <c r="D1302" t="inlineStr">
        <is>
          <t>VÄRMLANDS LÄN</t>
        </is>
      </c>
      <c r="E1302" t="inlineStr">
        <is>
          <t>TORSBY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57931-2025</t>
        </is>
      </c>
      <c r="B1303" s="1" t="n">
        <v>45981.90670138889</v>
      </c>
      <c r="C1303" s="1" t="n">
        <v>46140</v>
      </c>
      <c r="D1303" t="inlineStr">
        <is>
          <t>VÄRMLANDS LÄN</t>
        </is>
      </c>
      <c r="E1303" t="inlineStr">
        <is>
          <t>TORSBY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58246-2025</t>
        </is>
      </c>
      <c r="B1304" s="1" t="n">
        <v>45981</v>
      </c>
      <c r="C1304" s="1" t="n">
        <v>46140</v>
      </c>
      <c r="D1304" t="inlineStr">
        <is>
          <t>VÄRMLANDS LÄN</t>
        </is>
      </c>
      <c r="E1304" t="inlineStr">
        <is>
          <t>TORSBY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57787-2025</t>
        </is>
      </c>
      <c r="B1305" s="1" t="n">
        <v>45981</v>
      </c>
      <c r="C1305" s="1" t="n">
        <v>46140</v>
      </c>
      <c r="D1305" t="inlineStr">
        <is>
          <t>VÄRMLANDS LÄN</t>
        </is>
      </c>
      <c r="E1305" t="inlineStr">
        <is>
          <t>TORSBY</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43599-2023</t>
        </is>
      </c>
      <c r="B1306" s="1" t="n">
        <v>45184</v>
      </c>
      <c r="C1306" s="1" t="n">
        <v>46140</v>
      </c>
      <c r="D1306" t="inlineStr">
        <is>
          <t>VÄRMLANDS LÄN</t>
        </is>
      </c>
      <c r="E1306" t="inlineStr">
        <is>
          <t>TORSBY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73324-2021</t>
        </is>
      </c>
      <c r="B1307" s="1" t="n">
        <v>44550</v>
      </c>
      <c r="C1307" s="1" t="n">
        <v>46140</v>
      </c>
      <c r="D1307" t="inlineStr">
        <is>
          <t>VÄRMLANDS LÄN</t>
        </is>
      </c>
      <c r="E1307" t="inlineStr">
        <is>
          <t>TORSBY</t>
        </is>
      </c>
      <c r="G1307" t="n">
        <v>9.9</v>
      </c>
      <c r="H1307" t="n">
        <v>0</v>
      </c>
      <c r="I1307" t="n">
        <v>0</v>
      </c>
      <c r="J1307" t="n">
        <v>0</v>
      </c>
      <c r="K1307" t="n">
        <v>0</v>
      </c>
      <c r="L1307" t="n">
        <v>0</v>
      </c>
      <c r="M1307" t="n">
        <v>0</v>
      </c>
      <c r="N1307" t="n">
        <v>0</v>
      </c>
      <c r="O1307" t="n">
        <v>0</v>
      </c>
      <c r="P1307" t="n">
        <v>0</v>
      </c>
      <c r="Q1307" t="n">
        <v>0</v>
      </c>
      <c r="R1307" s="2" t="inlineStr"/>
    </row>
    <row r="1308" ht="15" customHeight="1">
      <c r="A1308" t="inlineStr">
        <is>
          <t>A 60710-2024</t>
        </is>
      </c>
      <c r="B1308" s="1" t="n">
        <v>45643</v>
      </c>
      <c r="C1308" s="1" t="n">
        <v>46140</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58538-2025</t>
        </is>
      </c>
      <c r="B1309" s="1" t="n">
        <v>45985.89356481482</v>
      </c>
      <c r="C1309" s="1" t="n">
        <v>46140</v>
      </c>
      <c r="D1309" t="inlineStr">
        <is>
          <t>VÄRMLANDS LÄN</t>
        </is>
      </c>
      <c r="E1309" t="inlineStr">
        <is>
          <t>TORSBY</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58537-2025</t>
        </is>
      </c>
      <c r="B1310" s="1" t="n">
        <v>45985</v>
      </c>
      <c r="C1310" s="1" t="n">
        <v>46140</v>
      </c>
      <c r="D1310" t="inlineStr">
        <is>
          <t>VÄRMLANDS LÄN</t>
        </is>
      </c>
      <c r="E1310" t="inlineStr">
        <is>
          <t>TORSBY</t>
        </is>
      </c>
      <c r="F1310" t="inlineStr">
        <is>
          <t>Övriga statliga verk och myndigheter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58678-2025</t>
        </is>
      </c>
      <c r="B1311" s="1" t="n">
        <v>45986.56342592592</v>
      </c>
      <c r="C1311" s="1" t="n">
        <v>46140</v>
      </c>
      <c r="D1311" t="inlineStr">
        <is>
          <t>VÄRMLANDS LÄN</t>
        </is>
      </c>
      <c r="E1311" t="inlineStr">
        <is>
          <t>TORSBY</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58363-2025</t>
        </is>
      </c>
      <c r="B1312" s="1" t="n">
        <v>45985</v>
      </c>
      <c r="C1312" s="1" t="n">
        <v>46140</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22705-2023</t>
        </is>
      </c>
      <c r="B1313" s="1" t="n">
        <v>45071</v>
      </c>
      <c r="C1313" s="1" t="n">
        <v>46140</v>
      </c>
      <c r="D1313" t="inlineStr">
        <is>
          <t>VÄRMLANDS LÄN</t>
        </is>
      </c>
      <c r="E1313" t="inlineStr">
        <is>
          <t>TORSBY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58625-2025</t>
        </is>
      </c>
      <c r="B1314" s="1" t="n">
        <v>45986.4740625</v>
      </c>
      <c r="C1314" s="1" t="n">
        <v>46140</v>
      </c>
      <c r="D1314" t="inlineStr">
        <is>
          <t>VÄRMLANDS LÄN</t>
        </is>
      </c>
      <c r="E1314" t="inlineStr">
        <is>
          <t>TORSBY</t>
        </is>
      </c>
      <c r="F1314" t="inlineStr">
        <is>
          <t>Kyrkan</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53358-2024</t>
        </is>
      </c>
      <c r="B1315" s="1" t="n">
        <v>45614</v>
      </c>
      <c r="C1315" s="1" t="n">
        <v>46140</v>
      </c>
      <c r="D1315" t="inlineStr">
        <is>
          <t>VÄRMLANDS LÄN</t>
        </is>
      </c>
      <c r="E1315" t="inlineStr">
        <is>
          <t>TORSBY</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8054-2022</t>
        </is>
      </c>
      <c r="B1316" s="1" t="n">
        <v>44609</v>
      </c>
      <c r="C1316" s="1" t="n">
        <v>46140</v>
      </c>
      <c r="D1316" t="inlineStr">
        <is>
          <t>VÄRMLANDS LÄN</t>
        </is>
      </c>
      <c r="E1316" t="inlineStr">
        <is>
          <t>TORSBY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2195-2025</t>
        </is>
      </c>
      <c r="B1317" s="1" t="n">
        <v>45673.38138888889</v>
      </c>
      <c r="C1317" s="1" t="n">
        <v>46140</v>
      </c>
      <c r="D1317" t="inlineStr">
        <is>
          <t>VÄRMLANDS LÄN</t>
        </is>
      </c>
      <c r="E1317" t="inlineStr">
        <is>
          <t>TORSBY</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46914-2024</t>
        </is>
      </c>
      <c r="B1318" s="1" t="n">
        <v>45583.7577662037</v>
      </c>
      <c r="C1318" s="1" t="n">
        <v>46140</v>
      </c>
      <c r="D1318" t="inlineStr">
        <is>
          <t>VÄRMLANDS LÄN</t>
        </is>
      </c>
      <c r="E1318" t="inlineStr">
        <is>
          <t>TORSBY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58396-2025</t>
        </is>
      </c>
      <c r="B1319" s="1" t="n">
        <v>45985</v>
      </c>
      <c r="C1319" s="1" t="n">
        <v>46140</v>
      </c>
      <c r="D1319" t="inlineStr">
        <is>
          <t>VÄRMLANDS LÄN</t>
        </is>
      </c>
      <c r="E1319" t="inlineStr">
        <is>
          <t>TORSBY</t>
        </is>
      </c>
      <c r="F1319" t="inlineStr">
        <is>
          <t>Bergvik skog väst AB</t>
        </is>
      </c>
      <c r="G1319" t="n">
        <v>11.4</v>
      </c>
      <c r="H1319" t="n">
        <v>0</v>
      </c>
      <c r="I1319" t="n">
        <v>0</v>
      </c>
      <c r="J1319" t="n">
        <v>0</v>
      </c>
      <c r="K1319" t="n">
        <v>0</v>
      </c>
      <c r="L1319" t="n">
        <v>0</v>
      </c>
      <c r="M1319" t="n">
        <v>0</v>
      </c>
      <c r="N1319" t="n">
        <v>0</v>
      </c>
      <c r="O1319" t="n">
        <v>0</v>
      </c>
      <c r="P1319" t="n">
        <v>0</v>
      </c>
      <c r="Q1319" t="n">
        <v>0</v>
      </c>
      <c r="R1319" s="2" t="inlineStr"/>
    </row>
    <row r="1320" ht="15" customHeight="1">
      <c r="A1320" t="inlineStr">
        <is>
          <t>A 32319-2024</t>
        </is>
      </c>
      <c r="B1320" s="1" t="n">
        <v>45512.4621875</v>
      </c>
      <c r="C1320" s="1" t="n">
        <v>46140</v>
      </c>
      <c r="D1320" t="inlineStr">
        <is>
          <t>VÄRMLANDS LÄN</t>
        </is>
      </c>
      <c r="E1320" t="inlineStr">
        <is>
          <t>TORSBY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40207-2023</t>
        </is>
      </c>
      <c r="B1321" s="1" t="n">
        <v>45169.44604166667</v>
      </c>
      <c r="C1321" s="1" t="n">
        <v>46140</v>
      </c>
      <c r="D1321" t="inlineStr">
        <is>
          <t>VÄRMLANDS LÄN</t>
        </is>
      </c>
      <c r="E1321" t="inlineStr">
        <is>
          <t>TORSBY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58928-2025</t>
        </is>
      </c>
      <c r="B1322" s="1" t="n">
        <v>45987</v>
      </c>
      <c r="C1322" s="1" t="n">
        <v>46140</v>
      </c>
      <c r="D1322" t="inlineStr">
        <is>
          <t>VÄRMLANDS LÄN</t>
        </is>
      </c>
      <c r="E1322" t="inlineStr">
        <is>
          <t>TORSBY</t>
        </is>
      </c>
      <c r="F1322" t="inlineStr">
        <is>
          <t>Bergvik skog väst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60272-2024</t>
        </is>
      </c>
      <c r="B1323" s="1" t="n">
        <v>45642</v>
      </c>
      <c r="C1323" s="1" t="n">
        <v>46140</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39772-2024</t>
        </is>
      </c>
      <c r="B1324" s="1" t="n">
        <v>45552</v>
      </c>
      <c r="C1324" s="1" t="n">
        <v>46140</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56299-2025</t>
        </is>
      </c>
      <c r="B1325" s="1" t="n">
        <v>45974</v>
      </c>
      <c r="C1325" s="1" t="n">
        <v>46140</v>
      </c>
      <c r="D1325" t="inlineStr">
        <is>
          <t>VÄRMLANDS LÄN</t>
        </is>
      </c>
      <c r="E1325" t="inlineStr">
        <is>
          <t>TORSBY</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59030-2025</t>
        </is>
      </c>
      <c r="B1326" s="1" t="n">
        <v>45988</v>
      </c>
      <c r="C1326" s="1" t="n">
        <v>46140</v>
      </c>
      <c r="D1326" t="inlineStr">
        <is>
          <t>VÄRMLANDS LÄN</t>
        </is>
      </c>
      <c r="E1326" t="inlineStr">
        <is>
          <t>TORSBY</t>
        </is>
      </c>
      <c r="F1326" t="inlineStr">
        <is>
          <t>Kyrkan</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45134-2024</t>
        </is>
      </c>
      <c r="B1327" s="1" t="n">
        <v>45575</v>
      </c>
      <c r="C1327" s="1" t="n">
        <v>46140</v>
      </c>
      <c r="D1327" t="inlineStr">
        <is>
          <t>VÄRMLANDS LÄN</t>
        </is>
      </c>
      <c r="E1327" t="inlineStr">
        <is>
          <t>TORSBY</t>
        </is>
      </c>
      <c r="F1327" t="inlineStr">
        <is>
          <t>Bergvik skog väst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58840-2025</t>
        </is>
      </c>
      <c r="B1328" s="1" t="n">
        <v>45987.36246527778</v>
      </c>
      <c r="C1328" s="1" t="n">
        <v>46140</v>
      </c>
      <c r="D1328" t="inlineStr">
        <is>
          <t>VÄRMLANDS LÄN</t>
        </is>
      </c>
      <c r="E1328" t="inlineStr">
        <is>
          <t>TORSBY</t>
        </is>
      </c>
      <c r="F1328" t="inlineStr">
        <is>
          <t>Bergvik skog väst AB</t>
        </is>
      </c>
      <c r="G1328" t="n">
        <v>18.9</v>
      </c>
      <c r="H1328" t="n">
        <v>0</v>
      </c>
      <c r="I1328" t="n">
        <v>0</v>
      </c>
      <c r="J1328" t="n">
        <v>0</v>
      </c>
      <c r="K1328" t="n">
        <v>0</v>
      </c>
      <c r="L1328" t="n">
        <v>0</v>
      </c>
      <c r="M1328" t="n">
        <v>0</v>
      </c>
      <c r="N1328" t="n">
        <v>0</v>
      </c>
      <c r="O1328" t="n">
        <v>0</v>
      </c>
      <c r="P1328" t="n">
        <v>0</v>
      </c>
      <c r="Q1328" t="n">
        <v>0</v>
      </c>
      <c r="R1328" s="2" t="inlineStr"/>
    </row>
    <row r="1329" ht="15" customHeight="1">
      <c r="A1329" t="inlineStr">
        <is>
          <t>A 73553-2021</t>
        </is>
      </c>
      <c r="B1329" s="1" t="n">
        <v>44551</v>
      </c>
      <c r="C1329" s="1" t="n">
        <v>46140</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44342-2024</t>
        </is>
      </c>
      <c r="B1330" s="1" t="n">
        <v>45573.61793981482</v>
      </c>
      <c r="C1330" s="1" t="n">
        <v>46140</v>
      </c>
      <c r="D1330" t="inlineStr">
        <is>
          <t>VÄRMLANDS LÄN</t>
        </is>
      </c>
      <c r="E1330" t="inlineStr">
        <is>
          <t>TORSBY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58978-2025</t>
        </is>
      </c>
      <c r="B1331" s="1" t="n">
        <v>45987</v>
      </c>
      <c r="C1331" s="1" t="n">
        <v>46140</v>
      </c>
      <c r="D1331" t="inlineStr">
        <is>
          <t>VÄRMLANDS LÄN</t>
        </is>
      </c>
      <c r="E1331" t="inlineStr">
        <is>
          <t>TORSBY</t>
        </is>
      </c>
      <c r="F1331" t="inlineStr">
        <is>
          <t>Bergvik skog väst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58897-2025</t>
        </is>
      </c>
      <c r="B1332" s="1" t="n">
        <v>45987.49574074074</v>
      </c>
      <c r="C1332" s="1" t="n">
        <v>46140</v>
      </c>
      <c r="D1332" t="inlineStr">
        <is>
          <t>VÄRMLANDS LÄN</t>
        </is>
      </c>
      <c r="E1332" t="inlineStr">
        <is>
          <t>TORSBY</t>
        </is>
      </c>
      <c r="F1332" t="inlineStr">
        <is>
          <t>Bergvik skog väst AB</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58899-2025</t>
        </is>
      </c>
      <c r="B1333" s="1" t="n">
        <v>45987.500625</v>
      </c>
      <c r="C1333" s="1" t="n">
        <v>46140</v>
      </c>
      <c r="D1333" t="inlineStr">
        <is>
          <t>VÄRMLANDS LÄN</t>
        </is>
      </c>
      <c r="E1333" t="inlineStr">
        <is>
          <t>TORSBY</t>
        </is>
      </c>
      <c r="F1333" t="inlineStr">
        <is>
          <t>Bergvik skog väst AB</t>
        </is>
      </c>
      <c r="G1333" t="n">
        <v>18.9</v>
      </c>
      <c r="H1333" t="n">
        <v>0</v>
      </c>
      <c r="I1333" t="n">
        <v>0</v>
      </c>
      <c r="J1333" t="n">
        <v>0</v>
      </c>
      <c r="K1333" t="n">
        <v>0</v>
      </c>
      <c r="L1333" t="n">
        <v>0</v>
      </c>
      <c r="M1333" t="n">
        <v>0</v>
      </c>
      <c r="N1333" t="n">
        <v>0</v>
      </c>
      <c r="O1333" t="n">
        <v>0</v>
      </c>
      <c r="P1333" t="n">
        <v>0</v>
      </c>
      <c r="Q1333" t="n">
        <v>0</v>
      </c>
      <c r="R1333" s="2" t="inlineStr"/>
    </row>
    <row r="1334" ht="15" customHeight="1">
      <c r="A1334" t="inlineStr">
        <is>
          <t>A 58919-2025</t>
        </is>
      </c>
      <c r="B1334" s="1" t="n">
        <v>45987</v>
      </c>
      <c r="C1334" s="1" t="n">
        <v>46140</v>
      </c>
      <c r="D1334" t="inlineStr">
        <is>
          <t>VÄRMLANDS LÄN</t>
        </is>
      </c>
      <c r="E1334" t="inlineStr">
        <is>
          <t>TORSBY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56509-2024</t>
        </is>
      </c>
      <c r="B1335" s="1" t="n">
        <v>45625</v>
      </c>
      <c r="C1335" s="1" t="n">
        <v>46140</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58901-2025</t>
        </is>
      </c>
      <c r="B1336" s="1" t="n">
        <v>45987.50243055556</v>
      </c>
      <c r="C1336" s="1" t="n">
        <v>46140</v>
      </c>
      <c r="D1336" t="inlineStr">
        <is>
          <t>VÄRMLANDS LÄN</t>
        </is>
      </c>
      <c r="E1336" t="inlineStr">
        <is>
          <t>TORSBY</t>
        </is>
      </c>
      <c r="F1336" t="inlineStr">
        <is>
          <t>Bergvik skog väst AB</t>
        </is>
      </c>
      <c r="G1336" t="n">
        <v>25.3</v>
      </c>
      <c r="H1336" t="n">
        <v>0</v>
      </c>
      <c r="I1336" t="n">
        <v>0</v>
      </c>
      <c r="J1336" t="n">
        <v>0</v>
      </c>
      <c r="K1336" t="n">
        <v>0</v>
      </c>
      <c r="L1336" t="n">
        <v>0</v>
      </c>
      <c r="M1336" t="n">
        <v>0</v>
      </c>
      <c r="N1336" t="n">
        <v>0</v>
      </c>
      <c r="O1336" t="n">
        <v>0</v>
      </c>
      <c r="P1336" t="n">
        <v>0</v>
      </c>
      <c r="Q1336" t="n">
        <v>0</v>
      </c>
      <c r="R1336" s="2" t="inlineStr"/>
    </row>
    <row r="1337" ht="15" customHeight="1">
      <c r="A1337" t="inlineStr">
        <is>
          <t>A 58864-2025</t>
        </is>
      </c>
      <c r="B1337" s="1" t="n">
        <v>45987.44736111111</v>
      </c>
      <c r="C1337" s="1" t="n">
        <v>46140</v>
      </c>
      <c r="D1337" t="inlineStr">
        <is>
          <t>VÄRMLANDS LÄN</t>
        </is>
      </c>
      <c r="E1337" t="inlineStr">
        <is>
          <t>TORSBY</t>
        </is>
      </c>
      <c r="F1337" t="inlineStr">
        <is>
          <t>Kyrkan</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58836-2025</t>
        </is>
      </c>
      <c r="B1338" s="1" t="n">
        <v>45987.35586805556</v>
      </c>
      <c r="C1338" s="1" t="n">
        <v>46140</v>
      </c>
      <c r="D1338" t="inlineStr">
        <is>
          <t>VÄRMLANDS LÄN</t>
        </is>
      </c>
      <c r="E1338" t="inlineStr">
        <is>
          <t>TORSBY</t>
        </is>
      </c>
      <c r="F1338" t="inlineStr">
        <is>
          <t>Bergvik skog väst AB</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58903-2025</t>
        </is>
      </c>
      <c r="B1339" s="1" t="n">
        <v>45987.50533564815</v>
      </c>
      <c r="C1339" s="1" t="n">
        <v>46140</v>
      </c>
      <c r="D1339" t="inlineStr">
        <is>
          <t>VÄRMLANDS LÄN</t>
        </is>
      </c>
      <c r="E1339" t="inlineStr">
        <is>
          <t>TORSBY</t>
        </is>
      </c>
      <c r="F1339" t="inlineStr">
        <is>
          <t>Bergvik skog väst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22634-2023</t>
        </is>
      </c>
      <c r="B1340" s="1" t="n">
        <v>45071</v>
      </c>
      <c r="C1340" s="1" t="n">
        <v>46140</v>
      </c>
      <c r="D1340" t="inlineStr">
        <is>
          <t>VÄRMLANDS LÄN</t>
        </is>
      </c>
      <c r="E1340" t="inlineStr">
        <is>
          <t>TORSBY</t>
        </is>
      </c>
      <c r="F1340" t="inlineStr">
        <is>
          <t>Bergvik skog väst AB</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57469-2024</t>
        </is>
      </c>
      <c r="B1341" s="1" t="n">
        <v>45630</v>
      </c>
      <c r="C1341" s="1" t="n">
        <v>46140</v>
      </c>
      <c r="D1341" t="inlineStr">
        <is>
          <t>VÄRMLANDS LÄN</t>
        </is>
      </c>
      <c r="E1341" t="inlineStr">
        <is>
          <t>TORSBY</t>
        </is>
      </c>
      <c r="F1341" t="inlineStr">
        <is>
          <t>Bergvik skog väst AB</t>
        </is>
      </c>
      <c r="G1341" t="n">
        <v>12.8</v>
      </c>
      <c r="H1341" t="n">
        <v>0</v>
      </c>
      <c r="I1341" t="n">
        <v>0</v>
      </c>
      <c r="J1341" t="n">
        <v>0</v>
      </c>
      <c r="K1341" t="n">
        <v>0</v>
      </c>
      <c r="L1341" t="n">
        <v>0</v>
      </c>
      <c r="M1341" t="n">
        <v>0</v>
      </c>
      <c r="N1341" t="n">
        <v>0</v>
      </c>
      <c r="O1341" t="n">
        <v>0</v>
      </c>
      <c r="P1341" t="n">
        <v>0</v>
      </c>
      <c r="Q1341" t="n">
        <v>0</v>
      </c>
      <c r="R1341" s="2" t="inlineStr"/>
    </row>
    <row r="1342" ht="15" customHeight="1">
      <c r="A1342" t="inlineStr">
        <is>
          <t>A 2699-2022</t>
        </is>
      </c>
      <c r="B1342" s="1" t="n">
        <v>44580.62828703703</v>
      </c>
      <c r="C1342" s="1" t="n">
        <v>46140</v>
      </c>
      <c r="D1342" t="inlineStr">
        <is>
          <t>VÄRMLANDS LÄN</t>
        </is>
      </c>
      <c r="E1342" t="inlineStr">
        <is>
          <t>TORSBY</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59009-2025</t>
        </is>
      </c>
      <c r="B1343" s="1" t="n">
        <v>45987</v>
      </c>
      <c r="C1343" s="1" t="n">
        <v>46140</v>
      </c>
      <c r="D1343" t="inlineStr">
        <is>
          <t>VÄRMLANDS LÄN</t>
        </is>
      </c>
      <c r="E1343" t="inlineStr">
        <is>
          <t>TORSBY</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5289-2022</t>
        </is>
      </c>
      <c r="B1344" s="1" t="n">
        <v>44594.61883101852</v>
      </c>
      <c r="C1344" s="1" t="n">
        <v>46140</v>
      </c>
      <c r="D1344" t="inlineStr">
        <is>
          <t>VÄRMLANDS LÄN</t>
        </is>
      </c>
      <c r="E1344" t="inlineStr">
        <is>
          <t>TORSBY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38979-2023</t>
        </is>
      </c>
      <c r="B1345" s="1" t="n">
        <v>45163.64584490741</v>
      </c>
      <c r="C1345" s="1" t="n">
        <v>46140</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33232-2024</t>
        </is>
      </c>
      <c r="B1346" s="1" t="n">
        <v>45518</v>
      </c>
      <c r="C1346" s="1" t="n">
        <v>46140</v>
      </c>
      <c r="D1346" t="inlineStr">
        <is>
          <t>VÄRMLANDS LÄN</t>
        </is>
      </c>
      <c r="E1346" t="inlineStr">
        <is>
          <t>TORSBY</t>
        </is>
      </c>
      <c r="F1346" t="inlineStr">
        <is>
          <t>Bergvik skog väst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11581-2025</t>
        </is>
      </c>
      <c r="B1347" s="1" t="n">
        <v>45727</v>
      </c>
      <c r="C1347" s="1" t="n">
        <v>46140</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59685-2025</t>
        </is>
      </c>
      <c r="B1348" s="1" t="n">
        <v>45992.47407407407</v>
      </c>
      <c r="C1348" s="1" t="n">
        <v>46140</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59536-2025</t>
        </is>
      </c>
      <c r="B1349" s="1" t="n">
        <v>45989</v>
      </c>
      <c r="C1349" s="1" t="n">
        <v>46140</v>
      </c>
      <c r="D1349" t="inlineStr">
        <is>
          <t>VÄRMLANDS LÄN</t>
        </is>
      </c>
      <c r="E1349" t="inlineStr">
        <is>
          <t>TORSBY</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53044-2024</t>
        </is>
      </c>
      <c r="B1350" s="1" t="n">
        <v>45611.44701388889</v>
      </c>
      <c r="C1350" s="1" t="n">
        <v>46140</v>
      </c>
      <c r="D1350" t="inlineStr">
        <is>
          <t>VÄRMLANDS LÄN</t>
        </is>
      </c>
      <c r="E1350" t="inlineStr">
        <is>
          <t>TORSBY</t>
        </is>
      </c>
      <c r="F1350" t="inlineStr">
        <is>
          <t>Kyrkan</t>
        </is>
      </c>
      <c r="G1350" t="n">
        <v>25.8</v>
      </c>
      <c r="H1350" t="n">
        <v>0</v>
      </c>
      <c r="I1350" t="n">
        <v>0</v>
      </c>
      <c r="J1350" t="n">
        <v>0</v>
      </c>
      <c r="K1350" t="n">
        <v>0</v>
      </c>
      <c r="L1350" t="n">
        <v>0</v>
      </c>
      <c r="M1350" t="n">
        <v>0</v>
      </c>
      <c r="N1350" t="n">
        <v>0</v>
      </c>
      <c r="O1350" t="n">
        <v>0</v>
      </c>
      <c r="P1350" t="n">
        <v>0</v>
      </c>
      <c r="Q1350" t="n">
        <v>0</v>
      </c>
      <c r="R1350" s="2" t="inlineStr"/>
    </row>
    <row r="1351" ht="15" customHeight="1">
      <c r="A1351" t="inlineStr">
        <is>
          <t>A 64641-2023</t>
        </is>
      </c>
      <c r="B1351" s="1" t="n">
        <v>45281.55908564815</v>
      </c>
      <c r="C1351" s="1" t="n">
        <v>46140</v>
      </c>
      <c r="D1351" t="inlineStr">
        <is>
          <t>VÄRMLANDS LÄN</t>
        </is>
      </c>
      <c r="E1351" t="inlineStr">
        <is>
          <t>TORSBY</t>
        </is>
      </c>
      <c r="F1351" t="inlineStr">
        <is>
          <t>Bergvik skog väst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7069-2022</t>
        </is>
      </c>
      <c r="B1352" s="1" t="n">
        <v>44603</v>
      </c>
      <c r="C1352" s="1" t="n">
        <v>46140</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15398-2025</t>
        </is>
      </c>
      <c r="B1353" s="1" t="n">
        <v>45747.44309027777</v>
      </c>
      <c r="C1353" s="1" t="n">
        <v>46140</v>
      </c>
      <c r="D1353" t="inlineStr">
        <is>
          <t>VÄRMLANDS LÄN</t>
        </is>
      </c>
      <c r="E1353" t="inlineStr">
        <is>
          <t>TORSBY</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44497-2023</t>
        </is>
      </c>
      <c r="B1354" s="1" t="n">
        <v>45189.45701388889</v>
      </c>
      <c r="C1354" s="1" t="n">
        <v>46140</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1528-2025</t>
        </is>
      </c>
      <c r="B1355" s="1" t="n">
        <v>45670</v>
      </c>
      <c r="C1355" s="1" t="n">
        <v>46140</v>
      </c>
      <c r="D1355" t="inlineStr">
        <is>
          <t>VÄRMLANDS LÄN</t>
        </is>
      </c>
      <c r="E1355" t="inlineStr">
        <is>
          <t>TORSBY</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59744-2025</t>
        </is>
      </c>
      <c r="B1356" s="1" t="n">
        <v>45992</v>
      </c>
      <c r="C1356" s="1" t="n">
        <v>46140</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43732-2022</t>
        </is>
      </c>
      <c r="B1357" s="1" t="n">
        <v>44837.69357638889</v>
      </c>
      <c r="C1357" s="1" t="n">
        <v>46140</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59729-2025</t>
        </is>
      </c>
      <c r="B1358" s="1" t="n">
        <v>45992</v>
      </c>
      <c r="C1358" s="1" t="n">
        <v>46140</v>
      </c>
      <c r="D1358" t="inlineStr">
        <is>
          <t>VÄRMLANDS LÄN</t>
        </is>
      </c>
      <c r="E1358" t="inlineStr">
        <is>
          <t>TORSBY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60189-2025</t>
        </is>
      </c>
      <c r="B1359" s="1" t="n">
        <v>45994</v>
      </c>
      <c r="C1359" s="1" t="n">
        <v>46140</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2506-2025</t>
        </is>
      </c>
      <c r="B1360" s="1" t="n">
        <v>45674</v>
      </c>
      <c r="C1360" s="1" t="n">
        <v>46140</v>
      </c>
      <c r="D1360" t="inlineStr">
        <is>
          <t>VÄRMLANDS LÄN</t>
        </is>
      </c>
      <c r="E1360" t="inlineStr">
        <is>
          <t>TORSBY</t>
        </is>
      </c>
      <c r="F1360" t="inlineStr">
        <is>
          <t>Bergvik skog väst AB</t>
        </is>
      </c>
      <c r="G1360" t="n">
        <v>19.2</v>
      </c>
      <c r="H1360" t="n">
        <v>0</v>
      </c>
      <c r="I1360" t="n">
        <v>0</v>
      </c>
      <c r="J1360" t="n">
        <v>0</v>
      </c>
      <c r="K1360" t="n">
        <v>0</v>
      </c>
      <c r="L1360" t="n">
        <v>0</v>
      </c>
      <c r="M1360" t="n">
        <v>0</v>
      </c>
      <c r="N1360" t="n">
        <v>0</v>
      </c>
      <c r="O1360" t="n">
        <v>0</v>
      </c>
      <c r="P1360" t="n">
        <v>0</v>
      </c>
      <c r="Q1360" t="n">
        <v>0</v>
      </c>
      <c r="R1360" s="2" t="inlineStr"/>
    </row>
    <row r="1361" ht="15" customHeight="1">
      <c r="A1361" t="inlineStr">
        <is>
          <t>A 62090-2024</t>
        </is>
      </c>
      <c r="B1361" s="1" t="n">
        <v>45656</v>
      </c>
      <c r="C1361" s="1" t="n">
        <v>46140</v>
      </c>
      <c r="D1361" t="inlineStr">
        <is>
          <t>VÄRMLANDS LÄN</t>
        </is>
      </c>
      <c r="E1361" t="inlineStr">
        <is>
          <t>TORSBY</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62092-2024</t>
        </is>
      </c>
      <c r="B1362" s="1" t="n">
        <v>45656</v>
      </c>
      <c r="C1362" s="1" t="n">
        <v>46140</v>
      </c>
      <c r="D1362" t="inlineStr">
        <is>
          <t>VÄRMLANDS LÄN</t>
        </is>
      </c>
      <c r="E1362" t="inlineStr">
        <is>
          <t>TORSBY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52940-2024</t>
        </is>
      </c>
      <c r="B1363" s="1" t="n">
        <v>45610</v>
      </c>
      <c r="C1363" s="1" t="n">
        <v>46140</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46233-2023</t>
        </is>
      </c>
      <c r="B1364" s="1" t="n">
        <v>45196.69575231482</v>
      </c>
      <c r="C1364" s="1" t="n">
        <v>46140</v>
      </c>
      <c r="D1364" t="inlineStr">
        <is>
          <t>VÄRMLANDS LÄN</t>
        </is>
      </c>
      <c r="E1364" t="inlineStr">
        <is>
          <t>TORSBY</t>
        </is>
      </c>
      <c r="F1364" t="inlineStr">
        <is>
          <t>Kyrkan</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59864-2025</t>
        </is>
      </c>
      <c r="B1365" s="1" t="n">
        <v>45992.83108796296</v>
      </c>
      <c r="C1365" s="1" t="n">
        <v>46140</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59913-2025</t>
        </is>
      </c>
      <c r="B1366" s="1" t="n">
        <v>45993.36527777778</v>
      </c>
      <c r="C1366" s="1" t="n">
        <v>46140</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43137-2024</t>
        </is>
      </c>
      <c r="B1367" s="1" t="n">
        <v>45567</v>
      </c>
      <c r="C1367" s="1" t="n">
        <v>46140</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42632-2023</t>
        </is>
      </c>
      <c r="B1368" s="1" t="n">
        <v>45181</v>
      </c>
      <c r="C1368" s="1" t="n">
        <v>46140</v>
      </c>
      <c r="D1368" t="inlineStr">
        <is>
          <t>VÄRMLANDS LÄN</t>
        </is>
      </c>
      <c r="E1368" t="inlineStr">
        <is>
          <t>TORSBY</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42635-2023</t>
        </is>
      </c>
      <c r="B1369" s="1" t="n">
        <v>45181.49310185185</v>
      </c>
      <c r="C1369" s="1" t="n">
        <v>46140</v>
      </c>
      <c r="D1369" t="inlineStr">
        <is>
          <t>VÄRMLANDS LÄN</t>
        </is>
      </c>
      <c r="E1369" t="inlineStr">
        <is>
          <t>TORSBY</t>
        </is>
      </c>
      <c r="G1369" t="n">
        <v>16.1</v>
      </c>
      <c r="H1369" t="n">
        <v>0</v>
      </c>
      <c r="I1369" t="n">
        <v>0</v>
      </c>
      <c r="J1369" t="n">
        <v>0</v>
      </c>
      <c r="K1369" t="n">
        <v>0</v>
      </c>
      <c r="L1369" t="n">
        <v>0</v>
      </c>
      <c r="M1369" t="n">
        <v>0</v>
      </c>
      <c r="N1369" t="n">
        <v>0</v>
      </c>
      <c r="O1369" t="n">
        <v>0</v>
      </c>
      <c r="P1369" t="n">
        <v>0</v>
      </c>
      <c r="Q1369" t="n">
        <v>0</v>
      </c>
      <c r="R1369" s="2" t="inlineStr"/>
    </row>
    <row r="1370" ht="15" customHeight="1">
      <c r="A1370" t="inlineStr">
        <is>
          <t>A 60461-2025</t>
        </is>
      </c>
      <c r="B1370" s="1" t="n">
        <v>45995.54976851852</v>
      </c>
      <c r="C1370" s="1" t="n">
        <v>46140</v>
      </c>
      <c r="D1370" t="inlineStr">
        <is>
          <t>VÄRMLANDS LÄN</t>
        </is>
      </c>
      <c r="E1370" t="inlineStr">
        <is>
          <t>TORSBY</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60485-2025</t>
        </is>
      </c>
      <c r="B1371" s="1" t="n">
        <v>45995.59924768518</v>
      </c>
      <c r="C1371" s="1" t="n">
        <v>46140</v>
      </c>
      <c r="D1371" t="inlineStr">
        <is>
          <t>VÄRMLANDS LÄN</t>
        </is>
      </c>
      <c r="E1371" t="inlineStr">
        <is>
          <t>TORSBY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60593-2025</t>
        </is>
      </c>
      <c r="B1372" s="1" t="n">
        <v>45996.34353009259</v>
      </c>
      <c r="C1372" s="1" t="n">
        <v>46140</v>
      </c>
      <c r="D1372" t="inlineStr">
        <is>
          <t>VÄRMLANDS LÄN</t>
        </is>
      </c>
      <c r="E1372" t="inlineStr">
        <is>
          <t>TORSBY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41936-2024</t>
        </is>
      </c>
      <c r="B1373" s="1" t="n">
        <v>45561</v>
      </c>
      <c r="C1373" s="1" t="n">
        <v>46140</v>
      </c>
      <c r="D1373" t="inlineStr">
        <is>
          <t>VÄRMLANDS LÄN</t>
        </is>
      </c>
      <c r="E1373" t="inlineStr">
        <is>
          <t>TORSBY</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60479-2025</t>
        </is>
      </c>
      <c r="B1374" s="1" t="n">
        <v>45995.59563657407</v>
      </c>
      <c r="C1374" s="1" t="n">
        <v>46140</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60392-2025</t>
        </is>
      </c>
      <c r="B1375" s="1" t="n">
        <v>45995.38917824074</v>
      </c>
      <c r="C1375" s="1" t="n">
        <v>46140</v>
      </c>
      <c r="D1375" t="inlineStr">
        <is>
          <t>VÄRMLANDS LÄN</t>
        </is>
      </c>
      <c r="E1375" t="inlineStr">
        <is>
          <t>TORSBY</t>
        </is>
      </c>
      <c r="F1375" t="inlineStr">
        <is>
          <t>Bergvik skog väst AB</t>
        </is>
      </c>
      <c r="G1375" t="n">
        <v>32.3</v>
      </c>
      <c r="H1375" t="n">
        <v>0</v>
      </c>
      <c r="I1375" t="n">
        <v>0</v>
      </c>
      <c r="J1375" t="n">
        <v>0</v>
      </c>
      <c r="K1375" t="n">
        <v>0</v>
      </c>
      <c r="L1375" t="n">
        <v>0</v>
      </c>
      <c r="M1375" t="n">
        <v>0</v>
      </c>
      <c r="N1375" t="n">
        <v>0</v>
      </c>
      <c r="O1375" t="n">
        <v>0</v>
      </c>
      <c r="P1375" t="n">
        <v>0</v>
      </c>
      <c r="Q1375" t="n">
        <v>0</v>
      </c>
      <c r="R1375" s="2" t="inlineStr"/>
    </row>
    <row r="1376" ht="15" customHeight="1">
      <c r="A1376" t="inlineStr">
        <is>
          <t>A 60459-2025</t>
        </is>
      </c>
      <c r="B1376" s="1" t="n">
        <v>45995.54590277778</v>
      </c>
      <c r="C1376" s="1" t="n">
        <v>46140</v>
      </c>
      <c r="D1376" t="inlineStr">
        <is>
          <t>VÄRMLANDS LÄN</t>
        </is>
      </c>
      <c r="E1376" t="inlineStr">
        <is>
          <t>TORSBY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60486-2025</t>
        </is>
      </c>
      <c r="B1377" s="1" t="n">
        <v>45995.60109953704</v>
      </c>
      <c r="C1377" s="1" t="n">
        <v>46140</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60592-2025</t>
        </is>
      </c>
      <c r="B1378" s="1" t="n">
        <v>45996</v>
      </c>
      <c r="C1378" s="1" t="n">
        <v>46140</v>
      </c>
      <c r="D1378" t="inlineStr">
        <is>
          <t>VÄRMLANDS LÄN</t>
        </is>
      </c>
      <c r="E1378" t="inlineStr">
        <is>
          <t>TORSBY</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21828-2024</t>
        </is>
      </c>
      <c r="B1379" s="1" t="n">
        <v>45442</v>
      </c>
      <c r="C1379" s="1" t="n">
        <v>46140</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45399-2023</t>
        </is>
      </c>
      <c r="B1380" s="1" t="n">
        <v>45194</v>
      </c>
      <c r="C1380" s="1" t="n">
        <v>46140</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60411-2025</t>
        </is>
      </c>
      <c r="B1381" s="1" t="n">
        <v>45995</v>
      </c>
      <c r="C1381" s="1" t="n">
        <v>46140</v>
      </c>
      <c r="D1381" t="inlineStr">
        <is>
          <t>VÄRMLANDS LÄN</t>
        </is>
      </c>
      <c r="E1381" t="inlineStr">
        <is>
          <t>TORSBY</t>
        </is>
      </c>
      <c r="F1381" t="inlineStr">
        <is>
          <t>Bergvik skog väst AB</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60414-2025</t>
        </is>
      </c>
      <c r="B1382" s="1" t="n">
        <v>45995</v>
      </c>
      <c r="C1382" s="1" t="n">
        <v>46140</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59423-2024</t>
        </is>
      </c>
      <c r="B1383" s="1" t="n">
        <v>45638</v>
      </c>
      <c r="C1383" s="1" t="n">
        <v>46140</v>
      </c>
      <c r="D1383" t="inlineStr">
        <is>
          <t>VÄRMLANDS LÄN</t>
        </is>
      </c>
      <c r="E1383" t="inlineStr">
        <is>
          <t>TORSBY</t>
        </is>
      </c>
      <c r="G1383" t="n">
        <v>23.7</v>
      </c>
      <c r="H1383" t="n">
        <v>0</v>
      </c>
      <c r="I1383" t="n">
        <v>0</v>
      </c>
      <c r="J1383" t="n">
        <v>0</v>
      </c>
      <c r="K1383" t="n">
        <v>0</v>
      </c>
      <c r="L1383" t="n">
        <v>0</v>
      </c>
      <c r="M1383" t="n">
        <v>0</v>
      </c>
      <c r="N1383" t="n">
        <v>0</v>
      </c>
      <c r="O1383" t="n">
        <v>0</v>
      </c>
      <c r="P1383" t="n">
        <v>0</v>
      </c>
      <c r="Q1383" t="n">
        <v>0</v>
      </c>
      <c r="R1383" s="2" t="inlineStr"/>
    </row>
    <row r="1384" ht="15" customHeight="1">
      <c r="A1384" t="inlineStr">
        <is>
          <t>A 13189-2025</t>
        </is>
      </c>
      <c r="B1384" s="1" t="n">
        <v>45735.39708333334</v>
      </c>
      <c r="C1384" s="1" t="n">
        <v>46140</v>
      </c>
      <c r="D1384" t="inlineStr">
        <is>
          <t>VÄRMLANDS LÄN</t>
        </is>
      </c>
      <c r="E1384" t="inlineStr">
        <is>
          <t>TORSBY</t>
        </is>
      </c>
      <c r="G1384" t="n">
        <v>15.4</v>
      </c>
      <c r="H1384" t="n">
        <v>0</v>
      </c>
      <c r="I1384" t="n">
        <v>0</v>
      </c>
      <c r="J1384" t="n">
        <v>0</v>
      </c>
      <c r="K1384" t="n">
        <v>0</v>
      </c>
      <c r="L1384" t="n">
        <v>0</v>
      </c>
      <c r="M1384" t="n">
        <v>0</v>
      </c>
      <c r="N1384" t="n">
        <v>0</v>
      </c>
      <c r="O1384" t="n">
        <v>0</v>
      </c>
      <c r="P1384" t="n">
        <v>0</v>
      </c>
      <c r="Q1384" t="n">
        <v>0</v>
      </c>
      <c r="R1384" s="2" t="inlineStr"/>
    </row>
    <row r="1385" ht="15" customHeight="1">
      <c r="A1385" t="inlineStr">
        <is>
          <t>A 19148-2025</t>
        </is>
      </c>
      <c r="B1385" s="1" t="n">
        <v>45769</v>
      </c>
      <c r="C1385" s="1" t="n">
        <v>46140</v>
      </c>
      <c r="D1385" t="inlineStr">
        <is>
          <t>VÄRMLANDS LÄN</t>
        </is>
      </c>
      <c r="E1385" t="inlineStr">
        <is>
          <t>TORSBY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60346-2025</t>
        </is>
      </c>
      <c r="B1386" s="1" t="n">
        <v>45995</v>
      </c>
      <c r="C1386" s="1" t="n">
        <v>46140</v>
      </c>
      <c r="D1386" t="inlineStr">
        <is>
          <t>VÄRMLANDS LÄN</t>
        </is>
      </c>
      <c r="E1386" t="inlineStr">
        <is>
          <t>TORSBY</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46909-2024</t>
        </is>
      </c>
      <c r="B1387" s="1" t="n">
        <v>45583</v>
      </c>
      <c r="C1387" s="1" t="n">
        <v>46140</v>
      </c>
      <c r="D1387" t="inlineStr">
        <is>
          <t>VÄRMLANDS LÄN</t>
        </is>
      </c>
      <c r="E1387" t="inlineStr">
        <is>
          <t>TORSBY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20847-2023</t>
        </is>
      </c>
      <c r="B1388" s="1" t="n">
        <v>45056</v>
      </c>
      <c r="C1388" s="1" t="n">
        <v>46140</v>
      </c>
      <c r="D1388" t="inlineStr">
        <is>
          <t>VÄRMLANDS LÄN</t>
        </is>
      </c>
      <c r="E1388" t="inlineStr">
        <is>
          <t>TORSBY</t>
        </is>
      </c>
      <c r="G1388" t="n">
        <v>13.9</v>
      </c>
      <c r="H1388" t="n">
        <v>0</v>
      </c>
      <c r="I1388" t="n">
        <v>0</v>
      </c>
      <c r="J1388" t="n">
        <v>0</v>
      </c>
      <c r="K1388" t="n">
        <v>0</v>
      </c>
      <c r="L1388" t="n">
        <v>0</v>
      </c>
      <c r="M1388" t="n">
        <v>0</v>
      </c>
      <c r="N1388" t="n">
        <v>0</v>
      </c>
      <c r="O1388" t="n">
        <v>0</v>
      </c>
      <c r="P1388" t="n">
        <v>0</v>
      </c>
      <c r="Q1388" t="n">
        <v>0</v>
      </c>
      <c r="R1388" s="2" t="inlineStr"/>
    </row>
    <row r="1389" ht="15" customHeight="1">
      <c r="A1389" t="inlineStr">
        <is>
          <t>A 53748-2024</t>
        </is>
      </c>
      <c r="B1389" s="1" t="n">
        <v>45615.48322916667</v>
      </c>
      <c r="C1389" s="1" t="n">
        <v>46140</v>
      </c>
      <c r="D1389" t="inlineStr">
        <is>
          <t>VÄRMLANDS LÄN</t>
        </is>
      </c>
      <c r="E1389" t="inlineStr">
        <is>
          <t>TORSBY</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61388-2025</t>
        </is>
      </c>
      <c r="B1390" s="1" t="n">
        <v>46001</v>
      </c>
      <c r="C1390" s="1" t="n">
        <v>46140</v>
      </c>
      <c r="D1390" t="inlineStr">
        <is>
          <t>VÄRMLANDS LÄN</t>
        </is>
      </c>
      <c r="E1390" t="inlineStr">
        <is>
          <t>TORSBY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17062-2025</t>
        </is>
      </c>
      <c r="B1391" s="1" t="n">
        <v>45754</v>
      </c>
      <c r="C1391" s="1" t="n">
        <v>46140</v>
      </c>
      <c r="D1391" t="inlineStr">
        <is>
          <t>VÄRMLANDS LÄN</t>
        </is>
      </c>
      <c r="E1391" t="inlineStr">
        <is>
          <t>TORSBY</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54223-2023</t>
        </is>
      </c>
      <c r="B1392" s="1" t="n">
        <v>45232</v>
      </c>
      <c r="C1392" s="1" t="n">
        <v>46140</v>
      </c>
      <c r="D1392" t="inlineStr">
        <is>
          <t>VÄRMLANDS LÄN</t>
        </is>
      </c>
      <c r="E1392" t="inlineStr">
        <is>
          <t>TORSBY</t>
        </is>
      </c>
      <c r="F1392" t="inlineStr">
        <is>
          <t>Bergvik skog väst AB</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61463-2025</t>
        </is>
      </c>
      <c r="B1393" s="1" t="n">
        <v>46001.60186342592</v>
      </c>
      <c r="C1393" s="1" t="n">
        <v>46140</v>
      </c>
      <c r="D1393" t="inlineStr">
        <is>
          <t>VÄRMLANDS LÄN</t>
        </is>
      </c>
      <c r="E1393" t="inlineStr">
        <is>
          <t>TORSBY</t>
        </is>
      </c>
      <c r="F1393" t="inlineStr">
        <is>
          <t>Bergvik skog väst AB</t>
        </is>
      </c>
      <c r="G1393" t="n">
        <v>33.8</v>
      </c>
      <c r="H1393" t="n">
        <v>0</v>
      </c>
      <c r="I1393" t="n">
        <v>0</v>
      </c>
      <c r="J1393" t="n">
        <v>0</v>
      </c>
      <c r="K1393" t="n">
        <v>0</v>
      </c>
      <c r="L1393" t="n">
        <v>0</v>
      </c>
      <c r="M1393" t="n">
        <v>0</v>
      </c>
      <c r="N1393" t="n">
        <v>0</v>
      </c>
      <c r="O1393" t="n">
        <v>0</v>
      </c>
      <c r="P1393" t="n">
        <v>0</v>
      </c>
      <c r="Q1393" t="n">
        <v>0</v>
      </c>
      <c r="R1393" s="2" t="inlineStr"/>
    </row>
    <row r="1394" ht="15" customHeight="1">
      <c r="A1394" t="inlineStr">
        <is>
          <t>A 61361-2025</t>
        </is>
      </c>
      <c r="B1394" s="1" t="n">
        <v>46001.42508101852</v>
      </c>
      <c r="C1394" s="1" t="n">
        <v>46140</v>
      </c>
      <c r="D1394" t="inlineStr">
        <is>
          <t>VÄRMLANDS LÄN</t>
        </is>
      </c>
      <c r="E1394" t="inlineStr">
        <is>
          <t>TORSBY</t>
        </is>
      </c>
      <c r="F1394" t="inlineStr">
        <is>
          <t>Bergvik skog väst AB</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61365-2025</t>
        </is>
      </c>
      <c r="B1395" s="1" t="n">
        <v>46001</v>
      </c>
      <c r="C1395" s="1" t="n">
        <v>46140</v>
      </c>
      <c r="D1395" t="inlineStr">
        <is>
          <t>VÄRMLANDS LÄN</t>
        </is>
      </c>
      <c r="E1395" t="inlineStr">
        <is>
          <t>TORSBY</t>
        </is>
      </c>
      <c r="F1395" t="inlineStr">
        <is>
          <t>Bergvik skog väst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61531-2025</t>
        </is>
      </c>
      <c r="B1396" s="1" t="n">
        <v>46001</v>
      </c>
      <c r="C1396" s="1" t="n">
        <v>46140</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61510-2025</t>
        </is>
      </c>
      <c r="B1397" s="1" t="n">
        <v>46001</v>
      </c>
      <c r="C1397" s="1" t="n">
        <v>46140</v>
      </c>
      <c r="D1397" t="inlineStr">
        <is>
          <t>VÄRMLANDS LÄN</t>
        </is>
      </c>
      <c r="E1397" t="inlineStr">
        <is>
          <t>TORSBY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2203-2025</t>
        </is>
      </c>
      <c r="B1398" s="1" t="n">
        <v>45672</v>
      </c>
      <c r="C1398" s="1" t="n">
        <v>46140</v>
      </c>
      <c r="D1398" t="inlineStr">
        <is>
          <t>VÄRMLANDS LÄN</t>
        </is>
      </c>
      <c r="E1398" t="inlineStr">
        <is>
          <t>TORSBY</t>
        </is>
      </c>
      <c r="G1398" t="n">
        <v>11.3</v>
      </c>
      <c r="H1398" t="n">
        <v>0</v>
      </c>
      <c r="I1398" t="n">
        <v>0</v>
      </c>
      <c r="J1398" t="n">
        <v>0</v>
      </c>
      <c r="K1398" t="n">
        <v>0</v>
      </c>
      <c r="L1398" t="n">
        <v>0</v>
      </c>
      <c r="M1398" t="n">
        <v>0</v>
      </c>
      <c r="N1398" t="n">
        <v>0</v>
      </c>
      <c r="O1398" t="n">
        <v>0</v>
      </c>
      <c r="P1398" t="n">
        <v>0</v>
      </c>
      <c r="Q1398" t="n">
        <v>0</v>
      </c>
      <c r="R1398" s="2" t="inlineStr"/>
    </row>
    <row r="1399" ht="15" customHeight="1">
      <c r="A1399" t="inlineStr">
        <is>
          <t>A 10608-2022</t>
        </is>
      </c>
      <c r="B1399" s="1" t="n">
        <v>44624</v>
      </c>
      <c r="C1399" s="1" t="n">
        <v>46140</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41504-2024</t>
        </is>
      </c>
      <c r="B1400" s="1" t="n">
        <v>45560</v>
      </c>
      <c r="C1400" s="1" t="n">
        <v>46140</v>
      </c>
      <c r="D1400" t="inlineStr">
        <is>
          <t>VÄRMLANDS LÄN</t>
        </is>
      </c>
      <c r="E1400" t="inlineStr">
        <is>
          <t>TORSBY</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44083-2023</t>
        </is>
      </c>
      <c r="B1401" s="1" t="n">
        <v>45182</v>
      </c>
      <c r="C1401" s="1" t="n">
        <v>46140</v>
      </c>
      <c r="D1401" t="inlineStr">
        <is>
          <t>VÄRMLANDS LÄN</t>
        </is>
      </c>
      <c r="E1401" t="inlineStr">
        <is>
          <t>TORSBY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61367-2025</t>
        </is>
      </c>
      <c r="B1402" s="1" t="n">
        <v>46001</v>
      </c>
      <c r="C1402" s="1" t="n">
        <v>46140</v>
      </c>
      <c r="D1402" t="inlineStr">
        <is>
          <t>VÄRMLANDS LÄN</t>
        </is>
      </c>
      <c r="E1402" t="inlineStr">
        <is>
          <t>TORSBY</t>
        </is>
      </c>
      <c r="F1402" t="inlineStr">
        <is>
          <t>Bergvik skog väst AB</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61368-2025</t>
        </is>
      </c>
      <c r="B1403" s="1" t="n">
        <v>46001</v>
      </c>
      <c r="C1403" s="1" t="n">
        <v>46140</v>
      </c>
      <c r="D1403" t="inlineStr">
        <is>
          <t>VÄRMLANDS LÄN</t>
        </is>
      </c>
      <c r="E1403" t="inlineStr">
        <is>
          <t>TORSBY</t>
        </is>
      </c>
      <c r="F1403" t="inlineStr">
        <is>
          <t>Bergvik skog väst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61497-2025</t>
        </is>
      </c>
      <c r="B1404" s="1" t="n">
        <v>46001</v>
      </c>
      <c r="C1404" s="1" t="n">
        <v>46140</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18331-2025</t>
        </is>
      </c>
      <c r="B1405" s="1" t="n">
        <v>45762</v>
      </c>
      <c r="C1405" s="1" t="n">
        <v>46140</v>
      </c>
      <c r="D1405" t="inlineStr">
        <is>
          <t>VÄRMLANDS LÄN</t>
        </is>
      </c>
      <c r="E1405" t="inlineStr">
        <is>
          <t>TORSBY</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61504-2025</t>
        </is>
      </c>
      <c r="B1406" s="1" t="n">
        <v>46001</v>
      </c>
      <c r="C1406" s="1" t="n">
        <v>46140</v>
      </c>
      <c r="D1406" t="inlineStr">
        <is>
          <t>VÄRMLANDS LÄN</t>
        </is>
      </c>
      <c r="E1406" t="inlineStr">
        <is>
          <t>TORSBY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62363-2025</t>
        </is>
      </c>
      <c r="B1407" s="1" t="n">
        <v>46006</v>
      </c>
      <c r="C1407" s="1" t="n">
        <v>46140</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62010-2025</t>
        </is>
      </c>
      <c r="B1408" s="1" t="n">
        <v>46003.67737268518</v>
      </c>
      <c r="C1408" s="1" t="n">
        <v>46140</v>
      </c>
      <c r="D1408" t="inlineStr">
        <is>
          <t>VÄRMLANDS LÄN</t>
        </is>
      </c>
      <c r="E1408" t="inlineStr">
        <is>
          <t>TORSBY</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9871-2024</t>
        </is>
      </c>
      <c r="B1409" s="1" t="n">
        <v>45363</v>
      </c>
      <c r="C1409" s="1" t="n">
        <v>46140</v>
      </c>
      <c r="D1409" t="inlineStr">
        <is>
          <t>VÄRMLANDS LÄN</t>
        </is>
      </c>
      <c r="E1409" t="inlineStr">
        <is>
          <t>TORSBY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62007-2025</t>
        </is>
      </c>
      <c r="B1410" s="1" t="n">
        <v>46003</v>
      </c>
      <c r="C1410" s="1" t="n">
        <v>46140</v>
      </c>
      <c r="D1410" t="inlineStr">
        <is>
          <t>VÄRMLANDS LÄN</t>
        </is>
      </c>
      <c r="E1410" t="inlineStr">
        <is>
          <t>TORSBY</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62015-2025</t>
        </is>
      </c>
      <c r="B1411" s="1" t="n">
        <v>46003</v>
      </c>
      <c r="C1411" s="1" t="n">
        <v>46140</v>
      </c>
      <c r="D1411" t="inlineStr">
        <is>
          <t>VÄRMLANDS LÄN</t>
        </is>
      </c>
      <c r="E1411" t="inlineStr">
        <is>
          <t>TORSBY</t>
        </is>
      </c>
      <c r="F1411" t="inlineStr">
        <is>
          <t>Kommuner</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62120-2025</t>
        </is>
      </c>
      <c r="B1412" s="1" t="n">
        <v>46006.44184027778</v>
      </c>
      <c r="C1412" s="1" t="n">
        <v>46140</v>
      </c>
      <c r="D1412" t="inlineStr">
        <is>
          <t>VÄRMLANDS LÄN</t>
        </is>
      </c>
      <c r="E1412" t="inlineStr">
        <is>
          <t>TORSBY</t>
        </is>
      </c>
      <c r="F1412" t="inlineStr">
        <is>
          <t>Övriga statliga verk och myndigheter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48903-2024</t>
        </is>
      </c>
      <c r="B1413" s="1" t="n">
        <v>45594</v>
      </c>
      <c r="C1413" s="1" t="n">
        <v>46140</v>
      </c>
      <c r="D1413" t="inlineStr">
        <is>
          <t>VÄRMLANDS LÄN</t>
        </is>
      </c>
      <c r="E1413" t="inlineStr">
        <is>
          <t>TORSBY</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62016-2025</t>
        </is>
      </c>
      <c r="B1414" s="1" t="n">
        <v>46003.68759259259</v>
      </c>
      <c r="C1414" s="1" t="n">
        <v>46140</v>
      </c>
      <c r="D1414" t="inlineStr">
        <is>
          <t>VÄRMLANDS LÄN</t>
        </is>
      </c>
      <c r="E1414" t="inlineStr">
        <is>
          <t>TORSBY</t>
        </is>
      </c>
      <c r="F1414" t="inlineStr">
        <is>
          <t>Kommuner</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62186-2025</t>
        </is>
      </c>
      <c r="B1415" s="1" t="n">
        <v>46006</v>
      </c>
      <c r="C1415" s="1" t="n">
        <v>46140</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3864-2025</t>
        </is>
      </c>
      <c r="B1416" s="1" t="n">
        <v>45684</v>
      </c>
      <c r="C1416" s="1" t="n">
        <v>46140</v>
      </c>
      <c r="D1416" t="inlineStr">
        <is>
          <t>VÄRMLANDS LÄN</t>
        </is>
      </c>
      <c r="E1416" t="inlineStr">
        <is>
          <t>TORSBY</t>
        </is>
      </c>
      <c r="F1416" t="inlineStr">
        <is>
          <t>Bergvik skog väst AB</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22463-2021</t>
        </is>
      </c>
      <c r="B1417" s="1" t="n">
        <v>44326.67366898148</v>
      </c>
      <c r="C1417" s="1" t="n">
        <v>46140</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62366-2025</t>
        </is>
      </c>
      <c r="B1418" s="1" t="n">
        <v>46006</v>
      </c>
      <c r="C1418" s="1" t="n">
        <v>46140</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62005-2025</t>
        </is>
      </c>
      <c r="B1419" s="1" t="n">
        <v>46003</v>
      </c>
      <c r="C1419" s="1" t="n">
        <v>46140</v>
      </c>
      <c r="D1419" t="inlineStr">
        <is>
          <t>VÄRMLANDS LÄN</t>
        </is>
      </c>
      <c r="E1419" t="inlineStr">
        <is>
          <t>TORSBY</t>
        </is>
      </c>
      <c r="F1419" t="inlineStr">
        <is>
          <t>Kommuner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21581-2024</t>
        </is>
      </c>
      <c r="B1420" s="1" t="n">
        <v>45441</v>
      </c>
      <c r="C1420" s="1" t="n">
        <v>46140</v>
      </c>
      <c r="D1420" t="inlineStr">
        <is>
          <t>VÄRMLANDS LÄN</t>
        </is>
      </c>
      <c r="E1420" t="inlineStr">
        <is>
          <t>TORSBY</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49982-2023</t>
        </is>
      </c>
      <c r="B1421" s="1" t="n">
        <v>45215.4216087963</v>
      </c>
      <c r="C1421" s="1" t="n">
        <v>46140</v>
      </c>
      <c r="D1421" t="inlineStr">
        <is>
          <t>VÄRMLANDS LÄN</t>
        </is>
      </c>
      <c r="E1421" t="inlineStr">
        <is>
          <t>TORSBY</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62568-2025</t>
        </is>
      </c>
      <c r="B1422" s="1" t="n">
        <v>46007</v>
      </c>
      <c r="C1422" s="1" t="n">
        <v>46140</v>
      </c>
      <c r="D1422" t="inlineStr">
        <is>
          <t>VÄRMLANDS LÄN</t>
        </is>
      </c>
      <c r="E1422" t="inlineStr">
        <is>
          <t>TORSBY</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62629-2025</t>
        </is>
      </c>
      <c r="B1423" s="1" t="n">
        <v>46008</v>
      </c>
      <c r="C1423" s="1" t="n">
        <v>46140</v>
      </c>
      <c r="D1423" t="inlineStr">
        <is>
          <t>VÄRMLANDS LÄN</t>
        </is>
      </c>
      <c r="E1423" t="inlineStr">
        <is>
          <t>TORSBY</t>
        </is>
      </c>
      <c r="F1423" t="inlineStr">
        <is>
          <t>Bergvik skog väst AB</t>
        </is>
      </c>
      <c r="G1423" t="n">
        <v>16.2</v>
      </c>
      <c r="H1423" t="n">
        <v>0</v>
      </c>
      <c r="I1423" t="n">
        <v>0</v>
      </c>
      <c r="J1423" t="n">
        <v>0</v>
      </c>
      <c r="K1423" t="n">
        <v>0</v>
      </c>
      <c r="L1423" t="n">
        <v>0</v>
      </c>
      <c r="M1423" t="n">
        <v>0</v>
      </c>
      <c r="N1423" t="n">
        <v>0</v>
      </c>
      <c r="O1423" t="n">
        <v>0</v>
      </c>
      <c r="P1423" t="n">
        <v>0</v>
      </c>
      <c r="Q1423" t="n">
        <v>0</v>
      </c>
      <c r="R1423" s="2" t="inlineStr"/>
    </row>
    <row r="1424" ht="15" customHeight="1">
      <c r="A1424" t="inlineStr">
        <is>
          <t>A 35629-2023</t>
        </is>
      </c>
      <c r="B1424" s="1" t="n">
        <v>45147.55939814815</v>
      </c>
      <c r="C1424" s="1" t="n">
        <v>46140</v>
      </c>
      <c r="D1424" t="inlineStr">
        <is>
          <t>VÄRMLANDS LÄN</t>
        </is>
      </c>
      <c r="E1424" t="inlineStr">
        <is>
          <t>TORSBY</t>
        </is>
      </c>
      <c r="G1424" t="n">
        <v>10.3</v>
      </c>
      <c r="H1424" t="n">
        <v>0</v>
      </c>
      <c r="I1424" t="n">
        <v>0</v>
      </c>
      <c r="J1424" t="n">
        <v>0</v>
      </c>
      <c r="K1424" t="n">
        <v>0</v>
      </c>
      <c r="L1424" t="n">
        <v>0</v>
      </c>
      <c r="M1424" t="n">
        <v>0</v>
      </c>
      <c r="N1424" t="n">
        <v>0</v>
      </c>
      <c r="O1424" t="n">
        <v>0</v>
      </c>
      <c r="P1424" t="n">
        <v>0</v>
      </c>
      <c r="Q1424" t="n">
        <v>0</v>
      </c>
      <c r="R1424" s="2" t="inlineStr"/>
    </row>
    <row r="1425" ht="15" customHeight="1">
      <c r="A1425" t="inlineStr">
        <is>
          <t>A 62518-2025</t>
        </is>
      </c>
      <c r="B1425" s="1" t="n">
        <v>46007</v>
      </c>
      <c r="C1425" s="1" t="n">
        <v>46140</v>
      </c>
      <c r="D1425" t="inlineStr">
        <is>
          <t>VÄRMLANDS LÄN</t>
        </is>
      </c>
      <c r="E1425" t="inlineStr">
        <is>
          <t>TORSBY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62538-2025</t>
        </is>
      </c>
      <c r="B1426" s="1" t="n">
        <v>46007</v>
      </c>
      <c r="C1426" s="1" t="n">
        <v>46140</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62559-2025</t>
        </is>
      </c>
      <c r="B1427" s="1" t="n">
        <v>46007</v>
      </c>
      <c r="C1427" s="1" t="n">
        <v>46140</v>
      </c>
      <c r="D1427" t="inlineStr">
        <is>
          <t>VÄRMLANDS LÄN</t>
        </is>
      </c>
      <c r="E1427" t="inlineStr">
        <is>
          <t>TORSBY</t>
        </is>
      </c>
      <c r="F1427" t="inlineStr">
        <is>
          <t>Kommuner</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18099-2022</t>
        </is>
      </c>
      <c r="B1428" s="1" t="n">
        <v>44684</v>
      </c>
      <c r="C1428" s="1" t="n">
        <v>46140</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20309-2025</t>
        </is>
      </c>
      <c r="B1429" s="1" t="n">
        <v>45775.28427083333</v>
      </c>
      <c r="C1429" s="1" t="n">
        <v>46140</v>
      </c>
      <c r="D1429" t="inlineStr">
        <is>
          <t>VÄRMLANDS LÄN</t>
        </is>
      </c>
      <c r="E1429" t="inlineStr">
        <is>
          <t>TORSBY</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62401-2025</t>
        </is>
      </c>
      <c r="B1430" s="1" t="n">
        <v>46007</v>
      </c>
      <c r="C1430" s="1" t="n">
        <v>46140</v>
      </c>
      <c r="D1430" t="inlineStr">
        <is>
          <t>VÄRMLANDS LÄN</t>
        </is>
      </c>
      <c r="E1430" t="inlineStr">
        <is>
          <t>TORSBY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19489-2022</t>
        </is>
      </c>
      <c r="B1431" s="1" t="n">
        <v>44693</v>
      </c>
      <c r="C1431" s="1" t="n">
        <v>46140</v>
      </c>
      <c r="D1431" t="inlineStr">
        <is>
          <t>VÄRMLANDS LÄN</t>
        </is>
      </c>
      <c r="E1431" t="inlineStr">
        <is>
          <t>TORSBY</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20168-2022</t>
        </is>
      </c>
      <c r="B1432" s="1" t="n">
        <v>44698.50056712963</v>
      </c>
      <c r="C1432" s="1" t="n">
        <v>46140</v>
      </c>
      <c r="D1432" t="inlineStr">
        <is>
          <t>VÄRMLANDS LÄN</t>
        </is>
      </c>
      <c r="E1432" t="inlineStr">
        <is>
          <t>TORSBY</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1095-2025</t>
        </is>
      </c>
      <c r="B1433" s="1" t="n">
        <v>45666.63681712963</v>
      </c>
      <c r="C1433" s="1" t="n">
        <v>46140</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19791-2025</t>
        </is>
      </c>
      <c r="B1434" s="1" t="n">
        <v>45771.4452662037</v>
      </c>
      <c r="C1434" s="1" t="n">
        <v>46140</v>
      </c>
      <c r="D1434" t="inlineStr">
        <is>
          <t>VÄRMLANDS LÄN</t>
        </is>
      </c>
      <c r="E1434" t="inlineStr">
        <is>
          <t>TORSBY</t>
        </is>
      </c>
      <c r="F1434" t="inlineStr">
        <is>
          <t>Bergvik skog väst AB</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63098-2025</t>
        </is>
      </c>
      <c r="B1435" s="1" t="n">
        <v>46009.69278935185</v>
      </c>
      <c r="C1435" s="1" t="n">
        <v>46140</v>
      </c>
      <c r="D1435" t="inlineStr">
        <is>
          <t>VÄRMLANDS LÄN</t>
        </is>
      </c>
      <c r="E1435" t="inlineStr">
        <is>
          <t>TORSBY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56815-2023</t>
        </is>
      </c>
      <c r="B1436" s="1" t="n">
        <v>45244</v>
      </c>
      <c r="C1436" s="1" t="n">
        <v>46140</v>
      </c>
      <c r="D1436" t="inlineStr">
        <is>
          <t>VÄRMLANDS LÄN</t>
        </is>
      </c>
      <c r="E1436" t="inlineStr">
        <is>
          <t>TORSBY</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67147-2021</t>
        </is>
      </c>
      <c r="B1437" s="1" t="n">
        <v>44523</v>
      </c>
      <c r="C1437" s="1" t="n">
        <v>46140</v>
      </c>
      <c r="D1437" t="inlineStr">
        <is>
          <t>VÄRMLANDS LÄN</t>
        </is>
      </c>
      <c r="E1437" t="inlineStr">
        <is>
          <t>TORSBY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1708-2025</t>
        </is>
      </c>
      <c r="B1438" s="1" t="n">
        <v>45670</v>
      </c>
      <c r="C1438" s="1" t="n">
        <v>46140</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55839-2024</t>
        </is>
      </c>
      <c r="B1439" s="1" t="n">
        <v>45623.49502314815</v>
      </c>
      <c r="C1439" s="1" t="n">
        <v>46140</v>
      </c>
      <c r="D1439" t="inlineStr">
        <is>
          <t>VÄRMLANDS LÄN</t>
        </is>
      </c>
      <c r="E1439" t="inlineStr">
        <is>
          <t>TORSBY</t>
        </is>
      </c>
      <c r="F1439" t="inlineStr">
        <is>
          <t>Kommuner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63379-2025</t>
        </is>
      </c>
      <c r="B1440" s="1" t="n">
        <v>46010.75222222223</v>
      </c>
      <c r="C1440" s="1" t="n">
        <v>46140</v>
      </c>
      <c r="D1440" t="inlineStr">
        <is>
          <t>VÄRMLANDS LÄN</t>
        </is>
      </c>
      <c r="E1440" t="inlineStr">
        <is>
          <t>TORSBY</t>
        </is>
      </c>
      <c r="F1440" t="inlineStr">
        <is>
          <t>Bergvik skog väst AB</t>
        </is>
      </c>
      <c r="G1440" t="n">
        <v>21.9</v>
      </c>
      <c r="H1440" t="n">
        <v>0</v>
      </c>
      <c r="I1440" t="n">
        <v>0</v>
      </c>
      <c r="J1440" t="n">
        <v>0</v>
      </c>
      <c r="K1440" t="n">
        <v>0</v>
      </c>
      <c r="L1440" t="n">
        <v>0</v>
      </c>
      <c r="M1440" t="n">
        <v>0</v>
      </c>
      <c r="N1440" t="n">
        <v>0</v>
      </c>
      <c r="O1440" t="n">
        <v>0</v>
      </c>
      <c r="P1440" t="n">
        <v>0</v>
      </c>
      <c r="Q1440" t="n">
        <v>0</v>
      </c>
      <c r="R1440" s="2" t="inlineStr"/>
    </row>
    <row r="1441" ht="15" customHeight="1">
      <c r="A1441" t="inlineStr">
        <is>
          <t>A 50445-2023</t>
        </is>
      </c>
      <c r="B1441" s="1" t="n">
        <v>45216</v>
      </c>
      <c r="C1441" s="1" t="n">
        <v>46140</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43943-2022</t>
        </is>
      </c>
      <c r="B1442" s="1" t="n">
        <v>44838</v>
      </c>
      <c r="C1442" s="1" t="n">
        <v>46140</v>
      </c>
      <c r="D1442" t="inlineStr">
        <is>
          <t>VÄRMLANDS LÄN</t>
        </is>
      </c>
      <c r="E1442" t="inlineStr">
        <is>
          <t>TORSBY</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54014-2024</t>
        </is>
      </c>
      <c r="B1443" s="1" t="n">
        <v>45616.38003472222</v>
      </c>
      <c r="C1443" s="1" t="n">
        <v>46140</v>
      </c>
      <c r="D1443" t="inlineStr">
        <is>
          <t>VÄRMLANDS LÄN</t>
        </is>
      </c>
      <c r="E1443" t="inlineStr">
        <is>
          <t>TORSBY</t>
        </is>
      </c>
      <c r="F1443" t="inlineStr">
        <is>
          <t>Kommuner</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15170-2025</t>
        </is>
      </c>
      <c r="B1444" s="1" t="n">
        <v>45743</v>
      </c>
      <c r="C1444" s="1" t="n">
        <v>46140</v>
      </c>
      <c r="D1444" t="inlineStr">
        <is>
          <t>VÄRMLANDS LÄN</t>
        </is>
      </c>
      <c r="E1444" t="inlineStr">
        <is>
          <t>TORSBY</t>
        </is>
      </c>
      <c r="G1444" t="n">
        <v>12.5</v>
      </c>
      <c r="H1444" t="n">
        <v>0</v>
      </c>
      <c r="I1444" t="n">
        <v>0</v>
      </c>
      <c r="J1444" t="n">
        <v>0</v>
      </c>
      <c r="K1444" t="n">
        <v>0</v>
      </c>
      <c r="L1444" t="n">
        <v>0</v>
      </c>
      <c r="M1444" t="n">
        <v>0</v>
      </c>
      <c r="N1444" t="n">
        <v>0</v>
      </c>
      <c r="O1444" t="n">
        <v>0</v>
      </c>
      <c r="P1444" t="n">
        <v>0</v>
      </c>
      <c r="Q1444" t="n">
        <v>0</v>
      </c>
      <c r="R1444" s="2" t="inlineStr"/>
    </row>
    <row r="1445" ht="15" customHeight="1">
      <c r="A1445" t="inlineStr">
        <is>
          <t>A 25328-2025</t>
        </is>
      </c>
      <c r="B1445" s="1" t="n">
        <v>45800</v>
      </c>
      <c r="C1445" s="1" t="n">
        <v>46140</v>
      </c>
      <c r="D1445" t="inlineStr">
        <is>
          <t>VÄRMLANDS LÄN</t>
        </is>
      </c>
      <c r="E1445" t="inlineStr">
        <is>
          <t>TORSBY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19614-2022</t>
        </is>
      </c>
      <c r="B1446" s="1" t="n">
        <v>44694</v>
      </c>
      <c r="C1446" s="1" t="n">
        <v>46140</v>
      </c>
      <c r="D1446" t="inlineStr">
        <is>
          <t>VÄRMLANDS LÄN</t>
        </is>
      </c>
      <c r="E1446" t="inlineStr">
        <is>
          <t>TORSBY</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24244-2023</t>
        </is>
      </c>
      <c r="B1447" s="1" t="n">
        <v>45079.61969907407</v>
      </c>
      <c r="C1447" s="1" t="n">
        <v>46140</v>
      </c>
      <c r="D1447" t="inlineStr">
        <is>
          <t>VÄRMLANDS LÄN</t>
        </is>
      </c>
      <c r="E1447" t="inlineStr">
        <is>
          <t>TORSBY</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18883-2024</t>
        </is>
      </c>
      <c r="B1448" s="1" t="n">
        <v>45426</v>
      </c>
      <c r="C1448" s="1" t="n">
        <v>46140</v>
      </c>
      <c r="D1448" t="inlineStr">
        <is>
          <t>VÄRMLANDS LÄN</t>
        </is>
      </c>
      <c r="E1448" t="inlineStr">
        <is>
          <t>TORSBY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62210-2023</t>
        </is>
      </c>
      <c r="B1449" s="1" t="n">
        <v>45267.49430555556</v>
      </c>
      <c r="C1449" s="1" t="n">
        <v>46140</v>
      </c>
      <c r="D1449" t="inlineStr">
        <is>
          <t>VÄRMLANDS LÄN</t>
        </is>
      </c>
      <c r="E1449" t="inlineStr">
        <is>
          <t>TORSBY</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64602-2023</t>
        </is>
      </c>
      <c r="B1450" s="1" t="n">
        <v>45281.50085648148</v>
      </c>
      <c r="C1450" s="1" t="n">
        <v>46140</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63036-2025</t>
        </is>
      </c>
      <c r="B1451" s="1" t="n">
        <v>46009.61314814815</v>
      </c>
      <c r="C1451" s="1" t="n">
        <v>46140</v>
      </c>
      <c r="D1451" t="inlineStr">
        <is>
          <t>VÄRMLANDS LÄN</t>
        </is>
      </c>
      <c r="E1451" t="inlineStr">
        <is>
          <t>TORSBY</t>
        </is>
      </c>
      <c r="F1451" t="inlineStr">
        <is>
          <t>Bergvik skog väst AB</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48762-2023</t>
        </is>
      </c>
      <c r="B1452" s="1" t="n">
        <v>45208</v>
      </c>
      <c r="C1452" s="1" t="n">
        <v>46140</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63617-2025</t>
        </is>
      </c>
      <c r="B1453" s="1" t="n">
        <v>46014.34938657407</v>
      </c>
      <c r="C1453" s="1" t="n">
        <v>46140</v>
      </c>
      <c r="D1453" t="inlineStr">
        <is>
          <t>VÄRMLANDS LÄN</t>
        </is>
      </c>
      <c r="E1453" t="inlineStr">
        <is>
          <t>TORSBY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63622-2025</t>
        </is>
      </c>
      <c r="B1454" s="1" t="n">
        <v>46014</v>
      </c>
      <c r="C1454" s="1" t="n">
        <v>46140</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63390-2025</t>
        </is>
      </c>
      <c r="B1455" s="1" t="n">
        <v>46011</v>
      </c>
      <c r="C1455" s="1" t="n">
        <v>46140</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4302-2025</t>
        </is>
      </c>
      <c r="B1456" s="1" t="n">
        <v>45685.67939814815</v>
      </c>
      <c r="C1456" s="1" t="n">
        <v>46140</v>
      </c>
      <c r="D1456" t="inlineStr">
        <is>
          <t>VÄRMLANDS LÄN</t>
        </is>
      </c>
      <c r="E1456" t="inlineStr">
        <is>
          <t>TORSBY</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63507-2025</t>
        </is>
      </c>
      <c r="B1457" s="1" t="n">
        <v>46013</v>
      </c>
      <c r="C1457" s="1" t="n">
        <v>46140</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63626-2025</t>
        </is>
      </c>
      <c r="B1458" s="1" t="n">
        <v>46014</v>
      </c>
      <c r="C1458" s="1" t="n">
        <v>46140</v>
      </c>
      <c r="D1458" t="inlineStr">
        <is>
          <t>VÄRMLANDS LÄN</t>
        </is>
      </c>
      <c r="E1458" t="inlineStr">
        <is>
          <t>TORSBY</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10288-2025</t>
        </is>
      </c>
      <c r="B1459" s="1" t="n">
        <v>45720.41396990741</v>
      </c>
      <c r="C1459" s="1" t="n">
        <v>46140</v>
      </c>
      <c r="D1459" t="inlineStr">
        <is>
          <t>VÄRMLANDS LÄN</t>
        </is>
      </c>
      <c r="E1459" t="inlineStr">
        <is>
          <t>TORSBY</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63697-2025</t>
        </is>
      </c>
      <c r="B1460" s="1" t="n">
        <v>46014</v>
      </c>
      <c r="C1460" s="1" t="n">
        <v>46140</v>
      </c>
      <c r="D1460" t="inlineStr">
        <is>
          <t>VÄRMLANDS LÄN</t>
        </is>
      </c>
      <c r="E1460" t="inlineStr">
        <is>
          <t>TORSBY</t>
        </is>
      </c>
      <c r="G1460" t="n">
        <v>11.6</v>
      </c>
      <c r="H1460" t="n">
        <v>0</v>
      </c>
      <c r="I1460" t="n">
        <v>0</v>
      </c>
      <c r="J1460" t="n">
        <v>0</v>
      </c>
      <c r="K1460" t="n">
        <v>0</v>
      </c>
      <c r="L1460" t="n">
        <v>0</v>
      </c>
      <c r="M1460" t="n">
        <v>0</v>
      </c>
      <c r="N1460" t="n">
        <v>0</v>
      </c>
      <c r="O1460" t="n">
        <v>0</v>
      </c>
      <c r="P1460" t="n">
        <v>0</v>
      </c>
      <c r="Q1460" t="n">
        <v>0</v>
      </c>
      <c r="R1460" s="2" t="inlineStr"/>
    </row>
    <row r="1461" ht="15" customHeight="1">
      <c r="A1461" t="inlineStr">
        <is>
          <t>A 27920-2023</t>
        </is>
      </c>
      <c r="B1461" s="1" t="n">
        <v>45098.64269675926</v>
      </c>
      <c r="C1461" s="1" t="n">
        <v>46140</v>
      </c>
      <c r="D1461" t="inlineStr">
        <is>
          <t>VÄRMLANDS LÄN</t>
        </is>
      </c>
      <c r="E1461" t="inlineStr">
        <is>
          <t>TORSBY</t>
        </is>
      </c>
      <c r="F1461" t="inlineStr">
        <is>
          <t>Kyrkan</t>
        </is>
      </c>
      <c r="G1461" t="n">
        <v>14.7</v>
      </c>
      <c r="H1461" t="n">
        <v>0</v>
      </c>
      <c r="I1461" t="n">
        <v>0</v>
      </c>
      <c r="J1461" t="n">
        <v>0</v>
      </c>
      <c r="K1461" t="n">
        <v>0</v>
      </c>
      <c r="L1461" t="n">
        <v>0</v>
      </c>
      <c r="M1461" t="n">
        <v>0</v>
      </c>
      <c r="N1461" t="n">
        <v>0</v>
      </c>
      <c r="O1461" t="n">
        <v>0</v>
      </c>
      <c r="P1461" t="n">
        <v>0</v>
      </c>
      <c r="Q1461" t="n">
        <v>0</v>
      </c>
      <c r="R1461" s="2" t="inlineStr"/>
    </row>
    <row r="1462" ht="15" customHeight="1">
      <c r="A1462" t="inlineStr">
        <is>
          <t>A 63512-2025</t>
        </is>
      </c>
      <c r="B1462" s="1" t="n">
        <v>46013</v>
      </c>
      <c r="C1462" s="1" t="n">
        <v>46140</v>
      </c>
      <c r="D1462" t="inlineStr">
        <is>
          <t>VÄRMLANDS LÄN</t>
        </is>
      </c>
      <c r="E1462" t="inlineStr">
        <is>
          <t>TORSBY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24876-2023</t>
        </is>
      </c>
      <c r="B1463" s="1" t="n">
        <v>45085.42391203704</v>
      </c>
      <c r="C1463" s="1" t="n">
        <v>46140</v>
      </c>
      <c r="D1463" t="inlineStr">
        <is>
          <t>VÄRMLANDS LÄN</t>
        </is>
      </c>
      <c r="E1463" t="inlineStr">
        <is>
          <t>TORSBY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63636-2025</t>
        </is>
      </c>
      <c r="B1464" s="1" t="n">
        <v>46014</v>
      </c>
      <c r="C1464" s="1" t="n">
        <v>46140</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17841-2025</t>
        </is>
      </c>
      <c r="B1465" s="1" t="n">
        <v>45758</v>
      </c>
      <c r="C1465" s="1" t="n">
        <v>46140</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63609-2025</t>
        </is>
      </c>
      <c r="B1466" s="1" t="n">
        <v>46014.34188657408</v>
      </c>
      <c r="C1466" s="1" t="n">
        <v>46140</v>
      </c>
      <c r="D1466" t="inlineStr">
        <is>
          <t>VÄRMLANDS LÄN</t>
        </is>
      </c>
      <c r="E1466" t="inlineStr">
        <is>
          <t>TORSBY</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24657-2024</t>
        </is>
      </c>
      <c r="B1467" s="1" t="n">
        <v>45460</v>
      </c>
      <c r="C1467" s="1" t="n">
        <v>46140</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9203-2024</t>
        </is>
      </c>
      <c r="B1468" s="1" t="n">
        <v>45358</v>
      </c>
      <c r="C1468" s="1" t="n">
        <v>46140</v>
      </c>
      <c r="D1468" t="inlineStr">
        <is>
          <t>VÄRMLANDS LÄN</t>
        </is>
      </c>
      <c r="E1468" t="inlineStr">
        <is>
          <t>TORSBY</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23996-2024</t>
        </is>
      </c>
      <c r="B1469" s="1" t="n">
        <v>45456</v>
      </c>
      <c r="C1469" s="1" t="n">
        <v>46140</v>
      </c>
      <c r="D1469" t="inlineStr">
        <is>
          <t>VÄRMLANDS LÄN</t>
        </is>
      </c>
      <c r="E1469" t="inlineStr">
        <is>
          <t>TORSBY</t>
        </is>
      </c>
      <c r="F1469" t="inlineStr">
        <is>
          <t>Bergvik skog väst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22426-2024</t>
        </is>
      </c>
      <c r="B1470" s="1" t="n">
        <v>45446</v>
      </c>
      <c r="C1470" s="1" t="n">
        <v>46140</v>
      </c>
      <c r="D1470" t="inlineStr">
        <is>
          <t>VÄRMLANDS LÄN</t>
        </is>
      </c>
      <c r="E1470" t="inlineStr">
        <is>
          <t>TORSBY</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24148-2024</t>
        </is>
      </c>
      <c r="B1471" s="1" t="n">
        <v>45456</v>
      </c>
      <c r="C1471" s="1" t="n">
        <v>46140</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42613-2023</t>
        </is>
      </c>
      <c r="B1472" s="1" t="n">
        <v>45181</v>
      </c>
      <c r="C1472" s="1" t="n">
        <v>46140</v>
      </c>
      <c r="D1472" t="inlineStr">
        <is>
          <t>VÄRMLANDS LÄN</t>
        </is>
      </c>
      <c r="E1472" t="inlineStr">
        <is>
          <t>TORSBY</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63781-2025</t>
        </is>
      </c>
      <c r="B1473" s="1" t="n">
        <v>46019.56042824074</v>
      </c>
      <c r="C1473" s="1" t="n">
        <v>46140</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59236-2023</t>
        </is>
      </c>
      <c r="B1474" s="1" t="n">
        <v>45253</v>
      </c>
      <c r="C1474" s="1" t="n">
        <v>46140</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14120-2025</t>
        </is>
      </c>
      <c r="B1475" s="1" t="n">
        <v>45740</v>
      </c>
      <c r="C1475" s="1" t="n">
        <v>46140</v>
      </c>
      <c r="D1475" t="inlineStr">
        <is>
          <t>VÄRMLANDS LÄN</t>
        </is>
      </c>
      <c r="E1475" t="inlineStr">
        <is>
          <t>TORSBY</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15768-2025</t>
        </is>
      </c>
      <c r="B1476" s="1" t="n">
        <v>45748.58782407407</v>
      </c>
      <c r="C1476" s="1" t="n">
        <v>46140</v>
      </c>
      <c r="D1476" t="inlineStr">
        <is>
          <t>VÄRMLANDS LÄN</t>
        </is>
      </c>
      <c r="E1476" t="inlineStr">
        <is>
          <t>TORSBY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63908-2025</t>
        </is>
      </c>
      <c r="B1477" s="1" t="n">
        <v>46020</v>
      </c>
      <c r="C1477" s="1" t="n">
        <v>46140</v>
      </c>
      <c r="D1477" t="inlineStr">
        <is>
          <t>VÄRMLANDS LÄN</t>
        </is>
      </c>
      <c r="E1477" t="inlineStr">
        <is>
          <t>TORSBY</t>
        </is>
      </c>
      <c r="F1477" t="inlineStr">
        <is>
          <t>Bergvik skog väst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54766-2023</t>
        </is>
      </c>
      <c r="B1478" s="1" t="n">
        <v>45236</v>
      </c>
      <c r="C1478" s="1" t="n">
        <v>46140</v>
      </c>
      <c r="D1478" t="inlineStr">
        <is>
          <t>VÄRMLANDS LÄN</t>
        </is>
      </c>
      <c r="E1478" t="inlineStr">
        <is>
          <t>TORSBY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15460-2022</t>
        </is>
      </c>
      <c r="B1479" s="1" t="n">
        <v>44661</v>
      </c>
      <c r="C1479" s="1" t="n">
        <v>46140</v>
      </c>
      <c r="D1479" t="inlineStr">
        <is>
          <t>VÄRMLANDS LÄN</t>
        </is>
      </c>
      <c r="E1479" t="inlineStr">
        <is>
          <t>TORSBY</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64042-2025</t>
        </is>
      </c>
      <c r="B1480" s="1" t="n">
        <v>46021</v>
      </c>
      <c r="C1480" s="1" t="n">
        <v>46140</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44150-2023</t>
        </is>
      </c>
      <c r="B1481" s="1" t="n">
        <v>45188.47791666666</v>
      </c>
      <c r="C1481" s="1" t="n">
        <v>46140</v>
      </c>
      <c r="D1481" t="inlineStr">
        <is>
          <t>VÄRMLANDS LÄN</t>
        </is>
      </c>
      <c r="E1481" t="inlineStr">
        <is>
          <t>TORSBY</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72-2026</t>
        </is>
      </c>
      <c r="B1482" s="1" t="n">
        <v>46024.46258101852</v>
      </c>
      <c r="C1482" s="1" t="n">
        <v>46140</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18101-2022</t>
        </is>
      </c>
      <c r="B1483" s="1" t="n">
        <v>44684</v>
      </c>
      <c r="C1483" s="1" t="n">
        <v>46140</v>
      </c>
      <c r="D1483" t="inlineStr">
        <is>
          <t>VÄRMLANDS LÄN</t>
        </is>
      </c>
      <c r="E1483" t="inlineStr">
        <is>
          <t>TORSBY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38-2026</t>
        </is>
      </c>
      <c r="B1484" s="1" t="n">
        <v>46024</v>
      </c>
      <c r="C1484" s="1" t="n">
        <v>46140</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11195-2025</t>
        </is>
      </c>
      <c r="B1485" s="1" t="n">
        <v>45725.85177083333</v>
      </c>
      <c r="C1485" s="1" t="n">
        <v>46140</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16498-2022</t>
        </is>
      </c>
      <c r="B1486" s="1" t="n">
        <v>44671</v>
      </c>
      <c r="C1486" s="1" t="n">
        <v>46140</v>
      </c>
      <c r="D1486" t="inlineStr">
        <is>
          <t>VÄRMLANDS LÄN</t>
        </is>
      </c>
      <c r="E1486" t="inlineStr">
        <is>
          <t>TORSBY</t>
        </is>
      </c>
      <c r="F1486" t="inlineStr">
        <is>
          <t>Kommuner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235-2026</t>
        </is>
      </c>
      <c r="B1487" s="1" t="n">
        <v>46027</v>
      </c>
      <c r="C1487" s="1" t="n">
        <v>46140</v>
      </c>
      <c r="D1487" t="inlineStr">
        <is>
          <t>VÄRMLANDS LÄN</t>
        </is>
      </c>
      <c r="E1487" t="inlineStr">
        <is>
          <t>TORSBY</t>
        </is>
      </c>
      <c r="F1487" t="inlineStr">
        <is>
          <t>Bergvik skog väst AB</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61157-2023</t>
        </is>
      </c>
      <c r="B1488" s="1" t="n">
        <v>45261.98796296296</v>
      </c>
      <c r="C1488" s="1" t="n">
        <v>46140</v>
      </c>
      <c r="D1488" t="inlineStr">
        <is>
          <t>VÄRMLANDS LÄN</t>
        </is>
      </c>
      <c r="E1488" t="inlineStr">
        <is>
          <t>TORSBY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748-2026</t>
        </is>
      </c>
      <c r="B1489" s="1" t="n">
        <v>46029</v>
      </c>
      <c r="C1489" s="1" t="n">
        <v>46140</v>
      </c>
      <c r="D1489" t="inlineStr">
        <is>
          <t>VÄRMLANDS LÄN</t>
        </is>
      </c>
      <c r="E1489" t="inlineStr">
        <is>
          <t>TORSBY</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55031-2023</t>
        </is>
      </c>
      <c r="B1490" s="1" t="n">
        <v>45237.34733796296</v>
      </c>
      <c r="C1490" s="1" t="n">
        <v>46140</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1045-2026</t>
        </is>
      </c>
      <c r="B1491" s="1" t="n">
        <v>46030</v>
      </c>
      <c r="C1491" s="1" t="n">
        <v>46140</v>
      </c>
      <c r="D1491" t="inlineStr">
        <is>
          <t>VÄRMLANDS LÄN</t>
        </is>
      </c>
      <c r="E1491" t="inlineStr">
        <is>
          <t>TORSBY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29921-2022</t>
        </is>
      </c>
      <c r="B1492" s="1" t="n">
        <v>44756</v>
      </c>
      <c r="C1492" s="1" t="n">
        <v>46140</v>
      </c>
      <c r="D1492" t="inlineStr">
        <is>
          <t>VÄRMLANDS LÄN</t>
        </is>
      </c>
      <c r="E1492" t="inlineStr">
        <is>
          <t>TORSBY</t>
        </is>
      </c>
      <c r="F1492" t="inlineStr">
        <is>
          <t>Kommuner</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1148-2026</t>
        </is>
      </c>
      <c r="B1493" s="1" t="n">
        <v>46030</v>
      </c>
      <c r="C1493" s="1" t="n">
        <v>46140</v>
      </c>
      <c r="D1493" t="inlineStr">
        <is>
          <t>VÄRMLANDS LÄN</t>
        </is>
      </c>
      <c r="E1493" t="inlineStr">
        <is>
          <t>TORSBY</t>
        </is>
      </c>
      <c r="F1493" t="inlineStr">
        <is>
          <t>Bergvik skog väst AB</t>
        </is>
      </c>
      <c r="G1493" t="n">
        <v>11.8</v>
      </c>
      <c r="H1493" t="n">
        <v>0</v>
      </c>
      <c r="I1493" t="n">
        <v>0</v>
      </c>
      <c r="J1493" t="n">
        <v>0</v>
      </c>
      <c r="K1493" t="n">
        <v>0</v>
      </c>
      <c r="L1493" t="n">
        <v>0</v>
      </c>
      <c r="M1493" t="n">
        <v>0</v>
      </c>
      <c r="N1493" t="n">
        <v>0</v>
      </c>
      <c r="O1493" t="n">
        <v>0</v>
      </c>
      <c r="P1493" t="n">
        <v>0</v>
      </c>
      <c r="Q1493" t="n">
        <v>0</v>
      </c>
      <c r="R1493" s="2" t="inlineStr"/>
    </row>
    <row r="1494" ht="15" customHeight="1">
      <c r="A1494" t="inlineStr">
        <is>
          <t>A 46152-2024</t>
        </is>
      </c>
      <c r="B1494" s="1" t="n">
        <v>45581</v>
      </c>
      <c r="C1494" s="1" t="n">
        <v>46140</v>
      </c>
      <c r="D1494" t="inlineStr">
        <is>
          <t>VÄRMLANDS LÄN</t>
        </is>
      </c>
      <c r="E1494" t="inlineStr">
        <is>
          <t>TORSBY</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56970-2023</t>
        </is>
      </c>
      <c r="B1495" s="1" t="n">
        <v>45244.63689814815</v>
      </c>
      <c r="C1495" s="1" t="n">
        <v>46140</v>
      </c>
      <c r="D1495" t="inlineStr">
        <is>
          <t>VÄRMLANDS LÄN</t>
        </is>
      </c>
      <c r="E1495" t="inlineStr">
        <is>
          <t>TORSBY</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991-2026</t>
        </is>
      </c>
      <c r="B1496" s="1" t="n">
        <v>46030.58675925926</v>
      </c>
      <c r="C1496" s="1" t="n">
        <v>46140</v>
      </c>
      <c r="D1496" t="inlineStr">
        <is>
          <t>VÄRMLANDS LÄN</t>
        </is>
      </c>
      <c r="E1496" t="inlineStr">
        <is>
          <t>TORSBY</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1137-2026</t>
        </is>
      </c>
      <c r="B1497" s="1" t="n">
        <v>46030</v>
      </c>
      <c r="C1497" s="1" t="n">
        <v>46140</v>
      </c>
      <c r="D1497" t="inlineStr">
        <is>
          <t>VÄRMLANDS LÄN</t>
        </is>
      </c>
      <c r="E1497" t="inlineStr">
        <is>
          <t>TORSBY</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1139-2026</t>
        </is>
      </c>
      <c r="B1498" s="1" t="n">
        <v>46030</v>
      </c>
      <c r="C1498" s="1" t="n">
        <v>46140</v>
      </c>
      <c r="D1498" t="inlineStr">
        <is>
          <t>VÄRMLANDS LÄN</t>
        </is>
      </c>
      <c r="E1498" t="inlineStr">
        <is>
          <t>TORSBY</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1042-2024</t>
        </is>
      </c>
      <c r="B1499" s="1" t="n">
        <v>45301</v>
      </c>
      <c r="C1499" s="1" t="n">
        <v>46140</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36239-2023</t>
        </is>
      </c>
      <c r="B1500" s="1" t="n">
        <v>45150</v>
      </c>
      <c r="C1500" s="1" t="n">
        <v>46140</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41781-2022</t>
        </is>
      </c>
      <c r="B1501" s="1" t="n">
        <v>44827.70537037037</v>
      </c>
      <c r="C1501" s="1" t="n">
        <v>46140</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637-2026</t>
        </is>
      </c>
      <c r="B1502" s="1" t="n">
        <v>46029</v>
      </c>
      <c r="C1502" s="1" t="n">
        <v>46140</v>
      </c>
      <c r="D1502" t="inlineStr">
        <is>
          <t>VÄRMLANDS LÄN</t>
        </is>
      </c>
      <c r="E1502" t="inlineStr">
        <is>
          <t>TORSBY</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15465-2024</t>
        </is>
      </c>
      <c r="B1503" s="1" t="n">
        <v>45401.47399305556</v>
      </c>
      <c r="C1503" s="1" t="n">
        <v>46140</v>
      </c>
      <c r="D1503" t="inlineStr">
        <is>
          <t>VÄRMLANDS LÄN</t>
        </is>
      </c>
      <c r="E1503" t="inlineStr">
        <is>
          <t>TORSBY</t>
        </is>
      </c>
      <c r="F1503" t="inlineStr">
        <is>
          <t>Bergvik skog väst AB</t>
        </is>
      </c>
      <c r="G1503" t="n">
        <v>24.6</v>
      </c>
      <c r="H1503" t="n">
        <v>0</v>
      </c>
      <c r="I1503" t="n">
        <v>0</v>
      </c>
      <c r="J1503" t="n">
        <v>0</v>
      </c>
      <c r="K1503" t="n">
        <v>0</v>
      </c>
      <c r="L1503" t="n">
        <v>0</v>
      </c>
      <c r="M1503" t="n">
        <v>0</v>
      </c>
      <c r="N1503" t="n">
        <v>0</v>
      </c>
      <c r="O1503" t="n">
        <v>0</v>
      </c>
      <c r="P1503" t="n">
        <v>0</v>
      </c>
      <c r="Q1503" t="n">
        <v>0</v>
      </c>
      <c r="R1503" s="2" t="inlineStr"/>
    </row>
    <row r="1504" ht="15" customHeight="1">
      <c r="A1504" t="inlineStr">
        <is>
          <t>A 1428-2026</t>
        </is>
      </c>
      <c r="B1504" s="1" t="n">
        <v>46032</v>
      </c>
      <c r="C1504" s="1" t="n">
        <v>46140</v>
      </c>
      <c r="D1504" t="inlineStr">
        <is>
          <t>VÄRMLANDS LÄN</t>
        </is>
      </c>
      <c r="E1504" t="inlineStr">
        <is>
          <t>TORSBY</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1635-2026</t>
        </is>
      </c>
      <c r="B1505" s="1" t="n">
        <v>46034.491875</v>
      </c>
      <c r="C1505" s="1" t="n">
        <v>46140</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60383-2024</t>
        </is>
      </c>
      <c r="B1506" s="1" t="n">
        <v>45643.47674768518</v>
      </c>
      <c r="C1506" s="1" t="n">
        <v>46140</v>
      </c>
      <c r="D1506" t="inlineStr">
        <is>
          <t>VÄRMLANDS LÄN</t>
        </is>
      </c>
      <c r="E1506" t="inlineStr">
        <is>
          <t>TORSBY</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60386-2024</t>
        </is>
      </c>
      <c r="B1507" s="1" t="n">
        <v>45643</v>
      </c>
      <c r="C1507" s="1" t="n">
        <v>46140</v>
      </c>
      <c r="D1507" t="inlineStr">
        <is>
          <t>VÄRMLANDS LÄN</t>
        </is>
      </c>
      <c r="E1507" t="inlineStr">
        <is>
          <t>TORSBY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58013-2023</t>
        </is>
      </c>
      <c r="B1508" s="1" t="n">
        <v>45247.62346064814</v>
      </c>
      <c r="C1508" s="1" t="n">
        <v>46140</v>
      </c>
      <c r="D1508" t="inlineStr">
        <is>
          <t>VÄRMLANDS LÄN</t>
        </is>
      </c>
      <c r="E1508" t="inlineStr">
        <is>
          <t>TORSBY</t>
        </is>
      </c>
      <c r="F1508" t="inlineStr">
        <is>
          <t>Bergvik skog väst AB</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2057-2026</t>
        </is>
      </c>
      <c r="B1509" s="1" t="n">
        <v>46033</v>
      </c>
      <c r="C1509" s="1" t="n">
        <v>46140</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37623-2023</t>
        </is>
      </c>
      <c r="B1510" s="1" t="n">
        <v>45159.45560185185</v>
      </c>
      <c r="C1510" s="1" t="n">
        <v>46140</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38882-2022</t>
        </is>
      </c>
      <c r="B1511" s="1" t="n">
        <v>44816.565625</v>
      </c>
      <c r="C1511" s="1" t="n">
        <v>46140</v>
      </c>
      <c r="D1511" t="inlineStr">
        <is>
          <t>VÄRMLANDS LÄN</t>
        </is>
      </c>
      <c r="E1511" t="inlineStr">
        <is>
          <t>TORSBY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59872-2023</t>
        </is>
      </c>
      <c r="B1512" s="1" t="n">
        <v>45257.58666666667</v>
      </c>
      <c r="C1512" s="1" t="n">
        <v>46140</v>
      </c>
      <c r="D1512" t="inlineStr">
        <is>
          <t>VÄRMLANDS LÄN</t>
        </is>
      </c>
      <c r="E1512" t="inlineStr">
        <is>
          <t>TORSBY</t>
        </is>
      </c>
      <c r="F1512" t="inlineStr">
        <is>
          <t>Bergvik skog väst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52078-2023</t>
        </is>
      </c>
      <c r="B1513" s="1" t="n">
        <v>45223</v>
      </c>
      <c r="C1513" s="1" t="n">
        <v>46140</v>
      </c>
      <c r="D1513" t="inlineStr">
        <is>
          <t>VÄRMLANDS LÄN</t>
        </is>
      </c>
      <c r="E1513" t="inlineStr">
        <is>
          <t>TORSBY</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7215-2025</t>
        </is>
      </c>
      <c r="B1514" s="1" t="n">
        <v>45702</v>
      </c>
      <c r="C1514" s="1" t="n">
        <v>46140</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24630-2024</t>
        </is>
      </c>
      <c r="B1515" s="1" t="n">
        <v>45460.51149305556</v>
      </c>
      <c r="C1515" s="1" t="n">
        <v>46140</v>
      </c>
      <c r="D1515" t="inlineStr">
        <is>
          <t>VÄRMLANDS LÄN</t>
        </is>
      </c>
      <c r="E1515" t="inlineStr">
        <is>
          <t>TORSBY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10587-2024</t>
        </is>
      </c>
      <c r="B1516" s="1" t="n">
        <v>45366</v>
      </c>
      <c r="C1516" s="1" t="n">
        <v>46140</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2279-2026</t>
        </is>
      </c>
      <c r="B1517" s="1" t="n">
        <v>46036.57755787037</v>
      </c>
      <c r="C1517" s="1" t="n">
        <v>46140</v>
      </c>
      <c r="D1517" t="inlineStr">
        <is>
          <t>VÄRMLANDS LÄN</t>
        </is>
      </c>
      <c r="E1517" t="inlineStr">
        <is>
          <t>TORSBY</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2351-2026</t>
        </is>
      </c>
      <c r="B1518" s="1" t="n">
        <v>46036</v>
      </c>
      <c r="C1518" s="1" t="n">
        <v>46140</v>
      </c>
      <c r="D1518" t="inlineStr">
        <is>
          <t>VÄRMLANDS LÄN</t>
        </is>
      </c>
      <c r="E1518" t="inlineStr">
        <is>
          <t>TORSBY</t>
        </is>
      </c>
      <c r="F1518" t="inlineStr">
        <is>
          <t>Bergvik skog väst AB</t>
        </is>
      </c>
      <c r="G1518" t="n">
        <v>13.2</v>
      </c>
      <c r="H1518" t="n">
        <v>0</v>
      </c>
      <c r="I1518" t="n">
        <v>0</v>
      </c>
      <c r="J1518" t="n">
        <v>0</v>
      </c>
      <c r="K1518" t="n">
        <v>0</v>
      </c>
      <c r="L1518" t="n">
        <v>0</v>
      </c>
      <c r="M1518" t="n">
        <v>0</v>
      </c>
      <c r="N1518" t="n">
        <v>0</v>
      </c>
      <c r="O1518" t="n">
        <v>0</v>
      </c>
      <c r="P1518" t="n">
        <v>0</v>
      </c>
      <c r="Q1518" t="n">
        <v>0</v>
      </c>
      <c r="R1518" s="2" t="inlineStr"/>
    </row>
    <row r="1519" ht="15" customHeight="1">
      <c r="A1519" t="inlineStr">
        <is>
          <t>A 47694-2022</t>
        </is>
      </c>
      <c r="B1519" s="1" t="n">
        <v>44854</v>
      </c>
      <c r="C1519" s="1" t="n">
        <v>46140</v>
      </c>
      <c r="D1519" t="inlineStr">
        <is>
          <t>VÄRMLANDS LÄN</t>
        </is>
      </c>
      <c r="E1519" t="inlineStr">
        <is>
          <t>TORSBY</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15169-2025</t>
        </is>
      </c>
      <c r="B1520" s="1" t="n">
        <v>45744</v>
      </c>
      <c r="C1520" s="1" t="n">
        <v>46140</v>
      </c>
      <c r="D1520" t="inlineStr">
        <is>
          <t>VÄRMLANDS LÄN</t>
        </is>
      </c>
      <c r="E1520" t="inlineStr">
        <is>
          <t>TORSBY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57990-2023</t>
        </is>
      </c>
      <c r="B1521" s="1" t="n">
        <v>45247.60293981482</v>
      </c>
      <c r="C1521" s="1" t="n">
        <v>46140</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3667-2023</t>
        </is>
      </c>
      <c r="B1522" s="1" t="n">
        <v>44950</v>
      </c>
      <c r="C1522" s="1" t="n">
        <v>46140</v>
      </c>
      <c r="D1522" t="inlineStr">
        <is>
          <t>VÄRMLANDS LÄN</t>
        </is>
      </c>
      <c r="E1522" t="inlineStr">
        <is>
          <t>TORSBY</t>
        </is>
      </c>
      <c r="G1522" t="n">
        <v>21.2</v>
      </c>
      <c r="H1522" t="n">
        <v>0</v>
      </c>
      <c r="I1522" t="n">
        <v>0</v>
      </c>
      <c r="J1522" t="n">
        <v>0</v>
      </c>
      <c r="K1522" t="n">
        <v>0</v>
      </c>
      <c r="L1522" t="n">
        <v>0</v>
      </c>
      <c r="M1522" t="n">
        <v>0</v>
      </c>
      <c r="N1522" t="n">
        <v>0</v>
      </c>
      <c r="O1522" t="n">
        <v>0</v>
      </c>
      <c r="P1522" t="n">
        <v>0</v>
      </c>
      <c r="Q1522" t="n">
        <v>0</v>
      </c>
      <c r="R1522" s="2" t="inlineStr"/>
    </row>
    <row r="1523" ht="15" customHeight="1">
      <c r="A1523" t="inlineStr">
        <is>
          <t>A 2008-2026</t>
        </is>
      </c>
      <c r="B1523" s="1" t="n">
        <v>46035</v>
      </c>
      <c r="C1523" s="1" t="n">
        <v>46140</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51144-2023</t>
        </is>
      </c>
      <c r="B1524" s="1" t="n">
        <v>45212</v>
      </c>
      <c r="C1524" s="1" t="n">
        <v>46140</v>
      </c>
      <c r="D1524" t="inlineStr">
        <is>
          <t>VÄRMLANDS LÄN</t>
        </is>
      </c>
      <c r="E1524" t="inlineStr">
        <is>
          <t>TORSBY</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2005-2026</t>
        </is>
      </c>
      <c r="B1525" s="1" t="n">
        <v>46035.69554398148</v>
      </c>
      <c r="C1525" s="1" t="n">
        <v>46140</v>
      </c>
      <c r="D1525" t="inlineStr">
        <is>
          <t>VÄRMLANDS LÄN</t>
        </is>
      </c>
      <c r="E1525" t="inlineStr">
        <is>
          <t>TORSBY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1828-2026</t>
        </is>
      </c>
      <c r="B1526" s="1" t="n">
        <v>46035</v>
      </c>
      <c r="C1526" s="1" t="n">
        <v>46140</v>
      </c>
      <c r="D1526" t="inlineStr">
        <is>
          <t>VÄRMLANDS LÄN</t>
        </is>
      </c>
      <c r="E1526" t="inlineStr">
        <is>
          <t>TORSBY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11842-2025</t>
        </is>
      </c>
      <c r="B1527" s="1" t="n">
        <v>45728.36950231482</v>
      </c>
      <c r="C1527" s="1" t="n">
        <v>46140</v>
      </c>
      <c r="D1527" t="inlineStr">
        <is>
          <t>VÄRMLANDS LÄN</t>
        </is>
      </c>
      <c r="E1527" t="inlineStr">
        <is>
          <t>TORSBY</t>
        </is>
      </c>
      <c r="F1527" t="inlineStr">
        <is>
          <t>Bergvik skog väst AB</t>
        </is>
      </c>
      <c r="G1527" t="n">
        <v>32.1</v>
      </c>
      <c r="H1527" t="n">
        <v>0</v>
      </c>
      <c r="I1527" t="n">
        <v>0</v>
      </c>
      <c r="J1527" t="n">
        <v>0</v>
      </c>
      <c r="K1527" t="n">
        <v>0</v>
      </c>
      <c r="L1527" t="n">
        <v>0</v>
      </c>
      <c r="M1527" t="n">
        <v>0</v>
      </c>
      <c r="N1527" t="n">
        <v>0</v>
      </c>
      <c r="O1527" t="n">
        <v>0</v>
      </c>
      <c r="P1527" t="n">
        <v>0</v>
      </c>
      <c r="Q1527" t="n">
        <v>0</v>
      </c>
      <c r="R1527" s="2" t="inlineStr"/>
    </row>
    <row r="1528" ht="15" customHeight="1">
      <c r="A1528" t="inlineStr">
        <is>
          <t>A 14367-2025</t>
        </is>
      </c>
      <c r="B1528" s="1" t="n">
        <v>45741.38988425926</v>
      </c>
      <c r="C1528" s="1" t="n">
        <v>46140</v>
      </c>
      <c r="D1528" t="inlineStr">
        <is>
          <t>VÄRMLANDS LÄN</t>
        </is>
      </c>
      <c r="E1528" t="inlineStr">
        <is>
          <t>TORSBY</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2845-2026</t>
        </is>
      </c>
      <c r="B1529" s="1" t="n">
        <v>46038.47104166666</v>
      </c>
      <c r="C1529" s="1" t="n">
        <v>46140</v>
      </c>
      <c r="D1529" t="inlineStr">
        <is>
          <t>VÄRMLANDS LÄN</t>
        </is>
      </c>
      <c r="E1529" t="inlineStr">
        <is>
          <t>TORSBY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27223-2022</t>
        </is>
      </c>
      <c r="B1530" s="1" t="n">
        <v>44741</v>
      </c>
      <c r="C1530" s="1" t="n">
        <v>46140</v>
      </c>
      <c r="D1530" t="inlineStr">
        <is>
          <t>VÄRMLANDS LÄN</t>
        </is>
      </c>
      <c r="E1530" t="inlineStr">
        <is>
          <t>TORSBY</t>
        </is>
      </c>
      <c r="F1530" t="inlineStr">
        <is>
          <t>Bergvik skog väst AB</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2966-2026</t>
        </is>
      </c>
      <c r="B1531" s="1" t="n">
        <v>46038</v>
      </c>
      <c r="C1531" s="1" t="n">
        <v>46140</v>
      </c>
      <c r="D1531" t="inlineStr">
        <is>
          <t>VÄRMLANDS LÄN</t>
        </is>
      </c>
      <c r="E1531" t="inlineStr">
        <is>
          <t>TORSBY</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2960-2026</t>
        </is>
      </c>
      <c r="B1532" s="1" t="n">
        <v>46038</v>
      </c>
      <c r="C1532" s="1" t="n">
        <v>46140</v>
      </c>
      <c r="D1532" t="inlineStr">
        <is>
          <t>VÄRMLANDS LÄN</t>
        </is>
      </c>
      <c r="E1532" t="inlineStr">
        <is>
          <t>TORSBY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20633-2024</t>
        </is>
      </c>
      <c r="B1533" s="1" t="n">
        <v>45436</v>
      </c>
      <c r="C1533" s="1" t="n">
        <v>46140</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35132-2022</t>
        </is>
      </c>
      <c r="B1534" s="1" t="n">
        <v>44797</v>
      </c>
      <c r="C1534" s="1" t="n">
        <v>46140</v>
      </c>
      <c r="D1534" t="inlineStr">
        <is>
          <t>VÄRMLANDS LÄN</t>
        </is>
      </c>
      <c r="E1534" t="inlineStr">
        <is>
          <t>TORSBY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4510-2023</t>
        </is>
      </c>
      <c r="B1535" s="1" t="n">
        <v>44956.57528935185</v>
      </c>
      <c r="C1535" s="1" t="n">
        <v>46140</v>
      </c>
      <c r="D1535" t="inlineStr">
        <is>
          <t>VÄRMLANDS LÄN</t>
        </is>
      </c>
      <c r="E1535" t="inlineStr">
        <is>
          <t>TORSBY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2687-2026</t>
        </is>
      </c>
      <c r="B1536" s="1" t="n">
        <v>46037</v>
      </c>
      <c r="C1536" s="1" t="n">
        <v>46140</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9723-2025</t>
        </is>
      </c>
      <c r="B1537" s="1" t="n">
        <v>45715</v>
      </c>
      <c r="C1537" s="1" t="n">
        <v>46140</v>
      </c>
      <c r="D1537" t="inlineStr">
        <is>
          <t>VÄRMLANDS LÄN</t>
        </is>
      </c>
      <c r="E1537" t="inlineStr">
        <is>
          <t>TORSBY</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2768-2026</t>
        </is>
      </c>
      <c r="B1538" s="1" t="n">
        <v>46038</v>
      </c>
      <c r="C1538" s="1" t="n">
        <v>46140</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2510-2026</t>
        </is>
      </c>
      <c r="B1539" s="1" t="n">
        <v>46037</v>
      </c>
      <c r="C1539" s="1" t="n">
        <v>46140</v>
      </c>
      <c r="D1539" t="inlineStr">
        <is>
          <t>VÄRMLANDS LÄN</t>
        </is>
      </c>
      <c r="E1539" t="inlineStr">
        <is>
          <t>TORSBY</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36290-2022</t>
        </is>
      </c>
      <c r="B1540" s="1" t="n">
        <v>44803</v>
      </c>
      <c r="C1540" s="1" t="n">
        <v>46140</v>
      </c>
      <c r="D1540" t="inlineStr">
        <is>
          <t>VÄRMLANDS LÄN</t>
        </is>
      </c>
      <c r="E1540" t="inlineStr">
        <is>
          <t>TORSBY</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7745-2023</t>
        </is>
      </c>
      <c r="B1541" s="1" t="n">
        <v>44973.35336805556</v>
      </c>
      <c r="C1541" s="1" t="n">
        <v>46140</v>
      </c>
      <c r="D1541" t="inlineStr">
        <is>
          <t>VÄRMLANDS LÄN</t>
        </is>
      </c>
      <c r="E1541" t="inlineStr">
        <is>
          <t>TORSBY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2856-2026</t>
        </is>
      </c>
      <c r="B1542" s="1" t="n">
        <v>46038.48686342593</v>
      </c>
      <c r="C1542" s="1" t="n">
        <v>46140</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2861-2026</t>
        </is>
      </c>
      <c r="B1543" s="1" t="n">
        <v>46038.49465277778</v>
      </c>
      <c r="C1543" s="1" t="n">
        <v>46140</v>
      </c>
      <c r="D1543" t="inlineStr">
        <is>
          <t>VÄRMLANDS LÄN</t>
        </is>
      </c>
      <c r="E1543" t="inlineStr">
        <is>
          <t>TORSBY</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2865-2026</t>
        </is>
      </c>
      <c r="B1544" s="1" t="n">
        <v>46038.49953703704</v>
      </c>
      <c r="C1544" s="1" t="n">
        <v>46140</v>
      </c>
      <c r="D1544" t="inlineStr">
        <is>
          <t>VÄRMLANDS LÄN</t>
        </is>
      </c>
      <c r="E1544" t="inlineStr">
        <is>
          <t>TORSBY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18258-2025</t>
        </is>
      </c>
      <c r="B1545" s="1" t="n">
        <v>45762.35762731481</v>
      </c>
      <c r="C1545" s="1" t="n">
        <v>46140</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2559-2026</t>
        </is>
      </c>
      <c r="B1546" s="1" t="n">
        <v>46037</v>
      </c>
      <c r="C1546" s="1" t="n">
        <v>46140</v>
      </c>
      <c r="D1546" t="inlineStr">
        <is>
          <t>VÄRMLANDS LÄN</t>
        </is>
      </c>
      <c r="E1546" t="inlineStr">
        <is>
          <t>TORSBY</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3414-2026</t>
        </is>
      </c>
      <c r="B1547" s="1" t="n">
        <v>46042.41920138889</v>
      </c>
      <c r="C1547" s="1" t="n">
        <v>46140</v>
      </c>
      <c r="D1547" t="inlineStr">
        <is>
          <t>VÄRMLANDS LÄN</t>
        </is>
      </c>
      <c r="E1547" t="inlineStr">
        <is>
          <t>TORSBY</t>
        </is>
      </c>
      <c r="F1547" t="inlineStr">
        <is>
          <t>Bergvik skog väst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502-2024</t>
        </is>
      </c>
      <c r="B1548" s="1" t="n">
        <v>45299</v>
      </c>
      <c r="C1548" s="1" t="n">
        <v>46140</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3411-2026</t>
        </is>
      </c>
      <c r="B1549" s="1" t="n">
        <v>46042.41546296296</v>
      </c>
      <c r="C1549" s="1" t="n">
        <v>46140</v>
      </c>
      <c r="D1549" t="inlineStr">
        <is>
          <t>VÄRMLANDS LÄN</t>
        </is>
      </c>
      <c r="E1549" t="inlineStr">
        <is>
          <t>TORSBY</t>
        </is>
      </c>
      <c r="F1549" t="inlineStr">
        <is>
          <t>Bergvik skog väst AB</t>
        </is>
      </c>
      <c r="G1549" t="n">
        <v>22.9</v>
      </c>
      <c r="H1549" t="n">
        <v>0</v>
      </c>
      <c r="I1549" t="n">
        <v>0</v>
      </c>
      <c r="J1549" t="n">
        <v>0</v>
      </c>
      <c r="K1549" t="n">
        <v>0</v>
      </c>
      <c r="L1549" t="n">
        <v>0</v>
      </c>
      <c r="M1549" t="n">
        <v>0</v>
      </c>
      <c r="N1549" t="n">
        <v>0</v>
      </c>
      <c r="O1549" t="n">
        <v>0</v>
      </c>
      <c r="P1549" t="n">
        <v>0</v>
      </c>
      <c r="Q1549" t="n">
        <v>0</v>
      </c>
      <c r="R1549" s="2" t="inlineStr"/>
    </row>
    <row r="1550" ht="15" customHeight="1">
      <c r="A1550" t="inlineStr">
        <is>
          <t>A 3409-2026</t>
        </is>
      </c>
      <c r="B1550" s="1" t="n">
        <v>46042</v>
      </c>
      <c r="C1550" s="1" t="n">
        <v>46140</v>
      </c>
      <c r="D1550" t="inlineStr">
        <is>
          <t>VÄRMLANDS LÄN</t>
        </is>
      </c>
      <c r="E1550" t="inlineStr">
        <is>
          <t>TORSBY</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3417-2026</t>
        </is>
      </c>
      <c r="B1551" s="1" t="n">
        <v>46042.42310185185</v>
      </c>
      <c r="C1551" s="1" t="n">
        <v>46140</v>
      </c>
      <c r="D1551" t="inlineStr">
        <is>
          <t>VÄRMLANDS LÄN</t>
        </is>
      </c>
      <c r="E1551" t="inlineStr">
        <is>
          <t>TORSBY</t>
        </is>
      </c>
      <c r="F1551" t="inlineStr">
        <is>
          <t>Bergvik skog väst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1700-2024</t>
        </is>
      </c>
      <c r="B1552" s="1" t="n">
        <v>45307.37347222222</v>
      </c>
      <c r="C1552" s="1" t="n">
        <v>46140</v>
      </c>
      <c r="D1552" t="inlineStr">
        <is>
          <t>VÄRMLANDS LÄN</t>
        </is>
      </c>
      <c r="E1552" t="inlineStr">
        <is>
          <t>TORSBY</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62258-2023</t>
        </is>
      </c>
      <c r="B1553" s="1" t="n">
        <v>45266</v>
      </c>
      <c r="C1553" s="1" t="n">
        <v>46140</v>
      </c>
      <c r="D1553" t="inlineStr">
        <is>
          <t>VÄRMLANDS LÄN</t>
        </is>
      </c>
      <c r="E1553" t="inlineStr">
        <is>
          <t>TORSBY</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28284-2024</t>
        </is>
      </c>
      <c r="B1554" s="1" t="n">
        <v>45477</v>
      </c>
      <c r="C1554" s="1" t="n">
        <v>46140</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19630-2025</t>
        </is>
      </c>
      <c r="B1555" s="1" t="n">
        <v>45770.64239583333</v>
      </c>
      <c r="C1555" s="1" t="n">
        <v>46140</v>
      </c>
      <c r="D1555" t="inlineStr">
        <is>
          <t>VÄRMLANDS LÄN</t>
        </is>
      </c>
      <c r="E1555" t="inlineStr">
        <is>
          <t>TORSBY</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18877-2022</t>
        </is>
      </c>
      <c r="B1556" s="1" t="n">
        <v>44690.52556712963</v>
      </c>
      <c r="C1556" s="1" t="n">
        <v>46140</v>
      </c>
      <c r="D1556" t="inlineStr">
        <is>
          <t>VÄRMLANDS LÄN</t>
        </is>
      </c>
      <c r="E1556" t="inlineStr">
        <is>
          <t>TORSBY</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3211-2026</t>
        </is>
      </c>
      <c r="B1557" s="1" t="n">
        <v>46041</v>
      </c>
      <c r="C1557" s="1" t="n">
        <v>46140</v>
      </c>
      <c r="D1557" t="inlineStr">
        <is>
          <t>VÄRMLANDS LÄN</t>
        </is>
      </c>
      <c r="E1557" t="inlineStr">
        <is>
          <t>TORSBY</t>
        </is>
      </c>
      <c r="F1557" t="inlineStr">
        <is>
          <t>Bergvik skog väst AB</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17048-2025</t>
        </is>
      </c>
      <c r="B1558" s="1" t="n">
        <v>45754</v>
      </c>
      <c r="C1558" s="1" t="n">
        <v>46140</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6713-2023</t>
        </is>
      </c>
      <c r="B1559" s="1" t="n">
        <v>44960</v>
      </c>
      <c r="C1559" s="1" t="n">
        <v>46140</v>
      </c>
      <c r="D1559" t="inlineStr">
        <is>
          <t>VÄRMLANDS LÄN</t>
        </is>
      </c>
      <c r="E1559" t="inlineStr">
        <is>
          <t>TORSBY</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3606-2026</t>
        </is>
      </c>
      <c r="B1560" s="1" t="n">
        <v>46042.88337962963</v>
      </c>
      <c r="C1560" s="1" t="n">
        <v>46140</v>
      </c>
      <c r="D1560" t="inlineStr">
        <is>
          <t>VÄRMLANDS LÄN</t>
        </is>
      </c>
      <c r="E1560" t="inlineStr">
        <is>
          <t>TORSBY</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10684-2024</t>
        </is>
      </c>
      <c r="B1561" s="1" t="n">
        <v>45369.37938657407</v>
      </c>
      <c r="C1561" s="1" t="n">
        <v>46140</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3680-2026</t>
        </is>
      </c>
      <c r="B1562" s="1" t="n">
        <v>46043.42990740741</v>
      </c>
      <c r="C1562" s="1" t="n">
        <v>46140</v>
      </c>
      <c r="D1562" t="inlineStr">
        <is>
          <t>VÄRMLANDS LÄN</t>
        </is>
      </c>
      <c r="E1562" t="inlineStr">
        <is>
          <t>TORSBY</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11153-2024</t>
        </is>
      </c>
      <c r="B1563" s="1" t="n">
        <v>45371.4759837963</v>
      </c>
      <c r="C1563" s="1" t="n">
        <v>46140</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12458-2023</t>
        </is>
      </c>
      <c r="B1564" s="1" t="n">
        <v>44999</v>
      </c>
      <c r="C1564" s="1" t="n">
        <v>46140</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3940-2026</t>
        </is>
      </c>
      <c r="B1565" s="1" t="n">
        <v>46043.88917824074</v>
      </c>
      <c r="C1565" s="1" t="n">
        <v>46140</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3884-2026</t>
        </is>
      </c>
      <c r="B1566" s="1" t="n">
        <v>46043</v>
      </c>
      <c r="C1566" s="1" t="n">
        <v>46140</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12670-2023</t>
        </is>
      </c>
      <c r="B1567" s="1" t="n">
        <v>45000.58043981482</v>
      </c>
      <c r="C1567" s="1" t="n">
        <v>46140</v>
      </c>
      <c r="D1567" t="inlineStr">
        <is>
          <t>VÄRMLANDS LÄN</t>
        </is>
      </c>
      <c r="E1567" t="inlineStr">
        <is>
          <t>TORSBY</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52057-2024</t>
        </is>
      </c>
      <c r="B1568" s="1" t="n">
        <v>45608</v>
      </c>
      <c r="C1568" s="1" t="n">
        <v>46140</v>
      </c>
      <c r="D1568" t="inlineStr">
        <is>
          <t>VÄRMLANDS LÄN</t>
        </is>
      </c>
      <c r="E1568" t="inlineStr">
        <is>
          <t>TORSBY</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52062-2024</t>
        </is>
      </c>
      <c r="B1569" s="1" t="n">
        <v>45608</v>
      </c>
      <c r="C1569" s="1" t="n">
        <v>46140</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29702-2025</t>
        </is>
      </c>
      <c r="B1570" s="1" t="n">
        <v>45825.55667824074</v>
      </c>
      <c r="C1570" s="1" t="n">
        <v>46140</v>
      </c>
      <c r="D1570" t="inlineStr">
        <is>
          <t>VÄRMLANDS LÄN</t>
        </is>
      </c>
      <c r="E1570" t="inlineStr">
        <is>
          <t>TORSBY</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11670-2025</t>
        </is>
      </c>
      <c r="B1571" s="1" t="n">
        <v>45727</v>
      </c>
      <c r="C1571" s="1" t="n">
        <v>46140</v>
      </c>
      <c r="D1571" t="inlineStr">
        <is>
          <t>VÄRMLANDS LÄN</t>
        </is>
      </c>
      <c r="E1571" t="inlineStr">
        <is>
          <t>TORSBY</t>
        </is>
      </c>
      <c r="G1571" t="n">
        <v>10.9</v>
      </c>
      <c r="H1571" t="n">
        <v>0</v>
      </c>
      <c r="I1571" t="n">
        <v>0</v>
      </c>
      <c r="J1571" t="n">
        <v>0</v>
      </c>
      <c r="K1571" t="n">
        <v>0</v>
      </c>
      <c r="L1571" t="n">
        <v>0</v>
      </c>
      <c r="M1571" t="n">
        <v>0</v>
      </c>
      <c r="N1571" t="n">
        <v>0</v>
      </c>
      <c r="O1571" t="n">
        <v>0</v>
      </c>
      <c r="P1571" t="n">
        <v>0</v>
      </c>
      <c r="Q1571" t="n">
        <v>0</v>
      </c>
      <c r="R1571" s="2" t="inlineStr"/>
    </row>
    <row r="1572" ht="15" customHeight="1">
      <c r="A1572" t="inlineStr">
        <is>
          <t>A 11672-2025</t>
        </is>
      </c>
      <c r="B1572" s="1" t="n">
        <v>45727</v>
      </c>
      <c r="C1572" s="1" t="n">
        <v>46140</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38397-2025</t>
        </is>
      </c>
      <c r="B1573" s="1" t="n">
        <v>45883</v>
      </c>
      <c r="C1573" s="1" t="n">
        <v>46140</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53570-2024</t>
        </is>
      </c>
      <c r="B1574" s="1" t="n">
        <v>45614.65956018519</v>
      </c>
      <c r="C1574" s="1" t="n">
        <v>46140</v>
      </c>
      <c r="D1574" t="inlineStr">
        <is>
          <t>VÄRMLANDS LÄN</t>
        </is>
      </c>
      <c r="E1574" t="inlineStr">
        <is>
          <t>TORSBY</t>
        </is>
      </c>
      <c r="G1574" t="n">
        <v>15.5</v>
      </c>
      <c r="H1574" t="n">
        <v>0</v>
      </c>
      <c r="I1574" t="n">
        <v>0</v>
      </c>
      <c r="J1574" t="n">
        <v>0</v>
      </c>
      <c r="K1574" t="n">
        <v>0</v>
      </c>
      <c r="L1574" t="n">
        <v>0</v>
      </c>
      <c r="M1574" t="n">
        <v>0</v>
      </c>
      <c r="N1574" t="n">
        <v>0</v>
      </c>
      <c r="O1574" t="n">
        <v>0</v>
      </c>
      <c r="P1574" t="n">
        <v>0</v>
      </c>
      <c r="Q1574" t="n">
        <v>0</v>
      </c>
      <c r="R1574" s="2" t="inlineStr"/>
    </row>
    <row r="1575" ht="15" customHeight="1">
      <c r="A1575" t="inlineStr">
        <is>
          <t>A 33189-2025</t>
        </is>
      </c>
      <c r="B1575" s="1" t="n">
        <v>45840.59884259259</v>
      </c>
      <c r="C1575" s="1" t="n">
        <v>46140</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33196-2025</t>
        </is>
      </c>
      <c r="B1576" s="1" t="n">
        <v>45840.60381944444</v>
      </c>
      <c r="C1576" s="1" t="n">
        <v>46140</v>
      </c>
      <c r="D1576" t="inlineStr">
        <is>
          <t>VÄRMLANDS LÄN</t>
        </is>
      </c>
      <c r="E1576" t="inlineStr">
        <is>
          <t>TORSBY</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16362-2025</t>
        </is>
      </c>
      <c r="B1577" s="1" t="n">
        <v>45751</v>
      </c>
      <c r="C1577" s="1" t="n">
        <v>46140</v>
      </c>
      <c r="D1577" t="inlineStr">
        <is>
          <t>VÄRMLANDS LÄN</t>
        </is>
      </c>
      <c r="E1577" t="inlineStr">
        <is>
          <t>TORSBY</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15885-2025</t>
        </is>
      </c>
      <c r="B1578" s="1" t="n">
        <v>45749</v>
      </c>
      <c r="C1578" s="1" t="n">
        <v>46140</v>
      </c>
      <c r="D1578" t="inlineStr">
        <is>
          <t>VÄRMLANDS LÄN</t>
        </is>
      </c>
      <c r="E1578" t="inlineStr">
        <is>
          <t>TORSBY</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20060-2025</t>
        </is>
      </c>
      <c r="B1579" s="1" t="n">
        <v>45772.41831018519</v>
      </c>
      <c r="C1579" s="1" t="n">
        <v>46140</v>
      </c>
      <c r="D1579" t="inlineStr">
        <is>
          <t>VÄRMLANDS LÄN</t>
        </is>
      </c>
      <c r="E1579" t="inlineStr">
        <is>
          <t>TORSBY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4171-2026</t>
        </is>
      </c>
      <c r="B1580" s="1" t="n">
        <v>46044.6733912037</v>
      </c>
      <c r="C1580" s="1" t="n">
        <v>46140</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3685-2026</t>
        </is>
      </c>
      <c r="B1581" s="1" t="n">
        <v>46043</v>
      </c>
      <c r="C1581" s="1" t="n">
        <v>46140</v>
      </c>
      <c r="D1581" t="inlineStr">
        <is>
          <t>VÄRMLANDS LÄN</t>
        </is>
      </c>
      <c r="E1581" t="inlineStr">
        <is>
          <t>TORSBY</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21465-2022</t>
        </is>
      </c>
      <c r="B1582" s="1" t="n">
        <v>44706.38893518518</v>
      </c>
      <c r="C1582" s="1" t="n">
        <v>46140</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1527-2024</t>
        </is>
      </c>
      <c r="B1583" s="1" t="n">
        <v>45306.45614583333</v>
      </c>
      <c r="C1583" s="1" t="n">
        <v>46140</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16017-2025</t>
        </is>
      </c>
      <c r="B1584" s="1" t="n">
        <v>45749</v>
      </c>
      <c r="C1584" s="1" t="n">
        <v>46140</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3658-2026</t>
        </is>
      </c>
      <c r="B1585" s="1" t="n">
        <v>46043.38148148148</v>
      </c>
      <c r="C1585" s="1" t="n">
        <v>46140</v>
      </c>
      <c r="D1585" t="inlineStr">
        <is>
          <t>VÄRMLANDS LÄN</t>
        </is>
      </c>
      <c r="E1585" t="inlineStr">
        <is>
          <t>TORSBY</t>
        </is>
      </c>
      <c r="F1585" t="inlineStr">
        <is>
          <t>Kommuner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18447-2025</t>
        </is>
      </c>
      <c r="B1586" s="1" t="n">
        <v>45762</v>
      </c>
      <c r="C1586" s="1" t="n">
        <v>46140</v>
      </c>
      <c r="D1586" t="inlineStr">
        <is>
          <t>VÄRMLANDS LÄN</t>
        </is>
      </c>
      <c r="E1586" t="inlineStr">
        <is>
          <t>TORSBY</t>
        </is>
      </c>
      <c r="G1586" t="n">
        <v>12.8</v>
      </c>
      <c r="H1586" t="n">
        <v>0</v>
      </c>
      <c r="I1586" t="n">
        <v>0</v>
      </c>
      <c r="J1586" t="n">
        <v>0</v>
      </c>
      <c r="K1586" t="n">
        <v>0</v>
      </c>
      <c r="L1586" t="n">
        <v>0</v>
      </c>
      <c r="M1586" t="n">
        <v>0</v>
      </c>
      <c r="N1586" t="n">
        <v>0</v>
      </c>
      <c r="O1586" t="n">
        <v>0</v>
      </c>
      <c r="P1586" t="n">
        <v>0</v>
      </c>
      <c r="Q1586" t="n">
        <v>0</v>
      </c>
      <c r="R1586" s="2" t="inlineStr"/>
    </row>
    <row r="1587" ht="15" customHeight="1">
      <c r="A1587" t="inlineStr">
        <is>
          <t>A 12933-2023</t>
        </is>
      </c>
      <c r="B1587" s="1" t="n">
        <v>45001</v>
      </c>
      <c r="C1587" s="1" t="n">
        <v>46140</v>
      </c>
      <c r="D1587" t="inlineStr">
        <is>
          <t>VÄRMLANDS LÄN</t>
        </is>
      </c>
      <c r="E1587" t="inlineStr">
        <is>
          <t>TORSBY</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3737-2026</t>
        </is>
      </c>
      <c r="B1588" s="1" t="n">
        <v>46043.52572916666</v>
      </c>
      <c r="C1588" s="1" t="n">
        <v>46140</v>
      </c>
      <c r="D1588" t="inlineStr">
        <is>
          <t>VÄRMLANDS LÄN</t>
        </is>
      </c>
      <c r="E1588" t="inlineStr">
        <is>
          <t>TORSBY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23818-2022</t>
        </is>
      </c>
      <c r="B1589" s="1" t="n">
        <v>44722</v>
      </c>
      <c r="C1589" s="1" t="n">
        <v>46140</v>
      </c>
      <c r="D1589" t="inlineStr">
        <is>
          <t>VÄRMLANDS LÄN</t>
        </is>
      </c>
      <c r="E1589" t="inlineStr">
        <is>
          <t>TORSBY</t>
        </is>
      </c>
      <c r="G1589" t="n">
        <v>23.5</v>
      </c>
      <c r="H1589" t="n">
        <v>0</v>
      </c>
      <c r="I1589" t="n">
        <v>0</v>
      </c>
      <c r="J1589" t="n">
        <v>0</v>
      </c>
      <c r="K1589" t="n">
        <v>0</v>
      </c>
      <c r="L1589" t="n">
        <v>0</v>
      </c>
      <c r="M1589" t="n">
        <v>0</v>
      </c>
      <c r="N1589" t="n">
        <v>0</v>
      </c>
      <c r="O1589" t="n">
        <v>0</v>
      </c>
      <c r="P1589" t="n">
        <v>0</v>
      </c>
      <c r="Q1589" t="n">
        <v>0</v>
      </c>
      <c r="R1589" s="2" t="inlineStr"/>
    </row>
    <row r="1590" ht="15" customHeight="1">
      <c r="A1590" t="inlineStr">
        <is>
          <t>A 14413-2025</t>
        </is>
      </c>
      <c r="B1590" s="1" t="n">
        <v>45741</v>
      </c>
      <c r="C1590" s="1" t="n">
        <v>46140</v>
      </c>
      <c r="D1590" t="inlineStr">
        <is>
          <t>VÄRMLANDS LÄN</t>
        </is>
      </c>
      <c r="E1590" t="inlineStr">
        <is>
          <t>TORSBY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14419-2025</t>
        </is>
      </c>
      <c r="B1591" s="1" t="n">
        <v>45741</v>
      </c>
      <c r="C1591" s="1" t="n">
        <v>46140</v>
      </c>
      <c r="D1591" t="inlineStr">
        <is>
          <t>VÄRMLANDS LÄN</t>
        </is>
      </c>
      <c r="E1591" t="inlineStr">
        <is>
          <t>TORSBY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17754-2025</t>
        </is>
      </c>
      <c r="B1592" s="1" t="n">
        <v>45758</v>
      </c>
      <c r="C1592" s="1" t="n">
        <v>46140</v>
      </c>
      <c r="D1592" t="inlineStr">
        <is>
          <t>VÄRMLANDS LÄN</t>
        </is>
      </c>
      <c r="E1592" t="inlineStr">
        <is>
          <t>TORSBY</t>
        </is>
      </c>
      <c r="F1592" t="inlineStr">
        <is>
          <t>Bergvik skog väst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35134-2022</t>
        </is>
      </c>
      <c r="B1593" s="1" t="n">
        <v>44797</v>
      </c>
      <c r="C1593" s="1" t="n">
        <v>46140</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44262-2023</t>
        </is>
      </c>
      <c r="B1594" s="1" t="n">
        <v>45188.59809027778</v>
      </c>
      <c r="C1594" s="1" t="n">
        <v>46140</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17488-2023</t>
        </is>
      </c>
      <c r="B1595" s="1" t="n">
        <v>45036</v>
      </c>
      <c r="C1595" s="1" t="n">
        <v>46140</v>
      </c>
      <c r="D1595" t="inlineStr">
        <is>
          <t>VÄRMLANDS LÄN</t>
        </is>
      </c>
      <c r="E1595" t="inlineStr">
        <is>
          <t>TORSBY</t>
        </is>
      </c>
      <c r="G1595" t="n">
        <v>15.6</v>
      </c>
      <c r="H1595" t="n">
        <v>0</v>
      </c>
      <c r="I1595" t="n">
        <v>0</v>
      </c>
      <c r="J1595" t="n">
        <v>0</v>
      </c>
      <c r="K1595" t="n">
        <v>0</v>
      </c>
      <c r="L1595" t="n">
        <v>0</v>
      </c>
      <c r="M1595" t="n">
        <v>0</v>
      </c>
      <c r="N1595" t="n">
        <v>0</v>
      </c>
      <c r="O1595" t="n">
        <v>0</v>
      </c>
      <c r="P1595" t="n">
        <v>0</v>
      </c>
      <c r="Q1595" t="n">
        <v>0</v>
      </c>
      <c r="R1595" s="2" t="inlineStr"/>
    </row>
    <row r="1596" ht="15" customHeight="1">
      <c r="A1596" t="inlineStr">
        <is>
          <t>A 53583-2024</t>
        </is>
      </c>
      <c r="B1596" s="1" t="n">
        <v>45614.66449074074</v>
      </c>
      <c r="C1596" s="1" t="n">
        <v>46140</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4908-2024</t>
        </is>
      </c>
      <c r="B1597" s="1" t="n">
        <v>45329</v>
      </c>
      <c r="C1597" s="1" t="n">
        <v>46140</v>
      </c>
      <c r="D1597" t="inlineStr">
        <is>
          <t>VÄRMLANDS LÄN</t>
        </is>
      </c>
      <c r="E1597" t="inlineStr">
        <is>
          <t>TORSBY</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45548-2024</t>
        </is>
      </c>
      <c r="B1598" s="1" t="n">
        <v>45579</v>
      </c>
      <c r="C1598" s="1" t="n">
        <v>46140</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4707-2023</t>
        </is>
      </c>
      <c r="B1599" s="1" t="n">
        <v>44957</v>
      </c>
      <c r="C1599" s="1" t="n">
        <v>46140</v>
      </c>
      <c r="D1599" t="inlineStr">
        <is>
          <t>VÄRMLANDS LÄN</t>
        </is>
      </c>
      <c r="E1599" t="inlineStr">
        <is>
          <t>TORSBY</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29990-2022</t>
        </is>
      </c>
      <c r="B1600" s="1" t="n">
        <v>44756.73530092592</v>
      </c>
      <c r="C1600" s="1" t="n">
        <v>46140</v>
      </c>
      <c r="D1600" t="inlineStr">
        <is>
          <t>VÄRMLANDS LÄN</t>
        </is>
      </c>
      <c r="E1600" t="inlineStr">
        <is>
          <t>TORSBY</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28380-2025</t>
        </is>
      </c>
      <c r="B1601" s="1" t="n">
        <v>45819.30581018519</v>
      </c>
      <c r="C1601" s="1" t="n">
        <v>46140</v>
      </c>
      <c r="D1601" t="inlineStr">
        <is>
          <t>VÄRMLANDS LÄN</t>
        </is>
      </c>
      <c r="E1601" t="inlineStr">
        <is>
          <t>TORSBY</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44838-2024</t>
        </is>
      </c>
      <c r="B1602" s="1" t="n">
        <v>45574.7069675926</v>
      </c>
      <c r="C1602" s="1" t="n">
        <v>46140</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37381-2025</t>
        </is>
      </c>
      <c r="B1603" s="1" t="n">
        <v>45877</v>
      </c>
      <c r="C1603" s="1" t="n">
        <v>46140</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15873-2025</t>
        </is>
      </c>
      <c r="B1604" s="1" t="n">
        <v>45749.3759375</v>
      </c>
      <c r="C1604" s="1" t="n">
        <v>46140</v>
      </c>
      <c r="D1604" t="inlineStr">
        <is>
          <t>VÄRMLANDS LÄN</t>
        </is>
      </c>
      <c r="E1604" t="inlineStr">
        <is>
          <t>TORSBY</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4789-2026</t>
        </is>
      </c>
      <c r="B1605" s="1" t="n">
        <v>46048</v>
      </c>
      <c r="C1605" s="1" t="n">
        <v>46140</v>
      </c>
      <c r="D1605" t="inlineStr">
        <is>
          <t>VÄRMLANDS LÄN</t>
        </is>
      </c>
      <c r="E1605" t="inlineStr">
        <is>
          <t>TORSBY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4782-2026</t>
        </is>
      </c>
      <c r="B1606" s="1" t="n">
        <v>46048</v>
      </c>
      <c r="C1606" s="1" t="n">
        <v>46140</v>
      </c>
      <c r="D1606" t="inlineStr">
        <is>
          <t>VÄRMLANDS LÄN</t>
        </is>
      </c>
      <c r="E1606" t="inlineStr">
        <is>
          <t>TORSBY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4703-2026</t>
        </is>
      </c>
      <c r="B1607" s="1" t="n">
        <v>46048.45079861111</v>
      </c>
      <c r="C1607" s="1" t="n">
        <v>46140</v>
      </c>
      <c r="D1607" t="inlineStr">
        <is>
          <t>VÄRMLANDS LÄN</t>
        </is>
      </c>
      <c r="E1607" t="inlineStr">
        <is>
          <t>TORSBY</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44708-2022</t>
        </is>
      </c>
      <c r="B1608" s="1" t="n">
        <v>44840.73633101852</v>
      </c>
      <c r="C1608" s="1" t="n">
        <v>46140</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51843-2022</t>
        </is>
      </c>
      <c r="B1609" s="1" t="n">
        <v>44872</v>
      </c>
      <c r="C1609" s="1" t="n">
        <v>46140</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18576-2025</t>
        </is>
      </c>
      <c r="B1610" s="1" t="n">
        <v>45763</v>
      </c>
      <c r="C1610" s="1" t="n">
        <v>46140</v>
      </c>
      <c r="D1610" t="inlineStr">
        <is>
          <t>VÄRMLANDS LÄN</t>
        </is>
      </c>
      <c r="E1610" t="inlineStr">
        <is>
          <t>TORSBY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18584-2025</t>
        </is>
      </c>
      <c r="B1611" s="1" t="n">
        <v>45763.46973379629</v>
      </c>
      <c r="C1611" s="1" t="n">
        <v>46140</v>
      </c>
      <c r="D1611" t="inlineStr">
        <is>
          <t>VÄRMLANDS LÄN</t>
        </is>
      </c>
      <c r="E1611" t="inlineStr">
        <is>
          <t>TORSBY</t>
        </is>
      </c>
      <c r="F1611" t="inlineStr">
        <is>
          <t>Kyrkan</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4219-2024</t>
        </is>
      </c>
      <c r="B1612" s="1" t="n">
        <v>45324</v>
      </c>
      <c r="C1612" s="1" t="n">
        <v>46140</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731-2024</t>
        </is>
      </c>
      <c r="B1613" s="1" t="n">
        <v>45300</v>
      </c>
      <c r="C1613" s="1" t="n">
        <v>46140</v>
      </c>
      <c r="D1613" t="inlineStr">
        <is>
          <t>VÄRMLANDS LÄN</t>
        </is>
      </c>
      <c r="E1613" t="inlineStr">
        <is>
          <t>TORSBY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4988-2026</t>
        </is>
      </c>
      <c r="B1614" s="1" t="n">
        <v>46049</v>
      </c>
      <c r="C1614" s="1" t="n">
        <v>46140</v>
      </c>
      <c r="D1614" t="inlineStr">
        <is>
          <t>VÄRMLANDS LÄN</t>
        </is>
      </c>
      <c r="E1614" t="inlineStr">
        <is>
          <t>TORSBY</t>
        </is>
      </c>
      <c r="F1614" t="inlineStr">
        <is>
          <t>Bergvik skog väst AB</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5193-2026</t>
        </is>
      </c>
      <c r="B1615" s="1" t="n">
        <v>46049</v>
      </c>
      <c r="C1615" s="1" t="n">
        <v>46140</v>
      </c>
      <c r="D1615" t="inlineStr">
        <is>
          <t>VÄRMLANDS LÄN</t>
        </is>
      </c>
      <c r="E1615" t="inlineStr">
        <is>
          <t>TORSBY</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5562-2026</t>
        </is>
      </c>
      <c r="B1616" s="1" t="n">
        <v>46050</v>
      </c>
      <c r="C1616" s="1" t="n">
        <v>46140</v>
      </c>
      <c r="D1616" t="inlineStr">
        <is>
          <t>VÄRMLANDS LÄN</t>
        </is>
      </c>
      <c r="E1616" t="inlineStr">
        <is>
          <t>TORSBY</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32444-2022</t>
        </is>
      </c>
      <c r="B1617" s="1" t="n">
        <v>44782</v>
      </c>
      <c r="C1617" s="1" t="n">
        <v>46140</v>
      </c>
      <c r="D1617" t="inlineStr">
        <is>
          <t>VÄRMLANDS LÄN</t>
        </is>
      </c>
      <c r="E1617" t="inlineStr">
        <is>
          <t>TORSBY</t>
        </is>
      </c>
      <c r="F1617" t="inlineStr">
        <is>
          <t>Bergvik skog väst AB</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32496-2022</t>
        </is>
      </c>
      <c r="B1618" s="1" t="n">
        <v>44782</v>
      </c>
      <c r="C1618" s="1" t="n">
        <v>46140</v>
      </c>
      <c r="D1618" t="inlineStr">
        <is>
          <t>VÄRMLANDS LÄN</t>
        </is>
      </c>
      <c r="E1618" t="inlineStr">
        <is>
          <t>TORSBY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15022-2025</t>
        </is>
      </c>
      <c r="B1619" s="1" t="n">
        <v>45743</v>
      </c>
      <c r="C1619" s="1" t="n">
        <v>46140</v>
      </c>
      <c r="D1619" t="inlineStr">
        <is>
          <t>VÄRMLANDS LÄN</t>
        </is>
      </c>
      <c r="E1619" t="inlineStr">
        <is>
          <t>TORSBY</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40009-2022</t>
        </is>
      </c>
      <c r="B1620" s="1" t="n">
        <v>44820</v>
      </c>
      <c r="C1620" s="1" t="n">
        <v>46140</v>
      </c>
      <c r="D1620" t="inlineStr">
        <is>
          <t>VÄRMLANDS LÄN</t>
        </is>
      </c>
      <c r="E1620" t="inlineStr">
        <is>
          <t>TORSBY</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5088-2026</t>
        </is>
      </c>
      <c r="B1621" s="1" t="n">
        <v>46049.55236111111</v>
      </c>
      <c r="C1621" s="1" t="n">
        <v>46140</v>
      </c>
      <c r="D1621" t="inlineStr">
        <is>
          <t>VÄRMLANDS LÄN</t>
        </is>
      </c>
      <c r="E1621" t="inlineStr">
        <is>
          <t>TORSBY</t>
        </is>
      </c>
      <c r="F1621" t="inlineStr">
        <is>
          <t>Bergvik skog väst AB</t>
        </is>
      </c>
      <c r="G1621" t="n">
        <v>18.3</v>
      </c>
      <c r="H1621" t="n">
        <v>0</v>
      </c>
      <c r="I1621" t="n">
        <v>0</v>
      </c>
      <c r="J1621" t="n">
        <v>0</v>
      </c>
      <c r="K1621" t="n">
        <v>0</v>
      </c>
      <c r="L1621" t="n">
        <v>0</v>
      </c>
      <c r="M1621" t="n">
        <v>0</v>
      </c>
      <c r="N1621" t="n">
        <v>0</v>
      </c>
      <c r="O1621" t="n">
        <v>0</v>
      </c>
      <c r="P1621" t="n">
        <v>0</v>
      </c>
      <c r="Q1621" t="n">
        <v>0</v>
      </c>
      <c r="R1621" s="2" t="inlineStr"/>
    </row>
    <row r="1622" ht="15" customHeight="1">
      <c r="A1622" t="inlineStr">
        <is>
          <t>A 57647-2023</t>
        </is>
      </c>
      <c r="B1622" s="1" t="n">
        <v>45246.59627314815</v>
      </c>
      <c r="C1622" s="1" t="n">
        <v>46140</v>
      </c>
      <c r="D1622" t="inlineStr">
        <is>
          <t>VÄRMLANDS LÄN</t>
        </is>
      </c>
      <c r="E1622" t="inlineStr">
        <is>
          <t>TORSBY</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924-2024</t>
        </is>
      </c>
      <c r="B1623" s="1" t="n">
        <v>45301</v>
      </c>
      <c r="C1623" s="1" t="n">
        <v>46140</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5084-2026</t>
        </is>
      </c>
      <c r="B1624" s="1" t="n">
        <v>46049.54569444444</v>
      </c>
      <c r="C1624" s="1" t="n">
        <v>46140</v>
      </c>
      <c r="D1624" t="inlineStr">
        <is>
          <t>VÄRMLANDS LÄN</t>
        </is>
      </c>
      <c r="E1624" t="inlineStr">
        <is>
          <t>TORSBY</t>
        </is>
      </c>
      <c r="F1624" t="inlineStr">
        <is>
          <t>Bergvik skog väst AB</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67933-2021</t>
        </is>
      </c>
      <c r="B1625" s="1" t="n">
        <v>44525</v>
      </c>
      <c r="C1625" s="1" t="n">
        <v>46140</v>
      </c>
      <c r="D1625" t="inlineStr">
        <is>
          <t>VÄRMLANDS LÄN</t>
        </is>
      </c>
      <c r="E1625" t="inlineStr">
        <is>
          <t>TORSBY</t>
        </is>
      </c>
      <c r="F1625" t="inlineStr">
        <is>
          <t>Bergvik skog väst AB</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5493-2026</t>
        </is>
      </c>
      <c r="B1626" s="1" t="n">
        <v>46050</v>
      </c>
      <c r="C1626" s="1" t="n">
        <v>46140</v>
      </c>
      <c r="D1626" t="inlineStr">
        <is>
          <t>VÄRMLANDS LÄN</t>
        </is>
      </c>
      <c r="E1626" t="inlineStr">
        <is>
          <t>TORSBY</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37822-2023</t>
        </is>
      </c>
      <c r="B1627" s="1" t="n">
        <v>45160.30215277777</v>
      </c>
      <c r="C1627" s="1" t="n">
        <v>46140</v>
      </c>
      <c r="D1627" t="inlineStr">
        <is>
          <t>VÄRMLANDS LÄN</t>
        </is>
      </c>
      <c r="E1627" t="inlineStr">
        <is>
          <t>TORSBY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30789-2024</t>
        </is>
      </c>
      <c r="B1628" s="1" t="n">
        <v>45497.178125</v>
      </c>
      <c r="C1628" s="1" t="n">
        <v>46140</v>
      </c>
      <c r="D1628" t="inlineStr">
        <is>
          <t>VÄRMLANDS LÄN</t>
        </is>
      </c>
      <c r="E1628" t="inlineStr">
        <is>
          <t>TORSBY</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5554-2026</t>
        </is>
      </c>
      <c r="B1629" s="1" t="n">
        <v>46050.72899305556</v>
      </c>
      <c r="C1629" s="1" t="n">
        <v>46140</v>
      </c>
      <c r="D1629" t="inlineStr">
        <is>
          <t>VÄRMLANDS LÄN</t>
        </is>
      </c>
      <c r="E1629" t="inlineStr">
        <is>
          <t>TORSBY</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5553-2026</t>
        </is>
      </c>
      <c r="B1630" s="1" t="n">
        <v>46050.72769675926</v>
      </c>
      <c r="C1630" s="1" t="n">
        <v>46140</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34717-2024</t>
        </is>
      </c>
      <c r="B1631" s="1" t="n">
        <v>45526.56409722222</v>
      </c>
      <c r="C1631" s="1" t="n">
        <v>46140</v>
      </c>
      <c r="D1631" t="inlineStr">
        <is>
          <t>VÄRMLANDS LÄN</t>
        </is>
      </c>
      <c r="E1631" t="inlineStr">
        <is>
          <t>TORSBY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5976-2026</t>
        </is>
      </c>
      <c r="B1632" s="1" t="n">
        <v>46052</v>
      </c>
      <c r="C1632" s="1" t="n">
        <v>46140</v>
      </c>
      <c r="D1632" t="inlineStr">
        <is>
          <t>VÄRMLANDS LÄN</t>
        </is>
      </c>
      <c r="E1632" t="inlineStr">
        <is>
          <t>TORSBY</t>
        </is>
      </c>
      <c r="F1632" t="inlineStr">
        <is>
          <t>Bergvik skog väst AB</t>
        </is>
      </c>
      <c r="G1632" t="n">
        <v>18.4</v>
      </c>
      <c r="H1632" t="n">
        <v>0</v>
      </c>
      <c r="I1632" t="n">
        <v>0</v>
      </c>
      <c r="J1632" t="n">
        <v>0</v>
      </c>
      <c r="K1632" t="n">
        <v>0</v>
      </c>
      <c r="L1632" t="n">
        <v>0</v>
      </c>
      <c r="M1632" t="n">
        <v>0</v>
      </c>
      <c r="N1632" t="n">
        <v>0</v>
      </c>
      <c r="O1632" t="n">
        <v>0</v>
      </c>
      <c r="P1632" t="n">
        <v>0</v>
      </c>
      <c r="Q1632" t="n">
        <v>0</v>
      </c>
      <c r="R1632" s="2" t="inlineStr"/>
    </row>
    <row r="1633" ht="15" customHeight="1">
      <c r="A1633" t="inlineStr">
        <is>
          <t>A 5720-2026</t>
        </is>
      </c>
      <c r="B1633" s="1" t="n">
        <v>46051.54165509259</v>
      </c>
      <c r="C1633" s="1" t="n">
        <v>46140</v>
      </c>
      <c r="D1633" t="inlineStr">
        <is>
          <t>VÄRMLANDS LÄN</t>
        </is>
      </c>
      <c r="E1633" t="inlineStr">
        <is>
          <t>TORSBY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54532-2023</t>
        </is>
      </c>
      <c r="B1634" s="1" t="n">
        <v>45233</v>
      </c>
      <c r="C1634" s="1" t="n">
        <v>46140</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58304-2024</t>
        </is>
      </c>
      <c r="B1635" s="1" t="n">
        <v>45632</v>
      </c>
      <c r="C1635" s="1" t="n">
        <v>46140</v>
      </c>
      <c r="D1635" t="inlineStr">
        <is>
          <t>VÄRMLANDS LÄN</t>
        </is>
      </c>
      <c r="E1635" t="inlineStr">
        <is>
          <t>TORSBY</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15931-2025</t>
        </is>
      </c>
      <c r="B1636" s="1" t="n">
        <v>45749.46791666667</v>
      </c>
      <c r="C1636" s="1" t="n">
        <v>46140</v>
      </c>
      <c r="D1636" t="inlineStr">
        <is>
          <t>VÄRMLANDS LÄN</t>
        </is>
      </c>
      <c r="E1636" t="inlineStr">
        <is>
          <t>TORSBY</t>
        </is>
      </c>
      <c r="F1636" t="inlineStr">
        <is>
          <t>Bergvik skog väst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6084-2026</t>
        </is>
      </c>
      <c r="B1637" s="1" t="n">
        <v>46052.69313657407</v>
      </c>
      <c r="C1637" s="1" t="n">
        <v>46140</v>
      </c>
      <c r="D1637" t="inlineStr">
        <is>
          <t>VÄRMLANDS LÄN</t>
        </is>
      </c>
      <c r="E1637" t="inlineStr">
        <is>
          <t>TORSBY</t>
        </is>
      </c>
      <c r="G1637" t="n">
        <v>19.5</v>
      </c>
      <c r="H1637" t="n">
        <v>0</v>
      </c>
      <c r="I1637" t="n">
        <v>0</v>
      </c>
      <c r="J1637" t="n">
        <v>0</v>
      </c>
      <c r="K1637" t="n">
        <v>0</v>
      </c>
      <c r="L1637" t="n">
        <v>0</v>
      </c>
      <c r="M1637" t="n">
        <v>0</v>
      </c>
      <c r="N1637" t="n">
        <v>0</v>
      </c>
      <c r="O1637" t="n">
        <v>0</v>
      </c>
      <c r="P1637" t="n">
        <v>0</v>
      </c>
      <c r="Q1637" t="n">
        <v>0</v>
      </c>
      <c r="R1637" s="2" t="inlineStr"/>
    </row>
    <row r="1638" ht="15" customHeight="1">
      <c r="A1638" t="inlineStr">
        <is>
          <t>A 5979-2026</t>
        </is>
      </c>
      <c r="B1638" s="1" t="n">
        <v>46052</v>
      </c>
      <c r="C1638" s="1" t="n">
        <v>46140</v>
      </c>
      <c r="D1638" t="inlineStr">
        <is>
          <t>VÄRMLANDS LÄN</t>
        </is>
      </c>
      <c r="E1638" t="inlineStr">
        <is>
          <t>TORSBY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5639-2026</t>
        </is>
      </c>
      <c r="B1639" s="1" t="n">
        <v>46051</v>
      </c>
      <c r="C1639" s="1" t="n">
        <v>46140</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5714-2026</t>
        </is>
      </c>
      <c r="B1640" s="1" t="n">
        <v>46051.52498842592</v>
      </c>
      <c r="C1640" s="1" t="n">
        <v>46140</v>
      </c>
      <c r="D1640" t="inlineStr">
        <is>
          <t>VÄRMLANDS LÄN</t>
        </is>
      </c>
      <c r="E1640" t="inlineStr">
        <is>
          <t>TORSBY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5983-2026</t>
        </is>
      </c>
      <c r="B1641" s="1" t="n">
        <v>46052</v>
      </c>
      <c r="C1641" s="1" t="n">
        <v>46140</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46424-2023</t>
        </is>
      </c>
      <c r="B1642" s="1" t="n">
        <v>45197.56141203704</v>
      </c>
      <c r="C1642" s="1" t="n">
        <v>46140</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69878-2021</t>
        </is>
      </c>
      <c r="B1643" s="1" t="n">
        <v>44532.82293981482</v>
      </c>
      <c r="C1643" s="1" t="n">
        <v>46140</v>
      </c>
      <c r="D1643" t="inlineStr">
        <is>
          <t>VÄRMLANDS LÄN</t>
        </is>
      </c>
      <c r="E1643" t="inlineStr">
        <is>
          <t>TORSBY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1547-2024</t>
        </is>
      </c>
      <c r="B1644" s="1" t="n">
        <v>45306.48456018518</v>
      </c>
      <c r="C1644" s="1" t="n">
        <v>46140</v>
      </c>
      <c r="D1644" t="inlineStr">
        <is>
          <t>VÄRMLANDS LÄN</t>
        </is>
      </c>
      <c r="E1644" t="inlineStr">
        <is>
          <t>TORSBY</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13887-2026</t>
        </is>
      </c>
      <c r="B1645" s="1" t="n">
        <v>46098.45368055555</v>
      </c>
      <c r="C1645" s="1" t="n">
        <v>46140</v>
      </c>
      <c r="D1645" t="inlineStr">
        <is>
          <t>VÄRMLANDS LÄN</t>
        </is>
      </c>
      <c r="E1645" t="inlineStr">
        <is>
          <t>TORSBY</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13891-2026</t>
        </is>
      </c>
      <c r="B1646" s="1" t="n">
        <v>46098.45974537037</v>
      </c>
      <c r="C1646" s="1" t="n">
        <v>46140</v>
      </c>
      <c r="D1646" t="inlineStr">
        <is>
          <t>VÄRMLANDS LÄN</t>
        </is>
      </c>
      <c r="E1646" t="inlineStr">
        <is>
          <t>TORSBY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72200-2021</t>
        </is>
      </c>
      <c r="B1647" s="1" t="n">
        <v>44544.67358796296</v>
      </c>
      <c r="C1647" s="1" t="n">
        <v>46140</v>
      </c>
      <c r="D1647" t="inlineStr">
        <is>
          <t>VÄRMLANDS LÄN</t>
        </is>
      </c>
      <c r="E1647" t="inlineStr">
        <is>
          <t>TORSBY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6322-2026</t>
        </is>
      </c>
      <c r="B1648" s="1" t="n">
        <v>46055</v>
      </c>
      <c r="C1648" s="1" t="n">
        <v>46140</v>
      </c>
      <c r="D1648" t="inlineStr">
        <is>
          <t>VÄRMLANDS LÄN</t>
        </is>
      </c>
      <c r="E1648" t="inlineStr">
        <is>
          <t>TORSBY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41841-2023</t>
        </is>
      </c>
      <c r="B1649" s="1" t="n">
        <v>45176.60436342593</v>
      </c>
      <c r="C1649" s="1" t="n">
        <v>46140</v>
      </c>
      <c r="D1649" t="inlineStr">
        <is>
          <t>VÄRMLANDS LÄN</t>
        </is>
      </c>
      <c r="E1649" t="inlineStr">
        <is>
          <t>TORSBY</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40007-2023</t>
        </is>
      </c>
      <c r="B1650" s="1" t="n">
        <v>45168</v>
      </c>
      <c r="C1650" s="1" t="n">
        <v>46140</v>
      </c>
      <c r="D1650" t="inlineStr">
        <is>
          <t>VÄRMLANDS LÄN</t>
        </is>
      </c>
      <c r="E1650" t="inlineStr">
        <is>
          <t>TORSBY</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3098-2023</t>
        </is>
      </c>
      <c r="B1651" s="1" t="n">
        <v>44946.46096064815</v>
      </c>
      <c r="C1651" s="1" t="n">
        <v>46140</v>
      </c>
      <c r="D1651" t="inlineStr">
        <is>
          <t>VÄRMLANDS LÄN</t>
        </is>
      </c>
      <c r="E1651" t="inlineStr">
        <is>
          <t>TORSBY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3103-2023</t>
        </is>
      </c>
      <c r="B1652" s="1" t="n">
        <v>44946</v>
      </c>
      <c r="C1652" s="1" t="n">
        <v>46140</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59005-2024</t>
        </is>
      </c>
      <c r="B1653" s="1" t="n">
        <v>45636.65234953703</v>
      </c>
      <c r="C1653" s="1" t="n">
        <v>46140</v>
      </c>
      <c r="D1653" t="inlineStr">
        <is>
          <t>VÄRMLANDS LÄN</t>
        </is>
      </c>
      <c r="E1653" t="inlineStr">
        <is>
          <t>TORSBY</t>
        </is>
      </c>
      <c r="G1653" t="n">
        <v>9.6</v>
      </c>
      <c r="H1653" t="n">
        <v>0</v>
      </c>
      <c r="I1653" t="n">
        <v>0</v>
      </c>
      <c r="J1653" t="n">
        <v>0</v>
      </c>
      <c r="K1653" t="n">
        <v>0</v>
      </c>
      <c r="L1653" t="n">
        <v>0</v>
      </c>
      <c r="M1653" t="n">
        <v>0</v>
      </c>
      <c r="N1653" t="n">
        <v>0</v>
      </c>
      <c r="O1653" t="n">
        <v>0</v>
      </c>
      <c r="P1653" t="n">
        <v>0</v>
      </c>
      <c r="Q1653" t="n">
        <v>0</v>
      </c>
      <c r="R1653" s="2" t="inlineStr"/>
    </row>
    <row r="1654" ht="15" customHeight="1">
      <c r="A1654" t="inlineStr">
        <is>
          <t>A 6603-2026</t>
        </is>
      </c>
      <c r="B1654" s="1" t="n">
        <v>46056.47186342593</v>
      </c>
      <c r="C1654" s="1" t="n">
        <v>46140</v>
      </c>
      <c r="D1654" t="inlineStr">
        <is>
          <t>VÄRMLANDS LÄN</t>
        </is>
      </c>
      <c r="E1654" t="inlineStr">
        <is>
          <t>TORSBY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55522-2023</t>
        </is>
      </c>
      <c r="B1655" s="1" t="n">
        <v>45238</v>
      </c>
      <c r="C1655" s="1" t="n">
        <v>46140</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13895-2026</t>
        </is>
      </c>
      <c r="B1656" s="1" t="n">
        <v>46098.46354166666</v>
      </c>
      <c r="C1656" s="1" t="n">
        <v>46140</v>
      </c>
      <c r="D1656" t="inlineStr">
        <is>
          <t>VÄRMLANDS LÄN</t>
        </is>
      </c>
      <c r="E1656" t="inlineStr">
        <is>
          <t>TORSBY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4030-2024</t>
        </is>
      </c>
      <c r="B1657" s="1" t="n">
        <v>45323</v>
      </c>
      <c r="C1657" s="1" t="n">
        <v>46140</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13880-2026</t>
        </is>
      </c>
      <c r="B1658" s="1" t="n">
        <v>46098.44478009259</v>
      </c>
      <c r="C1658" s="1" t="n">
        <v>46140</v>
      </c>
      <c r="D1658" t="inlineStr">
        <is>
          <t>VÄRMLANDS LÄN</t>
        </is>
      </c>
      <c r="E1658" t="inlineStr">
        <is>
          <t>TORSBY</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29925-2024</t>
        </is>
      </c>
      <c r="B1659" s="1" t="n">
        <v>45488</v>
      </c>
      <c r="C1659" s="1" t="n">
        <v>46140</v>
      </c>
      <c r="D1659" t="inlineStr">
        <is>
          <t>VÄRMLANDS LÄN</t>
        </is>
      </c>
      <c r="E1659" t="inlineStr">
        <is>
          <t>TORSBY</t>
        </is>
      </c>
      <c r="F1659" t="inlineStr">
        <is>
          <t>Kyrkan</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29936-2024</t>
        </is>
      </c>
      <c r="B1660" s="1" t="n">
        <v>45488</v>
      </c>
      <c r="C1660" s="1" t="n">
        <v>46140</v>
      </c>
      <c r="D1660" t="inlineStr">
        <is>
          <t>VÄRMLANDS LÄN</t>
        </is>
      </c>
      <c r="E1660" t="inlineStr">
        <is>
          <t>TORSBY</t>
        </is>
      </c>
      <c r="F1660" t="inlineStr">
        <is>
          <t>Kommuner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2797-2025</t>
        </is>
      </c>
      <c r="B1661" s="1" t="n">
        <v>45677</v>
      </c>
      <c r="C1661" s="1" t="n">
        <v>46140</v>
      </c>
      <c r="D1661" t="inlineStr">
        <is>
          <t>VÄRMLANDS LÄN</t>
        </is>
      </c>
      <c r="E1661" t="inlineStr">
        <is>
          <t>TORSBY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62510-2023</t>
        </is>
      </c>
      <c r="B1662" s="1" t="n">
        <v>45268.61853009259</v>
      </c>
      <c r="C1662" s="1" t="n">
        <v>46140</v>
      </c>
      <c r="D1662" t="inlineStr">
        <is>
          <t>VÄRMLANDS LÄN</t>
        </is>
      </c>
      <c r="E1662" t="inlineStr">
        <is>
          <t>TORSBY</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27038-2024</t>
        </is>
      </c>
      <c r="B1663" s="1" t="n">
        <v>45471</v>
      </c>
      <c r="C1663" s="1" t="n">
        <v>46140</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27045-2024</t>
        </is>
      </c>
      <c r="B1664" s="1" t="n">
        <v>45471</v>
      </c>
      <c r="C1664" s="1" t="n">
        <v>46140</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27090-2024</t>
        </is>
      </c>
      <c r="B1665" s="1" t="n">
        <v>45471</v>
      </c>
      <c r="C1665" s="1" t="n">
        <v>46140</v>
      </c>
      <c r="D1665" t="inlineStr">
        <is>
          <t>VÄRMLANDS LÄN</t>
        </is>
      </c>
      <c r="E1665" t="inlineStr">
        <is>
          <t>TORSBY</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60458-2024</t>
        </is>
      </c>
      <c r="B1666" s="1" t="n">
        <v>45643</v>
      </c>
      <c r="C1666" s="1" t="n">
        <v>46140</v>
      </c>
      <c r="D1666" t="inlineStr">
        <is>
          <t>VÄRMLANDS LÄN</t>
        </is>
      </c>
      <c r="E1666" t="inlineStr">
        <is>
          <t>TORSBY</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41518-2024</t>
        </is>
      </c>
      <c r="B1667" s="1" t="n">
        <v>45560</v>
      </c>
      <c r="C1667" s="1" t="n">
        <v>46140</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33429-2024</t>
        </is>
      </c>
      <c r="B1668" s="1" t="n">
        <v>45519.52792824074</v>
      </c>
      <c r="C1668" s="1" t="n">
        <v>46140</v>
      </c>
      <c r="D1668" t="inlineStr">
        <is>
          <t>VÄRMLANDS LÄN</t>
        </is>
      </c>
      <c r="E1668" t="inlineStr">
        <is>
          <t>TORSBY</t>
        </is>
      </c>
      <c r="F1668" t="inlineStr">
        <is>
          <t>Bergvik skog väst AB</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13884-2026</t>
        </is>
      </c>
      <c r="B1669" s="1" t="n">
        <v>46098.44921296297</v>
      </c>
      <c r="C1669" s="1" t="n">
        <v>46140</v>
      </c>
      <c r="D1669" t="inlineStr">
        <is>
          <t>VÄRMLANDS LÄN</t>
        </is>
      </c>
      <c r="E1669" t="inlineStr">
        <is>
          <t>TORSBY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13900-2026</t>
        </is>
      </c>
      <c r="B1670" s="1" t="n">
        <v>46098.46788194445</v>
      </c>
      <c r="C1670" s="1" t="n">
        <v>46140</v>
      </c>
      <c r="D1670" t="inlineStr">
        <is>
          <t>VÄRMLANDS LÄN</t>
        </is>
      </c>
      <c r="E1670" t="inlineStr">
        <is>
          <t>TORSBY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13909-2026</t>
        </is>
      </c>
      <c r="B1671" s="1" t="n">
        <v>46098.47471064814</v>
      </c>
      <c r="C1671" s="1" t="n">
        <v>46140</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13877-2026</t>
        </is>
      </c>
      <c r="B1672" s="1" t="n">
        <v>46098.4414699074</v>
      </c>
      <c r="C1672" s="1" t="n">
        <v>46140</v>
      </c>
      <c r="D1672" t="inlineStr">
        <is>
          <t>VÄRMLANDS LÄN</t>
        </is>
      </c>
      <c r="E1672" t="inlineStr">
        <is>
          <t>TORSBY</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13837-2026</t>
        </is>
      </c>
      <c r="B1673" s="1" t="n">
        <v>46098.36577546296</v>
      </c>
      <c r="C1673" s="1" t="n">
        <v>46140</v>
      </c>
      <c r="D1673" t="inlineStr">
        <is>
          <t>VÄRMLANDS LÄN</t>
        </is>
      </c>
      <c r="E1673" t="inlineStr">
        <is>
          <t>TORSBY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42662-2024</t>
        </is>
      </c>
      <c r="B1674" s="1" t="n">
        <v>45566</v>
      </c>
      <c r="C1674" s="1" t="n">
        <v>46140</v>
      </c>
      <c r="D1674" t="inlineStr">
        <is>
          <t>VÄRMLANDS LÄN</t>
        </is>
      </c>
      <c r="E1674" t="inlineStr">
        <is>
          <t>TORSBY</t>
        </is>
      </c>
      <c r="F1674" t="inlineStr">
        <is>
          <t>Bergvik skog väst AB</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8197-2025</t>
        </is>
      </c>
      <c r="B1675" s="1" t="n">
        <v>45708.4318287037</v>
      </c>
      <c r="C1675" s="1" t="n">
        <v>46140</v>
      </c>
      <c r="D1675" t="inlineStr">
        <is>
          <t>VÄRMLANDS LÄN</t>
        </is>
      </c>
      <c r="E1675" t="inlineStr">
        <is>
          <t>TORSBY</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7322-2026</t>
        </is>
      </c>
      <c r="B1676" s="1" t="n">
        <v>46058.6759837963</v>
      </c>
      <c r="C1676" s="1" t="n">
        <v>46140</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25316-2024</t>
        </is>
      </c>
      <c r="B1677" s="1" t="n">
        <v>45462</v>
      </c>
      <c r="C1677" s="1" t="n">
        <v>46140</v>
      </c>
      <c r="D1677" t="inlineStr">
        <is>
          <t>VÄRMLANDS LÄN</t>
        </is>
      </c>
      <c r="E1677" t="inlineStr">
        <is>
          <t>TORSBY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15899-2024</t>
        </is>
      </c>
      <c r="B1678" s="1" t="n">
        <v>45405.4034837963</v>
      </c>
      <c r="C1678" s="1" t="n">
        <v>46140</v>
      </c>
      <c r="D1678" t="inlineStr">
        <is>
          <t>VÄRMLANDS LÄN</t>
        </is>
      </c>
      <c r="E1678" t="inlineStr">
        <is>
          <t>TORSBY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1803-2024</t>
        </is>
      </c>
      <c r="B1679" s="1" t="n">
        <v>45307</v>
      </c>
      <c r="C1679" s="1" t="n">
        <v>46140</v>
      </c>
      <c r="D1679" t="inlineStr">
        <is>
          <t>VÄRMLANDS LÄN</t>
        </is>
      </c>
      <c r="E1679" t="inlineStr">
        <is>
          <t>TORSBY</t>
        </is>
      </c>
      <c r="G1679" t="n">
        <v>12.9</v>
      </c>
      <c r="H1679" t="n">
        <v>0</v>
      </c>
      <c r="I1679" t="n">
        <v>0</v>
      </c>
      <c r="J1679" t="n">
        <v>0</v>
      </c>
      <c r="K1679" t="n">
        <v>0</v>
      </c>
      <c r="L1679" t="n">
        <v>0</v>
      </c>
      <c r="M1679" t="n">
        <v>0</v>
      </c>
      <c r="N1679" t="n">
        <v>0</v>
      </c>
      <c r="O1679" t="n">
        <v>0</v>
      </c>
      <c r="P1679" t="n">
        <v>0</v>
      </c>
      <c r="Q1679" t="n">
        <v>0</v>
      </c>
      <c r="R1679" s="2" t="inlineStr"/>
    </row>
    <row r="1680" ht="15" customHeight="1">
      <c r="A1680" t="inlineStr">
        <is>
          <t>A 34697-2024</t>
        </is>
      </c>
      <c r="B1680" s="1" t="n">
        <v>45526.55518518519</v>
      </c>
      <c r="C1680" s="1" t="n">
        <v>46140</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36419-2024</t>
        </is>
      </c>
      <c r="B1681" s="1" t="n">
        <v>45536.58380787037</v>
      </c>
      <c r="C1681" s="1" t="n">
        <v>46140</v>
      </c>
      <c r="D1681" t="inlineStr">
        <is>
          <t>VÄRMLANDS LÄN</t>
        </is>
      </c>
      <c r="E1681" t="inlineStr">
        <is>
          <t>TORSBY</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32845-2024</t>
        </is>
      </c>
      <c r="B1682" s="1" t="n">
        <v>45516.62422453704</v>
      </c>
      <c r="C1682" s="1" t="n">
        <v>46140</v>
      </c>
      <c r="D1682" t="inlineStr">
        <is>
          <t>VÄRMLANDS LÄN</t>
        </is>
      </c>
      <c r="E1682" t="inlineStr">
        <is>
          <t>TORSBY</t>
        </is>
      </c>
      <c r="F1682" t="inlineStr">
        <is>
          <t>Bergvik skog väst AB</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4537-2025</t>
        </is>
      </c>
      <c r="B1683" s="1" t="n">
        <v>45687.38836805556</v>
      </c>
      <c r="C1683" s="1" t="n">
        <v>46140</v>
      </c>
      <c r="D1683" t="inlineStr">
        <is>
          <t>VÄRMLANDS LÄN</t>
        </is>
      </c>
      <c r="E1683" t="inlineStr">
        <is>
          <t>TORSBY</t>
        </is>
      </c>
      <c r="F1683" t="inlineStr">
        <is>
          <t>Kommuner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7311-2026</t>
        </is>
      </c>
      <c r="B1684" s="1" t="n">
        <v>46058</v>
      </c>
      <c r="C1684" s="1" t="n">
        <v>46140</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33133-2024</t>
        </is>
      </c>
      <c r="B1685" s="1" t="n">
        <v>45518.31722222222</v>
      </c>
      <c r="C1685" s="1" t="n">
        <v>46140</v>
      </c>
      <c r="D1685" t="inlineStr">
        <is>
          <t>VÄRMLANDS LÄN</t>
        </is>
      </c>
      <c r="E1685" t="inlineStr">
        <is>
          <t>TORSBY</t>
        </is>
      </c>
      <c r="F1685" t="inlineStr">
        <is>
          <t>Bergvik skog väst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7190-2026</t>
        </is>
      </c>
      <c r="B1686" s="1" t="n">
        <v>46058.49616898148</v>
      </c>
      <c r="C1686" s="1" t="n">
        <v>46140</v>
      </c>
      <c r="D1686" t="inlineStr">
        <is>
          <t>VÄRMLANDS LÄN</t>
        </is>
      </c>
      <c r="E1686" t="inlineStr">
        <is>
          <t>TORSBY</t>
        </is>
      </c>
      <c r="F1686" t="inlineStr">
        <is>
          <t>Bergvik skog väst AB</t>
        </is>
      </c>
      <c r="G1686" t="n">
        <v>18.2</v>
      </c>
      <c r="H1686" t="n">
        <v>0</v>
      </c>
      <c r="I1686" t="n">
        <v>0</v>
      </c>
      <c r="J1686" t="n">
        <v>0</v>
      </c>
      <c r="K1686" t="n">
        <v>0</v>
      </c>
      <c r="L1686" t="n">
        <v>0</v>
      </c>
      <c r="M1686" t="n">
        <v>0</v>
      </c>
      <c r="N1686" t="n">
        <v>0</v>
      </c>
      <c r="O1686" t="n">
        <v>0</v>
      </c>
      <c r="P1686" t="n">
        <v>0</v>
      </c>
      <c r="Q1686" t="n">
        <v>0</v>
      </c>
      <c r="R1686" s="2" t="inlineStr"/>
    </row>
    <row r="1687" ht="15" customHeight="1">
      <c r="A1687" t="inlineStr">
        <is>
          <t>A 52809-2024</t>
        </is>
      </c>
      <c r="B1687" s="1" t="n">
        <v>45610</v>
      </c>
      <c r="C1687" s="1" t="n">
        <v>46140</v>
      </c>
      <c r="D1687" t="inlineStr">
        <is>
          <t>VÄRMLANDS LÄN</t>
        </is>
      </c>
      <c r="E1687" t="inlineStr">
        <is>
          <t>TORSBY</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14316-2026</t>
        </is>
      </c>
      <c r="B1688" s="1" t="n">
        <v>46099.86015046296</v>
      </c>
      <c r="C1688" s="1" t="n">
        <v>46140</v>
      </c>
      <c r="D1688" t="inlineStr">
        <is>
          <t>VÄRMLANDS LÄN</t>
        </is>
      </c>
      <c r="E1688" t="inlineStr">
        <is>
          <t>TORSBY</t>
        </is>
      </c>
      <c r="F1688" t="inlineStr">
        <is>
          <t>Bergvik skog väst AB</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15315-2024</t>
        </is>
      </c>
      <c r="B1689" s="1" t="n">
        <v>45400</v>
      </c>
      <c r="C1689" s="1" t="n">
        <v>46140</v>
      </c>
      <c r="D1689" t="inlineStr">
        <is>
          <t>VÄRMLANDS LÄN</t>
        </is>
      </c>
      <c r="E1689" t="inlineStr">
        <is>
          <t>TORSBY</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53381-2022</t>
        </is>
      </c>
      <c r="B1690" s="1" t="n">
        <v>44879</v>
      </c>
      <c r="C1690" s="1" t="n">
        <v>46140</v>
      </c>
      <c r="D1690" t="inlineStr">
        <is>
          <t>VÄRMLANDS LÄN</t>
        </is>
      </c>
      <c r="E1690" t="inlineStr">
        <is>
          <t>TORSBY</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739-2022</t>
        </is>
      </c>
      <c r="B1691" s="1" t="n">
        <v>44568</v>
      </c>
      <c r="C1691" s="1" t="n">
        <v>46140</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38486-2022</t>
        </is>
      </c>
      <c r="B1692" s="1" t="n">
        <v>44813</v>
      </c>
      <c r="C1692" s="1" t="n">
        <v>46140</v>
      </c>
      <c r="D1692" t="inlineStr">
        <is>
          <t>VÄRMLANDS LÄN</t>
        </is>
      </c>
      <c r="E1692" t="inlineStr">
        <is>
          <t>TORSBY</t>
        </is>
      </c>
      <c r="F1692" t="inlineStr">
        <is>
          <t>Bergvik skog väst AB</t>
        </is>
      </c>
      <c r="G1692" t="n">
        <v>9.6</v>
      </c>
      <c r="H1692" t="n">
        <v>0</v>
      </c>
      <c r="I1692" t="n">
        <v>0</v>
      </c>
      <c r="J1692" t="n">
        <v>0</v>
      </c>
      <c r="K1692" t="n">
        <v>0</v>
      </c>
      <c r="L1692" t="n">
        <v>0</v>
      </c>
      <c r="M1692" t="n">
        <v>0</v>
      </c>
      <c r="N1692" t="n">
        <v>0</v>
      </c>
      <c r="O1692" t="n">
        <v>0</v>
      </c>
      <c r="P1692" t="n">
        <v>0</v>
      </c>
      <c r="Q1692" t="n">
        <v>0</v>
      </c>
      <c r="R1692" s="2" t="inlineStr"/>
    </row>
    <row r="1693" ht="15" customHeight="1">
      <c r="A1693" t="inlineStr">
        <is>
          <t>A 14051-2026</t>
        </is>
      </c>
      <c r="B1693" s="1" t="n">
        <v>46099.30069444444</v>
      </c>
      <c r="C1693" s="1" t="n">
        <v>46140</v>
      </c>
      <c r="D1693" t="inlineStr">
        <is>
          <t>VÄRMLANDS LÄN</t>
        </is>
      </c>
      <c r="E1693" t="inlineStr">
        <is>
          <t>TORSBY</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8012-2023</t>
        </is>
      </c>
      <c r="B1694" s="1" t="n">
        <v>44973</v>
      </c>
      <c r="C1694" s="1" t="n">
        <v>46140</v>
      </c>
      <c r="D1694" t="inlineStr">
        <is>
          <t>VÄRMLANDS LÄN</t>
        </is>
      </c>
      <c r="E1694" t="inlineStr">
        <is>
          <t>TORSBY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15274-2024</t>
        </is>
      </c>
      <c r="B1695" s="1" t="n">
        <v>45400.58201388889</v>
      </c>
      <c r="C1695" s="1" t="n">
        <v>46140</v>
      </c>
      <c r="D1695" t="inlineStr">
        <is>
          <t>VÄRMLANDS LÄN</t>
        </is>
      </c>
      <c r="E1695" t="inlineStr">
        <is>
          <t>TORSBY</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14495-2026</t>
        </is>
      </c>
      <c r="B1696" s="1" t="n">
        <v>46100.59685185185</v>
      </c>
      <c r="C1696" s="1" t="n">
        <v>46140</v>
      </c>
      <c r="D1696" t="inlineStr">
        <is>
          <t>VÄRMLANDS LÄN</t>
        </is>
      </c>
      <c r="E1696" t="inlineStr">
        <is>
          <t>TORSBY</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46166-2024</t>
        </is>
      </c>
      <c r="B1697" s="1" t="n">
        <v>45581</v>
      </c>
      <c r="C1697" s="1" t="n">
        <v>46140</v>
      </c>
      <c r="D1697" t="inlineStr">
        <is>
          <t>VÄRMLANDS LÄN</t>
        </is>
      </c>
      <c r="E1697" t="inlineStr">
        <is>
          <t>TORSBY</t>
        </is>
      </c>
      <c r="G1697" t="n">
        <v>9.699999999999999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21094-2022</t>
        </is>
      </c>
      <c r="B1698" s="1" t="n">
        <v>44704</v>
      </c>
      <c r="C1698" s="1" t="n">
        <v>46140</v>
      </c>
      <c r="D1698" t="inlineStr">
        <is>
          <t>VÄRMLANDS LÄN</t>
        </is>
      </c>
      <c r="E1698" t="inlineStr">
        <is>
          <t>TORSBY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7362-2026</t>
        </is>
      </c>
      <c r="B1699" s="1" t="n">
        <v>46059.3088425926</v>
      </c>
      <c r="C1699" s="1" t="n">
        <v>46140</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21390-2023</t>
        </is>
      </c>
      <c r="B1700" s="1" t="n">
        <v>45063</v>
      </c>
      <c r="C1700" s="1" t="n">
        <v>46140</v>
      </c>
      <c r="D1700" t="inlineStr">
        <is>
          <t>VÄRMLANDS LÄN</t>
        </is>
      </c>
      <c r="E1700" t="inlineStr">
        <is>
          <t>TORSBY</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21409-2023</t>
        </is>
      </c>
      <c r="B1701" s="1" t="n">
        <v>45063</v>
      </c>
      <c r="C1701" s="1" t="n">
        <v>46140</v>
      </c>
      <c r="D1701" t="inlineStr">
        <is>
          <t>VÄRMLANDS LÄN</t>
        </is>
      </c>
      <c r="E1701" t="inlineStr">
        <is>
          <t>TORSBY</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34164-2024</t>
        </is>
      </c>
      <c r="B1702" s="1" t="n">
        <v>45524.41924768518</v>
      </c>
      <c r="C1702" s="1" t="n">
        <v>46140</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42945-2024</t>
        </is>
      </c>
      <c r="B1703" s="1" t="n">
        <v>45567</v>
      </c>
      <c r="C1703" s="1" t="n">
        <v>46140</v>
      </c>
      <c r="D1703" t="inlineStr">
        <is>
          <t>VÄRMLANDS LÄN</t>
        </is>
      </c>
      <c r="E1703" t="inlineStr">
        <is>
          <t>TORSBY</t>
        </is>
      </c>
      <c r="F1703" t="inlineStr">
        <is>
          <t>Bergvik skog väst AB</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8048-2022</t>
        </is>
      </c>
      <c r="B1704" s="1" t="n">
        <v>44609</v>
      </c>
      <c r="C1704" s="1" t="n">
        <v>46140</v>
      </c>
      <c r="D1704" t="inlineStr">
        <is>
          <t>VÄRMLANDS LÄN</t>
        </is>
      </c>
      <c r="E1704" t="inlineStr">
        <is>
          <t>TORSBY</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7356-2026</t>
        </is>
      </c>
      <c r="B1705" s="1" t="n">
        <v>46059.30347222222</v>
      </c>
      <c r="C1705" s="1" t="n">
        <v>46140</v>
      </c>
      <c r="D1705" t="inlineStr">
        <is>
          <t>VÄRMLANDS LÄN</t>
        </is>
      </c>
      <c r="E1705" t="inlineStr">
        <is>
          <t>TORSBY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40788-2022</t>
        </is>
      </c>
      <c r="B1706" s="1" t="n">
        <v>44824</v>
      </c>
      <c r="C1706" s="1" t="n">
        <v>46140</v>
      </c>
      <c r="D1706" t="inlineStr">
        <is>
          <t>VÄRMLANDS LÄN</t>
        </is>
      </c>
      <c r="E1706" t="inlineStr">
        <is>
          <t>TORSBY</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7394-2026</t>
        </is>
      </c>
      <c r="B1707" s="1" t="n">
        <v>46059.37266203704</v>
      </c>
      <c r="C1707" s="1" t="n">
        <v>46140</v>
      </c>
      <c r="D1707" t="inlineStr">
        <is>
          <t>VÄRMLANDS LÄN</t>
        </is>
      </c>
      <c r="E1707" t="inlineStr">
        <is>
          <t>TORSBY</t>
        </is>
      </c>
      <c r="F1707" t="inlineStr">
        <is>
          <t>Bergvik skog väst AB</t>
        </is>
      </c>
      <c r="G1707" t="n">
        <v>15.3</v>
      </c>
      <c r="H1707" t="n">
        <v>0</v>
      </c>
      <c r="I1707" t="n">
        <v>0</v>
      </c>
      <c r="J1707" t="n">
        <v>0</v>
      </c>
      <c r="K1707" t="n">
        <v>0</v>
      </c>
      <c r="L1707" t="n">
        <v>0</v>
      </c>
      <c r="M1707" t="n">
        <v>0</v>
      </c>
      <c r="N1707" t="n">
        <v>0</v>
      </c>
      <c r="O1707" t="n">
        <v>0</v>
      </c>
      <c r="P1707" t="n">
        <v>0</v>
      </c>
      <c r="Q1707" t="n">
        <v>0</v>
      </c>
      <c r="R1707" s="2" t="inlineStr"/>
    </row>
    <row r="1708" ht="15" customHeight="1">
      <c r="A1708" t="inlineStr">
        <is>
          <t>A 44470-2024</t>
        </is>
      </c>
      <c r="B1708" s="1" t="n">
        <v>45574</v>
      </c>
      <c r="C1708" s="1" t="n">
        <v>46140</v>
      </c>
      <c r="D1708" t="inlineStr">
        <is>
          <t>VÄRMLANDS LÄN</t>
        </is>
      </c>
      <c r="E1708" t="inlineStr">
        <is>
          <t>TORSBY</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52447-2022</t>
        </is>
      </c>
      <c r="B1709" s="1" t="n">
        <v>44874</v>
      </c>
      <c r="C1709" s="1" t="n">
        <v>46140</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6013-2024</t>
        </is>
      </c>
      <c r="B1710" s="1" t="n">
        <v>45336.60763888889</v>
      </c>
      <c r="C1710" s="1" t="n">
        <v>46140</v>
      </c>
      <c r="D1710" t="inlineStr">
        <is>
          <t>VÄRMLANDS LÄN</t>
        </is>
      </c>
      <c r="E1710" t="inlineStr">
        <is>
          <t>TORSBY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34256-2024</t>
        </is>
      </c>
      <c r="B1711" s="1" t="n">
        <v>45524.59434027778</v>
      </c>
      <c r="C1711" s="1" t="n">
        <v>46140</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43301-2024</t>
        </is>
      </c>
      <c r="B1712" s="1" t="n">
        <v>45568</v>
      </c>
      <c r="C1712" s="1" t="n">
        <v>46140</v>
      </c>
      <c r="D1712" t="inlineStr">
        <is>
          <t>VÄRMLANDS LÄN</t>
        </is>
      </c>
      <c r="E1712" t="inlineStr">
        <is>
          <t>TORSBY</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7623-2026</t>
        </is>
      </c>
      <c r="B1713" s="1" t="n">
        <v>46062</v>
      </c>
      <c r="C1713" s="1" t="n">
        <v>46140</v>
      </c>
      <c r="D1713" t="inlineStr">
        <is>
          <t>VÄRMLANDS LÄN</t>
        </is>
      </c>
      <c r="E1713" t="inlineStr">
        <is>
          <t>TORSBY</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20737-2023</t>
        </is>
      </c>
      <c r="B1714" s="1" t="n">
        <v>45058</v>
      </c>
      <c r="C1714" s="1" t="n">
        <v>46140</v>
      </c>
      <c r="D1714" t="inlineStr">
        <is>
          <t>VÄRMLANDS LÄN</t>
        </is>
      </c>
      <c r="E1714" t="inlineStr">
        <is>
          <t>TORSBY</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22158-2022</t>
        </is>
      </c>
      <c r="B1715" s="1" t="n">
        <v>44708</v>
      </c>
      <c r="C1715" s="1" t="n">
        <v>46140</v>
      </c>
      <c r="D1715" t="inlineStr">
        <is>
          <t>VÄRMLANDS LÄN</t>
        </is>
      </c>
      <c r="E1715" t="inlineStr">
        <is>
          <t>TORSBY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7766-2026</t>
        </is>
      </c>
      <c r="B1716" s="1" t="n">
        <v>46059</v>
      </c>
      <c r="C1716" s="1" t="n">
        <v>46140</v>
      </c>
      <c r="D1716" t="inlineStr">
        <is>
          <t>VÄRMLANDS LÄN</t>
        </is>
      </c>
      <c r="E1716" t="inlineStr">
        <is>
          <t>TORSBY</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15477-2026</t>
        </is>
      </c>
      <c r="B1717" s="1" t="n">
        <v>46106.44114583333</v>
      </c>
      <c r="C1717" s="1" t="n">
        <v>46140</v>
      </c>
      <c r="D1717" t="inlineStr">
        <is>
          <t>VÄRMLANDS LÄN</t>
        </is>
      </c>
      <c r="E1717" t="inlineStr">
        <is>
          <t>TORSBY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56281-2022</t>
        </is>
      </c>
      <c r="B1718" s="1" t="n">
        <v>44890</v>
      </c>
      <c r="C1718" s="1" t="n">
        <v>46140</v>
      </c>
      <c r="D1718" t="inlineStr">
        <is>
          <t>VÄRMLANDS LÄN</t>
        </is>
      </c>
      <c r="E1718" t="inlineStr">
        <is>
          <t>TORSBY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20130-2023</t>
        </is>
      </c>
      <c r="B1719" s="1" t="n">
        <v>45055.38503472223</v>
      </c>
      <c r="C1719" s="1" t="n">
        <v>46140</v>
      </c>
      <c r="D1719" t="inlineStr">
        <is>
          <t>VÄRMLANDS LÄN</t>
        </is>
      </c>
      <c r="E1719" t="inlineStr">
        <is>
          <t>TORSBY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8297-2026</t>
        </is>
      </c>
      <c r="B1720" s="1" t="n">
        <v>46064.575625</v>
      </c>
      <c r="C1720" s="1" t="n">
        <v>46140</v>
      </c>
      <c r="D1720" t="inlineStr">
        <is>
          <t>VÄRMLANDS LÄN</t>
        </is>
      </c>
      <c r="E1720" t="inlineStr">
        <is>
          <t>TORSBY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65713-2021</t>
        </is>
      </c>
      <c r="B1721" s="1" t="n">
        <v>44516</v>
      </c>
      <c r="C1721" s="1" t="n">
        <v>46140</v>
      </c>
      <c r="D1721" t="inlineStr">
        <is>
          <t>VÄRMLANDS LÄN</t>
        </is>
      </c>
      <c r="E1721" t="inlineStr">
        <is>
          <t>TORSBY</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17548-2023</t>
        </is>
      </c>
      <c r="B1722" s="1" t="n">
        <v>45036</v>
      </c>
      <c r="C1722" s="1" t="n">
        <v>46140</v>
      </c>
      <c r="D1722" t="inlineStr">
        <is>
          <t>VÄRMLANDS LÄN</t>
        </is>
      </c>
      <c r="E1722" t="inlineStr">
        <is>
          <t>TORSBY</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8447-2023</t>
        </is>
      </c>
      <c r="B1723" s="1" t="n">
        <v>44977</v>
      </c>
      <c r="C1723" s="1" t="n">
        <v>46140</v>
      </c>
      <c r="D1723" t="inlineStr">
        <is>
          <t>VÄRMLANDS LÄN</t>
        </is>
      </c>
      <c r="E1723" t="inlineStr">
        <is>
          <t>TORSBY</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8263-2026</t>
        </is>
      </c>
      <c r="B1724" s="1" t="n">
        <v>46064.5361574074</v>
      </c>
      <c r="C1724" s="1" t="n">
        <v>46140</v>
      </c>
      <c r="D1724" t="inlineStr">
        <is>
          <t>VÄRMLANDS LÄN</t>
        </is>
      </c>
      <c r="E1724" t="inlineStr">
        <is>
          <t>TORSBY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4236-2023</t>
        </is>
      </c>
      <c r="B1725" s="1" t="n">
        <v>44953.48950231481</v>
      </c>
      <c r="C1725" s="1" t="n">
        <v>46140</v>
      </c>
      <c r="D1725" t="inlineStr">
        <is>
          <t>VÄRMLANDS LÄN</t>
        </is>
      </c>
      <c r="E1725" t="inlineStr">
        <is>
          <t>TORSBY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4250-2023</t>
        </is>
      </c>
      <c r="B1726" s="1" t="n">
        <v>44953.51747685186</v>
      </c>
      <c r="C1726" s="1" t="n">
        <v>46140</v>
      </c>
      <c r="D1726" t="inlineStr">
        <is>
          <t>VÄRMLANDS LÄN</t>
        </is>
      </c>
      <c r="E1726" t="inlineStr">
        <is>
          <t>TORSBY</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15662-2026</t>
        </is>
      </c>
      <c r="B1727" s="1" t="n">
        <v>46106.66996527778</v>
      </c>
      <c r="C1727" s="1" t="n">
        <v>46140</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46917-2024</t>
        </is>
      </c>
      <c r="B1728" s="1" t="n">
        <v>45583</v>
      </c>
      <c r="C1728" s="1" t="n">
        <v>46140</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15119-2026</t>
        </is>
      </c>
      <c r="B1729" s="1" t="n">
        <v>46105</v>
      </c>
      <c r="C1729" s="1" t="n">
        <v>46140</v>
      </c>
      <c r="D1729" t="inlineStr">
        <is>
          <t>VÄRMLANDS LÄN</t>
        </is>
      </c>
      <c r="E1729" t="inlineStr">
        <is>
          <t>TORSBY</t>
        </is>
      </c>
      <c r="F1729" t="inlineStr">
        <is>
          <t>Bergvik skog väst AB</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7133-2023</t>
        </is>
      </c>
      <c r="B1730" s="1" t="n">
        <v>44970.43622685185</v>
      </c>
      <c r="C1730" s="1" t="n">
        <v>46140</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15596-2026</t>
        </is>
      </c>
      <c r="B1731" s="1" t="n">
        <v>46106.58655092592</v>
      </c>
      <c r="C1731" s="1" t="n">
        <v>46140</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8147-2026</t>
        </is>
      </c>
      <c r="B1732" s="1" t="n">
        <v>46064.35064814815</v>
      </c>
      <c r="C1732" s="1" t="n">
        <v>46140</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8165-2026</t>
        </is>
      </c>
      <c r="B1733" s="1" t="n">
        <v>46064.38872685185</v>
      </c>
      <c r="C1733" s="1" t="n">
        <v>46140</v>
      </c>
      <c r="D1733" t="inlineStr">
        <is>
          <t>VÄRMLANDS LÄN</t>
        </is>
      </c>
      <c r="E1733" t="inlineStr">
        <is>
          <t>TORSBY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8224-2026</t>
        </is>
      </c>
      <c r="B1734" s="1" t="n">
        <v>46064.47239583333</v>
      </c>
      <c r="C1734" s="1" t="n">
        <v>46140</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8038-2026</t>
        </is>
      </c>
      <c r="B1735" s="1" t="n">
        <v>46063.59967592593</v>
      </c>
      <c r="C1735" s="1" t="n">
        <v>46140</v>
      </c>
      <c r="D1735" t="inlineStr">
        <is>
          <t>VÄRMLANDS LÄN</t>
        </is>
      </c>
      <c r="E1735" t="inlineStr">
        <is>
          <t>TORSBY</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8164-2026</t>
        </is>
      </c>
      <c r="B1736" s="1" t="n">
        <v>46064.38511574074</v>
      </c>
      <c r="C1736" s="1" t="n">
        <v>46140</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8222-2026</t>
        </is>
      </c>
      <c r="B1737" s="1" t="n">
        <v>46064.46728009259</v>
      </c>
      <c r="C1737" s="1" t="n">
        <v>46140</v>
      </c>
      <c r="D1737" t="inlineStr">
        <is>
          <t>VÄRMLANDS LÄN</t>
        </is>
      </c>
      <c r="E1737" t="inlineStr">
        <is>
          <t>TORSBY</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39390-2023</t>
        </is>
      </c>
      <c r="B1738" s="1" t="n">
        <v>45166.65104166666</v>
      </c>
      <c r="C1738" s="1" t="n">
        <v>46140</v>
      </c>
      <c r="D1738" t="inlineStr">
        <is>
          <t>VÄRMLANDS LÄN</t>
        </is>
      </c>
      <c r="E1738" t="inlineStr">
        <is>
          <t>TORSBY</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15611-2026</t>
        </is>
      </c>
      <c r="B1739" s="1" t="n">
        <v>46106.59672453703</v>
      </c>
      <c r="C1739" s="1" t="n">
        <v>46140</v>
      </c>
      <c r="D1739" t="inlineStr">
        <is>
          <t>VÄRMLANDS LÄN</t>
        </is>
      </c>
      <c r="E1739" t="inlineStr">
        <is>
          <t>TORSBY</t>
        </is>
      </c>
      <c r="F1739" t="inlineStr">
        <is>
          <t>Bergvik skog väst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14998-2026</t>
        </is>
      </c>
      <c r="B1740" s="1" t="n">
        <v>46104</v>
      </c>
      <c r="C1740" s="1" t="n">
        <v>46140</v>
      </c>
      <c r="D1740" t="inlineStr">
        <is>
          <t>VÄRMLANDS LÄN</t>
        </is>
      </c>
      <c r="E1740" t="inlineStr">
        <is>
          <t>TORSBY</t>
        </is>
      </c>
      <c r="F1740" t="inlineStr">
        <is>
          <t>Bergvik skog väst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15664-2026</t>
        </is>
      </c>
      <c r="B1741" s="1" t="n">
        <v>46106.67813657408</v>
      </c>
      <c r="C1741" s="1" t="n">
        <v>46140</v>
      </c>
      <c r="D1741" t="inlineStr">
        <is>
          <t>VÄRMLANDS LÄN</t>
        </is>
      </c>
      <c r="E1741" t="inlineStr">
        <is>
          <t>TORSBY</t>
        </is>
      </c>
      <c r="F1741" t="inlineStr">
        <is>
          <t>Bergvik skog väst AB</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15451-2026</t>
        </is>
      </c>
      <c r="B1742" s="1" t="n">
        <v>46106.41583333333</v>
      </c>
      <c r="C1742" s="1" t="n">
        <v>46140</v>
      </c>
      <c r="D1742" t="inlineStr">
        <is>
          <t>VÄRMLANDS LÄN</t>
        </is>
      </c>
      <c r="E1742" t="inlineStr">
        <is>
          <t>TORSBY</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15154-2026</t>
        </is>
      </c>
      <c r="B1743" s="1" t="n">
        <v>46105</v>
      </c>
      <c r="C1743" s="1" t="n">
        <v>46140</v>
      </c>
      <c r="D1743" t="inlineStr">
        <is>
          <t>VÄRMLANDS LÄN</t>
        </is>
      </c>
      <c r="E1743" t="inlineStr">
        <is>
          <t>TORSBY</t>
        </is>
      </c>
      <c r="F1743" t="inlineStr">
        <is>
          <t>Bergvik skog väst AB</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65301-2021</t>
        </is>
      </c>
      <c r="B1744" s="1" t="n">
        <v>44515</v>
      </c>
      <c r="C1744" s="1" t="n">
        <v>46140</v>
      </c>
      <c r="D1744" t="inlineStr">
        <is>
          <t>VÄRMLANDS LÄN</t>
        </is>
      </c>
      <c r="E1744" t="inlineStr">
        <is>
          <t>TORSBY</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8149-2026</t>
        </is>
      </c>
      <c r="B1745" s="1" t="n">
        <v>46064.3527662037</v>
      </c>
      <c r="C1745" s="1" t="n">
        <v>46140</v>
      </c>
      <c r="D1745" t="inlineStr">
        <is>
          <t>VÄRMLANDS LÄN</t>
        </is>
      </c>
      <c r="E1745" t="inlineStr">
        <is>
          <t>TORSBY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8317-2026</t>
        </is>
      </c>
      <c r="B1746" s="1" t="n">
        <v>46064.60416666666</v>
      </c>
      <c r="C1746" s="1" t="n">
        <v>46140</v>
      </c>
      <c r="D1746" t="inlineStr">
        <is>
          <t>VÄRMLANDS LÄN</t>
        </is>
      </c>
      <c r="E1746" t="inlineStr">
        <is>
          <t>TORSBY</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6438-2022</t>
        </is>
      </c>
      <c r="B1747" s="1" t="n">
        <v>44601.32209490741</v>
      </c>
      <c r="C1747" s="1" t="n">
        <v>46140</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16108-2026</t>
        </is>
      </c>
      <c r="B1748" s="1" t="n">
        <v>46108.60444444444</v>
      </c>
      <c r="C1748" s="1" t="n">
        <v>46140</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16592-2024</t>
        </is>
      </c>
      <c r="B1749" s="1" t="n">
        <v>45408.49623842593</v>
      </c>
      <c r="C1749" s="1" t="n">
        <v>46140</v>
      </c>
      <c r="D1749" t="inlineStr">
        <is>
          <t>VÄRMLANDS LÄN</t>
        </is>
      </c>
      <c r="E1749" t="inlineStr">
        <is>
          <t>TORSBY</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15909-2026</t>
        </is>
      </c>
      <c r="B1750" s="1" t="n">
        <v>46107.64012731481</v>
      </c>
      <c r="C1750" s="1" t="n">
        <v>46140</v>
      </c>
      <c r="D1750" t="inlineStr">
        <is>
          <t>VÄRMLANDS LÄN</t>
        </is>
      </c>
      <c r="E1750" t="inlineStr">
        <is>
          <t>TORSBY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19307-2022</t>
        </is>
      </c>
      <c r="B1751" s="1" t="n">
        <v>44692.55497685185</v>
      </c>
      <c r="C1751" s="1" t="n">
        <v>46140</v>
      </c>
      <c r="D1751" t="inlineStr">
        <is>
          <t>VÄRMLANDS LÄN</t>
        </is>
      </c>
      <c r="E1751" t="inlineStr">
        <is>
          <t>TORSBY</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8705-2026</t>
        </is>
      </c>
      <c r="B1752" s="1" t="n">
        <v>46066.47086805556</v>
      </c>
      <c r="C1752" s="1" t="n">
        <v>46140</v>
      </c>
      <c r="D1752" t="inlineStr">
        <is>
          <t>VÄRMLANDS LÄN</t>
        </is>
      </c>
      <c r="E1752" t="inlineStr">
        <is>
          <t>TORSBY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16117-2026</t>
        </is>
      </c>
      <c r="B1753" s="1" t="n">
        <v>46108.61511574074</v>
      </c>
      <c r="C1753" s="1" t="n">
        <v>46140</v>
      </c>
      <c r="D1753" t="inlineStr">
        <is>
          <t>VÄRMLANDS LÄN</t>
        </is>
      </c>
      <c r="E1753" t="inlineStr">
        <is>
          <t>TORSBY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52314-2024</t>
        </is>
      </c>
      <c r="B1754" s="1" t="n">
        <v>45608.87075231481</v>
      </c>
      <c r="C1754" s="1" t="n">
        <v>46140</v>
      </c>
      <c r="D1754" t="inlineStr">
        <is>
          <t>VÄRMLANDS LÄN</t>
        </is>
      </c>
      <c r="E1754" t="inlineStr">
        <is>
          <t>TORSBY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15894-2026</t>
        </is>
      </c>
      <c r="B1755" s="1" t="n">
        <v>46107.61783564815</v>
      </c>
      <c r="C1755" s="1" t="n">
        <v>46140</v>
      </c>
      <c r="D1755" t="inlineStr">
        <is>
          <t>VÄRMLANDS LÄN</t>
        </is>
      </c>
      <c r="E1755" t="inlineStr">
        <is>
          <t>TORSBY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58540-2025</t>
        </is>
      </c>
      <c r="B1756" s="1" t="n">
        <v>45985</v>
      </c>
      <c r="C1756" s="1" t="n">
        <v>46140</v>
      </c>
      <c r="D1756" t="inlineStr">
        <is>
          <t>VÄRMLANDS LÄN</t>
        </is>
      </c>
      <c r="E1756" t="inlineStr">
        <is>
          <t>TORSBY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30531-2023</t>
        </is>
      </c>
      <c r="B1757" s="1" t="n">
        <v>45111.68223379629</v>
      </c>
      <c r="C1757" s="1" t="n">
        <v>46140</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16111-2026</t>
        </is>
      </c>
      <c r="B1758" s="1" t="n">
        <v>46108.60780092593</v>
      </c>
      <c r="C1758" s="1" t="n">
        <v>46140</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8736-2026</t>
        </is>
      </c>
      <c r="B1759" s="1" t="n">
        <v>46066.50328703703</v>
      </c>
      <c r="C1759" s="1" t="n">
        <v>46140</v>
      </c>
      <c r="D1759" t="inlineStr">
        <is>
          <t>VÄRMLANDS LÄN</t>
        </is>
      </c>
      <c r="E1759" t="inlineStr">
        <is>
          <t>TORSBY</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8958-2026</t>
        </is>
      </c>
      <c r="B1760" s="1" t="n">
        <v>46069.40876157407</v>
      </c>
      <c r="C1760" s="1" t="n">
        <v>46140</v>
      </c>
      <c r="D1760" t="inlineStr">
        <is>
          <t>VÄRMLANDS LÄN</t>
        </is>
      </c>
      <c r="E1760" t="inlineStr">
        <is>
          <t>TORSBY</t>
        </is>
      </c>
      <c r="F1760" t="inlineStr">
        <is>
          <t>Bergvik skog väst AB</t>
        </is>
      </c>
      <c r="G1760" t="n">
        <v>11.9</v>
      </c>
      <c r="H1760" t="n">
        <v>0</v>
      </c>
      <c r="I1760" t="n">
        <v>0</v>
      </c>
      <c r="J1760" t="n">
        <v>0</v>
      </c>
      <c r="K1760" t="n">
        <v>0</v>
      </c>
      <c r="L1760" t="n">
        <v>0</v>
      </c>
      <c r="M1760" t="n">
        <v>0</v>
      </c>
      <c r="N1760" t="n">
        <v>0</v>
      </c>
      <c r="O1760" t="n">
        <v>0</v>
      </c>
      <c r="P1760" t="n">
        <v>0</v>
      </c>
      <c r="Q1760" t="n">
        <v>0</v>
      </c>
      <c r="R1760" s="2" t="inlineStr"/>
    </row>
    <row r="1761" ht="15" customHeight="1">
      <c r="A1761" t="inlineStr">
        <is>
          <t>A 52669-2024</t>
        </is>
      </c>
      <c r="B1761" s="1" t="n">
        <v>45610</v>
      </c>
      <c r="C1761" s="1" t="n">
        <v>46140</v>
      </c>
      <c r="D1761" t="inlineStr">
        <is>
          <t>VÄRMLANDS LÄN</t>
        </is>
      </c>
      <c r="E1761" t="inlineStr">
        <is>
          <t>TORSBY</t>
        </is>
      </c>
      <c r="F1761" t="inlineStr">
        <is>
          <t>Kyrkan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48874-2024</t>
        </is>
      </c>
      <c r="B1762" s="1" t="n">
        <v>45594</v>
      </c>
      <c r="C1762" s="1" t="n">
        <v>46140</v>
      </c>
      <c r="D1762" t="inlineStr">
        <is>
          <t>VÄRMLANDS LÄN</t>
        </is>
      </c>
      <c r="E1762" t="inlineStr">
        <is>
          <t>TORSBY</t>
        </is>
      </c>
      <c r="F1762" t="inlineStr">
        <is>
          <t>Bergvik skog väst AB</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16679-2026</t>
        </is>
      </c>
      <c r="B1763" s="1" t="n">
        <v>46112.69729166666</v>
      </c>
      <c r="C1763" s="1" t="n">
        <v>46140</v>
      </c>
      <c r="D1763" t="inlineStr">
        <is>
          <t>VÄRMLANDS LÄN</t>
        </is>
      </c>
      <c r="E1763" t="inlineStr">
        <is>
          <t>TORSBY</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9240-2026</t>
        </is>
      </c>
      <c r="B1764" s="1" t="n">
        <v>46070.47997685185</v>
      </c>
      <c r="C1764" s="1" t="n">
        <v>46140</v>
      </c>
      <c r="D1764" t="inlineStr">
        <is>
          <t>VÄRMLANDS LÄN</t>
        </is>
      </c>
      <c r="E1764" t="inlineStr">
        <is>
          <t>TORSBY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56880-2023</t>
        </is>
      </c>
      <c r="B1765" s="1" t="n">
        <v>45244</v>
      </c>
      <c r="C1765" s="1" t="n">
        <v>46140</v>
      </c>
      <c r="D1765" t="inlineStr">
        <is>
          <t>VÄRMLANDS LÄN</t>
        </is>
      </c>
      <c r="E1765" t="inlineStr">
        <is>
          <t>TORSBY</t>
        </is>
      </c>
      <c r="F1765" t="inlineStr">
        <is>
          <t>Övriga Aktiebolag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56170-2023</t>
        </is>
      </c>
      <c r="B1766" s="1" t="n">
        <v>45240.62975694444</v>
      </c>
      <c r="C1766" s="1" t="n">
        <v>46140</v>
      </c>
      <c r="D1766" t="inlineStr">
        <is>
          <t>VÄRMLANDS LÄN</t>
        </is>
      </c>
      <c r="E1766" t="inlineStr">
        <is>
          <t>TORSBY</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6646-2024</t>
        </is>
      </c>
      <c r="B1767" s="1" t="n">
        <v>45341.66643518519</v>
      </c>
      <c r="C1767" s="1" t="n">
        <v>46140</v>
      </c>
      <c r="D1767" t="inlineStr">
        <is>
          <t>VÄRMLANDS LÄN</t>
        </is>
      </c>
      <c r="E1767" t="inlineStr">
        <is>
          <t>TORSBY</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6648-2024</t>
        </is>
      </c>
      <c r="B1768" s="1" t="n">
        <v>45341</v>
      </c>
      <c r="C1768" s="1" t="n">
        <v>46140</v>
      </c>
      <c r="D1768" t="inlineStr">
        <is>
          <t>VÄRMLANDS LÄN</t>
        </is>
      </c>
      <c r="E1768" t="inlineStr">
        <is>
          <t>TORSBY</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18337-2024</t>
        </is>
      </c>
      <c r="B1769" s="1" t="n">
        <v>45422</v>
      </c>
      <c r="C1769" s="1" t="n">
        <v>46140</v>
      </c>
      <c r="D1769" t="inlineStr">
        <is>
          <t>VÄRMLANDS LÄN</t>
        </is>
      </c>
      <c r="E1769" t="inlineStr">
        <is>
          <t>TORSBY</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34968-2024</t>
        </is>
      </c>
      <c r="B1770" s="1" t="n">
        <v>45527.49986111111</v>
      </c>
      <c r="C1770" s="1" t="n">
        <v>46140</v>
      </c>
      <c r="D1770" t="inlineStr">
        <is>
          <t>VÄRMLANDS LÄN</t>
        </is>
      </c>
      <c r="E1770" t="inlineStr">
        <is>
          <t>TORSBY</t>
        </is>
      </c>
      <c r="F1770" t="inlineStr">
        <is>
          <t>Bergvik skog väst AB</t>
        </is>
      </c>
      <c r="G1770" t="n">
        <v>10.2</v>
      </c>
      <c r="H1770" t="n">
        <v>0</v>
      </c>
      <c r="I1770" t="n">
        <v>0</v>
      </c>
      <c r="J1770" t="n">
        <v>0</v>
      </c>
      <c r="K1770" t="n">
        <v>0</v>
      </c>
      <c r="L1770" t="n">
        <v>0</v>
      </c>
      <c r="M1770" t="n">
        <v>0</v>
      </c>
      <c r="N1770" t="n">
        <v>0</v>
      </c>
      <c r="O1770" t="n">
        <v>0</v>
      </c>
      <c r="P1770" t="n">
        <v>0</v>
      </c>
      <c r="Q1770" t="n">
        <v>0</v>
      </c>
      <c r="R1770" s="2" t="inlineStr"/>
    </row>
    <row r="1771" ht="15" customHeight="1">
      <c r="A1771" t="inlineStr">
        <is>
          <t>A 16318-2026</t>
        </is>
      </c>
      <c r="B1771" s="1" t="n">
        <v>46111.55763888889</v>
      </c>
      <c r="C1771" s="1" t="n">
        <v>46140</v>
      </c>
      <c r="D1771" t="inlineStr">
        <is>
          <t>VÄRMLANDS LÄN</t>
        </is>
      </c>
      <c r="E1771" t="inlineStr">
        <is>
          <t>TORSBY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64664-2023</t>
        </is>
      </c>
      <c r="B1772" s="1" t="n">
        <v>45281.60710648148</v>
      </c>
      <c r="C1772" s="1" t="n">
        <v>46140</v>
      </c>
      <c r="D1772" t="inlineStr">
        <is>
          <t>VÄRMLANDS LÄN</t>
        </is>
      </c>
      <c r="E1772" t="inlineStr">
        <is>
          <t>TORSBY</t>
        </is>
      </c>
      <c r="F1772" t="inlineStr">
        <is>
          <t>Bergvik skog väst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16452-2026</t>
        </is>
      </c>
      <c r="B1773" s="1" t="n">
        <v>46112.34243055555</v>
      </c>
      <c r="C1773" s="1" t="n">
        <v>46140</v>
      </c>
      <c r="D1773" t="inlineStr">
        <is>
          <t>VÄRMLANDS LÄN</t>
        </is>
      </c>
      <c r="E1773" t="inlineStr">
        <is>
          <t>TORSBY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55428-2022</t>
        </is>
      </c>
      <c r="B1774" s="1" t="n">
        <v>44887.60894675926</v>
      </c>
      <c r="C1774" s="1" t="n">
        <v>46140</v>
      </c>
      <c r="D1774" t="inlineStr">
        <is>
          <t>VÄRMLANDS LÄN</t>
        </is>
      </c>
      <c r="E1774" t="inlineStr">
        <is>
          <t>TORSBY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16543-2026</t>
        </is>
      </c>
      <c r="B1775" s="1" t="n">
        <v>46112.50520833334</v>
      </c>
      <c r="C1775" s="1" t="n">
        <v>46140</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22702-2023</t>
        </is>
      </c>
      <c r="B1776" s="1" t="n">
        <v>45071</v>
      </c>
      <c r="C1776" s="1" t="n">
        <v>46140</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52901-2022</t>
        </is>
      </c>
      <c r="B1777" s="1" t="n">
        <v>44872</v>
      </c>
      <c r="C1777" s="1" t="n">
        <v>46140</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8967-2026</t>
        </is>
      </c>
      <c r="B1778" s="1" t="n">
        <v>46069.4278587963</v>
      </c>
      <c r="C1778" s="1" t="n">
        <v>46140</v>
      </c>
      <c r="D1778" t="inlineStr">
        <is>
          <t>VÄRMLANDS LÄN</t>
        </is>
      </c>
      <c r="E1778" t="inlineStr">
        <is>
          <t>TORSBY</t>
        </is>
      </c>
      <c r="F1778" t="inlineStr">
        <is>
          <t>Bergvik skog väst AB</t>
        </is>
      </c>
      <c r="G1778" t="n">
        <v>22.5</v>
      </c>
      <c r="H1778" t="n">
        <v>0</v>
      </c>
      <c r="I1778" t="n">
        <v>0</v>
      </c>
      <c r="J1778" t="n">
        <v>0</v>
      </c>
      <c r="K1778" t="n">
        <v>0</v>
      </c>
      <c r="L1778" t="n">
        <v>0</v>
      </c>
      <c r="M1778" t="n">
        <v>0</v>
      </c>
      <c r="N1778" t="n">
        <v>0</v>
      </c>
      <c r="O1778" t="n">
        <v>0</v>
      </c>
      <c r="P1778" t="n">
        <v>0</v>
      </c>
      <c r="Q1778" t="n">
        <v>0</v>
      </c>
      <c r="R1778" s="2" t="inlineStr"/>
    </row>
    <row r="1779" ht="15" customHeight="1">
      <c r="A1779" t="inlineStr">
        <is>
          <t>A 57452-2022</t>
        </is>
      </c>
      <c r="B1779" s="1" t="n">
        <v>44896.55787037037</v>
      </c>
      <c r="C1779" s="1" t="n">
        <v>46140</v>
      </c>
      <c r="D1779" t="inlineStr">
        <is>
          <t>VÄRMLANDS LÄN</t>
        </is>
      </c>
      <c r="E1779" t="inlineStr">
        <is>
          <t>TORSBY</t>
        </is>
      </c>
      <c r="F1779" t="inlineStr">
        <is>
          <t>Bergvik skog väst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9245-2026</t>
        </is>
      </c>
      <c r="B1780" s="1" t="n">
        <v>46070.48952546297</v>
      </c>
      <c r="C1780" s="1" t="n">
        <v>46140</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9248-2026</t>
        </is>
      </c>
      <c r="B1781" s="1" t="n">
        <v>46070.49686342593</v>
      </c>
      <c r="C1781" s="1" t="n">
        <v>46140</v>
      </c>
      <c r="D1781" t="inlineStr">
        <is>
          <t>VÄRMLANDS LÄN</t>
        </is>
      </c>
      <c r="E1781" t="inlineStr">
        <is>
          <t>TORSBY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32747-2021</t>
        </is>
      </c>
      <c r="B1782" s="1" t="n">
        <v>44375</v>
      </c>
      <c r="C1782" s="1" t="n">
        <v>46140</v>
      </c>
      <c r="D1782" t="inlineStr">
        <is>
          <t>VÄRMLANDS LÄN</t>
        </is>
      </c>
      <c r="E1782" t="inlineStr">
        <is>
          <t>TORSBY</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39069-2022</t>
        </is>
      </c>
      <c r="B1783" s="1" t="n">
        <v>44816</v>
      </c>
      <c r="C1783" s="1" t="n">
        <v>46140</v>
      </c>
      <c r="D1783" t="inlineStr">
        <is>
          <t>VÄRMLANDS LÄN</t>
        </is>
      </c>
      <c r="E1783" t="inlineStr">
        <is>
          <t>TORSBY</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15023-2026</t>
        </is>
      </c>
      <c r="B1784" s="1" t="n">
        <v>46104</v>
      </c>
      <c r="C1784" s="1" t="n">
        <v>46140</v>
      </c>
      <c r="D1784" t="inlineStr">
        <is>
          <t>VÄRMLANDS LÄN</t>
        </is>
      </c>
      <c r="E1784" t="inlineStr">
        <is>
          <t>TORSBY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10584-2023</t>
        </is>
      </c>
      <c r="B1785" s="1" t="n">
        <v>44988.36736111111</v>
      </c>
      <c r="C1785" s="1" t="n">
        <v>46140</v>
      </c>
      <c r="D1785" t="inlineStr">
        <is>
          <t>VÄRMLANDS LÄN</t>
        </is>
      </c>
      <c r="E1785" t="inlineStr">
        <is>
          <t>TORSBY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15363-2026</t>
        </is>
      </c>
      <c r="B1786" s="1" t="n">
        <v>46105</v>
      </c>
      <c r="C1786" s="1" t="n">
        <v>46140</v>
      </c>
      <c r="D1786" t="inlineStr">
        <is>
          <t>VÄRMLANDS LÄN</t>
        </is>
      </c>
      <c r="E1786" t="inlineStr">
        <is>
          <t>TORSBY</t>
        </is>
      </c>
      <c r="F1786" t="inlineStr">
        <is>
          <t>Bergvik skog väst AB</t>
        </is>
      </c>
      <c r="G1786" t="n">
        <v>25.8</v>
      </c>
      <c r="H1786" t="n">
        <v>0</v>
      </c>
      <c r="I1786" t="n">
        <v>0</v>
      </c>
      <c r="J1786" t="n">
        <v>0</v>
      </c>
      <c r="K1786" t="n">
        <v>0</v>
      </c>
      <c r="L1786" t="n">
        <v>0</v>
      </c>
      <c r="M1786" t="n">
        <v>0</v>
      </c>
      <c r="N1786" t="n">
        <v>0</v>
      </c>
      <c r="O1786" t="n">
        <v>0</v>
      </c>
      <c r="P1786" t="n">
        <v>0</v>
      </c>
      <c r="Q1786" t="n">
        <v>0</v>
      </c>
      <c r="R1786" s="2" t="inlineStr"/>
    </row>
    <row r="1787" ht="15" customHeight="1">
      <c r="A1787" t="inlineStr">
        <is>
          <t>A 16408-2026</t>
        </is>
      </c>
      <c r="B1787" s="1" t="n">
        <v>46111.64943287037</v>
      </c>
      <c r="C1787" s="1" t="n">
        <v>46140</v>
      </c>
      <c r="D1787" t="inlineStr">
        <is>
          <t>VÄRMLANDS LÄN</t>
        </is>
      </c>
      <c r="E1787" t="inlineStr">
        <is>
          <t>TORSBY</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1979-2023</t>
        </is>
      </c>
      <c r="B1788" s="1" t="n">
        <v>44939</v>
      </c>
      <c r="C1788" s="1" t="n">
        <v>46140</v>
      </c>
      <c r="D1788" t="inlineStr">
        <is>
          <t>VÄRMLANDS LÄN</t>
        </is>
      </c>
      <c r="E1788" t="inlineStr">
        <is>
          <t>TORSBY</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16591-2024</t>
        </is>
      </c>
      <c r="B1789" s="1" t="n">
        <v>45408.49420138889</v>
      </c>
      <c r="C1789" s="1" t="n">
        <v>46140</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52581-2024</t>
        </is>
      </c>
      <c r="B1790" s="1" t="n">
        <v>45609</v>
      </c>
      <c r="C1790" s="1" t="n">
        <v>46140</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60148-2024</t>
        </is>
      </c>
      <c r="B1791" s="1" t="n">
        <v>45642</v>
      </c>
      <c r="C1791" s="1" t="n">
        <v>46140</v>
      </c>
      <c r="D1791" t="inlineStr">
        <is>
          <t>VÄRMLANDS LÄN</t>
        </is>
      </c>
      <c r="E1791" t="inlineStr">
        <is>
          <t>TORSBY</t>
        </is>
      </c>
      <c r="G1791" t="n">
        <v>12.4</v>
      </c>
      <c r="H1791" t="n">
        <v>0</v>
      </c>
      <c r="I1791" t="n">
        <v>0</v>
      </c>
      <c r="J1791" t="n">
        <v>0</v>
      </c>
      <c r="K1791" t="n">
        <v>0</v>
      </c>
      <c r="L1791" t="n">
        <v>0</v>
      </c>
      <c r="M1791" t="n">
        <v>0</v>
      </c>
      <c r="N1791" t="n">
        <v>0</v>
      </c>
      <c r="O1791" t="n">
        <v>0</v>
      </c>
      <c r="P1791" t="n">
        <v>0</v>
      </c>
      <c r="Q1791" t="n">
        <v>0</v>
      </c>
      <c r="R1791" s="2" t="inlineStr"/>
    </row>
    <row r="1792" ht="15" customHeight="1">
      <c r="A1792" t="inlineStr">
        <is>
          <t>A 16763-2026</t>
        </is>
      </c>
      <c r="B1792" s="1" t="n">
        <v>46113.41421296296</v>
      </c>
      <c r="C1792" s="1" t="n">
        <v>46140</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16867-2026</t>
        </is>
      </c>
      <c r="B1793" s="1" t="n">
        <v>46113.57570601852</v>
      </c>
      <c r="C1793" s="1" t="n">
        <v>46140</v>
      </c>
      <c r="D1793" t="inlineStr">
        <is>
          <t>VÄRMLANDS LÄN</t>
        </is>
      </c>
      <c r="E1793" t="inlineStr">
        <is>
          <t>TORSBY</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27101-2024</t>
        </is>
      </c>
      <c r="B1794" s="1" t="n">
        <v>45471</v>
      </c>
      <c r="C1794" s="1" t="n">
        <v>46140</v>
      </c>
      <c r="D1794" t="inlineStr">
        <is>
          <t>VÄRMLANDS LÄN</t>
        </is>
      </c>
      <c r="E1794" t="inlineStr">
        <is>
          <t>TORSBY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27116-2024</t>
        </is>
      </c>
      <c r="B1795" s="1" t="n">
        <v>45471.5056712963</v>
      </c>
      <c r="C1795" s="1" t="n">
        <v>46140</v>
      </c>
      <c r="D1795" t="inlineStr">
        <is>
          <t>VÄRMLANDS LÄN</t>
        </is>
      </c>
      <c r="E1795" t="inlineStr">
        <is>
          <t>TORSBY</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16963-2026</t>
        </is>
      </c>
      <c r="B1796" s="1" t="n">
        <v>46114.35603009259</v>
      </c>
      <c r="C1796" s="1" t="n">
        <v>46140</v>
      </c>
      <c r="D1796" t="inlineStr">
        <is>
          <t>VÄRMLANDS LÄN</t>
        </is>
      </c>
      <c r="E1796" t="inlineStr">
        <is>
          <t>TORSBY</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16910-2026</t>
        </is>
      </c>
      <c r="B1797" s="1" t="n">
        <v>46113.64369212963</v>
      </c>
      <c r="C1797" s="1" t="n">
        <v>46140</v>
      </c>
      <c r="D1797" t="inlineStr">
        <is>
          <t>VÄRMLANDS LÄN</t>
        </is>
      </c>
      <c r="E1797" t="inlineStr">
        <is>
          <t>TORSBY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14687-2026</t>
        </is>
      </c>
      <c r="B1798" s="1" t="n">
        <v>46101</v>
      </c>
      <c r="C1798" s="1" t="n">
        <v>46140</v>
      </c>
      <c r="D1798" t="inlineStr">
        <is>
          <t>VÄRMLANDS LÄN</t>
        </is>
      </c>
      <c r="E1798" t="inlineStr">
        <is>
          <t>TORSBY</t>
        </is>
      </c>
      <c r="F1798" t="inlineStr">
        <is>
          <t>Bergvik skog väst AB</t>
        </is>
      </c>
      <c r="G1798" t="n">
        <v>32.1</v>
      </c>
      <c r="H1798" t="n">
        <v>0</v>
      </c>
      <c r="I1798" t="n">
        <v>0</v>
      </c>
      <c r="J1798" t="n">
        <v>0</v>
      </c>
      <c r="K1798" t="n">
        <v>0</v>
      </c>
      <c r="L1798" t="n">
        <v>0</v>
      </c>
      <c r="M1798" t="n">
        <v>0</v>
      </c>
      <c r="N1798" t="n">
        <v>0</v>
      </c>
      <c r="O1798" t="n">
        <v>0</v>
      </c>
      <c r="P1798" t="n">
        <v>0</v>
      </c>
      <c r="Q1798" t="n">
        <v>0</v>
      </c>
      <c r="R1798" s="2" t="inlineStr"/>
    </row>
    <row r="1799" ht="15" customHeight="1">
      <c r="A1799" t="inlineStr">
        <is>
          <t>A 16919-2026</t>
        </is>
      </c>
      <c r="B1799" s="1" t="n">
        <v>46113.67354166666</v>
      </c>
      <c r="C1799" s="1" t="n">
        <v>46140</v>
      </c>
      <c r="D1799" t="inlineStr">
        <is>
          <t>VÄRMLANDS LÄN</t>
        </is>
      </c>
      <c r="E1799" t="inlineStr">
        <is>
          <t>TORSBY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16906-2026</t>
        </is>
      </c>
      <c r="B1800" s="1" t="n">
        <v>46113.63795138889</v>
      </c>
      <c r="C1800" s="1" t="n">
        <v>46140</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41160-2023</t>
        </is>
      </c>
      <c r="B1801" s="1" t="n">
        <v>45174</v>
      </c>
      <c r="C1801" s="1" t="n">
        <v>46140</v>
      </c>
      <c r="D1801" t="inlineStr">
        <is>
          <t>VÄRMLANDS LÄN</t>
        </is>
      </c>
      <c r="E1801" t="inlineStr">
        <is>
          <t>TORSBY</t>
        </is>
      </c>
      <c r="F1801" t="inlineStr">
        <is>
          <t>Kyrkan</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61138-2022</t>
        </is>
      </c>
      <c r="B1802" s="1" t="n">
        <v>44915</v>
      </c>
      <c r="C1802" s="1" t="n">
        <v>46140</v>
      </c>
      <c r="D1802" t="inlineStr">
        <is>
          <t>VÄRMLANDS LÄN</t>
        </is>
      </c>
      <c r="E1802" t="inlineStr">
        <is>
          <t>TORSBY</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64902-2021</t>
        </is>
      </c>
      <c r="B1803" s="1" t="n">
        <v>44512.64336805556</v>
      </c>
      <c r="C1803" s="1" t="n">
        <v>46140</v>
      </c>
      <c r="D1803" t="inlineStr">
        <is>
          <t>VÄRMLANDS LÄN</t>
        </is>
      </c>
      <c r="E1803" t="inlineStr">
        <is>
          <t>TORSBY</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22662-2022</t>
        </is>
      </c>
      <c r="B1804" s="1" t="n">
        <v>44714</v>
      </c>
      <c r="C1804" s="1" t="n">
        <v>46140</v>
      </c>
      <c r="D1804" t="inlineStr">
        <is>
          <t>VÄRMLANDS LÄN</t>
        </is>
      </c>
      <c r="E1804" t="inlineStr">
        <is>
          <t>TORSBY</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51661-2024</t>
        </is>
      </c>
      <c r="B1805" s="1" t="n">
        <v>45606.74392361111</v>
      </c>
      <c r="C1805" s="1" t="n">
        <v>46140</v>
      </c>
      <c r="D1805" t="inlineStr">
        <is>
          <t>VÄRMLANDS LÄN</t>
        </is>
      </c>
      <c r="E1805" t="inlineStr">
        <is>
          <t>TORSBY</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51663-2024</t>
        </is>
      </c>
      <c r="B1806" s="1" t="n">
        <v>45606.76396990741</v>
      </c>
      <c r="C1806" s="1" t="n">
        <v>46140</v>
      </c>
      <c r="D1806" t="inlineStr">
        <is>
          <t>VÄRMLANDS LÄN</t>
        </is>
      </c>
      <c r="E1806" t="inlineStr">
        <is>
          <t>TORSBY</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9752-2026</t>
        </is>
      </c>
      <c r="B1807" s="1" t="n">
        <v>46072.53912037037</v>
      </c>
      <c r="C1807" s="1" t="n">
        <v>46140</v>
      </c>
      <c r="D1807" t="inlineStr">
        <is>
          <t>VÄRMLANDS LÄN</t>
        </is>
      </c>
      <c r="E1807" t="inlineStr">
        <is>
          <t>TORSBY</t>
        </is>
      </c>
      <c r="G1807" t="n">
        <v>26.8</v>
      </c>
      <c r="H1807" t="n">
        <v>0</v>
      </c>
      <c r="I1807" t="n">
        <v>0</v>
      </c>
      <c r="J1807" t="n">
        <v>0</v>
      </c>
      <c r="K1807" t="n">
        <v>0</v>
      </c>
      <c r="L1807" t="n">
        <v>0</v>
      </c>
      <c r="M1807" t="n">
        <v>0</v>
      </c>
      <c r="N1807" t="n">
        <v>0</v>
      </c>
      <c r="O1807" t="n">
        <v>0</v>
      </c>
      <c r="P1807" t="n">
        <v>0</v>
      </c>
      <c r="Q1807" t="n">
        <v>0</v>
      </c>
      <c r="R1807" s="2" t="inlineStr"/>
    </row>
    <row r="1808" ht="15" customHeight="1">
      <c r="A1808" t="inlineStr">
        <is>
          <t>A 14292-2023</t>
        </is>
      </c>
      <c r="B1808" s="1" t="n">
        <v>45011</v>
      </c>
      <c r="C1808" s="1" t="n">
        <v>46140</v>
      </c>
      <c r="D1808" t="inlineStr">
        <is>
          <t>VÄRMLANDS LÄN</t>
        </is>
      </c>
      <c r="E1808" t="inlineStr">
        <is>
          <t>TORSBY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14293-2023</t>
        </is>
      </c>
      <c r="B1809" s="1" t="n">
        <v>45011</v>
      </c>
      <c r="C1809" s="1" t="n">
        <v>46140</v>
      </c>
      <c r="D1809" t="inlineStr">
        <is>
          <t>VÄRMLANDS LÄN</t>
        </is>
      </c>
      <c r="E1809" t="inlineStr">
        <is>
          <t>TORSBY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26887-2024</t>
        </is>
      </c>
      <c r="B1810" s="1" t="n">
        <v>45470.64864583333</v>
      </c>
      <c r="C1810" s="1" t="n">
        <v>46140</v>
      </c>
      <c r="D1810" t="inlineStr">
        <is>
          <t>VÄRMLANDS LÄN</t>
        </is>
      </c>
      <c r="E1810" t="inlineStr">
        <is>
          <t>TORSBY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10295-2026</t>
        </is>
      </c>
      <c r="B1811" s="1" t="n">
        <v>46076.62011574074</v>
      </c>
      <c r="C1811" s="1" t="n">
        <v>46140</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21280-2024</t>
        </is>
      </c>
      <c r="B1812" s="1" t="n">
        <v>45440</v>
      </c>
      <c r="C1812" s="1" t="n">
        <v>46140</v>
      </c>
      <c r="D1812" t="inlineStr">
        <is>
          <t>VÄRMLANDS LÄN</t>
        </is>
      </c>
      <c r="E1812" t="inlineStr">
        <is>
          <t>TORSBY</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47271-2021</t>
        </is>
      </c>
      <c r="B1813" s="1" t="n">
        <v>44447</v>
      </c>
      <c r="C1813" s="1" t="n">
        <v>46140</v>
      </c>
      <c r="D1813" t="inlineStr">
        <is>
          <t>VÄRMLANDS LÄN</t>
        </is>
      </c>
      <c r="E1813" t="inlineStr">
        <is>
          <t>TORSBY</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53988-2022</t>
        </is>
      </c>
      <c r="B1814" s="1" t="n">
        <v>44876</v>
      </c>
      <c r="C1814" s="1" t="n">
        <v>46140</v>
      </c>
      <c r="D1814" t="inlineStr">
        <is>
          <t>VÄRMLANDS LÄN</t>
        </is>
      </c>
      <c r="E1814" t="inlineStr">
        <is>
          <t>TORSBY</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47465-2024</t>
        </is>
      </c>
      <c r="B1815" s="1" t="n">
        <v>45587</v>
      </c>
      <c r="C1815" s="1" t="n">
        <v>46140</v>
      </c>
      <c r="D1815" t="inlineStr">
        <is>
          <t>VÄRMLANDS LÄN</t>
        </is>
      </c>
      <c r="E1815" t="inlineStr">
        <is>
          <t>TORSBY</t>
        </is>
      </c>
      <c r="F1815" t="inlineStr">
        <is>
          <t>Övriga Aktiebolag</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17097-2026</t>
        </is>
      </c>
      <c r="B1816" s="1" t="n">
        <v>46114</v>
      </c>
      <c r="C1816" s="1" t="n">
        <v>46140</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10119-2026</t>
        </is>
      </c>
      <c r="B1817" s="1" t="n">
        <v>46075.74895833333</v>
      </c>
      <c r="C1817" s="1" t="n">
        <v>46140</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10596-2026</t>
        </is>
      </c>
      <c r="B1818" s="1" t="n">
        <v>46077.71212962963</v>
      </c>
      <c r="C1818" s="1" t="n">
        <v>46140</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10332-2026</t>
        </is>
      </c>
      <c r="B1819" s="1" t="n">
        <v>46076</v>
      </c>
      <c r="C1819" s="1" t="n">
        <v>46140</v>
      </c>
      <c r="D1819" t="inlineStr">
        <is>
          <t>VÄRMLANDS LÄN</t>
        </is>
      </c>
      <c r="E1819" t="inlineStr">
        <is>
          <t>TORSBY</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10536-2026</t>
        </is>
      </c>
      <c r="B1820" s="1" t="n">
        <v>46077.59946759259</v>
      </c>
      <c r="C1820" s="1" t="n">
        <v>46140</v>
      </c>
      <c r="D1820" t="inlineStr">
        <is>
          <t>VÄRMLANDS LÄN</t>
        </is>
      </c>
      <c r="E1820" t="inlineStr">
        <is>
          <t>TORSBY</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29256-2023</t>
        </is>
      </c>
      <c r="B1821" s="1" t="n">
        <v>45105.65310185185</v>
      </c>
      <c r="C1821" s="1" t="n">
        <v>46140</v>
      </c>
      <c r="D1821" t="inlineStr">
        <is>
          <t>VÄRMLANDS LÄN</t>
        </is>
      </c>
      <c r="E1821" t="inlineStr">
        <is>
          <t>TORSBY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13723-2023</t>
        </is>
      </c>
      <c r="B1822" s="1" t="n">
        <v>45007</v>
      </c>
      <c r="C1822" s="1" t="n">
        <v>46140</v>
      </c>
      <c r="D1822" t="inlineStr">
        <is>
          <t>VÄRMLANDS LÄN</t>
        </is>
      </c>
      <c r="E1822" t="inlineStr">
        <is>
          <t>TORSBY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10515-2026</t>
        </is>
      </c>
      <c r="B1823" s="1" t="n">
        <v>46077</v>
      </c>
      <c r="C1823" s="1" t="n">
        <v>46140</v>
      </c>
      <c r="D1823" t="inlineStr">
        <is>
          <t>VÄRMLANDS LÄN</t>
        </is>
      </c>
      <c r="E1823" t="inlineStr">
        <is>
          <t>TORSBY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1104-2025</t>
        </is>
      </c>
      <c r="B1824" s="1" t="n">
        <v>45666</v>
      </c>
      <c r="C1824" s="1" t="n">
        <v>46140</v>
      </c>
      <c r="D1824" t="inlineStr">
        <is>
          <t>VÄRMLANDS LÄN</t>
        </is>
      </c>
      <c r="E1824" t="inlineStr">
        <is>
          <t>TORSBY</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16433-2023</t>
        </is>
      </c>
      <c r="B1825" s="1" t="n">
        <v>45022</v>
      </c>
      <c r="C1825" s="1" t="n">
        <v>46140</v>
      </c>
      <c r="D1825" t="inlineStr">
        <is>
          <t>VÄRMLANDS LÄN</t>
        </is>
      </c>
      <c r="E1825" t="inlineStr">
        <is>
          <t>TORSBY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21411-2023</t>
        </is>
      </c>
      <c r="B1826" s="1" t="n">
        <v>45063.38505787037</v>
      </c>
      <c r="C1826" s="1" t="n">
        <v>46140</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22687-2023</t>
        </is>
      </c>
      <c r="B1827" s="1" t="n">
        <v>45071</v>
      </c>
      <c r="C1827" s="1" t="n">
        <v>46140</v>
      </c>
      <c r="D1827" t="inlineStr">
        <is>
          <t>VÄRMLANDS LÄN</t>
        </is>
      </c>
      <c r="E1827" t="inlineStr">
        <is>
          <t>TORSBY</t>
        </is>
      </c>
      <c r="F1827" t="inlineStr">
        <is>
          <t>Bergvik skog väst AB</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10277-2026</t>
        </is>
      </c>
      <c r="B1828" s="1" t="n">
        <v>46076.58681712963</v>
      </c>
      <c r="C1828" s="1" t="n">
        <v>46140</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10533-2026</t>
        </is>
      </c>
      <c r="B1829" s="1" t="n">
        <v>46077</v>
      </c>
      <c r="C1829" s="1" t="n">
        <v>46140</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17146-2026</t>
        </is>
      </c>
      <c r="B1830" s="1" t="n">
        <v>46114.8704050926</v>
      </c>
      <c r="C1830" s="1" t="n">
        <v>46140</v>
      </c>
      <c r="D1830" t="inlineStr">
        <is>
          <t>VÄRMLANDS LÄN</t>
        </is>
      </c>
      <c r="E1830" t="inlineStr">
        <is>
          <t>TORSBY</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35057-2023</t>
        </is>
      </c>
      <c r="B1831" s="1" t="n">
        <v>45145.3909375</v>
      </c>
      <c r="C1831" s="1" t="n">
        <v>46140</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485-2025</t>
        </is>
      </c>
      <c r="B1832" s="1" t="n">
        <v>45664</v>
      </c>
      <c r="C1832" s="1" t="n">
        <v>46140</v>
      </c>
      <c r="D1832" t="inlineStr">
        <is>
          <t>VÄRMLANDS LÄN</t>
        </is>
      </c>
      <c r="E1832" t="inlineStr">
        <is>
          <t>TORSBY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3442-2025</t>
        </is>
      </c>
      <c r="B1833" s="1" t="n">
        <v>45680.45114583334</v>
      </c>
      <c r="C1833" s="1" t="n">
        <v>46140</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10684-2026</t>
        </is>
      </c>
      <c r="B1834" s="1" t="n">
        <v>46078.41681712963</v>
      </c>
      <c r="C1834" s="1" t="n">
        <v>46140</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3409-2025</t>
        </is>
      </c>
      <c r="B1835" s="1" t="n">
        <v>45680.39391203703</v>
      </c>
      <c r="C1835" s="1" t="n">
        <v>46140</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10976-2026</t>
        </is>
      </c>
      <c r="B1836" s="1" t="n">
        <v>46079</v>
      </c>
      <c r="C1836" s="1" t="n">
        <v>46140</v>
      </c>
      <c r="D1836" t="inlineStr">
        <is>
          <t>VÄRMLANDS LÄN</t>
        </is>
      </c>
      <c r="E1836" t="inlineStr">
        <is>
          <t>TORSBY</t>
        </is>
      </c>
      <c r="F1836" t="inlineStr">
        <is>
          <t>Bergvik skog väst AB</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48239-2022</t>
        </is>
      </c>
      <c r="B1837" s="1" t="n">
        <v>44858.45881944444</v>
      </c>
      <c r="C1837" s="1" t="n">
        <v>46140</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22124-2022</t>
        </is>
      </c>
      <c r="B1838" s="1" t="n">
        <v>44712</v>
      </c>
      <c r="C1838" s="1" t="n">
        <v>46140</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10871-2026</t>
        </is>
      </c>
      <c r="B1839" s="1" t="n">
        <v>46078.6843287037</v>
      </c>
      <c r="C1839" s="1" t="n">
        <v>46140</v>
      </c>
      <c r="D1839" t="inlineStr">
        <is>
          <t>VÄRMLANDS LÄN</t>
        </is>
      </c>
      <c r="E1839" t="inlineStr">
        <is>
          <t>TORSBY</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6708-2023</t>
        </is>
      </c>
      <c r="B1840" s="1" t="n">
        <v>44960</v>
      </c>
      <c r="C1840" s="1" t="n">
        <v>46140</v>
      </c>
      <c r="D1840" t="inlineStr">
        <is>
          <t>VÄRMLANDS LÄN</t>
        </is>
      </c>
      <c r="E1840" t="inlineStr">
        <is>
          <t>TORSBY</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53744-2024</t>
        </is>
      </c>
      <c r="B1841" s="1" t="n">
        <v>45615</v>
      </c>
      <c r="C1841" s="1" t="n">
        <v>46140</v>
      </c>
      <c r="D1841" t="inlineStr">
        <is>
          <t>VÄRMLANDS LÄN</t>
        </is>
      </c>
      <c r="E1841" t="inlineStr">
        <is>
          <t>TORSBY</t>
        </is>
      </c>
      <c r="G1841" t="n">
        <v>16.9</v>
      </c>
      <c r="H1841" t="n">
        <v>0</v>
      </c>
      <c r="I1841" t="n">
        <v>0</v>
      </c>
      <c r="J1841" t="n">
        <v>0</v>
      </c>
      <c r="K1841" t="n">
        <v>0</v>
      </c>
      <c r="L1841" t="n">
        <v>0</v>
      </c>
      <c r="M1841" t="n">
        <v>0</v>
      </c>
      <c r="N1841" t="n">
        <v>0</v>
      </c>
      <c r="O1841" t="n">
        <v>0</v>
      </c>
      <c r="P1841" t="n">
        <v>0</v>
      </c>
      <c r="Q1841" t="n">
        <v>0</v>
      </c>
      <c r="R1841" s="2" t="inlineStr"/>
    </row>
    <row r="1842" ht="15" customHeight="1">
      <c r="A1842" t="inlineStr">
        <is>
          <t>A 1100-2025</t>
        </is>
      </c>
      <c r="B1842" s="1" t="n">
        <v>45666.64099537037</v>
      </c>
      <c r="C1842" s="1" t="n">
        <v>46140</v>
      </c>
      <c r="D1842" t="inlineStr">
        <is>
          <t>VÄRMLANDS LÄN</t>
        </is>
      </c>
      <c r="E1842" t="inlineStr">
        <is>
          <t>TORSBY</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10895-2024</t>
        </is>
      </c>
      <c r="B1843" s="1" t="n">
        <v>45370.34901620371</v>
      </c>
      <c r="C1843" s="1" t="n">
        <v>46140</v>
      </c>
      <c r="D1843" t="inlineStr">
        <is>
          <t>VÄRMLANDS LÄN</t>
        </is>
      </c>
      <c r="E1843" t="inlineStr">
        <is>
          <t>TORSBY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15360-2026</t>
        </is>
      </c>
      <c r="B1844" s="1" t="n">
        <v>46105</v>
      </c>
      <c r="C1844" s="1" t="n">
        <v>46140</v>
      </c>
      <c r="D1844" t="inlineStr">
        <is>
          <t>VÄRMLANDS LÄN</t>
        </is>
      </c>
      <c r="E1844" t="inlineStr">
        <is>
          <t>TORSBY</t>
        </is>
      </c>
      <c r="F1844" t="inlineStr">
        <is>
          <t>Bergvik skog väst AB</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58728-2021</t>
        </is>
      </c>
      <c r="B1845" s="1" t="n">
        <v>44489</v>
      </c>
      <c r="C1845" s="1" t="n">
        <v>46140</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62445-2023</t>
        </is>
      </c>
      <c r="B1846" s="1" t="n">
        <v>45268.47487268518</v>
      </c>
      <c r="C1846" s="1" t="n">
        <v>46140</v>
      </c>
      <c r="D1846" t="inlineStr">
        <is>
          <t>VÄRMLANDS LÄN</t>
        </is>
      </c>
      <c r="E1846" t="inlineStr">
        <is>
          <t>TORSBY</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28624-2024</t>
        </is>
      </c>
      <c r="B1847" s="1" t="n">
        <v>45478.44297453704</v>
      </c>
      <c r="C1847" s="1" t="n">
        <v>46140</v>
      </c>
      <c r="D1847" t="inlineStr">
        <is>
          <t>VÄRMLANDS LÄN</t>
        </is>
      </c>
      <c r="E1847" t="inlineStr">
        <is>
          <t>TORSBY</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34655-2022</t>
        </is>
      </c>
      <c r="B1848" s="1" t="n">
        <v>44795</v>
      </c>
      <c r="C1848" s="1" t="n">
        <v>46140</v>
      </c>
      <c r="D1848" t="inlineStr">
        <is>
          <t>VÄRMLANDS LÄN</t>
        </is>
      </c>
      <c r="E1848" t="inlineStr">
        <is>
          <t>TORSBY</t>
        </is>
      </c>
      <c r="G1848" t="n">
        <v>12.8</v>
      </c>
      <c r="H1848" t="n">
        <v>0</v>
      </c>
      <c r="I1848" t="n">
        <v>0</v>
      </c>
      <c r="J1848" t="n">
        <v>0</v>
      </c>
      <c r="K1848" t="n">
        <v>0</v>
      </c>
      <c r="L1848" t="n">
        <v>0</v>
      </c>
      <c r="M1848" t="n">
        <v>0</v>
      </c>
      <c r="N1848" t="n">
        <v>0</v>
      </c>
      <c r="O1848" t="n">
        <v>0</v>
      </c>
      <c r="P1848" t="n">
        <v>0</v>
      </c>
      <c r="Q1848" t="n">
        <v>0</v>
      </c>
      <c r="R1848" s="2" t="inlineStr"/>
    </row>
    <row r="1849" ht="15" customHeight="1">
      <c r="A1849" t="inlineStr">
        <is>
          <t>A 17121-2026</t>
        </is>
      </c>
      <c r="B1849" s="1" t="n">
        <v>46114</v>
      </c>
      <c r="C1849" s="1" t="n">
        <v>46140</v>
      </c>
      <c r="D1849" t="inlineStr">
        <is>
          <t>VÄRMLANDS LÄN</t>
        </is>
      </c>
      <c r="E1849" t="inlineStr">
        <is>
          <t>TORSBY</t>
        </is>
      </c>
      <c r="F1849" t="inlineStr">
        <is>
          <t>Bergvik skog väst AB</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345-2023</t>
        </is>
      </c>
      <c r="B1850" s="1" t="n">
        <v>44923</v>
      </c>
      <c r="C1850" s="1" t="n">
        <v>46140</v>
      </c>
      <c r="D1850" t="inlineStr">
        <is>
          <t>VÄRMLANDS LÄN</t>
        </is>
      </c>
      <c r="E1850" t="inlineStr">
        <is>
          <t>TORSBY</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522-2023</t>
        </is>
      </c>
      <c r="B1851" s="1" t="n">
        <v>44930</v>
      </c>
      <c r="C1851" s="1" t="n">
        <v>46140</v>
      </c>
      <c r="D1851" t="inlineStr">
        <is>
          <t>VÄRMLANDS LÄN</t>
        </is>
      </c>
      <c r="E1851" t="inlineStr">
        <is>
          <t>TORSBY</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17436-2026</t>
        </is>
      </c>
      <c r="B1852" s="1" t="n">
        <v>46120.42018518518</v>
      </c>
      <c r="C1852" s="1" t="n">
        <v>46140</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17681-2026</t>
        </is>
      </c>
      <c r="B1853" s="1" t="n">
        <v>46121.60527777778</v>
      </c>
      <c r="C1853" s="1" t="n">
        <v>46140</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36758-2024</t>
        </is>
      </c>
      <c r="B1854" s="1" t="n">
        <v>45538.35525462963</v>
      </c>
      <c r="C1854" s="1" t="n">
        <v>46140</v>
      </c>
      <c r="D1854" t="inlineStr">
        <is>
          <t>VÄRMLANDS LÄN</t>
        </is>
      </c>
      <c r="E1854" t="inlineStr">
        <is>
          <t>TORSBY</t>
        </is>
      </c>
      <c r="F1854" t="inlineStr">
        <is>
          <t>Kyrkan</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16032-2026</t>
        </is>
      </c>
      <c r="B1855" s="1" t="n">
        <v>46108</v>
      </c>
      <c r="C1855" s="1" t="n">
        <v>46140</v>
      </c>
      <c r="D1855" t="inlineStr">
        <is>
          <t>VÄRMLANDS LÄN</t>
        </is>
      </c>
      <c r="E1855" t="inlineStr">
        <is>
          <t>TORSBY</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21089-2022</t>
        </is>
      </c>
      <c r="B1856" s="1" t="n">
        <v>44704</v>
      </c>
      <c r="C1856" s="1" t="n">
        <v>46140</v>
      </c>
      <c r="D1856" t="inlineStr">
        <is>
          <t>VÄRMLANDS LÄN</t>
        </is>
      </c>
      <c r="E1856" t="inlineStr">
        <is>
          <t>TORSBY</t>
        </is>
      </c>
      <c r="G1856" t="n">
        <v>13.4</v>
      </c>
      <c r="H1856" t="n">
        <v>0</v>
      </c>
      <c r="I1856" t="n">
        <v>0</v>
      </c>
      <c r="J1856" t="n">
        <v>0</v>
      </c>
      <c r="K1856" t="n">
        <v>0</v>
      </c>
      <c r="L1856" t="n">
        <v>0</v>
      </c>
      <c r="M1856" t="n">
        <v>0</v>
      </c>
      <c r="N1856" t="n">
        <v>0</v>
      </c>
      <c r="O1856" t="n">
        <v>0</v>
      </c>
      <c r="P1856" t="n">
        <v>0</v>
      </c>
      <c r="Q1856" t="n">
        <v>0</v>
      </c>
      <c r="R1856" s="2" t="inlineStr"/>
    </row>
    <row r="1857" ht="15" customHeight="1">
      <c r="A1857" t="inlineStr">
        <is>
          <t>A 2807-2025</t>
        </is>
      </c>
      <c r="B1857" s="1" t="n">
        <v>45677</v>
      </c>
      <c r="C1857" s="1" t="n">
        <v>46140</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34667-2022</t>
        </is>
      </c>
      <c r="B1858" s="1" t="n">
        <v>44795</v>
      </c>
      <c r="C1858" s="1" t="n">
        <v>46140</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26124-2024</t>
        </is>
      </c>
      <c r="B1859" s="1" t="n">
        <v>45468</v>
      </c>
      <c r="C1859" s="1" t="n">
        <v>46140</v>
      </c>
      <c r="D1859" t="inlineStr">
        <is>
          <t>VÄRMLANDS LÄN</t>
        </is>
      </c>
      <c r="E1859" t="inlineStr">
        <is>
          <t>TORSBY</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15659-2026</t>
        </is>
      </c>
      <c r="B1860" s="1" t="n">
        <v>46106</v>
      </c>
      <c r="C1860" s="1" t="n">
        <v>46140</v>
      </c>
      <c r="D1860" t="inlineStr">
        <is>
          <t>VÄRMLANDS LÄN</t>
        </is>
      </c>
      <c r="E1860" t="inlineStr">
        <is>
          <t>TORSBY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13006-2025</t>
        </is>
      </c>
      <c r="B1861" s="1" t="n">
        <v>45734.51652777778</v>
      </c>
      <c r="C1861" s="1" t="n">
        <v>46140</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37340-2022</t>
        </is>
      </c>
      <c r="B1862" s="1" t="n">
        <v>44809</v>
      </c>
      <c r="C1862" s="1" t="n">
        <v>46140</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17605-2026</t>
        </is>
      </c>
      <c r="B1863" s="1" t="n">
        <v>46121.43990740741</v>
      </c>
      <c r="C1863" s="1" t="n">
        <v>46140</v>
      </c>
      <c r="D1863" t="inlineStr">
        <is>
          <t>VÄRMLANDS LÄN</t>
        </is>
      </c>
      <c r="E1863" t="inlineStr">
        <is>
          <t>TORSBY</t>
        </is>
      </c>
      <c r="G1863" t="n">
        <v>13.6</v>
      </c>
      <c r="H1863" t="n">
        <v>0</v>
      </c>
      <c r="I1863" t="n">
        <v>0</v>
      </c>
      <c r="J1863" t="n">
        <v>0</v>
      </c>
      <c r="K1863" t="n">
        <v>0</v>
      </c>
      <c r="L1863" t="n">
        <v>0</v>
      </c>
      <c r="M1863" t="n">
        <v>0</v>
      </c>
      <c r="N1863" t="n">
        <v>0</v>
      </c>
      <c r="O1863" t="n">
        <v>0</v>
      </c>
      <c r="P1863" t="n">
        <v>0</v>
      </c>
      <c r="Q1863" t="n">
        <v>0</v>
      </c>
      <c r="R1863" s="2" t="inlineStr"/>
    </row>
    <row r="1864" ht="15" customHeight="1">
      <c r="A1864" t="inlineStr">
        <is>
          <t>A 61428-2022</t>
        </is>
      </c>
      <c r="B1864" s="1" t="n">
        <v>44910</v>
      </c>
      <c r="C1864" s="1" t="n">
        <v>46140</v>
      </c>
      <c r="D1864" t="inlineStr">
        <is>
          <t>VÄRMLANDS LÄN</t>
        </is>
      </c>
      <c r="E1864" t="inlineStr">
        <is>
          <t>TORSBY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61432-2022</t>
        </is>
      </c>
      <c r="B1865" s="1" t="n">
        <v>44910</v>
      </c>
      <c r="C1865" s="1" t="n">
        <v>46140</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11489-2026</t>
        </is>
      </c>
      <c r="B1866" s="1" t="n">
        <v>46083</v>
      </c>
      <c r="C1866" s="1" t="n">
        <v>46140</v>
      </c>
      <c r="D1866" t="inlineStr">
        <is>
          <t>VÄRMLANDS LÄN</t>
        </is>
      </c>
      <c r="E1866" t="inlineStr">
        <is>
          <t>TORSBY</t>
        </is>
      </c>
      <c r="F1866" t="inlineStr">
        <is>
          <t>Bergvik skog väst AB</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14581-2023</t>
        </is>
      </c>
      <c r="B1867" s="1" t="n">
        <v>45013.52122685185</v>
      </c>
      <c r="C1867" s="1" t="n">
        <v>46140</v>
      </c>
      <c r="D1867" t="inlineStr">
        <is>
          <t>VÄRMLANDS LÄN</t>
        </is>
      </c>
      <c r="E1867" t="inlineStr">
        <is>
          <t>TORSBY</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11274-2026</t>
        </is>
      </c>
      <c r="B1868" s="1" t="n">
        <v>46080</v>
      </c>
      <c r="C1868" s="1" t="n">
        <v>46140</v>
      </c>
      <c r="D1868" t="inlineStr">
        <is>
          <t>VÄRMLANDS LÄN</t>
        </is>
      </c>
      <c r="E1868" t="inlineStr">
        <is>
          <t>TORSBY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3387-2025</t>
        </is>
      </c>
      <c r="B1869" s="1" t="n">
        <v>45680</v>
      </c>
      <c r="C1869" s="1" t="n">
        <v>46140</v>
      </c>
      <c r="D1869" t="inlineStr">
        <is>
          <t>VÄRMLANDS LÄN</t>
        </is>
      </c>
      <c r="E1869" t="inlineStr">
        <is>
          <t>TORSBY</t>
        </is>
      </c>
      <c r="F1869" t="inlineStr">
        <is>
          <t>Kommuner</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17817-2026</t>
        </is>
      </c>
      <c r="B1870" s="1" t="n">
        <v>46122.43244212963</v>
      </c>
      <c r="C1870" s="1" t="n">
        <v>46140</v>
      </c>
      <c r="D1870" t="inlineStr">
        <is>
          <t>VÄRMLANDS LÄN</t>
        </is>
      </c>
      <c r="E1870" t="inlineStr">
        <is>
          <t>TORSBY</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2390-2025</t>
        </is>
      </c>
      <c r="B1871" s="1" t="n">
        <v>45674.32071759259</v>
      </c>
      <c r="C1871" s="1" t="n">
        <v>46140</v>
      </c>
      <c r="D1871" t="inlineStr">
        <is>
          <t>VÄRMLANDS LÄN</t>
        </is>
      </c>
      <c r="E1871" t="inlineStr">
        <is>
          <t>TORSBY</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68136-2021</t>
        </is>
      </c>
      <c r="B1872" s="1" t="n">
        <v>44526.40984953703</v>
      </c>
      <c r="C1872" s="1" t="n">
        <v>46140</v>
      </c>
      <c r="D1872" t="inlineStr">
        <is>
          <t>VÄRMLANDS LÄN</t>
        </is>
      </c>
      <c r="E1872" t="inlineStr">
        <is>
          <t>TORSBY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11214-2024</t>
        </is>
      </c>
      <c r="B1873" s="1" t="n">
        <v>45371</v>
      </c>
      <c r="C1873" s="1" t="n">
        <v>46140</v>
      </c>
      <c r="D1873" t="inlineStr">
        <is>
          <t>VÄRMLANDS LÄN</t>
        </is>
      </c>
      <c r="E1873" t="inlineStr">
        <is>
          <t>TORSBY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3951-2025</t>
        </is>
      </c>
      <c r="B1874" s="1" t="n">
        <v>45684.49333333333</v>
      </c>
      <c r="C1874" s="1" t="n">
        <v>46140</v>
      </c>
      <c r="D1874" t="inlineStr">
        <is>
          <t>VÄRMLANDS LÄN</t>
        </is>
      </c>
      <c r="E1874" t="inlineStr">
        <is>
          <t>TORSBY</t>
        </is>
      </c>
      <c r="F1874" t="inlineStr">
        <is>
          <t>Bergvik skog väst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34430-2023</t>
        </is>
      </c>
      <c r="B1875" s="1" t="n">
        <v>45139.62216435185</v>
      </c>
      <c r="C1875" s="1" t="n">
        <v>46140</v>
      </c>
      <c r="D1875" t="inlineStr">
        <is>
          <t>VÄRMLANDS LÄN</t>
        </is>
      </c>
      <c r="E1875" t="inlineStr">
        <is>
          <t>TORSBY</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11362-2026</t>
        </is>
      </c>
      <c r="B1876" s="1" t="n">
        <v>46083</v>
      </c>
      <c r="C1876" s="1" t="n">
        <v>46140</v>
      </c>
      <c r="D1876" t="inlineStr">
        <is>
          <t>VÄRMLANDS LÄN</t>
        </is>
      </c>
      <c r="E1876" t="inlineStr">
        <is>
          <t>TORSBY</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17828-2026</t>
        </is>
      </c>
      <c r="B1877" s="1" t="n">
        <v>46122.44521990741</v>
      </c>
      <c r="C1877" s="1" t="n">
        <v>46140</v>
      </c>
      <c r="D1877" t="inlineStr">
        <is>
          <t>VÄRMLANDS LÄN</t>
        </is>
      </c>
      <c r="E1877" t="inlineStr">
        <is>
          <t>TORSBY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36327-2021</t>
        </is>
      </c>
      <c r="B1878" s="1" t="n">
        <v>44390</v>
      </c>
      <c r="C1878" s="1" t="n">
        <v>46140</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52483-2022</t>
        </is>
      </c>
      <c r="B1879" s="1" t="n">
        <v>44874.48637731482</v>
      </c>
      <c r="C1879" s="1" t="n">
        <v>46140</v>
      </c>
      <c r="D1879" t="inlineStr">
        <is>
          <t>VÄRMLANDS LÄN</t>
        </is>
      </c>
      <c r="E1879" t="inlineStr">
        <is>
          <t>TORSBY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49073-2022</t>
        </is>
      </c>
      <c r="B1880" s="1" t="n">
        <v>44860</v>
      </c>
      <c r="C1880" s="1" t="n">
        <v>46140</v>
      </c>
      <c r="D1880" t="inlineStr">
        <is>
          <t>VÄRMLANDS LÄN</t>
        </is>
      </c>
      <c r="E1880" t="inlineStr">
        <is>
          <t>TORSBY</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54452-2022</t>
        </is>
      </c>
      <c r="B1881" s="1" t="n">
        <v>44880</v>
      </c>
      <c r="C1881" s="1" t="n">
        <v>46140</v>
      </c>
      <c r="D1881" t="inlineStr">
        <is>
          <t>VÄRMLANDS LÄN</t>
        </is>
      </c>
      <c r="E1881" t="inlineStr">
        <is>
          <t>TORSBY</t>
        </is>
      </c>
      <c r="F1881" t="inlineStr">
        <is>
          <t>Kyrkan</t>
        </is>
      </c>
      <c r="G1881" t="n">
        <v>10.6</v>
      </c>
      <c r="H1881" t="n">
        <v>0</v>
      </c>
      <c r="I1881" t="n">
        <v>0</v>
      </c>
      <c r="J1881" t="n">
        <v>0</v>
      </c>
      <c r="K1881" t="n">
        <v>0</v>
      </c>
      <c r="L1881" t="n">
        <v>0</v>
      </c>
      <c r="M1881" t="n">
        <v>0</v>
      </c>
      <c r="N1881" t="n">
        <v>0</v>
      </c>
      <c r="O1881" t="n">
        <v>0</v>
      </c>
      <c r="P1881" t="n">
        <v>0</v>
      </c>
      <c r="Q1881" t="n">
        <v>0</v>
      </c>
      <c r="R1881" s="2" t="inlineStr"/>
    </row>
    <row r="1882" ht="15" customHeight="1">
      <c r="A1882" t="inlineStr">
        <is>
          <t>A 54556-2023</t>
        </is>
      </c>
      <c r="B1882" s="1" t="n">
        <v>45233.63445601852</v>
      </c>
      <c r="C1882" s="1" t="n">
        <v>46140</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34405-2023</t>
        </is>
      </c>
      <c r="B1883" s="1" t="n">
        <v>45139.55131944444</v>
      </c>
      <c r="C1883" s="1" t="n">
        <v>46140</v>
      </c>
      <c r="D1883" t="inlineStr">
        <is>
          <t>VÄRMLANDS LÄN</t>
        </is>
      </c>
      <c r="E1883" t="inlineStr">
        <is>
          <t>TORSBY</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44340-2022</t>
        </is>
      </c>
      <c r="B1884" s="1" t="n">
        <v>44838</v>
      </c>
      <c r="C1884" s="1" t="n">
        <v>46140</v>
      </c>
      <c r="D1884" t="inlineStr">
        <is>
          <t>VÄRMLANDS LÄN</t>
        </is>
      </c>
      <c r="E1884" t="inlineStr">
        <is>
          <t>TORSBY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11896-2026</t>
        </is>
      </c>
      <c r="B1885" s="1" t="n">
        <v>46085</v>
      </c>
      <c r="C1885" s="1" t="n">
        <v>46140</v>
      </c>
      <c r="D1885" t="inlineStr">
        <is>
          <t>VÄRMLANDS LÄN</t>
        </is>
      </c>
      <c r="E1885" t="inlineStr">
        <is>
          <t>TORSBY</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30104-2023</t>
        </is>
      </c>
      <c r="B1886" s="1" t="n">
        <v>45110</v>
      </c>
      <c r="C1886" s="1" t="n">
        <v>46140</v>
      </c>
      <c r="D1886" t="inlineStr">
        <is>
          <t>VÄRMLANDS LÄN</t>
        </is>
      </c>
      <c r="E1886" t="inlineStr">
        <is>
          <t>TORSBY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18407-2026</t>
        </is>
      </c>
      <c r="B1887" s="1" t="n">
        <v>46126.68605324074</v>
      </c>
      <c r="C1887" s="1" t="n">
        <v>46140</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52239-2024</t>
        </is>
      </c>
      <c r="B1888" s="1" t="n">
        <v>45608.61837962963</v>
      </c>
      <c r="C1888" s="1" t="n">
        <v>46140</v>
      </c>
      <c r="D1888" t="inlineStr">
        <is>
          <t>VÄRMLANDS LÄN</t>
        </is>
      </c>
      <c r="E1888" t="inlineStr">
        <is>
          <t>TORSBY</t>
        </is>
      </c>
      <c r="F1888" t="inlineStr">
        <is>
          <t>Bergvik skog väst AB</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11901-2026</t>
        </is>
      </c>
      <c r="B1889" s="1" t="n">
        <v>46085.54050925926</v>
      </c>
      <c r="C1889" s="1" t="n">
        <v>46140</v>
      </c>
      <c r="D1889" t="inlineStr">
        <is>
          <t>VÄRMLANDS LÄN</t>
        </is>
      </c>
      <c r="E1889" t="inlineStr">
        <is>
          <t>TORSBY</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11909-2026</t>
        </is>
      </c>
      <c r="B1890" s="1" t="n">
        <v>46085.54694444445</v>
      </c>
      <c r="C1890" s="1" t="n">
        <v>46140</v>
      </c>
      <c r="D1890" t="inlineStr">
        <is>
          <t>VÄRMLANDS LÄN</t>
        </is>
      </c>
      <c r="E1890" t="inlineStr">
        <is>
          <t>TORSBY</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56473-2022</t>
        </is>
      </c>
      <c r="B1891" s="1" t="n">
        <v>44893</v>
      </c>
      <c r="C1891" s="1" t="n">
        <v>46140</v>
      </c>
      <c r="D1891" t="inlineStr">
        <is>
          <t>VÄRMLANDS LÄN</t>
        </is>
      </c>
      <c r="E1891" t="inlineStr">
        <is>
          <t>TORSBY</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45328-2022</t>
        </is>
      </c>
      <c r="B1892" s="1" t="n">
        <v>44844</v>
      </c>
      <c r="C1892" s="1" t="n">
        <v>46140</v>
      </c>
      <c r="D1892" t="inlineStr">
        <is>
          <t>VÄRMLANDS LÄN</t>
        </is>
      </c>
      <c r="E1892" t="inlineStr">
        <is>
          <t>TORSBY</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11692-2026</t>
        </is>
      </c>
      <c r="B1893" s="1" t="n">
        <v>46084</v>
      </c>
      <c r="C1893" s="1" t="n">
        <v>46140</v>
      </c>
      <c r="D1893" t="inlineStr">
        <is>
          <t>VÄRMLANDS LÄN</t>
        </is>
      </c>
      <c r="E1893" t="inlineStr">
        <is>
          <t>TORSBY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11722-2026</t>
        </is>
      </c>
      <c r="B1894" s="1" t="n">
        <v>46084</v>
      </c>
      <c r="C1894" s="1" t="n">
        <v>46140</v>
      </c>
      <c r="D1894" t="inlineStr">
        <is>
          <t>VÄRMLANDS LÄN</t>
        </is>
      </c>
      <c r="E1894" t="inlineStr">
        <is>
          <t>TORSBY</t>
        </is>
      </c>
      <c r="F1894" t="inlineStr">
        <is>
          <t>Bergvik skog väst AB</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11765-2026</t>
        </is>
      </c>
      <c r="B1895" s="1" t="n">
        <v>46084</v>
      </c>
      <c r="C1895" s="1" t="n">
        <v>46140</v>
      </c>
      <c r="D1895" t="inlineStr">
        <is>
          <t>VÄRMLANDS LÄN</t>
        </is>
      </c>
      <c r="E1895" t="inlineStr">
        <is>
          <t>TORSBY</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25355-2024</t>
        </is>
      </c>
      <c r="B1896" s="1" t="n">
        <v>45462.92868055555</v>
      </c>
      <c r="C1896" s="1" t="n">
        <v>46140</v>
      </c>
      <c r="D1896" t="inlineStr">
        <is>
          <t>VÄRMLANDS LÄN</t>
        </is>
      </c>
      <c r="E1896" t="inlineStr">
        <is>
          <t>TORSBY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30074-2024</t>
        </is>
      </c>
      <c r="B1897" s="1" t="n">
        <v>45489</v>
      </c>
      <c r="C1897" s="1" t="n">
        <v>46140</v>
      </c>
      <c r="D1897" t="inlineStr">
        <is>
          <t>VÄRMLANDS LÄN</t>
        </is>
      </c>
      <c r="E1897" t="inlineStr">
        <is>
          <t>TORSBY</t>
        </is>
      </c>
      <c r="F1897" t="inlineStr">
        <is>
          <t>Kyrkan</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11711-2026</t>
        </is>
      </c>
      <c r="B1898" s="1" t="n">
        <v>46084</v>
      </c>
      <c r="C1898" s="1" t="n">
        <v>46140</v>
      </c>
      <c r="D1898" t="inlineStr">
        <is>
          <t>VÄRMLANDS LÄN</t>
        </is>
      </c>
      <c r="E1898" t="inlineStr">
        <is>
          <t>TORSBY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21258-2023</t>
        </is>
      </c>
      <c r="B1899" s="1" t="n">
        <v>45058</v>
      </c>
      <c r="C1899" s="1" t="n">
        <v>46140</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18136-2026</t>
        </is>
      </c>
      <c r="B1900" s="1" t="n">
        <v>46125</v>
      </c>
      <c r="C1900" s="1" t="n">
        <v>46140</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19743-2025</t>
        </is>
      </c>
      <c r="B1901" s="1" t="n">
        <v>45771.37554398148</v>
      </c>
      <c r="C1901" s="1" t="n">
        <v>46140</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11583-2026</t>
        </is>
      </c>
      <c r="B1902" s="1" t="n">
        <v>46084</v>
      </c>
      <c r="C1902" s="1" t="n">
        <v>46140</v>
      </c>
      <c r="D1902" t="inlineStr">
        <is>
          <t>VÄRMLANDS LÄN</t>
        </is>
      </c>
      <c r="E1902" t="inlineStr">
        <is>
          <t>TORSBY</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38086-2023</t>
        </is>
      </c>
      <c r="B1903" s="1" t="n">
        <v>45160</v>
      </c>
      <c r="C1903" s="1" t="n">
        <v>46140</v>
      </c>
      <c r="D1903" t="inlineStr">
        <is>
          <t>VÄRMLANDS LÄN</t>
        </is>
      </c>
      <c r="E1903" t="inlineStr">
        <is>
          <t>TORSBY</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48629-2024</t>
        </is>
      </c>
      <c r="B1904" s="1" t="n">
        <v>45593.46605324074</v>
      </c>
      <c r="C1904" s="1" t="n">
        <v>46140</v>
      </c>
      <c r="D1904" t="inlineStr">
        <is>
          <t>VÄRMLANDS LÄN</t>
        </is>
      </c>
      <c r="E1904" t="inlineStr">
        <is>
          <t>TORSBY</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18244-2026</t>
        </is>
      </c>
      <c r="B1905" s="1" t="n">
        <v>46126.35222222222</v>
      </c>
      <c r="C1905" s="1" t="n">
        <v>46140</v>
      </c>
      <c r="D1905" t="inlineStr">
        <is>
          <t>VÄRMLANDS LÄN</t>
        </is>
      </c>
      <c r="E1905" t="inlineStr">
        <is>
          <t>TORSBY</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20721-2023</t>
        </is>
      </c>
      <c r="B1906" s="1" t="n">
        <v>45058</v>
      </c>
      <c r="C1906" s="1" t="n">
        <v>46140</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18505-2026</t>
        </is>
      </c>
      <c r="B1907" s="1" t="n">
        <v>46127</v>
      </c>
      <c r="C1907" s="1" t="n">
        <v>46140</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18314-2025</t>
        </is>
      </c>
      <c r="B1908" s="1" t="n">
        <v>45762.44986111111</v>
      </c>
      <c r="C1908" s="1" t="n">
        <v>46140</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235-2024</t>
        </is>
      </c>
      <c r="B1909" s="1" t="n">
        <v>45294.85100694445</v>
      </c>
      <c r="C1909" s="1" t="n">
        <v>46140</v>
      </c>
      <c r="D1909" t="inlineStr">
        <is>
          <t>VÄRMLANDS LÄN</t>
        </is>
      </c>
      <c r="E1909" t="inlineStr">
        <is>
          <t>TORSBY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16300-2026</t>
        </is>
      </c>
      <c r="B1910" s="1" t="n">
        <v>46111</v>
      </c>
      <c r="C1910" s="1" t="n">
        <v>46140</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18308-2024</t>
        </is>
      </c>
      <c r="B1911" s="1" t="n">
        <v>45422</v>
      </c>
      <c r="C1911" s="1" t="n">
        <v>46140</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18690-2026</t>
        </is>
      </c>
      <c r="B1912" s="1" t="n">
        <v>46128.3993287037</v>
      </c>
      <c r="C1912" s="1" t="n">
        <v>46140</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12250-2026</t>
        </is>
      </c>
      <c r="B1913" s="1" t="n">
        <v>46087.4499537037</v>
      </c>
      <c r="C1913" s="1" t="n">
        <v>46140</v>
      </c>
      <c r="D1913" t="inlineStr">
        <is>
          <t>VÄRMLANDS LÄN</t>
        </is>
      </c>
      <c r="E1913" t="inlineStr">
        <is>
          <t>TORSBY</t>
        </is>
      </c>
      <c r="F1913" t="inlineStr">
        <is>
          <t>Bergvik skog väst AB</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12271-2026</t>
        </is>
      </c>
      <c r="B1914" s="1" t="n">
        <v>46087.51574074074</v>
      </c>
      <c r="C1914" s="1" t="n">
        <v>46140</v>
      </c>
      <c r="D1914" t="inlineStr">
        <is>
          <t>VÄRMLANDS LÄN</t>
        </is>
      </c>
      <c r="E1914" t="inlineStr">
        <is>
          <t>TORSBY</t>
        </is>
      </c>
      <c r="F1914" t="inlineStr">
        <is>
          <t>Bergvik skog väst AB</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34105-2023</t>
        </is>
      </c>
      <c r="B1915" s="1" t="n">
        <v>45126</v>
      </c>
      <c r="C1915" s="1" t="n">
        <v>46140</v>
      </c>
      <c r="D1915" t="inlineStr">
        <is>
          <t>VÄRMLANDS LÄN</t>
        </is>
      </c>
      <c r="E1915" t="inlineStr">
        <is>
          <t>TORSBY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18927-2026</t>
        </is>
      </c>
      <c r="B1916" s="1" t="n">
        <v>46129.55773148148</v>
      </c>
      <c r="C1916" s="1" t="n">
        <v>46140</v>
      </c>
      <c r="D1916" t="inlineStr">
        <is>
          <t>VÄRMLANDS LÄN</t>
        </is>
      </c>
      <c r="E1916" t="inlineStr">
        <is>
          <t>TORSBY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58707-2024</t>
        </is>
      </c>
      <c r="B1917" s="1" t="n">
        <v>45635</v>
      </c>
      <c r="C1917" s="1" t="n">
        <v>46140</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12178-2026</t>
        </is>
      </c>
      <c r="B1918" s="1" t="n">
        <v>46086</v>
      </c>
      <c r="C1918" s="1" t="n">
        <v>46140</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56634-2024</t>
        </is>
      </c>
      <c r="B1919" s="1" t="n">
        <v>45625.68491898148</v>
      </c>
      <c r="C1919" s="1" t="n">
        <v>46140</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49717-2023</t>
        </is>
      </c>
      <c r="B1920" s="1" t="n">
        <v>45208</v>
      </c>
      <c r="C1920" s="1" t="n">
        <v>46140</v>
      </c>
      <c r="D1920" t="inlineStr">
        <is>
          <t>VÄRMLANDS LÄN</t>
        </is>
      </c>
      <c r="E1920" t="inlineStr">
        <is>
          <t>TORSBY</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54011-2024</t>
        </is>
      </c>
      <c r="B1921" s="1" t="n">
        <v>45616.37576388889</v>
      </c>
      <c r="C1921" s="1" t="n">
        <v>46140</v>
      </c>
      <c r="D1921" t="inlineStr">
        <is>
          <t>VÄRMLANDS LÄN</t>
        </is>
      </c>
      <c r="E1921" t="inlineStr">
        <is>
          <t>TORSBY</t>
        </is>
      </c>
      <c r="F1921" t="inlineStr">
        <is>
          <t>Kommuner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54026-2024</t>
        </is>
      </c>
      <c r="B1922" s="1" t="n">
        <v>45616</v>
      </c>
      <c r="C1922" s="1" t="n">
        <v>46140</v>
      </c>
      <c r="D1922" t="inlineStr">
        <is>
          <t>VÄRMLANDS LÄN</t>
        </is>
      </c>
      <c r="E1922" t="inlineStr">
        <is>
          <t>TORSBY</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61251-2024</t>
        </is>
      </c>
      <c r="B1923" s="1" t="n">
        <v>45645</v>
      </c>
      <c r="C1923" s="1" t="n">
        <v>46140</v>
      </c>
      <c r="D1923" t="inlineStr">
        <is>
          <t>VÄRMLANDS LÄN</t>
        </is>
      </c>
      <c r="E1923" t="inlineStr">
        <is>
          <t>TORSBY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61259-2024</t>
        </is>
      </c>
      <c r="B1924" s="1" t="n">
        <v>45645.71188657408</v>
      </c>
      <c r="C1924" s="1" t="n">
        <v>46140</v>
      </c>
      <c r="D1924" t="inlineStr">
        <is>
          <t>VÄRMLANDS LÄN</t>
        </is>
      </c>
      <c r="E1924" t="inlineStr">
        <is>
          <t>TORSBY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22826-2022</t>
        </is>
      </c>
      <c r="B1925" s="1" t="n">
        <v>44714</v>
      </c>
      <c r="C1925" s="1" t="n">
        <v>46140</v>
      </c>
      <c r="D1925" t="inlineStr">
        <is>
          <t>VÄRMLANDS LÄN</t>
        </is>
      </c>
      <c r="E1925" t="inlineStr">
        <is>
          <t>TORSBY</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2616-2025</t>
        </is>
      </c>
      <c r="B1926" s="1" t="n">
        <v>45675</v>
      </c>
      <c r="C1926" s="1" t="n">
        <v>46140</v>
      </c>
      <c r="D1926" t="inlineStr">
        <is>
          <t>VÄRMLANDS LÄN</t>
        </is>
      </c>
      <c r="E1926" t="inlineStr">
        <is>
          <t>TORSBY</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17018-2025</t>
        </is>
      </c>
      <c r="B1927" s="1" t="n">
        <v>45755</v>
      </c>
      <c r="C1927" s="1" t="n">
        <v>46140</v>
      </c>
      <c r="D1927" t="inlineStr">
        <is>
          <t>VÄRMLANDS LÄN</t>
        </is>
      </c>
      <c r="E1927" t="inlineStr">
        <is>
          <t>TORSBY</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54777-2023</t>
        </is>
      </c>
      <c r="B1928" s="1" t="n">
        <v>45236</v>
      </c>
      <c r="C1928" s="1" t="n">
        <v>46140</v>
      </c>
      <c r="D1928" t="inlineStr">
        <is>
          <t>VÄRMLANDS LÄN</t>
        </is>
      </c>
      <c r="E1928" t="inlineStr">
        <is>
          <t>TORSBY</t>
        </is>
      </c>
      <c r="F1928" t="inlineStr">
        <is>
          <t>Bergvik skog väst AB</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12289-2026</t>
        </is>
      </c>
      <c r="B1929" s="1" t="n">
        <v>46087.55357638889</v>
      </c>
      <c r="C1929" s="1" t="n">
        <v>46140</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3904-2025</t>
        </is>
      </c>
      <c r="B1930" s="1" t="n">
        <v>45684</v>
      </c>
      <c r="C1930" s="1" t="n">
        <v>46140</v>
      </c>
      <c r="D1930" t="inlineStr">
        <is>
          <t>VÄRMLANDS LÄN</t>
        </is>
      </c>
      <c r="E1930" t="inlineStr">
        <is>
          <t>TORSBY</t>
        </is>
      </c>
      <c r="F1930" t="inlineStr">
        <is>
          <t>Övriga statliga verk och myndigheter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56098-2024</t>
        </is>
      </c>
      <c r="B1931" s="1" t="n">
        <v>45624.42371527778</v>
      </c>
      <c r="C1931" s="1" t="n">
        <v>46140</v>
      </c>
      <c r="D1931" t="inlineStr">
        <is>
          <t>VÄRMLANDS LÄN</t>
        </is>
      </c>
      <c r="E1931" t="inlineStr">
        <is>
          <t>TORSBY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15900-2026</t>
        </is>
      </c>
      <c r="B1932" s="1" t="n">
        <v>46107.63597222222</v>
      </c>
      <c r="C1932" s="1" t="n">
        <v>46140</v>
      </c>
      <c r="D1932" t="inlineStr">
        <is>
          <t>VÄRMLANDS LÄN</t>
        </is>
      </c>
      <c r="E1932" t="inlineStr">
        <is>
          <t>TORSBY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19211-2026</t>
        </is>
      </c>
      <c r="B1933" s="1" t="n">
        <v>46132.62592592592</v>
      </c>
      <c r="C1933" s="1" t="n">
        <v>46140</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14301-2025</t>
        </is>
      </c>
      <c r="B1934" s="1" t="n">
        <v>45740</v>
      </c>
      <c r="C1934" s="1" t="n">
        <v>46140</v>
      </c>
      <c r="D1934" t="inlineStr">
        <is>
          <t>VÄRMLANDS LÄN</t>
        </is>
      </c>
      <c r="E1934" t="inlineStr">
        <is>
          <t>TORSBY</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19787-2025</t>
        </is>
      </c>
      <c r="B1935" s="1" t="n">
        <v>45771.4408912037</v>
      </c>
      <c r="C1935" s="1" t="n">
        <v>46140</v>
      </c>
      <c r="D1935" t="inlineStr">
        <is>
          <t>VÄRMLANDS LÄN</t>
        </is>
      </c>
      <c r="E1935" t="inlineStr">
        <is>
          <t>TORSBY</t>
        </is>
      </c>
      <c r="F1935" t="inlineStr">
        <is>
          <t>Bergvik skog väst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19069-2026</t>
        </is>
      </c>
      <c r="B1936" s="1" t="n">
        <v>46132.37508101852</v>
      </c>
      <c r="C1936" s="1" t="n">
        <v>46140</v>
      </c>
      <c r="D1936" t="inlineStr">
        <is>
          <t>VÄRMLANDS LÄN</t>
        </is>
      </c>
      <c r="E1936" t="inlineStr">
        <is>
          <t>TORSBY</t>
        </is>
      </c>
      <c r="G1936" t="n">
        <v>9.699999999999999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19096-2026</t>
        </is>
      </c>
      <c r="B1937" s="1" t="n">
        <v>46132.41769675926</v>
      </c>
      <c r="C1937" s="1" t="n">
        <v>46140</v>
      </c>
      <c r="D1937" t="inlineStr">
        <is>
          <t>VÄRMLANDS LÄN</t>
        </is>
      </c>
      <c r="E1937" t="inlineStr">
        <is>
          <t>TORSBY</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19434-2026</t>
        </is>
      </c>
      <c r="B1938" s="1" t="n">
        <v>46133.62920138889</v>
      </c>
      <c r="C1938" s="1" t="n">
        <v>46140</v>
      </c>
      <c r="D1938" t="inlineStr">
        <is>
          <t>VÄRMLANDS LÄN</t>
        </is>
      </c>
      <c r="E1938" t="inlineStr">
        <is>
          <t>TORSBY</t>
        </is>
      </c>
      <c r="F1938" t="inlineStr">
        <is>
          <t>Kommuner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7645-2026</t>
        </is>
      </c>
      <c r="B1939" s="1" t="n">
        <v>46062</v>
      </c>
      <c r="C1939" s="1" t="n">
        <v>46140</v>
      </c>
      <c r="D1939" t="inlineStr">
        <is>
          <t>VÄRMLANDS LÄN</t>
        </is>
      </c>
      <c r="E1939" t="inlineStr">
        <is>
          <t>TORSBY</t>
        </is>
      </c>
      <c r="F1939" t="inlineStr">
        <is>
          <t>Övriga statliga verk och myndigheter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19423-2026</t>
        </is>
      </c>
      <c r="B1940" s="1" t="n">
        <v>46133</v>
      </c>
      <c r="C1940" s="1" t="n">
        <v>46140</v>
      </c>
      <c r="D1940" t="inlineStr">
        <is>
          <t>VÄRMLANDS LÄN</t>
        </is>
      </c>
      <c r="E1940" t="inlineStr">
        <is>
          <t>TORSBY</t>
        </is>
      </c>
      <c r="F1940" t="inlineStr">
        <is>
          <t>Bergvik skog väst AB</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3326-2024</t>
        </is>
      </c>
      <c r="B1941" s="1" t="n">
        <v>45317</v>
      </c>
      <c r="C1941" s="1" t="n">
        <v>46140</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55808-2024</t>
        </is>
      </c>
      <c r="B1942" s="1" t="n">
        <v>45622</v>
      </c>
      <c r="C1942" s="1" t="n">
        <v>46140</v>
      </c>
      <c r="D1942" t="inlineStr">
        <is>
          <t>VÄRMLANDS LÄN</t>
        </is>
      </c>
      <c r="E1942" t="inlineStr">
        <is>
          <t>TORSBY</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19191-2026</t>
        </is>
      </c>
      <c r="B1943" s="1" t="n">
        <v>46132.60239583333</v>
      </c>
      <c r="C1943" s="1" t="n">
        <v>46140</v>
      </c>
      <c r="D1943" t="inlineStr">
        <is>
          <t>VÄRMLANDS LÄN</t>
        </is>
      </c>
      <c r="E1943" t="inlineStr">
        <is>
          <t>TORSBY</t>
        </is>
      </c>
      <c r="F1943" t="inlineStr">
        <is>
          <t>Bergvik skog väst AB</t>
        </is>
      </c>
      <c r="G1943" t="n">
        <v>13.2</v>
      </c>
      <c r="H1943" t="n">
        <v>0</v>
      </c>
      <c r="I1943" t="n">
        <v>0</v>
      </c>
      <c r="J1943" t="n">
        <v>0</v>
      </c>
      <c r="K1943" t="n">
        <v>0</v>
      </c>
      <c r="L1943" t="n">
        <v>0</v>
      </c>
      <c r="M1943" t="n">
        <v>0</v>
      </c>
      <c r="N1943" t="n">
        <v>0</v>
      </c>
      <c r="O1943" t="n">
        <v>0</v>
      </c>
      <c r="P1943" t="n">
        <v>0</v>
      </c>
      <c r="Q1943" t="n">
        <v>0</v>
      </c>
      <c r="R1943" s="2" t="inlineStr"/>
    </row>
    <row r="1944" ht="15" customHeight="1">
      <c r="A1944" t="inlineStr">
        <is>
          <t>A 39567-2024</t>
        </is>
      </c>
      <c r="B1944" s="1" t="n">
        <v>45552.3584375</v>
      </c>
      <c r="C1944" s="1" t="n">
        <v>46140</v>
      </c>
      <c r="D1944" t="inlineStr">
        <is>
          <t>VÄRMLANDS LÄN</t>
        </is>
      </c>
      <c r="E1944" t="inlineStr">
        <is>
          <t>TORSBY</t>
        </is>
      </c>
      <c r="F1944" t="inlineStr">
        <is>
          <t>Bergvik skog väst AB</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19144-2026</t>
        </is>
      </c>
      <c r="B1945" s="1" t="n">
        <v>46132.52582175926</v>
      </c>
      <c r="C1945" s="1" t="n">
        <v>46140</v>
      </c>
      <c r="D1945" t="inlineStr">
        <is>
          <t>VÄRMLANDS LÄN</t>
        </is>
      </c>
      <c r="E1945" t="inlineStr">
        <is>
          <t>TORSBY</t>
        </is>
      </c>
      <c r="F1945" t="inlineStr">
        <is>
          <t>Kommuner</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54306-2024</t>
        </is>
      </c>
      <c r="B1946" s="1" t="n">
        <v>45617</v>
      </c>
      <c r="C1946" s="1" t="n">
        <v>46140</v>
      </c>
      <c r="D1946" t="inlineStr">
        <is>
          <t>VÄRMLANDS LÄN</t>
        </is>
      </c>
      <c r="E1946" t="inlineStr">
        <is>
          <t>TORSBY</t>
        </is>
      </c>
      <c r="F1946" t="inlineStr">
        <is>
          <t>Bergvik skog väst AB</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21587-2024</t>
        </is>
      </c>
      <c r="B1947" s="1" t="n">
        <v>45441</v>
      </c>
      <c r="C1947" s="1" t="n">
        <v>46140</v>
      </c>
      <c r="D1947" t="inlineStr">
        <is>
          <t>VÄRMLANDS LÄN</t>
        </is>
      </c>
      <c r="E1947" t="inlineStr">
        <is>
          <t>TORSBY</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9578-2023</t>
        </is>
      </c>
      <c r="B1948" s="1" t="n">
        <v>44982.69790509259</v>
      </c>
      <c r="C1948" s="1" t="n">
        <v>46140</v>
      </c>
      <c r="D1948" t="inlineStr">
        <is>
          <t>VÄRMLANDS LÄN</t>
        </is>
      </c>
      <c r="E1948" t="inlineStr">
        <is>
          <t>TORSBY</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20120-2023</t>
        </is>
      </c>
      <c r="B1949" s="1" t="n">
        <v>45055</v>
      </c>
      <c r="C1949" s="1" t="n">
        <v>46140</v>
      </c>
      <c r="D1949" t="inlineStr">
        <is>
          <t>VÄRMLANDS LÄN</t>
        </is>
      </c>
      <c r="E1949" t="inlineStr">
        <is>
          <t>TORSBY</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54265-2024</t>
        </is>
      </c>
      <c r="B1950" s="1" t="n">
        <v>45616</v>
      </c>
      <c r="C1950" s="1" t="n">
        <v>46140</v>
      </c>
      <c r="D1950" t="inlineStr">
        <is>
          <t>VÄRMLANDS LÄN</t>
        </is>
      </c>
      <c r="E1950" t="inlineStr">
        <is>
          <t>TORSBY</t>
        </is>
      </c>
      <c r="F1950" t="inlineStr">
        <is>
          <t>Kommuner</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6534-2025</t>
        </is>
      </c>
      <c r="B1951" s="1" t="n">
        <v>45699</v>
      </c>
      <c r="C1951" s="1" t="n">
        <v>46140</v>
      </c>
      <c r="D1951" t="inlineStr">
        <is>
          <t>VÄRMLANDS LÄN</t>
        </is>
      </c>
      <c r="E1951" t="inlineStr">
        <is>
          <t>TORSBY</t>
        </is>
      </c>
      <c r="F1951" t="inlineStr">
        <is>
          <t>Kommuner</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10728-2026</t>
        </is>
      </c>
      <c r="B1952" s="1" t="n">
        <v>46078</v>
      </c>
      <c r="C1952" s="1" t="n">
        <v>46140</v>
      </c>
      <c r="D1952" t="inlineStr">
        <is>
          <t>VÄRMLANDS LÄN</t>
        </is>
      </c>
      <c r="E1952" t="inlineStr">
        <is>
          <t>TORSBY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15907-2026</t>
        </is>
      </c>
      <c r="B1953" s="1" t="n">
        <v>46107.63809027777</v>
      </c>
      <c r="C1953" s="1" t="n">
        <v>46140</v>
      </c>
      <c r="D1953" t="inlineStr">
        <is>
          <t>VÄRMLANDS LÄN</t>
        </is>
      </c>
      <c r="E1953" t="inlineStr">
        <is>
          <t>TORSBY</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19385-2026</t>
        </is>
      </c>
      <c r="B1954" s="1" t="n">
        <v>46133.57067129629</v>
      </c>
      <c r="C1954" s="1" t="n">
        <v>46140</v>
      </c>
      <c r="D1954" t="inlineStr">
        <is>
          <t>VÄRMLANDS LÄN</t>
        </is>
      </c>
      <c r="E1954" t="inlineStr">
        <is>
          <t>TORSBY</t>
        </is>
      </c>
      <c r="F1954" t="inlineStr">
        <is>
          <t>Bergvik skog väst AB</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18912-2026</t>
        </is>
      </c>
      <c r="B1955" s="1" t="n">
        <v>46129</v>
      </c>
      <c r="C1955" s="1" t="n">
        <v>46140</v>
      </c>
      <c r="D1955" t="inlineStr">
        <is>
          <t>VÄRMLANDS LÄN</t>
        </is>
      </c>
      <c r="E1955" t="inlineStr">
        <is>
          <t>TORSBY</t>
        </is>
      </c>
      <c r="F1955" t="inlineStr">
        <is>
          <t>Bergvik skog väst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17850-2026</t>
        </is>
      </c>
      <c r="B1956" s="1" t="n">
        <v>46122</v>
      </c>
      <c r="C1956" s="1" t="n">
        <v>46140</v>
      </c>
      <c r="D1956" t="inlineStr">
        <is>
          <t>VÄRMLANDS LÄN</t>
        </is>
      </c>
      <c r="E1956" t="inlineStr">
        <is>
          <t>TORSBY</t>
        </is>
      </c>
      <c r="F1956" t="inlineStr">
        <is>
          <t>Bergvik skog väst AB</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20321-2023</t>
        </is>
      </c>
      <c r="B1957" s="1" t="n">
        <v>45056.45232638889</v>
      </c>
      <c r="C1957" s="1" t="n">
        <v>46140</v>
      </c>
      <c r="D1957" t="inlineStr">
        <is>
          <t>VÄRMLANDS LÄN</t>
        </is>
      </c>
      <c r="E1957" t="inlineStr">
        <is>
          <t>TORSBY</t>
        </is>
      </c>
      <c r="F1957" t="inlineStr">
        <is>
          <t>Kyrkan</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57642-2023</t>
        </is>
      </c>
      <c r="B1958" s="1" t="n">
        <v>45246.5915625</v>
      </c>
      <c r="C1958" s="1" t="n">
        <v>46140</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19224-2026</t>
        </is>
      </c>
      <c r="B1959" s="1" t="n">
        <v>46132.6435300926</v>
      </c>
      <c r="C1959" s="1" t="n">
        <v>46140</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8033-2022</t>
        </is>
      </c>
      <c r="B1960" s="1" t="n">
        <v>44609.43644675926</v>
      </c>
      <c r="C1960" s="1" t="n">
        <v>46140</v>
      </c>
      <c r="D1960" t="inlineStr">
        <is>
          <t>VÄRMLANDS LÄN</t>
        </is>
      </c>
      <c r="E1960" t="inlineStr">
        <is>
          <t>TORSBY</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22973-2024</t>
        </is>
      </c>
      <c r="B1961" s="1" t="n">
        <v>45449</v>
      </c>
      <c r="C1961" s="1" t="n">
        <v>46140</v>
      </c>
      <c r="D1961" t="inlineStr">
        <is>
          <t>VÄRMLANDS LÄN</t>
        </is>
      </c>
      <c r="E1961" t="inlineStr">
        <is>
          <t>TORSBY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34378-2022</t>
        </is>
      </c>
      <c r="B1962" s="1" t="n">
        <v>44792.48787037037</v>
      </c>
      <c r="C1962" s="1" t="n">
        <v>46140</v>
      </c>
      <c r="D1962" t="inlineStr">
        <is>
          <t>VÄRMLANDS LÄN</t>
        </is>
      </c>
      <c r="E1962" t="inlineStr">
        <is>
          <t>TORSBY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12707-2026</t>
        </is>
      </c>
      <c r="B1963" s="1" t="n">
        <v>46091.58415509259</v>
      </c>
      <c r="C1963" s="1" t="n">
        <v>46140</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19023-2026</t>
        </is>
      </c>
      <c r="B1964" s="1" t="n">
        <v>46131</v>
      </c>
      <c r="C1964" s="1" t="n">
        <v>46140</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17024-2024</t>
        </is>
      </c>
      <c r="B1965" s="1" t="n">
        <v>45412.38322916667</v>
      </c>
      <c r="C1965" s="1" t="n">
        <v>46140</v>
      </c>
      <c r="D1965" t="inlineStr">
        <is>
          <t>VÄRMLANDS LÄN</t>
        </is>
      </c>
      <c r="E1965" t="inlineStr">
        <is>
          <t>TORSBY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19646-2026</t>
        </is>
      </c>
      <c r="B1966" s="1" t="n">
        <v>46134.5820949074</v>
      </c>
      <c r="C1966" s="1" t="n">
        <v>46140</v>
      </c>
      <c r="D1966" t="inlineStr">
        <is>
          <t>VÄRMLANDS LÄN</t>
        </is>
      </c>
      <c r="E1966" t="inlineStr">
        <is>
          <t>TORSBY</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12790-2026</t>
        </is>
      </c>
      <c r="B1967" s="1" t="n">
        <v>46092</v>
      </c>
      <c r="C1967" s="1" t="n">
        <v>46140</v>
      </c>
      <c r="D1967" t="inlineStr">
        <is>
          <t>VÄRMLANDS LÄN</t>
        </is>
      </c>
      <c r="E1967" t="inlineStr">
        <is>
          <t>TORSBY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15052-2024</t>
        </is>
      </c>
      <c r="B1968" s="1" t="n">
        <v>45399.52613425926</v>
      </c>
      <c r="C1968" s="1" t="n">
        <v>46140</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19877-2026</t>
        </is>
      </c>
      <c r="B1969" s="1" t="n">
        <v>46135.66025462963</v>
      </c>
      <c r="C1969" s="1" t="n">
        <v>46140</v>
      </c>
      <c r="D1969" t="inlineStr">
        <is>
          <t>VÄRMLANDS LÄN</t>
        </is>
      </c>
      <c r="E1969" t="inlineStr">
        <is>
          <t>TORSBY</t>
        </is>
      </c>
      <c r="F1969" t="inlineStr">
        <is>
          <t>Bergvik skog väst AB</t>
        </is>
      </c>
      <c r="G1969" t="n">
        <v>10.9</v>
      </c>
      <c r="H1969" t="n">
        <v>0</v>
      </c>
      <c r="I1969" t="n">
        <v>0</v>
      </c>
      <c r="J1969" t="n">
        <v>0</v>
      </c>
      <c r="K1969" t="n">
        <v>0</v>
      </c>
      <c r="L1969" t="n">
        <v>0</v>
      </c>
      <c r="M1969" t="n">
        <v>0</v>
      </c>
      <c r="N1969" t="n">
        <v>0</v>
      </c>
      <c r="O1969" t="n">
        <v>0</v>
      </c>
      <c r="P1969" t="n">
        <v>0</v>
      </c>
      <c r="Q1969" t="n">
        <v>0</v>
      </c>
      <c r="R1969" s="2" t="inlineStr"/>
    </row>
    <row r="1970" ht="15" customHeight="1">
      <c r="A1970" t="inlineStr">
        <is>
          <t>A 38467-2021</t>
        </is>
      </c>
      <c r="B1970" s="1" t="n">
        <v>44405</v>
      </c>
      <c r="C1970" s="1" t="n">
        <v>46140</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12964-2026</t>
        </is>
      </c>
      <c r="B1971" s="1" t="n">
        <v>46092.64571759259</v>
      </c>
      <c r="C1971" s="1" t="n">
        <v>46140</v>
      </c>
      <c r="D1971" t="inlineStr">
        <is>
          <t>VÄRMLANDS LÄN</t>
        </is>
      </c>
      <c r="E1971" t="inlineStr">
        <is>
          <t>TORSBY</t>
        </is>
      </c>
      <c r="G1971" t="n">
        <v>10.6</v>
      </c>
      <c r="H1971" t="n">
        <v>0</v>
      </c>
      <c r="I1971" t="n">
        <v>0</v>
      </c>
      <c r="J1971" t="n">
        <v>0</v>
      </c>
      <c r="K1971" t="n">
        <v>0</v>
      </c>
      <c r="L1971" t="n">
        <v>0</v>
      </c>
      <c r="M1971" t="n">
        <v>0</v>
      </c>
      <c r="N1971" t="n">
        <v>0</v>
      </c>
      <c r="O1971" t="n">
        <v>0</v>
      </c>
      <c r="P1971" t="n">
        <v>0</v>
      </c>
      <c r="Q1971" t="n">
        <v>0</v>
      </c>
      <c r="R1971" s="2" t="inlineStr"/>
    </row>
    <row r="1972" ht="15" customHeight="1">
      <c r="A1972" t="inlineStr">
        <is>
          <t>A 12972-2026</t>
        </is>
      </c>
      <c r="B1972" s="1" t="n">
        <v>46092.65572916667</v>
      </c>
      <c r="C1972" s="1" t="n">
        <v>46140</v>
      </c>
      <c r="D1972" t="inlineStr">
        <is>
          <t>VÄRMLANDS LÄN</t>
        </is>
      </c>
      <c r="E1972" t="inlineStr">
        <is>
          <t>TORSBY</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13155-2026</t>
        </is>
      </c>
      <c r="B1973" s="1" t="n">
        <v>46093</v>
      </c>
      <c r="C1973" s="1" t="n">
        <v>46140</v>
      </c>
      <c r="D1973" t="inlineStr">
        <is>
          <t>VÄRMLANDS LÄN</t>
        </is>
      </c>
      <c r="E1973" t="inlineStr">
        <is>
          <t>TORSBY</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11135-2024</t>
        </is>
      </c>
      <c r="B1974" s="1" t="n">
        <v>45371</v>
      </c>
      <c r="C1974" s="1" t="n">
        <v>46140</v>
      </c>
      <c r="D1974" t="inlineStr">
        <is>
          <t>VÄRMLANDS LÄN</t>
        </is>
      </c>
      <c r="E1974" t="inlineStr">
        <is>
          <t>TORSBY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19755-2026</t>
        </is>
      </c>
      <c r="B1975" s="1" t="n">
        <v>46135.39708333334</v>
      </c>
      <c r="C1975" s="1" t="n">
        <v>46140</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19756-2026</t>
        </is>
      </c>
      <c r="B1976" s="1" t="n">
        <v>46135.39756944445</v>
      </c>
      <c r="C1976" s="1" t="n">
        <v>46140</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23423-2024</t>
        </is>
      </c>
      <c r="B1977" s="1" t="n">
        <v>45453.60787037037</v>
      </c>
      <c r="C1977" s="1" t="n">
        <v>46140</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13050-2026</t>
        </is>
      </c>
      <c r="B1978" s="1" t="n">
        <v>46093.32957175926</v>
      </c>
      <c r="C1978" s="1" t="n">
        <v>46140</v>
      </c>
      <c r="D1978" t="inlineStr">
        <is>
          <t>VÄRMLANDS LÄN</t>
        </is>
      </c>
      <c r="E1978" t="inlineStr">
        <is>
          <t>TORSBY</t>
        </is>
      </c>
      <c r="F1978" t="inlineStr">
        <is>
          <t>Bergvik skog väst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18365-2025</t>
        </is>
      </c>
      <c r="B1979" s="1" t="n">
        <v>45762</v>
      </c>
      <c r="C1979" s="1" t="n">
        <v>46140</v>
      </c>
      <c r="D1979" t="inlineStr">
        <is>
          <t>VÄRMLANDS LÄN</t>
        </is>
      </c>
      <c r="E1979" t="inlineStr">
        <is>
          <t>TORSBY</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40997-2022</t>
        </is>
      </c>
      <c r="B1980" s="1" t="n">
        <v>44825.50576388889</v>
      </c>
      <c r="C1980" s="1" t="n">
        <v>46140</v>
      </c>
      <c r="D1980" t="inlineStr">
        <is>
          <t>VÄRMLANDS LÄN</t>
        </is>
      </c>
      <c r="E1980" t="inlineStr">
        <is>
          <t>TORSBY</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4172-2022</t>
        </is>
      </c>
      <c r="B1981" s="1" t="n">
        <v>44588</v>
      </c>
      <c r="C1981" s="1" t="n">
        <v>46140</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21825-2024</t>
        </is>
      </c>
      <c r="B1982" s="1" t="n">
        <v>45442</v>
      </c>
      <c r="C1982" s="1" t="n">
        <v>46140</v>
      </c>
      <c r="D1982" t="inlineStr">
        <is>
          <t>VÄRMLANDS LÄN</t>
        </is>
      </c>
      <c r="E1982" t="inlineStr">
        <is>
          <t>TORSBY</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15019-2025</t>
        </is>
      </c>
      <c r="B1983" s="1" t="n">
        <v>45743.63811342593</v>
      </c>
      <c r="C1983" s="1" t="n">
        <v>46140</v>
      </c>
      <c r="D1983" t="inlineStr">
        <is>
          <t>VÄRMLANDS LÄN</t>
        </is>
      </c>
      <c r="E1983" t="inlineStr">
        <is>
          <t>TORSBY</t>
        </is>
      </c>
      <c r="F1983" t="inlineStr">
        <is>
          <t>Övriga statliga verk och myndigheter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19866-2026</t>
        </is>
      </c>
      <c r="B1984" s="1" t="n">
        <v>46135.64615740741</v>
      </c>
      <c r="C1984" s="1" t="n">
        <v>46140</v>
      </c>
      <c r="D1984" t="inlineStr">
        <is>
          <t>VÄRMLANDS LÄN</t>
        </is>
      </c>
      <c r="E1984" t="inlineStr">
        <is>
          <t>TORSBY</t>
        </is>
      </c>
      <c r="F1984" t="inlineStr">
        <is>
          <t>Bergvik skog väst AB</t>
        </is>
      </c>
      <c r="G1984" t="n">
        <v>20.2</v>
      </c>
      <c r="H1984" t="n">
        <v>0</v>
      </c>
      <c r="I1984" t="n">
        <v>0</v>
      </c>
      <c r="J1984" t="n">
        <v>0</v>
      </c>
      <c r="K1984" t="n">
        <v>0</v>
      </c>
      <c r="L1984" t="n">
        <v>0</v>
      </c>
      <c r="M1984" t="n">
        <v>0</v>
      </c>
      <c r="N1984" t="n">
        <v>0</v>
      </c>
      <c r="O1984" t="n">
        <v>0</v>
      </c>
      <c r="P1984" t="n">
        <v>0</v>
      </c>
      <c r="Q1984" t="n">
        <v>0</v>
      </c>
      <c r="R1984" s="2" t="inlineStr"/>
    </row>
    <row r="1985" ht="15" customHeight="1">
      <c r="A1985" t="inlineStr">
        <is>
          <t>A 57536-2024</t>
        </is>
      </c>
      <c r="B1985" s="1" t="n">
        <v>45630.43023148148</v>
      </c>
      <c r="C1985" s="1" t="n">
        <v>46140</v>
      </c>
      <c r="D1985" t="inlineStr">
        <is>
          <t>VÄRMLANDS LÄN</t>
        </is>
      </c>
      <c r="E1985" t="inlineStr">
        <is>
          <t>TORSBY</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40858-2023</t>
        </is>
      </c>
      <c r="B1986" s="1" t="n">
        <v>45173.34709490741</v>
      </c>
      <c r="C1986" s="1" t="n">
        <v>46140</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21076-2023</t>
        </is>
      </c>
      <c r="B1987" s="1" t="n">
        <v>45061</v>
      </c>
      <c r="C1987" s="1" t="n">
        <v>46140</v>
      </c>
      <c r="D1987" t="inlineStr">
        <is>
          <t>VÄRMLANDS LÄN</t>
        </is>
      </c>
      <c r="E1987" t="inlineStr">
        <is>
          <t>TORSBY</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12890-2026</t>
        </is>
      </c>
      <c r="B1988" s="1" t="n">
        <v>46092</v>
      </c>
      <c r="C1988" s="1" t="n">
        <v>46140</v>
      </c>
      <c r="D1988" t="inlineStr">
        <is>
          <t>VÄRMLANDS LÄN</t>
        </is>
      </c>
      <c r="E1988" t="inlineStr">
        <is>
          <t>TORSBY</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12915-2026</t>
        </is>
      </c>
      <c r="B1989" s="1" t="n">
        <v>46092.59122685185</v>
      </c>
      <c r="C1989" s="1" t="n">
        <v>46140</v>
      </c>
      <c r="D1989" t="inlineStr">
        <is>
          <t>VÄRMLANDS LÄN</t>
        </is>
      </c>
      <c r="E1989" t="inlineStr">
        <is>
          <t>TORSBY</t>
        </is>
      </c>
      <c r="F1989" t="inlineStr">
        <is>
          <t>Bergvik skog väst AB</t>
        </is>
      </c>
      <c r="G1989" t="n">
        <v>16.4</v>
      </c>
      <c r="H1989" t="n">
        <v>0</v>
      </c>
      <c r="I1989" t="n">
        <v>0</v>
      </c>
      <c r="J1989" t="n">
        <v>0</v>
      </c>
      <c r="K1989" t="n">
        <v>0</v>
      </c>
      <c r="L1989" t="n">
        <v>0</v>
      </c>
      <c r="M1989" t="n">
        <v>0</v>
      </c>
      <c r="N1989" t="n">
        <v>0</v>
      </c>
      <c r="O1989" t="n">
        <v>0</v>
      </c>
      <c r="P1989" t="n">
        <v>0</v>
      </c>
      <c r="Q1989" t="n">
        <v>0</v>
      </c>
      <c r="R1989" s="2" t="inlineStr"/>
    </row>
    <row r="1990" ht="15" customHeight="1">
      <c r="A1990" t="inlineStr">
        <is>
          <t>A 19675-2026</t>
        </is>
      </c>
      <c r="B1990" s="1" t="n">
        <v>46134.63618055556</v>
      </c>
      <c r="C1990" s="1" t="n">
        <v>46140</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11235-2024</t>
        </is>
      </c>
      <c r="B1991" s="1" t="n">
        <v>45371</v>
      </c>
      <c r="C1991" s="1" t="n">
        <v>46140</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11253-2024</t>
        </is>
      </c>
      <c r="B1992" s="1" t="n">
        <v>45371</v>
      </c>
      <c r="C1992" s="1" t="n">
        <v>46140</v>
      </c>
      <c r="D1992" t="inlineStr">
        <is>
          <t>VÄRMLANDS LÄN</t>
        </is>
      </c>
      <c r="E1992" t="inlineStr">
        <is>
          <t>TORSBY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47241-2023</t>
        </is>
      </c>
      <c r="B1993" s="1" t="n">
        <v>45202.39821759259</v>
      </c>
      <c r="C1993" s="1" t="n">
        <v>46140</v>
      </c>
      <c r="D1993" t="inlineStr">
        <is>
          <t>VÄRMLANDS LÄN</t>
        </is>
      </c>
      <c r="E1993" t="inlineStr">
        <is>
          <t>TORSBY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19652-2026</t>
        </is>
      </c>
      <c r="B1994" s="1" t="n">
        <v>46134.59980324074</v>
      </c>
      <c r="C1994" s="1" t="n">
        <v>46140</v>
      </c>
      <c r="D1994" t="inlineStr">
        <is>
          <t>VÄRMLANDS LÄN</t>
        </is>
      </c>
      <c r="E1994" t="inlineStr">
        <is>
          <t>TORSBY</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11211-2024</t>
        </is>
      </c>
      <c r="B1995" s="1" t="n">
        <v>45371</v>
      </c>
      <c r="C1995" s="1" t="n">
        <v>46140</v>
      </c>
      <c r="D1995" t="inlineStr">
        <is>
          <t>VÄRMLANDS LÄN</t>
        </is>
      </c>
      <c r="E1995" t="inlineStr">
        <is>
          <t>TORSBY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19594-2026</t>
        </is>
      </c>
      <c r="B1996" s="1" t="n">
        <v>46134</v>
      </c>
      <c r="C1996" s="1" t="n">
        <v>46140</v>
      </c>
      <c r="D1996" t="inlineStr">
        <is>
          <t>VÄRMLANDS LÄN</t>
        </is>
      </c>
      <c r="E1996" t="inlineStr">
        <is>
          <t>TORSBY</t>
        </is>
      </c>
      <c r="F1996" t="inlineStr">
        <is>
          <t>Bergvik skog väst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5830-2023</t>
        </is>
      </c>
      <c r="B1997" s="1" t="n">
        <v>44963</v>
      </c>
      <c r="C1997" s="1" t="n">
        <v>46140</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57721-2022</t>
        </is>
      </c>
      <c r="B1998" s="1" t="n">
        <v>44897.55278935185</v>
      </c>
      <c r="C1998" s="1" t="n">
        <v>46140</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19887-2024</t>
        </is>
      </c>
      <c r="B1999" s="1" t="n">
        <v>45433</v>
      </c>
      <c r="C1999" s="1" t="n">
        <v>46140</v>
      </c>
      <c r="D1999" t="inlineStr">
        <is>
          <t>VÄRMLANDS LÄN</t>
        </is>
      </c>
      <c r="E1999" t="inlineStr">
        <is>
          <t>TORSBY</t>
        </is>
      </c>
      <c r="G1999" t="n">
        <v>10.1</v>
      </c>
      <c r="H1999" t="n">
        <v>0</v>
      </c>
      <c r="I1999" t="n">
        <v>0</v>
      </c>
      <c r="J1999" t="n">
        <v>0</v>
      </c>
      <c r="K1999" t="n">
        <v>0</v>
      </c>
      <c r="L1999" t="n">
        <v>0</v>
      </c>
      <c r="M1999" t="n">
        <v>0</v>
      </c>
      <c r="N1999" t="n">
        <v>0</v>
      </c>
      <c r="O1999" t="n">
        <v>0</v>
      </c>
      <c r="P1999" t="n">
        <v>0</v>
      </c>
      <c r="Q1999" t="n">
        <v>0</v>
      </c>
      <c r="R1999" s="2" t="inlineStr"/>
    </row>
    <row r="2000" ht="15" customHeight="1">
      <c r="A2000" t="inlineStr">
        <is>
          <t>A 4640-2022</t>
        </is>
      </c>
      <c r="B2000" s="1" t="n">
        <v>44592</v>
      </c>
      <c r="C2000" s="1" t="n">
        <v>46140</v>
      </c>
      <c r="D2000" t="inlineStr">
        <is>
          <t>VÄRMLANDS LÄN</t>
        </is>
      </c>
      <c r="E2000" t="inlineStr">
        <is>
          <t>TORSBY</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19627-2026</t>
        </is>
      </c>
      <c r="B2001" s="1" t="n">
        <v>46134.54746527778</v>
      </c>
      <c r="C2001" s="1" t="n">
        <v>46140</v>
      </c>
      <c r="D2001" t="inlineStr">
        <is>
          <t>VÄRMLANDS LÄN</t>
        </is>
      </c>
      <c r="E2001" t="inlineStr">
        <is>
          <t>TORSBY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18876-2023</t>
        </is>
      </c>
      <c r="B2002" s="1" t="n">
        <v>45044.50101851852</v>
      </c>
      <c r="C2002" s="1" t="n">
        <v>46140</v>
      </c>
      <c r="D2002" t="inlineStr">
        <is>
          <t>VÄRMLANDS LÄN</t>
        </is>
      </c>
      <c r="E2002" t="inlineStr">
        <is>
          <t>TORSBY</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27347-2024</t>
        </is>
      </c>
      <c r="B2003" s="1" t="n">
        <v>45473.59798611111</v>
      </c>
      <c r="C2003" s="1" t="n">
        <v>46140</v>
      </c>
      <c r="D2003" t="inlineStr">
        <is>
          <t>VÄRMLANDS LÄN</t>
        </is>
      </c>
      <c r="E2003" t="inlineStr">
        <is>
          <t>TORSBY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20232-2026</t>
        </is>
      </c>
      <c r="B2004" s="1" t="n">
        <v>46139.46174768519</v>
      </c>
      <c r="C2004" s="1" t="n">
        <v>46140</v>
      </c>
      <c r="D2004" t="inlineStr">
        <is>
          <t>VÄRMLANDS LÄN</t>
        </is>
      </c>
      <c r="E2004" t="inlineStr">
        <is>
          <t>TORSBY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20130-2026</t>
        </is>
      </c>
      <c r="B2005" s="1" t="n">
        <v>46136.6871875</v>
      </c>
      <c r="C2005" s="1" t="n">
        <v>46140</v>
      </c>
      <c r="D2005" t="inlineStr">
        <is>
          <t>VÄRMLANDS LÄN</t>
        </is>
      </c>
      <c r="E2005" t="inlineStr">
        <is>
          <t>TORSBY</t>
        </is>
      </c>
      <c r="F2005" t="inlineStr">
        <is>
          <t>Bergvik skog väst AB</t>
        </is>
      </c>
      <c r="G2005" t="n">
        <v>9.4</v>
      </c>
      <c r="H2005" t="n">
        <v>0</v>
      </c>
      <c r="I2005" t="n">
        <v>0</v>
      </c>
      <c r="J2005" t="n">
        <v>0</v>
      </c>
      <c r="K2005" t="n">
        <v>0</v>
      </c>
      <c r="L2005" t="n">
        <v>0</v>
      </c>
      <c r="M2005" t="n">
        <v>0</v>
      </c>
      <c r="N2005" t="n">
        <v>0</v>
      </c>
      <c r="O2005" t="n">
        <v>0</v>
      </c>
      <c r="P2005" t="n">
        <v>0</v>
      </c>
      <c r="Q2005" t="n">
        <v>0</v>
      </c>
      <c r="R2005" s="2" t="inlineStr"/>
    </row>
    <row r="2006" ht="15" customHeight="1">
      <c r="A2006" t="inlineStr">
        <is>
          <t>A 16210-2025</t>
        </is>
      </c>
      <c r="B2006" s="1" t="n">
        <v>45750</v>
      </c>
      <c r="C2006" s="1" t="n">
        <v>46140</v>
      </c>
      <c r="D2006" t="inlineStr">
        <is>
          <t>VÄRMLANDS LÄN</t>
        </is>
      </c>
      <c r="E2006" t="inlineStr">
        <is>
          <t>TORSBY</t>
        </is>
      </c>
      <c r="F2006" t="inlineStr">
        <is>
          <t>Bergvik skog väst AB</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20273-2026</t>
        </is>
      </c>
      <c r="B2007" s="1" t="n">
        <v>46139.52482638889</v>
      </c>
      <c r="C2007" s="1" t="n">
        <v>46140</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13479-2026</t>
        </is>
      </c>
      <c r="B2008" s="1" t="n">
        <v>46094.57594907407</v>
      </c>
      <c r="C2008" s="1" t="n">
        <v>46140</v>
      </c>
      <c r="D2008" t="inlineStr">
        <is>
          <t>VÄRMLANDS LÄN</t>
        </is>
      </c>
      <c r="E2008" t="inlineStr">
        <is>
          <t>TORSBY</t>
        </is>
      </c>
      <c r="F2008" t="inlineStr">
        <is>
          <t>Bergvik skog väst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9056-2023</t>
        </is>
      </c>
      <c r="B2009" s="1" t="n">
        <v>44979</v>
      </c>
      <c r="C2009" s="1" t="n">
        <v>46140</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58869-2022</t>
        </is>
      </c>
      <c r="B2010" s="1" t="n">
        <v>44903</v>
      </c>
      <c r="C2010" s="1" t="n">
        <v>46140</v>
      </c>
      <c r="D2010" t="inlineStr">
        <is>
          <t>VÄRMLANDS LÄN</t>
        </is>
      </c>
      <c r="E2010" t="inlineStr">
        <is>
          <t>TORSBY</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1275-2024</t>
        </is>
      </c>
      <c r="B2011" s="1" t="n">
        <v>45302</v>
      </c>
      <c r="C2011" s="1" t="n">
        <v>46140</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20054-2026</t>
        </is>
      </c>
      <c r="B2012" s="1" t="n">
        <v>46136.57716435185</v>
      </c>
      <c r="C2012" s="1" t="n">
        <v>46140</v>
      </c>
      <c r="D2012" t="inlineStr">
        <is>
          <t>VÄRMLANDS LÄN</t>
        </is>
      </c>
      <c r="E2012" t="inlineStr">
        <is>
          <t>TORSBY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20239-2026</t>
        </is>
      </c>
      <c r="B2013" s="1" t="n">
        <v>46139.46850694445</v>
      </c>
      <c r="C2013" s="1" t="n">
        <v>46140</v>
      </c>
      <c r="D2013" t="inlineStr">
        <is>
          <t>VÄRMLANDS LÄN</t>
        </is>
      </c>
      <c r="E2013" t="inlineStr">
        <is>
          <t>TORSBY</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13603-2026</t>
        </is>
      </c>
      <c r="B2014" s="1" t="n">
        <v>46097.32181712963</v>
      </c>
      <c r="C2014" s="1" t="n">
        <v>46140</v>
      </c>
      <c r="D2014" t="inlineStr">
        <is>
          <t>VÄRMLANDS LÄN</t>
        </is>
      </c>
      <c r="E2014" t="inlineStr">
        <is>
          <t>TORSBY</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41156-2023</t>
        </is>
      </c>
      <c r="B2015" s="1" t="n">
        <v>45174</v>
      </c>
      <c r="C2015" s="1" t="n">
        <v>46140</v>
      </c>
      <c r="D2015" t="inlineStr">
        <is>
          <t>VÄRMLANDS LÄN</t>
        </is>
      </c>
      <c r="E2015" t="inlineStr">
        <is>
          <t>TORSBY</t>
        </is>
      </c>
      <c r="F2015" t="inlineStr">
        <is>
          <t>Kyrkan</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60796-2024</t>
        </is>
      </c>
      <c r="B2016" s="1" t="n">
        <v>45642</v>
      </c>
      <c r="C2016" s="1" t="n">
        <v>46140</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19971-2026</t>
        </is>
      </c>
      <c r="B2017" s="1" t="n">
        <v>46136.42766203704</v>
      </c>
      <c r="C2017" s="1" t="n">
        <v>46140</v>
      </c>
      <c r="D2017" t="inlineStr">
        <is>
          <t>VÄRMLANDS LÄN</t>
        </is>
      </c>
      <c r="E2017" t="inlineStr">
        <is>
          <t>TORSBY</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11575-2024</t>
        </is>
      </c>
      <c r="B2018" s="1" t="n">
        <v>45373</v>
      </c>
      <c r="C2018" s="1" t="n">
        <v>46140</v>
      </c>
      <c r="D2018" t="inlineStr">
        <is>
          <t>VÄRMLANDS LÄN</t>
        </is>
      </c>
      <c r="E2018" t="inlineStr">
        <is>
          <t>TORSBY</t>
        </is>
      </c>
      <c r="G2018" t="n">
        <v>14.2</v>
      </c>
      <c r="H2018" t="n">
        <v>0</v>
      </c>
      <c r="I2018" t="n">
        <v>0</v>
      </c>
      <c r="J2018" t="n">
        <v>0</v>
      </c>
      <c r="K2018" t="n">
        <v>0</v>
      </c>
      <c r="L2018" t="n">
        <v>0</v>
      </c>
      <c r="M2018" t="n">
        <v>0</v>
      </c>
      <c r="N2018" t="n">
        <v>0</v>
      </c>
      <c r="O2018" t="n">
        <v>0</v>
      </c>
      <c r="P2018" t="n">
        <v>0</v>
      </c>
      <c r="Q2018" t="n">
        <v>0</v>
      </c>
      <c r="R2018" s="2" t="inlineStr"/>
    </row>
    <row r="2019" ht="15" customHeight="1">
      <c r="A2019" t="inlineStr">
        <is>
          <t>A 57726-2022</t>
        </is>
      </c>
      <c r="B2019" s="1" t="n">
        <v>44897.56420138889</v>
      </c>
      <c r="C2019" s="1" t="n">
        <v>46140</v>
      </c>
      <c r="D2019" t="inlineStr">
        <is>
          <t>VÄRMLANDS LÄN</t>
        </is>
      </c>
      <c r="E2019" t="inlineStr">
        <is>
          <t>TORSBY</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20072-2026</t>
        </is>
      </c>
      <c r="B2020" s="1" t="n">
        <v>46136.59586805556</v>
      </c>
      <c r="C2020" s="1" t="n">
        <v>46140</v>
      </c>
      <c r="D2020" t="inlineStr">
        <is>
          <t>VÄRMLANDS LÄN</t>
        </is>
      </c>
      <c r="E2020" t="inlineStr">
        <is>
          <t>TORSBY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20081-2026</t>
        </is>
      </c>
      <c r="B2021" s="1" t="n">
        <v>46136.61113425926</v>
      </c>
      <c r="C2021" s="1" t="n">
        <v>46140</v>
      </c>
      <c r="D2021" t="inlineStr">
        <is>
          <t>VÄRMLANDS LÄN</t>
        </is>
      </c>
      <c r="E2021" t="inlineStr">
        <is>
          <t>TORSBY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36879-2024</t>
        </is>
      </c>
      <c r="B2022" s="1" t="n">
        <v>45538</v>
      </c>
      <c r="C2022" s="1" t="n">
        <v>46140</v>
      </c>
      <c r="D2022" t="inlineStr">
        <is>
          <t>VÄRMLANDS LÄN</t>
        </is>
      </c>
      <c r="E2022" t="inlineStr">
        <is>
          <t>TORSBY</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19961-2026</t>
        </is>
      </c>
      <c r="B2023" s="1" t="n">
        <v>46136.42096064815</v>
      </c>
      <c r="C2023" s="1" t="n">
        <v>46140</v>
      </c>
      <c r="D2023" t="inlineStr">
        <is>
          <t>VÄRMLANDS LÄN</t>
        </is>
      </c>
      <c r="E2023" t="inlineStr">
        <is>
          <t>TORSBY</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51386-2023</t>
        </is>
      </c>
      <c r="B2024" s="1" t="n">
        <v>45219.65394675926</v>
      </c>
      <c r="C2024" s="1" t="n">
        <v>46140</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38914-2022</t>
        </is>
      </c>
      <c r="B2025" s="1" t="n">
        <v>44816.61194444444</v>
      </c>
      <c r="C2025" s="1" t="n">
        <v>46140</v>
      </c>
      <c r="D2025" t="inlineStr">
        <is>
          <t>VÄRMLANDS LÄN</t>
        </is>
      </c>
      <c r="E2025" t="inlineStr">
        <is>
          <t>TORSBY</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13651-2026</t>
        </is>
      </c>
      <c r="B2026" s="1" t="n">
        <v>46097.43918981482</v>
      </c>
      <c r="C2026" s="1" t="n">
        <v>46140</v>
      </c>
      <c r="D2026" t="inlineStr">
        <is>
          <t>VÄRMLANDS LÄN</t>
        </is>
      </c>
      <c r="E2026" t="inlineStr">
        <is>
          <t>TORSBY</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1997-2025</t>
        </is>
      </c>
      <c r="B2027" s="1" t="n">
        <v>45672.44431712963</v>
      </c>
      <c r="C2027" s="1" t="n">
        <v>46140</v>
      </c>
      <c r="D2027" t="inlineStr">
        <is>
          <t>VÄRMLANDS LÄN</t>
        </is>
      </c>
      <c r="E2027" t="inlineStr">
        <is>
          <t>TORSBY</t>
        </is>
      </c>
      <c r="G2027" t="n">
        <v>20.1</v>
      </c>
      <c r="H2027" t="n">
        <v>0</v>
      </c>
      <c r="I2027" t="n">
        <v>0</v>
      </c>
      <c r="J2027" t="n">
        <v>0</v>
      </c>
      <c r="K2027" t="n">
        <v>0</v>
      </c>
      <c r="L2027" t="n">
        <v>0</v>
      </c>
      <c r="M2027" t="n">
        <v>0</v>
      </c>
      <c r="N2027" t="n">
        <v>0</v>
      </c>
      <c r="O2027" t="n">
        <v>0</v>
      </c>
      <c r="P2027" t="n">
        <v>0</v>
      </c>
      <c r="Q2027" t="n">
        <v>0</v>
      </c>
      <c r="R2027" s="2" t="inlineStr"/>
    </row>
    <row r="2028" ht="15" customHeight="1">
      <c r="A2028" t="inlineStr">
        <is>
          <t>A 19967-2026</t>
        </is>
      </c>
      <c r="B2028" s="1" t="n">
        <v>46136.42450231482</v>
      </c>
      <c r="C2028" s="1" t="n">
        <v>46140</v>
      </c>
      <c r="D2028" t="inlineStr">
        <is>
          <t>VÄRMLANDS LÄN</t>
        </is>
      </c>
      <c r="E2028" t="inlineStr">
        <is>
          <t>TORSBY</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1947-2023</t>
        </is>
      </c>
      <c r="B2029" s="1" t="n">
        <v>44939</v>
      </c>
      <c r="C2029" s="1" t="n">
        <v>46140</v>
      </c>
      <c r="D2029" t="inlineStr">
        <is>
          <t>VÄRMLANDS LÄN</t>
        </is>
      </c>
      <c r="E2029" t="inlineStr">
        <is>
          <t>TORSBY</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14026-2025</t>
        </is>
      </c>
      <c r="B2030" s="1" t="n">
        <v>45740.35003472222</v>
      </c>
      <c r="C2030" s="1" t="n">
        <v>46140</v>
      </c>
      <c r="D2030" t="inlineStr">
        <is>
          <t>VÄRMLANDS LÄN</t>
        </is>
      </c>
      <c r="E2030" t="inlineStr">
        <is>
          <t>TORSBY</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42615-2021</t>
        </is>
      </c>
      <c r="B2031" s="1" t="n">
        <v>44428</v>
      </c>
      <c r="C2031" s="1" t="n">
        <v>46140</v>
      </c>
      <c r="D2031" t="inlineStr">
        <is>
          <t>VÄRMLANDS LÄN</t>
        </is>
      </c>
      <c r="E2031" t="inlineStr">
        <is>
          <t>TORSBY</t>
        </is>
      </c>
      <c r="F2031" t="inlineStr">
        <is>
          <t>Bergvik skog väst AB</t>
        </is>
      </c>
      <c r="G2031" t="n">
        <v>37.2</v>
      </c>
      <c r="H2031" t="n">
        <v>0</v>
      </c>
      <c r="I2031" t="n">
        <v>0</v>
      </c>
      <c r="J2031" t="n">
        <v>0</v>
      </c>
      <c r="K2031" t="n">
        <v>0</v>
      </c>
      <c r="L2031" t="n">
        <v>0</v>
      </c>
      <c r="M2031" t="n">
        <v>0</v>
      </c>
      <c r="N2031" t="n">
        <v>0</v>
      </c>
      <c r="O2031" t="n">
        <v>0</v>
      </c>
      <c r="P2031" t="n">
        <v>0</v>
      </c>
      <c r="Q2031" t="n">
        <v>0</v>
      </c>
      <c r="R2031" s="2" t="inlineStr"/>
    </row>
    <row r="2032" ht="15" customHeight="1">
      <c r="A2032" t="inlineStr">
        <is>
          <t>A 19900-2026</t>
        </is>
      </c>
      <c r="B2032" s="1" t="n">
        <v>46136.28844907408</v>
      </c>
      <c r="C2032" s="1" t="n">
        <v>46140</v>
      </c>
      <c r="D2032" t="inlineStr">
        <is>
          <t>VÄRMLANDS LÄN</t>
        </is>
      </c>
      <c r="E2032" t="inlineStr">
        <is>
          <t>TORSBY</t>
        </is>
      </c>
      <c r="F2032" t="inlineStr">
        <is>
          <t>Bergvik skog väst AB</t>
        </is>
      </c>
      <c r="G2032" t="n">
        <v>13.7</v>
      </c>
      <c r="H2032" t="n">
        <v>0</v>
      </c>
      <c r="I2032" t="n">
        <v>0</v>
      </c>
      <c r="J2032" t="n">
        <v>0</v>
      </c>
      <c r="K2032" t="n">
        <v>0</v>
      </c>
      <c r="L2032" t="n">
        <v>0</v>
      </c>
      <c r="M2032" t="n">
        <v>0</v>
      </c>
      <c r="N2032" t="n">
        <v>0</v>
      </c>
      <c r="O2032" t="n">
        <v>0</v>
      </c>
      <c r="P2032" t="n">
        <v>0</v>
      </c>
      <c r="Q2032" t="n">
        <v>0</v>
      </c>
      <c r="R2032" s="2" t="inlineStr"/>
    </row>
    <row r="2033" ht="15" customHeight="1">
      <c r="A2033" t="inlineStr">
        <is>
          <t>A 54489-2024</t>
        </is>
      </c>
      <c r="B2033" s="1" t="n">
        <v>45617.56674768519</v>
      </c>
      <c r="C2033" s="1" t="n">
        <v>46140</v>
      </c>
      <c r="D2033" t="inlineStr">
        <is>
          <t>VÄRMLANDS LÄN</t>
        </is>
      </c>
      <c r="E2033" t="inlineStr">
        <is>
          <t>TORSBY</t>
        </is>
      </c>
      <c r="F2033" t="inlineStr">
        <is>
          <t>Bergvik skog väst AB</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44670-2023</t>
        </is>
      </c>
      <c r="B2034" s="1" t="n">
        <v>45189</v>
      </c>
      <c r="C2034" s="1" t="n">
        <v>46140</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53652-2023</t>
        </is>
      </c>
      <c r="B2035" s="1" t="n">
        <v>45224</v>
      </c>
      <c r="C2035" s="1" t="n">
        <v>46140</v>
      </c>
      <c r="D2035" t="inlineStr">
        <is>
          <t>VÄRMLANDS LÄN</t>
        </is>
      </c>
      <c r="E2035" t="inlineStr">
        <is>
          <t>TORSBY</t>
        </is>
      </c>
      <c r="F2035" t="inlineStr">
        <is>
          <t>Övriga statliga verk och myndigheter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40971-2023</t>
        </is>
      </c>
      <c r="B2036" s="1" t="n">
        <v>45173</v>
      </c>
      <c r="C2036" s="1" t="n">
        <v>46140</v>
      </c>
      <c r="D2036" t="inlineStr">
        <is>
          <t>VÄRMLANDS LÄN</t>
        </is>
      </c>
      <c r="E2036" t="inlineStr">
        <is>
          <t>TORSBY</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8728-2024</t>
        </is>
      </c>
      <c r="B2037" s="1" t="n">
        <v>45356.42799768518</v>
      </c>
      <c r="C2037" s="1" t="n">
        <v>46140</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9704-2025</t>
        </is>
      </c>
      <c r="B2038" s="1" t="n">
        <v>45716.38378472222</v>
      </c>
      <c r="C2038" s="1" t="n">
        <v>46140</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60477-2024</t>
        </is>
      </c>
      <c r="B2039" s="1" t="n">
        <v>45643</v>
      </c>
      <c r="C2039" s="1" t="n">
        <v>46140</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58727-2021</t>
        </is>
      </c>
      <c r="B2040" s="1" t="n">
        <v>44489.49052083334</v>
      </c>
      <c r="C2040" s="1" t="n">
        <v>46140</v>
      </c>
      <c r="D2040" t="inlineStr">
        <is>
          <t>VÄRMLANDS LÄN</t>
        </is>
      </c>
      <c r="E2040" t="inlineStr">
        <is>
          <t>TORSBY</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9286-2025</t>
        </is>
      </c>
      <c r="B2041" s="1" t="n">
        <v>45714</v>
      </c>
      <c r="C2041" s="1" t="n">
        <v>46140</v>
      </c>
      <c r="D2041" t="inlineStr">
        <is>
          <t>VÄRMLANDS LÄN</t>
        </is>
      </c>
      <c r="E2041" t="inlineStr">
        <is>
          <t>TORSBY</t>
        </is>
      </c>
      <c r="F2041" t="inlineStr">
        <is>
          <t>Kommuner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13785-2023</t>
        </is>
      </c>
      <c r="B2042" s="1" t="n">
        <v>45007</v>
      </c>
      <c r="C2042" s="1" t="n">
        <v>46140</v>
      </c>
      <c r="D2042" t="inlineStr">
        <is>
          <t>VÄRMLANDS LÄN</t>
        </is>
      </c>
      <c r="E2042" t="inlineStr">
        <is>
          <t>TORSBY</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44423-2024</t>
        </is>
      </c>
      <c r="B2043" s="1" t="n">
        <v>45573</v>
      </c>
      <c r="C2043" s="1" t="n">
        <v>46140</v>
      </c>
      <c r="D2043" t="inlineStr">
        <is>
          <t>VÄRMLANDS LÄN</t>
        </is>
      </c>
      <c r="E2043" t="inlineStr">
        <is>
          <t>TORSBY</t>
        </is>
      </c>
      <c r="G2043" t="n">
        <v>34.1</v>
      </c>
      <c r="H2043" t="n">
        <v>0</v>
      </c>
      <c r="I2043" t="n">
        <v>0</v>
      </c>
      <c r="J2043" t="n">
        <v>0</v>
      </c>
      <c r="K2043" t="n">
        <v>0</v>
      </c>
      <c r="L2043" t="n">
        <v>0</v>
      </c>
      <c r="M2043" t="n">
        <v>0</v>
      </c>
      <c r="N2043" t="n">
        <v>0</v>
      </c>
      <c r="O2043" t="n">
        <v>0</v>
      </c>
      <c r="P2043" t="n">
        <v>0</v>
      </c>
      <c r="Q2043" t="n">
        <v>0</v>
      </c>
      <c r="R2043" s="2" t="inlineStr"/>
    </row>
    <row r="2044" ht="15" customHeight="1">
      <c r="A2044" t="inlineStr">
        <is>
          <t>A 15154-2025</t>
        </is>
      </c>
      <c r="B2044" s="1" t="n">
        <v>45744.46157407408</v>
      </c>
      <c r="C2044" s="1" t="n">
        <v>46140</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35777-2024</t>
        </is>
      </c>
      <c r="B2045" s="1" t="n">
        <v>45532</v>
      </c>
      <c r="C2045" s="1" t="n">
        <v>46140</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8979-2025</t>
        </is>
      </c>
      <c r="B2046" s="1" t="n">
        <v>45713</v>
      </c>
      <c r="C2046" s="1" t="n">
        <v>46140</v>
      </c>
      <c r="D2046" t="inlineStr">
        <is>
          <t>VÄRMLANDS LÄN</t>
        </is>
      </c>
      <c r="E2046" t="inlineStr">
        <is>
          <t>TORSBY</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56811-2023</t>
        </is>
      </c>
      <c r="B2047" s="1" t="n">
        <v>45244</v>
      </c>
      <c r="C2047" s="1" t="n">
        <v>46140</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16949-2025</t>
        </is>
      </c>
      <c r="B2048" s="1" t="n">
        <v>45755</v>
      </c>
      <c r="C2048" s="1" t="n">
        <v>46140</v>
      </c>
      <c r="D2048" t="inlineStr">
        <is>
          <t>VÄRMLANDS LÄN</t>
        </is>
      </c>
      <c r="E2048" t="inlineStr">
        <is>
          <t>TORSBY</t>
        </is>
      </c>
      <c r="F2048" t="inlineStr">
        <is>
          <t>Bergvik skog väst AB</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27346-2024</t>
        </is>
      </c>
      <c r="B2049" s="1" t="n">
        <v>45473.58984953703</v>
      </c>
      <c r="C2049" s="1" t="n">
        <v>46140</v>
      </c>
      <c r="D2049" t="inlineStr">
        <is>
          <t>VÄRMLANDS LÄN</t>
        </is>
      </c>
      <c r="E2049" t="inlineStr">
        <is>
          <t>TORSBY</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27349-2024</t>
        </is>
      </c>
      <c r="B2050" s="1" t="n">
        <v>45473.65679398148</v>
      </c>
      <c r="C2050" s="1" t="n">
        <v>46140</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17554-2023</t>
        </is>
      </c>
      <c r="B2051" s="1" t="n">
        <v>45034</v>
      </c>
      <c r="C2051" s="1" t="n">
        <v>46140</v>
      </c>
      <c r="D2051" t="inlineStr">
        <is>
          <t>VÄRMLANDS LÄN</t>
        </is>
      </c>
      <c r="E2051" t="inlineStr">
        <is>
          <t>TORSBY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13262-2024</t>
        </is>
      </c>
      <c r="B2052" s="1" t="n">
        <v>45386.59236111111</v>
      </c>
      <c r="C2052" s="1" t="n">
        <v>46140</v>
      </c>
      <c r="D2052" t="inlineStr">
        <is>
          <t>VÄRMLANDS LÄN</t>
        </is>
      </c>
      <c r="E2052" t="inlineStr">
        <is>
          <t>TORSBY</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9793-2024</t>
        </is>
      </c>
      <c r="B2053" s="1" t="n">
        <v>45362.71013888889</v>
      </c>
      <c r="C2053" s="1" t="n">
        <v>46140</v>
      </c>
      <c r="D2053" t="inlineStr">
        <is>
          <t>VÄRMLANDS LÄN</t>
        </is>
      </c>
      <c r="E2053" t="inlineStr">
        <is>
          <t>TORSBY</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200-2025</t>
        </is>
      </c>
      <c r="B2054" s="1" t="n">
        <v>45659.93418981481</v>
      </c>
      <c r="C2054" s="1" t="n">
        <v>46140</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2009-2025</t>
        </is>
      </c>
      <c r="B2055" s="1" t="n">
        <v>45672</v>
      </c>
      <c r="C2055" s="1" t="n">
        <v>46140</v>
      </c>
      <c r="D2055" t="inlineStr">
        <is>
          <t>VÄRMLANDS LÄN</t>
        </is>
      </c>
      <c r="E2055" t="inlineStr">
        <is>
          <t>TORSBY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13191-2025</t>
        </is>
      </c>
      <c r="B2056" s="1" t="n">
        <v>45735.40501157408</v>
      </c>
      <c r="C2056" s="1" t="n">
        <v>46140</v>
      </c>
      <c r="D2056" t="inlineStr">
        <is>
          <t>VÄRMLANDS LÄN</t>
        </is>
      </c>
      <c r="E2056" t="inlineStr">
        <is>
          <t>TORSBY</t>
        </is>
      </c>
      <c r="G2056" t="n">
        <v>10.6</v>
      </c>
      <c r="H2056" t="n">
        <v>0</v>
      </c>
      <c r="I2056" t="n">
        <v>0</v>
      </c>
      <c r="J2056" t="n">
        <v>0</v>
      </c>
      <c r="K2056" t="n">
        <v>0</v>
      </c>
      <c r="L2056" t="n">
        <v>0</v>
      </c>
      <c r="M2056" t="n">
        <v>0</v>
      </c>
      <c r="N2056" t="n">
        <v>0</v>
      </c>
      <c r="O2056" t="n">
        <v>0</v>
      </c>
      <c r="P2056" t="n">
        <v>0</v>
      </c>
      <c r="Q2056" t="n">
        <v>0</v>
      </c>
      <c r="R2056" s="2" t="inlineStr"/>
    </row>
    <row r="2057" ht="15" customHeight="1">
      <c r="A2057" t="inlineStr">
        <is>
          <t>A 38100-2024</t>
        </is>
      </c>
      <c r="B2057" s="1" t="n">
        <v>45545</v>
      </c>
      <c r="C2057" s="1" t="n">
        <v>46140</v>
      </c>
      <c r="D2057" t="inlineStr">
        <is>
          <t>VÄRMLANDS LÄN</t>
        </is>
      </c>
      <c r="E2057" t="inlineStr">
        <is>
          <t>TORSBY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4231-2024</t>
        </is>
      </c>
      <c r="B2058" s="1" t="n">
        <v>45324.42771990741</v>
      </c>
      <c r="C2058" s="1" t="n">
        <v>46140</v>
      </c>
      <c r="D2058" t="inlineStr">
        <is>
          <t>VÄRMLANDS LÄN</t>
        </is>
      </c>
      <c r="E2058" t="inlineStr">
        <is>
          <t>TORSBY</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7643-2025</t>
        </is>
      </c>
      <c r="B2059" s="1" t="n">
        <v>45705.78703703704</v>
      </c>
      <c r="C2059" s="1" t="n">
        <v>46140</v>
      </c>
      <c r="D2059" t="inlineStr">
        <is>
          <t>VÄRMLANDS LÄN</t>
        </is>
      </c>
      <c r="E2059" t="inlineStr">
        <is>
          <t>TORSBY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53331-2024</t>
        </is>
      </c>
      <c r="B2060" s="1" t="n">
        <v>45614</v>
      </c>
      <c r="C2060" s="1" t="n">
        <v>46140</v>
      </c>
      <c r="D2060" t="inlineStr">
        <is>
          <t>VÄRMLANDS LÄN</t>
        </is>
      </c>
      <c r="E2060" t="inlineStr">
        <is>
          <t>TORSBY</t>
        </is>
      </c>
      <c r="F2060" t="inlineStr">
        <is>
          <t>Bergvik skog väst AB</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18480-2025</t>
        </is>
      </c>
      <c r="B2061" s="1" t="n">
        <v>45762.9171412037</v>
      </c>
      <c r="C2061" s="1" t="n">
        <v>46140</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492-2025</t>
        </is>
      </c>
      <c r="B2062" s="1" t="n">
        <v>45664.46337962963</v>
      </c>
      <c r="C2062" s="1" t="n">
        <v>46140</v>
      </c>
      <c r="D2062" t="inlineStr">
        <is>
          <t>VÄRMLANDS LÄN</t>
        </is>
      </c>
      <c r="E2062" t="inlineStr">
        <is>
          <t>TORSBY</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36775-2024</t>
        </is>
      </c>
      <c r="B2063" s="1" t="n">
        <v>45538</v>
      </c>
      <c r="C2063" s="1" t="n">
        <v>46140</v>
      </c>
      <c r="D2063" t="inlineStr">
        <is>
          <t>VÄRMLANDS LÄN</t>
        </is>
      </c>
      <c r="E2063" t="inlineStr">
        <is>
          <t>TORSBY</t>
        </is>
      </c>
      <c r="F2063" t="inlineStr">
        <is>
          <t>Kyrkan</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53499-2023</t>
        </is>
      </c>
      <c r="B2064" s="1" t="n">
        <v>45223</v>
      </c>
      <c r="C2064" s="1" t="n">
        <v>46140</v>
      </c>
      <c r="D2064" t="inlineStr">
        <is>
          <t>VÄRMLANDS LÄN</t>
        </is>
      </c>
      <c r="E2064" t="inlineStr">
        <is>
          <t>TORSBY</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38257-2023</t>
        </is>
      </c>
      <c r="B2065" s="1" t="n">
        <v>45161.58917824074</v>
      </c>
      <c r="C2065" s="1" t="n">
        <v>46140</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60525-2023</t>
        </is>
      </c>
      <c r="B2066" s="1" t="n">
        <v>45259</v>
      </c>
      <c r="C2066" s="1" t="n">
        <v>46140</v>
      </c>
      <c r="D2066" t="inlineStr">
        <is>
          <t>VÄRMLANDS LÄN</t>
        </is>
      </c>
      <c r="E2066" t="inlineStr">
        <is>
          <t>TORSBY</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4342-2025</t>
        </is>
      </c>
      <c r="B2067" s="1" t="n">
        <v>45685</v>
      </c>
      <c r="C2067" s="1" t="n">
        <v>46140</v>
      </c>
      <c r="D2067" t="inlineStr">
        <is>
          <t>VÄRMLANDS LÄN</t>
        </is>
      </c>
      <c r="E2067" t="inlineStr">
        <is>
          <t>TORSBY</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8025-2025</t>
        </is>
      </c>
      <c r="B2068" s="1" t="n">
        <v>45707</v>
      </c>
      <c r="C2068" s="1" t="n">
        <v>46140</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20740-2025</t>
        </is>
      </c>
      <c r="B2069" s="1" t="n">
        <v>45776.54284722222</v>
      </c>
      <c r="C2069" s="1" t="n">
        <v>46140</v>
      </c>
      <c r="D2069" t="inlineStr">
        <is>
          <t>VÄRMLANDS LÄN</t>
        </is>
      </c>
      <c r="E2069" t="inlineStr">
        <is>
          <t>TORSBY</t>
        </is>
      </c>
      <c r="F2069" t="inlineStr">
        <is>
          <t>Bergvik skog väst AB</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20816-2025</t>
        </is>
      </c>
      <c r="B2070" s="1" t="n">
        <v>45776</v>
      </c>
      <c r="C2070" s="1" t="n">
        <v>46140</v>
      </c>
      <c r="D2070" t="inlineStr">
        <is>
          <t>VÄRMLANDS LÄN</t>
        </is>
      </c>
      <c r="E2070" t="inlineStr">
        <is>
          <t>TORSBY</t>
        </is>
      </c>
      <c r="F2070" t="inlineStr">
        <is>
          <t>Bergvik skog väst AB</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20773-2025</t>
        </is>
      </c>
      <c r="B2071" s="1" t="n">
        <v>45776.59321759259</v>
      </c>
      <c r="C2071" s="1" t="n">
        <v>46140</v>
      </c>
      <c r="D2071" t="inlineStr">
        <is>
          <t>VÄRMLANDS LÄN</t>
        </is>
      </c>
      <c r="E2071" t="inlineStr">
        <is>
          <t>TORSBY</t>
        </is>
      </c>
      <c r="F2071" t="inlineStr">
        <is>
          <t>Bergvik skog väst AB</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20843-2025</t>
        </is>
      </c>
      <c r="B2072" s="1" t="n">
        <v>45776.9233912037</v>
      </c>
      <c r="C2072" s="1" t="n">
        <v>46140</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20914-2025</t>
        </is>
      </c>
      <c r="B2073" s="1" t="n">
        <v>45777</v>
      </c>
      <c r="C2073" s="1" t="n">
        <v>46140</v>
      </c>
      <c r="D2073" t="inlineStr">
        <is>
          <t>VÄRMLANDS LÄN</t>
        </is>
      </c>
      <c r="E2073" t="inlineStr">
        <is>
          <t>TORSBY</t>
        </is>
      </c>
      <c r="F2073" t="inlineStr">
        <is>
          <t>Bergvik skog väst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21462-2025</t>
        </is>
      </c>
      <c r="B2074" s="1" t="n">
        <v>45782.56770833334</v>
      </c>
      <c r="C2074" s="1" t="n">
        <v>46140</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21274-2025</t>
        </is>
      </c>
      <c r="B2075" s="1" t="n">
        <v>45779.62877314815</v>
      </c>
      <c r="C2075" s="1" t="n">
        <v>46140</v>
      </c>
      <c r="D2075" t="inlineStr">
        <is>
          <t>VÄRMLANDS LÄN</t>
        </is>
      </c>
      <c r="E2075" t="inlineStr">
        <is>
          <t>TORSBY</t>
        </is>
      </c>
      <c r="F2075" t="inlineStr">
        <is>
          <t>Bergvik skog väst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41633-2021</t>
        </is>
      </c>
      <c r="B2076" s="1" t="n">
        <v>44425</v>
      </c>
      <c r="C2076" s="1" t="n">
        <v>46140</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21324-2025</t>
        </is>
      </c>
      <c r="B2077" s="1" t="n">
        <v>45782.34947916667</v>
      </c>
      <c r="C2077" s="1" t="n">
        <v>46140</v>
      </c>
      <c r="D2077" t="inlineStr">
        <is>
          <t>VÄRMLANDS LÄN</t>
        </is>
      </c>
      <c r="E2077" t="inlineStr">
        <is>
          <t>TORSBY</t>
        </is>
      </c>
      <c r="F2077" t="inlineStr">
        <is>
          <t>Bergvik skog väst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25313-2024</t>
        </is>
      </c>
      <c r="B2078" s="1" t="n">
        <v>45462</v>
      </c>
      <c r="C2078" s="1" t="n">
        <v>46140</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21858-2025</t>
        </is>
      </c>
      <c r="B2079" s="1" t="n">
        <v>45784.36265046296</v>
      </c>
      <c r="C2079" s="1" t="n">
        <v>46140</v>
      </c>
      <c r="D2079" t="inlineStr">
        <is>
          <t>VÄRMLANDS LÄN</t>
        </is>
      </c>
      <c r="E2079" t="inlineStr">
        <is>
          <t>TORSBY</t>
        </is>
      </c>
      <c r="F2079" t="inlineStr">
        <is>
          <t>Bergvik skog väst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21974-2025</t>
        </is>
      </c>
      <c r="B2080" s="1" t="n">
        <v>45784.63689814815</v>
      </c>
      <c r="C2080" s="1" t="n">
        <v>46140</v>
      </c>
      <c r="D2080" t="inlineStr">
        <is>
          <t>VÄRMLANDS LÄN</t>
        </is>
      </c>
      <c r="E2080" t="inlineStr">
        <is>
          <t>TORSBY</t>
        </is>
      </c>
      <c r="F2080" t="inlineStr">
        <is>
          <t>Bergvik skog väst AB</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21963-2025</t>
        </is>
      </c>
      <c r="B2081" s="1" t="n">
        <v>45784</v>
      </c>
      <c r="C2081" s="1" t="n">
        <v>46140</v>
      </c>
      <c r="D2081" t="inlineStr">
        <is>
          <t>VÄRMLANDS LÄN</t>
        </is>
      </c>
      <c r="E2081" t="inlineStr">
        <is>
          <t>TORSBY</t>
        </is>
      </c>
      <c r="F2081" t="inlineStr">
        <is>
          <t>Bergvik skog väst AB</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21808-2025</t>
        </is>
      </c>
      <c r="B2082" s="1" t="n">
        <v>45783.70846064815</v>
      </c>
      <c r="C2082" s="1" t="n">
        <v>46140</v>
      </c>
      <c r="D2082" t="inlineStr">
        <is>
          <t>VÄRMLANDS LÄN</t>
        </is>
      </c>
      <c r="E2082" t="inlineStr">
        <is>
          <t>TORSBY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21576-2025</t>
        </is>
      </c>
      <c r="B2083" s="1" t="n">
        <v>45782.86440972222</v>
      </c>
      <c r="C2083" s="1" t="n">
        <v>46140</v>
      </c>
      <c r="D2083" t="inlineStr">
        <is>
          <t>VÄRMLANDS LÄN</t>
        </is>
      </c>
      <c r="E2083" t="inlineStr">
        <is>
          <t>TORSBY</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21759-2025</t>
        </is>
      </c>
      <c r="B2084" s="1" t="n">
        <v>45783</v>
      </c>
      <c r="C2084" s="1" t="n">
        <v>46140</v>
      </c>
      <c r="D2084" t="inlineStr">
        <is>
          <t>VÄRMLANDS LÄN</t>
        </is>
      </c>
      <c r="E2084" t="inlineStr">
        <is>
          <t>TORSBY</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33088-2024</t>
        </is>
      </c>
      <c r="B2085" s="1" t="n">
        <v>45517</v>
      </c>
      <c r="C2085" s="1" t="n">
        <v>46140</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22269-2025</t>
        </is>
      </c>
      <c r="B2086" s="1" t="n">
        <v>45785</v>
      </c>
      <c r="C2086" s="1" t="n">
        <v>46140</v>
      </c>
      <c r="D2086" t="inlineStr">
        <is>
          <t>VÄRMLANDS LÄN</t>
        </is>
      </c>
      <c r="E2086" t="inlineStr">
        <is>
          <t>TORSBY</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22331-2025</t>
        </is>
      </c>
      <c r="B2087" s="1" t="n">
        <v>45786</v>
      </c>
      <c r="C2087" s="1" t="n">
        <v>46140</v>
      </c>
      <c r="D2087" t="inlineStr">
        <is>
          <t>VÄRMLANDS LÄN</t>
        </is>
      </c>
      <c r="E2087" t="inlineStr">
        <is>
          <t>TORSBY</t>
        </is>
      </c>
      <c r="F2087" t="inlineStr">
        <is>
          <t>Bergvik skog väst AB</t>
        </is>
      </c>
      <c r="G2087" t="n">
        <v>13.5</v>
      </c>
      <c r="H2087" t="n">
        <v>0</v>
      </c>
      <c r="I2087" t="n">
        <v>0</v>
      </c>
      <c r="J2087" t="n">
        <v>0</v>
      </c>
      <c r="K2087" t="n">
        <v>0</v>
      </c>
      <c r="L2087" t="n">
        <v>0</v>
      </c>
      <c r="M2087" t="n">
        <v>0</v>
      </c>
      <c r="N2087" t="n">
        <v>0</v>
      </c>
      <c r="O2087" t="n">
        <v>0</v>
      </c>
      <c r="P2087" t="n">
        <v>0</v>
      </c>
      <c r="Q2087" t="n">
        <v>0</v>
      </c>
      <c r="R2087" s="2" t="inlineStr"/>
    </row>
    <row r="2088" ht="15" customHeight="1">
      <c r="A2088" t="inlineStr">
        <is>
          <t>A 21744-2024</t>
        </is>
      </c>
      <c r="B2088" s="1" t="n">
        <v>45442</v>
      </c>
      <c r="C2088" s="1" t="n">
        <v>46140</v>
      </c>
      <c r="D2088" t="inlineStr">
        <is>
          <t>VÄRMLANDS LÄN</t>
        </is>
      </c>
      <c r="E2088" t="inlineStr">
        <is>
          <t>TORSBY</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73874-2021</t>
        </is>
      </c>
      <c r="B2089" s="1" t="n">
        <v>44553.39755787037</v>
      </c>
      <c r="C2089" s="1" t="n">
        <v>46140</v>
      </c>
      <c r="D2089" t="inlineStr">
        <is>
          <t>VÄRMLANDS LÄN</t>
        </is>
      </c>
      <c r="E2089" t="inlineStr">
        <is>
          <t>TORSBY</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22278-2025</t>
        </is>
      </c>
      <c r="B2090" s="1" t="n">
        <v>45786.33332175926</v>
      </c>
      <c r="C2090" s="1" t="n">
        <v>46140</v>
      </c>
      <c r="D2090" t="inlineStr">
        <is>
          <t>VÄRMLANDS LÄN</t>
        </is>
      </c>
      <c r="E2090" t="inlineStr">
        <is>
          <t>TORSBY</t>
        </is>
      </c>
      <c r="F2090" t="inlineStr">
        <is>
          <t>Bergvik skog väst AB</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22320-2025</t>
        </is>
      </c>
      <c r="B2091" s="1" t="n">
        <v>45786.40542824074</v>
      </c>
      <c r="C2091" s="1" t="n">
        <v>46140</v>
      </c>
      <c r="D2091" t="inlineStr">
        <is>
          <t>VÄRMLANDS LÄN</t>
        </is>
      </c>
      <c r="E2091" t="inlineStr">
        <is>
          <t>TORSBY</t>
        </is>
      </c>
      <c r="F2091" t="inlineStr">
        <is>
          <t>Bergvik skog väst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22339-2025</t>
        </is>
      </c>
      <c r="B2092" s="1" t="n">
        <v>45786</v>
      </c>
      <c r="C2092" s="1" t="n">
        <v>46140</v>
      </c>
      <c r="D2092" t="inlineStr">
        <is>
          <t>VÄRMLANDS LÄN</t>
        </is>
      </c>
      <c r="E2092" t="inlineStr">
        <is>
          <t>TORSBY</t>
        </is>
      </c>
      <c r="F2092" t="inlineStr">
        <is>
          <t>Bergvik skog väst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55036-2024</t>
        </is>
      </c>
      <c r="B2093" s="1" t="n">
        <v>45621.38342592592</v>
      </c>
      <c r="C2093" s="1" t="n">
        <v>46140</v>
      </c>
      <c r="D2093" t="inlineStr">
        <is>
          <t>VÄRMLANDS LÄN</t>
        </is>
      </c>
      <c r="E2093" t="inlineStr">
        <is>
          <t>TORSBY</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6448-2025</t>
        </is>
      </c>
      <c r="B2094" s="1" t="n">
        <v>45699</v>
      </c>
      <c r="C2094" s="1" t="n">
        <v>46140</v>
      </c>
      <c r="D2094" t="inlineStr">
        <is>
          <t>VÄRMLANDS LÄN</t>
        </is>
      </c>
      <c r="E2094" t="inlineStr">
        <is>
          <t>TORSBY</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15014-2025</t>
        </is>
      </c>
      <c r="B2095" s="1" t="n">
        <v>45743</v>
      </c>
      <c r="C2095" s="1" t="n">
        <v>46140</v>
      </c>
      <c r="D2095" t="inlineStr">
        <is>
          <t>VÄRMLANDS LÄN</t>
        </is>
      </c>
      <c r="E2095" t="inlineStr">
        <is>
          <t>TORSBY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22076-2025</t>
        </is>
      </c>
      <c r="B2096" s="1" t="n">
        <v>45785.41473379629</v>
      </c>
      <c r="C2096" s="1" t="n">
        <v>46140</v>
      </c>
      <c r="D2096" t="inlineStr">
        <is>
          <t>VÄRMLANDS LÄN</t>
        </is>
      </c>
      <c r="E2096" t="inlineStr">
        <is>
          <t>TORSBY</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22178-2025</t>
        </is>
      </c>
      <c r="B2097" s="1" t="n">
        <v>45785</v>
      </c>
      <c r="C2097" s="1" t="n">
        <v>46140</v>
      </c>
      <c r="D2097" t="inlineStr">
        <is>
          <t>VÄRMLANDS LÄN</t>
        </is>
      </c>
      <c r="E2097" t="inlineStr">
        <is>
          <t>TORSBY</t>
        </is>
      </c>
      <c r="G2097" t="n">
        <v>25.5</v>
      </c>
      <c r="H2097" t="n">
        <v>0</v>
      </c>
      <c r="I2097" t="n">
        <v>0</v>
      </c>
      <c r="J2097" t="n">
        <v>0</v>
      </c>
      <c r="K2097" t="n">
        <v>0</v>
      </c>
      <c r="L2097" t="n">
        <v>0</v>
      </c>
      <c r="M2097" t="n">
        <v>0</v>
      </c>
      <c r="N2097" t="n">
        <v>0</v>
      </c>
      <c r="O2097" t="n">
        <v>0</v>
      </c>
      <c r="P2097" t="n">
        <v>0</v>
      </c>
      <c r="Q2097" t="n">
        <v>0</v>
      </c>
      <c r="R2097" s="2" t="inlineStr"/>
    </row>
    <row r="2098" ht="15" customHeight="1">
      <c r="A2098" t="inlineStr">
        <is>
          <t>A 33085-2024</t>
        </is>
      </c>
      <c r="B2098" s="1" t="n">
        <v>45517.67784722222</v>
      </c>
      <c r="C2098" s="1" t="n">
        <v>46140</v>
      </c>
      <c r="D2098" t="inlineStr">
        <is>
          <t>VÄRMLANDS LÄN</t>
        </is>
      </c>
      <c r="E2098" t="inlineStr">
        <is>
          <t>TORSBY</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33495-2024</t>
        </is>
      </c>
      <c r="B2099" s="1" t="n">
        <v>45519</v>
      </c>
      <c r="C2099" s="1" t="n">
        <v>46140</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29897-2024</t>
        </is>
      </c>
      <c r="B2100" s="1" t="n">
        <v>45487.51834490741</v>
      </c>
      <c r="C2100" s="1" t="n">
        <v>46140</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24113-2024</t>
        </is>
      </c>
      <c r="B2101" s="1" t="n">
        <v>45456.61590277778</v>
      </c>
      <c r="C2101" s="1" t="n">
        <v>46140</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60626-2024</t>
        </is>
      </c>
      <c r="B2102" s="1" t="n">
        <v>45642</v>
      </c>
      <c r="C2102" s="1" t="n">
        <v>46140</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60207-2024</t>
        </is>
      </c>
      <c r="B2103" s="1" t="n">
        <v>45642.67428240741</v>
      </c>
      <c r="C2103" s="1" t="n">
        <v>46140</v>
      </c>
      <c r="D2103" t="inlineStr">
        <is>
          <t>VÄRMLANDS LÄN</t>
        </is>
      </c>
      <c r="E2103" t="inlineStr">
        <is>
          <t>TORSBY</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22090-2025</t>
        </is>
      </c>
      <c r="B2104" s="1" t="n">
        <v>45785.45212962963</v>
      </c>
      <c r="C2104" s="1" t="n">
        <v>46140</v>
      </c>
      <c r="D2104" t="inlineStr">
        <is>
          <t>VÄRMLANDS LÄN</t>
        </is>
      </c>
      <c r="E2104" t="inlineStr">
        <is>
          <t>TORSBY</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22715-2025</t>
        </is>
      </c>
      <c r="B2105" s="1" t="n">
        <v>45789.56496527778</v>
      </c>
      <c r="C2105" s="1" t="n">
        <v>46140</v>
      </c>
      <c r="D2105" t="inlineStr">
        <is>
          <t>VÄRMLANDS LÄN</t>
        </is>
      </c>
      <c r="E2105" t="inlineStr">
        <is>
          <t>TORSBY</t>
        </is>
      </c>
      <c r="F2105" t="inlineStr">
        <is>
          <t>Kyrkan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22593-2025</t>
        </is>
      </c>
      <c r="B2106" s="1" t="n">
        <v>45789.41113425926</v>
      </c>
      <c r="C2106" s="1" t="n">
        <v>46140</v>
      </c>
      <c r="D2106" t="inlineStr">
        <is>
          <t>VÄRMLANDS LÄN</t>
        </is>
      </c>
      <c r="E2106" t="inlineStr">
        <is>
          <t>TORSBY</t>
        </is>
      </c>
      <c r="F2106" t="inlineStr">
        <is>
          <t>Bergvik skog väst AB</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7101-2025</t>
        </is>
      </c>
      <c r="B2107" s="1" t="n">
        <v>45701</v>
      </c>
      <c r="C2107" s="1" t="n">
        <v>46140</v>
      </c>
      <c r="D2107" t="inlineStr">
        <is>
          <t>VÄRMLANDS LÄN</t>
        </is>
      </c>
      <c r="E2107" t="inlineStr">
        <is>
          <t>TORSBY</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22845-2025</t>
        </is>
      </c>
      <c r="B2108" s="1" t="n">
        <v>45790</v>
      </c>
      <c r="C2108" s="1" t="n">
        <v>46140</v>
      </c>
      <c r="D2108" t="inlineStr">
        <is>
          <t>VÄRMLANDS LÄN</t>
        </is>
      </c>
      <c r="E2108" t="inlineStr">
        <is>
          <t>TORSBY</t>
        </is>
      </c>
      <c r="F2108" t="inlineStr">
        <is>
          <t>Bergvik skog väst AB</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22708-2025</t>
        </is>
      </c>
      <c r="B2109" s="1" t="n">
        <v>45789.55561342592</v>
      </c>
      <c r="C2109" s="1" t="n">
        <v>46140</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22757-2025</t>
        </is>
      </c>
      <c r="B2110" s="1" t="n">
        <v>45789.61908564815</v>
      </c>
      <c r="C2110" s="1" t="n">
        <v>46140</v>
      </c>
      <c r="D2110" t="inlineStr">
        <is>
          <t>VÄRMLANDS LÄN</t>
        </is>
      </c>
      <c r="E2110" t="inlineStr">
        <is>
          <t>TORSBY</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46140</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22316-2025</t>
        </is>
      </c>
      <c r="B2112" s="1" t="n">
        <v>45786.39013888889</v>
      </c>
      <c r="C2112" s="1" t="n">
        <v>46140</v>
      </c>
      <c r="D2112" t="inlineStr">
        <is>
          <t>VÄRMLANDS LÄN</t>
        </is>
      </c>
      <c r="E2112" t="inlineStr">
        <is>
          <t>TORSBY</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22596-2025</t>
        </is>
      </c>
      <c r="B2113" s="1" t="n">
        <v>45789.41362268518</v>
      </c>
      <c r="C2113" s="1" t="n">
        <v>46140</v>
      </c>
      <c r="D2113" t="inlineStr">
        <is>
          <t>VÄRMLANDS LÄN</t>
        </is>
      </c>
      <c r="E2113" t="inlineStr">
        <is>
          <t>TORSBY</t>
        </is>
      </c>
      <c r="F2113" t="inlineStr">
        <is>
          <t>Bergvik skog väst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19253-2025</t>
        </is>
      </c>
      <c r="B2114" s="1" t="n">
        <v>45769</v>
      </c>
      <c r="C2114" s="1" t="n">
        <v>46140</v>
      </c>
      <c r="D2114" t="inlineStr">
        <is>
          <t>VÄRMLANDS LÄN</t>
        </is>
      </c>
      <c r="E2114" t="inlineStr">
        <is>
          <t>TORSBY</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22954-2025</t>
        </is>
      </c>
      <c r="B2115" s="1" t="n">
        <v>45790.5184375</v>
      </c>
      <c r="C2115" s="1" t="n">
        <v>46140</v>
      </c>
      <c r="D2115" t="inlineStr">
        <is>
          <t>VÄRMLANDS LÄN</t>
        </is>
      </c>
      <c r="E2115" t="inlineStr">
        <is>
          <t>TORSBY</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22760-2025</t>
        </is>
      </c>
      <c r="B2116" s="1" t="n">
        <v>45789</v>
      </c>
      <c r="C2116" s="1" t="n">
        <v>46140</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2471-2023</t>
        </is>
      </c>
      <c r="B2117" s="1" t="n">
        <v>44943.48373842592</v>
      </c>
      <c r="C2117" s="1" t="n">
        <v>46140</v>
      </c>
      <c r="D2117" t="inlineStr">
        <is>
          <t>VÄRMLANDS LÄN</t>
        </is>
      </c>
      <c r="E2117" t="inlineStr">
        <is>
          <t>TORSBY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30370-2023</t>
        </is>
      </c>
      <c r="B2118" s="1" t="n">
        <v>45111</v>
      </c>
      <c r="C2118" s="1" t="n">
        <v>46140</v>
      </c>
      <c r="D2118" t="inlineStr">
        <is>
          <t>VÄRMLANDS LÄN</t>
        </is>
      </c>
      <c r="E2118" t="inlineStr">
        <is>
          <t>TORSBY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23367-2025</t>
        </is>
      </c>
      <c r="B2119" s="1" t="n">
        <v>45791.69582175926</v>
      </c>
      <c r="C2119" s="1" t="n">
        <v>46140</v>
      </c>
      <c r="D2119" t="inlineStr">
        <is>
          <t>VÄRMLANDS LÄN</t>
        </is>
      </c>
      <c r="E2119" t="inlineStr">
        <is>
          <t>TORSBY</t>
        </is>
      </c>
      <c r="G2119" t="n">
        <v>9.800000000000001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34906-2024</t>
        </is>
      </c>
      <c r="B2120" s="1" t="n">
        <v>45527</v>
      </c>
      <c r="C2120" s="1" t="n">
        <v>46140</v>
      </c>
      <c r="D2120" t="inlineStr">
        <is>
          <t>VÄRMLANDS LÄN</t>
        </is>
      </c>
      <c r="E2120" t="inlineStr">
        <is>
          <t>TORSBY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54790-2024</t>
        </is>
      </c>
      <c r="B2121" s="1" t="n">
        <v>45618</v>
      </c>
      <c r="C2121" s="1" t="n">
        <v>46140</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62957-2023</t>
        </is>
      </c>
      <c r="B2122" s="1" t="n">
        <v>45271</v>
      </c>
      <c r="C2122" s="1" t="n">
        <v>46140</v>
      </c>
      <c r="D2122" t="inlineStr">
        <is>
          <t>VÄRMLANDS LÄN</t>
        </is>
      </c>
      <c r="E2122" t="inlineStr">
        <is>
          <t>TORSBY</t>
        </is>
      </c>
      <c r="F2122" t="inlineStr">
        <is>
          <t>Övriga statliga verk och myndigheter</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14575-2025</t>
        </is>
      </c>
      <c r="B2123" s="1" t="n">
        <v>45742.29048611111</v>
      </c>
      <c r="C2123" s="1" t="n">
        <v>46140</v>
      </c>
      <c r="D2123" t="inlineStr">
        <is>
          <t>VÄRMLANDS LÄN</t>
        </is>
      </c>
      <c r="E2123" t="inlineStr">
        <is>
          <t>TORSBY</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23455-2025</t>
        </is>
      </c>
      <c r="B2124" s="1" t="n">
        <v>45792.42520833333</v>
      </c>
      <c r="C2124" s="1" t="n">
        <v>46140</v>
      </c>
      <c r="D2124" t="inlineStr">
        <is>
          <t>VÄRMLANDS LÄN</t>
        </is>
      </c>
      <c r="E2124" t="inlineStr">
        <is>
          <t>TORSBY</t>
        </is>
      </c>
      <c r="F2124" t="inlineStr">
        <is>
          <t>Kyrkan</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31945-2024</t>
        </is>
      </c>
      <c r="B2125" s="1" t="n">
        <v>45510</v>
      </c>
      <c r="C2125" s="1" t="n">
        <v>46140</v>
      </c>
      <c r="D2125" t="inlineStr">
        <is>
          <t>VÄRMLANDS LÄN</t>
        </is>
      </c>
      <c r="E2125" t="inlineStr">
        <is>
          <t>TORSBY</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42403-2023</t>
        </is>
      </c>
      <c r="B2126" s="1" t="n">
        <v>45180.59174768518</v>
      </c>
      <c r="C2126" s="1" t="n">
        <v>46140</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23280-2025</t>
        </is>
      </c>
      <c r="B2127" s="1" t="n">
        <v>45791.57217592592</v>
      </c>
      <c r="C2127" s="1" t="n">
        <v>46140</v>
      </c>
      <c r="D2127" t="inlineStr">
        <is>
          <t>VÄRMLANDS LÄN</t>
        </is>
      </c>
      <c r="E2127" t="inlineStr">
        <is>
          <t>TORSBY</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58259-2024</t>
        </is>
      </c>
      <c r="B2128" s="1" t="n">
        <v>45632.56155092592</v>
      </c>
      <c r="C2128" s="1" t="n">
        <v>46140</v>
      </c>
      <c r="D2128" t="inlineStr">
        <is>
          <t>VÄRMLANDS LÄN</t>
        </is>
      </c>
      <c r="E2128" t="inlineStr">
        <is>
          <t>TORSBY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34568-2024</t>
        </is>
      </c>
      <c r="B2129" s="1" t="n">
        <v>45526</v>
      </c>
      <c r="C2129" s="1" t="n">
        <v>46140</v>
      </c>
      <c r="D2129" t="inlineStr">
        <is>
          <t>VÄRMLANDS LÄN</t>
        </is>
      </c>
      <c r="E2129" t="inlineStr">
        <is>
          <t>TORSBY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23557-2025</t>
        </is>
      </c>
      <c r="B2130" s="1" t="n">
        <v>45792.58086805556</v>
      </c>
      <c r="C2130" s="1" t="n">
        <v>46140</v>
      </c>
      <c r="D2130" t="inlineStr">
        <is>
          <t>VÄRMLANDS LÄN</t>
        </is>
      </c>
      <c r="E2130" t="inlineStr">
        <is>
          <t>TORSBY</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23287-2025</t>
        </is>
      </c>
      <c r="B2131" s="1" t="n">
        <v>45791.5816087963</v>
      </c>
      <c r="C2131" s="1" t="n">
        <v>46140</v>
      </c>
      <c r="D2131" t="inlineStr">
        <is>
          <t>VÄRMLANDS LÄN</t>
        </is>
      </c>
      <c r="E2131" t="inlineStr">
        <is>
          <t>TORSBY</t>
        </is>
      </c>
      <c r="F2131" t="inlineStr">
        <is>
          <t>Bergvik skog väst AB</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4078-2024</t>
        </is>
      </c>
      <c r="B2132" s="1" t="n">
        <v>45323</v>
      </c>
      <c r="C2132" s="1" t="n">
        <v>46140</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42656-2023</t>
        </is>
      </c>
      <c r="B2133" s="1" t="n">
        <v>45181.53928240741</v>
      </c>
      <c r="C2133" s="1" t="n">
        <v>46140</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24069-2025</t>
        </is>
      </c>
      <c r="B2134" s="1" t="n">
        <v>45796.53997685185</v>
      </c>
      <c r="C2134" s="1" t="n">
        <v>46140</v>
      </c>
      <c r="D2134" t="inlineStr">
        <is>
          <t>VÄRMLANDS LÄN</t>
        </is>
      </c>
      <c r="E2134" t="inlineStr">
        <is>
          <t>TORSBY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24112-2025</t>
        </is>
      </c>
      <c r="B2135" s="1" t="n">
        <v>45796</v>
      </c>
      <c r="C2135" s="1" t="n">
        <v>46140</v>
      </c>
      <c r="D2135" t="inlineStr">
        <is>
          <t>VÄRMLANDS LÄN</t>
        </is>
      </c>
      <c r="E2135" t="inlineStr">
        <is>
          <t>TORSBY</t>
        </is>
      </c>
      <c r="F2135" t="inlineStr">
        <is>
          <t>Bergvik skog väst AB</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37985-2022</t>
        </is>
      </c>
      <c r="B2136" s="1" t="n">
        <v>44811</v>
      </c>
      <c r="C2136" s="1" t="n">
        <v>46140</v>
      </c>
      <c r="D2136" t="inlineStr">
        <is>
          <t>VÄRMLANDS LÄN</t>
        </is>
      </c>
      <c r="E2136" t="inlineStr">
        <is>
          <t>TORSBY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11427-2025</t>
        </is>
      </c>
      <c r="B2137" s="1" t="n">
        <v>45726</v>
      </c>
      <c r="C2137" s="1" t="n">
        <v>46140</v>
      </c>
      <c r="D2137" t="inlineStr">
        <is>
          <t>VÄRMLANDS LÄN</t>
        </is>
      </c>
      <c r="E2137" t="inlineStr">
        <is>
          <t>TORSBY</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14624-2023</t>
        </is>
      </c>
      <c r="B2138" s="1" t="n">
        <v>45013</v>
      </c>
      <c r="C2138" s="1" t="n">
        <v>46140</v>
      </c>
      <c r="D2138" t="inlineStr">
        <is>
          <t>VÄRMLANDS LÄN</t>
        </is>
      </c>
      <c r="E2138" t="inlineStr">
        <is>
          <t>TORSBY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11868-2025</t>
        </is>
      </c>
      <c r="B2139" s="1" t="n">
        <v>45728.4225</v>
      </c>
      <c r="C2139" s="1" t="n">
        <v>46140</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23741-2025</t>
        </is>
      </c>
      <c r="B2140" s="1" t="n">
        <v>45793</v>
      </c>
      <c r="C2140" s="1" t="n">
        <v>46140</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24026-2025</t>
        </is>
      </c>
      <c r="B2141" s="1" t="n">
        <v>45796.46841435185</v>
      </c>
      <c r="C2141" s="1" t="n">
        <v>46140</v>
      </c>
      <c r="D2141" t="inlineStr">
        <is>
          <t>VÄRMLANDS LÄN</t>
        </is>
      </c>
      <c r="E2141" t="inlineStr">
        <is>
          <t>TORSBY</t>
        </is>
      </c>
      <c r="G2141" t="n">
        <v>11.9</v>
      </c>
      <c r="H2141" t="n">
        <v>0</v>
      </c>
      <c r="I2141" t="n">
        <v>0</v>
      </c>
      <c r="J2141" t="n">
        <v>0</v>
      </c>
      <c r="K2141" t="n">
        <v>0</v>
      </c>
      <c r="L2141" t="n">
        <v>0</v>
      </c>
      <c r="M2141" t="n">
        <v>0</v>
      </c>
      <c r="N2141" t="n">
        <v>0</v>
      </c>
      <c r="O2141" t="n">
        <v>0</v>
      </c>
      <c r="P2141" t="n">
        <v>0</v>
      </c>
      <c r="Q2141" t="n">
        <v>0</v>
      </c>
      <c r="R2141" s="2" t="inlineStr"/>
    </row>
    <row r="2142" ht="15" customHeight="1">
      <c r="A2142" t="inlineStr">
        <is>
          <t>A 33069-2022</t>
        </is>
      </c>
      <c r="B2142" s="1" t="n">
        <v>44785</v>
      </c>
      <c r="C2142" s="1" t="n">
        <v>46140</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23677-2025</t>
        </is>
      </c>
      <c r="B2143" s="1" t="n">
        <v>45793.31969907408</v>
      </c>
      <c r="C2143" s="1" t="n">
        <v>46140</v>
      </c>
      <c r="D2143" t="inlineStr">
        <is>
          <t>VÄRMLANDS LÄN</t>
        </is>
      </c>
      <c r="E2143" t="inlineStr">
        <is>
          <t>TORSBY</t>
        </is>
      </c>
      <c r="F2143" t="inlineStr">
        <is>
          <t>Kyrkan</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24607-2025</t>
        </is>
      </c>
      <c r="B2144" s="1" t="n">
        <v>45798.57608796296</v>
      </c>
      <c r="C2144" s="1" t="n">
        <v>46140</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24425-2025</t>
        </is>
      </c>
      <c r="B2145" s="1" t="n">
        <v>45797</v>
      </c>
      <c r="C2145" s="1" t="n">
        <v>46140</v>
      </c>
      <c r="D2145" t="inlineStr">
        <is>
          <t>VÄRMLANDS LÄN</t>
        </is>
      </c>
      <c r="E2145" t="inlineStr">
        <is>
          <t>TORSBY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42473-2023</t>
        </is>
      </c>
      <c r="B2146" s="1" t="n">
        <v>45180</v>
      </c>
      <c r="C2146" s="1" t="n">
        <v>46140</v>
      </c>
      <c r="D2146" t="inlineStr">
        <is>
          <t>VÄRMLANDS LÄN</t>
        </is>
      </c>
      <c r="E2146" t="inlineStr">
        <is>
          <t>TORSBY</t>
        </is>
      </c>
      <c r="F2146" t="inlineStr">
        <is>
          <t>Bergvik skog väst AB</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24411-2025</t>
        </is>
      </c>
      <c r="B2147" s="1" t="n">
        <v>45797</v>
      </c>
      <c r="C2147" s="1" t="n">
        <v>46140</v>
      </c>
      <c r="D2147" t="inlineStr">
        <is>
          <t>VÄRMLANDS LÄN</t>
        </is>
      </c>
      <c r="E2147" t="inlineStr">
        <is>
          <t>TORSBY</t>
        </is>
      </c>
      <c r="F2147" t="inlineStr">
        <is>
          <t>Övriga statliga verk och myndigheter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24528-2025</t>
        </is>
      </c>
      <c r="B2148" s="1" t="n">
        <v>45798.42680555556</v>
      </c>
      <c r="C2148" s="1" t="n">
        <v>46140</v>
      </c>
      <c r="D2148" t="inlineStr">
        <is>
          <t>VÄRMLANDS LÄN</t>
        </is>
      </c>
      <c r="E2148" t="inlineStr">
        <is>
          <t>TORSBY</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24318-2025</t>
        </is>
      </c>
      <c r="B2149" s="1" t="n">
        <v>45797.54879629629</v>
      </c>
      <c r="C2149" s="1" t="n">
        <v>46140</v>
      </c>
      <c r="D2149" t="inlineStr">
        <is>
          <t>VÄRMLANDS LÄN</t>
        </is>
      </c>
      <c r="E2149" t="inlineStr">
        <is>
          <t>TORSBY</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24251-2025</t>
        </is>
      </c>
      <c r="B2150" s="1" t="n">
        <v>45797</v>
      </c>
      <c r="C2150" s="1" t="n">
        <v>46140</v>
      </c>
      <c r="D2150" t="inlineStr">
        <is>
          <t>VÄRMLANDS LÄN</t>
        </is>
      </c>
      <c r="E2150" t="inlineStr">
        <is>
          <t>TORSBY</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24597-2025</t>
        </is>
      </c>
      <c r="B2151" s="1" t="n">
        <v>45798</v>
      </c>
      <c r="C2151" s="1" t="n">
        <v>46140</v>
      </c>
      <c r="D2151" t="inlineStr">
        <is>
          <t>VÄRMLANDS LÄN</t>
        </is>
      </c>
      <c r="E2151" t="inlineStr">
        <is>
          <t>TORSBY</t>
        </is>
      </c>
      <c r="F2151" t="inlineStr">
        <is>
          <t>Övriga statliga verk och myndigheter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24599-2025</t>
        </is>
      </c>
      <c r="B2152" s="1" t="n">
        <v>45798.56230324074</v>
      </c>
      <c r="C2152" s="1" t="n">
        <v>46140</v>
      </c>
      <c r="D2152" t="inlineStr">
        <is>
          <t>VÄRMLANDS LÄN</t>
        </is>
      </c>
      <c r="E2152" t="inlineStr">
        <is>
          <t>TORSBY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24204-2025</t>
        </is>
      </c>
      <c r="B2153" s="1" t="n">
        <v>45797.31824074074</v>
      </c>
      <c r="C2153" s="1" t="n">
        <v>46140</v>
      </c>
      <c r="D2153" t="inlineStr">
        <is>
          <t>VÄRMLANDS LÄN</t>
        </is>
      </c>
      <c r="E2153" t="inlineStr">
        <is>
          <t>TORSBY</t>
        </is>
      </c>
      <c r="F2153" t="inlineStr">
        <is>
          <t>Bergvik skog väst AB</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24260-2025</t>
        </is>
      </c>
      <c r="B2154" s="1" t="n">
        <v>45797</v>
      </c>
      <c r="C2154" s="1" t="n">
        <v>46140</v>
      </c>
      <c r="D2154" t="inlineStr">
        <is>
          <t>VÄRMLANDS LÄN</t>
        </is>
      </c>
      <c r="E2154" t="inlineStr">
        <is>
          <t>TORSBY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25428-2025</t>
        </is>
      </c>
      <c r="B2155" s="1" t="n">
        <v>45800.71540509259</v>
      </c>
      <c r="C2155" s="1" t="n">
        <v>46140</v>
      </c>
      <c r="D2155" t="inlineStr">
        <is>
          <t>VÄRMLANDS LÄN</t>
        </is>
      </c>
      <c r="E2155" t="inlineStr">
        <is>
          <t>TORSBY</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25353-2025</t>
        </is>
      </c>
      <c r="B2156" s="1" t="n">
        <v>45800.61553240741</v>
      </c>
      <c r="C2156" s="1" t="n">
        <v>46140</v>
      </c>
      <c r="D2156" t="inlineStr">
        <is>
          <t>VÄRMLANDS LÄN</t>
        </is>
      </c>
      <c r="E2156" t="inlineStr">
        <is>
          <t>TORSBY</t>
        </is>
      </c>
      <c r="F2156" t="inlineStr">
        <is>
          <t>Bergvik skog väst AB</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25186-2025</t>
        </is>
      </c>
      <c r="B2157" s="1" t="n">
        <v>45800.45247685185</v>
      </c>
      <c r="C2157" s="1" t="n">
        <v>46140</v>
      </c>
      <c r="D2157" t="inlineStr">
        <is>
          <t>VÄRMLANDS LÄN</t>
        </is>
      </c>
      <c r="E2157" t="inlineStr">
        <is>
          <t>TORSBY</t>
        </is>
      </c>
      <c r="F2157" t="inlineStr">
        <is>
          <t>Kyrkan</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24726-2025</t>
        </is>
      </c>
      <c r="B2158" s="1" t="n">
        <v>45799.32805555555</v>
      </c>
      <c r="C2158" s="1" t="n">
        <v>46140</v>
      </c>
      <c r="D2158" t="inlineStr">
        <is>
          <t>VÄRMLANDS LÄN</t>
        </is>
      </c>
      <c r="E2158" t="inlineStr">
        <is>
          <t>TORSBY</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25218-2025</t>
        </is>
      </c>
      <c r="B2159" s="1" t="n">
        <v>45800.4766087963</v>
      </c>
      <c r="C2159" s="1" t="n">
        <v>46140</v>
      </c>
      <c r="D2159" t="inlineStr">
        <is>
          <t>VÄRMLANDS LÄN</t>
        </is>
      </c>
      <c r="E2159" t="inlineStr">
        <is>
          <t>TORSBY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24967-2025</t>
        </is>
      </c>
      <c r="B2160" s="1" t="n">
        <v>45799.58332175926</v>
      </c>
      <c r="C2160" s="1" t="n">
        <v>46140</v>
      </c>
      <c r="D2160" t="inlineStr">
        <is>
          <t>VÄRMLANDS LÄN</t>
        </is>
      </c>
      <c r="E2160" t="inlineStr">
        <is>
          <t>TORSBY</t>
        </is>
      </c>
      <c r="F2160" t="inlineStr">
        <is>
          <t>Bergvik skog väst AB</t>
        </is>
      </c>
      <c r="G2160" t="n">
        <v>17.6</v>
      </c>
      <c r="H2160" t="n">
        <v>0</v>
      </c>
      <c r="I2160" t="n">
        <v>0</v>
      </c>
      <c r="J2160" t="n">
        <v>0</v>
      </c>
      <c r="K2160" t="n">
        <v>0</v>
      </c>
      <c r="L2160" t="n">
        <v>0</v>
      </c>
      <c r="M2160" t="n">
        <v>0</v>
      </c>
      <c r="N2160" t="n">
        <v>0</v>
      </c>
      <c r="O2160" t="n">
        <v>0</v>
      </c>
      <c r="P2160" t="n">
        <v>0</v>
      </c>
      <c r="Q2160" t="n">
        <v>0</v>
      </c>
      <c r="R2160" s="2" t="inlineStr"/>
    </row>
    <row r="2161" ht="15" customHeight="1">
      <c r="A2161" t="inlineStr">
        <is>
          <t>A 24757-2025</t>
        </is>
      </c>
      <c r="B2161" s="1" t="n">
        <v>45799</v>
      </c>
      <c r="C2161" s="1" t="n">
        <v>46140</v>
      </c>
      <c r="D2161" t="inlineStr">
        <is>
          <t>VÄRMLANDS LÄN</t>
        </is>
      </c>
      <c r="E2161" t="inlineStr">
        <is>
          <t>TORSBY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25369-2025</t>
        </is>
      </c>
      <c r="B2162" s="1" t="n">
        <v>45800.63046296296</v>
      </c>
      <c r="C2162" s="1" t="n">
        <v>46140</v>
      </c>
      <c r="D2162" t="inlineStr">
        <is>
          <t>VÄRMLANDS LÄN</t>
        </is>
      </c>
      <c r="E2162" t="inlineStr">
        <is>
          <t>TORSBY</t>
        </is>
      </c>
      <c r="F2162" t="inlineStr">
        <is>
          <t>Bergvik skog väst AB</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25050-2025</t>
        </is>
      </c>
      <c r="B2163" s="1" t="n">
        <v>45799</v>
      </c>
      <c r="C2163" s="1" t="n">
        <v>46140</v>
      </c>
      <c r="D2163" t="inlineStr">
        <is>
          <t>VÄRMLANDS LÄN</t>
        </is>
      </c>
      <c r="E2163" t="inlineStr">
        <is>
          <t>TORSBY</t>
        </is>
      </c>
      <c r="F2163" t="inlineStr">
        <is>
          <t>Bergvik skog väst AB</t>
        </is>
      </c>
      <c r="G2163" t="n">
        <v>39.7</v>
      </c>
      <c r="H2163" t="n">
        <v>0</v>
      </c>
      <c r="I2163" t="n">
        <v>0</v>
      </c>
      <c r="J2163" t="n">
        <v>0</v>
      </c>
      <c r="K2163" t="n">
        <v>0</v>
      </c>
      <c r="L2163" t="n">
        <v>0</v>
      </c>
      <c r="M2163" t="n">
        <v>0</v>
      </c>
      <c r="N2163" t="n">
        <v>0</v>
      </c>
      <c r="O2163" t="n">
        <v>0</v>
      </c>
      <c r="P2163" t="n">
        <v>0</v>
      </c>
      <c r="Q2163" t="n">
        <v>0</v>
      </c>
      <c r="R2163" s="2" t="inlineStr"/>
    </row>
    <row r="2164" ht="15" customHeight="1">
      <c r="A2164" t="inlineStr">
        <is>
          <t>A 25959-2025</t>
        </is>
      </c>
      <c r="B2164" s="1" t="n">
        <v>45804.60914351852</v>
      </c>
      <c r="C2164" s="1" t="n">
        <v>46140</v>
      </c>
      <c r="D2164" t="inlineStr">
        <is>
          <t>VÄRMLANDS LÄN</t>
        </is>
      </c>
      <c r="E2164" t="inlineStr">
        <is>
          <t>TORSBY</t>
        </is>
      </c>
      <c r="F2164" t="inlineStr">
        <is>
          <t>Bergvik skog väst AB</t>
        </is>
      </c>
      <c r="G2164" t="n">
        <v>17.6</v>
      </c>
      <c r="H2164" t="n">
        <v>0</v>
      </c>
      <c r="I2164" t="n">
        <v>0</v>
      </c>
      <c r="J2164" t="n">
        <v>0</v>
      </c>
      <c r="K2164" t="n">
        <v>0</v>
      </c>
      <c r="L2164" t="n">
        <v>0</v>
      </c>
      <c r="M2164" t="n">
        <v>0</v>
      </c>
      <c r="N2164" t="n">
        <v>0</v>
      </c>
      <c r="O2164" t="n">
        <v>0</v>
      </c>
      <c r="P2164" t="n">
        <v>0</v>
      </c>
      <c r="Q2164" t="n">
        <v>0</v>
      </c>
      <c r="R2164" s="2" t="inlineStr"/>
    </row>
    <row r="2165" ht="15" customHeight="1">
      <c r="A2165" t="inlineStr">
        <is>
          <t>A 25807-2025</t>
        </is>
      </c>
      <c r="B2165" s="1" t="n">
        <v>45804.41055555556</v>
      </c>
      <c r="C2165" s="1" t="n">
        <v>46140</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25653-2025</t>
        </is>
      </c>
      <c r="B2166" s="1" t="n">
        <v>45803.61072916666</v>
      </c>
      <c r="C2166" s="1" t="n">
        <v>46140</v>
      </c>
      <c r="D2166" t="inlineStr">
        <is>
          <t>VÄRMLANDS LÄN</t>
        </is>
      </c>
      <c r="E2166" t="inlineStr">
        <is>
          <t>TORSBY</t>
        </is>
      </c>
      <c r="F2166" t="inlineStr">
        <is>
          <t>Bergvik skog väst AB</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25881-2025</t>
        </is>
      </c>
      <c r="B2167" s="1" t="n">
        <v>45804.49729166667</v>
      </c>
      <c r="C2167" s="1" t="n">
        <v>46140</v>
      </c>
      <c r="D2167" t="inlineStr">
        <is>
          <t>VÄRMLANDS LÄN</t>
        </is>
      </c>
      <c r="E2167" t="inlineStr">
        <is>
          <t>TORSBY</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25917-2025</t>
        </is>
      </c>
      <c r="B2168" s="1" t="n">
        <v>45804.56704861111</v>
      </c>
      <c r="C2168" s="1" t="n">
        <v>46140</v>
      </c>
      <c r="D2168" t="inlineStr">
        <is>
          <t>VÄRMLANDS LÄN</t>
        </is>
      </c>
      <c r="E2168" t="inlineStr">
        <is>
          <t>TORSBY</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25464-2025</t>
        </is>
      </c>
      <c r="B2169" s="1" t="n">
        <v>45802.46032407408</v>
      </c>
      <c r="C2169" s="1" t="n">
        <v>46140</v>
      </c>
      <c r="D2169" t="inlineStr">
        <is>
          <t>VÄRMLANDS LÄN</t>
        </is>
      </c>
      <c r="E2169" t="inlineStr">
        <is>
          <t>TORSBY</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25465-2025</t>
        </is>
      </c>
      <c r="B2170" s="1" t="n">
        <v>45802.48196759259</v>
      </c>
      <c r="C2170" s="1" t="n">
        <v>46140</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25443-2025</t>
        </is>
      </c>
      <c r="B2171" s="1" t="n">
        <v>45801.49258101852</v>
      </c>
      <c r="C2171" s="1" t="n">
        <v>46140</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25808-2025</t>
        </is>
      </c>
      <c r="B2172" s="1" t="n">
        <v>45804.41528935185</v>
      </c>
      <c r="C2172" s="1" t="n">
        <v>46140</v>
      </c>
      <c r="D2172" t="inlineStr">
        <is>
          <t>VÄRMLANDS LÄN</t>
        </is>
      </c>
      <c r="E2172" t="inlineStr">
        <is>
          <t>TORSBY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25803-2025</t>
        </is>
      </c>
      <c r="B2173" s="1" t="n">
        <v>45804.40886574074</v>
      </c>
      <c r="C2173" s="1" t="n">
        <v>46140</v>
      </c>
      <c r="D2173" t="inlineStr">
        <is>
          <t>VÄRMLANDS LÄN</t>
        </is>
      </c>
      <c r="E2173" t="inlineStr">
        <is>
          <t>TORSBY</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25915-2025</t>
        </is>
      </c>
      <c r="B2174" s="1" t="n">
        <v>45804.56549768519</v>
      </c>
      <c r="C2174" s="1" t="n">
        <v>46140</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25859-2025</t>
        </is>
      </c>
      <c r="B2175" s="1" t="n">
        <v>45804.47244212963</v>
      </c>
      <c r="C2175" s="1" t="n">
        <v>46140</v>
      </c>
      <c r="D2175" t="inlineStr">
        <is>
          <t>VÄRMLANDS LÄN</t>
        </is>
      </c>
      <c r="E2175" t="inlineStr">
        <is>
          <t>TORSBY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25545-2025</t>
        </is>
      </c>
      <c r="B2176" s="1" t="n">
        <v>45803.43763888889</v>
      </c>
      <c r="C2176" s="1" t="n">
        <v>46140</v>
      </c>
      <c r="D2176" t="inlineStr">
        <is>
          <t>VÄRMLANDS LÄN</t>
        </is>
      </c>
      <c r="E2176" t="inlineStr">
        <is>
          <t>TORSBY</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25508-2025</t>
        </is>
      </c>
      <c r="B2177" s="1" t="n">
        <v>45803.35520833333</v>
      </c>
      <c r="C2177" s="1" t="n">
        <v>46140</v>
      </c>
      <c r="D2177" t="inlineStr">
        <is>
          <t>VÄRMLANDS LÄN</t>
        </is>
      </c>
      <c r="E2177" t="inlineStr">
        <is>
          <t>TORSBY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26158-2025</t>
        </is>
      </c>
      <c r="B2178" s="1" t="n">
        <v>45805</v>
      </c>
      <c r="C2178" s="1" t="n">
        <v>46140</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26061-2025</t>
        </is>
      </c>
      <c r="B2179" s="1" t="n">
        <v>45805.24886574074</v>
      </c>
      <c r="C2179" s="1" t="n">
        <v>46140</v>
      </c>
      <c r="D2179" t="inlineStr">
        <is>
          <t>VÄRMLANDS LÄN</t>
        </is>
      </c>
      <c r="E2179" t="inlineStr">
        <is>
          <t>TORSBY</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26231-2025</t>
        </is>
      </c>
      <c r="B2180" s="1" t="n">
        <v>45805</v>
      </c>
      <c r="C2180" s="1" t="n">
        <v>46140</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26108-2025</t>
        </is>
      </c>
      <c r="B2181" s="1" t="n">
        <v>45805</v>
      </c>
      <c r="C2181" s="1" t="n">
        <v>46140</v>
      </c>
      <c r="D2181" t="inlineStr">
        <is>
          <t>VÄRMLANDS LÄN</t>
        </is>
      </c>
      <c r="E2181" t="inlineStr">
        <is>
          <t>TORSBY</t>
        </is>
      </c>
      <c r="F2181" t="inlineStr">
        <is>
          <t>Bergvik skog väst AB</t>
        </is>
      </c>
      <c r="G2181" t="n">
        <v>22.8</v>
      </c>
      <c r="H2181" t="n">
        <v>0</v>
      </c>
      <c r="I2181" t="n">
        <v>0</v>
      </c>
      <c r="J2181" t="n">
        <v>0</v>
      </c>
      <c r="K2181" t="n">
        <v>0</v>
      </c>
      <c r="L2181" t="n">
        <v>0</v>
      </c>
      <c r="M2181" t="n">
        <v>0</v>
      </c>
      <c r="N2181" t="n">
        <v>0</v>
      </c>
      <c r="O2181" t="n">
        <v>0</v>
      </c>
      <c r="P2181" t="n">
        <v>0</v>
      </c>
      <c r="Q2181" t="n">
        <v>0</v>
      </c>
      <c r="R2181" s="2" t="inlineStr"/>
    </row>
    <row r="2182" ht="15" customHeight="1">
      <c r="A2182" t="inlineStr">
        <is>
          <t>A 26342-2025</t>
        </is>
      </c>
      <c r="B2182" s="1" t="n">
        <v>45805.70604166666</v>
      </c>
      <c r="C2182" s="1" t="n">
        <v>46140</v>
      </c>
      <c r="D2182" t="inlineStr">
        <is>
          <t>VÄRMLANDS LÄN</t>
        </is>
      </c>
      <c r="E2182" t="inlineStr">
        <is>
          <t>TORSBY</t>
        </is>
      </c>
      <c r="F2182" t="inlineStr">
        <is>
          <t>Bergvik skog väst AB</t>
        </is>
      </c>
      <c r="G2182" t="n">
        <v>13.6</v>
      </c>
      <c r="H2182" t="n">
        <v>0</v>
      </c>
      <c r="I2182" t="n">
        <v>0</v>
      </c>
      <c r="J2182" t="n">
        <v>0</v>
      </c>
      <c r="K2182" t="n">
        <v>0</v>
      </c>
      <c r="L2182" t="n">
        <v>0</v>
      </c>
      <c r="M2182" t="n">
        <v>0</v>
      </c>
      <c r="N2182" t="n">
        <v>0</v>
      </c>
      <c r="O2182" t="n">
        <v>0</v>
      </c>
      <c r="P2182" t="n">
        <v>0</v>
      </c>
      <c r="Q2182" t="n">
        <v>0</v>
      </c>
      <c r="R2182" s="2" t="inlineStr"/>
    </row>
    <row r="2183" ht="15" customHeight="1">
      <c r="A2183" t="inlineStr">
        <is>
          <t>A 26487-2025</t>
        </is>
      </c>
      <c r="B2183" s="1" t="n">
        <v>45807.47644675926</v>
      </c>
      <c r="C2183" s="1" t="n">
        <v>46140</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30002-2024</t>
        </is>
      </c>
      <c r="B2184" s="1" t="n">
        <v>45488</v>
      </c>
      <c r="C2184" s="1" t="n">
        <v>46140</v>
      </c>
      <c r="D2184" t="inlineStr">
        <is>
          <t>VÄRMLANDS LÄN</t>
        </is>
      </c>
      <c r="E2184" t="inlineStr">
        <is>
          <t>TORSBY</t>
        </is>
      </c>
      <c r="F2184" t="inlineStr">
        <is>
          <t>Kommuner</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28545-2024</t>
        </is>
      </c>
      <c r="B2185" s="1" t="n">
        <v>45478.3559375</v>
      </c>
      <c r="C2185" s="1" t="n">
        <v>46140</v>
      </c>
      <c r="D2185" t="inlineStr">
        <is>
          <t>VÄRMLANDS LÄN</t>
        </is>
      </c>
      <c r="E2185" t="inlineStr">
        <is>
          <t>TORSBY</t>
        </is>
      </c>
      <c r="F2185" t="inlineStr">
        <is>
          <t>Bergvik skog väst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11222-2024</t>
        </is>
      </c>
      <c r="B2186" s="1" t="n">
        <v>45371</v>
      </c>
      <c r="C2186" s="1" t="n">
        <v>46140</v>
      </c>
      <c r="D2186" t="inlineStr">
        <is>
          <t>VÄRMLANDS LÄN</t>
        </is>
      </c>
      <c r="E2186" t="inlineStr">
        <is>
          <t>TORSBY</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26876-2024</t>
        </is>
      </c>
      <c r="B2187" s="1" t="n">
        <v>45470.62181712963</v>
      </c>
      <c r="C2187" s="1" t="n">
        <v>46140</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56724-2023</t>
        </is>
      </c>
      <c r="B2188" s="1" t="n">
        <v>45244.3393287037</v>
      </c>
      <c r="C2188" s="1" t="n">
        <v>46140</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26607-2025</t>
        </is>
      </c>
      <c r="B2189" s="1" t="n">
        <v>45809.92239583333</v>
      </c>
      <c r="C2189" s="1" t="n">
        <v>46140</v>
      </c>
      <c r="D2189" t="inlineStr">
        <is>
          <t>VÄRMLANDS LÄN</t>
        </is>
      </c>
      <c r="E2189" t="inlineStr">
        <is>
          <t>TORSBY</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26822-2025</t>
        </is>
      </c>
      <c r="B2190" s="1" t="n">
        <v>45810</v>
      </c>
      <c r="C2190" s="1" t="n">
        <v>46140</v>
      </c>
      <c r="D2190" t="inlineStr">
        <is>
          <t>VÄRMLANDS LÄN</t>
        </is>
      </c>
      <c r="E2190" t="inlineStr">
        <is>
          <t>TORSBY</t>
        </is>
      </c>
      <c r="G2190" t="n">
        <v>13.7</v>
      </c>
      <c r="H2190" t="n">
        <v>0</v>
      </c>
      <c r="I2190" t="n">
        <v>0</v>
      </c>
      <c r="J2190" t="n">
        <v>0</v>
      </c>
      <c r="K2190" t="n">
        <v>0</v>
      </c>
      <c r="L2190" t="n">
        <v>0</v>
      </c>
      <c r="M2190" t="n">
        <v>0</v>
      </c>
      <c r="N2190" t="n">
        <v>0</v>
      </c>
      <c r="O2190" t="n">
        <v>0</v>
      </c>
      <c r="P2190" t="n">
        <v>0</v>
      </c>
      <c r="Q2190" t="n">
        <v>0</v>
      </c>
      <c r="R2190" s="2" t="inlineStr"/>
    </row>
    <row r="2191" ht="15" customHeight="1">
      <c r="A2191" t="inlineStr">
        <is>
          <t>A 26418-2025</t>
        </is>
      </c>
      <c r="B2191" s="1" t="n">
        <v>45807.36436342593</v>
      </c>
      <c r="C2191" s="1" t="n">
        <v>46140</v>
      </c>
      <c r="D2191" t="inlineStr">
        <is>
          <t>VÄRMLANDS LÄN</t>
        </is>
      </c>
      <c r="E2191" t="inlineStr">
        <is>
          <t>TORSBY</t>
        </is>
      </c>
      <c r="F2191" t="inlineStr">
        <is>
          <t>Bergvik skog väst AB</t>
        </is>
      </c>
      <c r="G2191" t="n">
        <v>13.4</v>
      </c>
      <c r="H2191" t="n">
        <v>0</v>
      </c>
      <c r="I2191" t="n">
        <v>0</v>
      </c>
      <c r="J2191" t="n">
        <v>0</v>
      </c>
      <c r="K2191" t="n">
        <v>0</v>
      </c>
      <c r="L2191" t="n">
        <v>0</v>
      </c>
      <c r="M2191" t="n">
        <v>0</v>
      </c>
      <c r="N2191" t="n">
        <v>0</v>
      </c>
      <c r="O2191" t="n">
        <v>0</v>
      </c>
      <c r="P2191" t="n">
        <v>0</v>
      </c>
      <c r="Q2191" t="n">
        <v>0</v>
      </c>
      <c r="R2191" s="2" t="inlineStr"/>
    </row>
    <row r="2192" ht="15" customHeight="1">
      <c r="A2192" t="inlineStr">
        <is>
          <t>A 26564-2025</t>
        </is>
      </c>
      <c r="B2192" s="1" t="n">
        <v>45807.66306712963</v>
      </c>
      <c r="C2192" s="1" t="n">
        <v>46140</v>
      </c>
      <c r="D2192" t="inlineStr">
        <is>
          <t>VÄRMLANDS LÄN</t>
        </is>
      </c>
      <c r="E2192" t="inlineStr">
        <is>
          <t>TORSBY</t>
        </is>
      </c>
      <c r="F2192" t="inlineStr">
        <is>
          <t>Bergvik skog väst AB</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26479-2025</t>
        </is>
      </c>
      <c r="B2193" s="1" t="n">
        <v>45807.47021990741</v>
      </c>
      <c r="C2193" s="1" t="n">
        <v>46140</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26491-2025</t>
        </is>
      </c>
      <c r="B2194" s="1" t="n">
        <v>45807.48939814815</v>
      </c>
      <c r="C2194" s="1" t="n">
        <v>46140</v>
      </c>
      <c r="D2194" t="inlineStr">
        <is>
          <t>VÄRMLANDS LÄN</t>
        </is>
      </c>
      <c r="E2194" t="inlineStr">
        <is>
          <t>TORSBY</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26507-2025</t>
        </is>
      </c>
      <c r="B2195" s="1" t="n">
        <v>45807.52539351852</v>
      </c>
      <c r="C2195" s="1" t="n">
        <v>46140</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26533-2025</t>
        </is>
      </c>
      <c r="B2196" s="1" t="n">
        <v>45807.57259259259</v>
      </c>
      <c r="C2196" s="1" t="n">
        <v>46140</v>
      </c>
      <c r="D2196" t="inlineStr">
        <is>
          <t>VÄRMLANDS LÄN</t>
        </is>
      </c>
      <c r="E2196" t="inlineStr">
        <is>
          <t>TORSBY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43144-2024</t>
        </is>
      </c>
      <c r="B2197" s="1" t="n">
        <v>45567</v>
      </c>
      <c r="C2197" s="1" t="n">
        <v>46140</v>
      </c>
      <c r="D2197" t="inlineStr">
        <is>
          <t>VÄRMLANDS LÄN</t>
        </is>
      </c>
      <c r="E2197" t="inlineStr">
        <is>
          <t>TORSBY</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24087-2024</t>
        </is>
      </c>
      <c r="B2198" s="1" t="n">
        <v>45456</v>
      </c>
      <c r="C2198" s="1" t="n">
        <v>46140</v>
      </c>
      <c r="D2198" t="inlineStr">
        <is>
          <t>VÄRMLANDS LÄN</t>
        </is>
      </c>
      <c r="E2198" t="inlineStr">
        <is>
          <t>TORSBY</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16380-2025</t>
        </is>
      </c>
      <c r="B2199" s="1" t="n">
        <v>45751</v>
      </c>
      <c r="C2199" s="1" t="n">
        <v>46140</v>
      </c>
      <c r="D2199" t="inlineStr">
        <is>
          <t>VÄRMLANDS LÄN</t>
        </is>
      </c>
      <c r="E2199" t="inlineStr">
        <is>
          <t>TORSBY</t>
        </is>
      </c>
      <c r="F2199" t="inlineStr">
        <is>
          <t>Bergvik skog väst AB</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25956-2025</t>
        </is>
      </c>
      <c r="B2200" s="1" t="n">
        <v>45804</v>
      </c>
      <c r="C2200" s="1" t="n">
        <v>46140</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754-2025</t>
        </is>
      </c>
      <c r="B2201" s="1" t="n">
        <v>45665</v>
      </c>
      <c r="C2201" s="1" t="n">
        <v>46140</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26504-2025</t>
        </is>
      </c>
      <c r="B2202" s="1" t="n">
        <v>45807.519375</v>
      </c>
      <c r="C2202" s="1" t="n">
        <v>46140</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26505-2025</t>
        </is>
      </c>
      <c r="B2203" s="1" t="n">
        <v>45807.52231481481</v>
      </c>
      <c r="C2203" s="1" t="n">
        <v>46140</v>
      </c>
      <c r="D2203" t="inlineStr">
        <is>
          <t>VÄRMLANDS LÄN</t>
        </is>
      </c>
      <c r="E2203" t="inlineStr">
        <is>
          <t>TORSBY</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26511-2025</t>
        </is>
      </c>
      <c r="B2204" s="1" t="n">
        <v>45807.54571759259</v>
      </c>
      <c r="C2204" s="1" t="n">
        <v>46140</v>
      </c>
      <c r="D2204" t="inlineStr">
        <is>
          <t>VÄRMLANDS LÄN</t>
        </is>
      </c>
      <c r="E2204" t="inlineStr">
        <is>
          <t>TORSBY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26563-2025</t>
        </is>
      </c>
      <c r="B2205" s="1" t="n">
        <v>45807.65767361111</v>
      </c>
      <c r="C2205" s="1" t="n">
        <v>46140</v>
      </c>
      <c r="D2205" t="inlineStr">
        <is>
          <t>VÄRMLANDS LÄN</t>
        </is>
      </c>
      <c r="E2205" t="inlineStr">
        <is>
          <t>TORSBY</t>
        </is>
      </c>
      <c r="F2205" t="inlineStr">
        <is>
          <t>Bergvik skog väst AB</t>
        </is>
      </c>
      <c r="G2205" t="n">
        <v>19.5</v>
      </c>
      <c r="H2205" t="n">
        <v>0</v>
      </c>
      <c r="I2205" t="n">
        <v>0</v>
      </c>
      <c r="J2205" t="n">
        <v>0</v>
      </c>
      <c r="K2205" t="n">
        <v>0</v>
      </c>
      <c r="L2205" t="n">
        <v>0</v>
      </c>
      <c r="M2205" t="n">
        <v>0</v>
      </c>
      <c r="N2205" t="n">
        <v>0</v>
      </c>
      <c r="O2205" t="n">
        <v>0</v>
      </c>
      <c r="P2205" t="n">
        <v>0</v>
      </c>
      <c r="Q2205" t="n">
        <v>0</v>
      </c>
      <c r="R2205" s="2" t="inlineStr"/>
    </row>
    <row r="2206" ht="15" customHeight="1">
      <c r="A2206" t="inlineStr">
        <is>
          <t>A 26539-2025</t>
        </is>
      </c>
      <c r="B2206" s="1" t="n">
        <v>45807.58127314815</v>
      </c>
      <c r="C2206" s="1" t="n">
        <v>46140</v>
      </c>
      <c r="D2206" t="inlineStr">
        <is>
          <t>VÄRMLANDS LÄN</t>
        </is>
      </c>
      <c r="E2206" t="inlineStr">
        <is>
          <t>TORSBY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26890-2025</t>
        </is>
      </c>
      <c r="B2207" s="1" t="n">
        <v>45811</v>
      </c>
      <c r="C2207" s="1" t="n">
        <v>46140</v>
      </c>
      <c r="D2207" t="inlineStr">
        <is>
          <t>VÄRMLANDS LÄN</t>
        </is>
      </c>
      <c r="E2207" t="inlineStr">
        <is>
          <t>TORSBY</t>
        </is>
      </c>
      <c r="F2207" t="inlineStr">
        <is>
          <t>Bergvik skog väst AB</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26892-2025</t>
        </is>
      </c>
      <c r="B2208" s="1" t="n">
        <v>45811.3334837963</v>
      </c>
      <c r="C2208" s="1" t="n">
        <v>46140</v>
      </c>
      <c r="D2208" t="inlineStr">
        <is>
          <t>VÄRMLANDS LÄN</t>
        </is>
      </c>
      <c r="E2208" t="inlineStr">
        <is>
          <t>TORSBY</t>
        </is>
      </c>
      <c r="F2208" t="inlineStr">
        <is>
          <t>Bergvik skog väst AB</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26898-2025</t>
        </is>
      </c>
      <c r="B2209" s="1" t="n">
        <v>45811</v>
      </c>
      <c r="C2209" s="1" t="n">
        <v>46140</v>
      </c>
      <c r="D2209" t="inlineStr">
        <is>
          <t>VÄRMLANDS LÄN</t>
        </is>
      </c>
      <c r="E2209" t="inlineStr">
        <is>
          <t>TORSBY</t>
        </is>
      </c>
      <c r="F2209" t="inlineStr">
        <is>
          <t>Övriga Aktiebolag</t>
        </is>
      </c>
      <c r="G2209" t="n">
        <v>37.8</v>
      </c>
      <c r="H2209" t="n">
        <v>0</v>
      </c>
      <c r="I2209" t="n">
        <v>0</v>
      </c>
      <c r="J2209" t="n">
        <v>0</v>
      </c>
      <c r="K2209" t="n">
        <v>0</v>
      </c>
      <c r="L2209" t="n">
        <v>0</v>
      </c>
      <c r="M2209" t="n">
        <v>0</v>
      </c>
      <c r="N2209" t="n">
        <v>0</v>
      </c>
      <c r="O2209" t="n">
        <v>0</v>
      </c>
      <c r="P2209" t="n">
        <v>0</v>
      </c>
      <c r="Q2209" t="n">
        <v>0</v>
      </c>
      <c r="R2209" s="2" t="inlineStr"/>
    </row>
    <row r="2210" ht="15" customHeight="1">
      <c r="A2210" t="inlineStr">
        <is>
          <t>A 26960-2025</t>
        </is>
      </c>
      <c r="B2210" s="1" t="n">
        <v>45811.46167824074</v>
      </c>
      <c r="C2210" s="1" t="n">
        <v>46140</v>
      </c>
      <c r="D2210" t="inlineStr">
        <is>
          <t>VÄRMLANDS LÄN</t>
        </is>
      </c>
      <c r="E2210" t="inlineStr">
        <is>
          <t>TORSBY</t>
        </is>
      </c>
      <c r="F2210" t="inlineStr">
        <is>
          <t>Kyrkan</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27093-2025</t>
        </is>
      </c>
      <c r="B2211" s="1" t="n">
        <v>45811.67347222222</v>
      </c>
      <c r="C2211" s="1" t="n">
        <v>46140</v>
      </c>
      <c r="D2211" t="inlineStr">
        <is>
          <t>VÄRMLANDS LÄN</t>
        </is>
      </c>
      <c r="E2211" t="inlineStr">
        <is>
          <t>TORSBY</t>
        </is>
      </c>
      <c r="F2211" t="inlineStr">
        <is>
          <t>Bergvik skog väst AB</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27174-2025</t>
        </is>
      </c>
      <c r="B2212" s="1" t="n">
        <v>45812.34997685185</v>
      </c>
      <c r="C2212" s="1" t="n">
        <v>46140</v>
      </c>
      <c r="D2212" t="inlineStr">
        <is>
          <t>VÄRMLANDS LÄN</t>
        </is>
      </c>
      <c r="E2212" t="inlineStr">
        <is>
          <t>TORSBY</t>
        </is>
      </c>
      <c r="F2212" t="inlineStr">
        <is>
          <t>Kyrkan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27043-2025</t>
        </is>
      </c>
      <c r="B2213" s="1" t="n">
        <v>45811.61342592593</v>
      </c>
      <c r="C2213" s="1" t="n">
        <v>46140</v>
      </c>
      <c r="D2213" t="inlineStr">
        <is>
          <t>VÄRMLANDS LÄN</t>
        </is>
      </c>
      <c r="E2213" t="inlineStr">
        <is>
          <t>TORSBY</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27291-2025</t>
        </is>
      </c>
      <c r="B2214" s="1" t="n">
        <v>45812.55769675926</v>
      </c>
      <c r="C2214" s="1" t="n">
        <v>46140</v>
      </c>
      <c r="D2214" t="inlineStr">
        <is>
          <t>VÄRMLANDS LÄN</t>
        </is>
      </c>
      <c r="E2214" t="inlineStr">
        <is>
          <t>TORSBY</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27056-2025</t>
        </is>
      </c>
      <c r="B2215" s="1" t="n">
        <v>45811.63118055555</v>
      </c>
      <c r="C2215" s="1" t="n">
        <v>46140</v>
      </c>
      <c r="D2215" t="inlineStr">
        <is>
          <t>VÄRMLANDS LÄN</t>
        </is>
      </c>
      <c r="E2215" t="inlineStr">
        <is>
          <t>TORSBY</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27094-2025</t>
        </is>
      </c>
      <c r="B2216" s="1" t="n">
        <v>45811.6766087963</v>
      </c>
      <c r="C2216" s="1" t="n">
        <v>46140</v>
      </c>
      <c r="D2216" t="inlineStr">
        <is>
          <t>VÄRMLANDS LÄN</t>
        </is>
      </c>
      <c r="E2216" t="inlineStr">
        <is>
          <t>TORSBY</t>
        </is>
      </c>
      <c r="F2216" t="inlineStr">
        <is>
          <t>Bergvik skog väst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27149-2025</t>
        </is>
      </c>
      <c r="B2217" s="1" t="n">
        <v>45812.31924768518</v>
      </c>
      <c r="C2217" s="1" t="n">
        <v>46140</v>
      </c>
      <c r="D2217" t="inlineStr">
        <is>
          <t>VÄRMLANDS LÄN</t>
        </is>
      </c>
      <c r="E2217" t="inlineStr">
        <is>
          <t>TORSBY</t>
        </is>
      </c>
      <c r="F2217" t="inlineStr">
        <is>
          <t>Bergvik skog väst AB</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26897-2025</t>
        </is>
      </c>
      <c r="B2218" s="1" t="n">
        <v>45811.34108796297</v>
      </c>
      <c r="C2218" s="1" t="n">
        <v>46140</v>
      </c>
      <c r="D2218" t="inlineStr">
        <is>
          <t>VÄRMLANDS LÄN</t>
        </is>
      </c>
      <c r="E2218" t="inlineStr">
        <is>
          <t>TORSBY</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27116-2025</t>
        </is>
      </c>
      <c r="B2219" s="1" t="n">
        <v>45811.74233796296</v>
      </c>
      <c r="C2219" s="1" t="n">
        <v>46140</v>
      </c>
      <c r="D2219" t="inlineStr">
        <is>
          <t>VÄRMLANDS LÄN</t>
        </is>
      </c>
      <c r="E2219" t="inlineStr">
        <is>
          <t>TORSBY</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27728-2025</t>
        </is>
      </c>
      <c r="B2220" s="1" t="n">
        <v>45814</v>
      </c>
      <c r="C2220" s="1" t="n">
        <v>46140</v>
      </c>
      <c r="D2220" t="inlineStr">
        <is>
          <t>VÄRMLANDS LÄN</t>
        </is>
      </c>
      <c r="E2220" t="inlineStr">
        <is>
          <t>TORSBY</t>
        </is>
      </c>
      <c r="F2220" t="inlineStr">
        <is>
          <t>Bergvik skog väst AB</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27450-2025</t>
        </is>
      </c>
      <c r="B2221" s="1" t="n">
        <v>45813.33738425926</v>
      </c>
      <c r="C2221" s="1" t="n">
        <v>46140</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27674-2025</t>
        </is>
      </c>
      <c r="B2222" s="1" t="n">
        <v>45813.62936342593</v>
      </c>
      <c r="C2222" s="1" t="n">
        <v>46140</v>
      </c>
      <c r="D2222" t="inlineStr">
        <is>
          <t>VÄRMLANDS LÄN</t>
        </is>
      </c>
      <c r="E2222" t="inlineStr">
        <is>
          <t>TORSBY</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27730-2025</t>
        </is>
      </c>
      <c r="B2223" s="1" t="n">
        <v>45814</v>
      </c>
      <c r="C2223" s="1" t="n">
        <v>46140</v>
      </c>
      <c r="D2223" t="inlineStr">
        <is>
          <t>VÄRMLANDS LÄN</t>
        </is>
      </c>
      <c r="E2223" t="inlineStr">
        <is>
          <t>TORSBY</t>
        </is>
      </c>
      <c r="F2223" t="inlineStr">
        <is>
          <t>Bergvik skog väst AB</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27467-2025</t>
        </is>
      </c>
      <c r="B2224" s="1" t="n">
        <v>45813.35497685185</v>
      </c>
      <c r="C2224" s="1" t="n">
        <v>46140</v>
      </c>
      <c r="D2224" t="inlineStr">
        <is>
          <t>VÄRMLANDS LÄN</t>
        </is>
      </c>
      <c r="E2224" t="inlineStr">
        <is>
          <t>TORSBY</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27667-2025</t>
        </is>
      </c>
      <c r="B2225" s="1" t="n">
        <v>45813.62092592593</v>
      </c>
      <c r="C2225" s="1" t="n">
        <v>46140</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27470-2025</t>
        </is>
      </c>
      <c r="B2226" s="1" t="n">
        <v>45813.36284722222</v>
      </c>
      <c r="C2226" s="1" t="n">
        <v>46140</v>
      </c>
      <c r="D2226" t="inlineStr">
        <is>
          <t>VÄRMLANDS LÄN</t>
        </is>
      </c>
      <c r="E2226" t="inlineStr">
        <is>
          <t>TORSBY</t>
        </is>
      </c>
      <c r="G2226" t="n">
        <v>17.9</v>
      </c>
      <c r="H2226" t="n">
        <v>0</v>
      </c>
      <c r="I2226" t="n">
        <v>0</v>
      </c>
      <c r="J2226" t="n">
        <v>0</v>
      </c>
      <c r="K2226" t="n">
        <v>0</v>
      </c>
      <c r="L2226" t="n">
        <v>0</v>
      </c>
      <c r="M2226" t="n">
        <v>0</v>
      </c>
      <c r="N2226" t="n">
        <v>0</v>
      </c>
      <c r="O2226" t="n">
        <v>0</v>
      </c>
      <c r="P2226" t="n">
        <v>0</v>
      </c>
      <c r="Q2226" t="n">
        <v>0</v>
      </c>
      <c r="R2226" s="2" t="inlineStr"/>
    </row>
    <row r="2227" ht="15" customHeight="1">
      <c r="A2227" t="inlineStr">
        <is>
          <t>A 27968-2025</t>
        </is>
      </c>
      <c r="B2227" s="1" t="n">
        <v>45817.55846064815</v>
      </c>
      <c r="C2227" s="1" t="n">
        <v>46140</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27856-2025</t>
        </is>
      </c>
      <c r="B2228" s="1" t="n">
        <v>45817.41006944444</v>
      </c>
      <c r="C2228" s="1" t="n">
        <v>46140</v>
      </c>
      <c r="D2228" t="inlineStr">
        <is>
          <t>VÄRMLANDS LÄN</t>
        </is>
      </c>
      <c r="E2228" t="inlineStr">
        <is>
          <t>TORSBY</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28116-2025</t>
        </is>
      </c>
      <c r="B2229" s="1" t="n">
        <v>45818.28697916667</v>
      </c>
      <c r="C2229" s="1" t="n">
        <v>46140</v>
      </c>
      <c r="D2229" t="inlineStr">
        <is>
          <t>VÄRMLANDS LÄN</t>
        </is>
      </c>
      <c r="E2229" t="inlineStr">
        <is>
          <t>TORSBY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28117-2025</t>
        </is>
      </c>
      <c r="B2230" s="1" t="n">
        <v>45818</v>
      </c>
      <c r="C2230" s="1" t="n">
        <v>46140</v>
      </c>
      <c r="D2230" t="inlineStr">
        <is>
          <t>VÄRMLANDS LÄN</t>
        </is>
      </c>
      <c r="E2230" t="inlineStr">
        <is>
          <t>TORSBY</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28118-2025</t>
        </is>
      </c>
      <c r="B2231" s="1" t="n">
        <v>45818</v>
      </c>
      <c r="C2231" s="1" t="n">
        <v>46140</v>
      </c>
      <c r="D2231" t="inlineStr">
        <is>
          <t>VÄRMLANDS LÄN</t>
        </is>
      </c>
      <c r="E2231" t="inlineStr">
        <is>
          <t>TORSBY</t>
        </is>
      </c>
      <c r="F2231" t="inlineStr">
        <is>
          <t>Bergvik skog väst AB</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20255-2025</t>
        </is>
      </c>
      <c r="B2232" s="1" t="n">
        <v>45772.9009375</v>
      </c>
      <c r="C2232" s="1" t="n">
        <v>46140</v>
      </c>
      <c r="D2232" t="inlineStr">
        <is>
          <t>VÄRMLANDS LÄN</t>
        </is>
      </c>
      <c r="E2232" t="inlineStr">
        <is>
          <t>TORSBY</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28214-2025</t>
        </is>
      </c>
      <c r="B2233" s="1" t="n">
        <v>45818</v>
      </c>
      <c r="C2233" s="1" t="n">
        <v>46140</v>
      </c>
      <c r="D2233" t="inlineStr">
        <is>
          <t>VÄRMLANDS LÄN</t>
        </is>
      </c>
      <c r="E2233" t="inlineStr">
        <is>
          <t>TORSBY</t>
        </is>
      </c>
      <c r="F2233" t="inlineStr">
        <is>
          <t>Bergvik skog väst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27906-2025</t>
        </is>
      </c>
      <c r="B2234" s="1" t="n">
        <v>45817.47108796296</v>
      </c>
      <c r="C2234" s="1" t="n">
        <v>46140</v>
      </c>
      <c r="D2234" t="inlineStr">
        <is>
          <t>VÄRMLANDS LÄN</t>
        </is>
      </c>
      <c r="E2234" t="inlineStr">
        <is>
          <t>TORSBY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27759-2025</t>
        </is>
      </c>
      <c r="B2235" s="1" t="n">
        <v>45816.48986111111</v>
      </c>
      <c r="C2235" s="1" t="n">
        <v>46140</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27962-2025</t>
        </is>
      </c>
      <c r="B2236" s="1" t="n">
        <v>45817.54878472222</v>
      </c>
      <c r="C2236" s="1" t="n">
        <v>46140</v>
      </c>
      <c r="D2236" t="inlineStr">
        <is>
          <t>VÄRMLANDS LÄN</t>
        </is>
      </c>
      <c r="E2236" t="inlineStr">
        <is>
          <t>TORSBY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27758-2025</t>
        </is>
      </c>
      <c r="B2237" s="1" t="n">
        <v>45816</v>
      </c>
      <c r="C2237" s="1" t="n">
        <v>46140</v>
      </c>
      <c r="D2237" t="inlineStr">
        <is>
          <t>VÄRMLANDS LÄN</t>
        </is>
      </c>
      <c r="E2237" t="inlineStr">
        <is>
          <t>TORSBY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27863-2025</t>
        </is>
      </c>
      <c r="B2238" s="1" t="n">
        <v>45817.42118055555</v>
      </c>
      <c r="C2238" s="1" t="n">
        <v>46140</v>
      </c>
      <c r="D2238" t="inlineStr">
        <is>
          <t>VÄRMLANDS LÄN</t>
        </is>
      </c>
      <c r="E2238" t="inlineStr">
        <is>
          <t>TORSBY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24493-2024</t>
        </is>
      </c>
      <c r="B2239" s="1" t="n">
        <v>45459.72136574074</v>
      </c>
      <c r="C2239" s="1" t="n">
        <v>46140</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28612-2025</t>
        </is>
      </c>
      <c r="B2240" s="1" t="n">
        <v>45819</v>
      </c>
      <c r="C2240" s="1" t="n">
        <v>46140</v>
      </c>
      <c r="D2240" t="inlineStr">
        <is>
          <t>VÄRMLANDS LÄN</t>
        </is>
      </c>
      <c r="E2240" t="inlineStr">
        <is>
          <t>TORSBY</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28774-2025</t>
        </is>
      </c>
      <c r="B2241" s="1" t="n">
        <v>45820.4434375</v>
      </c>
      <c r="C2241" s="1" t="n">
        <v>46140</v>
      </c>
      <c r="D2241" t="inlineStr">
        <is>
          <t>VÄRMLANDS LÄN</t>
        </is>
      </c>
      <c r="E2241" t="inlineStr">
        <is>
          <t>TORSBY</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28939-2025</t>
        </is>
      </c>
      <c r="B2242" s="1" t="n">
        <v>45820.71350694444</v>
      </c>
      <c r="C2242" s="1" t="n">
        <v>46140</v>
      </c>
      <c r="D2242" t="inlineStr">
        <is>
          <t>VÄRMLANDS LÄN</t>
        </is>
      </c>
      <c r="E2242" t="inlineStr">
        <is>
          <t>TORSBY</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28761-2025</t>
        </is>
      </c>
      <c r="B2243" s="1" t="n">
        <v>45820.41648148148</v>
      </c>
      <c r="C2243" s="1" t="n">
        <v>46140</v>
      </c>
      <c r="D2243" t="inlineStr">
        <is>
          <t>VÄRMLANDS LÄN</t>
        </is>
      </c>
      <c r="E2243" t="inlineStr">
        <is>
          <t>TORSBY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28765-2025</t>
        </is>
      </c>
      <c r="B2244" s="1" t="n">
        <v>45820.41982638889</v>
      </c>
      <c r="C2244" s="1" t="n">
        <v>46140</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28898-2025</t>
        </is>
      </c>
      <c r="B2245" s="1" t="n">
        <v>45820.63644675926</v>
      </c>
      <c r="C2245" s="1" t="n">
        <v>46140</v>
      </c>
      <c r="D2245" t="inlineStr">
        <is>
          <t>VÄRMLANDS LÄN</t>
        </is>
      </c>
      <c r="E2245" t="inlineStr">
        <is>
          <t>TORSBY</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28784-2025</t>
        </is>
      </c>
      <c r="B2246" s="1" t="n">
        <v>45820</v>
      </c>
      <c r="C2246" s="1" t="n">
        <v>46140</v>
      </c>
      <c r="D2246" t="inlineStr">
        <is>
          <t>VÄRMLANDS LÄN</t>
        </is>
      </c>
      <c r="E2246" t="inlineStr">
        <is>
          <t>TORSBY</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28511-2025</t>
        </is>
      </c>
      <c r="B2247" s="1" t="n">
        <v>45819</v>
      </c>
      <c r="C2247" s="1" t="n">
        <v>46140</v>
      </c>
      <c r="D2247" t="inlineStr">
        <is>
          <t>VÄRMLANDS LÄN</t>
        </is>
      </c>
      <c r="E2247" t="inlineStr">
        <is>
          <t>TORSBY</t>
        </is>
      </c>
      <c r="F2247" t="inlineStr">
        <is>
          <t>Bergvik skog väst AB</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28791-2025</t>
        </is>
      </c>
      <c r="B2248" s="1" t="n">
        <v>45820</v>
      </c>
      <c r="C2248" s="1" t="n">
        <v>46140</v>
      </c>
      <c r="D2248" t="inlineStr">
        <is>
          <t>VÄRMLANDS LÄN</t>
        </is>
      </c>
      <c r="E2248" t="inlineStr">
        <is>
          <t>TORSBY</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28757-2025</t>
        </is>
      </c>
      <c r="B2249" s="1" t="n">
        <v>45820</v>
      </c>
      <c r="C2249" s="1" t="n">
        <v>46140</v>
      </c>
      <c r="D2249" t="inlineStr">
        <is>
          <t>VÄRMLANDS LÄN</t>
        </is>
      </c>
      <c r="E2249" t="inlineStr">
        <is>
          <t>TORSBY</t>
        </is>
      </c>
      <c r="G2249" t="n">
        <v>12.1</v>
      </c>
      <c r="H2249" t="n">
        <v>0</v>
      </c>
      <c r="I2249" t="n">
        <v>0</v>
      </c>
      <c r="J2249" t="n">
        <v>0</v>
      </c>
      <c r="K2249" t="n">
        <v>0</v>
      </c>
      <c r="L2249" t="n">
        <v>0</v>
      </c>
      <c r="M2249" t="n">
        <v>0</v>
      </c>
      <c r="N2249" t="n">
        <v>0</v>
      </c>
      <c r="O2249" t="n">
        <v>0</v>
      </c>
      <c r="P2249" t="n">
        <v>0</v>
      </c>
      <c r="Q2249" t="n">
        <v>0</v>
      </c>
      <c r="R2249" s="2" t="inlineStr"/>
    </row>
    <row r="2250" ht="15" customHeight="1">
      <c r="A2250" t="inlineStr">
        <is>
          <t>A 29312-2025</t>
        </is>
      </c>
      <c r="B2250" s="1" t="n">
        <v>45824</v>
      </c>
      <c r="C2250" s="1" t="n">
        <v>46140</v>
      </c>
      <c r="D2250" t="inlineStr">
        <is>
          <t>VÄRMLANDS LÄN</t>
        </is>
      </c>
      <c r="E2250" t="inlineStr">
        <is>
          <t>TORSBY</t>
        </is>
      </c>
      <c r="F2250" t="inlineStr">
        <is>
          <t>Övriga Aktiebolag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29071-2025</t>
        </is>
      </c>
      <c r="B2251" s="1" t="n">
        <v>45821</v>
      </c>
      <c r="C2251" s="1" t="n">
        <v>46140</v>
      </c>
      <c r="D2251" t="inlineStr">
        <is>
          <t>VÄRMLANDS LÄN</t>
        </is>
      </c>
      <c r="E2251" t="inlineStr">
        <is>
          <t>TORSBY</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29403-2025</t>
        </is>
      </c>
      <c r="B2252" s="1" t="n">
        <v>45824.61469907407</v>
      </c>
      <c r="C2252" s="1" t="n">
        <v>46140</v>
      </c>
      <c r="D2252" t="inlineStr">
        <is>
          <t>VÄRMLANDS LÄN</t>
        </is>
      </c>
      <c r="E2252" t="inlineStr">
        <is>
          <t>TORSBY</t>
        </is>
      </c>
      <c r="F2252" t="inlineStr">
        <is>
          <t>Bergvik skog väst AB</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29251-2025</t>
        </is>
      </c>
      <c r="B2253" s="1" t="n">
        <v>45824</v>
      </c>
      <c r="C2253" s="1" t="n">
        <v>46140</v>
      </c>
      <c r="D2253" t="inlineStr">
        <is>
          <t>VÄRMLANDS LÄN</t>
        </is>
      </c>
      <c r="E2253" t="inlineStr">
        <is>
          <t>TORSBY</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29063-2025</t>
        </is>
      </c>
      <c r="B2254" s="1" t="n">
        <v>45821</v>
      </c>
      <c r="C2254" s="1" t="n">
        <v>46140</v>
      </c>
      <c r="D2254" t="inlineStr">
        <is>
          <t>VÄRMLANDS LÄN</t>
        </is>
      </c>
      <c r="E2254" t="inlineStr">
        <is>
          <t>TORSBY</t>
        </is>
      </c>
      <c r="G2254" t="n">
        <v>10.2</v>
      </c>
      <c r="H2254" t="n">
        <v>0</v>
      </c>
      <c r="I2254" t="n">
        <v>0</v>
      </c>
      <c r="J2254" t="n">
        <v>0</v>
      </c>
      <c r="K2254" t="n">
        <v>0</v>
      </c>
      <c r="L2254" t="n">
        <v>0</v>
      </c>
      <c r="M2254" t="n">
        <v>0</v>
      </c>
      <c r="N2254" t="n">
        <v>0</v>
      </c>
      <c r="O2254" t="n">
        <v>0</v>
      </c>
      <c r="P2254" t="n">
        <v>0</v>
      </c>
      <c r="Q2254" t="n">
        <v>0</v>
      </c>
      <c r="R2254" s="2" t="inlineStr"/>
    </row>
    <row r="2255" ht="15" customHeight="1">
      <c r="A2255" t="inlineStr">
        <is>
          <t>A 29307-2025</t>
        </is>
      </c>
      <c r="B2255" s="1" t="n">
        <v>45824</v>
      </c>
      <c r="C2255" s="1" t="n">
        <v>46140</v>
      </c>
      <c r="D2255" t="inlineStr">
        <is>
          <t>VÄRMLANDS LÄN</t>
        </is>
      </c>
      <c r="E2255" t="inlineStr">
        <is>
          <t>TORSBY</t>
        </is>
      </c>
      <c r="F2255" t="inlineStr">
        <is>
          <t>Övriga Aktiebolag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29587-2025</t>
        </is>
      </c>
      <c r="B2256" s="1" t="n">
        <v>45825.39394675926</v>
      </c>
      <c r="C2256" s="1" t="n">
        <v>46140</v>
      </c>
      <c r="D2256" t="inlineStr">
        <is>
          <t>VÄRMLANDS LÄN</t>
        </is>
      </c>
      <c r="E2256" t="inlineStr">
        <is>
          <t>TORSBY</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29641-2025</t>
        </is>
      </c>
      <c r="B2257" s="1" t="n">
        <v>45825.46285879629</v>
      </c>
      <c r="C2257" s="1" t="n">
        <v>46140</v>
      </c>
      <c r="D2257" t="inlineStr">
        <is>
          <t>VÄRMLANDS LÄN</t>
        </is>
      </c>
      <c r="E2257" t="inlineStr">
        <is>
          <t>TORSBY</t>
        </is>
      </c>
      <c r="G2257" t="n">
        <v>23.4</v>
      </c>
      <c r="H2257" t="n">
        <v>0</v>
      </c>
      <c r="I2257" t="n">
        <v>0</v>
      </c>
      <c r="J2257" t="n">
        <v>0</v>
      </c>
      <c r="K2257" t="n">
        <v>0</v>
      </c>
      <c r="L2257" t="n">
        <v>0</v>
      </c>
      <c r="M2257" t="n">
        <v>0</v>
      </c>
      <c r="N2257" t="n">
        <v>0</v>
      </c>
      <c r="O2257" t="n">
        <v>0</v>
      </c>
      <c r="P2257" t="n">
        <v>0</v>
      </c>
      <c r="Q2257" t="n">
        <v>0</v>
      </c>
      <c r="R2257" s="2" t="inlineStr"/>
    </row>
    <row r="2258" ht="15" customHeight="1">
      <c r="A2258" t="inlineStr">
        <is>
          <t>A 30078-2025</t>
        </is>
      </c>
      <c r="B2258" s="1" t="n">
        <v>45826.64291666666</v>
      </c>
      <c r="C2258" s="1" t="n">
        <v>46140</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30026-2025</t>
        </is>
      </c>
      <c r="B2259" s="1" t="n">
        <v>45826.5637037037</v>
      </c>
      <c r="C2259" s="1" t="n">
        <v>46140</v>
      </c>
      <c r="D2259" t="inlineStr">
        <is>
          <t>VÄRMLANDS LÄN</t>
        </is>
      </c>
      <c r="E2259" t="inlineStr">
        <is>
          <t>TORSBY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29512-2025</t>
        </is>
      </c>
      <c r="B2260" s="1" t="n">
        <v>45825.31002314815</v>
      </c>
      <c r="C2260" s="1" t="n">
        <v>46140</v>
      </c>
      <c r="D2260" t="inlineStr">
        <is>
          <t>VÄRMLANDS LÄN</t>
        </is>
      </c>
      <c r="E2260" t="inlineStr">
        <is>
          <t>TORSBY</t>
        </is>
      </c>
      <c r="F2260" t="inlineStr">
        <is>
          <t>Bergvik skog väst AB</t>
        </is>
      </c>
      <c r="G2260" t="n">
        <v>17.9</v>
      </c>
      <c r="H2260" t="n">
        <v>0</v>
      </c>
      <c r="I2260" t="n">
        <v>0</v>
      </c>
      <c r="J2260" t="n">
        <v>0</v>
      </c>
      <c r="K2260" t="n">
        <v>0</v>
      </c>
      <c r="L2260" t="n">
        <v>0</v>
      </c>
      <c r="M2260" t="n">
        <v>0</v>
      </c>
      <c r="N2260" t="n">
        <v>0</v>
      </c>
      <c r="O2260" t="n">
        <v>0</v>
      </c>
      <c r="P2260" t="n">
        <v>0</v>
      </c>
      <c r="Q2260" t="n">
        <v>0</v>
      </c>
      <c r="R2260" s="2" t="inlineStr"/>
    </row>
    <row r="2261" ht="15" customHeight="1">
      <c r="A2261" t="inlineStr">
        <is>
          <t>A 29650-2025</t>
        </is>
      </c>
      <c r="B2261" s="1" t="n">
        <v>45825.47546296296</v>
      </c>
      <c r="C2261" s="1" t="n">
        <v>46140</v>
      </c>
      <c r="D2261" t="inlineStr">
        <is>
          <t>VÄRMLANDS LÄN</t>
        </is>
      </c>
      <c r="E2261" t="inlineStr">
        <is>
          <t>TORSBY</t>
        </is>
      </c>
      <c r="G2261" t="n">
        <v>16.8</v>
      </c>
      <c r="H2261" t="n">
        <v>0</v>
      </c>
      <c r="I2261" t="n">
        <v>0</v>
      </c>
      <c r="J2261" t="n">
        <v>0</v>
      </c>
      <c r="K2261" t="n">
        <v>0</v>
      </c>
      <c r="L2261" t="n">
        <v>0</v>
      </c>
      <c r="M2261" t="n">
        <v>0</v>
      </c>
      <c r="N2261" t="n">
        <v>0</v>
      </c>
      <c r="O2261" t="n">
        <v>0</v>
      </c>
      <c r="P2261" t="n">
        <v>0</v>
      </c>
      <c r="Q2261" t="n">
        <v>0</v>
      </c>
      <c r="R2261" s="2" t="inlineStr"/>
    </row>
    <row r="2262" ht="15" customHeight="1">
      <c r="A2262" t="inlineStr">
        <is>
          <t>A 30074-2025</t>
        </is>
      </c>
      <c r="B2262" s="1" t="n">
        <v>45826.63672453703</v>
      </c>
      <c r="C2262" s="1" t="n">
        <v>46140</v>
      </c>
      <c r="D2262" t="inlineStr">
        <is>
          <t>VÄRMLANDS LÄN</t>
        </is>
      </c>
      <c r="E2262" t="inlineStr">
        <is>
          <t>TORSBY</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30214-2025</t>
        </is>
      </c>
      <c r="B2263" s="1" t="n">
        <v>45827</v>
      </c>
      <c r="C2263" s="1" t="n">
        <v>46140</v>
      </c>
      <c r="D2263" t="inlineStr">
        <is>
          <t>VÄRMLANDS LÄN</t>
        </is>
      </c>
      <c r="E2263" t="inlineStr">
        <is>
          <t>TORSBY</t>
        </is>
      </c>
      <c r="F2263" t="inlineStr">
        <is>
          <t>Bergvik skog väst AB</t>
        </is>
      </c>
      <c r="G2263" t="n">
        <v>13.9</v>
      </c>
      <c r="H2263" t="n">
        <v>0</v>
      </c>
      <c r="I2263" t="n">
        <v>0</v>
      </c>
      <c r="J2263" t="n">
        <v>0</v>
      </c>
      <c r="K2263" t="n">
        <v>0</v>
      </c>
      <c r="L2263" t="n">
        <v>0</v>
      </c>
      <c r="M2263" t="n">
        <v>0</v>
      </c>
      <c r="N2263" t="n">
        <v>0</v>
      </c>
      <c r="O2263" t="n">
        <v>0</v>
      </c>
      <c r="P2263" t="n">
        <v>0</v>
      </c>
      <c r="Q2263" t="n">
        <v>0</v>
      </c>
      <c r="R2263" s="2" t="inlineStr"/>
    </row>
    <row r="2264" ht="15" customHeight="1">
      <c r="A2264" t="inlineStr">
        <is>
          <t>A 30433-2025</t>
        </is>
      </c>
      <c r="B2264" s="1" t="n">
        <v>45827</v>
      </c>
      <c r="C2264" s="1" t="n">
        <v>46140</v>
      </c>
      <c r="D2264" t="inlineStr">
        <is>
          <t>VÄRMLANDS LÄN</t>
        </is>
      </c>
      <c r="E2264" t="inlineStr">
        <is>
          <t>TORSBY</t>
        </is>
      </c>
      <c r="G2264" t="n">
        <v>13.4</v>
      </c>
      <c r="H2264" t="n">
        <v>0</v>
      </c>
      <c r="I2264" t="n">
        <v>0</v>
      </c>
      <c r="J2264" t="n">
        <v>0</v>
      </c>
      <c r="K2264" t="n">
        <v>0</v>
      </c>
      <c r="L2264" t="n">
        <v>0</v>
      </c>
      <c r="M2264" t="n">
        <v>0</v>
      </c>
      <c r="N2264" t="n">
        <v>0</v>
      </c>
      <c r="O2264" t="n">
        <v>0</v>
      </c>
      <c r="P2264" t="n">
        <v>0</v>
      </c>
      <c r="Q2264" t="n">
        <v>0</v>
      </c>
      <c r="R2264" s="2" t="inlineStr"/>
    </row>
    <row r="2265" ht="15" customHeight="1">
      <c r="A2265" t="inlineStr">
        <is>
          <t>A 30199-2025</t>
        </is>
      </c>
      <c r="B2265" s="1" t="n">
        <v>45827</v>
      </c>
      <c r="C2265" s="1" t="n">
        <v>46140</v>
      </c>
      <c r="D2265" t="inlineStr">
        <is>
          <t>VÄRMLANDS LÄN</t>
        </is>
      </c>
      <c r="E2265" t="inlineStr">
        <is>
          <t>TORSBY</t>
        </is>
      </c>
      <c r="F2265" t="inlineStr">
        <is>
          <t>Bergvik skog väst AB</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30380-2025</t>
        </is>
      </c>
      <c r="B2266" s="1" t="n">
        <v>45827</v>
      </c>
      <c r="C2266" s="1" t="n">
        <v>46140</v>
      </c>
      <c r="D2266" t="inlineStr">
        <is>
          <t>VÄRMLANDS LÄN</t>
        </is>
      </c>
      <c r="E2266" t="inlineStr">
        <is>
          <t>TORSBY</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30151-2025</t>
        </is>
      </c>
      <c r="B2267" s="1" t="n">
        <v>45827</v>
      </c>
      <c r="C2267" s="1" t="n">
        <v>46140</v>
      </c>
      <c r="D2267" t="inlineStr">
        <is>
          <t>VÄRMLANDS LÄN</t>
        </is>
      </c>
      <c r="E2267" t="inlineStr">
        <is>
          <t>TORSBY</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30153-2025</t>
        </is>
      </c>
      <c r="B2268" s="1" t="n">
        <v>45827.31736111111</v>
      </c>
      <c r="C2268" s="1" t="n">
        <v>46140</v>
      </c>
      <c r="D2268" t="inlineStr">
        <is>
          <t>VÄRMLANDS LÄN</t>
        </is>
      </c>
      <c r="E2268" t="inlineStr">
        <is>
          <t>TORSBY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30333-2025</t>
        </is>
      </c>
      <c r="B2269" s="1" t="n">
        <v>45827</v>
      </c>
      <c r="C2269" s="1" t="n">
        <v>46140</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30377-2025</t>
        </is>
      </c>
      <c r="B2270" s="1" t="n">
        <v>45827</v>
      </c>
      <c r="C2270" s="1" t="n">
        <v>46140</v>
      </c>
      <c r="D2270" t="inlineStr">
        <is>
          <t>VÄRMLANDS LÄN</t>
        </is>
      </c>
      <c r="E2270" t="inlineStr">
        <is>
          <t>TORSBY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30388-2025</t>
        </is>
      </c>
      <c r="B2271" s="1" t="n">
        <v>45827.5734837963</v>
      </c>
      <c r="C2271" s="1" t="n">
        <v>46140</v>
      </c>
      <c r="D2271" t="inlineStr">
        <is>
          <t>VÄRMLANDS LÄN</t>
        </is>
      </c>
      <c r="E2271" t="inlineStr">
        <is>
          <t>TORSBY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30974-2025</t>
        </is>
      </c>
      <c r="B2272" s="1" t="n">
        <v>45832.46305555556</v>
      </c>
      <c r="C2272" s="1" t="n">
        <v>46140</v>
      </c>
      <c r="D2272" t="inlineStr">
        <is>
          <t>VÄRMLANDS LÄN</t>
        </is>
      </c>
      <c r="E2272" t="inlineStr">
        <is>
          <t>TORSBY</t>
        </is>
      </c>
      <c r="G2272" t="n">
        <v>29.2</v>
      </c>
      <c r="H2272" t="n">
        <v>0</v>
      </c>
      <c r="I2272" t="n">
        <v>0</v>
      </c>
      <c r="J2272" t="n">
        <v>0</v>
      </c>
      <c r="K2272" t="n">
        <v>0</v>
      </c>
      <c r="L2272" t="n">
        <v>0</v>
      </c>
      <c r="M2272" t="n">
        <v>0</v>
      </c>
      <c r="N2272" t="n">
        <v>0</v>
      </c>
      <c r="O2272" t="n">
        <v>0</v>
      </c>
      <c r="P2272" t="n">
        <v>0</v>
      </c>
      <c r="Q2272" t="n">
        <v>0</v>
      </c>
      <c r="R2272" s="2" t="inlineStr"/>
    </row>
    <row r="2273" ht="15" customHeight="1">
      <c r="A2273" t="inlineStr">
        <is>
          <t>A 30738-2025</t>
        </is>
      </c>
      <c r="B2273" s="1" t="n">
        <v>45831.57583333334</v>
      </c>
      <c r="C2273" s="1" t="n">
        <v>46140</v>
      </c>
      <c r="D2273" t="inlineStr">
        <is>
          <t>VÄRMLANDS LÄN</t>
        </is>
      </c>
      <c r="E2273" t="inlineStr">
        <is>
          <t>TORSBY</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31101-2025</t>
        </is>
      </c>
      <c r="B2274" s="1" t="n">
        <v>45832</v>
      </c>
      <c r="C2274" s="1" t="n">
        <v>46140</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30560-2025</t>
        </is>
      </c>
      <c r="B2275" s="1" t="n">
        <v>45831.39497685185</v>
      </c>
      <c r="C2275" s="1" t="n">
        <v>46140</v>
      </c>
      <c r="D2275" t="inlineStr">
        <is>
          <t>VÄRMLANDS LÄN</t>
        </is>
      </c>
      <c r="E2275" t="inlineStr">
        <is>
          <t>TORSBY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30607-2025</t>
        </is>
      </c>
      <c r="B2276" s="1" t="n">
        <v>45831.4584375</v>
      </c>
      <c r="C2276" s="1" t="n">
        <v>46140</v>
      </c>
      <c r="D2276" t="inlineStr">
        <is>
          <t>VÄRMLANDS LÄN</t>
        </is>
      </c>
      <c r="E2276" t="inlineStr">
        <is>
          <t>TORSBY</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30717-2025</t>
        </is>
      </c>
      <c r="B2277" s="1" t="n">
        <v>45831.56103009259</v>
      </c>
      <c r="C2277" s="1" t="n">
        <v>46140</v>
      </c>
      <c r="D2277" t="inlineStr">
        <is>
          <t>VÄRMLANDS LÄN</t>
        </is>
      </c>
      <c r="E2277" t="inlineStr">
        <is>
          <t>TORSBY</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31547-2025</t>
        </is>
      </c>
      <c r="B2278" s="1" t="n">
        <v>45833.63733796297</v>
      </c>
      <c r="C2278" s="1" t="n">
        <v>46140</v>
      </c>
      <c r="D2278" t="inlineStr">
        <is>
          <t>VÄRMLANDS LÄN</t>
        </is>
      </c>
      <c r="E2278" t="inlineStr">
        <is>
          <t>TORSBY</t>
        </is>
      </c>
      <c r="F2278" t="inlineStr">
        <is>
          <t>Bergvik skog väst AB</t>
        </is>
      </c>
      <c r="G2278" t="n">
        <v>7.9</v>
      </c>
      <c r="H2278" t="n">
        <v>0</v>
      </c>
      <c r="I2278" t="n">
        <v>0</v>
      </c>
      <c r="J2278" t="n">
        <v>0</v>
      </c>
      <c r="K2278" t="n">
        <v>0</v>
      </c>
      <c r="L2278" t="n">
        <v>0</v>
      </c>
      <c r="M2278" t="n">
        <v>0</v>
      </c>
      <c r="N2278" t="n">
        <v>0</v>
      </c>
      <c r="O2278" t="n">
        <v>0</v>
      </c>
      <c r="P2278" t="n">
        <v>0</v>
      </c>
      <c r="Q2278" t="n">
        <v>0</v>
      </c>
      <c r="R2278" s="2" t="inlineStr"/>
    </row>
    <row r="2279" ht="15" customHeight="1">
      <c r="A2279" t="inlineStr">
        <is>
          <t>A 31850-2025</t>
        </is>
      </c>
      <c r="B2279" s="1" t="n">
        <v>45834</v>
      </c>
      <c r="C2279" s="1" t="n">
        <v>46140</v>
      </c>
      <c r="D2279" t="inlineStr">
        <is>
          <t>VÄRMLANDS LÄN</t>
        </is>
      </c>
      <c r="E2279" t="inlineStr">
        <is>
          <t>TORSBY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31630-2025</t>
        </is>
      </c>
      <c r="B2280" s="1" t="n">
        <v>45834.32670138889</v>
      </c>
      <c r="C2280" s="1" t="n">
        <v>46140</v>
      </c>
      <c r="D2280" t="inlineStr">
        <is>
          <t>VÄRMLANDS LÄN</t>
        </is>
      </c>
      <c r="E2280" t="inlineStr">
        <is>
          <t>TORSBY</t>
        </is>
      </c>
      <c r="F2280" t="inlineStr">
        <is>
          <t>Bergvik skog väst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31902-2025</t>
        </is>
      </c>
      <c r="B2281" s="1" t="n">
        <v>45834.68592592593</v>
      </c>
      <c r="C2281" s="1" t="n">
        <v>46140</v>
      </c>
      <c r="D2281" t="inlineStr">
        <is>
          <t>VÄRMLANDS LÄN</t>
        </is>
      </c>
      <c r="E2281" t="inlineStr">
        <is>
          <t>TORSBY</t>
        </is>
      </c>
      <c r="G2281" t="n">
        <v>27.1</v>
      </c>
      <c r="H2281" t="n">
        <v>0</v>
      </c>
      <c r="I2281" t="n">
        <v>0</v>
      </c>
      <c r="J2281" t="n">
        <v>0</v>
      </c>
      <c r="K2281" t="n">
        <v>0</v>
      </c>
      <c r="L2281" t="n">
        <v>0</v>
      </c>
      <c r="M2281" t="n">
        <v>0</v>
      </c>
      <c r="N2281" t="n">
        <v>0</v>
      </c>
      <c r="O2281" t="n">
        <v>0</v>
      </c>
      <c r="P2281" t="n">
        <v>0</v>
      </c>
      <c r="Q2281" t="n">
        <v>0</v>
      </c>
      <c r="R2281" s="2" t="inlineStr"/>
    </row>
    <row r="2282" ht="15" customHeight="1">
      <c r="A2282" t="inlineStr">
        <is>
          <t>A 31906-2025</t>
        </is>
      </c>
      <c r="B2282" s="1" t="n">
        <v>45834.69046296296</v>
      </c>
      <c r="C2282" s="1" t="n">
        <v>46140</v>
      </c>
      <c r="D2282" t="inlineStr">
        <is>
          <t>VÄRMLANDS LÄN</t>
        </is>
      </c>
      <c r="E2282" t="inlineStr">
        <is>
          <t>TORSBY</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31335-2025</t>
        </is>
      </c>
      <c r="B2283" s="1" t="n">
        <v>45833.42608796297</v>
      </c>
      <c r="C2283" s="1" t="n">
        <v>46140</v>
      </c>
      <c r="D2283" t="inlineStr">
        <is>
          <t>VÄRMLANDS LÄN</t>
        </is>
      </c>
      <c r="E2283" t="inlineStr">
        <is>
          <t>TORSBY</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31672-2025</t>
        </is>
      </c>
      <c r="B2284" s="1" t="n">
        <v>45834.36979166666</v>
      </c>
      <c r="C2284" s="1" t="n">
        <v>46140</v>
      </c>
      <c r="D2284" t="inlineStr">
        <is>
          <t>VÄRMLANDS LÄN</t>
        </is>
      </c>
      <c r="E2284" t="inlineStr">
        <is>
          <t>TORSBY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31416-2025</t>
        </is>
      </c>
      <c r="B2285" s="1" t="n">
        <v>45833.48278935185</v>
      </c>
      <c r="C2285" s="1" t="n">
        <v>46140</v>
      </c>
      <c r="D2285" t="inlineStr">
        <is>
          <t>VÄRMLANDS LÄN</t>
        </is>
      </c>
      <c r="E2285" t="inlineStr">
        <is>
          <t>TORSBY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32134-2025</t>
        </is>
      </c>
      <c r="B2286" s="1" t="n">
        <v>45835.5102662037</v>
      </c>
      <c r="C2286" s="1" t="n">
        <v>46140</v>
      </c>
      <c r="D2286" t="inlineStr">
        <is>
          <t>VÄRMLANDS LÄN</t>
        </is>
      </c>
      <c r="E2286" t="inlineStr">
        <is>
          <t>TORSBY</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32622-2025</t>
        </is>
      </c>
      <c r="B2287" s="1" t="n">
        <v>45838</v>
      </c>
      <c r="C2287" s="1" t="n">
        <v>46140</v>
      </c>
      <c r="D2287" t="inlineStr">
        <is>
          <t>VÄRMLANDS LÄN</t>
        </is>
      </c>
      <c r="E2287" t="inlineStr">
        <is>
          <t>TORSBY</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32618-2025</t>
        </is>
      </c>
      <c r="B2288" s="1" t="n">
        <v>45838.6435300926</v>
      </c>
      <c r="C2288" s="1" t="n">
        <v>46140</v>
      </c>
      <c r="D2288" t="inlineStr">
        <is>
          <t>VÄRMLANDS LÄN</t>
        </is>
      </c>
      <c r="E2288" t="inlineStr">
        <is>
          <t>TORSBY</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32298-2025</t>
        </is>
      </c>
      <c r="B2289" s="1" t="n">
        <v>45835.7144675926</v>
      </c>
      <c r="C2289" s="1" t="n">
        <v>46140</v>
      </c>
      <c r="D2289" t="inlineStr">
        <is>
          <t>VÄRMLANDS LÄN</t>
        </is>
      </c>
      <c r="E2289" t="inlineStr">
        <is>
          <t>TORSBY</t>
        </is>
      </c>
      <c r="G2289" t="n">
        <v>19.2</v>
      </c>
      <c r="H2289" t="n">
        <v>0</v>
      </c>
      <c r="I2289" t="n">
        <v>0</v>
      </c>
      <c r="J2289" t="n">
        <v>0</v>
      </c>
      <c r="K2289" t="n">
        <v>0</v>
      </c>
      <c r="L2289" t="n">
        <v>0</v>
      </c>
      <c r="M2289" t="n">
        <v>0</v>
      </c>
      <c r="N2289" t="n">
        <v>0</v>
      </c>
      <c r="O2289" t="n">
        <v>0</v>
      </c>
      <c r="P2289" t="n">
        <v>0</v>
      </c>
      <c r="Q2289" t="n">
        <v>0</v>
      </c>
      <c r="R2289" s="2" t="inlineStr"/>
    </row>
    <row r="2290" ht="15" customHeight="1">
      <c r="A2290" t="inlineStr">
        <is>
          <t>A 32343-2025</t>
        </is>
      </c>
      <c r="B2290" s="1" t="n">
        <v>45837.37171296297</v>
      </c>
      <c r="C2290" s="1" t="n">
        <v>46140</v>
      </c>
      <c r="D2290" t="inlineStr">
        <is>
          <t>VÄRMLANDS LÄN</t>
        </is>
      </c>
      <c r="E2290" t="inlineStr">
        <is>
          <t>TORSBY</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32084-2025</t>
        </is>
      </c>
      <c r="B2291" s="1" t="n">
        <v>45835.45379629629</v>
      </c>
      <c r="C2291" s="1" t="n">
        <v>46140</v>
      </c>
      <c r="D2291" t="inlineStr">
        <is>
          <t>VÄRMLANDS LÄN</t>
        </is>
      </c>
      <c r="E2291" t="inlineStr">
        <is>
          <t>TORSBY</t>
        </is>
      </c>
      <c r="F2291" t="inlineStr">
        <is>
          <t>Bergvik skog väst AB</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32433-2025</t>
        </is>
      </c>
      <c r="B2292" s="1" t="n">
        <v>45838.37252314815</v>
      </c>
      <c r="C2292" s="1" t="n">
        <v>46140</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32342-2025</t>
        </is>
      </c>
      <c r="B2293" s="1" t="n">
        <v>45837.34560185186</v>
      </c>
      <c r="C2293" s="1" t="n">
        <v>46140</v>
      </c>
      <c r="D2293" t="inlineStr">
        <is>
          <t>VÄRMLANDS LÄN</t>
        </is>
      </c>
      <c r="E2293" t="inlineStr">
        <is>
          <t>TORSBY</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32331-2025</t>
        </is>
      </c>
      <c r="B2294" s="1" t="n">
        <v>45836.50674768518</v>
      </c>
      <c r="C2294" s="1" t="n">
        <v>46140</v>
      </c>
      <c r="D2294" t="inlineStr">
        <is>
          <t>VÄRMLANDS LÄN</t>
        </is>
      </c>
      <c r="E2294" t="inlineStr">
        <is>
          <t>TORSBY</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32191-2025</t>
        </is>
      </c>
      <c r="B2295" s="1" t="n">
        <v>45835.57099537037</v>
      </c>
      <c r="C2295" s="1" t="n">
        <v>46140</v>
      </c>
      <c r="D2295" t="inlineStr">
        <is>
          <t>VÄRMLANDS LÄN</t>
        </is>
      </c>
      <c r="E2295" t="inlineStr">
        <is>
          <t>TORSBY</t>
        </is>
      </c>
      <c r="F2295" t="inlineStr">
        <is>
          <t>Bergvik skog väst AB</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32339-2025</t>
        </is>
      </c>
      <c r="B2296" s="1" t="n">
        <v>45836.68836805555</v>
      </c>
      <c r="C2296" s="1" t="n">
        <v>46140</v>
      </c>
      <c r="D2296" t="inlineStr">
        <is>
          <t>VÄRMLANDS LÄN</t>
        </is>
      </c>
      <c r="E2296" t="inlineStr">
        <is>
          <t>TORSBY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32345-2025</t>
        </is>
      </c>
      <c r="B2297" s="1" t="n">
        <v>45837.44293981481</v>
      </c>
      <c r="C2297" s="1" t="n">
        <v>46140</v>
      </c>
      <c r="D2297" t="inlineStr">
        <is>
          <t>VÄRMLANDS LÄN</t>
        </is>
      </c>
      <c r="E2297" t="inlineStr">
        <is>
          <t>TORSBY</t>
        </is>
      </c>
      <c r="G2297" t="n">
        <v>8.699999999999999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32555-2025</t>
        </is>
      </c>
      <c r="B2298" s="1" t="n">
        <v>45838.56084490741</v>
      </c>
      <c r="C2298" s="1" t="n">
        <v>46140</v>
      </c>
      <c r="D2298" t="inlineStr">
        <is>
          <t>VÄRMLANDS LÄN</t>
        </is>
      </c>
      <c r="E2298" t="inlineStr">
        <is>
          <t>TORSBY</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32348-2025</t>
        </is>
      </c>
      <c r="B2299" s="1" t="n">
        <v>45837.47078703704</v>
      </c>
      <c r="C2299" s="1" t="n">
        <v>46140</v>
      </c>
      <c r="D2299" t="inlineStr">
        <is>
          <t>VÄRMLANDS LÄN</t>
        </is>
      </c>
      <c r="E2299" t="inlineStr">
        <is>
          <t>TORSBY</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32054-2025</t>
        </is>
      </c>
      <c r="B2300" s="1" t="n">
        <v>45835</v>
      </c>
      <c r="C2300" s="1" t="n">
        <v>46140</v>
      </c>
      <c r="D2300" t="inlineStr">
        <is>
          <t>VÄRMLANDS LÄN</t>
        </is>
      </c>
      <c r="E2300" t="inlineStr">
        <is>
          <t>TORSBY</t>
        </is>
      </c>
      <c r="G2300" t="n">
        <v>13.1</v>
      </c>
      <c r="H2300" t="n">
        <v>0</v>
      </c>
      <c r="I2300" t="n">
        <v>0</v>
      </c>
      <c r="J2300" t="n">
        <v>0</v>
      </c>
      <c r="K2300" t="n">
        <v>0</v>
      </c>
      <c r="L2300" t="n">
        <v>0</v>
      </c>
      <c r="M2300" t="n">
        <v>0</v>
      </c>
      <c r="N2300" t="n">
        <v>0</v>
      </c>
      <c r="O2300" t="n">
        <v>0</v>
      </c>
      <c r="P2300" t="n">
        <v>0</v>
      </c>
      <c r="Q2300" t="n">
        <v>0</v>
      </c>
      <c r="R2300" s="2" t="inlineStr"/>
    </row>
    <row r="2301" ht="15" customHeight="1">
      <c r="A2301" t="inlineStr">
        <is>
          <t>A 33221-2025</t>
        </is>
      </c>
      <c r="B2301" s="1" t="n">
        <v>45840.63471064815</v>
      </c>
      <c r="C2301" s="1" t="n">
        <v>46140</v>
      </c>
      <c r="D2301" t="inlineStr">
        <is>
          <t>VÄRMLANDS LÄN</t>
        </is>
      </c>
      <c r="E2301" t="inlineStr">
        <is>
          <t>TORSBY</t>
        </is>
      </c>
      <c r="F2301" t="inlineStr">
        <is>
          <t>Bergvik skog väst AB</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32983-2025</t>
        </is>
      </c>
      <c r="B2302" s="1" t="n">
        <v>45839.92967592592</v>
      </c>
      <c r="C2302" s="1" t="n">
        <v>46140</v>
      </c>
      <c r="D2302" t="inlineStr">
        <is>
          <t>VÄRMLANDS LÄN</t>
        </is>
      </c>
      <c r="E2302" t="inlineStr">
        <is>
          <t>TORSBY</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33192-2025</t>
        </is>
      </c>
      <c r="B2303" s="1" t="n">
        <v>45840.60081018518</v>
      </c>
      <c r="C2303" s="1" t="n">
        <v>46140</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33161-2025</t>
        </is>
      </c>
      <c r="B2304" s="1" t="n">
        <v>45840.56846064814</v>
      </c>
      <c r="C2304" s="1" t="n">
        <v>46140</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32995-2025</t>
        </is>
      </c>
      <c r="B2305" s="1" t="n">
        <v>45839</v>
      </c>
      <c r="C2305" s="1" t="n">
        <v>46140</v>
      </c>
      <c r="D2305" t="inlineStr">
        <is>
          <t>VÄRMLANDS LÄN</t>
        </is>
      </c>
      <c r="E2305" t="inlineStr">
        <is>
          <t>TORSBY</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32710-2025</t>
        </is>
      </c>
      <c r="B2306" s="1" t="n">
        <v>45839.36722222222</v>
      </c>
      <c r="C2306" s="1" t="n">
        <v>46140</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12574-2025</t>
        </is>
      </c>
      <c r="B2307" s="1" t="n">
        <v>45732</v>
      </c>
      <c r="C2307" s="1" t="n">
        <v>46140</v>
      </c>
      <c r="D2307" t="inlineStr">
        <is>
          <t>VÄRMLANDS LÄN</t>
        </is>
      </c>
      <c r="E2307" t="inlineStr">
        <is>
          <t>TORSBY</t>
        </is>
      </c>
      <c r="G2307" t="n">
        <v>9.800000000000001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33712-2025</t>
        </is>
      </c>
      <c r="B2308" s="1" t="n">
        <v>45841</v>
      </c>
      <c r="C2308" s="1" t="n">
        <v>46140</v>
      </c>
      <c r="D2308" t="inlineStr">
        <is>
          <t>VÄRMLANDS LÄN</t>
        </is>
      </c>
      <c r="E2308" t="inlineStr">
        <is>
          <t>TORSBY</t>
        </is>
      </c>
      <c r="F2308" t="inlineStr">
        <is>
          <t>Bergvik skog väst AB</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33897-2025</t>
        </is>
      </c>
      <c r="B2309" s="1" t="n">
        <v>45842</v>
      </c>
      <c r="C2309" s="1" t="n">
        <v>46140</v>
      </c>
      <c r="D2309" t="inlineStr">
        <is>
          <t>VÄRMLANDS LÄN</t>
        </is>
      </c>
      <c r="E2309" t="inlineStr">
        <is>
          <t>TORSBY</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33567-2025</t>
        </is>
      </c>
      <c r="B2310" s="1" t="n">
        <v>45841.58232638889</v>
      </c>
      <c r="C2310" s="1" t="n">
        <v>46140</v>
      </c>
      <c r="D2310" t="inlineStr">
        <is>
          <t>VÄRMLANDS LÄN</t>
        </is>
      </c>
      <c r="E2310" t="inlineStr">
        <is>
          <t>TORSBY</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8018-2025</t>
        </is>
      </c>
      <c r="B2311" s="1" t="n">
        <v>45707</v>
      </c>
      <c r="C2311" s="1" t="n">
        <v>46140</v>
      </c>
      <c r="D2311" t="inlineStr">
        <is>
          <t>VÄRMLANDS LÄN</t>
        </is>
      </c>
      <c r="E2311" t="inlineStr">
        <is>
          <t>TORSBY</t>
        </is>
      </c>
      <c r="G2311" t="n">
        <v>22.6</v>
      </c>
      <c r="H2311" t="n">
        <v>0</v>
      </c>
      <c r="I2311" t="n">
        <v>0</v>
      </c>
      <c r="J2311" t="n">
        <v>0</v>
      </c>
      <c r="K2311" t="n">
        <v>0</v>
      </c>
      <c r="L2311" t="n">
        <v>0</v>
      </c>
      <c r="M2311" t="n">
        <v>0</v>
      </c>
      <c r="N2311" t="n">
        <v>0</v>
      </c>
      <c r="O2311" t="n">
        <v>0</v>
      </c>
      <c r="P2311" t="n">
        <v>0</v>
      </c>
      <c r="Q2311" t="n">
        <v>0</v>
      </c>
      <c r="R2311" s="2" t="inlineStr"/>
    </row>
    <row r="2312" ht="15" customHeight="1">
      <c r="A2312" t="inlineStr">
        <is>
          <t>A 34355-2025</t>
        </is>
      </c>
      <c r="B2312" s="1" t="n">
        <v>45846.48114583334</v>
      </c>
      <c r="C2312" s="1" t="n">
        <v>46140</v>
      </c>
      <c r="D2312" t="inlineStr">
        <is>
          <t>VÄRMLANDS LÄN</t>
        </is>
      </c>
      <c r="E2312" t="inlineStr">
        <is>
          <t>TORSBY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34358-2025</t>
        </is>
      </c>
      <c r="B2313" s="1" t="n">
        <v>45846.48637731482</v>
      </c>
      <c r="C2313" s="1" t="n">
        <v>46140</v>
      </c>
      <c r="D2313" t="inlineStr">
        <is>
          <t>VÄRMLANDS LÄN</t>
        </is>
      </c>
      <c r="E2313" t="inlineStr">
        <is>
          <t>TORSBY</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34398-2025</t>
        </is>
      </c>
      <c r="B2314" s="1" t="n">
        <v>45846.60688657407</v>
      </c>
      <c r="C2314" s="1" t="n">
        <v>46140</v>
      </c>
      <c r="D2314" t="inlineStr">
        <is>
          <t>VÄRMLANDS LÄN</t>
        </is>
      </c>
      <c r="E2314" t="inlineStr">
        <is>
          <t>TORSBY</t>
        </is>
      </c>
      <c r="F2314" t="inlineStr">
        <is>
          <t>Bergvik skog väst AB</t>
        </is>
      </c>
      <c r="G2314" t="n">
        <v>22.3</v>
      </c>
      <c r="H2314" t="n">
        <v>0</v>
      </c>
      <c r="I2314" t="n">
        <v>0</v>
      </c>
      <c r="J2314" t="n">
        <v>0</v>
      </c>
      <c r="K2314" t="n">
        <v>0</v>
      </c>
      <c r="L2314" t="n">
        <v>0</v>
      </c>
      <c r="M2314" t="n">
        <v>0</v>
      </c>
      <c r="N2314" t="n">
        <v>0</v>
      </c>
      <c r="O2314" t="n">
        <v>0</v>
      </c>
      <c r="P2314" t="n">
        <v>0</v>
      </c>
      <c r="Q2314" t="n">
        <v>0</v>
      </c>
      <c r="R2314" s="2" t="inlineStr"/>
    </row>
    <row r="2315" ht="15" customHeight="1">
      <c r="A2315" t="inlineStr">
        <is>
          <t>A 34372-2025</t>
        </is>
      </c>
      <c r="B2315" s="1" t="n">
        <v>45846.5134837963</v>
      </c>
      <c r="C2315" s="1" t="n">
        <v>46140</v>
      </c>
      <c r="D2315" t="inlineStr">
        <is>
          <t>VÄRMLANDS LÄN</t>
        </is>
      </c>
      <c r="E2315" t="inlineStr">
        <is>
          <t>TORSBY</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34365-2025</t>
        </is>
      </c>
      <c r="B2316" s="1" t="n">
        <v>45846.49326388889</v>
      </c>
      <c r="C2316" s="1" t="n">
        <v>46140</v>
      </c>
      <c r="D2316" t="inlineStr">
        <is>
          <t>VÄRMLANDS LÄN</t>
        </is>
      </c>
      <c r="E2316" t="inlineStr">
        <is>
          <t>TORSBY</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34388-2025</t>
        </is>
      </c>
      <c r="B2317" s="1" t="n">
        <v>45846.57305555556</v>
      </c>
      <c r="C2317" s="1" t="n">
        <v>46140</v>
      </c>
      <c r="D2317" t="inlineStr">
        <is>
          <t>VÄRMLANDS LÄN</t>
        </is>
      </c>
      <c r="E2317" t="inlineStr">
        <is>
          <t>TORSBY</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34140-2025</t>
        </is>
      </c>
      <c r="B2318" s="1" t="n">
        <v>45845.54896990741</v>
      </c>
      <c r="C2318" s="1" t="n">
        <v>46140</v>
      </c>
      <c r="D2318" t="inlineStr">
        <is>
          <t>VÄRMLANDS LÄN</t>
        </is>
      </c>
      <c r="E2318" t="inlineStr">
        <is>
          <t>TORSBY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34137-2025</t>
        </is>
      </c>
      <c r="B2319" s="1" t="n">
        <v>45845.54340277778</v>
      </c>
      <c r="C2319" s="1" t="n">
        <v>46140</v>
      </c>
      <c r="D2319" t="inlineStr">
        <is>
          <t>VÄRMLANDS LÄN</t>
        </is>
      </c>
      <c r="E2319" t="inlineStr">
        <is>
          <t>TORSBY</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34138-2025</t>
        </is>
      </c>
      <c r="B2320" s="1" t="n">
        <v>45845.54486111111</v>
      </c>
      <c r="C2320" s="1" t="n">
        <v>46140</v>
      </c>
      <c r="D2320" t="inlineStr">
        <is>
          <t>VÄRMLANDS LÄN</t>
        </is>
      </c>
      <c r="E2320" t="inlineStr">
        <is>
          <t>TORSBY</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34146-2025</t>
        </is>
      </c>
      <c r="B2321" s="1" t="n">
        <v>45845.56008101852</v>
      </c>
      <c r="C2321" s="1" t="n">
        <v>46140</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34363-2025</t>
        </is>
      </c>
      <c r="B2322" s="1" t="n">
        <v>45846.49144675926</v>
      </c>
      <c r="C2322" s="1" t="n">
        <v>46140</v>
      </c>
      <c r="D2322" t="inlineStr">
        <is>
          <t>VÄRMLANDS LÄN</t>
        </is>
      </c>
      <c r="E2322" t="inlineStr">
        <is>
          <t>TORSBY</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34370-2025</t>
        </is>
      </c>
      <c r="B2323" s="1" t="n">
        <v>45846.51056712963</v>
      </c>
      <c r="C2323" s="1" t="n">
        <v>46140</v>
      </c>
      <c r="D2323" t="inlineStr">
        <is>
          <t>VÄRMLANDS LÄN</t>
        </is>
      </c>
      <c r="E2323" t="inlineStr">
        <is>
          <t>TORSBY</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34046-2025</t>
        </is>
      </c>
      <c r="B2324" s="1" t="n">
        <v>45845.38671296297</v>
      </c>
      <c r="C2324" s="1" t="n">
        <v>46140</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34268-2025</t>
        </is>
      </c>
      <c r="B2325" s="1" t="n">
        <v>45845</v>
      </c>
      <c r="C2325" s="1" t="n">
        <v>46140</v>
      </c>
      <c r="D2325" t="inlineStr">
        <is>
          <t>VÄRMLANDS LÄN</t>
        </is>
      </c>
      <c r="E2325" t="inlineStr">
        <is>
          <t>TORSBY</t>
        </is>
      </c>
      <c r="F2325" t="inlineStr">
        <is>
          <t>Bergvik skog väst AB</t>
        </is>
      </c>
      <c r="G2325" t="n">
        <v>19.7</v>
      </c>
      <c r="H2325" t="n">
        <v>0</v>
      </c>
      <c r="I2325" t="n">
        <v>0</v>
      </c>
      <c r="J2325" t="n">
        <v>0</v>
      </c>
      <c r="K2325" t="n">
        <v>0</v>
      </c>
      <c r="L2325" t="n">
        <v>0</v>
      </c>
      <c r="M2325" t="n">
        <v>0</v>
      </c>
      <c r="N2325" t="n">
        <v>0</v>
      </c>
      <c r="O2325" t="n">
        <v>0</v>
      </c>
      <c r="P2325" t="n">
        <v>0</v>
      </c>
      <c r="Q2325" t="n">
        <v>0</v>
      </c>
      <c r="R2325" s="2" t="inlineStr"/>
    </row>
    <row r="2326" ht="15" customHeight="1">
      <c r="A2326" t="inlineStr">
        <is>
          <t>A 8281-2023</t>
        </is>
      </c>
      <c r="B2326" s="1" t="n">
        <v>44974</v>
      </c>
      <c r="C2326" s="1" t="n">
        <v>46140</v>
      </c>
      <c r="D2326" t="inlineStr">
        <is>
          <t>VÄRMLANDS LÄN</t>
        </is>
      </c>
      <c r="E2326" t="inlineStr">
        <is>
          <t>TORSBY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34136-2025</t>
        </is>
      </c>
      <c r="B2327" s="1" t="n">
        <v>45845.54184027778</v>
      </c>
      <c r="C2327" s="1" t="n">
        <v>46140</v>
      </c>
      <c r="D2327" t="inlineStr">
        <is>
          <t>VÄRMLANDS LÄN</t>
        </is>
      </c>
      <c r="E2327" t="inlineStr">
        <is>
          <t>TORSBY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34145-2025</t>
        </is>
      </c>
      <c r="B2328" s="1" t="n">
        <v>45845.55372685185</v>
      </c>
      <c r="C2328" s="1" t="n">
        <v>46140</v>
      </c>
      <c r="D2328" t="inlineStr">
        <is>
          <t>VÄRMLANDS LÄN</t>
        </is>
      </c>
      <c r="E2328" t="inlineStr">
        <is>
          <t>TORSBY</t>
        </is>
      </c>
      <c r="G2328" t="n">
        <v>19.2</v>
      </c>
      <c r="H2328" t="n">
        <v>0</v>
      </c>
      <c r="I2328" t="n">
        <v>0</v>
      </c>
      <c r="J2328" t="n">
        <v>0</v>
      </c>
      <c r="K2328" t="n">
        <v>0</v>
      </c>
      <c r="L2328" t="n">
        <v>0</v>
      </c>
      <c r="M2328" t="n">
        <v>0</v>
      </c>
      <c r="N2328" t="n">
        <v>0</v>
      </c>
      <c r="O2328" t="n">
        <v>0</v>
      </c>
      <c r="P2328" t="n">
        <v>0</v>
      </c>
      <c r="Q2328" t="n">
        <v>0</v>
      </c>
      <c r="R2328" s="2" t="inlineStr"/>
    </row>
    <row r="2329" ht="15" customHeight="1">
      <c r="A2329" t="inlineStr">
        <is>
          <t>A 34179-2025</t>
        </is>
      </c>
      <c r="B2329" s="1" t="n">
        <v>45845</v>
      </c>
      <c r="C2329" s="1" t="n">
        <v>46140</v>
      </c>
      <c r="D2329" t="inlineStr">
        <is>
          <t>VÄRMLANDS LÄN</t>
        </is>
      </c>
      <c r="E2329" t="inlineStr">
        <is>
          <t>TORSBY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34399-2025</t>
        </is>
      </c>
      <c r="B2330" s="1" t="n">
        <v>45846.610625</v>
      </c>
      <c r="C2330" s="1" t="n">
        <v>46140</v>
      </c>
      <c r="D2330" t="inlineStr">
        <is>
          <t>VÄRMLANDS LÄN</t>
        </is>
      </c>
      <c r="E2330" t="inlineStr">
        <is>
          <t>TORSBY</t>
        </is>
      </c>
      <c r="F2330" t="inlineStr">
        <is>
          <t>Bergvik skog väst AB</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34517-2025</t>
        </is>
      </c>
      <c r="B2331" s="1" t="n">
        <v>45847.46900462963</v>
      </c>
      <c r="C2331" s="1" t="n">
        <v>46140</v>
      </c>
      <c r="D2331" t="inlineStr">
        <is>
          <t>VÄRMLANDS LÄN</t>
        </is>
      </c>
      <c r="E2331" t="inlineStr">
        <is>
          <t>TORSBY</t>
        </is>
      </c>
      <c r="F2331" t="inlineStr">
        <is>
          <t>Övriga Aktiebolag</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40807-2024</t>
        </is>
      </c>
      <c r="B2332" s="1" t="n">
        <v>45558</v>
      </c>
      <c r="C2332" s="1" t="n">
        <v>46140</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34533-2025</t>
        </is>
      </c>
      <c r="B2333" s="1" t="n">
        <v>45847.50868055555</v>
      </c>
      <c r="C2333" s="1" t="n">
        <v>46140</v>
      </c>
      <c r="D2333" t="inlineStr">
        <is>
          <t>VÄRMLANDS LÄN</t>
        </is>
      </c>
      <c r="E2333" t="inlineStr">
        <is>
          <t>TORSBY</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34480-2025</t>
        </is>
      </c>
      <c r="B2334" s="1" t="n">
        <v>45847.37582175926</v>
      </c>
      <c r="C2334" s="1" t="n">
        <v>46140</v>
      </c>
      <c r="D2334" t="inlineStr">
        <is>
          <t>VÄRMLANDS LÄN</t>
        </is>
      </c>
      <c r="E2334" t="inlineStr">
        <is>
          <t>TORSBY</t>
        </is>
      </c>
      <c r="F2334" t="inlineStr">
        <is>
          <t>Övriga Aktiebolag</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34495-2025</t>
        </is>
      </c>
      <c r="B2335" s="1" t="n">
        <v>45847.42686342593</v>
      </c>
      <c r="C2335" s="1" t="n">
        <v>46140</v>
      </c>
      <c r="D2335" t="inlineStr">
        <is>
          <t>VÄRMLANDS LÄN</t>
        </is>
      </c>
      <c r="E2335" t="inlineStr">
        <is>
          <t>TORSBY</t>
        </is>
      </c>
      <c r="F2335" t="inlineStr">
        <is>
          <t>Övriga Aktiebolag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34451-2025</t>
        </is>
      </c>
      <c r="B2336" s="1" t="n">
        <v>45846.85114583333</v>
      </c>
      <c r="C2336" s="1" t="n">
        <v>46140</v>
      </c>
      <c r="D2336" t="inlineStr">
        <is>
          <t>VÄRMLANDS LÄN</t>
        </is>
      </c>
      <c r="E2336" t="inlineStr">
        <is>
          <t>TORSBY</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31316-2025</t>
        </is>
      </c>
      <c r="B2337" s="1" t="n">
        <v>45833.40241898148</v>
      </c>
      <c r="C2337" s="1" t="n">
        <v>46140</v>
      </c>
      <c r="D2337" t="inlineStr">
        <is>
          <t>VÄRMLANDS LÄN</t>
        </is>
      </c>
      <c r="E2337" t="inlineStr">
        <is>
          <t>TORSBY</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34997-2025</t>
        </is>
      </c>
      <c r="B2338" s="1" t="n">
        <v>45849.87340277778</v>
      </c>
      <c r="C2338" s="1" t="n">
        <v>46140</v>
      </c>
      <c r="D2338" t="inlineStr">
        <is>
          <t>VÄRMLANDS LÄN</t>
        </is>
      </c>
      <c r="E2338" t="inlineStr">
        <is>
          <t>TORSBY</t>
        </is>
      </c>
      <c r="G2338" t="n">
        <v>24.4</v>
      </c>
      <c r="H2338" t="n">
        <v>0</v>
      </c>
      <c r="I2338" t="n">
        <v>0</v>
      </c>
      <c r="J2338" t="n">
        <v>0</v>
      </c>
      <c r="K2338" t="n">
        <v>0</v>
      </c>
      <c r="L2338" t="n">
        <v>0</v>
      </c>
      <c r="M2338" t="n">
        <v>0</v>
      </c>
      <c r="N2338" t="n">
        <v>0</v>
      </c>
      <c r="O2338" t="n">
        <v>0</v>
      </c>
      <c r="P2338" t="n">
        <v>0</v>
      </c>
      <c r="Q2338" t="n">
        <v>0</v>
      </c>
      <c r="R2338" s="2" t="inlineStr"/>
    </row>
    <row r="2339" ht="15" customHeight="1">
      <c r="A2339" t="inlineStr">
        <is>
          <t>A 20985-2024</t>
        </is>
      </c>
      <c r="B2339" s="1" t="n">
        <v>45439</v>
      </c>
      <c r="C2339" s="1" t="n">
        <v>46140</v>
      </c>
      <c r="D2339" t="inlineStr">
        <is>
          <t>VÄRMLANDS LÄN</t>
        </is>
      </c>
      <c r="E2339" t="inlineStr">
        <is>
          <t>TORSBY</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34846-2025</t>
        </is>
      </c>
      <c r="B2340" s="1" t="n">
        <v>45849.41454861111</v>
      </c>
      <c r="C2340" s="1" t="n">
        <v>46140</v>
      </c>
      <c r="D2340" t="inlineStr">
        <is>
          <t>VÄRMLANDS LÄN</t>
        </is>
      </c>
      <c r="E2340" t="inlineStr">
        <is>
          <t>TORSBY</t>
        </is>
      </c>
      <c r="F2340" t="inlineStr">
        <is>
          <t>Bergvik skog väst AB</t>
        </is>
      </c>
      <c r="G2340" t="n">
        <v>12.2</v>
      </c>
      <c r="H2340" t="n">
        <v>0</v>
      </c>
      <c r="I2340" t="n">
        <v>0</v>
      </c>
      <c r="J2340" t="n">
        <v>0</v>
      </c>
      <c r="K2340" t="n">
        <v>0</v>
      </c>
      <c r="L2340" t="n">
        <v>0</v>
      </c>
      <c r="M2340" t="n">
        <v>0</v>
      </c>
      <c r="N2340" t="n">
        <v>0</v>
      </c>
      <c r="O2340" t="n">
        <v>0</v>
      </c>
      <c r="P2340" t="n">
        <v>0</v>
      </c>
      <c r="Q2340" t="n">
        <v>0</v>
      </c>
      <c r="R2340" s="2" t="inlineStr"/>
    </row>
    <row r="2341" ht="15" customHeight="1">
      <c r="A2341" t="inlineStr">
        <is>
          <t>A 35191-2025</t>
        </is>
      </c>
      <c r="B2341" s="1" t="n">
        <v>45853.3469675926</v>
      </c>
      <c r="C2341" s="1" t="n">
        <v>46140</v>
      </c>
      <c r="D2341" t="inlineStr">
        <is>
          <t>VÄRMLANDS LÄN</t>
        </is>
      </c>
      <c r="E2341" t="inlineStr">
        <is>
          <t>TORSBY</t>
        </is>
      </c>
      <c r="F2341" t="inlineStr">
        <is>
          <t>Bergvik skog väst AB</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38084-2023</t>
        </is>
      </c>
      <c r="B2342" s="1" t="n">
        <v>45160</v>
      </c>
      <c r="C2342" s="1" t="n">
        <v>46140</v>
      </c>
      <c r="D2342" t="inlineStr">
        <is>
          <t>VÄRMLANDS LÄN</t>
        </is>
      </c>
      <c r="E2342" t="inlineStr">
        <is>
          <t>TORSBY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35185-2025</t>
        </is>
      </c>
      <c r="B2343" s="1" t="n">
        <v>45853.30383101852</v>
      </c>
      <c r="C2343" s="1" t="n">
        <v>46140</v>
      </c>
      <c r="D2343" t="inlineStr">
        <is>
          <t>VÄRMLANDS LÄN</t>
        </is>
      </c>
      <c r="E2343" t="inlineStr">
        <is>
          <t>TORSBY</t>
        </is>
      </c>
      <c r="F2343" t="inlineStr">
        <is>
          <t>Bergvik skog väst AB</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35367-2025</t>
        </is>
      </c>
      <c r="B2344" s="1" t="n">
        <v>45854</v>
      </c>
      <c r="C2344" s="1" t="n">
        <v>46140</v>
      </c>
      <c r="D2344" t="inlineStr">
        <is>
          <t>VÄRMLANDS LÄN</t>
        </is>
      </c>
      <c r="E2344" t="inlineStr">
        <is>
          <t>TORSBY</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35194-2025</t>
        </is>
      </c>
      <c r="B2345" s="1" t="n">
        <v>45853.35740740741</v>
      </c>
      <c r="C2345" s="1" t="n">
        <v>46140</v>
      </c>
      <c r="D2345" t="inlineStr">
        <is>
          <t>VÄRMLANDS LÄN</t>
        </is>
      </c>
      <c r="E2345" t="inlineStr">
        <is>
          <t>TORSBY</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35334-2025</t>
        </is>
      </c>
      <c r="B2346" s="1" t="n">
        <v>45854.57973379629</v>
      </c>
      <c r="C2346" s="1" t="n">
        <v>46140</v>
      </c>
      <c r="D2346" t="inlineStr">
        <is>
          <t>VÄRMLANDS LÄN</t>
        </is>
      </c>
      <c r="E2346" t="inlineStr">
        <is>
          <t>TORSBY</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17562-2024</t>
        </is>
      </c>
      <c r="B2347" s="1" t="n">
        <v>45415</v>
      </c>
      <c r="C2347" s="1" t="n">
        <v>46140</v>
      </c>
      <c r="D2347" t="inlineStr">
        <is>
          <t>VÄRMLANDS LÄN</t>
        </is>
      </c>
      <c r="E2347" t="inlineStr">
        <is>
          <t>TORSBY</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35552-2025</t>
        </is>
      </c>
      <c r="B2348" s="1" t="n">
        <v>45856.49702546297</v>
      </c>
      <c r="C2348" s="1" t="n">
        <v>46140</v>
      </c>
      <c r="D2348" t="inlineStr">
        <is>
          <t>VÄRMLANDS LÄN</t>
        </is>
      </c>
      <c r="E2348" t="inlineStr">
        <is>
          <t>TORSBY</t>
        </is>
      </c>
      <c r="F2348" t="inlineStr">
        <is>
          <t>Bergvik skog väst AB</t>
        </is>
      </c>
      <c r="G2348" t="n">
        <v>12.3</v>
      </c>
      <c r="H2348" t="n">
        <v>0</v>
      </c>
      <c r="I2348" t="n">
        <v>0</v>
      </c>
      <c r="J2348" t="n">
        <v>0</v>
      </c>
      <c r="K2348" t="n">
        <v>0</v>
      </c>
      <c r="L2348" t="n">
        <v>0</v>
      </c>
      <c r="M2348" t="n">
        <v>0</v>
      </c>
      <c r="N2348" t="n">
        <v>0</v>
      </c>
      <c r="O2348" t="n">
        <v>0</v>
      </c>
      <c r="P2348" t="n">
        <v>0</v>
      </c>
      <c r="Q2348" t="n">
        <v>0</v>
      </c>
      <c r="R2348" s="2" t="inlineStr"/>
    </row>
    <row r="2349" ht="15" customHeight="1">
      <c r="A2349" t="inlineStr">
        <is>
          <t>A 35408-2025</t>
        </is>
      </c>
      <c r="B2349" s="1" t="n">
        <v>45855.37256944444</v>
      </c>
      <c r="C2349" s="1" t="n">
        <v>46140</v>
      </c>
      <c r="D2349" t="inlineStr">
        <is>
          <t>VÄRMLANDS LÄN</t>
        </is>
      </c>
      <c r="E2349" t="inlineStr">
        <is>
          <t>TORSBY</t>
        </is>
      </c>
      <c r="F2349" t="inlineStr">
        <is>
          <t>Bergvik skog väst AB</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5052-2025</t>
        </is>
      </c>
      <c r="B2350" s="1" t="n">
        <v>45691</v>
      </c>
      <c r="C2350" s="1" t="n">
        <v>46140</v>
      </c>
      <c r="D2350" t="inlineStr">
        <is>
          <t>VÄRMLANDS LÄN</t>
        </is>
      </c>
      <c r="E2350" t="inlineStr">
        <is>
          <t>TORSBY</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14800-2025</t>
        </is>
      </c>
      <c r="B2351" s="1" t="n">
        <v>45743</v>
      </c>
      <c r="C2351" s="1" t="n">
        <v>46140</v>
      </c>
      <c r="D2351" t="inlineStr">
        <is>
          <t>VÄRMLANDS LÄN</t>
        </is>
      </c>
      <c r="E2351" t="inlineStr">
        <is>
          <t>TORSBY</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21516-2022</t>
        </is>
      </c>
      <c r="B2352" s="1" t="n">
        <v>44706</v>
      </c>
      <c r="C2352" s="1" t="n">
        <v>46140</v>
      </c>
      <c r="D2352" t="inlineStr">
        <is>
          <t>VÄRMLANDS LÄN</t>
        </is>
      </c>
      <c r="E2352" t="inlineStr">
        <is>
          <t>TORSBY</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35817-2025</t>
        </is>
      </c>
      <c r="B2353" s="1" t="n">
        <v>45861.44365740741</v>
      </c>
      <c r="C2353" s="1" t="n">
        <v>46140</v>
      </c>
      <c r="D2353" t="inlineStr">
        <is>
          <t>VÄRMLANDS LÄN</t>
        </is>
      </c>
      <c r="E2353" t="inlineStr">
        <is>
          <t>TORSBY</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35855-2025</t>
        </is>
      </c>
      <c r="B2354" s="1" t="n">
        <v>45861.61864583333</v>
      </c>
      <c r="C2354" s="1" t="n">
        <v>46140</v>
      </c>
      <c r="D2354" t="inlineStr">
        <is>
          <t>VÄRMLANDS LÄN</t>
        </is>
      </c>
      <c r="E2354" t="inlineStr">
        <is>
          <t>TORSBY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30958-2025</t>
        </is>
      </c>
      <c r="B2355" s="1" t="n">
        <v>45832.43880787037</v>
      </c>
      <c r="C2355" s="1" t="n">
        <v>46140</v>
      </c>
      <c r="D2355" t="inlineStr">
        <is>
          <t>VÄRMLANDS LÄN</t>
        </is>
      </c>
      <c r="E2355" t="inlineStr">
        <is>
          <t>TORSBY</t>
        </is>
      </c>
      <c r="G2355" t="n">
        <v>28.5</v>
      </c>
      <c r="H2355" t="n">
        <v>0</v>
      </c>
      <c r="I2355" t="n">
        <v>0</v>
      </c>
      <c r="J2355" t="n">
        <v>0</v>
      </c>
      <c r="K2355" t="n">
        <v>0</v>
      </c>
      <c r="L2355" t="n">
        <v>0</v>
      </c>
      <c r="M2355" t="n">
        <v>0</v>
      </c>
      <c r="N2355" t="n">
        <v>0</v>
      </c>
      <c r="O2355" t="n">
        <v>0</v>
      </c>
      <c r="P2355" t="n">
        <v>0</v>
      </c>
      <c r="Q2355" t="n">
        <v>0</v>
      </c>
      <c r="R2355" s="2" t="inlineStr"/>
    </row>
    <row r="2356" ht="15" customHeight="1">
      <c r="A2356" t="inlineStr">
        <is>
          <t>A 35965-2025</t>
        </is>
      </c>
      <c r="B2356" s="1" t="n">
        <v>45863.39790509259</v>
      </c>
      <c r="C2356" s="1" t="n">
        <v>46140</v>
      </c>
      <c r="D2356" t="inlineStr">
        <is>
          <t>VÄRMLANDS LÄN</t>
        </is>
      </c>
      <c r="E2356" t="inlineStr">
        <is>
          <t>TORSBY</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7378-2025</t>
        </is>
      </c>
      <c r="B2357" s="1" t="n">
        <v>45705</v>
      </c>
      <c r="C2357" s="1" t="n">
        <v>46140</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35980-2025</t>
        </is>
      </c>
      <c r="B2358" s="1" t="n">
        <v>45863</v>
      </c>
      <c r="C2358" s="1" t="n">
        <v>46140</v>
      </c>
      <c r="D2358" t="inlineStr">
        <is>
          <t>VÄRMLANDS LÄN</t>
        </is>
      </c>
      <c r="E2358" t="inlineStr">
        <is>
          <t>TORSBY</t>
        </is>
      </c>
      <c r="F2358" t="inlineStr">
        <is>
          <t>Bergvik skog väst AB</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25961-2025</t>
        </is>
      </c>
      <c r="B2359" s="1" t="n">
        <v>45804</v>
      </c>
      <c r="C2359" s="1" t="n">
        <v>46140</v>
      </c>
      <c r="D2359" t="inlineStr">
        <is>
          <t>VÄRMLANDS LÄN</t>
        </is>
      </c>
      <c r="E2359" t="inlineStr">
        <is>
          <t>TORSBY</t>
        </is>
      </c>
      <c r="G2359" t="n">
        <v>17.8</v>
      </c>
      <c r="H2359" t="n">
        <v>0</v>
      </c>
      <c r="I2359" t="n">
        <v>0</v>
      </c>
      <c r="J2359" t="n">
        <v>0</v>
      </c>
      <c r="K2359" t="n">
        <v>0</v>
      </c>
      <c r="L2359" t="n">
        <v>0</v>
      </c>
      <c r="M2359" t="n">
        <v>0</v>
      </c>
      <c r="N2359" t="n">
        <v>0</v>
      </c>
      <c r="O2359" t="n">
        <v>0</v>
      </c>
      <c r="P2359" t="n">
        <v>0</v>
      </c>
      <c r="Q2359" t="n">
        <v>0</v>
      </c>
      <c r="R2359" s="2" t="inlineStr"/>
    </row>
    <row r="2360" ht="15" customHeight="1">
      <c r="A2360" t="inlineStr">
        <is>
          <t>A 35987-2025</t>
        </is>
      </c>
      <c r="B2360" s="1" t="n">
        <v>45863.46144675926</v>
      </c>
      <c r="C2360" s="1" t="n">
        <v>46140</v>
      </c>
      <c r="D2360" t="inlineStr">
        <is>
          <t>VÄRMLANDS LÄN</t>
        </is>
      </c>
      <c r="E2360" t="inlineStr">
        <is>
          <t>TORSBY</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20191-2025</t>
        </is>
      </c>
      <c r="B2361" s="1" t="n">
        <v>45772</v>
      </c>
      <c r="C2361" s="1" t="n">
        <v>46140</v>
      </c>
      <c r="D2361" t="inlineStr">
        <is>
          <t>VÄRMLANDS LÄN</t>
        </is>
      </c>
      <c r="E2361" t="inlineStr">
        <is>
          <t>TORSBY</t>
        </is>
      </c>
      <c r="F2361" t="inlineStr">
        <is>
          <t>Bergvik skog väst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36288-2025</t>
        </is>
      </c>
      <c r="B2362" s="1" t="n">
        <v>45867.6619212963</v>
      </c>
      <c r="C2362" s="1" t="n">
        <v>46140</v>
      </c>
      <c r="D2362" t="inlineStr">
        <is>
          <t>VÄRMLANDS LÄN</t>
        </is>
      </c>
      <c r="E2362" t="inlineStr">
        <is>
          <t>TORSBY</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36289-2025</t>
        </is>
      </c>
      <c r="B2363" s="1" t="n">
        <v>45867.66329861111</v>
      </c>
      <c r="C2363" s="1" t="n">
        <v>46140</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36256-2025</t>
        </is>
      </c>
      <c r="B2364" s="1" t="n">
        <v>45867.58938657407</v>
      </c>
      <c r="C2364" s="1" t="n">
        <v>46140</v>
      </c>
      <c r="D2364" t="inlineStr">
        <is>
          <t>VÄRMLANDS LÄN</t>
        </is>
      </c>
      <c r="E2364" t="inlineStr">
        <is>
          <t>TORSBY</t>
        </is>
      </c>
      <c r="F2364" t="inlineStr">
        <is>
          <t>Bergvik skog väst AB</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36258-2025</t>
        </is>
      </c>
      <c r="B2365" s="1" t="n">
        <v>45867.59559027778</v>
      </c>
      <c r="C2365" s="1" t="n">
        <v>46140</v>
      </c>
      <c r="D2365" t="inlineStr">
        <is>
          <t>VÄRMLANDS LÄN</t>
        </is>
      </c>
      <c r="E2365" t="inlineStr">
        <is>
          <t>TORSBY</t>
        </is>
      </c>
      <c r="F2365" t="inlineStr">
        <is>
          <t>Bergvik skog väst AB</t>
        </is>
      </c>
      <c r="G2365" t="n">
        <v>13.7</v>
      </c>
      <c r="H2365" t="n">
        <v>0</v>
      </c>
      <c r="I2365" t="n">
        <v>0</v>
      </c>
      <c r="J2365" t="n">
        <v>0</v>
      </c>
      <c r="K2365" t="n">
        <v>0</v>
      </c>
      <c r="L2365" t="n">
        <v>0</v>
      </c>
      <c r="M2365" t="n">
        <v>0</v>
      </c>
      <c r="N2365" t="n">
        <v>0</v>
      </c>
      <c r="O2365" t="n">
        <v>0</v>
      </c>
      <c r="P2365" t="n">
        <v>0</v>
      </c>
      <c r="Q2365" t="n">
        <v>0</v>
      </c>
      <c r="R2365" s="2" t="inlineStr"/>
    </row>
    <row r="2366" ht="15" customHeight="1">
      <c r="A2366" t="inlineStr">
        <is>
          <t>A 32624-2025</t>
        </is>
      </c>
      <c r="B2366" s="1" t="n">
        <v>45838.64796296296</v>
      </c>
      <c r="C2366" s="1" t="n">
        <v>46140</v>
      </c>
      <c r="D2366" t="inlineStr">
        <is>
          <t>VÄRMLANDS LÄN</t>
        </is>
      </c>
      <c r="E2366" t="inlineStr">
        <is>
          <t>TORSBY</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36287-2025</t>
        </is>
      </c>
      <c r="B2367" s="1" t="n">
        <v>45867.65814814815</v>
      </c>
      <c r="C2367" s="1" t="n">
        <v>46140</v>
      </c>
      <c r="D2367" t="inlineStr">
        <is>
          <t>VÄRMLANDS LÄN</t>
        </is>
      </c>
      <c r="E2367" t="inlineStr">
        <is>
          <t>TORSBY</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36279-2025</t>
        </is>
      </c>
      <c r="B2368" s="1" t="n">
        <v>45867.638125</v>
      </c>
      <c r="C2368" s="1" t="n">
        <v>46140</v>
      </c>
      <c r="D2368" t="inlineStr">
        <is>
          <t>VÄRMLANDS LÄN</t>
        </is>
      </c>
      <c r="E2368" t="inlineStr">
        <is>
          <t>TORSBY</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21585-2024</t>
        </is>
      </c>
      <c r="B2369" s="1" t="n">
        <v>45441</v>
      </c>
      <c r="C2369" s="1" t="n">
        <v>46140</v>
      </c>
      <c r="D2369" t="inlineStr">
        <is>
          <t>VÄRMLANDS LÄN</t>
        </is>
      </c>
      <c r="E2369" t="inlineStr">
        <is>
          <t>TORSBY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30836-2025</t>
        </is>
      </c>
      <c r="B2370" s="1" t="n">
        <v>45831.70571759259</v>
      </c>
      <c r="C2370" s="1" t="n">
        <v>46140</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36548-2025</t>
        </is>
      </c>
      <c r="B2371" s="1" t="n">
        <v>45869.74849537037</v>
      </c>
      <c r="C2371" s="1" t="n">
        <v>46140</v>
      </c>
      <c r="D2371" t="inlineStr">
        <is>
          <t>VÄRMLANDS LÄN</t>
        </is>
      </c>
      <c r="E2371" t="inlineStr">
        <is>
          <t>TORSBY</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36530-2025</t>
        </is>
      </c>
      <c r="B2372" s="1" t="n">
        <v>45869.61282407407</v>
      </c>
      <c r="C2372" s="1" t="n">
        <v>46140</v>
      </c>
      <c r="D2372" t="inlineStr">
        <is>
          <t>VÄRMLANDS LÄN</t>
        </is>
      </c>
      <c r="E2372" t="inlineStr">
        <is>
          <t>TORSBY</t>
        </is>
      </c>
      <c r="F2372" t="inlineStr">
        <is>
          <t>Bergvik skog väst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36477-2025</t>
        </is>
      </c>
      <c r="B2373" s="1" t="n">
        <v>45869</v>
      </c>
      <c r="C2373" s="1" t="n">
        <v>46140</v>
      </c>
      <c r="D2373" t="inlineStr">
        <is>
          <t>VÄRMLANDS LÄN</t>
        </is>
      </c>
      <c r="E2373" t="inlineStr">
        <is>
          <t>TORSBY</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36498-2025</t>
        </is>
      </c>
      <c r="B2374" s="1" t="n">
        <v>45869</v>
      </c>
      <c r="C2374" s="1" t="n">
        <v>46140</v>
      </c>
      <c r="D2374" t="inlineStr">
        <is>
          <t>VÄRMLANDS LÄN</t>
        </is>
      </c>
      <c r="E2374" t="inlineStr">
        <is>
          <t>TORSBY</t>
        </is>
      </c>
      <c r="F2374" t="inlineStr">
        <is>
          <t>Bergvik skog väst AB</t>
        </is>
      </c>
      <c r="G2374" t="n">
        <v>10.4</v>
      </c>
      <c r="H2374" t="n">
        <v>0</v>
      </c>
      <c r="I2374" t="n">
        <v>0</v>
      </c>
      <c r="J2374" t="n">
        <v>0</v>
      </c>
      <c r="K2374" t="n">
        <v>0</v>
      </c>
      <c r="L2374" t="n">
        <v>0</v>
      </c>
      <c r="M2374" t="n">
        <v>0</v>
      </c>
      <c r="N2374" t="n">
        <v>0</v>
      </c>
      <c r="O2374" t="n">
        <v>0</v>
      </c>
      <c r="P2374" t="n">
        <v>0</v>
      </c>
      <c r="Q2374" t="n">
        <v>0</v>
      </c>
      <c r="R2374" s="2" t="inlineStr"/>
    </row>
    <row r="2375" ht="15" customHeight="1">
      <c r="A2375" t="inlineStr">
        <is>
          <t>A 36500-2025</t>
        </is>
      </c>
      <c r="B2375" s="1" t="n">
        <v>45869</v>
      </c>
      <c r="C2375" s="1" t="n">
        <v>46140</v>
      </c>
      <c r="D2375" t="inlineStr">
        <is>
          <t>VÄRMLANDS LÄN</t>
        </is>
      </c>
      <c r="E2375" t="inlineStr">
        <is>
          <t>TORSBY</t>
        </is>
      </c>
      <c r="G2375" t="n">
        <v>1.1</v>
      </c>
      <c r="H2375" t="n">
        <v>0</v>
      </c>
      <c r="I2375" t="n">
        <v>0</v>
      </c>
      <c r="J2375" t="n">
        <v>0</v>
      </c>
      <c r="K2375" t="n">
        <v>0</v>
      </c>
      <c r="L2375" t="n">
        <v>0</v>
      </c>
      <c r="M2375" t="n">
        <v>0</v>
      </c>
      <c r="N2375" t="n">
        <v>0</v>
      </c>
      <c r="O2375" t="n">
        <v>0</v>
      </c>
      <c r="P2375" t="n">
        <v>0</v>
      </c>
      <c r="Q2375" t="n">
        <v>0</v>
      </c>
      <c r="R2375" s="2" t="inlineStr"/>
    </row>
    <row r="2376">
      <c r="A2376" t="inlineStr">
        <is>
          <t>A 36483-2025</t>
        </is>
      </c>
      <c r="B2376" s="1" t="n">
        <v>45869</v>
      </c>
      <c r="C2376" s="1" t="n">
        <v>46140</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2026-04-28T10:52:18Z</dcterms:created>
  <dcterms:modified xmlns:dcterms="http://purl.org/dc/terms/" xmlns:xsi="http://www.w3.org/2001/XMLSchema-instance" xsi:type="dcterms:W3CDTF">2026-04-28T10:52:20Z</dcterms:modified>
</cp:coreProperties>
</file>