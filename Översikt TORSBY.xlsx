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45997</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45997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45997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45997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45997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45997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45997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45997</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45997</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49307-2025</t>
        </is>
      </c>
      <c r="B20" s="1" t="n">
        <v>45938.56018518518</v>
      </c>
      <c r="C20" s="1" t="n">
        <v>45997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45997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4553-2021</t>
        </is>
      </c>
      <c r="B22" s="1" t="n">
        <v>44224</v>
      </c>
      <c r="C22" s="1" t="n">
        <v>45997</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44562-2023</t>
        </is>
      </c>
      <c r="B23" s="1" t="n">
        <v>45189</v>
      </c>
      <c r="C23" s="1" t="n">
        <v>45997</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45997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45997</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43822-2023</t>
        </is>
      </c>
      <c r="B26" s="1" t="n">
        <v>45182</v>
      </c>
      <c r="C26" s="1" t="n">
        <v>45997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45997</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45997</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58856-2025</t>
        </is>
      </c>
      <c r="B29" s="1" t="n">
        <v>45987</v>
      </c>
      <c r="C29" s="1" t="n">
        <v>45997</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45997</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7650-2021</t>
        </is>
      </c>
      <c r="B31" s="1" t="n">
        <v>44242</v>
      </c>
      <c r="C31" s="1" t="n">
        <v>45997</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45997</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45997</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45997</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45997</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17057-2025</t>
        </is>
      </c>
      <c r="B36" s="1" t="n">
        <v>45754</v>
      </c>
      <c r="C36" s="1" t="n">
        <v>45997</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8514-2022</t>
        </is>
      </c>
      <c r="B37" s="1" t="n">
        <v>44613.43620370371</v>
      </c>
      <c r="C37" s="1" t="n">
        <v>45997</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45997</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45997</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45997</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62275-2023</t>
        </is>
      </c>
      <c r="B41" s="1" t="n">
        <v>45267</v>
      </c>
      <c r="C41" s="1" t="n">
        <v>45997</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45997</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45997</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4555-2021</t>
        </is>
      </c>
      <c r="B44" s="1" t="n">
        <v>44224</v>
      </c>
      <c r="C44" s="1" t="n">
        <v>45997</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36543-2025</t>
        </is>
      </c>
      <c r="B45" s="1" t="n">
        <v>45869.66658564815</v>
      </c>
      <c r="C45" s="1" t="n">
        <v>45997</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32986-2025</t>
        </is>
      </c>
      <c r="B46" s="1" t="n">
        <v>45839.96859953704</v>
      </c>
      <c r="C46" s="1" t="n">
        <v>45997</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2938-2025</t>
        </is>
      </c>
      <c r="B47" s="1" t="n">
        <v>45678</v>
      </c>
      <c r="C47" s="1" t="n">
        <v>45997</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173-2021</t>
        </is>
      </c>
      <c r="B48" s="1" t="n">
        <v>44200</v>
      </c>
      <c r="C48" s="1" t="n">
        <v>45997</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45997</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20763-2025</t>
        </is>
      </c>
      <c r="B50" s="1" t="n">
        <v>45776.57929398148</v>
      </c>
      <c r="C50" s="1" t="n">
        <v>45997</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15086-2025</t>
        </is>
      </c>
      <c r="B51" s="1" t="n">
        <v>45743</v>
      </c>
      <c r="C51" s="1" t="n">
        <v>45997</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45997</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37948-2024</t>
        </is>
      </c>
      <c r="B53" s="1" t="n">
        <v>45544</v>
      </c>
      <c r="C53" s="1" t="n">
        <v>45997</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43385-2024</t>
        </is>
      </c>
      <c r="B54" s="1" t="n">
        <v>45568</v>
      </c>
      <c r="C54" s="1" t="n">
        <v>45997</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42501-2022</t>
        </is>
      </c>
      <c r="B55" s="1" t="n">
        <v>44831</v>
      </c>
      <c r="C55" s="1" t="n">
        <v>45997</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70301-2021</t>
        </is>
      </c>
      <c r="B56" s="1" t="n">
        <v>44536</v>
      </c>
      <c r="C56" s="1" t="n">
        <v>45997</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45997</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42480-2022</t>
        </is>
      </c>
      <c r="B58" s="1" t="n">
        <v>44831</v>
      </c>
      <c r="C58" s="1" t="n">
        <v>45997</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31835-2024</t>
        </is>
      </c>
      <c r="B59" s="1" t="n">
        <v>45509</v>
      </c>
      <c r="C59" s="1" t="n">
        <v>45997</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45997</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46016-2023</t>
        </is>
      </c>
      <c r="B61" s="1" t="n">
        <v>45196</v>
      </c>
      <c r="C61" s="1" t="n">
        <v>45997</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57190-2024</t>
        </is>
      </c>
      <c r="B62" s="1" t="n">
        <v>45629</v>
      </c>
      <c r="C62" s="1" t="n">
        <v>45997</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42590-2023</t>
        </is>
      </c>
      <c r="B63" s="1" t="n">
        <v>45181</v>
      </c>
      <c r="C63" s="1" t="n">
        <v>45997</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15044-2025</t>
        </is>
      </c>
      <c r="B64" s="1" t="n">
        <v>45743</v>
      </c>
      <c r="C64" s="1" t="n">
        <v>45997</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19030-2025</t>
        </is>
      </c>
      <c r="B65" s="1" t="n">
        <v>45764.65658564815</v>
      </c>
      <c r="C65" s="1" t="n">
        <v>45997</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59789-2024</t>
        </is>
      </c>
      <c r="B66" s="1" t="n">
        <v>45639</v>
      </c>
      <c r="C66" s="1" t="n">
        <v>45997</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3099-2024</t>
        </is>
      </c>
      <c r="B67" s="1" t="n">
        <v>45316</v>
      </c>
      <c r="C67" s="1" t="n">
        <v>45997</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17740-2025</t>
        </is>
      </c>
      <c r="B68" s="1" t="n">
        <v>45758</v>
      </c>
      <c r="C68" s="1" t="n">
        <v>45997</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45468-2025</t>
        </is>
      </c>
      <c r="B69" s="1" t="n">
        <v>45922</v>
      </c>
      <c r="C69" s="1" t="n">
        <v>45997</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42595-2025</t>
        </is>
      </c>
      <c r="B70" s="1" t="n">
        <v>45905</v>
      </c>
      <c r="C70" s="1" t="n">
        <v>45997</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23576-2022</t>
        </is>
      </c>
      <c r="B71" s="1" t="n">
        <v>44721</v>
      </c>
      <c r="C71" s="1" t="n">
        <v>45997</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67528-2021</t>
        </is>
      </c>
      <c r="B72" s="1" t="n">
        <v>44524</v>
      </c>
      <c r="C72" s="1" t="n">
        <v>45997</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1524-2021</t>
        </is>
      </c>
      <c r="B73" s="1" t="n">
        <v>44209</v>
      </c>
      <c r="C73" s="1" t="n">
        <v>45997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16011-2025</t>
        </is>
      </c>
      <c r="B75" s="1" t="n">
        <v>45749</v>
      </c>
      <c r="C75" s="1" t="n">
        <v>45997</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23091-2024</t>
        </is>
      </c>
      <c r="B76" s="1" t="n">
        <v>45450</v>
      </c>
      <c r="C76" s="1" t="n">
        <v>45997</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45997</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42610-2023</t>
        </is>
      </c>
      <c r="B78" s="1" t="n">
        <v>45181</v>
      </c>
      <c r="C78" s="1" t="n">
        <v>45997</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45997</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45997</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62955-2023</t>
        </is>
      </c>
      <c r="B81" s="1" t="n">
        <v>45271</v>
      </c>
      <c r="C81" s="1" t="n">
        <v>45997</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2000-2023</t>
        </is>
      </c>
      <c r="B82" s="1" t="n">
        <v>44939</v>
      </c>
      <c r="C82" s="1" t="n">
        <v>45997</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16442-2023</t>
        </is>
      </c>
      <c r="B83" s="1" t="n">
        <v>45026</v>
      </c>
      <c r="C83" s="1" t="n">
        <v>45997</v>
      </c>
      <c r="D83" t="inlineStr">
        <is>
          <t>VÄRMLANDS LÄN</t>
        </is>
      </c>
      <c r="E83" t="inlineStr">
        <is>
          <t>TORSBY</t>
        </is>
      </c>
      <c r="G83" t="n">
        <v>2.1</v>
      </c>
      <c r="H83" t="n">
        <v>0</v>
      </c>
      <c r="I83" t="n">
        <v>0</v>
      </c>
      <c r="J83" t="n">
        <v>2</v>
      </c>
      <c r="K83" t="n">
        <v>0</v>
      </c>
      <c r="L83" t="n">
        <v>0</v>
      </c>
      <c r="M83" t="n">
        <v>0</v>
      </c>
      <c r="N83" t="n">
        <v>0</v>
      </c>
      <c r="O83" t="n">
        <v>2</v>
      </c>
      <c r="P83" t="n">
        <v>0</v>
      </c>
      <c r="Q83" t="n">
        <v>2</v>
      </c>
      <c r="R83" s="2" t="inlineStr">
        <is>
          <t>Garnlav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34930-2022</t>
        </is>
      </c>
      <c r="B84" s="1" t="n">
        <v>44796</v>
      </c>
      <c r="C84" s="1" t="n">
        <v>45997</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45997</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45997</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33906-2025</t>
        </is>
      </c>
      <c r="B87" s="1" t="n">
        <v>45842.59878472222</v>
      </c>
      <c r="C87" s="1" t="n">
        <v>45997</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37388-2025</t>
        </is>
      </c>
      <c r="B88" s="1" t="n">
        <v>45877</v>
      </c>
      <c r="C88" s="1" t="n">
        <v>45997</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42488-2025</t>
        </is>
      </c>
      <c r="B89" s="1" t="n">
        <v>45905</v>
      </c>
      <c r="C89" s="1" t="n">
        <v>45997</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16414-2023</t>
        </is>
      </c>
      <c r="B90" s="1" t="n">
        <v>45022</v>
      </c>
      <c r="C90" s="1" t="n">
        <v>45997</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48970-2025</t>
        </is>
      </c>
      <c r="B91" s="1" t="n">
        <v>45937.56392361111</v>
      </c>
      <c r="C91" s="1" t="n">
        <v>45997</v>
      </c>
      <c r="D91" t="inlineStr">
        <is>
          <t>VÄRMLANDS LÄN</t>
        </is>
      </c>
      <c r="E91" t="inlineStr">
        <is>
          <t>TORSBY</t>
        </is>
      </c>
      <c r="G91" t="n">
        <v>6.4</v>
      </c>
      <c r="H91" t="n">
        <v>0</v>
      </c>
      <c r="I91" t="n">
        <v>0</v>
      </c>
      <c r="J91" t="n">
        <v>2</v>
      </c>
      <c r="K91" t="n">
        <v>0</v>
      </c>
      <c r="L91" t="n">
        <v>0</v>
      </c>
      <c r="M91" t="n">
        <v>0</v>
      </c>
      <c r="N91" t="n">
        <v>0</v>
      </c>
      <c r="O91" t="n">
        <v>2</v>
      </c>
      <c r="P91" t="n">
        <v>0</v>
      </c>
      <c r="Q91" t="n">
        <v>2</v>
      </c>
      <c r="R91" s="2" t="inlineStr">
        <is>
          <t>Garnlav
Lunglav</t>
        </is>
      </c>
      <c r="S91">
        <f>HYPERLINK("https://klasma.github.io/Logging_1737/artfynd/A 48970-2025 artfynd.xlsx", "A 48970-2025")</f>
        <v/>
      </c>
      <c r="T91">
        <f>HYPERLINK("https://klasma.github.io/Logging_1737/kartor/A 48970-2025 karta.png", "A 48970-2025")</f>
        <v/>
      </c>
      <c r="V91">
        <f>HYPERLINK("https://klasma.github.io/Logging_1737/klagomål/A 48970-2025 FSC-klagomål.docx", "A 48970-2025")</f>
        <v/>
      </c>
      <c r="W91">
        <f>HYPERLINK("https://klasma.github.io/Logging_1737/klagomålsmail/A 48970-2025 FSC-klagomål mail.docx", "A 48970-2025")</f>
        <v/>
      </c>
      <c r="X91">
        <f>HYPERLINK("https://klasma.github.io/Logging_1737/tillsyn/A 48970-2025 tillsynsbegäran.docx", "A 48970-2025")</f>
        <v/>
      </c>
      <c r="Y91">
        <f>HYPERLINK("https://klasma.github.io/Logging_1737/tillsynsmail/A 48970-2025 tillsynsbegäran mail.docx", "A 48970-2025")</f>
        <v/>
      </c>
    </row>
    <row r="92" ht="15" customHeight="1">
      <c r="A92" t="inlineStr">
        <is>
          <t>A 4718-2023</t>
        </is>
      </c>
      <c r="B92" s="1" t="n">
        <v>44957</v>
      </c>
      <c r="C92" s="1" t="n">
        <v>45997</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46580-2025</t>
        </is>
      </c>
      <c r="B93" s="1" t="n">
        <v>45926</v>
      </c>
      <c r="C93" s="1" t="n">
        <v>45997</v>
      </c>
      <c r="D93" t="inlineStr">
        <is>
          <t>VÄRMLANDS LÄN</t>
        </is>
      </c>
      <c r="E93" t="inlineStr">
        <is>
          <t>TORSBY</t>
        </is>
      </c>
      <c r="G93" t="n">
        <v>1.4</v>
      </c>
      <c r="H93" t="n">
        <v>0</v>
      </c>
      <c r="I93" t="n">
        <v>0</v>
      </c>
      <c r="J93" t="n">
        <v>2</v>
      </c>
      <c r="K93" t="n">
        <v>0</v>
      </c>
      <c r="L93" t="n">
        <v>0</v>
      </c>
      <c r="M93" t="n">
        <v>0</v>
      </c>
      <c r="N93" t="n">
        <v>0</v>
      </c>
      <c r="O93" t="n">
        <v>2</v>
      </c>
      <c r="P93" t="n">
        <v>0</v>
      </c>
      <c r="Q93" t="n">
        <v>2</v>
      </c>
      <c r="R93" s="2" t="inlineStr">
        <is>
          <t>Garnlav
Vedskivlav</t>
        </is>
      </c>
      <c r="S93">
        <f>HYPERLINK("https://klasma.github.io/Logging_1737/artfynd/A 46580-2025 artfynd.xlsx", "A 46580-2025")</f>
        <v/>
      </c>
      <c r="T93">
        <f>HYPERLINK("https://klasma.github.io/Logging_1737/kartor/A 46580-2025 karta.png", "A 46580-2025")</f>
        <v/>
      </c>
      <c r="V93">
        <f>HYPERLINK("https://klasma.github.io/Logging_1737/klagomål/A 46580-2025 FSC-klagomål.docx", "A 46580-2025")</f>
        <v/>
      </c>
      <c r="W93">
        <f>HYPERLINK("https://klasma.github.io/Logging_1737/klagomålsmail/A 46580-2025 FSC-klagomål mail.docx", "A 46580-2025")</f>
        <v/>
      </c>
      <c r="X93">
        <f>HYPERLINK("https://klasma.github.io/Logging_1737/tillsyn/A 46580-2025 tillsynsbegäran.docx", "A 46580-2025")</f>
        <v/>
      </c>
      <c r="Y93">
        <f>HYPERLINK("https://klasma.github.io/Logging_1737/tillsynsmail/A 46580-2025 tillsynsbegäran mail.docx", "A 46580-2025")</f>
        <v/>
      </c>
    </row>
    <row r="94" ht="15" customHeight="1">
      <c r="A94" t="inlineStr">
        <is>
          <t>A 25212-2025</t>
        </is>
      </c>
      <c r="B94" s="1" t="n">
        <v>45800</v>
      </c>
      <c r="C94" s="1" t="n">
        <v>45997</v>
      </c>
      <c r="D94" t="inlineStr">
        <is>
          <t>VÄRMLANDS LÄN</t>
        </is>
      </c>
      <c r="E94" t="inlineStr">
        <is>
          <t>TORSBY</t>
        </is>
      </c>
      <c r="F94" t="inlineStr">
        <is>
          <t>Bergvik skog väst AB</t>
        </is>
      </c>
      <c r="G94" t="n">
        <v>6.4</v>
      </c>
      <c r="H94" t="n">
        <v>1</v>
      </c>
      <c r="I94" t="n">
        <v>1</v>
      </c>
      <c r="J94" t="n">
        <v>0</v>
      </c>
      <c r="K94" t="n">
        <v>1</v>
      </c>
      <c r="L94" t="n">
        <v>0</v>
      </c>
      <c r="M94" t="n">
        <v>0</v>
      </c>
      <c r="N94" t="n">
        <v>0</v>
      </c>
      <c r="O94" t="n">
        <v>1</v>
      </c>
      <c r="P94" t="n">
        <v>1</v>
      </c>
      <c r="Q94" t="n">
        <v>2</v>
      </c>
      <c r="R94" s="2" t="inlineStr">
        <is>
          <t>Bombmurkla
Vedticka</t>
        </is>
      </c>
      <c r="S94">
        <f>HYPERLINK("https://klasma.github.io/Logging_1737/artfynd/A 25212-2025 artfynd.xlsx", "A 25212-2025")</f>
        <v/>
      </c>
      <c r="T94">
        <f>HYPERLINK("https://klasma.github.io/Logging_1737/kartor/A 25212-2025 karta.png", "A 25212-2025")</f>
        <v/>
      </c>
      <c r="V94">
        <f>HYPERLINK("https://klasma.github.io/Logging_1737/klagomål/A 25212-2025 FSC-klagomål.docx", "A 25212-2025")</f>
        <v/>
      </c>
      <c r="W94">
        <f>HYPERLINK("https://klasma.github.io/Logging_1737/klagomålsmail/A 25212-2025 FSC-klagomål mail.docx", "A 25212-2025")</f>
        <v/>
      </c>
      <c r="X94">
        <f>HYPERLINK("https://klasma.github.io/Logging_1737/tillsyn/A 25212-2025 tillsynsbegäran.docx", "A 25212-2025")</f>
        <v/>
      </c>
      <c r="Y94">
        <f>HYPERLINK("https://klasma.github.io/Logging_1737/tillsynsmail/A 25212-2025 tillsynsbegäran mail.docx", "A 25212-2025")</f>
        <v/>
      </c>
    </row>
    <row r="95" ht="15" customHeight="1">
      <c r="A95" t="inlineStr">
        <is>
          <t>A 48292-2023</t>
        </is>
      </c>
      <c r="B95" s="1" t="n">
        <v>45205</v>
      </c>
      <c r="C95" s="1" t="n">
        <v>45997</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34853-2021</t>
        </is>
      </c>
      <c r="B96" s="1" t="n">
        <v>44383</v>
      </c>
      <c r="C96" s="1" t="n">
        <v>45997</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45997</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45997</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14212-2025</t>
        </is>
      </c>
      <c r="B100" s="1" t="n">
        <v>45740</v>
      </c>
      <c r="C100" s="1" t="n">
        <v>45997</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16164-2025</t>
        </is>
      </c>
      <c r="B101" s="1" t="n">
        <v>45750</v>
      </c>
      <c r="C101" s="1" t="n">
        <v>45997</v>
      </c>
      <c r="D101" t="inlineStr">
        <is>
          <t>VÄRMLANDS LÄN</t>
        </is>
      </c>
      <c r="E101" t="inlineStr">
        <is>
          <t>TORSBY</t>
        </is>
      </c>
      <c r="G101" t="n">
        <v>1.4</v>
      </c>
      <c r="H101" t="n">
        <v>0</v>
      </c>
      <c r="I101" t="n">
        <v>0</v>
      </c>
      <c r="J101" t="n">
        <v>1</v>
      </c>
      <c r="K101" t="n">
        <v>0</v>
      </c>
      <c r="L101" t="n">
        <v>0</v>
      </c>
      <c r="M101" t="n">
        <v>0</v>
      </c>
      <c r="N101" t="n">
        <v>0</v>
      </c>
      <c r="O101" t="n">
        <v>1</v>
      </c>
      <c r="P101" t="n">
        <v>0</v>
      </c>
      <c r="Q101" t="n">
        <v>1</v>
      </c>
      <c r="R101" s="2" t="inlineStr">
        <is>
          <t>Tallriska</t>
        </is>
      </c>
      <c r="S101">
        <f>HYPERLINK("https://klasma.github.io/Logging_1737/artfynd/A 16164-2025 artfynd.xlsx", "A 16164-2025")</f>
        <v/>
      </c>
      <c r="T101">
        <f>HYPERLINK("https://klasma.github.io/Logging_1737/kartor/A 16164-2025 karta.png", "A 16164-2025")</f>
        <v/>
      </c>
      <c r="V101">
        <f>HYPERLINK("https://klasma.github.io/Logging_1737/klagomål/A 16164-2025 FSC-klagomål.docx", "A 16164-2025")</f>
        <v/>
      </c>
      <c r="W101">
        <f>HYPERLINK("https://klasma.github.io/Logging_1737/klagomålsmail/A 16164-2025 FSC-klagomål mail.docx", "A 16164-2025")</f>
        <v/>
      </c>
      <c r="X101">
        <f>HYPERLINK("https://klasma.github.io/Logging_1737/tillsyn/A 16164-2025 tillsynsbegäran.docx", "A 16164-2025")</f>
        <v/>
      </c>
      <c r="Y101">
        <f>HYPERLINK("https://klasma.github.io/Logging_1737/tillsynsmail/A 16164-2025 tillsynsbegäran mail.docx", "A 16164-2025")</f>
        <v/>
      </c>
    </row>
    <row r="102" ht="15" customHeight="1">
      <c r="A102" t="inlineStr">
        <is>
          <t>A 42500-2022</t>
        </is>
      </c>
      <c r="B102" s="1" t="n">
        <v>44831</v>
      </c>
      <c r="C102" s="1" t="n">
        <v>45997</v>
      </c>
      <c r="D102" t="inlineStr">
        <is>
          <t>VÄRMLANDS LÄN</t>
        </is>
      </c>
      <c r="E102" t="inlineStr">
        <is>
          <t>TORSBY</t>
        </is>
      </c>
      <c r="F102" t="inlineStr">
        <is>
          <t>Kommuner</t>
        </is>
      </c>
      <c r="G102" t="n">
        <v>2.3</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42500-2022 artfynd.xlsx", "A 42500-2022")</f>
        <v/>
      </c>
      <c r="T102">
        <f>HYPERLINK("https://klasma.github.io/Logging_1737/kartor/A 42500-2022 karta.png", "A 42500-2022")</f>
        <v/>
      </c>
      <c r="U102">
        <f>HYPERLINK("https://klasma.github.io/Logging_1737/knärot/A 42500-2022 karta knärot.png", "A 42500-2022")</f>
        <v/>
      </c>
      <c r="V102">
        <f>HYPERLINK("https://klasma.github.io/Logging_1737/klagomål/A 42500-2022 FSC-klagomål.docx", "A 42500-2022")</f>
        <v/>
      </c>
      <c r="W102">
        <f>HYPERLINK("https://klasma.github.io/Logging_1737/klagomålsmail/A 42500-2022 FSC-klagomål mail.docx", "A 42500-2022")</f>
        <v/>
      </c>
      <c r="X102">
        <f>HYPERLINK("https://klasma.github.io/Logging_1737/tillsyn/A 42500-2022 tillsynsbegäran.docx", "A 42500-2022")</f>
        <v/>
      </c>
      <c r="Y102">
        <f>HYPERLINK("https://klasma.github.io/Logging_1737/tillsynsmail/A 42500-2022 tillsynsbegäran mail.docx", "A 42500-2022")</f>
        <v/>
      </c>
    </row>
    <row r="103" ht="15" customHeight="1">
      <c r="A103" t="inlineStr">
        <is>
          <t>A 40033-2024</t>
        </is>
      </c>
      <c r="B103" s="1" t="n">
        <v>45553</v>
      </c>
      <c r="C103" s="1" t="n">
        <v>45997</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50236-2022</t>
        </is>
      </c>
      <c r="B104" s="1" t="n">
        <v>44865</v>
      </c>
      <c r="C104" s="1" t="n">
        <v>45997</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Garnlav</t>
        </is>
      </c>
      <c r="S104">
        <f>HYPERLINK("https://klasma.github.io/Logging_1737/artfynd/A 50236-2022 artfynd.xlsx", "A 50236-2022")</f>
        <v/>
      </c>
      <c r="T104">
        <f>HYPERLINK("https://klasma.github.io/Logging_1737/kartor/A 50236-2022 karta.png", "A 50236-2022")</f>
        <v/>
      </c>
      <c r="V104">
        <f>HYPERLINK("https://klasma.github.io/Logging_1737/klagomål/A 50236-2022 FSC-klagomål.docx", "A 50236-2022")</f>
        <v/>
      </c>
      <c r="W104">
        <f>HYPERLINK("https://klasma.github.io/Logging_1737/klagomålsmail/A 50236-2022 FSC-klagomål mail.docx", "A 50236-2022")</f>
        <v/>
      </c>
      <c r="X104">
        <f>HYPERLINK("https://klasma.github.io/Logging_1737/tillsyn/A 50236-2022 tillsynsbegäran.docx", "A 50236-2022")</f>
        <v/>
      </c>
      <c r="Y104">
        <f>HYPERLINK("https://klasma.github.io/Logging_1737/tillsynsmail/A 50236-2022 tillsynsbegäran mail.docx", "A 50236-2022")</f>
        <v/>
      </c>
    </row>
    <row r="105" ht="15" customHeight="1">
      <c r="A105" t="inlineStr">
        <is>
          <t>A 54982-2021</t>
        </is>
      </c>
      <c r="B105" s="1" t="n">
        <v>44469</v>
      </c>
      <c r="C105" s="1" t="n">
        <v>45997</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39681-2023</t>
        </is>
      </c>
      <c r="B106" s="1" t="n">
        <v>45167</v>
      </c>
      <c r="C106" s="1" t="n">
        <v>45997</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49110-2021</t>
        </is>
      </c>
      <c r="B107" s="1" t="n">
        <v>44453</v>
      </c>
      <c r="C107" s="1" t="n">
        <v>45997</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58014-2024</t>
        </is>
      </c>
      <c r="B108" s="1" t="n">
        <v>45631</v>
      </c>
      <c r="C108" s="1" t="n">
        <v>45997</v>
      </c>
      <c r="D108" t="inlineStr">
        <is>
          <t>VÄRMLANDS LÄN</t>
        </is>
      </c>
      <c r="E108" t="inlineStr">
        <is>
          <t>TORSBY</t>
        </is>
      </c>
      <c r="G108" t="n">
        <v>2.2</v>
      </c>
      <c r="H108" t="n">
        <v>0</v>
      </c>
      <c r="I108" t="n">
        <v>1</v>
      </c>
      <c r="J108" t="n">
        <v>0</v>
      </c>
      <c r="K108" t="n">
        <v>0</v>
      </c>
      <c r="L108" t="n">
        <v>0</v>
      </c>
      <c r="M108" t="n">
        <v>0</v>
      </c>
      <c r="N108" t="n">
        <v>0</v>
      </c>
      <c r="O108" t="n">
        <v>0</v>
      </c>
      <c r="P108" t="n">
        <v>0</v>
      </c>
      <c r="Q108" t="n">
        <v>1</v>
      </c>
      <c r="R108" s="2" t="inlineStr">
        <is>
          <t>Kattfotslav</t>
        </is>
      </c>
      <c r="S108">
        <f>HYPERLINK("https://klasma.github.io/Logging_1737/artfynd/A 58014-2024 artfynd.xlsx", "A 58014-2024")</f>
        <v/>
      </c>
      <c r="T108">
        <f>HYPERLINK("https://klasma.github.io/Logging_1737/kartor/A 58014-2024 karta.png", "A 58014-2024")</f>
        <v/>
      </c>
      <c r="V108">
        <f>HYPERLINK("https://klasma.github.io/Logging_1737/klagomål/A 58014-2024 FSC-klagomål.docx", "A 58014-2024")</f>
        <v/>
      </c>
      <c r="W108">
        <f>HYPERLINK("https://klasma.github.io/Logging_1737/klagomålsmail/A 58014-2024 FSC-klagomål mail.docx", "A 58014-2024")</f>
        <v/>
      </c>
      <c r="X108">
        <f>HYPERLINK("https://klasma.github.io/Logging_1737/tillsyn/A 58014-2024 tillsynsbegäran.docx", "A 58014-2024")</f>
        <v/>
      </c>
      <c r="Y108">
        <f>HYPERLINK("https://klasma.github.io/Logging_1737/tillsynsmail/A 58014-2024 tillsynsbegäran mail.docx", "A 58014-2024")</f>
        <v/>
      </c>
    </row>
    <row r="109" ht="15" customHeight="1">
      <c r="A109" t="inlineStr">
        <is>
          <t>A 51288-2022</t>
        </is>
      </c>
      <c r="B109" s="1" t="n">
        <v>44868</v>
      </c>
      <c r="C109" s="1" t="n">
        <v>45997</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15872-2025</t>
        </is>
      </c>
      <c r="B110" s="1" t="n">
        <v>45749</v>
      </c>
      <c r="C110" s="1" t="n">
        <v>45997</v>
      </c>
      <c r="D110" t="inlineStr">
        <is>
          <t>VÄRMLANDS LÄN</t>
        </is>
      </c>
      <c r="E110" t="inlineStr">
        <is>
          <t>TORSBY</t>
        </is>
      </c>
      <c r="F110" t="inlineStr">
        <is>
          <t>Bergvik skog väst AB</t>
        </is>
      </c>
      <c r="G110" t="n">
        <v>10.8</v>
      </c>
      <c r="H110" t="n">
        <v>1</v>
      </c>
      <c r="I110" t="n">
        <v>1</v>
      </c>
      <c r="J110" t="n">
        <v>0</v>
      </c>
      <c r="K110" t="n">
        <v>0</v>
      </c>
      <c r="L110" t="n">
        <v>0</v>
      </c>
      <c r="M110" t="n">
        <v>0</v>
      </c>
      <c r="N110" t="n">
        <v>0</v>
      </c>
      <c r="O110" t="n">
        <v>0</v>
      </c>
      <c r="P110" t="n">
        <v>0</v>
      </c>
      <c r="Q110" t="n">
        <v>1</v>
      </c>
      <c r="R110" s="2" t="inlineStr">
        <is>
          <t>Korallrot</t>
        </is>
      </c>
      <c r="S110">
        <f>HYPERLINK("https://klasma.github.io/Logging_1737/artfynd/A 15872-2025 artfynd.xlsx", "A 15872-2025")</f>
        <v/>
      </c>
      <c r="T110">
        <f>HYPERLINK("https://klasma.github.io/Logging_1737/kartor/A 15872-2025 karta.png", "A 15872-2025")</f>
        <v/>
      </c>
      <c r="V110">
        <f>HYPERLINK("https://klasma.github.io/Logging_1737/klagomål/A 15872-2025 FSC-klagomål.docx", "A 15872-2025")</f>
        <v/>
      </c>
      <c r="W110">
        <f>HYPERLINK("https://klasma.github.io/Logging_1737/klagomålsmail/A 15872-2025 FSC-klagomål mail.docx", "A 15872-2025")</f>
        <v/>
      </c>
      <c r="X110">
        <f>HYPERLINK("https://klasma.github.io/Logging_1737/tillsyn/A 15872-2025 tillsynsbegäran.docx", "A 15872-2025")</f>
        <v/>
      </c>
      <c r="Y110">
        <f>HYPERLINK("https://klasma.github.io/Logging_1737/tillsynsmail/A 15872-2025 tillsynsbegäran mail.docx", "A 15872-2025")</f>
        <v/>
      </c>
    </row>
    <row r="111" ht="15" customHeight="1">
      <c r="A111" t="inlineStr">
        <is>
          <t>A 26747-2023</t>
        </is>
      </c>
      <c r="B111" s="1" t="n">
        <v>45090</v>
      </c>
      <c r="C111" s="1" t="n">
        <v>45997</v>
      </c>
      <c r="D111" t="inlineStr">
        <is>
          <t>VÄRMLANDS LÄN</t>
        </is>
      </c>
      <c r="E111" t="inlineStr">
        <is>
          <t>TORSBY</t>
        </is>
      </c>
      <c r="F111" t="inlineStr">
        <is>
          <t>Övriga statliga verk och myndigheter</t>
        </is>
      </c>
      <c r="G111" t="n">
        <v>4.5</v>
      </c>
      <c r="H111" t="n">
        <v>0</v>
      </c>
      <c r="I111" t="n">
        <v>0</v>
      </c>
      <c r="J111" t="n">
        <v>1</v>
      </c>
      <c r="K111" t="n">
        <v>0</v>
      </c>
      <c r="L111" t="n">
        <v>0</v>
      </c>
      <c r="M111" t="n">
        <v>0</v>
      </c>
      <c r="N111" t="n">
        <v>0</v>
      </c>
      <c r="O111" t="n">
        <v>1</v>
      </c>
      <c r="P111" t="n">
        <v>0</v>
      </c>
      <c r="Q111" t="n">
        <v>1</v>
      </c>
      <c r="R111" s="2" t="inlineStr">
        <is>
          <t>Garnlav</t>
        </is>
      </c>
      <c r="S111">
        <f>HYPERLINK("https://klasma.github.io/Logging_1737/artfynd/A 26747-2023 artfynd.xlsx", "A 26747-2023")</f>
        <v/>
      </c>
      <c r="T111">
        <f>HYPERLINK("https://klasma.github.io/Logging_1737/kartor/A 26747-2023 karta.png", "A 26747-2023")</f>
        <v/>
      </c>
      <c r="V111">
        <f>HYPERLINK("https://klasma.github.io/Logging_1737/klagomål/A 26747-2023 FSC-klagomål.docx", "A 26747-2023")</f>
        <v/>
      </c>
      <c r="W111">
        <f>HYPERLINK("https://klasma.github.io/Logging_1737/klagomålsmail/A 26747-2023 FSC-klagomål mail.docx", "A 26747-2023")</f>
        <v/>
      </c>
      <c r="X111">
        <f>HYPERLINK("https://klasma.github.io/Logging_1737/tillsyn/A 26747-2023 tillsynsbegäran.docx", "A 26747-2023")</f>
        <v/>
      </c>
      <c r="Y111">
        <f>HYPERLINK("https://klasma.github.io/Logging_1737/tillsynsmail/A 26747-2023 tillsynsbegäran mail.docx", "A 26747-2023")</f>
        <v/>
      </c>
    </row>
    <row r="112" ht="15" customHeight="1">
      <c r="A112" t="inlineStr">
        <is>
          <t>A 58470-2021</t>
        </is>
      </c>
      <c r="B112" s="1" t="n">
        <v>44488</v>
      </c>
      <c r="C112" s="1" t="n">
        <v>45997</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40934-2024</t>
        </is>
      </c>
      <c r="B113" s="1" t="n">
        <v>45558</v>
      </c>
      <c r="C113" s="1" t="n">
        <v>45997</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Lunglav</t>
        </is>
      </c>
      <c r="S113">
        <f>HYPERLINK("https://klasma.github.io/Logging_1737/artfynd/A 40934-2024 artfynd.xlsx", "A 40934-2024")</f>
        <v/>
      </c>
      <c r="T113">
        <f>HYPERLINK("https://klasma.github.io/Logging_1737/kartor/A 40934-2024 karta.png", "A 40934-2024")</f>
        <v/>
      </c>
      <c r="V113">
        <f>HYPERLINK("https://klasma.github.io/Logging_1737/klagomål/A 40934-2024 FSC-klagomål.docx", "A 40934-2024")</f>
        <v/>
      </c>
      <c r="W113">
        <f>HYPERLINK("https://klasma.github.io/Logging_1737/klagomålsmail/A 40934-2024 FSC-klagomål mail.docx", "A 40934-2024")</f>
        <v/>
      </c>
      <c r="X113">
        <f>HYPERLINK("https://klasma.github.io/Logging_1737/tillsyn/A 40934-2024 tillsynsbegäran.docx", "A 40934-2024")</f>
        <v/>
      </c>
      <c r="Y113">
        <f>HYPERLINK("https://klasma.github.io/Logging_1737/tillsynsmail/A 40934-2024 tillsynsbegäran mail.docx", "A 40934-2024")</f>
        <v/>
      </c>
    </row>
    <row r="114" ht="15" customHeight="1">
      <c r="A114" t="inlineStr">
        <is>
          <t>A 37292-2024</t>
        </is>
      </c>
      <c r="B114" s="1" t="n">
        <v>45540</v>
      </c>
      <c r="C114" s="1" t="n">
        <v>45997</v>
      </c>
      <c r="D114" t="inlineStr">
        <is>
          <t>VÄRMLANDS LÄN</t>
        </is>
      </c>
      <c r="E114" t="inlineStr">
        <is>
          <t>TORSBY</t>
        </is>
      </c>
      <c r="G114" t="n">
        <v>5.4</v>
      </c>
      <c r="H114" t="n">
        <v>0</v>
      </c>
      <c r="I114" t="n">
        <v>0</v>
      </c>
      <c r="J114" t="n">
        <v>1</v>
      </c>
      <c r="K114" t="n">
        <v>0</v>
      </c>
      <c r="L114" t="n">
        <v>0</v>
      </c>
      <c r="M114" t="n">
        <v>0</v>
      </c>
      <c r="N114" t="n">
        <v>0</v>
      </c>
      <c r="O114" t="n">
        <v>1</v>
      </c>
      <c r="P114" t="n">
        <v>0</v>
      </c>
      <c r="Q114" t="n">
        <v>1</v>
      </c>
      <c r="R114" s="2" t="inlineStr">
        <is>
          <t>Garnlav</t>
        </is>
      </c>
      <c r="S114">
        <f>HYPERLINK("https://klasma.github.io/Logging_1737/artfynd/A 37292-2024 artfynd.xlsx", "A 37292-2024")</f>
        <v/>
      </c>
      <c r="T114">
        <f>HYPERLINK("https://klasma.github.io/Logging_1737/kartor/A 37292-2024 karta.png", "A 37292-2024")</f>
        <v/>
      </c>
      <c r="V114">
        <f>HYPERLINK("https://klasma.github.io/Logging_1737/klagomål/A 37292-2024 FSC-klagomål.docx", "A 37292-2024")</f>
        <v/>
      </c>
      <c r="W114">
        <f>HYPERLINK("https://klasma.github.io/Logging_1737/klagomålsmail/A 37292-2024 FSC-klagomål mail.docx", "A 37292-2024")</f>
        <v/>
      </c>
      <c r="X114">
        <f>HYPERLINK("https://klasma.github.io/Logging_1737/tillsyn/A 37292-2024 tillsynsbegäran.docx", "A 37292-2024")</f>
        <v/>
      </c>
      <c r="Y114">
        <f>HYPERLINK("https://klasma.github.io/Logging_1737/tillsynsmail/A 37292-2024 tillsynsbegäran mail.docx", "A 37292-2024")</f>
        <v/>
      </c>
    </row>
    <row r="115" ht="15" customHeight="1">
      <c r="A115" t="inlineStr">
        <is>
          <t>A 24042-2021</t>
        </is>
      </c>
      <c r="B115" s="1" t="n">
        <v>44336</v>
      </c>
      <c r="C115" s="1" t="n">
        <v>45997</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41477-2024</t>
        </is>
      </c>
      <c r="B116" s="1" t="n">
        <v>45560</v>
      </c>
      <c r="C116" s="1" t="n">
        <v>45997</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16572-2022</t>
        </is>
      </c>
      <c r="B117" s="1" t="n">
        <v>44672</v>
      </c>
      <c r="C117" s="1" t="n">
        <v>45997</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Skogsklocka</t>
        </is>
      </c>
      <c r="S117">
        <f>HYPERLINK("https://klasma.github.io/Logging_1737/artfynd/A 16572-2022 artfynd.xlsx", "A 16572-2022")</f>
        <v/>
      </c>
      <c r="T117">
        <f>HYPERLINK("https://klasma.github.io/Logging_1737/kartor/A 16572-2022 karta.png", "A 16572-2022")</f>
        <v/>
      </c>
      <c r="V117">
        <f>HYPERLINK("https://klasma.github.io/Logging_1737/klagomål/A 16572-2022 FSC-klagomål.docx", "A 16572-2022")</f>
        <v/>
      </c>
      <c r="W117">
        <f>HYPERLINK("https://klasma.github.io/Logging_1737/klagomålsmail/A 16572-2022 FSC-klagomål mail.docx", "A 16572-2022")</f>
        <v/>
      </c>
      <c r="X117">
        <f>HYPERLINK("https://klasma.github.io/Logging_1737/tillsyn/A 16572-2022 tillsynsbegäran.docx", "A 16572-2022")</f>
        <v/>
      </c>
      <c r="Y117">
        <f>HYPERLINK("https://klasma.github.io/Logging_1737/tillsynsmail/A 16572-2022 tillsynsbegäran mail.docx", "A 16572-2022")</f>
        <v/>
      </c>
    </row>
    <row r="118" ht="15" customHeight="1">
      <c r="A118" t="inlineStr">
        <is>
          <t>A 54029-2024</t>
        </is>
      </c>
      <c r="B118" s="1" t="n">
        <v>45616</v>
      </c>
      <c r="C118" s="1" t="n">
        <v>45997</v>
      </c>
      <c r="D118" t="inlineStr">
        <is>
          <t>VÄRMLANDS LÄN</t>
        </is>
      </c>
      <c r="E118" t="inlineStr">
        <is>
          <t>TORSBY</t>
        </is>
      </c>
      <c r="G118" t="n">
        <v>10.2</v>
      </c>
      <c r="H118" t="n">
        <v>0</v>
      </c>
      <c r="I118" t="n">
        <v>1</v>
      </c>
      <c r="J118" t="n">
        <v>0</v>
      </c>
      <c r="K118" t="n">
        <v>0</v>
      </c>
      <c r="L118" t="n">
        <v>0</v>
      </c>
      <c r="M118" t="n">
        <v>0</v>
      </c>
      <c r="N118" t="n">
        <v>0</v>
      </c>
      <c r="O118" t="n">
        <v>0</v>
      </c>
      <c r="P118" t="n">
        <v>0</v>
      </c>
      <c r="Q118" t="n">
        <v>1</v>
      </c>
      <c r="R118" s="2" t="inlineStr">
        <is>
          <t>Vedticka</t>
        </is>
      </c>
      <c r="S118">
        <f>HYPERLINK("https://klasma.github.io/Logging_1737/artfynd/A 54029-2024 artfynd.xlsx", "A 54029-2024")</f>
        <v/>
      </c>
      <c r="T118">
        <f>HYPERLINK("https://klasma.github.io/Logging_1737/kartor/A 54029-2024 karta.png", "A 54029-2024")</f>
        <v/>
      </c>
      <c r="V118">
        <f>HYPERLINK("https://klasma.github.io/Logging_1737/klagomål/A 54029-2024 FSC-klagomål.docx", "A 54029-2024")</f>
        <v/>
      </c>
      <c r="W118">
        <f>HYPERLINK("https://klasma.github.io/Logging_1737/klagomålsmail/A 54029-2024 FSC-klagomål mail.docx", "A 54029-2024")</f>
        <v/>
      </c>
      <c r="X118">
        <f>HYPERLINK("https://klasma.github.io/Logging_1737/tillsyn/A 54029-2024 tillsynsbegäran.docx", "A 54029-2024")</f>
        <v/>
      </c>
      <c r="Y118">
        <f>HYPERLINK("https://klasma.github.io/Logging_1737/tillsynsmail/A 54029-2024 tillsynsbegäran mail.docx", "A 54029-2024")</f>
        <v/>
      </c>
    </row>
    <row r="119" ht="15" customHeight="1">
      <c r="A119" t="inlineStr">
        <is>
          <t>A 46099-2023</t>
        </is>
      </c>
      <c r="B119" s="1" t="n">
        <v>45196</v>
      </c>
      <c r="C119" s="1" t="n">
        <v>45997</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54009-2024</t>
        </is>
      </c>
      <c r="B120" s="1" t="n">
        <v>45616</v>
      </c>
      <c r="C120" s="1" t="n">
        <v>45997</v>
      </c>
      <c r="D120" t="inlineStr">
        <is>
          <t>VÄRMLANDS LÄN</t>
        </is>
      </c>
      <c r="E120" t="inlineStr">
        <is>
          <t>TORSBY</t>
        </is>
      </c>
      <c r="F120" t="inlineStr">
        <is>
          <t>Bergvik skog väst AB</t>
        </is>
      </c>
      <c r="G120" t="n">
        <v>8.800000000000001</v>
      </c>
      <c r="H120" t="n">
        <v>1</v>
      </c>
      <c r="I120" t="n">
        <v>1</v>
      </c>
      <c r="J120" t="n">
        <v>0</v>
      </c>
      <c r="K120" t="n">
        <v>0</v>
      </c>
      <c r="L120" t="n">
        <v>0</v>
      </c>
      <c r="M120" t="n">
        <v>0</v>
      </c>
      <c r="N120" t="n">
        <v>0</v>
      </c>
      <c r="O120" t="n">
        <v>0</v>
      </c>
      <c r="P120" t="n">
        <v>0</v>
      </c>
      <c r="Q120" t="n">
        <v>1</v>
      </c>
      <c r="R120" s="2" t="inlineStr">
        <is>
          <t>Korallrot</t>
        </is>
      </c>
      <c r="S120">
        <f>HYPERLINK("https://klasma.github.io/Logging_1737/artfynd/A 54009-2024 artfynd.xlsx", "A 54009-2024")</f>
        <v/>
      </c>
      <c r="T120">
        <f>HYPERLINK("https://klasma.github.io/Logging_1737/kartor/A 54009-2024 karta.png", "A 54009-2024")</f>
        <v/>
      </c>
      <c r="V120">
        <f>HYPERLINK("https://klasma.github.io/Logging_1737/klagomål/A 54009-2024 FSC-klagomål.docx", "A 54009-2024")</f>
        <v/>
      </c>
      <c r="W120">
        <f>HYPERLINK("https://klasma.github.io/Logging_1737/klagomålsmail/A 54009-2024 FSC-klagomål mail.docx", "A 54009-2024")</f>
        <v/>
      </c>
      <c r="X120">
        <f>HYPERLINK("https://klasma.github.io/Logging_1737/tillsyn/A 54009-2024 tillsynsbegäran.docx", "A 54009-2024")</f>
        <v/>
      </c>
      <c r="Y120">
        <f>HYPERLINK("https://klasma.github.io/Logging_1737/tillsynsmail/A 54009-2024 tillsynsbegäran mail.docx", "A 54009-2024")</f>
        <v/>
      </c>
    </row>
    <row r="121" ht="15" customHeight="1">
      <c r="A121" t="inlineStr">
        <is>
          <t>A 25276-2025</t>
        </is>
      </c>
      <c r="B121" s="1" t="n">
        <v>45800</v>
      </c>
      <c r="C121" s="1" t="n">
        <v>45997</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45997</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37548-2025</t>
        </is>
      </c>
      <c r="B123" s="1" t="n">
        <v>45879</v>
      </c>
      <c r="C123" s="1" t="n">
        <v>45997</v>
      </c>
      <c r="D123" t="inlineStr">
        <is>
          <t>VÄRMLANDS LÄN</t>
        </is>
      </c>
      <c r="E123" t="inlineStr">
        <is>
          <t>TORSBY</t>
        </is>
      </c>
      <c r="G123" t="n">
        <v>9.5</v>
      </c>
      <c r="H123" t="n">
        <v>1</v>
      </c>
      <c r="I123" t="n">
        <v>0</v>
      </c>
      <c r="J123" t="n">
        <v>1</v>
      </c>
      <c r="K123" t="n">
        <v>0</v>
      </c>
      <c r="L123" t="n">
        <v>0</v>
      </c>
      <c r="M123" t="n">
        <v>0</v>
      </c>
      <c r="N123" t="n">
        <v>0</v>
      </c>
      <c r="O123" t="n">
        <v>1</v>
      </c>
      <c r="P123" t="n">
        <v>0</v>
      </c>
      <c r="Q123" t="n">
        <v>1</v>
      </c>
      <c r="R123" s="2" t="inlineStr">
        <is>
          <t>Talltita</t>
        </is>
      </c>
      <c r="S123">
        <f>HYPERLINK("https://klasma.github.io/Logging_1737/artfynd/A 37548-2025 artfynd.xlsx", "A 37548-2025")</f>
        <v/>
      </c>
      <c r="T123">
        <f>HYPERLINK("https://klasma.github.io/Logging_1737/kartor/A 37548-2025 karta.png", "A 37548-2025")</f>
        <v/>
      </c>
      <c r="V123">
        <f>HYPERLINK("https://klasma.github.io/Logging_1737/klagomål/A 37548-2025 FSC-klagomål.docx", "A 37548-2025")</f>
        <v/>
      </c>
      <c r="W123">
        <f>HYPERLINK("https://klasma.github.io/Logging_1737/klagomålsmail/A 37548-2025 FSC-klagomål mail.docx", "A 37548-2025")</f>
        <v/>
      </c>
      <c r="X123">
        <f>HYPERLINK("https://klasma.github.io/Logging_1737/tillsyn/A 37548-2025 tillsynsbegäran.docx", "A 37548-2025")</f>
        <v/>
      </c>
      <c r="Y123">
        <f>HYPERLINK("https://klasma.github.io/Logging_1737/tillsynsmail/A 37548-2025 tillsynsbegäran mail.docx", "A 37548-2025")</f>
        <v/>
      </c>
      <c r="Z123">
        <f>HYPERLINK("https://klasma.github.io/Logging_1737/fåglar/A 37548-2025 prioriterade fågelarter.docx", "A 37548-2025")</f>
        <v/>
      </c>
    </row>
    <row r="124" ht="15" customHeight="1">
      <c r="A124" t="inlineStr">
        <is>
          <t>A 37699-2025</t>
        </is>
      </c>
      <c r="B124" s="1" t="n">
        <v>45880</v>
      </c>
      <c r="C124" s="1" t="n">
        <v>45997</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45997</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1811-2024</t>
        </is>
      </c>
      <c r="B126" s="1" t="n">
        <v>45307</v>
      </c>
      <c r="C126" s="1" t="n">
        <v>45997</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44018-2025</t>
        </is>
      </c>
      <c r="B127" s="1" t="n">
        <v>45915</v>
      </c>
      <c r="C127" s="1" t="n">
        <v>45997</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56186-2025</t>
        </is>
      </c>
      <c r="B128" s="1" t="n">
        <v>45974</v>
      </c>
      <c r="C128" s="1" t="n">
        <v>45997</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50318-2024</t>
        </is>
      </c>
      <c r="B129" s="1" t="n">
        <v>45600</v>
      </c>
      <c r="C129" s="1" t="n">
        <v>45997</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52418-2025</t>
        </is>
      </c>
      <c r="B130" s="1" t="n">
        <v>45954.36844907407</v>
      </c>
      <c r="C130" s="1" t="n">
        <v>45997</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25217-2025</t>
        </is>
      </c>
      <c r="B131" s="1" t="n">
        <v>45800.4756712963</v>
      </c>
      <c r="C131" s="1" t="n">
        <v>45997</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25802-2025</t>
        </is>
      </c>
      <c r="B132" s="1" t="n">
        <v>45804.40766203704</v>
      </c>
      <c r="C132" s="1" t="n">
        <v>45997</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Tallticka</t>
        </is>
      </c>
      <c r="S132">
        <f>HYPERLINK("https://klasma.github.io/Logging_1737/artfynd/A 25802-2025 artfynd.xlsx", "A 25802-2025")</f>
        <v/>
      </c>
      <c r="T132">
        <f>HYPERLINK("https://klasma.github.io/Logging_1737/kartor/A 25802-2025 karta.png", "A 25802-2025")</f>
        <v/>
      </c>
      <c r="V132">
        <f>HYPERLINK("https://klasma.github.io/Logging_1737/klagomål/A 25802-2025 FSC-klagomål.docx", "A 25802-2025")</f>
        <v/>
      </c>
      <c r="W132">
        <f>HYPERLINK("https://klasma.github.io/Logging_1737/klagomålsmail/A 25802-2025 FSC-klagomål mail.docx", "A 25802-2025")</f>
        <v/>
      </c>
      <c r="X132">
        <f>HYPERLINK("https://klasma.github.io/Logging_1737/tillsyn/A 25802-2025 tillsynsbegäran.docx", "A 25802-2025")</f>
        <v/>
      </c>
      <c r="Y132">
        <f>HYPERLINK("https://klasma.github.io/Logging_1737/tillsynsmail/A 25802-2025 tillsynsbegäran mail.docx", "A 25802-2025")</f>
        <v/>
      </c>
    </row>
    <row r="133" ht="15" customHeight="1">
      <c r="A133" t="inlineStr">
        <is>
          <t>A 53388-2025</t>
        </is>
      </c>
      <c r="B133" s="1" t="n">
        <v>45959.54763888889</v>
      </c>
      <c r="C133" s="1" t="n">
        <v>45997</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27301-2025</t>
        </is>
      </c>
      <c r="B134" s="1" t="n">
        <v>45812.57186342592</v>
      </c>
      <c r="C134" s="1" t="n">
        <v>45997</v>
      </c>
      <c r="D134" t="inlineStr">
        <is>
          <t>VÄRMLANDS LÄN</t>
        </is>
      </c>
      <c r="E134" t="inlineStr">
        <is>
          <t>TORSBY</t>
        </is>
      </c>
      <c r="G134" t="n">
        <v>2.7</v>
      </c>
      <c r="H134" t="n">
        <v>1</v>
      </c>
      <c r="I134" t="n">
        <v>0</v>
      </c>
      <c r="J134" t="n">
        <v>1</v>
      </c>
      <c r="K134" t="n">
        <v>0</v>
      </c>
      <c r="L134" t="n">
        <v>0</v>
      </c>
      <c r="M134" t="n">
        <v>0</v>
      </c>
      <c r="N134" t="n">
        <v>0</v>
      </c>
      <c r="O134" t="n">
        <v>1</v>
      </c>
      <c r="P134" t="n">
        <v>0</v>
      </c>
      <c r="Q134" t="n">
        <v>1</v>
      </c>
      <c r="R134" s="2" t="inlineStr">
        <is>
          <t>Nordfladdermus</t>
        </is>
      </c>
      <c r="S134">
        <f>HYPERLINK("https://klasma.github.io/Logging_1737/artfynd/A 27301-2025 artfynd.xlsx", "A 27301-2025")</f>
        <v/>
      </c>
      <c r="T134">
        <f>HYPERLINK("https://klasma.github.io/Logging_1737/kartor/A 27301-2025 karta.png", "A 27301-2025")</f>
        <v/>
      </c>
      <c r="V134">
        <f>HYPERLINK("https://klasma.github.io/Logging_1737/klagomål/A 27301-2025 FSC-klagomål.docx", "A 27301-2025")</f>
        <v/>
      </c>
      <c r="W134">
        <f>HYPERLINK("https://klasma.github.io/Logging_1737/klagomålsmail/A 27301-2025 FSC-klagomål mail.docx", "A 27301-2025")</f>
        <v/>
      </c>
      <c r="X134">
        <f>HYPERLINK("https://klasma.github.io/Logging_1737/tillsyn/A 27301-2025 tillsynsbegäran.docx", "A 27301-2025")</f>
        <v/>
      </c>
      <c r="Y134">
        <f>HYPERLINK("https://klasma.github.io/Logging_1737/tillsynsmail/A 27301-2025 tillsynsbegäran mail.docx", "A 27301-2025")</f>
        <v/>
      </c>
    </row>
    <row r="135" ht="15" customHeight="1">
      <c r="A135" t="inlineStr">
        <is>
          <t>A 27108-2025</t>
        </is>
      </c>
      <c r="B135" s="1" t="n">
        <v>45811.72777777778</v>
      </c>
      <c r="C135" s="1" t="n">
        <v>45997</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27108-2025 artfynd.xlsx", "A 27108-2025")</f>
        <v/>
      </c>
      <c r="T135">
        <f>HYPERLINK("https://klasma.github.io/Logging_1737/kartor/A 27108-2025 karta.png", "A 27108-2025")</f>
        <v/>
      </c>
      <c r="V135">
        <f>HYPERLINK("https://klasma.github.io/Logging_1737/klagomål/A 27108-2025 FSC-klagomål.docx", "A 27108-2025")</f>
        <v/>
      </c>
      <c r="W135">
        <f>HYPERLINK("https://klasma.github.io/Logging_1737/klagomålsmail/A 27108-2025 FSC-klagomål mail.docx", "A 27108-2025")</f>
        <v/>
      </c>
      <c r="X135">
        <f>HYPERLINK("https://klasma.github.io/Logging_1737/tillsyn/A 27108-2025 tillsynsbegäran.docx", "A 27108-2025")</f>
        <v/>
      </c>
      <c r="Y135">
        <f>HYPERLINK("https://klasma.github.io/Logging_1737/tillsynsmail/A 27108-2025 tillsynsbegäran mail.docx", "A 27108-2025")</f>
        <v/>
      </c>
    </row>
    <row r="136" ht="15" customHeight="1">
      <c r="A136" t="inlineStr">
        <is>
          <t>A 49724-2023</t>
        </is>
      </c>
      <c r="B136" s="1" t="n">
        <v>45208</v>
      </c>
      <c r="C136" s="1" t="n">
        <v>45997</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50712-2025</t>
        </is>
      </c>
      <c r="B137" s="1" t="n">
        <v>45946.34440972222</v>
      </c>
      <c r="C137" s="1" t="n">
        <v>45997</v>
      </c>
      <c r="D137" t="inlineStr">
        <is>
          <t>VÄRMLANDS LÄN</t>
        </is>
      </c>
      <c r="E137" t="inlineStr">
        <is>
          <t>TORSBY</t>
        </is>
      </c>
      <c r="F137" t="inlineStr">
        <is>
          <t>Bergvik skog väst AB</t>
        </is>
      </c>
      <c r="G137" t="n">
        <v>7.6</v>
      </c>
      <c r="H137" t="n">
        <v>0</v>
      </c>
      <c r="I137" t="n">
        <v>0</v>
      </c>
      <c r="J137" t="n">
        <v>1</v>
      </c>
      <c r="K137" t="n">
        <v>0</v>
      </c>
      <c r="L137" t="n">
        <v>0</v>
      </c>
      <c r="M137" t="n">
        <v>0</v>
      </c>
      <c r="N137" t="n">
        <v>0</v>
      </c>
      <c r="O137" t="n">
        <v>1</v>
      </c>
      <c r="P137" t="n">
        <v>0</v>
      </c>
      <c r="Q137" t="n">
        <v>1</v>
      </c>
      <c r="R137" s="2" t="inlineStr">
        <is>
          <t>Vedskivlav</t>
        </is>
      </c>
      <c r="S137">
        <f>HYPERLINK("https://klasma.github.io/Logging_1737/artfynd/A 50712-2025 artfynd.xlsx", "A 50712-2025")</f>
        <v/>
      </c>
      <c r="T137">
        <f>HYPERLINK("https://klasma.github.io/Logging_1737/kartor/A 50712-2025 karta.png", "A 50712-2025")</f>
        <v/>
      </c>
      <c r="V137">
        <f>HYPERLINK("https://klasma.github.io/Logging_1737/klagomål/A 50712-2025 FSC-klagomål.docx", "A 50712-2025")</f>
        <v/>
      </c>
      <c r="W137">
        <f>HYPERLINK("https://klasma.github.io/Logging_1737/klagomålsmail/A 50712-2025 FSC-klagomål mail.docx", "A 50712-2025")</f>
        <v/>
      </c>
      <c r="X137">
        <f>HYPERLINK("https://klasma.github.io/Logging_1737/tillsyn/A 50712-2025 tillsynsbegäran.docx", "A 50712-2025")</f>
        <v/>
      </c>
      <c r="Y137">
        <f>HYPERLINK("https://klasma.github.io/Logging_1737/tillsynsmail/A 50712-2025 tillsynsbegäran mail.docx", "A 50712-2025")</f>
        <v/>
      </c>
    </row>
    <row r="138" ht="15" customHeight="1">
      <c r="A138" t="inlineStr">
        <is>
          <t>A 29756-2025</t>
        </is>
      </c>
      <c r="B138" s="1" t="n">
        <v>45825.61525462963</v>
      </c>
      <c r="C138" s="1" t="n">
        <v>45997</v>
      </c>
      <c r="D138" t="inlineStr">
        <is>
          <t>VÄRMLANDS LÄN</t>
        </is>
      </c>
      <c r="E138" t="inlineStr">
        <is>
          <t>TORSBY</t>
        </is>
      </c>
      <c r="G138" t="n">
        <v>6.9</v>
      </c>
      <c r="H138" t="n">
        <v>0</v>
      </c>
      <c r="I138" t="n">
        <v>0</v>
      </c>
      <c r="J138" t="n">
        <v>1</v>
      </c>
      <c r="K138" t="n">
        <v>0</v>
      </c>
      <c r="L138" t="n">
        <v>0</v>
      </c>
      <c r="M138" t="n">
        <v>0</v>
      </c>
      <c r="N138" t="n">
        <v>0</v>
      </c>
      <c r="O138" t="n">
        <v>1</v>
      </c>
      <c r="P138" t="n">
        <v>0</v>
      </c>
      <c r="Q138" t="n">
        <v>1</v>
      </c>
      <c r="R138" s="2" t="inlineStr">
        <is>
          <t>Garnlav</t>
        </is>
      </c>
      <c r="S138">
        <f>HYPERLINK("https://klasma.github.io/Logging_1737/artfynd/A 29756-2025 artfynd.xlsx", "A 29756-2025")</f>
        <v/>
      </c>
      <c r="T138">
        <f>HYPERLINK("https://klasma.github.io/Logging_1737/kartor/A 29756-2025 karta.png", "A 29756-2025")</f>
        <v/>
      </c>
      <c r="V138">
        <f>HYPERLINK("https://klasma.github.io/Logging_1737/klagomål/A 29756-2025 FSC-klagomål.docx", "A 29756-2025")</f>
        <v/>
      </c>
      <c r="W138">
        <f>HYPERLINK("https://klasma.github.io/Logging_1737/klagomålsmail/A 29756-2025 FSC-klagomål mail.docx", "A 29756-2025")</f>
        <v/>
      </c>
      <c r="X138">
        <f>HYPERLINK("https://klasma.github.io/Logging_1737/tillsyn/A 29756-2025 tillsynsbegäran.docx", "A 29756-2025")</f>
        <v/>
      </c>
      <c r="Y138">
        <f>HYPERLINK("https://klasma.github.io/Logging_1737/tillsynsmail/A 29756-2025 tillsynsbegäran mail.docx", "A 29756-2025")</f>
        <v/>
      </c>
    </row>
    <row r="139" ht="15" customHeight="1">
      <c r="A139" t="inlineStr">
        <is>
          <t>A 60688-2025</t>
        </is>
      </c>
      <c r="B139" s="1" t="n">
        <v>45996.58616898148</v>
      </c>
      <c r="C139" s="1" t="n">
        <v>45997</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32328-2025</t>
        </is>
      </c>
      <c r="B140" s="1" t="n">
        <v>45836.46289351852</v>
      </c>
      <c r="C140" s="1" t="n">
        <v>45997</v>
      </c>
      <c r="D140" t="inlineStr">
        <is>
          <t>VÄRMLANDS LÄN</t>
        </is>
      </c>
      <c r="E140" t="inlineStr">
        <is>
          <t>TORSBY</t>
        </is>
      </c>
      <c r="G140" t="n">
        <v>1.1</v>
      </c>
      <c r="H140" t="n">
        <v>0</v>
      </c>
      <c r="I140" t="n">
        <v>0</v>
      </c>
      <c r="J140" t="n">
        <v>1</v>
      </c>
      <c r="K140" t="n">
        <v>0</v>
      </c>
      <c r="L140" t="n">
        <v>0</v>
      </c>
      <c r="M140" t="n">
        <v>0</v>
      </c>
      <c r="N140" t="n">
        <v>0</v>
      </c>
      <c r="O140" t="n">
        <v>1</v>
      </c>
      <c r="P140" t="n">
        <v>0</v>
      </c>
      <c r="Q140" t="n">
        <v>1</v>
      </c>
      <c r="R140" s="2" t="inlineStr">
        <is>
          <t>Ullticka</t>
        </is>
      </c>
      <c r="S140">
        <f>HYPERLINK("https://klasma.github.io/Logging_1737/artfynd/A 32328-2025 artfynd.xlsx", "A 32328-2025")</f>
        <v/>
      </c>
      <c r="T140">
        <f>HYPERLINK("https://klasma.github.io/Logging_1737/kartor/A 32328-2025 karta.png", "A 32328-2025")</f>
        <v/>
      </c>
      <c r="V140">
        <f>HYPERLINK("https://klasma.github.io/Logging_1737/klagomål/A 32328-2025 FSC-klagomål.docx", "A 32328-2025")</f>
        <v/>
      </c>
      <c r="W140">
        <f>HYPERLINK("https://klasma.github.io/Logging_1737/klagomålsmail/A 32328-2025 FSC-klagomål mail.docx", "A 32328-2025")</f>
        <v/>
      </c>
      <c r="X140">
        <f>HYPERLINK("https://klasma.github.io/Logging_1737/tillsyn/A 32328-2025 tillsynsbegäran.docx", "A 32328-2025")</f>
        <v/>
      </c>
      <c r="Y140">
        <f>HYPERLINK("https://klasma.github.io/Logging_1737/tillsynsmail/A 32328-2025 tillsynsbegäran mail.docx", "A 32328-2025")</f>
        <v/>
      </c>
    </row>
    <row r="141" ht="15" customHeight="1">
      <c r="A141" t="inlineStr">
        <is>
          <t>A 8747-2021</t>
        </is>
      </c>
      <c r="B141" s="1" t="n">
        <v>44246</v>
      </c>
      <c r="C141" s="1" t="n">
        <v>45997</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13359-2023</t>
        </is>
      </c>
      <c r="B142" s="1" t="n">
        <v>45005.46405092593</v>
      </c>
      <c r="C142" s="1" t="n">
        <v>45997</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13361-2023</t>
        </is>
      </c>
      <c r="B143" s="1" t="n">
        <v>45005</v>
      </c>
      <c r="C143" s="1" t="n">
        <v>45997</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56133-2024</t>
        </is>
      </c>
      <c r="B144" s="1" t="n">
        <v>45624</v>
      </c>
      <c r="C144" s="1" t="n">
        <v>45997</v>
      </c>
      <c r="D144" t="inlineStr">
        <is>
          <t>VÄRMLANDS LÄN</t>
        </is>
      </c>
      <c r="E144" t="inlineStr">
        <is>
          <t>TORSBY</t>
        </is>
      </c>
      <c r="G144" t="n">
        <v>2.4</v>
      </c>
      <c r="H144" t="n">
        <v>0</v>
      </c>
      <c r="I144" t="n">
        <v>1</v>
      </c>
      <c r="J144" t="n">
        <v>0</v>
      </c>
      <c r="K144" t="n">
        <v>0</v>
      </c>
      <c r="L144" t="n">
        <v>0</v>
      </c>
      <c r="M144" t="n">
        <v>0</v>
      </c>
      <c r="N144" t="n">
        <v>0</v>
      </c>
      <c r="O144" t="n">
        <v>0</v>
      </c>
      <c r="P144" t="n">
        <v>0</v>
      </c>
      <c r="Q144" t="n">
        <v>1</v>
      </c>
      <c r="R144" s="2" t="inlineStr">
        <is>
          <t>Vedticka</t>
        </is>
      </c>
      <c r="S144">
        <f>HYPERLINK("https://klasma.github.io/Logging_1737/artfynd/A 56133-2024 artfynd.xlsx", "A 56133-2024")</f>
        <v/>
      </c>
      <c r="T144">
        <f>HYPERLINK("https://klasma.github.io/Logging_1737/kartor/A 56133-2024 karta.png", "A 56133-2024")</f>
        <v/>
      </c>
      <c r="V144">
        <f>HYPERLINK("https://klasma.github.io/Logging_1737/klagomål/A 56133-2024 FSC-klagomål.docx", "A 56133-2024")</f>
        <v/>
      </c>
      <c r="W144">
        <f>HYPERLINK("https://klasma.github.io/Logging_1737/klagomålsmail/A 56133-2024 FSC-klagomål mail.docx", "A 56133-2024")</f>
        <v/>
      </c>
      <c r="X144">
        <f>HYPERLINK("https://klasma.github.io/Logging_1737/tillsyn/A 56133-2024 tillsynsbegäran.docx", "A 56133-2024")</f>
        <v/>
      </c>
      <c r="Y144">
        <f>HYPERLINK("https://klasma.github.io/Logging_1737/tillsynsmail/A 56133-2024 tillsynsbegäran mail.docx", "A 56133-2024")</f>
        <v/>
      </c>
    </row>
    <row r="145" ht="15" customHeight="1">
      <c r="A145" t="inlineStr">
        <is>
          <t>A 5726-2025</t>
        </is>
      </c>
      <c r="B145" s="1" t="n">
        <v>45694</v>
      </c>
      <c r="C145" s="1" t="n">
        <v>45997</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47689-2024</t>
        </is>
      </c>
      <c r="B146" s="1" t="n">
        <v>45588</v>
      </c>
      <c r="C146" s="1" t="n">
        <v>45997</v>
      </c>
      <c r="D146" t="inlineStr">
        <is>
          <t>VÄRMLANDS LÄN</t>
        </is>
      </c>
      <c r="E146" t="inlineStr">
        <is>
          <t>TORSBY</t>
        </is>
      </c>
      <c r="G146" t="n">
        <v>3.1</v>
      </c>
      <c r="H146" t="n">
        <v>0</v>
      </c>
      <c r="I146" t="n">
        <v>0</v>
      </c>
      <c r="J146" t="n">
        <v>1</v>
      </c>
      <c r="K146" t="n">
        <v>0</v>
      </c>
      <c r="L146" t="n">
        <v>0</v>
      </c>
      <c r="M146" t="n">
        <v>0</v>
      </c>
      <c r="N146" t="n">
        <v>0</v>
      </c>
      <c r="O146" t="n">
        <v>1</v>
      </c>
      <c r="P146" t="n">
        <v>0</v>
      </c>
      <c r="Q146" t="n">
        <v>1</v>
      </c>
      <c r="R146" s="2" t="inlineStr">
        <is>
          <t>Garnlav</t>
        </is>
      </c>
      <c r="S146">
        <f>HYPERLINK("https://klasma.github.io/Logging_1737/artfynd/A 47689-2024 artfynd.xlsx", "A 47689-2024")</f>
        <v/>
      </c>
      <c r="T146">
        <f>HYPERLINK("https://klasma.github.io/Logging_1737/kartor/A 47689-2024 karta.png", "A 47689-2024")</f>
        <v/>
      </c>
      <c r="V146">
        <f>HYPERLINK("https://klasma.github.io/Logging_1737/klagomål/A 47689-2024 FSC-klagomål.docx", "A 47689-2024")</f>
        <v/>
      </c>
      <c r="W146">
        <f>HYPERLINK("https://klasma.github.io/Logging_1737/klagomålsmail/A 47689-2024 FSC-klagomål mail.docx", "A 47689-2024")</f>
        <v/>
      </c>
      <c r="X146">
        <f>HYPERLINK("https://klasma.github.io/Logging_1737/tillsyn/A 47689-2024 tillsynsbegäran.docx", "A 47689-2024")</f>
        <v/>
      </c>
      <c r="Y146">
        <f>HYPERLINK("https://klasma.github.io/Logging_1737/tillsynsmail/A 47689-2024 tillsynsbegäran mail.docx", "A 47689-2024")</f>
        <v/>
      </c>
    </row>
    <row r="147" ht="15" customHeight="1">
      <c r="A147" t="inlineStr">
        <is>
          <t>A 15548-2023</t>
        </is>
      </c>
      <c r="B147" s="1" t="n">
        <v>45020</v>
      </c>
      <c r="C147" s="1" t="n">
        <v>45997</v>
      </c>
      <c r="D147" t="inlineStr">
        <is>
          <t>VÄRMLANDS LÄN</t>
        </is>
      </c>
      <c r="E147" t="inlineStr">
        <is>
          <t>TORSBY</t>
        </is>
      </c>
      <c r="G147" t="n">
        <v>0.6</v>
      </c>
      <c r="H147" t="n">
        <v>1</v>
      </c>
      <c r="I147" t="n">
        <v>0</v>
      </c>
      <c r="J147" t="n">
        <v>1</v>
      </c>
      <c r="K147" t="n">
        <v>0</v>
      </c>
      <c r="L147" t="n">
        <v>0</v>
      </c>
      <c r="M147" t="n">
        <v>0</v>
      </c>
      <c r="N147" t="n">
        <v>0</v>
      </c>
      <c r="O147" t="n">
        <v>1</v>
      </c>
      <c r="P147" t="n">
        <v>0</v>
      </c>
      <c r="Q147" t="n">
        <v>1</v>
      </c>
      <c r="R147" s="2" t="inlineStr">
        <is>
          <t>Spillkråka</t>
        </is>
      </c>
      <c r="S147">
        <f>HYPERLINK("https://klasma.github.io/Logging_1737/artfynd/A 15548-2023 artfynd.xlsx", "A 15548-2023")</f>
        <v/>
      </c>
      <c r="T147">
        <f>HYPERLINK("https://klasma.github.io/Logging_1737/kartor/A 15548-2023 karta.png", "A 15548-2023")</f>
        <v/>
      </c>
      <c r="V147">
        <f>HYPERLINK("https://klasma.github.io/Logging_1737/klagomål/A 15548-2023 FSC-klagomål.docx", "A 15548-2023")</f>
        <v/>
      </c>
      <c r="W147">
        <f>HYPERLINK("https://klasma.github.io/Logging_1737/klagomålsmail/A 15548-2023 FSC-klagomål mail.docx", "A 15548-2023")</f>
        <v/>
      </c>
      <c r="X147">
        <f>HYPERLINK("https://klasma.github.io/Logging_1737/tillsyn/A 15548-2023 tillsynsbegäran.docx", "A 15548-2023")</f>
        <v/>
      </c>
      <c r="Y147">
        <f>HYPERLINK("https://klasma.github.io/Logging_1737/tillsynsmail/A 15548-2023 tillsynsbegäran mail.docx", "A 15548-2023")</f>
        <v/>
      </c>
      <c r="Z147">
        <f>HYPERLINK("https://klasma.github.io/Logging_1737/fåglar/A 15548-2023 prioriterade fågelarter.docx", "A 15548-2023")</f>
        <v/>
      </c>
    </row>
    <row r="148" ht="15" customHeight="1">
      <c r="A148" t="inlineStr">
        <is>
          <t>A 1526-2021</t>
        </is>
      </c>
      <c r="B148" s="1" t="n">
        <v>44209</v>
      </c>
      <c r="C148" s="1" t="n">
        <v>45997</v>
      </c>
      <c r="D148" t="inlineStr">
        <is>
          <t>VÄRMLANDS LÄN</t>
        </is>
      </c>
      <c r="E148" t="inlineStr">
        <is>
          <t>TORSBY</t>
        </is>
      </c>
      <c r="G148" t="n">
        <v>0.7</v>
      </c>
      <c r="H148" t="n">
        <v>0</v>
      </c>
      <c r="I148" t="n">
        <v>0</v>
      </c>
      <c r="J148" t="n">
        <v>0</v>
      </c>
      <c r="K148" t="n">
        <v>0</v>
      </c>
      <c r="L148" t="n">
        <v>0</v>
      </c>
      <c r="M148" t="n">
        <v>0</v>
      </c>
      <c r="N148" t="n">
        <v>0</v>
      </c>
      <c r="O148" t="n">
        <v>0</v>
      </c>
      <c r="P148" t="n">
        <v>0</v>
      </c>
      <c r="Q148" t="n">
        <v>0</v>
      </c>
      <c r="R148" s="2" t="inlineStr"/>
    </row>
    <row r="149" ht="15" customHeight="1">
      <c r="A149" t="inlineStr">
        <is>
          <t>A 19974-2021</t>
        </is>
      </c>
      <c r="B149" s="1" t="n">
        <v>44313.66451388889</v>
      </c>
      <c r="C149" s="1" t="n">
        <v>45997</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45997</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45997</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45997</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45997</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45997</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45997</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45997</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45997</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45997</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45997</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45997</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45997</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45997</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45997</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45997</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45997</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339-2021</t>
        </is>
      </c>
      <c r="B166" s="1" t="n">
        <v>44201</v>
      </c>
      <c r="C166" s="1" t="n">
        <v>45997</v>
      </c>
      <c r="D166" t="inlineStr">
        <is>
          <t>VÄRMLANDS LÄN</t>
        </is>
      </c>
      <c r="E166" t="inlineStr">
        <is>
          <t>TORSBY</t>
        </is>
      </c>
      <c r="G166" t="n">
        <v>1.9</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45997</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45997</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45997</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45997</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45997</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45997</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45997</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45997</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45997</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45997</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45997</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45997</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45997</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45997</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45997</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45997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45997</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45997</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45997</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45997</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45997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45997</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45997</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45997</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45997</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45997</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45997</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45997</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45997</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45997</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45997</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45997</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45997</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45997</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45997</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45997</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45997</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45997</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45997</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68266-2021</t>
        </is>
      </c>
      <c r="B207" s="1" t="n">
        <v>44526.64652777778</v>
      </c>
      <c r="C207" s="1" t="n">
        <v>45997</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45997</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45997</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45997</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45997</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45997</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45997</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69248-2020</t>
        </is>
      </c>
      <c r="B214" s="1" t="n">
        <v>44192.89025462963</v>
      </c>
      <c r="C214" s="1" t="n">
        <v>45997</v>
      </c>
      <c r="D214" t="inlineStr">
        <is>
          <t>VÄRMLANDS LÄN</t>
        </is>
      </c>
      <c r="E214" t="inlineStr">
        <is>
          <t>TORSBY</t>
        </is>
      </c>
      <c r="G214" t="n">
        <v>0.4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45997</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45997</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45997</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45997</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16375-2021</t>
        </is>
      </c>
      <c r="B219" s="1" t="n">
        <v>44292</v>
      </c>
      <c r="C219" s="1" t="n">
        <v>45997</v>
      </c>
      <c r="D219" t="inlineStr">
        <is>
          <t>VÄRMLANDS LÄN</t>
        </is>
      </c>
      <c r="E219" t="inlineStr">
        <is>
          <t>TORSBY</t>
        </is>
      </c>
      <c r="G219" t="n">
        <v>2.3</v>
      </c>
      <c r="H219" t="n">
        <v>0</v>
      </c>
      <c r="I219" t="n">
        <v>0</v>
      </c>
      <c r="J219" t="n">
        <v>0</v>
      </c>
      <c r="K219" t="n">
        <v>0</v>
      </c>
      <c r="L219" t="n">
        <v>0</v>
      </c>
      <c r="M219" t="n">
        <v>0</v>
      </c>
      <c r="N219" t="n">
        <v>0</v>
      </c>
      <c r="O219" t="n">
        <v>0</v>
      </c>
      <c r="P219" t="n">
        <v>0</v>
      </c>
      <c r="Q219" t="n">
        <v>0</v>
      </c>
      <c r="R219" s="2" t="inlineStr"/>
    </row>
    <row r="220" ht="15" customHeight="1">
      <c r="A220" t="inlineStr">
        <is>
          <t>A 10778-2021</t>
        </is>
      </c>
      <c r="B220" s="1" t="n">
        <v>44259</v>
      </c>
      <c r="C220" s="1" t="n">
        <v>45997</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68238-2020</t>
        </is>
      </c>
      <c r="B221" s="1" t="n">
        <v>44183</v>
      </c>
      <c r="C221" s="1" t="n">
        <v>45997</v>
      </c>
      <c r="D221" t="inlineStr">
        <is>
          <t>VÄRMLANDS LÄN</t>
        </is>
      </c>
      <c r="E221" t="inlineStr">
        <is>
          <t>TORSBY</t>
        </is>
      </c>
      <c r="F221" t="inlineStr">
        <is>
          <t>Bergvik skog väst AB</t>
        </is>
      </c>
      <c r="G221" t="n">
        <v>6.7</v>
      </c>
      <c r="H221" t="n">
        <v>0</v>
      </c>
      <c r="I221" t="n">
        <v>0</v>
      </c>
      <c r="J221" t="n">
        <v>0</v>
      </c>
      <c r="K221" t="n">
        <v>0</v>
      </c>
      <c r="L221" t="n">
        <v>0</v>
      </c>
      <c r="M221" t="n">
        <v>0</v>
      </c>
      <c r="N221" t="n">
        <v>0</v>
      </c>
      <c r="O221" t="n">
        <v>0</v>
      </c>
      <c r="P221" t="n">
        <v>0</v>
      </c>
      <c r="Q221" t="n">
        <v>0</v>
      </c>
      <c r="R221" s="2" t="inlineStr"/>
    </row>
    <row r="222" ht="15" customHeight="1">
      <c r="A222" t="inlineStr">
        <is>
          <t>A 5105-2021</t>
        </is>
      </c>
      <c r="B222" s="1" t="n">
        <v>44228</v>
      </c>
      <c r="C222" s="1" t="n">
        <v>45997</v>
      </c>
      <c r="D222" t="inlineStr">
        <is>
          <t>VÄRMLANDS LÄN</t>
        </is>
      </c>
      <c r="E222" t="inlineStr">
        <is>
          <t>TORSBY</t>
        </is>
      </c>
      <c r="G222" t="n">
        <v>5.6</v>
      </c>
      <c r="H222" t="n">
        <v>0</v>
      </c>
      <c r="I222" t="n">
        <v>0</v>
      </c>
      <c r="J222" t="n">
        <v>0</v>
      </c>
      <c r="K222" t="n">
        <v>0</v>
      </c>
      <c r="L222" t="n">
        <v>0</v>
      </c>
      <c r="M222" t="n">
        <v>0</v>
      </c>
      <c r="N222" t="n">
        <v>0</v>
      </c>
      <c r="O222" t="n">
        <v>0</v>
      </c>
      <c r="P222" t="n">
        <v>0</v>
      </c>
      <c r="Q222" t="n">
        <v>0</v>
      </c>
      <c r="R222" s="2" t="inlineStr"/>
    </row>
    <row r="223" ht="15" customHeight="1">
      <c r="A223" t="inlineStr">
        <is>
          <t>A 33145-2021</t>
        </is>
      </c>
      <c r="B223" s="1" t="n">
        <v>44376.67375</v>
      </c>
      <c r="C223" s="1" t="n">
        <v>45997</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23803-2022</t>
        </is>
      </c>
      <c r="B224" s="1" t="n">
        <v>44720</v>
      </c>
      <c r="C224" s="1" t="n">
        <v>45997</v>
      </c>
      <c r="D224" t="inlineStr">
        <is>
          <t>VÄRMLANDS LÄN</t>
        </is>
      </c>
      <c r="E224" t="inlineStr">
        <is>
          <t>TORSBY</t>
        </is>
      </c>
      <c r="G224" t="n">
        <v>3</v>
      </c>
      <c r="H224" t="n">
        <v>0</v>
      </c>
      <c r="I224" t="n">
        <v>0</v>
      </c>
      <c r="J224" t="n">
        <v>0</v>
      </c>
      <c r="K224" t="n">
        <v>0</v>
      </c>
      <c r="L224" t="n">
        <v>0</v>
      </c>
      <c r="M224" t="n">
        <v>0</v>
      </c>
      <c r="N224" t="n">
        <v>0</v>
      </c>
      <c r="O224" t="n">
        <v>0</v>
      </c>
      <c r="P224" t="n">
        <v>0</v>
      </c>
      <c r="Q224" t="n">
        <v>0</v>
      </c>
      <c r="R224" s="2" t="inlineStr"/>
    </row>
    <row r="225" ht="15" customHeight="1">
      <c r="A225" t="inlineStr">
        <is>
          <t>A 33959-2022</t>
        </is>
      </c>
      <c r="B225" s="1" t="n">
        <v>44790.6815625</v>
      </c>
      <c r="C225" s="1" t="n">
        <v>45997</v>
      </c>
      <c r="D225" t="inlineStr">
        <is>
          <t>VÄRMLANDS LÄN</t>
        </is>
      </c>
      <c r="E225" t="inlineStr">
        <is>
          <t>TORSBY</t>
        </is>
      </c>
      <c r="G225" t="n">
        <v>0.6</v>
      </c>
      <c r="H225" t="n">
        <v>0</v>
      </c>
      <c r="I225" t="n">
        <v>0</v>
      </c>
      <c r="J225" t="n">
        <v>0</v>
      </c>
      <c r="K225" t="n">
        <v>0</v>
      </c>
      <c r="L225" t="n">
        <v>0</v>
      </c>
      <c r="M225" t="n">
        <v>0</v>
      </c>
      <c r="N225" t="n">
        <v>0</v>
      </c>
      <c r="O225" t="n">
        <v>0</v>
      </c>
      <c r="P225" t="n">
        <v>0</v>
      </c>
      <c r="Q225" t="n">
        <v>0</v>
      </c>
      <c r="R225" s="2" t="inlineStr"/>
    </row>
    <row r="226" ht="15" customHeight="1">
      <c r="A226" t="inlineStr">
        <is>
          <t>A 30802-2021</t>
        </is>
      </c>
      <c r="B226" s="1" t="n">
        <v>44365.52390046296</v>
      </c>
      <c r="C226" s="1" t="n">
        <v>45997</v>
      </c>
      <c r="D226" t="inlineStr">
        <is>
          <t>VÄRMLANDS LÄN</t>
        </is>
      </c>
      <c r="E226" t="inlineStr">
        <is>
          <t>TORSBY</t>
        </is>
      </c>
      <c r="G226" t="n">
        <v>0.6</v>
      </c>
      <c r="H226" t="n">
        <v>0</v>
      </c>
      <c r="I226" t="n">
        <v>0</v>
      </c>
      <c r="J226" t="n">
        <v>0</v>
      </c>
      <c r="K226" t="n">
        <v>0</v>
      </c>
      <c r="L226" t="n">
        <v>0</v>
      </c>
      <c r="M226" t="n">
        <v>0</v>
      </c>
      <c r="N226" t="n">
        <v>0</v>
      </c>
      <c r="O226" t="n">
        <v>0</v>
      </c>
      <c r="P226" t="n">
        <v>0</v>
      </c>
      <c r="Q226" t="n">
        <v>0</v>
      </c>
      <c r="R226" s="2" t="inlineStr"/>
    </row>
    <row r="227" ht="15" customHeight="1">
      <c r="A227" t="inlineStr">
        <is>
          <t>A 11922-2022</t>
        </is>
      </c>
      <c r="B227" s="1" t="n">
        <v>44635</v>
      </c>
      <c r="C227" s="1" t="n">
        <v>45997</v>
      </c>
      <c r="D227" t="inlineStr">
        <is>
          <t>VÄRMLANDS LÄN</t>
        </is>
      </c>
      <c r="E227" t="inlineStr">
        <is>
          <t>TORSBY</t>
        </is>
      </c>
      <c r="G227" t="n">
        <v>2.6</v>
      </c>
      <c r="H227" t="n">
        <v>0</v>
      </c>
      <c r="I227" t="n">
        <v>0</v>
      </c>
      <c r="J227" t="n">
        <v>0</v>
      </c>
      <c r="K227" t="n">
        <v>0</v>
      </c>
      <c r="L227" t="n">
        <v>0</v>
      </c>
      <c r="M227" t="n">
        <v>0</v>
      </c>
      <c r="N227" t="n">
        <v>0</v>
      </c>
      <c r="O227" t="n">
        <v>0</v>
      </c>
      <c r="P227" t="n">
        <v>0</v>
      </c>
      <c r="Q227" t="n">
        <v>0</v>
      </c>
      <c r="R227" s="2" t="inlineStr"/>
    </row>
    <row r="228" ht="15" customHeight="1">
      <c r="A228" t="inlineStr">
        <is>
          <t>A 33254-2022</t>
        </is>
      </c>
      <c r="B228" s="1" t="n">
        <v>44787</v>
      </c>
      <c r="C228" s="1" t="n">
        <v>45997</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51510-2021</t>
        </is>
      </c>
      <c r="B229" s="1" t="n">
        <v>44460</v>
      </c>
      <c r="C229" s="1" t="n">
        <v>45997</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17249-2021</t>
        </is>
      </c>
      <c r="B230" s="1" t="n">
        <v>44298</v>
      </c>
      <c r="C230" s="1" t="n">
        <v>45997</v>
      </c>
      <c r="D230" t="inlineStr">
        <is>
          <t>VÄRMLANDS LÄN</t>
        </is>
      </c>
      <c r="E230" t="inlineStr">
        <is>
          <t>TORSBY</t>
        </is>
      </c>
      <c r="G230" t="n">
        <v>2.7</v>
      </c>
      <c r="H230" t="n">
        <v>0</v>
      </c>
      <c r="I230" t="n">
        <v>0</v>
      </c>
      <c r="J230" t="n">
        <v>0</v>
      </c>
      <c r="K230" t="n">
        <v>0</v>
      </c>
      <c r="L230" t="n">
        <v>0</v>
      </c>
      <c r="M230" t="n">
        <v>0</v>
      </c>
      <c r="N230" t="n">
        <v>0</v>
      </c>
      <c r="O230" t="n">
        <v>0</v>
      </c>
      <c r="P230" t="n">
        <v>0</v>
      </c>
      <c r="Q230" t="n">
        <v>0</v>
      </c>
      <c r="R230" s="2" t="inlineStr"/>
    </row>
    <row r="231" ht="15" customHeight="1">
      <c r="A231" t="inlineStr">
        <is>
          <t>A 65827-2020</t>
        </is>
      </c>
      <c r="B231" s="1" t="n">
        <v>44173</v>
      </c>
      <c r="C231" s="1" t="n">
        <v>45997</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31494-2021</t>
        </is>
      </c>
      <c r="B232" s="1" t="n">
        <v>44369</v>
      </c>
      <c r="C232" s="1" t="n">
        <v>45997</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22113-2021</t>
        </is>
      </c>
      <c r="B233" s="1" t="n">
        <v>44323</v>
      </c>
      <c r="C233" s="1" t="n">
        <v>45997</v>
      </c>
      <c r="D233" t="inlineStr">
        <is>
          <t>VÄRMLANDS LÄN</t>
        </is>
      </c>
      <c r="E233" t="inlineStr">
        <is>
          <t>TORSBY</t>
        </is>
      </c>
      <c r="G233" t="n">
        <v>1.7</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45997</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45997</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45997</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46551-2022</t>
        </is>
      </c>
      <c r="B237" s="1" t="n">
        <v>44848</v>
      </c>
      <c r="C237" s="1" t="n">
        <v>45997</v>
      </c>
      <c r="D237" t="inlineStr">
        <is>
          <t>VÄRMLANDS LÄN</t>
        </is>
      </c>
      <c r="E237" t="inlineStr">
        <is>
          <t>TORSBY</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18779-2022</t>
        </is>
      </c>
      <c r="B238" s="1" t="n">
        <v>44689</v>
      </c>
      <c r="C238" s="1" t="n">
        <v>45997</v>
      </c>
      <c r="D238" t="inlineStr">
        <is>
          <t>VÄRMLANDS LÄN</t>
        </is>
      </c>
      <c r="E238" t="inlineStr">
        <is>
          <t>TORSBY</t>
        </is>
      </c>
      <c r="G238" t="n">
        <v>5.1</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45997</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45997</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45666-2022</t>
        </is>
      </c>
      <c r="B241" s="1" t="n">
        <v>44845</v>
      </c>
      <c r="C241" s="1" t="n">
        <v>45997</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23524-2021</t>
        </is>
      </c>
      <c r="B242" s="1" t="n">
        <v>44301</v>
      </c>
      <c r="C242" s="1" t="n">
        <v>45997</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45997</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45997</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35545-2021</t>
        </is>
      </c>
      <c r="B245" s="1" t="n">
        <v>44385</v>
      </c>
      <c r="C245" s="1" t="n">
        <v>45997</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25247-2021</t>
        </is>
      </c>
      <c r="B246" s="1" t="n">
        <v>44342</v>
      </c>
      <c r="C246" s="1" t="n">
        <v>45997</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45997</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45997</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45997</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1516-2021</t>
        </is>
      </c>
      <c r="B250" s="1" t="n">
        <v>44209</v>
      </c>
      <c r="C250" s="1" t="n">
        <v>45997</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62576-2021</t>
        </is>
      </c>
      <c r="B251" s="1" t="n">
        <v>44502</v>
      </c>
      <c r="C251" s="1" t="n">
        <v>45997</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32003-2022</t>
        </is>
      </c>
      <c r="B252" s="1" t="n">
        <v>44778</v>
      </c>
      <c r="C252" s="1" t="n">
        <v>45997</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23194-2021</t>
        </is>
      </c>
      <c r="B253" s="1" t="n">
        <v>44328</v>
      </c>
      <c r="C253" s="1" t="n">
        <v>45997</v>
      </c>
      <c r="D253" t="inlineStr">
        <is>
          <t>VÄRMLANDS LÄN</t>
        </is>
      </c>
      <c r="E253" t="inlineStr">
        <is>
          <t>TORSBY</t>
        </is>
      </c>
      <c r="G253" t="n">
        <v>4.3</v>
      </c>
      <c r="H253" t="n">
        <v>0</v>
      </c>
      <c r="I253" t="n">
        <v>0</v>
      </c>
      <c r="J253" t="n">
        <v>0</v>
      </c>
      <c r="K253" t="n">
        <v>0</v>
      </c>
      <c r="L253" t="n">
        <v>0</v>
      </c>
      <c r="M253" t="n">
        <v>0</v>
      </c>
      <c r="N253" t="n">
        <v>0</v>
      </c>
      <c r="O253" t="n">
        <v>0</v>
      </c>
      <c r="P253" t="n">
        <v>0</v>
      </c>
      <c r="Q253" t="n">
        <v>0</v>
      </c>
      <c r="R253" s="2" t="inlineStr"/>
    </row>
    <row r="254" ht="15" customHeight="1">
      <c r="A254" t="inlineStr">
        <is>
          <t>A 70253-2021</t>
        </is>
      </c>
      <c r="B254" s="1" t="n">
        <v>44536</v>
      </c>
      <c r="C254" s="1" t="n">
        <v>45997</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45997</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45997</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45997</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45997</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20907-2022</t>
        </is>
      </c>
      <c r="B259" s="1" t="n">
        <v>44701.60076388889</v>
      </c>
      <c r="C259" s="1" t="n">
        <v>45997</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50988-2021</t>
        </is>
      </c>
      <c r="B260" s="1" t="n">
        <v>44460</v>
      </c>
      <c r="C260" s="1" t="n">
        <v>45997</v>
      </c>
      <c r="D260" t="inlineStr">
        <is>
          <t>VÄRMLANDS LÄN</t>
        </is>
      </c>
      <c r="E260" t="inlineStr">
        <is>
          <t>TORSBY</t>
        </is>
      </c>
      <c r="G260" t="n">
        <v>14.3</v>
      </c>
      <c r="H260" t="n">
        <v>0</v>
      </c>
      <c r="I260" t="n">
        <v>0</v>
      </c>
      <c r="J260" t="n">
        <v>0</v>
      </c>
      <c r="K260" t="n">
        <v>0</v>
      </c>
      <c r="L260" t="n">
        <v>0</v>
      </c>
      <c r="M260" t="n">
        <v>0</v>
      </c>
      <c r="N260" t="n">
        <v>0</v>
      </c>
      <c r="O260" t="n">
        <v>0</v>
      </c>
      <c r="P260" t="n">
        <v>0</v>
      </c>
      <c r="Q260" t="n">
        <v>0</v>
      </c>
      <c r="R260" s="2" t="inlineStr"/>
    </row>
    <row r="261" ht="15" customHeight="1">
      <c r="A261" t="inlineStr">
        <is>
          <t>A 33181-2022</t>
        </is>
      </c>
      <c r="B261" s="1" t="n">
        <v>44785</v>
      </c>
      <c r="C261" s="1" t="n">
        <v>45997</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52543-2022</t>
        </is>
      </c>
      <c r="B262" s="1" t="n">
        <v>44874</v>
      </c>
      <c r="C262" s="1" t="n">
        <v>45997</v>
      </c>
      <c r="D262" t="inlineStr">
        <is>
          <t>VÄRMLANDS LÄN</t>
        </is>
      </c>
      <c r="E262" t="inlineStr">
        <is>
          <t>TORSBY</t>
        </is>
      </c>
      <c r="G262" t="n">
        <v>10.1</v>
      </c>
      <c r="H262" t="n">
        <v>0</v>
      </c>
      <c r="I262" t="n">
        <v>0</v>
      </c>
      <c r="J262" t="n">
        <v>0</v>
      </c>
      <c r="K262" t="n">
        <v>0</v>
      </c>
      <c r="L262" t="n">
        <v>0</v>
      </c>
      <c r="M262" t="n">
        <v>0</v>
      </c>
      <c r="N262" t="n">
        <v>0</v>
      </c>
      <c r="O262" t="n">
        <v>0</v>
      </c>
      <c r="P262" t="n">
        <v>0</v>
      </c>
      <c r="Q262" t="n">
        <v>0</v>
      </c>
      <c r="R262" s="2" t="inlineStr"/>
    </row>
    <row r="263" ht="15" customHeight="1">
      <c r="A263" t="inlineStr">
        <is>
          <t>A 5050-2021</t>
        </is>
      </c>
      <c r="B263" s="1" t="n">
        <v>44228.5018287037</v>
      </c>
      <c r="C263" s="1" t="n">
        <v>45997</v>
      </c>
      <c r="D263" t="inlineStr">
        <is>
          <t>VÄRMLANDS LÄN</t>
        </is>
      </c>
      <c r="E263" t="inlineStr">
        <is>
          <t>TORSBY</t>
        </is>
      </c>
      <c r="G263" t="n">
        <v>1.4</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45997</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20819-2022</t>
        </is>
      </c>
      <c r="B265" s="1" t="n">
        <v>44699</v>
      </c>
      <c r="C265" s="1" t="n">
        <v>45997</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45997</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2421-2022</t>
        </is>
      </c>
      <c r="B267" s="1" t="n">
        <v>44579.50670138889</v>
      </c>
      <c r="C267" s="1" t="n">
        <v>45997</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3369-2022</t>
        </is>
      </c>
      <c r="B268" s="1" t="n">
        <v>44585</v>
      </c>
      <c r="C268" s="1" t="n">
        <v>45997</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39186-2022</t>
        </is>
      </c>
      <c r="B269" s="1" t="n">
        <v>44817.51549768518</v>
      </c>
      <c r="C269" s="1" t="n">
        <v>45997</v>
      </c>
      <c r="D269" t="inlineStr">
        <is>
          <t>VÄRMLANDS LÄN</t>
        </is>
      </c>
      <c r="E269" t="inlineStr">
        <is>
          <t>TORSBY</t>
        </is>
      </c>
      <c r="F269" t="inlineStr">
        <is>
          <t>Bergvik skog väst AB</t>
        </is>
      </c>
      <c r="G269" t="n">
        <v>20.3</v>
      </c>
      <c r="H269" t="n">
        <v>0</v>
      </c>
      <c r="I269" t="n">
        <v>0</v>
      </c>
      <c r="J269" t="n">
        <v>0</v>
      </c>
      <c r="K269" t="n">
        <v>0</v>
      </c>
      <c r="L269" t="n">
        <v>0</v>
      </c>
      <c r="M269" t="n">
        <v>0</v>
      </c>
      <c r="N269" t="n">
        <v>0</v>
      </c>
      <c r="O269" t="n">
        <v>0</v>
      </c>
      <c r="P269" t="n">
        <v>0</v>
      </c>
      <c r="Q269" t="n">
        <v>0</v>
      </c>
      <c r="R269" s="2" t="inlineStr"/>
    </row>
    <row r="270" ht="15" customHeight="1">
      <c r="A270" t="inlineStr">
        <is>
          <t>A 35851-2022</t>
        </is>
      </c>
      <c r="B270" s="1" t="n">
        <v>44802</v>
      </c>
      <c r="C270" s="1" t="n">
        <v>45997</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17765-2022</t>
        </is>
      </c>
      <c r="B271" s="1" t="n">
        <v>44681.41195601852</v>
      </c>
      <c r="C271" s="1" t="n">
        <v>45997</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11664-2022</t>
        </is>
      </c>
      <c r="B272" s="1" t="n">
        <v>44632.86525462963</v>
      </c>
      <c r="C272" s="1" t="n">
        <v>45997</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49192-2021</t>
        </is>
      </c>
      <c r="B273" s="1" t="n">
        <v>44454.33175925926</v>
      </c>
      <c r="C273" s="1" t="n">
        <v>45997</v>
      </c>
      <c r="D273" t="inlineStr">
        <is>
          <t>VÄRMLANDS LÄN</t>
        </is>
      </c>
      <c r="E273" t="inlineStr">
        <is>
          <t>TORSBY</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37608-2021</t>
        </is>
      </c>
      <c r="B274" s="1" t="n">
        <v>44399</v>
      </c>
      <c r="C274" s="1" t="n">
        <v>45997</v>
      </c>
      <c r="D274" t="inlineStr">
        <is>
          <t>VÄRMLANDS LÄN</t>
        </is>
      </c>
      <c r="E274" t="inlineStr">
        <is>
          <t>TORSBY</t>
        </is>
      </c>
      <c r="G274" t="n">
        <v>1.7</v>
      </c>
      <c r="H274" t="n">
        <v>0</v>
      </c>
      <c r="I274" t="n">
        <v>0</v>
      </c>
      <c r="J274" t="n">
        <v>0</v>
      </c>
      <c r="K274" t="n">
        <v>0</v>
      </c>
      <c r="L274" t="n">
        <v>0</v>
      </c>
      <c r="M274" t="n">
        <v>0</v>
      </c>
      <c r="N274" t="n">
        <v>0</v>
      </c>
      <c r="O274" t="n">
        <v>0</v>
      </c>
      <c r="P274" t="n">
        <v>0</v>
      </c>
      <c r="Q274" t="n">
        <v>0</v>
      </c>
      <c r="R274" s="2" t="inlineStr"/>
    </row>
    <row r="275" ht="15" customHeight="1">
      <c r="A275" t="inlineStr">
        <is>
          <t>A 28562-2021</t>
        </is>
      </c>
      <c r="B275" s="1" t="n">
        <v>44356.69538194445</v>
      </c>
      <c r="C275" s="1" t="n">
        <v>45997</v>
      </c>
      <c r="D275" t="inlineStr">
        <is>
          <t>VÄRMLANDS LÄN</t>
        </is>
      </c>
      <c r="E275" t="inlineStr">
        <is>
          <t>TORSBY</t>
        </is>
      </c>
      <c r="G275" t="n">
        <v>4.4</v>
      </c>
      <c r="H275" t="n">
        <v>0</v>
      </c>
      <c r="I275" t="n">
        <v>0</v>
      </c>
      <c r="J275" t="n">
        <v>0</v>
      </c>
      <c r="K275" t="n">
        <v>0</v>
      </c>
      <c r="L275" t="n">
        <v>0</v>
      </c>
      <c r="M275" t="n">
        <v>0</v>
      </c>
      <c r="N275" t="n">
        <v>0</v>
      </c>
      <c r="O275" t="n">
        <v>0</v>
      </c>
      <c r="P275" t="n">
        <v>0</v>
      </c>
      <c r="Q275" t="n">
        <v>0</v>
      </c>
      <c r="R275" s="2" t="inlineStr"/>
    </row>
    <row r="276" ht="15" customHeight="1">
      <c r="A276" t="inlineStr">
        <is>
          <t>A 29720-2022</t>
        </is>
      </c>
      <c r="B276" s="1" t="n">
        <v>44755</v>
      </c>
      <c r="C276" s="1" t="n">
        <v>45997</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53044-2022</t>
        </is>
      </c>
      <c r="B277" s="1" t="n">
        <v>44876</v>
      </c>
      <c r="C277" s="1" t="n">
        <v>45997</v>
      </c>
      <c r="D277" t="inlineStr">
        <is>
          <t>VÄRMLANDS LÄN</t>
        </is>
      </c>
      <c r="E277" t="inlineStr">
        <is>
          <t>TORSBY</t>
        </is>
      </c>
      <c r="G277" t="n">
        <v>0.2</v>
      </c>
      <c r="H277" t="n">
        <v>0</v>
      </c>
      <c r="I277" t="n">
        <v>0</v>
      </c>
      <c r="J277" t="n">
        <v>0</v>
      </c>
      <c r="K277" t="n">
        <v>0</v>
      </c>
      <c r="L277" t="n">
        <v>0</v>
      </c>
      <c r="M277" t="n">
        <v>0</v>
      </c>
      <c r="N277" t="n">
        <v>0</v>
      </c>
      <c r="O277" t="n">
        <v>0</v>
      </c>
      <c r="P277" t="n">
        <v>0</v>
      </c>
      <c r="Q277" t="n">
        <v>0</v>
      </c>
      <c r="R277" s="2" t="inlineStr"/>
    </row>
    <row r="278" ht="15" customHeight="1">
      <c r="A278" t="inlineStr">
        <is>
          <t>A 53076-2022</t>
        </is>
      </c>
      <c r="B278" s="1" t="n">
        <v>44876.38284722222</v>
      </c>
      <c r="C278" s="1" t="n">
        <v>45997</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66080-2021</t>
        </is>
      </c>
      <c r="B279" s="1" t="n">
        <v>44517.66700231482</v>
      </c>
      <c r="C279" s="1" t="n">
        <v>45997</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28955-2022</t>
        </is>
      </c>
      <c r="B280" s="1" t="n">
        <v>44749.61657407408</v>
      </c>
      <c r="C280" s="1" t="n">
        <v>45997</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44327-2022</t>
        </is>
      </c>
      <c r="B281" s="1" t="n">
        <v>44839</v>
      </c>
      <c r="C281" s="1" t="n">
        <v>45997</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48712-2022</t>
        </is>
      </c>
      <c r="B282" s="1" t="n">
        <v>44859.49574074074</v>
      </c>
      <c r="C282" s="1" t="n">
        <v>45997</v>
      </c>
      <c r="D282" t="inlineStr">
        <is>
          <t>VÄRMLANDS LÄN</t>
        </is>
      </c>
      <c r="E282" t="inlineStr">
        <is>
          <t>TORSBY</t>
        </is>
      </c>
      <c r="F282" t="inlineStr">
        <is>
          <t>Bergvik skog väst AB</t>
        </is>
      </c>
      <c r="G282" t="n">
        <v>22.7</v>
      </c>
      <c r="H282" t="n">
        <v>0</v>
      </c>
      <c r="I282" t="n">
        <v>0</v>
      </c>
      <c r="J282" t="n">
        <v>0</v>
      </c>
      <c r="K282" t="n">
        <v>0</v>
      </c>
      <c r="L282" t="n">
        <v>0</v>
      </c>
      <c r="M282" t="n">
        <v>0</v>
      </c>
      <c r="N282" t="n">
        <v>0</v>
      </c>
      <c r="O282" t="n">
        <v>0</v>
      </c>
      <c r="P282" t="n">
        <v>0</v>
      </c>
      <c r="Q282" t="n">
        <v>0</v>
      </c>
      <c r="R282" s="2" t="inlineStr"/>
    </row>
    <row r="283" ht="15" customHeight="1">
      <c r="A283" t="inlineStr">
        <is>
          <t>A 35606-2022</t>
        </is>
      </c>
      <c r="B283" s="1" t="n">
        <v>44799</v>
      </c>
      <c r="C283" s="1" t="n">
        <v>45997</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53906-2022</t>
        </is>
      </c>
      <c r="B284" s="1" t="n">
        <v>44880</v>
      </c>
      <c r="C284" s="1" t="n">
        <v>45997</v>
      </c>
      <c r="D284" t="inlineStr">
        <is>
          <t>VÄRMLANDS LÄN</t>
        </is>
      </c>
      <c r="E284" t="inlineStr">
        <is>
          <t>TORSBY</t>
        </is>
      </c>
      <c r="F284" t="inlineStr">
        <is>
          <t>Bergvik skog väst AB</t>
        </is>
      </c>
      <c r="G284" t="n">
        <v>5</v>
      </c>
      <c r="H284" t="n">
        <v>0</v>
      </c>
      <c r="I284" t="n">
        <v>0</v>
      </c>
      <c r="J284" t="n">
        <v>0</v>
      </c>
      <c r="K284" t="n">
        <v>0</v>
      </c>
      <c r="L284" t="n">
        <v>0</v>
      </c>
      <c r="M284" t="n">
        <v>0</v>
      </c>
      <c r="N284" t="n">
        <v>0</v>
      </c>
      <c r="O284" t="n">
        <v>0</v>
      </c>
      <c r="P284" t="n">
        <v>0</v>
      </c>
      <c r="Q284" t="n">
        <v>0</v>
      </c>
      <c r="R284" s="2" t="inlineStr"/>
    </row>
    <row r="285" ht="15" customHeight="1">
      <c r="A285" t="inlineStr">
        <is>
          <t>A 69275-2021</t>
        </is>
      </c>
      <c r="B285" s="1" t="n">
        <v>44526</v>
      </c>
      <c r="C285" s="1" t="n">
        <v>45997</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33149-2021</t>
        </is>
      </c>
      <c r="B286" s="1" t="n">
        <v>44376.67658564815</v>
      </c>
      <c r="C286" s="1" t="n">
        <v>45997</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45997</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45997</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45997</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45997</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45997</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34694-2021</t>
        </is>
      </c>
      <c r="B292" s="1" t="n">
        <v>44382.61398148148</v>
      </c>
      <c r="C292" s="1" t="n">
        <v>45997</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45997</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47083-2021</t>
        </is>
      </c>
      <c r="B294" s="1" t="n">
        <v>44446.66114583334</v>
      </c>
      <c r="C294" s="1" t="n">
        <v>45997</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47098-2021</t>
        </is>
      </c>
      <c r="B295" s="1" t="n">
        <v>44446.67429398148</v>
      </c>
      <c r="C295" s="1" t="n">
        <v>45997</v>
      </c>
      <c r="D295" t="inlineStr">
        <is>
          <t>VÄRMLANDS LÄN</t>
        </is>
      </c>
      <c r="E295" t="inlineStr">
        <is>
          <t>TORSBY</t>
        </is>
      </c>
      <c r="G295" t="n">
        <v>1.8</v>
      </c>
      <c r="H295" t="n">
        <v>0</v>
      </c>
      <c r="I295" t="n">
        <v>0</v>
      </c>
      <c r="J295" t="n">
        <v>0</v>
      </c>
      <c r="K295" t="n">
        <v>0</v>
      </c>
      <c r="L295" t="n">
        <v>0</v>
      </c>
      <c r="M295" t="n">
        <v>0</v>
      </c>
      <c r="N295" t="n">
        <v>0</v>
      </c>
      <c r="O295" t="n">
        <v>0</v>
      </c>
      <c r="P295" t="n">
        <v>0</v>
      </c>
      <c r="Q295" t="n">
        <v>0</v>
      </c>
      <c r="R295" s="2" t="inlineStr"/>
    </row>
    <row r="296" ht="15" customHeight="1">
      <c r="A296" t="inlineStr">
        <is>
          <t>A 57287-2021</t>
        </is>
      </c>
      <c r="B296" s="1" t="n">
        <v>44482</v>
      </c>
      <c r="C296" s="1" t="n">
        <v>45997</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33182-2021</t>
        </is>
      </c>
      <c r="B297" s="1" t="n">
        <v>44376</v>
      </c>
      <c r="C297" s="1" t="n">
        <v>45997</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29495-2021</t>
        </is>
      </c>
      <c r="B298" s="1" t="n">
        <v>44361</v>
      </c>
      <c r="C298" s="1" t="n">
        <v>45997</v>
      </c>
      <c r="D298" t="inlineStr">
        <is>
          <t>VÄRMLANDS LÄN</t>
        </is>
      </c>
      <c r="E298" t="inlineStr">
        <is>
          <t>TORSBY</t>
        </is>
      </c>
      <c r="F298" t="inlineStr">
        <is>
          <t>Övriga Aktiebolag</t>
        </is>
      </c>
      <c r="G298" t="n">
        <v>38.2</v>
      </c>
      <c r="H298" t="n">
        <v>0</v>
      </c>
      <c r="I298" t="n">
        <v>0</v>
      </c>
      <c r="J298" t="n">
        <v>0</v>
      </c>
      <c r="K298" t="n">
        <v>0</v>
      </c>
      <c r="L298" t="n">
        <v>0</v>
      </c>
      <c r="M298" t="n">
        <v>0</v>
      </c>
      <c r="N298" t="n">
        <v>0</v>
      </c>
      <c r="O298" t="n">
        <v>0</v>
      </c>
      <c r="P298" t="n">
        <v>0</v>
      </c>
      <c r="Q298" t="n">
        <v>0</v>
      </c>
      <c r="R298" s="2" t="inlineStr"/>
    </row>
    <row r="299" ht="15" customHeight="1">
      <c r="A299" t="inlineStr">
        <is>
          <t>A 29142-2022</t>
        </is>
      </c>
      <c r="B299" s="1" t="n">
        <v>44750</v>
      </c>
      <c r="C299" s="1" t="n">
        <v>45997</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43169-2021</t>
        </is>
      </c>
      <c r="B300" s="1" t="n">
        <v>44431</v>
      </c>
      <c r="C300" s="1" t="n">
        <v>45997</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45997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60428-2021</t>
        </is>
      </c>
      <c r="B302" s="1" t="n">
        <v>44496.42145833333</v>
      </c>
      <c r="C302" s="1" t="n">
        <v>45997</v>
      </c>
      <c r="D302" t="inlineStr">
        <is>
          <t>VÄRMLANDS LÄN</t>
        </is>
      </c>
      <c r="E302" t="inlineStr">
        <is>
          <t>TORSBY</t>
        </is>
      </c>
      <c r="G302" t="n">
        <v>0.5</v>
      </c>
      <c r="H302" t="n">
        <v>0</v>
      </c>
      <c r="I302" t="n">
        <v>0</v>
      </c>
      <c r="J302" t="n">
        <v>0</v>
      </c>
      <c r="K302" t="n">
        <v>0</v>
      </c>
      <c r="L302" t="n">
        <v>0</v>
      </c>
      <c r="M302" t="n">
        <v>0</v>
      </c>
      <c r="N302" t="n">
        <v>0</v>
      </c>
      <c r="O302" t="n">
        <v>0</v>
      </c>
      <c r="P302" t="n">
        <v>0</v>
      </c>
      <c r="Q302" t="n">
        <v>0</v>
      </c>
      <c r="R302" s="2" t="inlineStr"/>
    </row>
    <row r="303" ht="15" customHeight="1">
      <c r="A303" t="inlineStr">
        <is>
          <t>A 73442-2021</t>
        </is>
      </c>
      <c r="B303" s="1" t="n">
        <v>44551.55063657407</v>
      </c>
      <c r="C303" s="1" t="n">
        <v>45997</v>
      </c>
      <c r="D303" t="inlineStr">
        <is>
          <t>VÄRMLANDS LÄN</t>
        </is>
      </c>
      <c r="E303" t="inlineStr">
        <is>
          <t>TORSBY</t>
        </is>
      </c>
      <c r="F303" t="inlineStr">
        <is>
          <t>Bergvik skog väst AB</t>
        </is>
      </c>
      <c r="G303" t="n">
        <v>4.1</v>
      </c>
      <c r="H303" t="n">
        <v>0</v>
      </c>
      <c r="I303" t="n">
        <v>0</v>
      </c>
      <c r="J303" t="n">
        <v>0</v>
      </c>
      <c r="K303" t="n">
        <v>0</v>
      </c>
      <c r="L303" t="n">
        <v>0</v>
      </c>
      <c r="M303" t="n">
        <v>0</v>
      </c>
      <c r="N303" t="n">
        <v>0</v>
      </c>
      <c r="O303" t="n">
        <v>0</v>
      </c>
      <c r="P303" t="n">
        <v>0</v>
      </c>
      <c r="Q303" t="n">
        <v>0</v>
      </c>
      <c r="R303" s="2" t="inlineStr"/>
    </row>
    <row r="304" ht="15" customHeight="1">
      <c r="A304" t="inlineStr">
        <is>
          <t>A 23011-2022</t>
        </is>
      </c>
      <c r="B304" s="1" t="n">
        <v>44719.35471064815</v>
      </c>
      <c r="C304" s="1" t="n">
        <v>45997</v>
      </c>
      <c r="D304" t="inlineStr">
        <is>
          <t>VÄRMLANDS LÄN</t>
        </is>
      </c>
      <c r="E304" t="inlineStr">
        <is>
          <t>TORSBY</t>
        </is>
      </c>
      <c r="F304" t="inlineStr">
        <is>
          <t>Bergvik skog väst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49983-2022</t>
        </is>
      </c>
      <c r="B305" s="1" t="n">
        <v>44865</v>
      </c>
      <c r="C305" s="1" t="n">
        <v>45997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27932-2021</t>
        </is>
      </c>
      <c r="B306" s="1" t="n">
        <v>44354</v>
      </c>
      <c r="C306" s="1" t="n">
        <v>45997</v>
      </c>
      <c r="D306" t="inlineStr">
        <is>
          <t>VÄRMLANDS LÄN</t>
        </is>
      </c>
      <c r="E306" t="inlineStr">
        <is>
          <t>TORSBY</t>
        </is>
      </c>
      <c r="F306" t="inlineStr">
        <is>
          <t>Bergvik skog väst AB</t>
        </is>
      </c>
      <c r="G306" t="n">
        <v>0.8</v>
      </c>
      <c r="H306" t="n">
        <v>0</v>
      </c>
      <c r="I306" t="n">
        <v>0</v>
      </c>
      <c r="J306" t="n">
        <v>0</v>
      </c>
      <c r="K306" t="n">
        <v>0</v>
      </c>
      <c r="L306" t="n">
        <v>0</v>
      </c>
      <c r="M306" t="n">
        <v>0</v>
      </c>
      <c r="N306" t="n">
        <v>0</v>
      </c>
      <c r="O306" t="n">
        <v>0</v>
      </c>
      <c r="P306" t="n">
        <v>0</v>
      </c>
      <c r="Q306" t="n">
        <v>0</v>
      </c>
      <c r="R306" s="2" t="inlineStr"/>
    </row>
    <row r="307" ht="15" customHeight="1">
      <c r="A307" t="inlineStr">
        <is>
          <t>A 4711-2021</t>
        </is>
      </c>
      <c r="B307" s="1" t="n">
        <v>44225</v>
      </c>
      <c r="C307" s="1" t="n">
        <v>45997</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45997</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68220-2020</t>
        </is>
      </c>
      <c r="B309" s="1" t="n">
        <v>44183</v>
      </c>
      <c r="C309" s="1" t="n">
        <v>45997</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45997</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29509-2022</t>
        </is>
      </c>
      <c r="B311" s="1" t="n">
        <v>44753</v>
      </c>
      <c r="C311" s="1" t="n">
        <v>45997</v>
      </c>
      <c r="D311" t="inlineStr">
        <is>
          <t>VÄRMLANDS LÄN</t>
        </is>
      </c>
      <c r="E311" t="inlineStr">
        <is>
          <t>TORSBY</t>
        </is>
      </c>
      <c r="G311" t="n">
        <v>2.5</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45997</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65678-2020</t>
        </is>
      </c>
      <c r="B313" s="1" t="n">
        <v>44172</v>
      </c>
      <c r="C313" s="1" t="n">
        <v>45997</v>
      </c>
      <c r="D313" t="inlineStr">
        <is>
          <t>VÄRMLANDS LÄN</t>
        </is>
      </c>
      <c r="E313" t="inlineStr">
        <is>
          <t>TORSBY</t>
        </is>
      </c>
      <c r="G313" t="n">
        <v>3.5</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45997</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8034-2021</t>
        </is>
      </c>
      <c r="B315" s="1" t="n">
        <v>44243</v>
      </c>
      <c r="C315" s="1" t="n">
        <v>45997</v>
      </c>
      <c r="D315" t="inlineStr">
        <is>
          <t>VÄRMLANDS LÄN</t>
        </is>
      </c>
      <c r="E315" t="inlineStr">
        <is>
          <t>TORSBY</t>
        </is>
      </c>
      <c r="G315" t="n">
        <v>15.4</v>
      </c>
      <c r="H315" t="n">
        <v>0</v>
      </c>
      <c r="I315" t="n">
        <v>0</v>
      </c>
      <c r="J315" t="n">
        <v>0</v>
      </c>
      <c r="K315" t="n">
        <v>0</v>
      </c>
      <c r="L315" t="n">
        <v>0</v>
      </c>
      <c r="M315" t="n">
        <v>0</v>
      </c>
      <c r="N315" t="n">
        <v>0</v>
      </c>
      <c r="O315" t="n">
        <v>0</v>
      </c>
      <c r="P315" t="n">
        <v>0</v>
      </c>
      <c r="Q315" t="n">
        <v>0</v>
      </c>
      <c r="R315" s="2" t="inlineStr"/>
    </row>
    <row r="316" ht="15" customHeight="1">
      <c r="A316" t="inlineStr">
        <is>
          <t>A 21031-2021</t>
        </is>
      </c>
      <c r="B316" s="1" t="n">
        <v>44319</v>
      </c>
      <c r="C316" s="1" t="n">
        <v>45997</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8910-2021</t>
        </is>
      </c>
      <c r="B317" s="1" t="n">
        <v>44246</v>
      </c>
      <c r="C317" s="1" t="n">
        <v>45997</v>
      </c>
      <c r="D317" t="inlineStr">
        <is>
          <t>VÄRMLANDS LÄN</t>
        </is>
      </c>
      <c r="E317" t="inlineStr">
        <is>
          <t>TORSBY</t>
        </is>
      </c>
      <c r="G317" t="n">
        <v>3.7</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45997</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28940-2021</t>
        </is>
      </c>
      <c r="B319" s="1" t="n">
        <v>44358</v>
      </c>
      <c r="C319" s="1" t="n">
        <v>45997</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40278-2021</t>
        </is>
      </c>
      <c r="B320" s="1" t="n">
        <v>44419</v>
      </c>
      <c r="C320" s="1" t="n">
        <v>45997</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31511-2021</t>
        </is>
      </c>
      <c r="B321" s="1" t="n">
        <v>44369.45956018518</v>
      </c>
      <c r="C321" s="1" t="n">
        <v>45997</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41678-2021</t>
        </is>
      </c>
      <c r="B322" s="1" t="n">
        <v>44425</v>
      </c>
      <c r="C322" s="1" t="n">
        <v>45997</v>
      </c>
      <c r="D322" t="inlineStr">
        <is>
          <t>VÄRMLANDS LÄN</t>
        </is>
      </c>
      <c r="E322" t="inlineStr">
        <is>
          <t>TORSBY</t>
        </is>
      </c>
      <c r="G322" t="n">
        <v>4.3</v>
      </c>
      <c r="H322" t="n">
        <v>0</v>
      </c>
      <c r="I322" t="n">
        <v>0</v>
      </c>
      <c r="J322" t="n">
        <v>0</v>
      </c>
      <c r="K322" t="n">
        <v>0</v>
      </c>
      <c r="L322" t="n">
        <v>0</v>
      </c>
      <c r="M322" t="n">
        <v>0</v>
      </c>
      <c r="N322" t="n">
        <v>0</v>
      </c>
      <c r="O322" t="n">
        <v>0</v>
      </c>
      <c r="P322" t="n">
        <v>0</v>
      </c>
      <c r="Q322" t="n">
        <v>0</v>
      </c>
      <c r="R322" s="2" t="inlineStr"/>
    </row>
    <row r="323" ht="15" customHeight="1">
      <c r="A323" t="inlineStr">
        <is>
          <t>A 14320-2022</t>
        </is>
      </c>
      <c r="B323" s="1" t="n">
        <v>44652</v>
      </c>
      <c r="C323" s="1" t="n">
        <v>45997</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10118-2021</t>
        </is>
      </c>
      <c r="B324" s="1" t="n">
        <v>44256</v>
      </c>
      <c r="C324" s="1" t="n">
        <v>45997</v>
      </c>
      <c r="D324" t="inlineStr">
        <is>
          <t>VÄRMLANDS LÄN</t>
        </is>
      </c>
      <c r="E324" t="inlineStr">
        <is>
          <t>TORSBY</t>
        </is>
      </c>
      <c r="G324" t="n">
        <v>12.5</v>
      </c>
      <c r="H324" t="n">
        <v>0</v>
      </c>
      <c r="I324" t="n">
        <v>0</v>
      </c>
      <c r="J324" t="n">
        <v>0</v>
      </c>
      <c r="K324" t="n">
        <v>0</v>
      </c>
      <c r="L324" t="n">
        <v>0</v>
      </c>
      <c r="M324" t="n">
        <v>0</v>
      </c>
      <c r="N324" t="n">
        <v>0</v>
      </c>
      <c r="O324" t="n">
        <v>0</v>
      </c>
      <c r="P324" t="n">
        <v>0</v>
      </c>
      <c r="Q324" t="n">
        <v>0</v>
      </c>
      <c r="R324" s="2" t="inlineStr"/>
    </row>
    <row r="325" ht="15" customHeight="1">
      <c r="A325" t="inlineStr">
        <is>
          <t>A 43136-2021</t>
        </is>
      </c>
      <c r="B325" s="1" t="n">
        <v>44431.6690625</v>
      </c>
      <c r="C325" s="1" t="n">
        <v>45997</v>
      </c>
      <c r="D325" t="inlineStr">
        <is>
          <t>VÄRMLANDS LÄN</t>
        </is>
      </c>
      <c r="E325" t="inlineStr">
        <is>
          <t>TORSBY</t>
        </is>
      </c>
      <c r="G325" t="n">
        <v>14.4</v>
      </c>
      <c r="H325" t="n">
        <v>0</v>
      </c>
      <c r="I325" t="n">
        <v>0</v>
      </c>
      <c r="J325" t="n">
        <v>0</v>
      </c>
      <c r="K325" t="n">
        <v>0</v>
      </c>
      <c r="L325" t="n">
        <v>0</v>
      </c>
      <c r="M325" t="n">
        <v>0</v>
      </c>
      <c r="N325" t="n">
        <v>0</v>
      </c>
      <c r="O325" t="n">
        <v>0</v>
      </c>
      <c r="P325" t="n">
        <v>0</v>
      </c>
      <c r="Q325" t="n">
        <v>0</v>
      </c>
      <c r="R325" s="2" t="inlineStr"/>
    </row>
    <row r="326" ht="15" customHeight="1">
      <c r="A326" t="inlineStr">
        <is>
          <t>A 33937-2021</t>
        </is>
      </c>
      <c r="B326" s="1" t="n">
        <v>44378.79297453703</v>
      </c>
      <c r="C326" s="1" t="n">
        <v>45997</v>
      </c>
      <c r="D326" t="inlineStr">
        <is>
          <t>VÄRMLANDS LÄN</t>
        </is>
      </c>
      <c r="E326" t="inlineStr">
        <is>
          <t>TORSBY</t>
        </is>
      </c>
      <c r="G326" t="n">
        <v>3.1</v>
      </c>
      <c r="H326" t="n">
        <v>0</v>
      </c>
      <c r="I326" t="n">
        <v>0</v>
      </c>
      <c r="J326" t="n">
        <v>0</v>
      </c>
      <c r="K326" t="n">
        <v>0</v>
      </c>
      <c r="L326" t="n">
        <v>0</v>
      </c>
      <c r="M326" t="n">
        <v>0</v>
      </c>
      <c r="N326" t="n">
        <v>0</v>
      </c>
      <c r="O326" t="n">
        <v>0</v>
      </c>
      <c r="P326" t="n">
        <v>0</v>
      </c>
      <c r="Q326" t="n">
        <v>0</v>
      </c>
      <c r="R326" s="2" t="inlineStr"/>
    </row>
    <row r="327" ht="15" customHeight="1">
      <c r="A327" t="inlineStr">
        <is>
          <t>A 30384-2021</t>
        </is>
      </c>
      <c r="B327" s="1" t="n">
        <v>44364.4903587963</v>
      </c>
      <c r="C327" s="1" t="n">
        <v>45997</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13857-2021</t>
        </is>
      </c>
      <c r="B328" s="1" t="n">
        <v>44277</v>
      </c>
      <c r="C328" s="1" t="n">
        <v>45997</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54811-2022</t>
        </is>
      </c>
      <c r="B329" s="1" t="n">
        <v>44883.7496875</v>
      </c>
      <c r="C329" s="1" t="n">
        <v>45997</v>
      </c>
      <c r="D329" t="inlineStr">
        <is>
          <t>VÄRMLANDS LÄN</t>
        </is>
      </c>
      <c r="E329" t="inlineStr">
        <is>
          <t>TORSBY</t>
        </is>
      </c>
      <c r="G329" t="n">
        <v>2.5</v>
      </c>
      <c r="H329" t="n">
        <v>0</v>
      </c>
      <c r="I329" t="n">
        <v>0</v>
      </c>
      <c r="J329" t="n">
        <v>0</v>
      </c>
      <c r="K329" t="n">
        <v>0</v>
      </c>
      <c r="L329" t="n">
        <v>0</v>
      </c>
      <c r="M329" t="n">
        <v>0</v>
      </c>
      <c r="N329" t="n">
        <v>0</v>
      </c>
      <c r="O329" t="n">
        <v>0</v>
      </c>
      <c r="P329" t="n">
        <v>0</v>
      </c>
      <c r="Q329" t="n">
        <v>0</v>
      </c>
      <c r="R329" s="2" t="inlineStr"/>
    </row>
    <row r="330" ht="15" customHeight="1">
      <c r="A330" t="inlineStr">
        <is>
          <t>A 18174-2021</t>
        </is>
      </c>
      <c r="B330" s="1" t="n">
        <v>44302.63314814815</v>
      </c>
      <c r="C330" s="1" t="n">
        <v>45997</v>
      </c>
      <c r="D330" t="inlineStr">
        <is>
          <t>VÄRMLANDS LÄN</t>
        </is>
      </c>
      <c r="E330" t="inlineStr">
        <is>
          <t>TORSBY</t>
        </is>
      </c>
      <c r="G330" t="n">
        <v>4.5</v>
      </c>
      <c r="H330" t="n">
        <v>0</v>
      </c>
      <c r="I330" t="n">
        <v>0</v>
      </c>
      <c r="J330" t="n">
        <v>0</v>
      </c>
      <c r="K330" t="n">
        <v>0</v>
      </c>
      <c r="L330" t="n">
        <v>0</v>
      </c>
      <c r="M330" t="n">
        <v>0</v>
      </c>
      <c r="N330" t="n">
        <v>0</v>
      </c>
      <c r="O330" t="n">
        <v>0</v>
      </c>
      <c r="P330" t="n">
        <v>0</v>
      </c>
      <c r="Q330" t="n">
        <v>0</v>
      </c>
      <c r="R330" s="2" t="inlineStr"/>
    </row>
    <row r="331" ht="15" customHeight="1">
      <c r="A331" t="inlineStr">
        <is>
          <t>A 19375-2021</t>
        </is>
      </c>
      <c r="B331" s="1" t="n">
        <v>44309.6765625</v>
      </c>
      <c r="C331" s="1" t="n">
        <v>45997</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8739-2022</t>
        </is>
      </c>
      <c r="B332" s="1" t="n">
        <v>44615</v>
      </c>
      <c r="C332" s="1" t="n">
        <v>45997</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18628-2022</t>
        </is>
      </c>
      <c r="B333" s="1" t="n">
        <v>44687</v>
      </c>
      <c r="C333" s="1" t="n">
        <v>45997</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44923-2021</t>
        </is>
      </c>
      <c r="B334" s="1" t="n">
        <v>44438.6662037037</v>
      </c>
      <c r="C334" s="1" t="n">
        <v>45997</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44804.62511574074</v>
      </c>
      <c r="C335" s="1" t="n">
        <v>45997</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33958-2022</t>
        </is>
      </c>
      <c r="B336" s="1" t="n">
        <v>44790.67916666667</v>
      </c>
      <c r="C336" s="1" t="n">
        <v>45997</v>
      </c>
      <c r="D336" t="inlineStr">
        <is>
          <t>VÄRMLANDS LÄN</t>
        </is>
      </c>
      <c r="E336" t="inlineStr">
        <is>
          <t>TORSBY</t>
        </is>
      </c>
      <c r="G336" t="n">
        <v>13.2</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45997</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46934-2021</t>
        </is>
      </c>
      <c r="B338" s="1" t="n">
        <v>44446.49893518518</v>
      </c>
      <c r="C338" s="1" t="n">
        <v>45997</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45997</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26558-2021</t>
        </is>
      </c>
      <c r="B340" s="1" t="n">
        <v>44348</v>
      </c>
      <c r="C340" s="1" t="n">
        <v>45997</v>
      </c>
      <c r="D340" t="inlineStr">
        <is>
          <t>VÄRMLANDS LÄN</t>
        </is>
      </c>
      <c r="E340" t="inlineStr">
        <is>
          <t>TORSBY</t>
        </is>
      </c>
      <c r="G340" t="n">
        <v>19.7</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45997</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3382-2022</t>
        </is>
      </c>
      <c r="B342" s="1" t="n">
        <v>44585</v>
      </c>
      <c r="C342" s="1" t="n">
        <v>45997</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45997</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71255-2021</t>
        </is>
      </c>
      <c r="B344" s="1" t="n">
        <v>44538</v>
      </c>
      <c r="C344" s="1" t="n">
        <v>45997</v>
      </c>
      <c r="D344" t="inlineStr">
        <is>
          <t>VÄRMLANDS LÄN</t>
        </is>
      </c>
      <c r="E344" t="inlineStr">
        <is>
          <t>TORSBY</t>
        </is>
      </c>
      <c r="G344" t="n">
        <v>3.1</v>
      </c>
      <c r="H344" t="n">
        <v>0</v>
      </c>
      <c r="I344" t="n">
        <v>0</v>
      </c>
      <c r="J344" t="n">
        <v>0</v>
      </c>
      <c r="K344" t="n">
        <v>0</v>
      </c>
      <c r="L344" t="n">
        <v>0</v>
      </c>
      <c r="M344" t="n">
        <v>0</v>
      </c>
      <c r="N344" t="n">
        <v>0</v>
      </c>
      <c r="O344" t="n">
        <v>0</v>
      </c>
      <c r="P344" t="n">
        <v>0</v>
      </c>
      <c r="Q344" t="n">
        <v>0</v>
      </c>
      <c r="R344" s="2" t="inlineStr"/>
    </row>
    <row r="345" ht="15" customHeight="1">
      <c r="A345" t="inlineStr">
        <is>
          <t>A 69281-2021</t>
        </is>
      </c>
      <c r="B345" s="1" t="n">
        <v>44526</v>
      </c>
      <c r="C345" s="1" t="n">
        <v>45997</v>
      </c>
      <c r="D345" t="inlineStr">
        <is>
          <t>VÄRMLANDS LÄN</t>
        </is>
      </c>
      <c r="E345" t="inlineStr">
        <is>
          <t>TORSBY</t>
        </is>
      </c>
      <c r="G345" t="n">
        <v>7.5</v>
      </c>
      <c r="H345" t="n">
        <v>0</v>
      </c>
      <c r="I345" t="n">
        <v>0</v>
      </c>
      <c r="J345" t="n">
        <v>0</v>
      </c>
      <c r="K345" t="n">
        <v>0</v>
      </c>
      <c r="L345" t="n">
        <v>0</v>
      </c>
      <c r="M345" t="n">
        <v>0</v>
      </c>
      <c r="N345" t="n">
        <v>0</v>
      </c>
      <c r="O345" t="n">
        <v>0</v>
      </c>
      <c r="P345" t="n">
        <v>0</v>
      </c>
      <c r="Q345" t="n">
        <v>0</v>
      </c>
      <c r="R345" s="2" t="inlineStr"/>
    </row>
    <row r="346" ht="15" customHeight="1">
      <c r="A346" t="inlineStr">
        <is>
          <t>A 67734-2020</t>
        </is>
      </c>
      <c r="B346" s="1" t="n">
        <v>44182</v>
      </c>
      <c r="C346" s="1" t="n">
        <v>45997</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45997</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38179-2022</t>
        </is>
      </c>
      <c r="B348" s="1" t="n">
        <v>44812</v>
      </c>
      <c r="C348" s="1" t="n">
        <v>45997</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37917-2022</t>
        </is>
      </c>
      <c r="B349" s="1" t="n">
        <v>44811.44335648148</v>
      </c>
      <c r="C349" s="1" t="n">
        <v>45997</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52386-2022</t>
        </is>
      </c>
      <c r="B350" s="1" t="n">
        <v>44874.3750462963</v>
      </c>
      <c r="C350" s="1" t="n">
        <v>45997</v>
      </c>
      <c r="D350" t="inlineStr">
        <is>
          <t>VÄRMLANDS LÄN</t>
        </is>
      </c>
      <c r="E350" t="inlineStr">
        <is>
          <t>TORSBY</t>
        </is>
      </c>
      <c r="G350" t="n">
        <v>6.7</v>
      </c>
      <c r="H350" t="n">
        <v>0</v>
      </c>
      <c r="I350" t="n">
        <v>0</v>
      </c>
      <c r="J350" t="n">
        <v>0</v>
      </c>
      <c r="K350" t="n">
        <v>0</v>
      </c>
      <c r="L350" t="n">
        <v>0</v>
      </c>
      <c r="M350" t="n">
        <v>0</v>
      </c>
      <c r="N350" t="n">
        <v>0</v>
      </c>
      <c r="O350" t="n">
        <v>0</v>
      </c>
      <c r="P350" t="n">
        <v>0</v>
      </c>
      <c r="Q350" t="n">
        <v>0</v>
      </c>
      <c r="R350" s="2" t="inlineStr"/>
    </row>
    <row r="351" ht="15" customHeight="1">
      <c r="A351" t="inlineStr">
        <is>
          <t>A 30162-2021</t>
        </is>
      </c>
      <c r="B351" s="1" t="n">
        <v>44363</v>
      </c>
      <c r="C351" s="1" t="n">
        <v>45997</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45997</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66103-2021</t>
        </is>
      </c>
      <c r="B353" s="1" t="n">
        <v>44517</v>
      </c>
      <c r="C353" s="1" t="n">
        <v>45997</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47466-2022</t>
        </is>
      </c>
      <c r="B354" s="1" t="n">
        <v>44852</v>
      </c>
      <c r="C354" s="1" t="n">
        <v>45997</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67147-2021</t>
        </is>
      </c>
      <c r="B355" s="1" t="n">
        <v>44523</v>
      </c>
      <c r="C355" s="1" t="n">
        <v>45997</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27686-2022</t>
        </is>
      </c>
      <c r="B356" s="1" t="n">
        <v>44743.43273148148</v>
      </c>
      <c r="C356" s="1" t="n">
        <v>45997</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70775-2021</t>
        </is>
      </c>
      <c r="B357" s="1" t="n">
        <v>44537</v>
      </c>
      <c r="C357" s="1" t="n">
        <v>45997</v>
      </c>
      <c r="D357" t="inlineStr">
        <is>
          <t>VÄRMLANDS LÄN</t>
        </is>
      </c>
      <c r="E357" t="inlineStr">
        <is>
          <t>TORSBY</t>
        </is>
      </c>
      <c r="G357" t="n">
        <v>0.3</v>
      </c>
      <c r="H357" t="n">
        <v>0</v>
      </c>
      <c r="I357" t="n">
        <v>0</v>
      </c>
      <c r="J357" t="n">
        <v>0</v>
      </c>
      <c r="K357" t="n">
        <v>0</v>
      </c>
      <c r="L357" t="n">
        <v>0</v>
      </c>
      <c r="M357" t="n">
        <v>0</v>
      </c>
      <c r="N357" t="n">
        <v>0</v>
      </c>
      <c r="O357" t="n">
        <v>0</v>
      </c>
      <c r="P357" t="n">
        <v>0</v>
      </c>
      <c r="Q357" t="n">
        <v>0</v>
      </c>
      <c r="R357" s="2" t="inlineStr"/>
    </row>
    <row r="358" ht="15" customHeight="1">
      <c r="A358" t="inlineStr">
        <is>
          <t>A 46795-2021</t>
        </is>
      </c>
      <c r="B358" s="1" t="n">
        <v>44446</v>
      </c>
      <c r="C358" s="1" t="n">
        <v>45997</v>
      </c>
      <c r="D358" t="inlineStr">
        <is>
          <t>VÄRMLANDS LÄN</t>
        </is>
      </c>
      <c r="E358" t="inlineStr">
        <is>
          <t>TORSBY</t>
        </is>
      </c>
      <c r="G358" t="n">
        <v>6</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45997</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23735-2022</t>
        </is>
      </c>
      <c r="B360" s="1" t="n">
        <v>44722.35103009259</v>
      </c>
      <c r="C360" s="1" t="n">
        <v>45997</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45997</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45997</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45997</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13698-2022</t>
        </is>
      </c>
      <c r="B364" s="1" t="n">
        <v>44648</v>
      </c>
      <c r="C364" s="1" t="n">
        <v>45997</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71084-2021</t>
        </is>
      </c>
      <c r="B365" s="1" t="n">
        <v>44538.96543981481</v>
      </c>
      <c r="C365" s="1" t="n">
        <v>45997</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67084-2020</t>
        </is>
      </c>
      <c r="B366" s="1" t="n">
        <v>44179</v>
      </c>
      <c r="C366" s="1" t="n">
        <v>45997</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40221-2022</t>
        </is>
      </c>
      <c r="B367" s="1" t="n">
        <v>44820.6512037037</v>
      </c>
      <c r="C367" s="1" t="n">
        <v>45997</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45997</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45997</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9775-2021</t>
        </is>
      </c>
      <c r="B370" s="1" t="n">
        <v>44252</v>
      </c>
      <c r="C370" s="1" t="n">
        <v>45997</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14145-2022</t>
        </is>
      </c>
      <c r="B371" s="1" t="n">
        <v>44651</v>
      </c>
      <c r="C371" s="1" t="n">
        <v>45997</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36589-2021</t>
        </is>
      </c>
      <c r="B372" s="1" t="n">
        <v>44391</v>
      </c>
      <c r="C372" s="1" t="n">
        <v>45997</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67913-2021</t>
        </is>
      </c>
      <c r="B373" s="1" t="n">
        <v>44525.60017361111</v>
      </c>
      <c r="C373" s="1" t="n">
        <v>45997</v>
      </c>
      <c r="D373" t="inlineStr">
        <is>
          <t>VÄRMLANDS LÄN</t>
        </is>
      </c>
      <c r="E373" t="inlineStr">
        <is>
          <t>TORSBY</t>
        </is>
      </c>
      <c r="F373" t="inlineStr">
        <is>
          <t>Bergvik skog väst AB</t>
        </is>
      </c>
      <c r="G373" t="n">
        <v>8</v>
      </c>
      <c r="H373" t="n">
        <v>0</v>
      </c>
      <c r="I373" t="n">
        <v>0</v>
      </c>
      <c r="J373" t="n">
        <v>0</v>
      </c>
      <c r="K373" t="n">
        <v>0</v>
      </c>
      <c r="L373" t="n">
        <v>0</v>
      </c>
      <c r="M373" t="n">
        <v>0</v>
      </c>
      <c r="N373" t="n">
        <v>0</v>
      </c>
      <c r="O373" t="n">
        <v>0</v>
      </c>
      <c r="P373" t="n">
        <v>0</v>
      </c>
      <c r="Q373" t="n">
        <v>0</v>
      </c>
      <c r="R373" s="2" t="inlineStr"/>
    </row>
    <row r="374" ht="15" customHeight="1">
      <c r="A374" t="inlineStr">
        <is>
          <t>A 39217-2022</t>
        </is>
      </c>
      <c r="B374" s="1" t="n">
        <v>44817.57174768519</v>
      </c>
      <c r="C374" s="1" t="n">
        <v>45997</v>
      </c>
      <c r="D374" t="inlineStr">
        <is>
          <t>VÄRMLANDS LÄN</t>
        </is>
      </c>
      <c r="E374" t="inlineStr">
        <is>
          <t>TORSBY</t>
        </is>
      </c>
      <c r="G374" t="n">
        <v>4.6</v>
      </c>
      <c r="H374" t="n">
        <v>0</v>
      </c>
      <c r="I374" t="n">
        <v>0</v>
      </c>
      <c r="J374" t="n">
        <v>0</v>
      </c>
      <c r="K374" t="n">
        <v>0</v>
      </c>
      <c r="L374" t="n">
        <v>0</v>
      </c>
      <c r="M374" t="n">
        <v>0</v>
      </c>
      <c r="N374" t="n">
        <v>0</v>
      </c>
      <c r="O374" t="n">
        <v>0</v>
      </c>
      <c r="P374" t="n">
        <v>0</v>
      </c>
      <c r="Q374" t="n">
        <v>0</v>
      </c>
      <c r="R374" s="2" t="inlineStr"/>
    </row>
    <row r="375" ht="15" customHeight="1">
      <c r="A375" t="inlineStr">
        <is>
          <t>A 39221-2022</t>
        </is>
      </c>
      <c r="B375" s="1" t="n">
        <v>44817.57484953704</v>
      </c>
      <c r="C375" s="1" t="n">
        <v>45997</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22671-2021</t>
        </is>
      </c>
      <c r="B376" s="1" t="n">
        <v>44327</v>
      </c>
      <c r="C376" s="1" t="n">
        <v>45997</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47206-2022</t>
        </is>
      </c>
      <c r="B377" s="1" t="n">
        <v>44852.67550925926</v>
      </c>
      <c r="C377" s="1" t="n">
        <v>45997</v>
      </c>
      <c r="D377" t="inlineStr">
        <is>
          <t>VÄRMLANDS LÄN</t>
        </is>
      </c>
      <c r="E377" t="inlineStr">
        <is>
          <t>TORSBY</t>
        </is>
      </c>
      <c r="G377" t="n">
        <v>8.5</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45997</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46221-2023</t>
        </is>
      </c>
      <c r="B379" s="1" t="n">
        <v>45196.66636574074</v>
      </c>
      <c r="C379" s="1" t="n">
        <v>45997</v>
      </c>
      <c r="D379" t="inlineStr">
        <is>
          <t>VÄRMLANDS LÄN</t>
        </is>
      </c>
      <c r="E379" t="inlineStr">
        <is>
          <t>TORSBY</t>
        </is>
      </c>
      <c r="G379" t="n">
        <v>6.5</v>
      </c>
      <c r="H379" t="n">
        <v>0</v>
      </c>
      <c r="I379" t="n">
        <v>0</v>
      </c>
      <c r="J379" t="n">
        <v>0</v>
      </c>
      <c r="K379" t="n">
        <v>0</v>
      </c>
      <c r="L379" t="n">
        <v>0</v>
      </c>
      <c r="M379" t="n">
        <v>0</v>
      </c>
      <c r="N379" t="n">
        <v>0</v>
      </c>
      <c r="O379" t="n">
        <v>0</v>
      </c>
      <c r="P379" t="n">
        <v>0</v>
      </c>
      <c r="Q379" t="n">
        <v>0</v>
      </c>
      <c r="R379" s="2" t="inlineStr"/>
    </row>
    <row r="380" ht="15" customHeight="1">
      <c r="A380" t="inlineStr">
        <is>
          <t>A 51490-2022</t>
        </is>
      </c>
      <c r="B380" s="1" t="n">
        <v>44869.59972222222</v>
      </c>
      <c r="C380" s="1" t="n">
        <v>45997</v>
      </c>
      <c r="D380" t="inlineStr">
        <is>
          <t>VÄRMLANDS LÄN</t>
        </is>
      </c>
      <c r="E380" t="inlineStr">
        <is>
          <t>TORSBY</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12440-2025</t>
        </is>
      </c>
      <c r="B381" s="1" t="n">
        <v>45730</v>
      </c>
      <c r="C381" s="1" t="n">
        <v>45997</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56021-2023</t>
        </is>
      </c>
      <c r="B382" s="1" t="n">
        <v>45240</v>
      </c>
      <c r="C382" s="1" t="n">
        <v>45997</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37081-2023</t>
        </is>
      </c>
      <c r="B383" s="1" t="n">
        <v>45155</v>
      </c>
      <c r="C383" s="1" t="n">
        <v>45997</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57980-2023</t>
        </is>
      </c>
      <c r="B384" s="1" t="n">
        <v>45247.59328703704</v>
      </c>
      <c r="C384" s="1" t="n">
        <v>45997</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14613-2025</t>
        </is>
      </c>
      <c r="B385" s="1" t="n">
        <v>45742.39615740741</v>
      </c>
      <c r="C385" s="1" t="n">
        <v>45997</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19662-2025</t>
        </is>
      </c>
      <c r="B386" s="1" t="n">
        <v>45770</v>
      </c>
      <c r="C386" s="1" t="n">
        <v>45997</v>
      </c>
      <c r="D386" t="inlineStr">
        <is>
          <t>VÄRMLANDS LÄN</t>
        </is>
      </c>
      <c r="E386" t="inlineStr">
        <is>
          <t>TORSBY</t>
        </is>
      </c>
      <c r="F386" t="inlineStr">
        <is>
          <t>Bergvik skog väst AB</t>
        </is>
      </c>
      <c r="G386" t="n">
        <v>11.6</v>
      </c>
      <c r="H386" t="n">
        <v>0</v>
      </c>
      <c r="I386" t="n">
        <v>0</v>
      </c>
      <c r="J386" t="n">
        <v>0</v>
      </c>
      <c r="K386" t="n">
        <v>0</v>
      </c>
      <c r="L386" t="n">
        <v>0</v>
      </c>
      <c r="M386" t="n">
        <v>0</v>
      </c>
      <c r="N386" t="n">
        <v>0</v>
      </c>
      <c r="O386" t="n">
        <v>0</v>
      </c>
      <c r="P386" t="n">
        <v>0</v>
      </c>
      <c r="Q386" t="n">
        <v>0</v>
      </c>
      <c r="R386" s="2" t="inlineStr"/>
    </row>
    <row r="387" ht="15" customHeight="1">
      <c r="A387" t="inlineStr">
        <is>
          <t>A 19763-2025</t>
        </is>
      </c>
      <c r="B387" s="1" t="n">
        <v>45771.40707175926</v>
      </c>
      <c r="C387" s="1" t="n">
        <v>45997</v>
      </c>
      <c r="D387" t="inlineStr">
        <is>
          <t>VÄRMLANDS LÄN</t>
        </is>
      </c>
      <c r="E387" t="inlineStr">
        <is>
          <t>TORSBY</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19159-2025</t>
        </is>
      </c>
      <c r="B388" s="1" t="n">
        <v>45769</v>
      </c>
      <c r="C388" s="1" t="n">
        <v>45997</v>
      </c>
      <c r="D388" t="inlineStr">
        <is>
          <t>VÄRMLANDS LÄN</t>
        </is>
      </c>
      <c r="E388" t="inlineStr">
        <is>
          <t>TORSBY</t>
        </is>
      </c>
      <c r="F388" t="inlineStr">
        <is>
          <t>Bergvik skog väst AB</t>
        </is>
      </c>
      <c r="G388" t="n">
        <v>10.2</v>
      </c>
      <c r="H388" t="n">
        <v>0</v>
      </c>
      <c r="I388" t="n">
        <v>0</v>
      </c>
      <c r="J388" t="n">
        <v>0</v>
      </c>
      <c r="K388" t="n">
        <v>0</v>
      </c>
      <c r="L388" t="n">
        <v>0</v>
      </c>
      <c r="M388" t="n">
        <v>0</v>
      </c>
      <c r="N388" t="n">
        <v>0</v>
      </c>
      <c r="O388" t="n">
        <v>0</v>
      </c>
      <c r="P388" t="n">
        <v>0</v>
      </c>
      <c r="Q388" t="n">
        <v>0</v>
      </c>
      <c r="R388" s="2" t="inlineStr"/>
    </row>
    <row r="389" ht="15" customHeight="1">
      <c r="A389" t="inlineStr">
        <is>
          <t>A 73165-2021</t>
        </is>
      </c>
      <c r="B389" s="1" t="n">
        <v>44550</v>
      </c>
      <c r="C389" s="1" t="n">
        <v>45997</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40180-2024</t>
        </is>
      </c>
      <c r="B390" s="1" t="n">
        <v>45554.55413194445</v>
      </c>
      <c r="C390" s="1" t="n">
        <v>45997</v>
      </c>
      <c r="D390" t="inlineStr">
        <is>
          <t>VÄRMLANDS LÄN</t>
        </is>
      </c>
      <c r="E390" t="inlineStr">
        <is>
          <t>TORSBY</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8428-2025</t>
        </is>
      </c>
      <c r="B391" s="1" t="n">
        <v>45709.41995370371</v>
      </c>
      <c r="C391" s="1" t="n">
        <v>45997</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20461-2025</t>
        </is>
      </c>
      <c r="B392" s="1" t="n">
        <v>45775.53158564815</v>
      </c>
      <c r="C392" s="1" t="n">
        <v>45997</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45997</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34093-2024</t>
        </is>
      </c>
      <c r="B394" s="1" t="n">
        <v>45523</v>
      </c>
      <c r="C394" s="1" t="n">
        <v>45997</v>
      </c>
      <c r="D394" t="inlineStr">
        <is>
          <t>VÄRMLANDS LÄN</t>
        </is>
      </c>
      <c r="E394" t="inlineStr">
        <is>
          <t>TORSBY</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7221-2024</t>
        </is>
      </c>
      <c r="B395" s="1" t="n">
        <v>45344.63927083334</v>
      </c>
      <c r="C395" s="1" t="n">
        <v>45997</v>
      </c>
      <c r="D395" t="inlineStr">
        <is>
          <t>VÄRMLANDS LÄN</t>
        </is>
      </c>
      <c r="E395" t="inlineStr">
        <is>
          <t>TORSBY</t>
        </is>
      </c>
      <c r="G395" t="n">
        <v>8.1</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45997</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45997</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6317-2025</t>
        </is>
      </c>
      <c r="B398" s="1" t="n">
        <v>45698.74826388889</v>
      </c>
      <c r="C398" s="1" t="n">
        <v>45997</v>
      </c>
      <c r="D398" t="inlineStr">
        <is>
          <t>VÄRMLANDS LÄN</t>
        </is>
      </c>
      <c r="E398" t="inlineStr">
        <is>
          <t>TORSBY</t>
        </is>
      </c>
      <c r="G398" t="n">
        <v>5.8</v>
      </c>
      <c r="H398" t="n">
        <v>0</v>
      </c>
      <c r="I398" t="n">
        <v>0</v>
      </c>
      <c r="J398" t="n">
        <v>0</v>
      </c>
      <c r="K398" t="n">
        <v>0</v>
      </c>
      <c r="L398" t="n">
        <v>0</v>
      </c>
      <c r="M398" t="n">
        <v>0</v>
      </c>
      <c r="N398" t="n">
        <v>0</v>
      </c>
      <c r="O398" t="n">
        <v>0</v>
      </c>
      <c r="P398" t="n">
        <v>0</v>
      </c>
      <c r="Q398" t="n">
        <v>0</v>
      </c>
      <c r="R398" s="2" t="inlineStr"/>
    </row>
    <row r="399" ht="15" customHeight="1">
      <c r="A399" t="inlineStr">
        <is>
          <t>A 39781-2022</t>
        </is>
      </c>
      <c r="B399" s="1" t="n">
        <v>44819</v>
      </c>
      <c r="C399" s="1" t="n">
        <v>45997</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9942-2025</t>
        </is>
      </c>
      <c r="B400" s="1" t="n">
        <v>45719</v>
      </c>
      <c r="C400" s="1" t="n">
        <v>45997</v>
      </c>
      <c r="D400" t="inlineStr">
        <is>
          <t>VÄRMLANDS LÄN</t>
        </is>
      </c>
      <c r="E400" t="inlineStr">
        <is>
          <t>TORSBY</t>
        </is>
      </c>
      <c r="G400" t="n">
        <v>2.6</v>
      </c>
      <c r="H400" t="n">
        <v>0</v>
      </c>
      <c r="I400" t="n">
        <v>0</v>
      </c>
      <c r="J400" t="n">
        <v>0</v>
      </c>
      <c r="K400" t="n">
        <v>0</v>
      </c>
      <c r="L400" t="n">
        <v>0</v>
      </c>
      <c r="M400" t="n">
        <v>0</v>
      </c>
      <c r="N400" t="n">
        <v>0</v>
      </c>
      <c r="O400" t="n">
        <v>0</v>
      </c>
      <c r="P400" t="n">
        <v>0</v>
      </c>
      <c r="Q400" t="n">
        <v>0</v>
      </c>
      <c r="R400" s="2" t="inlineStr"/>
    </row>
    <row r="401" ht="15" customHeight="1">
      <c r="A401" t="inlineStr">
        <is>
          <t>A 38298-2021</t>
        </is>
      </c>
      <c r="B401" s="1" t="n">
        <v>44406</v>
      </c>
      <c r="C401" s="1" t="n">
        <v>45997</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41022-2023</t>
        </is>
      </c>
      <c r="B402" s="1" t="n">
        <v>45173</v>
      </c>
      <c r="C402" s="1" t="n">
        <v>45997</v>
      </c>
      <c r="D402" t="inlineStr">
        <is>
          <t>VÄRMLANDS LÄN</t>
        </is>
      </c>
      <c r="E402" t="inlineStr">
        <is>
          <t>TORSBY</t>
        </is>
      </c>
      <c r="G402" t="n">
        <v>3.8</v>
      </c>
      <c r="H402" t="n">
        <v>0</v>
      </c>
      <c r="I402" t="n">
        <v>0</v>
      </c>
      <c r="J402" t="n">
        <v>0</v>
      </c>
      <c r="K402" t="n">
        <v>0</v>
      </c>
      <c r="L402" t="n">
        <v>0</v>
      </c>
      <c r="M402" t="n">
        <v>0</v>
      </c>
      <c r="N402" t="n">
        <v>0</v>
      </c>
      <c r="O402" t="n">
        <v>0</v>
      </c>
      <c r="P402" t="n">
        <v>0</v>
      </c>
      <c r="Q402" t="n">
        <v>0</v>
      </c>
      <c r="R402" s="2" t="inlineStr"/>
    </row>
    <row r="403" ht="15" customHeight="1">
      <c r="A403" t="inlineStr">
        <is>
          <t>A 11143-2024</t>
        </is>
      </c>
      <c r="B403" s="1" t="n">
        <v>45371</v>
      </c>
      <c r="C403" s="1" t="n">
        <v>45997</v>
      </c>
      <c r="D403" t="inlineStr">
        <is>
          <t>VÄRMLANDS LÄN</t>
        </is>
      </c>
      <c r="E403" t="inlineStr">
        <is>
          <t>TORSBY</t>
        </is>
      </c>
      <c r="G403" t="n">
        <v>2</v>
      </c>
      <c r="H403" t="n">
        <v>0</v>
      </c>
      <c r="I403" t="n">
        <v>0</v>
      </c>
      <c r="J403" t="n">
        <v>0</v>
      </c>
      <c r="K403" t="n">
        <v>0</v>
      </c>
      <c r="L403" t="n">
        <v>0</v>
      </c>
      <c r="M403" t="n">
        <v>0</v>
      </c>
      <c r="N403" t="n">
        <v>0</v>
      </c>
      <c r="O403" t="n">
        <v>0</v>
      </c>
      <c r="P403" t="n">
        <v>0</v>
      </c>
      <c r="Q403" t="n">
        <v>0</v>
      </c>
      <c r="R403" s="2" t="inlineStr"/>
    </row>
    <row r="404" ht="15" customHeight="1">
      <c r="A404" t="inlineStr">
        <is>
          <t>A 13285-2025</t>
        </is>
      </c>
      <c r="B404" s="1" t="n">
        <v>45735</v>
      </c>
      <c r="C404" s="1" t="n">
        <v>45997</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54885-2022</t>
        </is>
      </c>
      <c r="B405" s="1" t="n">
        <v>44886</v>
      </c>
      <c r="C405" s="1" t="n">
        <v>45997</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34434-2022</t>
        </is>
      </c>
      <c r="B406" s="1" t="n">
        <v>44792</v>
      </c>
      <c r="C406" s="1" t="n">
        <v>45997</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43536-2023</t>
        </is>
      </c>
      <c r="B407" s="1" t="n">
        <v>45181</v>
      </c>
      <c r="C407" s="1" t="n">
        <v>45997</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63158-2023</t>
        </is>
      </c>
      <c r="B408" s="1" t="n">
        <v>45273.51715277778</v>
      </c>
      <c r="C408" s="1" t="n">
        <v>45997</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23073-2023</t>
        </is>
      </c>
      <c r="B409" s="1" t="n">
        <v>45070</v>
      </c>
      <c r="C409" s="1" t="n">
        <v>45997</v>
      </c>
      <c r="D409" t="inlineStr">
        <is>
          <t>VÄRMLANDS LÄN</t>
        </is>
      </c>
      <c r="E409" t="inlineStr">
        <is>
          <t>TORSBY</t>
        </is>
      </c>
      <c r="G409" t="n">
        <v>15.1</v>
      </c>
      <c r="H409" t="n">
        <v>0</v>
      </c>
      <c r="I409" t="n">
        <v>0</v>
      </c>
      <c r="J409" t="n">
        <v>0</v>
      </c>
      <c r="K409" t="n">
        <v>0</v>
      </c>
      <c r="L409" t="n">
        <v>0</v>
      </c>
      <c r="M409" t="n">
        <v>0</v>
      </c>
      <c r="N409" t="n">
        <v>0</v>
      </c>
      <c r="O409" t="n">
        <v>0</v>
      </c>
      <c r="P409" t="n">
        <v>0</v>
      </c>
      <c r="Q409" t="n">
        <v>0</v>
      </c>
      <c r="R409" s="2" t="inlineStr"/>
    </row>
    <row r="410" ht="15" customHeight="1">
      <c r="A410" t="inlineStr">
        <is>
          <t>A 62507-2023</t>
        </is>
      </c>
      <c r="B410" s="1" t="n">
        <v>45267</v>
      </c>
      <c r="C410" s="1" t="n">
        <v>45997</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4516-2025</t>
        </is>
      </c>
      <c r="B411" s="1" t="n">
        <v>45686.88212962963</v>
      </c>
      <c r="C411" s="1" t="n">
        <v>45997</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4517-2025</t>
        </is>
      </c>
      <c r="B412" s="1" t="n">
        <v>45686</v>
      </c>
      <c r="C412" s="1" t="n">
        <v>45997</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11872-2025</t>
        </is>
      </c>
      <c r="B413" s="1" t="n">
        <v>45728.43021990741</v>
      </c>
      <c r="C413" s="1" t="n">
        <v>45997</v>
      </c>
      <c r="D413" t="inlineStr">
        <is>
          <t>VÄRMLANDS LÄN</t>
        </is>
      </c>
      <c r="E413" t="inlineStr">
        <is>
          <t>TORSBY</t>
        </is>
      </c>
      <c r="G413" t="n">
        <v>7.4</v>
      </c>
      <c r="H413" t="n">
        <v>0</v>
      </c>
      <c r="I413" t="n">
        <v>0</v>
      </c>
      <c r="J413" t="n">
        <v>0</v>
      </c>
      <c r="K413" t="n">
        <v>0</v>
      </c>
      <c r="L413" t="n">
        <v>0</v>
      </c>
      <c r="M413" t="n">
        <v>0</v>
      </c>
      <c r="N413" t="n">
        <v>0</v>
      </c>
      <c r="O413" t="n">
        <v>0</v>
      </c>
      <c r="P413" t="n">
        <v>0</v>
      </c>
      <c r="Q413" t="n">
        <v>0</v>
      </c>
      <c r="R413" s="2" t="inlineStr"/>
    </row>
    <row r="414" ht="15" customHeight="1">
      <c r="A414" t="inlineStr">
        <is>
          <t>A 41065-2022</t>
        </is>
      </c>
      <c r="B414" s="1" t="n">
        <v>44825.59258101852</v>
      </c>
      <c r="C414" s="1" t="n">
        <v>45997</v>
      </c>
      <c r="D414" t="inlineStr">
        <is>
          <t>VÄRMLANDS LÄN</t>
        </is>
      </c>
      <c r="E414" t="inlineStr">
        <is>
          <t>TORSBY</t>
        </is>
      </c>
      <c r="F414" t="inlineStr">
        <is>
          <t>Kommuner</t>
        </is>
      </c>
      <c r="G414" t="n">
        <v>1.8</v>
      </c>
      <c r="H414" t="n">
        <v>0</v>
      </c>
      <c r="I414" t="n">
        <v>0</v>
      </c>
      <c r="J414" t="n">
        <v>0</v>
      </c>
      <c r="K414" t="n">
        <v>0</v>
      </c>
      <c r="L414" t="n">
        <v>0</v>
      </c>
      <c r="M414" t="n">
        <v>0</v>
      </c>
      <c r="N414" t="n">
        <v>0</v>
      </c>
      <c r="O414" t="n">
        <v>0</v>
      </c>
      <c r="P414" t="n">
        <v>0</v>
      </c>
      <c r="Q414" t="n">
        <v>0</v>
      </c>
      <c r="R414" s="2" t="inlineStr"/>
    </row>
    <row r="415" ht="15" customHeight="1">
      <c r="A415" t="inlineStr">
        <is>
          <t>A 24244-2023</t>
        </is>
      </c>
      <c r="B415" s="1" t="n">
        <v>45079.61969907407</v>
      </c>
      <c r="C415" s="1" t="n">
        <v>45997</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62250-2023</t>
        </is>
      </c>
      <c r="B416" s="1" t="n">
        <v>45266</v>
      </c>
      <c r="C416" s="1" t="n">
        <v>45997</v>
      </c>
      <c r="D416" t="inlineStr">
        <is>
          <t>VÄRMLANDS LÄN</t>
        </is>
      </c>
      <c r="E416" t="inlineStr">
        <is>
          <t>TORSBY</t>
        </is>
      </c>
      <c r="G416" t="n">
        <v>4.7</v>
      </c>
      <c r="H416" t="n">
        <v>0</v>
      </c>
      <c r="I416" t="n">
        <v>0</v>
      </c>
      <c r="J416" t="n">
        <v>0</v>
      </c>
      <c r="K416" t="n">
        <v>0</v>
      </c>
      <c r="L416" t="n">
        <v>0</v>
      </c>
      <c r="M416" t="n">
        <v>0</v>
      </c>
      <c r="N416" t="n">
        <v>0</v>
      </c>
      <c r="O416" t="n">
        <v>0</v>
      </c>
      <c r="P416" t="n">
        <v>0</v>
      </c>
      <c r="Q416" t="n">
        <v>0</v>
      </c>
      <c r="R416" s="2" t="inlineStr"/>
    </row>
    <row r="417" ht="15" customHeight="1">
      <c r="A417" t="inlineStr">
        <is>
          <t>A 1839-2022</t>
        </is>
      </c>
      <c r="B417" s="1" t="n">
        <v>44574</v>
      </c>
      <c r="C417" s="1" t="n">
        <v>45997</v>
      </c>
      <c r="D417" t="inlineStr">
        <is>
          <t>VÄRMLANDS LÄN</t>
        </is>
      </c>
      <c r="E417" t="inlineStr">
        <is>
          <t>TORSBY</t>
        </is>
      </c>
      <c r="G417" t="n">
        <v>5.3</v>
      </c>
      <c r="H417" t="n">
        <v>0</v>
      </c>
      <c r="I417" t="n">
        <v>0</v>
      </c>
      <c r="J417" t="n">
        <v>0</v>
      </c>
      <c r="K417" t="n">
        <v>0</v>
      </c>
      <c r="L417" t="n">
        <v>0</v>
      </c>
      <c r="M417" t="n">
        <v>0</v>
      </c>
      <c r="N417" t="n">
        <v>0</v>
      </c>
      <c r="O417" t="n">
        <v>0</v>
      </c>
      <c r="P417" t="n">
        <v>0</v>
      </c>
      <c r="Q417" t="n">
        <v>0</v>
      </c>
      <c r="R417" s="2" t="inlineStr"/>
    </row>
    <row r="418" ht="15" customHeight="1">
      <c r="A418" t="inlineStr">
        <is>
          <t>A 47602-2021</t>
        </is>
      </c>
      <c r="B418" s="1" t="n">
        <v>44448</v>
      </c>
      <c r="C418" s="1" t="n">
        <v>45997</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32340-2024</t>
        </is>
      </c>
      <c r="B419" s="1" t="n">
        <v>45512.50826388889</v>
      </c>
      <c r="C419" s="1" t="n">
        <v>45997</v>
      </c>
      <c r="D419" t="inlineStr">
        <is>
          <t>VÄRMLANDS LÄN</t>
        </is>
      </c>
      <c r="E419" t="inlineStr">
        <is>
          <t>TORSBY</t>
        </is>
      </c>
      <c r="G419" t="n">
        <v>9.9</v>
      </c>
      <c r="H419" t="n">
        <v>0</v>
      </c>
      <c r="I419" t="n">
        <v>0</v>
      </c>
      <c r="J419" t="n">
        <v>0</v>
      </c>
      <c r="K419" t="n">
        <v>0</v>
      </c>
      <c r="L419" t="n">
        <v>0</v>
      </c>
      <c r="M419" t="n">
        <v>0</v>
      </c>
      <c r="N419" t="n">
        <v>0</v>
      </c>
      <c r="O419" t="n">
        <v>0</v>
      </c>
      <c r="P419" t="n">
        <v>0</v>
      </c>
      <c r="Q419" t="n">
        <v>0</v>
      </c>
      <c r="R419" s="2" t="inlineStr"/>
    </row>
    <row r="420" ht="15" customHeight="1">
      <c r="A420" t="inlineStr">
        <is>
          <t>A 20298-2023</t>
        </is>
      </c>
      <c r="B420" s="1" t="n">
        <v>45056</v>
      </c>
      <c r="C420" s="1" t="n">
        <v>45997</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6711-2023</t>
        </is>
      </c>
      <c r="B421" s="1" t="n">
        <v>44960</v>
      </c>
      <c r="C421" s="1" t="n">
        <v>45997</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6715-2023</t>
        </is>
      </c>
      <c r="B422" s="1" t="n">
        <v>44960</v>
      </c>
      <c r="C422" s="1" t="n">
        <v>45997</v>
      </c>
      <c r="D422" t="inlineStr">
        <is>
          <t>VÄRMLANDS LÄN</t>
        </is>
      </c>
      <c r="E422" t="inlineStr">
        <is>
          <t>TORSBY</t>
        </is>
      </c>
      <c r="G422" t="n">
        <v>4.8</v>
      </c>
      <c r="H422" t="n">
        <v>0</v>
      </c>
      <c r="I422" t="n">
        <v>0</v>
      </c>
      <c r="J422" t="n">
        <v>0</v>
      </c>
      <c r="K422" t="n">
        <v>0</v>
      </c>
      <c r="L422" t="n">
        <v>0</v>
      </c>
      <c r="M422" t="n">
        <v>0</v>
      </c>
      <c r="N422" t="n">
        <v>0</v>
      </c>
      <c r="O422" t="n">
        <v>0</v>
      </c>
      <c r="P422" t="n">
        <v>0</v>
      </c>
      <c r="Q422" t="n">
        <v>0</v>
      </c>
      <c r="R422" s="2" t="inlineStr"/>
    </row>
    <row r="423" ht="15" customHeight="1">
      <c r="A423" t="inlineStr">
        <is>
          <t>A 22030-2023</t>
        </is>
      </c>
      <c r="B423" s="1" t="n">
        <v>45069</v>
      </c>
      <c r="C423" s="1" t="n">
        <v>45997</v>
      </c>
      <c r="D423" t="inlineStr">
        <is>
          <t>VÄRMLANDS LÄN</t>
        </is>
      </c>
      <c r="E423" t="inlineStr">
        <is>
          <t>TORSBY</t>
        </is>
      </c>
      <c r="F423" t="inlineStr">
        <is>
          <t>Bergvik skog väst AB</t>
        </is>
      </c>
      <c r="G423" t="n">
        <v>3.5</v>
      </c>
      <c r="H423" t="n">
        <v>0</v>
      </c>
      <c r="I423" t="n">
        <v>0</v>
      </c>
      <c r="J423" t="n">
        <v>0</v>
      </c>
      <c r="K423" t="n">
        <v>0</v>
      </c>
      <c r="L423" t="n">
        <v>0</v>
      </c>
      <c r="M423" t="n">
        <v>0</v>
      </c>
      <c r="N423" t="n">
        <v>0</v>
      </c>
      <c r="O423" t="n">
        <v>0</v>
      </c>
      <c r="P423" t="n">
        <v>0</v>
      </c>
      <c r="Q423" t="n">
        <v>0</v>
      </c>
      <c r="R423" s="2" t="inlineStr"/>
    </row>
    <row r="424" ht="15" customHeight="1">
      <c r="A424" t="inlineStr">
        <is>
          <t>A 37929-2022</t>
        </is>
      </c>
      <c r="B424" s="1" t="n">
        <v>44811.45628472222</v>
      </c>
      <c r="C424" s="1" t="n">
        <v>45997</v>
      </c>
      <c r="D424" t="inlineStr">
        <is>
          <t>VÄRMLANDS LÄN</t>
        </is>
      </c>
      <c r="E424" t="inlineStr">
        <is>
          <t>TORSBY</t>
        </is>
      </c>
      <c r="G424" t="n">
        <v>2.6</v>
      </c>
      <c r="H424" t="n">
        <v>0</v>
      </c>
      <c r="I424" t="n">
        <v>0</v>
      </c>
      <c r="J424" t="n">
        <v>0</v>
      </c>
      <c r="K424" t="n">
        <v>0</v>
      </c>
      <c r="L424" t="n">
        <v>0</v>
      </c>
      <c r="M424" t="n">
        <v>0</v>
      </c>
      <c r="N424" t="n">
        <v>0</v>
      </c>
      <c r="O424" t="n">
        <v>0</v>
      </c>
      <c r="P424" t="n">
        <v>0</v>
      </c>
      <c r="Q424" t="n">
        <v>0</v>
      </c>
      <c r="R424" s="2" t="inlineStr"/>
    </row>
    <row r="425" ht="15" customHeight="1">
      <c r="A425" t="inlineStr">
        <is>
          <t>A 24696-2023</t>
        </is>
      </c>
      <c r="B425" s="1" t="n">
        <v>45084</v>
      </c>
      <c r="C425" s="1" t="n">
        <v>45997</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30700-2024</t>
        </is>
      </c>
      <c r="B426" s="1" t="n">
        <v>45496.35869212963</v>
      </c>
      <c r="C426" s="1" t="n">
        <v>45997</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30705-2024</t>
        </is>
      </c>
      <c r="B427" s="1" t="n">
        <v>45496.38092592593</v>
      </c>
      <c r="C427" s="1" t="n">
        <v>45997</v>
      </c>
      <c r="D427" t="inlineStr">
        <is>
          <t>VÄRMLANDS LÄN</t>
        </is>
      </c>
      <c r="E427" t="inlineStr">
        <is>
          <t>TORSBY</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53460-2024</t>
        </is>
      </c>
      <c r="B428" s="1" t="n">
        <v>45611</v>
      </c>
      <c r="C428" s="1" t="n">
        <v>45997</v>
      </c>
      <c r="D428" t="inlineStr">
        <is>
          <t>VÄRMLANDS LÄN</t>
        </is>
      </c>
      <c r="E428" t="inlineStr">
        <is>
          <t>TORSBY</t>
        </is>
      </c>
      <c r="G428" t="n">
        <v>12.7</v>
      </c>
      <c r="H428" t="n">
        <v>0</v>
      </c>
      <c r="I428" t="n">
        <v>0</v>
      </c>
      <c r="J428" t="n">
        <v>0</v>
      </c>
      <c r="K428" t="n">
        <v>0</v>
      </c>
      <c r="L428" t="n">
        <v>0</v>
      </c>
      <c r="M428" t="n">
        <v>0</v>
      </c>
      <c r="N428" t="n">
        <v>0</v>
      </c>
      <c r="O428" t="n">
        <v>0</v>
      </c>
      <c r="P428" t="n">
        <v>0</v>
      </c>
      <c r="Q428" t="n">
        <v>0</v>
      </c>
      <c r="R428" s="2" t="inlineStr"/>
    </row>
    <row r="429" ht="15" customHeight="1">
      <c r="A429" t="inlineStr">
        <is>
          <t>A 54204-2023</t>
        </is>
      </c>
      <c r="B429" s="1" t="n">
        <v>45232.56141203704</v>
      </c>
      <c r="C429" s="1" t="n">
        <v>45997</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25579-2023</t>
        </is>
      </c>
      <c r="B430" s="1" t="n">
        <v>45089.62266203704</v>
      </c>
      <c r="C430" s="1" t="n">
        <v>45997</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39770-2024</t>
        </is>
      </c>
      <c r="B431" s="1" t="n">
        <v>45552</v>
      </c>
      <c r="C431" s="1" t="n">
        <v>45997</v>
      </c>
      <c r="D431" t="inlineStr">
        <is>
          <t>VÄRMLANDS LÄN</t>
        </is>
      </c>
      <c r="E431" t="inlineStr">
        <is>
          <t>TORSBY</t>
        </is>
      </c>
      <c r="G431" t="n">
        <v>1.5</v>
      </c>
      <c r="H431" t="n">
        <v>0</v>
      </c>
      <c r="I431" t="n">
        <v>0</v>
      </c>
      <c r="J431" t="n">
        <v>0</v>
      </c>
      <c r="K431" t="n">
        <v>0</v>
      </c>
      <c r="L431" t="n">
        <v>0</v>
      </c>
      <c r="M431" t="n">
        <v>0</v>
      </c>
      <c r="N431" t="n">
        <v>0</v>
      </c>
      <c r="O431" t="n">
        <v>0</v>
      </c>
      <c r="P431" t="n">
        <v>0</v>
      </c>
      <c r="Q431" t="n">
        <v>0</v>
      </c>
      <c r="R431" s="2" t="inlineStr"/>
    </row>
    <row r="432" ht="15" customHeight="1">
      <c r="A432" t="inlineStr">
        <is>
          <t>A 46195-2023</t>
        </is>
      </c>
      <c r="B432" s="1" t="n">
        <v>45196</v>
      </c>
      <c r="C432" s="1" t="n">
        <v>45997</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70658-2021</t>
        </is>
      </c>
      <c r="B433" s="1" t="n">
        <v>44537.52368055555</v>
      </c>
      <c r="C433" s="1" t="n">
        <v>45997</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37401-2022</t>
        </is>
      </c>
      <c r="B434" s="1" t="n">
        <v>44809</v>
      </c>
      <c r="C434" s="1" t="n">
        <v>45997</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27273-2024</t>
        </is>
      </c>
      <c r="B435" s="1" t="n">
        <v>45471.84013888889</v>
      </c>
      <c r="C435" s="1" t="n">
        <v>45997</v>
      </c>
      <c r="D435" t="inlineStr">
        <is>
          <t>VÄRMLANDS LÄN</t>
        </is>
      </c>
      <c r="E435" t="inlineStr">
        <is>
          <t>TORSBY</t>
        </is>
      </c>
      <c r="G435" t="n">
        <v>4.1</v>
      </c>
      <c r="H435" t="n">
        <v>0</v>
      </c>
      <c r="I435" t="n">
        <v>0</v>
      </c>
      <c r="J435" t="n">
        <v>0</v>
      </c>
      <c r="K435" t="n">
        <v>0</v>
      </c>
      <c r="L435" t="n">
        <v>0</v>
      </c>
      <c r="M435" t="n">
        <v>0</v>
      </c>
      <c r="N435" t="n">
        <v>0</v>
      </c>
      <c r="O435" t="n">
        <v>0</v>
      </c>
      <c r="P435" t="n">
        <v>0</v>
      </c>
      <c r="Q435" t="n">
        <v>0</v>
      </c>
      <c r="R435" s="2" t="inlineStr"/>
    </row>
    <row r="436" ht="15" customHeight="1">
      <c r="A436" t="inlineStr">
        <is>
          <t>A 27275-2024</t>
        </is>
      </c>
      <c r="B436" s="1" t="n">
        <v>45471.85645833334</v>
      </c>
      <c r="C436" s="1" t="n">
        <v>45997</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7178-2025</t>
        </is>
      </c>
      <c r="B437" s="1" t="n">
        <v>45702.42493055556</v>
      </c>
      <c r="C437" s="1" t="n">
        <v>45997</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55100-2023</t>
        </is>
      </c>
      <c r="B438" s="1" t="n">
        <v>45237.45715277778</v>
      </c>
      <c r="C438" s="1" t="n">
        <v>45997</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11187-2024</t>
        </is>
      </c>
      <c r="B439" s="1" t="n">
        <v>45371</v>
      </c>
      <c r="C439" s="1" t="n">
        <v>45997</v>
      </c>
      <c r="D439" t="inlineStr">
        <is>
          <t>VÄRMLANDS LÄN</t>
        </is>
      </c>
      <c r="E439" t="inlineStr">
        <is>
          <t>TORSBY</t>
        </is>
      </c>
      <c r="G439" t="n">
        <v>8</v>
      </c>
      <c r="H439" t="n">
        <v>0</v>
      </c>
      <c r="I439" t="n">
        <v>0</v>
      </c>
      <c r="J439" t="n">
        <v>0</v>
      </c>
      <c r="K439" t="n">
        <v>0</v>
      </c>
      <c r="L439" t="n">
        <v>0</v>
      </c>
      <c r="M439" t="n">
        <v>0</v>
      </c>
      <c r="N439" t="n">
        <v>0</v>
      </c>
      <c r="O439" t="n">
        <v>0</v>
      </c>
      <c r="P439" t="n">
        <v>0</v>
      </c>
      <c r="Q439" t="n">
        <v>0</v>
      </c>
      <c r="R439" s="2" t="inlineStr"/>
    </row>
    <row r="440" ht="15" customHeight="1">
      <c r="A440" t="inlineStr">
        <is>
          <t>A 48106-2023</t>
        </is>
      </c>
      <c r="B440" s="1" t="n">
        <v>45205.3434837963</v>
      </c>
      <c r="C440" s="1" t="n">
        <v>45997</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54162-2023</t>
        </is>
      </c>
      <c r="B441" s="1" t="n">
        <v>45232.47539351852</v>
      </c>
      <c r="C441" s="1" t="n">
        <v>45997</v>
      </c>
      <c r="D441" t="inlineStr">
        <is>
          <t>VÄRMLANDS LÄN</t>
        </is>
      </c>
      <c r="E441" t="inlineStr">
        <is>
          <t>TORSBY</t>
        </is>
      </c>
      <c r="F441" t="inlineStr">
        <is>
          <t>Bergvik skog väst AB</t>
        </is>
      </c>
      <c r="G441" t="n">
        <v>8.4</v>
      </c>
      <c r="H441" t="n">
        <v>0</v>
      </c>
      <c r="I441" t="n">
        <v>0</v>
      </c>
      <c r="J441" t="n">
        <v>0</v>
      </c>
      <c r="K441" t="n">
        <v>0</v>
      </c>
      <c r="L441" t="n">
        <v>0</v>
      </c>
      <c r="M441" t="n">
        <v>0</v>
      </c>
      <c r="N441" t="n">
        <v>0</v>
      </c>
      <c r="O441" t="n">
        <v>0</v>
      </c>
      <c r="P441" t="n">
        <v>0</v>
      </c>
      <c r="Q441" t="n">
        <v>0</v>
      </c>
      <c r="R441" s="2" t="inlineStr"/>
    </row>
    <row r="442" ht="15" customHeight="1">
      <c r="A442" t="inlineStr">
        <is>
          <t>A 54191-2023</t>
        </is>
      </c>
      <c r="B442" s="1" t="n">
        <v>45232</v>
      </c>
      <c r="C442" s="1" t="n">
        <v>45997</v>
      </c>
      <c r="D442" t="inlineStr">
        <is>
          <t>VÄRMLANDS LÄN</t>
        </is>
      </c>
      <c r="E442" t="inlineStr">
        <is>
          <t>TORSBY</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16789-2024</t>
        </is>
      </c>
      <c r="B443" s="1" t="n">
        <v>45411</v>
      </c>
      <c r="C443" s="1" t="n">
        <v>45997</v>
      </c>
      <c r="D443" t="inlineStr">
        <is>
          <t>VÄRMLANDS LÄN</t>
        </is>
      </c>
      <c r="E443" t="inlineStr">
        <is>
          <t>TORSBY</t>
        </is>
      </c>
      <c r="G443" t="n">
        <v>2.4</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45997</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45997</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20528-2023</t>
        </is>
      </c>
      <c r="B446" s="1" t="n">
        <v>45057</v>
      </c>
      <c r="C446" s="1" t="n">
        <v>45997</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43060-2021</t>
        </is>
      </c>
      <c r="B447" s="1" t="n">
        <v>44431</v>
      </c>
      <c r="C447" s="1" t="n">
        <v>45997</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45997</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22687-2023</t>
        </is>
      </c>
      <c r="B449" s="1" t="n">
        <v>45071</v>
      </c>
      <c r="C449" s="1" t="n">
        <v>45997</v>
      </c>
      <c r="D449" t="inlineStr">
        <is>
          <t>VÄRMLANDS LÄN</t>
        </is>
      </c>
      <c r="E449" t="inlineStr">
        <is>
          <t>TORSBY</t>
        </is>
      </c>
      <c r="F449" t="inlineStr">
        <is>
          <t>Bergvik skog väst AB</t>
        </is>
      </c>
      <c r="G449" t="n">
        <v>5.8</v>
      </c>
      <c r="H449" t="n">
        <v>0</v>
      </c>
      <c r="I449" t="n">
        <v>0</v>
      </c>
      <c r="J449" t="n">
        <v>0</v>
      </c>
      <c r="K449" t="n">
        <v>0</v>
      </c>
      <c r="L449" t="n">
        <v>0</v>
      </c>
      <c r="M449" t="n">
        <v>0</v>
      </c>
      <c r="N449" t="n">
        <v>0</v>
      </c>
      <c r="O449" t="n">
        <v>0</v>
      </c>
      <c r="P449" t="n">
        <v>0</v>
      </c>
      <c r="Q449" t="n">
        <v>0</v>
      </c>
      <c r="R449" s="2" t="inlineStr"/>
    </row>
    <row r="450" ht="15" customHeight="1">
      <c r="A450" t="inlineStr">
        <is>
          <t>A 23572-2023</t>
        </is>
      </c>
      <c r="B450" s="1" t="n">
        <v>45077</v>
      </c>
      <c r="C450" s="1" t="n">
        <v>45997</v>
      </c>
      <c r="D450" t="inlineStr">
        <is>
          <t>VÄRMLANDS LÄN</t>
        </is>
      </c>
      <c r="E450" t="inlineStr">
        <is>
          <t>TORSBY</t>
        </is>
      </c>
      <c r="G450" t="n">
        <v>4.4</v>
      </c>
      <c r="H450" t="n">
        <v>0</v>
      </c>
      <c r="I450" t="n">
        <v>0</v>
      </c>
      <c r="J450" t="n">
        <v>0</v>
      </c>
      <c r="K450" t="n">
        <v>0</v>
      </c>
      <c r="L450" t="n">
        <v>0</v>
      </c>
      <c r="M450" t="n">
        <v>0</v>
      </c>
      <c r="N450" t="n">
        <v>0</v>
      </c>
      <c r="O450" t="n">
        <v>0</v>
      </c>
      <c r="P450" t="n">
        <v>0</v>
      </c>
      <c r="Q450" t="n">
        <v>0</v>
      </c>
      <c r="R450" s="2" t="inlineStr"/>
    </row>
    <row r="451" ht="15" customHeight="1">
      <c r="A451" t="inlineStr">
        <is>
          <t>A 17931-2024</t>
        </is>
      </c>
      <c r="B451" s="1" t="n">
        <v>45419</v>
      </c>
      <c r="C451" s="1" t="n">
        <v>45997</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45997</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45997</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45997</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53492-2022</t>
        </is>
      </c>
      <c r="B455" s="1" t="n">
        <v>44879.56734953704</v>
      </c>
      <c r="C455" s="1" t="n">
        <v>45997</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9902-2024</t>
        </is>
      </c>
      <c r="B456" s="1" t="n">
        <v>45363</v>
      </c>
      <c r="C456" s="1" t="n">
        <v>45997</v>
      </c>
      <c r="D456" t="inlineStr">
        <is>
          <t>VÄRMLANDS LÄN</t>
        </is>
      </c>
      <c r="E456" t="inlineStr">
        <is>
          <t>TORSBY</t>
        </is>
      </c>
      <c r="G456" t="n">
        <v>4.4</v>
      </c>
      <c r="H456" t="n">
        <v>0</v>
      </c>
      <c r="I456" t="n">
        <v>0</v>
      </c>
      <c r="J456" t="n">
        <v>0</v>
      </c>
      <c r="K456" t="n">
        <v>0</v>
      </c>
      <c r="L456" t="n">
        <v>0</v>
      </c>
      <c r="M456" t="n">
        <v>0</v>
      </c>
      <c r="N456" t="n">
        <v>0</v>
      </c>
      <c r="O456" t="n">
        <v>0</v>
      </c>
      <c r="P456" t="n">
        <v>0</v>
      </c>
      <c r="Q456" t="n">
        <v>0</v>
      </c>
      <c r="R456" s="2" t="inlineStr"/>
    </row>
    <row r="457" ht="15" customHeight="1">
      <c r="A457" t="inlineStr">
        <is>
          <t>A 18330-2024</t>
        </is>
      </c>
      <c r="B457" s="1" t="n">
        <v>45422</v>
      </c>
      <c r="C457" s="1" t="n">
        <v>45997</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18339-2024</t>
        </is>
      </c>
      <c r="B458" s="1" t="n">
        <v>45422.58119212963</v>
      </c>
      <c r="C458" s="1" t="n">
        <v>45997</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27446-2021</t>
        </is>
      </c>
      <c r="B459" s="1" t="n">
        <v>44351</v>
      </c>
      <c r="C459" s="1" t="n">
        <v>45997</v>
      </c>
      <c r="D459" t="inlineStr">
        <is>
          <t>VÄRMLANDS LÄN</t>
        </is>
      </c>
      <c r="E459" t="inlineStr">
        <is>
          <t>TORSBY</t>
        </is>
      </c>
      <c r="G459" t="n">
        <v>7.6</v>
      </c>
      <c r="H459" t="n">
        <v>0</v>
      </c>
      <c r="I459" t="n">
        <v>0</v>
      </c>
      <c r="J459" t="n">
        <v>0</v>
      </c>
      <c r="K459" t="n">
        <v>0</v>
      </c>
      <c r="L459" t="n">
        <v>0</v>
      </c>
      <c r="M459" t="n">
        <v>0</v>
      </c>
      <c r="N459" t="n">
        <v>0</v>
      </c>
      <c r="O459" t="n">
        <v>0</v>
      </c>
      <c r="P459" t="n">
        <v>0</v>
      </c>
      <c r="Q459" t="n">
        <v>0</v>
      </c>
      <c r="R459" s="2" t="inlineStr"/>
    </row>
    <row r="460" ht="15" customHeight="1">
      <c r="A460" t="inlineStr">
        <is>
          <t>A 11695-2021</t>
        </is>
      </c>
      <c r="B460" s="1" t="n">
        <v>44264.87736111111</v>
      </c>
      <c r="C460" s="1" t="n">
        <v>45997</v>
      </c>
      <c r="D460" t="inlineStr">
        <is>
          <t>VÄRMLANDS LÄN</t>
        </is>
      </c>
      <c r="E460" t="inlineStr">
        <is>
          <t>TORSBY</t>
        </is>
      </c>
      <c r="G460" t="n">
        <v>3</v>
      </c>
      <c r="H460" t="n">
        <v>0</v>
      </c>
      <c r="I460" t="n">
        <v>0</v>
      </c>
      <c r="J460" t="n">
        <v>0</v>
      </c>
      <c r="K460" t="n">
        <v>0</v>
      </c>
      <c r="L460" t="n">
        <v>0</v>
      </c>
      <c r="M460" t="n">
        <v>0</v>
      </c>
      <c r="N460" t="n">
        <v>0</v>
      </c>
      <c r="O460" t="n">
        <v>0</v>
      </c>
      <c r="P460" t="n">
        <v>0</v>
      </c>
      <c r="Q460" t="n">
        <v>0</v>
      </c>
      <c r="R460" s="2" t="inlineStr"/>
    </row>
    <row r="461" ht="15" customHeight="1">
      <c r="A461" t="inlineStr">
        <is>
          <t>A 15101-2024</t>
        </is>
      </c>
      <c r="B461" s="1" t="n">
        <v>45399.66148148148</v>
      </c>
      <c r="C461" s="1" t="n">
        <v>45997</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16192-2025</t>
        </is>
      </c>
      <c r="B462" s="1" t="n">
        <v>45750.59760416667</v>
      </c>
      <c r="C462" s="1" t="n">
        <v>45997</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22635-2022</t>
        </is>
      </c>
      <c r="B463" s="1" t="n">
        <v>44714</v>
      </c>
      <c r="C463" s="1" t="n">
        <v>45997</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24170-2023</t>
        </is>
      </c>
      <c r="B464" s="1" t="n">
        <v>45079</v>
      </c>
      <c r="C464" s="1" t="n">
        <v>45997</v>
      </c>
      <c r="D464" t="inlineStr">
        <is>
          <t>VÄRMLANDS LÄN</t>
        </is>
      </c>
      <c r="E464" t="inlineStr">
        <is>
          <t>TORSBY</t>
        </is>
      </c>
      <c r="F464" t="inlineStr">
        <is>
          <t>Bergvik skog väst AB</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50608-2023</t>
        </is>
      </c>
      <c r="B465" s="1" t="n">
        <v>45217</v>
      </c>
      <c r="C465" s="1" t="n">
        <v>45997</v>
      </c>
      <c r="D465" t="inlineStr">
        <is>
          <t>VÄRMLANDS LÄN</t>
        </is>
      </c>
      <c r="E465" t="inlineStr">
        <is>
          <t>TORSBY</t>
        </is>
      </c>
      <c r="G465" t="n">
        <v>2.9</v>
      </c>
      <c r="H465" t="n">
        <v>0</v>
      </c>
      <c r="I465" t="n">
        <v>0</v>
      </c>
      <c r="J465" t="n">
        <v>0</v>
      </c>
      <c r="K465" t="n">
        <v>0</v>
      </c>
      <c r="L465" t="n">
        <v>0</v>
      </c>
      <c r="M465" t="n">
        <v>0</v>
      </c>
      <c r="N465" t="n">
        <v>0</v>
      </c>
      <c r="O465" t="n">
        <v>0</v>
      </c>
      <c r="P465" t="n">
        <v>0</v>
      </c>
      <c r="Q465" t="n">
        <v>0</v>
      </c>
      <c r="R465" s="2" t="inlineStr"/>
    </row>
    <row r="466" ht="15" customHeight="1">
      <c r="A466" t="inlineStr">
        <is>
          <t>A 16003-2025</t>
        </is>
      </c>
      <c r="B466" s="1" t="n">
        <v>45749</v>
      </c>
      <c r="C466" s="1" t="n">
        <v>45997</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12701-2024</t>
        </is>
      </c>
      <c r="B467" s="1" t="n">
        <v>45384</v>
      </c>
      <c r="C467" s="1" t="n">
        <v>45997</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56902-2023</t>
        </is>
      </c>
      <c r="B468" s="1" t="n">
        <v>45244</v>
      </c>
      <c r="C468" s="1" t="n">
        <v>45997</v>
      </c>
      <c r="D468" t="inlineStr">
        <is>
          <t>VÄRMLANDS LÄN</t>
        </is>
      </c>
      <c r="E468" t="inlineStr">
        <is>
          <t>TORSBY</t>
        </is>
      </c>
      <c r="G468" t="n">
        <v>17.4</v>
      </c>
      <c r="H468" t="n">
        <v>0</v>
      </c>
      <c r="I468" t="n">
        <v>0</v>
      </c>
      <c r="J468" t="n">
        <v>0</v>
      </c>
      <c r="K468" t="n">
        <v>0</v>
      </c>
      <c r="L468" t="n">
        <v>0</v>
      </c>
      <c r="M468" t="n">
        <v>0</v>
      </c>
      <c r="N468" t="n">
        <v>0</v>
      </c>
      <c r="O468" t="n">
        <v>0</v>
      </c>
      <c r="P468" t="n">
        <v>0</v>
      </c>
      <c r="Q468" t="n">
        <v>0</v>
      </c>
      <c r="R468" s="2" t="inlineStr"/>
    </row>
    <row r="469" ht="15" customHeight="1">
      <c r="A469" t="inlineStr">
        <is>
          <t>A 41130-2022</t>
        </is>
      </c>
      <c r="B469" s="1" t="n">
        <v>44825</v>
      </c>
      <c r="C469" s="1" t="n">
        <v>45997</v>
      </c>
      <c r="D469" t="inlineStr">
        <is>
          <t>VÄRMLANDS LÄN</t>
        </is>
      </c>
      <c r="E469" t="inlineStr">
        <is>
          <t>TORSBY</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43256-2024</t>
        </is>
      </c>
      <c r="B470" s="1" t="n">
        <v>45568</v>
      </c>
      <c r="C470" s="1" t="n">
        <v>45997</v>
      </c>
      <c r="D470" t="inlineStr">
        <is>
          <t>VÄRMLANDS LÄN</t>
        </is>
      </c>
      <c r="E470" t="inlineStr">
        <is>
          <t>TORSBY</t>
        </is>
      </c>
      <c r="G470" t="n">
        <v>1.6</v>
      </c>
      <c r="H470" t="n">
        <v>0</v>
      </c>
      <c r="I470" t="n">
        <v>0</v>
      </c>
      <c r="J470" t="n">
        <v>0</v>
      </c>
      <c r="K470" t="n">
        <v>0</v>
      </c>
      <c r="L470" t="n">
        <v>0</v>
      </c>
      <c r="M470" t="n">
        <v>0</v>
      </c>
      <c r="N470" t="n">
        <v>0</v>
      </c>
      <c r="O470" t="n">
        <v>0</v>
      </c>
      <c r="P470" t="n">
        <v>0</v>
      </c>
      <c r="Q470" t="n">
        <v>0</v>
      </c>
      <c r="R470" s="2" t="inlineStr"/>
    </row>
    <row r="471" ht="15" customHeight="1">
      <c r="A471" t="inlineStr">
        <is>
          <t>A 39215-2022</t>
        </is>
      </c>
      <c r="B471" s="1" t="n">
        <v>44817</v>
      </c>
      <c r="C471" s="1" t="n">
        <v>45997</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26223-2021</t>
        </is>
      </c>
      <c r="B472" s="1" t="n">
        <v>44347</v>
      </c>
      <c r="C472" s="1" t="n">
        <v>45997</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20745-2023</t>
        </is>
      </c>
      <c r="B473" s="1" t="n">
        <v>45058</v>
      </c>
      <c r="C473" s="1" t="n">
        <v>45997</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21988-2023</t>
        </is>
      </c>
      <c r="B474" s="1" t="n">
        <v>45068</v>
      </c>
      <c r="C474" s="1" t="n">
        <v>45997</v>
      </c>
      <c r="D474" t="inlineStr">
        <is>
          <t>VÄRMLANDS LÄN</t>
        </is>
      </c>
      <c r="E474" t="inlineStr">
        <is>
          <t>TORSBY</t>
        </is>
      </c>
      <c r="F474" t="inlineStr">
        <is>
          <t>Bergvik skog väst AB</t>
        </is>
      </c>
      <c r="G474" t="n">
        <v>2</v>
      </c>
      <c r="H474" t="n">
        <v>0</v>
      </c>
      <c r="I474" t="n">
        <v>0</v>
      </c>
      <c r="J474" t="n">
        <v>0</v>
      </c>
      <c r="K474" t="n">
        <v>0</v>
      </c>
      <c r="L474" t="n">
        <v>0</v>
      </c>
      <c r="M474" t="n">
        <v>0</v>
      </c>
      <c r="N474" t="n">
        <v>0</v>
      </c>
      <c r="O474" t="n">
        <v>0</v>
      </c>
      <c r="P474" t="n">
        <v>0</v>
      </c>
      <c r="Q474" t="n">
        <v>0</v>
      </c>
      <c r="R474" s="2" t="inlineStr"/>
    </row>
    <row r="475" ht="15" customHeight="1">
      <c r="A475" t="inlineStr">
        <is>
          <t>A 36850-2024</t>
        </is>
      </c>
      <c r="B475" s="1" t="n">
        <v>45538</v>
      </c>
      <c r="C475" s="1" t="n">
        <v>45997</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15450-2023</t>
        </is>
      </c>
      <c r="B476" s="1" t="n">
        <v>45020</v>
      </c>
      <c r="C476" s="1" t="n">
        <v>45997</v>
      </c>
      <c r="D476" t="inlineStr">
        <is>
          <t>VÄRMLANDS LÄN</t>
        </is>
      </c>
      <c r="E476" t="inlineStr">
        <is>
          <t>TORSBY</t>
        </is>
      </c>
      <c r="G476" t="n">
        <v>3.8</v>
      </c>
      <c r="H476" t="n">
        <v>0</v>
      </c>
      <c r="I476" t="n">
        <v>0</v>
      </c>
      <c r="J476" t="n">
        <v>0</v>
      </c>
      <c r="K476" t="n">
        <v>0</v>
      </c>
      <c r="L476" t="n">
        <v>0</v>
      </c>
      <c r="M476" t="n">
        <v>0</v>
      </c>
      <c r="N476" t="n">
        <v>0</v>
      </c>
      <c r="O476" t="n">
        <v>0</v>
      </c>
      <c r="P476" t="n">
        <v>0</v>
      </c>
      <c r="Q476" t="n">
        <v>0</v>
      </c>
      <c r="R476" s="2" t="inlineStr"/>
    </row>
    <row r="477" ht="15" customHeight="1">
      <c r="A477" t="inlineStr">
        <is>
          <t>A 29042-2023</t>
        </is>
      </c>
      <c r="B477" s="1" t="n">
        <v>45104</v>
      </c>
      <c r="C477" s="1" t="n">
        <v>45997</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37752-2022</t>
        </is>
      </c>
      <c r="B478" s="1" t="n">
        <v>44810</v>
      </c>
      <c r="C478" s="1" t="n">
        <v>45997</v>
      </c>
      <c r="D478" t="inlineStr">
        <is>
          <t>VÄRMLANDS LÄN</t>
        </is>
      </c>
      <c r="E478" t="inlineStr">
        <is>
          <t>TORSBY</t>
        </is>
      </c>
      <c r="F478" t="inlineStr">
        <is>
          <t>Kyrkan</t>
        </is>
      </c>
      <c r="G478" t="n">
        <v>4.5</v>
      </c>
      <c r="H478" t="n">
        <v>0</v>
      </c>
      <c r="I478" t="n">
        <v>0</v>
      </c>
      <c r="J478" t="n">
        <v>0</v>
      </c>
      <c r="K478" t="n">
        <v>0</v>
      </c>
      <c r="L478" t="n">
        <v>0</v>
      </c>
      <c r="M478" t="n">
        <v>0</v>
      </c>
      <c r="N478" t="n">
        <v>0</v>
      </c>
      <c r="O478" t="n">
        <v>0</v>
      </c>
      <c r="P478" t="n">
        <v>0</v>
      </c>
      <c r="Q478" t="n">
        <v>0</v>
      </c>
      <c r="R478" s="2" t="inlineStr"/>
    </row>
    <row r="479" ht="15" customHeight="1">
      <c r="A479" t="inlineStr">
        <is>
          <t>A 6529-2025</t>
        </is>
      </c>
      <c r="B479" s="1" t="n">
        <v>45699</v>
      </c>
      <c r="C479" s="1" t="n">
        <v>45997</v>
      </c>
      <c r="D479" t="inlineStr">
        <is>
          <t>VÄRMLANDS LÄN</t>
        </is>
      </c>
      <c r="E479" t="inlineStr">
        <is>
          <t>TORSBY</t>
        </is>
      </c>
      <c r="F479" t="inlineStr">
        <is>
          <t>Kommuner</t>
        </is>
      </c>
      <c r="G479" t="n">
        <v>0.2</v>
      </c>
      <c r="H479" t="n">
        <v>0</v>
      </c>
      <c r="I479" t="n">
        <v>0</v>
      </c>
      <c r="J479" t="n">
        <v>0</v>
      </c>
      <c r="K479" t="n">
        <v>0</v>
      </c>
      <c r="L479" t="n">
        <v>0</v>
      </c>
      <c r="M479" t="n">
        <v>0</v>
      </c>
      <c r="N479" t="n">
        <v>0</v>
      </c>
      <c r="O479" t="n">
        <v>0</v>
      </c>
      <c r="P479" t="n">
        <v>0</v>
      </c>
      <c r="Q479" t="n">
        <v>0</v>
      </c>
      <c r="R479" s="2" t="inlineStr"/>
    </row>
    <row r="480" ht="15" customHeight="1">
      <c r="A480" t="inlineStr">
        <is>
          <t>A 6532-2025</t>
        </is>
      </c>
      <c r="B480" s="1" t="n">
        <v>45699</v>
      </c>
      <c r="C480" s="1" t="n">
        <v>45997</v>
      </c>
      <c r="D480" t="inlineStr">
        <is>
          <t>VÄRMLANDS LÄN</t>
        </is>
      </c>
      <c r="E480" t="inlineStr">
        <is>
          <t>TORSBY</t>
        </is>
      </c>
      <c r="F480" t="inlineStr">
        <is>
          <t>Kommuner</t>
        </is>
      </c>
      <c r="G480" t="n">
        <v>0.3</v>
      </c>
      <c r="H480" t="n">
        <v>0</v>
      </c>
      <c r="I480" t="n">
        <v>0</v>
      </c>
      <c r="J480" t="n">
        <v>0</v>
      </c>
      <c r="K480" t="n">
        <v>0</v>
      </c>
      <c r="L480" t="n">
        <v>0</v>
      </c>
      <c r="M480" t="n">
        <v>0</v>
      </c>
      <c r="N480" t="n">
        <v>0</v>
      </c>
      <c r="O480" t="n">
        <v>0</v>
      </c>
      <c r="P480" t="n">
        <v>0</v>
      </c>
      <c r="Q480" t="n">
        <v>0</v>
      </c>
      <c r="R480" s="2" t="inlineStr"/>
    </row>
    <row r="481" ht="15" customHeight="1">
      <c r="A481" t="inlineStr">
        <is>
          <t>A 55475-2022</t>
        </is>
      </c>
      <c r="B481" s="1" t="n">
        <v>44887.66210648148</v>
      </c>
      <c r="C481" s="1" t="n">
        <v>45997</v>
      </c>
      <c r="D481" t="inlineStr">
        <is>
          <t>VÄRMLANDS LÄN</t>
        </is>
      </c>
      <c r="E481" t="inlineStr">
        <is>
          <t>TORSBY</t>
        </is>
      </c>
      <c r="G481" t="n">
        <v>2.7</v>
      </c>
      <c r="H481" t="n">
        <v>0</v>
      </c>
      <c r="I481" t="n">
        <v>0</v>
      </c>
      <c r="J481" t="n">
        <v>0</v>
      </c>
      <c r="K481" t="n">
        <v>0</v>
      </c>
      <c r="L481" t="n">
        <v>0</v>
      </c>
      <c r="M481" t="n">
        <v>0</v>
      </c>
      <c r="N481" t="n">
        <v>0</v>
      </c>
      <c r="O481" t="n">
        <v>0</v>
      </c>
      <c r="P481" t="n">
        <v>0</v>
      </c>
      <c r="Q481" t="n">
        <v>0</v>
      </c>
      <c r="R481" s="2" t="inlineStr"/>
    </row>
    <row r="482" ht="15" customHeight="1">
      <c r="A482" t="inlineStr">
        <is>
          <t>A 6863-2023</t>
        </is>
      </c>
      <c r="B482" s="1" t="n">
        <v>44964</v>
      </c>
      <c r="C482" s="1" t="n">
        <v>45997</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14369-2025</t>
        </is>
      </c>
      <c r="B483" s="1" t="n">
        <v>45741</v>
      </c>
      <c r="C483" s="1" t="n">
        <v>45997</v>
      </c>
      <c r="D483" t="inlineStr">
        <is>
          <t>VÄRMLANDS LÄN</t>
        </is>
      </c>
      <c r="E483" t="inlineStr">
        <is>
          <t>TORSBY</t>
        </is>
      </c>
      <c r="G483" t="n">
        <v>2.5</v>
      </c>
      <c r="H483" t="n">
        <v>0</v>
      </c>
      <c r="I483" t="n">
        <v>0</v>
      </c>
      <c r="J483" t="n">
        <v>0</v>
      </c>
      <c r="K483" t="n">
        <v>0</v>
      </c>
      <c r="L483" t="n">
        <v>0</v>
      </c>
      <c r="M483" t="n">
        <v>0</v>
      </c>
      <c r="N483" t="n">
        <v>0</v>
      </c>
      <c r="O483" t="n">
        <v>0</v>
      </c>
      <c r="P483" t="n">
        <v>0</v>
      </c>
      <c r="Q483" t="n">
        <v>0</v>
      </c>
      <c r="R483" s="2" t="inlineStr"/>
    </row>
    <row r="484" ht="15" customHeight="1">
      <c r="A484" t="inlineStr">
        <is>
          <t>A 14413-2025</t>
        </is>
      </c>
      <c r="B484" s="1" t="n">
        <v>45741</v>
      </c>
      <c r="C484" s="1" t="n">
        <v>45997</v>
      </c>
      <c r="D484" t="inlineStr">
        <is>
          <t>VÄRMLANDS LÄN</t>
        </is>
      </c>
      <c r="E484" t="inlineStr">
        <is>
          <t>TORSBY</t>
        </is>
      </c>
      <c r="G484" t="n">
        <v>4.1</v>
      </c>
      <c r="H484" t="n">
        <v>0</v>
      </c>
      <c r="I484" t="n">
        <v>0</v>
      </c>
      <c r="J484" t="n">
        <v>0</v>
      </c>
      <c r="K484" t="n">
        <v>0</v>
      </c>
      <c r="L484" t="n">
        <v>0</v>
      </c>
      <c r="M484" t="n">
        <v>0</v>
      </c>
      <c r="N484" t="n">
        <v>0</v>
      </c>
      <c r="O484" t="n">
        <v>0</v>
      </c>
      <c r="P484" t="n">
        <v>0</v>
      </c>
      <c r="Q484" t="n">
        <v>0</v>
      </c>
      <c r="R484" s="2" t="inlineStr"/>
    </row>
    <row r="485" ht="15" customHeight="1">
      <c r="A485" t="inlineStr">
        <is>
          <t>A 44879-2022</t>
        </is>
      </c>
      <c r="B485" s="1" t="n">
        <v>44839</v>
      </c>
      <c r="C485" s="1" t="n">
        <v>45997</v>
      </c>
      <c r="D485" t="inlineStr">
        <is>
          <t>VÄRMLANDS LÄN</t>
        </is>
      </c>
      <c r="E485" t="inlineStr">
        <is>
          <t>TORSBY</t>
        </is>
      </c>
      <c r="G485" t="n">
        <v>3.5</v>
      </c>
      <c r="H485" t="n">
        <v>0</v>
      </c>
      <c r="I485" t="n">
        <v>0</v>
      </c>
      <c r="J485" t="n">
        <v>0</v>
      </c>
      <c r="K485" t="n">
        <v>0</v>
      </c>
      <c r="L485" t="n">
        <v>0</v>
      </c>
      <c r="M485" t="n">
        <v>0</v>
      </c>
      <c r="N485" t="n">
        <v>0</v>
      </c>
      <c r="O485" t="n">
        <v>0</v>
      </c>
      <c r="P485" t="n">
        <v>0</v>
      </c>
      <c r="Q485" t="n">
        <v>0</v>
      </c>
      <c r="R485" s="2" t="inlineStr"/>
    </row>
    <row r="486" ht="15" customHeight="1">
      <c r="A486" t="inlineStr">
        <is>
          <t>A 59256-2023</t>
        </is>
      </c>
      <c r="B486" s="1" t="n">
        <v>45251</v>
      </c>
      <c r="C486" s="1" t="n">
        <v>45997</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21518-2024</t>
        </is>
      </c>
      <c r="B487" s="1" t="n">
        <v>45441</v>
      </c>
      <c r="C487" s="1" t="n">
        <v>45997</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27363-2024</t>
        </is>
      </c>
      <c r="B488" s="1" t="n">
        <v>45473</v>
      </c>
      <c r="C488" s="1" t="n">
        <v>45997</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24896-2023</t>
        </is>
      </c>
      <c r="B489" s="1" t="n">
        <v>45085</v>
      </c>
      <c r="C489" s="1" t="n">
        <v>45997</v>
      </c>
      <c r="D489" t="inlineStr">
        <is>
          <t>VÄRMLANDS LÄN</t>
        </is>
      </c>
      <c r="E489" t="inlineStr">
        <is>
          <t>TORSBY</t>
        </is>
      </c>
      <c r="F489" t="inlineStr">
        <is>
          <t>Bergvik skog väst AB</t>
        </is>
      </c>
      <c r="G489" t="n">
        <v>4.7</v>
      </c>
      <c r="H489" t="n">
        <v>0</v>
      </c>
      <c r="I489" t="n">
        <v>0</v>
      </c>
      <c r="J489" t="n">
        <v>0</v>
      </c>
      <c r="K489" t="n">
        <v>0</v>
      </c>
      <c r="L489" t="n">
        <v>0</v>
      </c>
      <c r="M489" t="n">
        <v>0</v>
      </c>
      <c r="N489" t="n">
        <v>0</v>
      </c>
      <c r="O489" t="n">
        <v>0</v>
      </c>
      <c r="P489" t="n">
        <v>0</v>
      </c>
      <c r="Q489" t="n">
        <v>0</v>
      </c>
      <c r="R489" s="2" t="inlineStr"/>
    </row>
    <row r="490" ht="15" customHeight="1">
      <c r="A490" t="inlineStr">
        <is>
          <t>A 46698-2024</t>
        </is>
      </c>
      <c r="B490" s="1" t="n">
        <v>45583.43209490741</v>
      </c>
      <c r="C490" s="1" t="n">
        <v>45997</v>
      </c>
      <c r="D490" t="inlineStr">
        <is>
          <t>VÄRMLANDS LÄN</t>
        </is>
      </c>
      <c r="E490" t="inlineStr">
        <is>
          <t>TORSBY</t>
        </is>
      </c>
      <c r="G490" t="n">
        <v>0.8</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45997</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45997</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15175-2024</t>
        </is>
      </c>
      <c r="B493" s="1" t="n">
        <v>45400</v>
      </c>
      <c r="C493" s="1" t="n">
        <v>45997</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21308-2024</t>
        </is>
      </c>
      <c r="B494" s="1" t="n">
        <v>45440</v>
      </c>
      <c r="C494" s="1" t="n">
        <v>45997</v>
      </c>
      <c r="D494" t="inlineStr">
        <is>
          <t>VÄRMLANDS LÄN</t>
        </is>
      </c>
      <c r="E494" t="inlineStr">
        <is>
          <t>TORSBY</t>
        </is>
      </c>
      <c r="G494" t="n">
        <v>18.9</v>
      </c>
      <c r="H494" t="n">
        <v>0</v>
      </c>
      <c r="I494" t="n">
        <v>0</v>
      </c>
      <c r="J494" t="n">
        <v>0</v>
      </c>
      <c r="K494" t="n">
        <v>0</v>
      </c>
      <c r="L494" t="n">
        <v>0</v>
      </c>
      <c r="M494" t="n">
        <v>0</v>
      </c>
      <c r="N494" t="n">
        <v>0</v>
      </c>
      <c r="O494" t="n">
        <v>0</v>
      </c>
      <c r="P494" t="n">
        <v>0</v>
      </c>
      <c r="Q494" t="n">
        <v>0</v>
      </c>
      <c r="R494" s="2" t="inlineStr"/>
    </row>
    <row r="495" ht="15" customHeight="1">
      <c r="A495" t="inlineStr">
        <is>
          <t>A 12051-2024</t>
        </is>
      </c>
      <c r="B495" s="1" t="n">
        <v>45377</v>
      </c>
      <c r="C495" s="1" t="n">
        <v>45997</v>
      </c>
      <c r="D495" t="inlineStr">
        <is>
          <t>VÄRMLANDS LÄN</t>
        </is>
      </c>
      <c r="E495" t="inlineStr">
        <is>
          <t>TORSBY</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22565-2024</t>
        </is>
      </c>
      <c r="B496" s="1" t="n">
        <v>45447</v>
      </c>
      <c r="C496" s="1" t="n">
        <v>45997</v>
      </c>
      <c r="D496" t="inlineStr">
        <is>
          <t>VÄRMLANDS LÄN</t>
        </is>
      </c>
      <c r="E496" t="inlineStr">
        <is>
          <t>TORSBY</t>
        </is>
      </c>
      <c r="G496" t="n">
        <v>3</v>
      </c>
      <c r="H496" t="n">
        <v>0</v>
      </c>
      <c r="I496" t="n">
        <v>0</v>
      </c>
      <c r="J496" t="n">
        <v>0</v>
      </c>
      <c r="K496" t="n">
        <v>0</v>
      </c>
      <c r="L496" t="n">
        <v>0</v>
      </c>
      <c r="M496" t="n">
        <v>0</v>
      </c>
      <c r="N496" t="n">
        <v>0</v>
      </c>
      <c r="O496" t="n">
        <v>0</v>
      </c>
      <c r="P496" t="n">
        <v>0</v>
      </c>
      <c r="Q496" t="n">
        <v>0</v>
      </c>
      <c r="R496" s="2" t="inlineStr"/>
    </row>
    <row r="497" ht="15" customHeight="1">
      <c r="A497" t="inlineStr">
        <is>
          <t>A 25163-2023</t>
        </is>
      </c>
      <c r="B497" s="1" t="n">
        <v>45086</v>
      </c>
      <c r="C497" s="1" t="n">
        <v>45997</v>
      </c>
      <c r="D497" t="inlineStr">
        <is>
          <t>VÄRMLANDS LÄN</t>
        </is>
      </c>
      <c r="E497" t="inlineStr">
        <is>
          <t>TORSBY</t>
        </is>
      </c>
      <c r="G497" t="n">
        <v>5.2</v>
      </c>
      <c r="H497" t="n">
        <v>0</v>
      </c>
      <c r="I497" t="n">
        <v>0</v>
      </c>
      <c r="J497" t="n">
        <v>0</v>
      </c>
      <c r="K497" t="n">
        <v>0</v>
      </c>
      <c r="L497" t="n">
        <v>0</v>
      </c>
      <c r="M497" t="n">
        <v>0</v>
      </c>
      <c r="N497" t="n">
        <v>0</v>
      </c>
      <c r="O497" t="n">
        <v>0</v>
      </c>
      <c r="P497" t="n">
        <v>0</v>
      </c>
      <c r="Q497" t="n">
        <v>0</v>
      </c>
      <c r="R497" s="2" t="inlineStr"/>
    </row>
    <row r="498" ht="15" customHeight="1">
      <c r="A498" t="inlineStr">
        <is>
          <t>A 41264-2022</t>
        </is>
      </c>
      <c r="B498" s="1" t="n">
        <v>44823</v>
      </c>
      <c r="C498" s="1" t="n">
        <v>45997</v>
      </c>
      <c r="D498" t="inlineStr">
        <is>
          <t>VÄRMLANDS LÄN</t>
        </is>
      </c>
      <c r="E498" t="inlineStr">
        <is>
          <t>TORSBY</t>
        </is>
      </c>
      <c r="G498" t="n">
        <v>6.5</v>
      </c>
      <c r="H498" t="n">
        <v>0</v>
      </c>
      <c r="I498" t="n">
        <v>0</v>
      </c>
      <c r="J498" t="n">
        <v>0</v>
      </c>
      <c r="K498" t="n">
        <v>0</v>
      </c>
      <c r="L498" t="n">
        <v>0</v>
      </c>
      <c r="M498" t="n">
        <v>0</v>
      </c>
      <c r="N498" t="n">
        <v>0</v>
      </c>
      <c r="O498" t="n">
        <v>0</v>
      </c>
      <c r="P498" t="n">
        <v>0</v>
      </c>
      <c r="Q498" t="n">
        <v>0</v>
      </c>
      <c r="R498" s="2" t="inlineStr"/>
    </row>
    <row r="499" ht="15" customHeight="1">
      <c r="A499" t="inlineStr">
        <is>
          <t>A 40590-2021</t>
        </is>
      </c>
      <c r="B499" s="1" t="n">
        <v>44420</v>
      </c>
      <c r="C499" s="1" t="n">
        <v>45997</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36184-2024</t>
        </is>
      </c>
      <c r="B500" s="1" t="n">
        <v>45534.4178125</v>
      </c>
      <c r="C500" s="1" t="n">
        <v>45997</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16425-2022</t>
        </is>
      </c>
      <c r="B501" s="1" t="n">
        <v>44671</v>
      </c>
      <c r="C501" s="1" t="n">
        <v>45997</v>
      </c>
      <c r="D501" t="inlineStr">
        <is>
          <t>VÄRMLANDS LÄN</t>
        </is>
      </c>
      <c r="E501" t="inlineStr">
        <is>
          <t>TORSBY</t>
        </is>
      </c>
      <c r="G501" t="n">
        <v>3</v>
      </c>
      <c r="H501" t="n">
        <v>0</v>
      </c>
      <c r="I501" t="n">
        <v>0</v>
      </c>
      <c r="J501" t="n">
        <v>0</v>
      </c>
      <c r="K501" t="n">
        <v>0</v>
      </c>
      <c r="L501" t="n">
        <v>0</v>
      </c>
      <c r="M501" t="n">
        <v>0</v>
      </c>
      <c r="N501" t="n">
        <v>0</v>
      </c>
      <c r="O501" t="n">
        <v>0</v>
      </c>
      <c r="P501" t="n">
        <v>0</v>
      </c>
      <c r="Q501" t="n">
        <v>0</v>
      </c>
      <c r="R501" s="2" t="inlineStr"/>
    </row>
    <row r="502" ht="15" customHeight="1">
      <c r="A502" t="inlineStr">
        <is>
          <t>A 21255-2023</t>
        </is>
      </c>
      <c r="B502" s="1" t="n">
        <v>45058</v>
      </c>
      <c r="C502" s="1" t="n">
        <v>45997</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44532-2022</t>
        </is>
      </c>
      <c r="B503" s="1" t="n">
        <v>44840</v>
      </c>
      <c r="C503" s="1" t="n">
        <v>45997</v>
      </c>
      <c r="D503" t="inlineStr">
        <is>
          <t>VÄRMLANDS LÄN</t>
        </is>
      </c>
      <c r="E503" t="inlineStr">
        <is>
          <t>TORSBY</t>
        </is>
      </c>
      <c r="G503" t="n">
        <v>12.3</v>
      </c>
      <c r="H503" t="n">
        <v>0</v>
      </c>
      <c r="I503" t="n">
        <v>0</v>
      </c>
      <c r="J503" t="n">
        <v>0</v>
      </c>
      <c r="K503" t="n">
        <v>0</v>
      </c>
      <c r="L503" t="n">
        <v>0</v>
      </c>
      <c r="M503" t="n">
        <v>0</v>
      </c>
      <c r="N503" t="n">
        <v>0</v>
      </c>
      <c r="O503" t="n">
        <v>0</v>
      </c>
      <c r="P503" t="n">
        <v>0</v>
      </c>
      <c r="Q503" t="n">
        <v>0</v>
      </c>
      <c r="R503" s="2" t="inlineStr"/>
    </row>
    <row r="504" ht="15" customHeight="1">
      <c r="A504" t="inlineStr">
        <is>
          <t>A 24717-2024</t>
        </is>
      </c>
      <c r="B504" s="1" t="n">
        <v>45460</v>
      </c>
      <c r="C504" s="1" t="n">
        <v>45997</v>
      </c>
      <c r="D504" t="inlineStr">
        <is>
          <t>VÄRMLANDS LÄN</t>
        </is>
      </c>
      <c r="E504" t="inlineStr">
        <is>
          <t>TORSBY</t>
        </is>
      </c>
      <c r="F504" t="inlineStr">
        <is>
          <t>Övriga statliga verk och myndigheter</t>
        </is>
      </c>
      <c r="G504" t="n">
        <v>2.1</v>
      </c>
      <c r="H504" t="n">
        <v>0</v>
      </c>
      <c r="I504" t="n">
        <v>0</v>
      </c>
      <c r="J504" t="n">
        <v>0</v>
      </c>
      <c r="K504" t="n">
        <v>0</v>
      </c>
      <c r="L504" t="n">
        <v>0</v>
      </c>
      <c r="M504" t="n">
        <v>0</v>
      </c>
      <c r="N504" t="n">
        <v>0</v>
      </c>
      <c r="O504" t="n">
        <v>0</v>
      </c>
      <c r="P504" t="n">
        <v>0</v>
      </c>
      <c r="Q504" t="n">
        <v>0</v>
      </c>
      <c r="R504" s="2" t="inlineStr"/>
    </row>
    <row r="505" ht="15" customHeight="1">
      <c r="A505" t="inlineStr">
        <is>
          <t>A 18105-2022</t>
        </is>
      </c>
      <c r="B505" s="1" t="n">
        <v>44684</v>
      </c>
      <c r="C505" s="1" t="n">
        <v>45997</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53705-2021</t>
        </is>
      </c>
      <c r="B506" s="1" t="n">
        <v>44469</v>
      </c>
      <c r="C506" s="1" t="n">
        <v>45997</v>
      </c>
      <c r="D506" t="inlineStr">
        <is>
          <t>VÄRMLANDS LÄN</t>
        </is>
      </c>
      <c r="E506" t="inlineStr">
        <is>
          <t>TORSBY</t>
        </is>
      </c>
      <c r="F506" t="inlineStr">
        <is>
          <t>Kyrkan</t>
        </is>
      </c>
      <c r="G506" t="n">
        <v>12.4</v>
      </c>
      <c r="H506" t="n">
        <v>0</v>
      </c>
      <c r="I506" t="n">
        <v>0</v>
      </c>
      <c r="J506" t="n">
        <v>0</v>
      </c>
      <c r="K506" t="n">
        <v>0</v>
      </c>
      <c r="L506" t="n">
        <v>0</v>
      </c>
      <c r="M506" t="n">
        <v>0</v>
      </c>
      <c r="N506" t="n">
        <v>0</v>
      </c>
      <c r="O506" t="n">
        <v>0</v>
      </c>
      <c r="P506" t="n">
        <v>0</v>
      </c>
      <c r="Q506" t="n">
        <v>0</v>
      </c>
      <c r="R506" s="2" t="inlineStr"/>
    </row>
    <row r="507" ht="15" customHeight="1">
      <c r="A507" t="inlineStr">
        <is>
          <t>A 53921-2023</t>
        </is>
      </c>
      <c r="B507" s="1" t="n">
        <v>45231</v>
      </c>
      <c r="C507" s="1" t="n">
        <v>45997</v>
      </c>
      <c r="D507" t="inlineStr">
        <is>
          <t>VÄRMLANDS LÄN</t>
        </is>
      </c>
      <c r="E507" t="inlineStr">
        <is>
          <t>TORSBY</t>
        </is>
      </c>
      <c r="G507" t="n">
        <v>4.8</v>
      </c>
      <c r="H507" t="n">
        <v>0</v>
      </c>
      <c r="I507" t="n">
        <v>0</v>
      </c>
      <c r="J507" t="n">
        <v>0</v>
      </c>
      <c r="K507" t="n">
        <v>0</v>
      </c>
      <c r="L507" t="n">
        <v>0</v>
      </c>
      <c r="M507" t="n">
        <v>0</v>
      </c>
      <c r="N507" t="n">
        <v>0</v>
      </c>
      <c r="O507" t="n">
        <v>0</v>
      </c>
      <c r="P507" t="n">
        <v>0</v>
      </c>
      <c r="Q507" t="n">
        <v>0</v>
      </c>
      <c r="R507" s="2" t="inlineStr"/>
    </row>
    <row r="508" ht="15" customHeight="1">
      <c r="A508" t="inlineStr">
        <is>
          <t>A 16329-2025</t>
        </is>
      </c>
      <c r="B508" s="1" t="n">
        <v>45751</v>
      </c>
      <c r="C508" s="1" t="n">
        <v>45997</v>
      </c>
      <c r="D508" t="inlineStr">
        <is>
          <t>VÄRMLANDS LÄN</t>
        </is>
      </c>
      <c r="E508" t="inlineStr">
        <is>
          <t>TORSBY</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12365-2022</t>
        </is>
      </c>
      <c r="B509" s="1" t="n">
        <v>44637.70670138889</v>
      </c>
      <c r="C509" s="1" t="n">
        <v>45997</v>
      </c>
      <c r="D509" t="inlineStr">
        <is>
          <t>VÄRMLANDS LÄN</t>
        </is>
      </c>
      <c r="E509" t="inlineStr">
        <is>
          <t>TORSBY</t>
        </is>
      </c>
      <c r="G509" t="n">
        <v>3.5</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45997</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38286-2023</t>
        </is>
      </c>
      <c r="B511" s="1" t="n">
        <v>45161.63807870371</v>
      </c>
      <c r="C511" s="1" t="n">
        <v>45997</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59097-2022</t>
        </is>
      </c>
      <c r="B512" s="1" t="n">
        <v>44904</v>
      </c>
      <c r="C512" s="1" t="n">
        <v>45997</v>
      </c>
      <c r="D512" t="inlineStr">
        <is>
          <t>VÄRMLANDS LÄN</t>
        </is>
      </c>
      <c r="E512" t="inlineStr">
        <is>
          <t>TORSBY</t>
        </is>
      </c>
      <c r="G512" t="n">
        <v>6.6</v>
      </c>
      <c r="H512" t="n">
        <v>0</v>
      </c>
      <c r="I512" t="n">
        <v>0</v>
      </c>
      <c r="J512" t="n">
        <v>0</v>
      </c>
      <c r="K512" t="n">
        <v>0</v>
      </c>
      <c r="L512" t="n">
        <v>0</v>
      </c>
      <c r="M512" t="n">
        <v>0</v>
      </c>
      <c r="N512" t="n">
        <v>0</v>
      </c>
      <c r="O512" t="n">
        <v>0</v>
      </c>
      <c r="P512" t="n">
        <v>0</v>
      </c>
      <c r="Q512" t="n">
        <v>0</v>
      </c>
      <c r="R512" s="2" t="inlineStr"/>
    </row>
    <row r="513" ht="15" customHeight="1">
      <c r="A513" t="inlineStr">
        <is>
          <t>A 9381-2024</t>
        </is>
      </c>
      <c r="B513" s="1" t="n">
        <v>45359</v>
      </c>
      <c r="C513" s="1" t="n">
        <v>45997</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9904-2024</t>
        </is>
      </c>
      <c r="B514" s="1" t="n">
        <v>45363</v>
      </c>
      <c r="C514" s="1" t="n">
        <v>45997</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44325-2024</t>
        </is>
      </c>
      <c r="B515" s="1" t="n">
        <v>45573</v>
      </c>
      <c r="C515" s="1" t="n">
        <v>45997</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14730-2024</t>
        </is>
      </c>
      <c r="B516" s="1" t="n">
        <v>45397.58518518518</v>
      </c>
      <c r="C516" s="1" t="n">
        <v>45997</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39216-2022</t>
        </is>
      </c>
      <c r="B517" s="1" t="n">
        <v>44817</v>
      </c>
      <c r="C517" s="1" t="n">
        <v>45997</v>
      </c>
      <c r="D517" t="inlineStr">
        <is>
          <t>VÄRMLANDS LÄN</t>
        </is>
      </c>
      <c r="E517" t="inlineStr">
        <is>
          <t>TORSBY</t>
        </is>
      </c>
      <c r="G517" t="n">
        <v>6.6</v>
      </c>
      <c r="H517" t="n">
        <v>0</v>
      </c>
      <c r="I517" t="n">
        <v>0</v>
      </c>
      <c r="J517" t="n">
        <v>0</v>
      </c>
      <c r="K517" t="n">
        <v>0</v>
      </c>
      <c r="L517" t="n">
        <v>0</v>
      </c>
      <c r="M517" t="n">
        <v>0</v>
      </c>
      <c r="N517" t="n">
        <v>0</v>
      </c>
      <c r="O517" t="n">
        <v>0</v>
      </c>
      <c r="P517" t="n">
        <v>0</v>
      </c>
      <c r="Q517" t="n">
        <v>0</v>
      </c>
      <c r="R517" s="2" t="inlineStr"/>
    </row>
    <row r="518" ht="15" customHeight="1">
      <c r="A518" t="inlineStr">
        <is>
          <t>A 19878-2025</t>
        </is>
      </c>
      <c r="B518" s="1" t="n">
        <v>45771.55361111111</v>
      </c>
      <c r="C518" s="1" t="n">
        <v>45997</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33268-2023</t>
        </is>
      </c>
      <c r="B519" s="1" t="n">
        <v>45127.58094907407</v>
      </c>
      <c r="C519" s="1" t="n">
        <v>45997</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26343-2023</t>
        </is>
      </c>
      <c r="B520" s="1" t="n">
        <v>45091</v>
      </c>
      <c r="C520" s="1" t="n">
        <v>45997</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32988-2024</t>
        </is>
      </c>
      <c r="B521" s="1" t="n">
        <v>45517.46616898148</v>
      </c>
      <c r="C521" s="1" t="n">
        <v>45997</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25932-2024</t>
        </is>
      </c>
      <c r="B522" s="1" t="n">
        <v>45467.62097222222</v>
      </c>
      <c r="C522" s="1" t="n">
        <v>45997</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44170-2022</t>
        </is>
      </c>
      <c r="B523" s="1" t="n">
        <v>44838</v>
      </c>
      <c r="C523" s="1" t="n">
        <v>45997</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39780-2022</t>
        </is>
      </c>
      <c r="B524" s="1" t="n">
        <v>44819.46672453704</v>
      </c>
      <c r="C524" s="1" t="n">
        <v>45997</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24261-2024</t>
        </is>
      </c>
      <c r="B525" s="1" t="n">
        <v>45457</v>
      </c>
      <c r="C525" s="1" t="n">
        <v>45997</v>
      </c>
      <c r="D525" t="inlineStr">
        <is>
          <t>VÄRMLANDS LÄN</t>
        </is>
      </c>
      <c r="E525" t="inlineStr">
        <is>
          <t>TORSBY</t>
        </is>
      </c>
      <c r="G525" t="n">
        <v>3.5</v>
      </c>
      <c r="H525" t="n">
        <v>0</v>
      </c>
      <c r="I525" t="n">
        <v>0</v>
      </c>
      <c r="J525" t="n">
        <v>0</v>
      </c>
      <c r="K525" t="n">
        <v>0</v>
      </c>
      <c r="L525" t="n">
        <v>0</v>
      </c>
      <c r="M525" t="n">
        <v>0</v>
      </c>
      <c r="N525" t="n">
        <v>0</v>
      </c>
      <c r="O525" t="n">
        <v>0</v>
      </c>
      <c r="P525" t="n">
        <v>0</v>
      </c>
      <c r="Q525" t="n">
        <v>0</v>
      </c>
      <c r="R525" s="2" t="inlineStr"/>
    </row>
    <row r="526" ht="15" customHeight="1">
      <c r="A526" t="inlineStr">
        <is>
          <t>A 60058-2023</t>
        </is>
      </c>
      <c r="B526" s="1" t="n">
        <v>45258.37978009259</v>
      </c>
      <c r="C526" s="1" t="n">
        <v>45997</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7127-2023</t>
        </is>
      </c>
      <c r="B527" s="1" t="n">
        <v>44970.41383101852</v>
      </c>
      <c r="C527" s="1" t="n">
        <v>45997</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3666-2023</t>
        </is>
      </c>
      <c r="B528" s="1" t="n">
        <v>44950</v>
      </c>
      <c r="C528" s="1" t="n">
        <v>45997</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3670-2023</t>
        </is>
      </c>
      <c r="B529" s="1" t="n">
        <v>44950</v>
      </c>
      <c r="C529" s="1" t="n">
        <v>45997</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39642-2021</t>
        </is>
      </c>
      <c r="B530" s="1" t="n">
        <v>44417</v>
      </c>
      <c r="C530" s="1" t="n">
        <v>45997</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3590-2024</t>
        </is>
      </c>
      <c r="B531" s="1" t="n">
        <v>45320</v>
      </c>
      <c r="C531" s="1" t="n">
        <v>45997</v>
      </c>
      <c r="D531" t="inlineStr">
        <is>
          <t>VÄRMLANDS LÄN</t>
        </is>
      </c>
      <c r="E531" t="inlineStr">
        <is>
          <t>TORSBY</t>
        </is>
      </c>
      <c r="G531" t="n">
        <v>3.5</v>
      </c>
      <c r="H531" t="n">
        <v>0</v>
      </c>
      <c r="I531" t="n">
        <v>0</v>
      </c>
      <c r="J531" t="n">
        <v>0</v>
      </c>
      <c r="K531" t="n">
        <v>0</v>
      </c>
      <c r="L531" t="n">
        <v>0</v>
      </c>
      <c r="M531" t="n">
        <v>0</v>
      </c>
      <c r="N531" t="n">
        <v>0</v>
      </c>
      <c r="O531" t="n">
        <v>0</v>
      </c>
      <c r="P531" t="n">
        <v>0</v>
      </c>
      <c r="Q531" t="n">
        <v>0</v>
      </c>
      <c r="R531" s="2" t="inlineStr"/>
    </row>
    <row r="532" ht="15" customHeight="1">
      <c r="A532" t="inlineStr">
        <is>
          <t>A 22421-2024</t>
        </is>
      </c>
      <c r="B532" s="1" t="n">
        <v>45446.70890046296</v>
      </c>
      <c r="C532" s="1" t="n">
        <v>45997</v>
      </c>
      <c r="D532" t="inlineStr">
        <is>
          <t>VÄRMLANDS LÄN</t>
        </is>
      </c>
      <c r="E532" t="inlineStr">
        <is>
          <t>TORSBY</t>
        </is>
      </c>
      <c r="G532" t="n">
        <v>8.9</v>
      </c>
      <c r="H532" t="n">
        <v>0</v>
      </c>
      <c r="I532" t="n">
        <v>0</v>
      </c>
      <c r="J532" t="n">
        <v>0</v>
      </c>
      <c r="K532" t="n">
        <v>0</v>
      </c>
      <c r="L532" t="n">
        <v>0</v>
      </c>
      <c r="M532" t="n">
        <v>0</v>
      </c>
      <c r="N532" t="n">
        <v>0</v>
      </c>
      <c r="O532" t="n">
        <v>0</v>
      </c>
      <c r="P532" t="n">
        <v>0</v>
      </c>
      <c r="Q532" t="n">
        <v>0</v>
      </c>
      <c r="R532" s="2" t="inlineStr"/>
    </row>
    <row r="533" ht="15" customHeight="1">
      <c r="A533" t="inlineStr">
        <is>
          <t>A 15170-2025</t>
        </is>
      </c>
      <c r="B533" s="1" t="n">
        <v>45743</v>
      </c>
      <c r="C533" s="1" t="n">
        <v>45997</v>
      </c>
      <c r="D533" t="inlineStr">
        <is>
          <t>VÄRMLANDS LÄN</t>
        </is>
      </c>
      <c r="E533" t="inlineStr">
        <is>
          <t>TORSBY</t>
        </is>
      </c>
      <c r="G533" t="n">
        <v>12.5</v>
      </c>
      <c r="H533" t="n">
        <v>0</v>
      </c>
      <c r="I533" t="n">
        <v>0</v>
      </c>
      <c r="J533" t="n">
        <v>0</v>
      </c>
      <c r="K533" t="n">
        <v>0</v>
      </c>
      <c r="L533" t="n">
        <v>0</v>
      </c>
      <c r="M533" t="n">
        <v>0</v>
      </c>
      <c r="N533" t="n">
        <v>0</v>
      </c>
      <c r="O533" t="n">
        <v>0</v>
      </c>
      <c r="P533" t="n">
        <v>0</v>
      </c>
      <c r="Q533" t="n">
        <v>0</v>
      </c>
      <c r="R533" s="2" t="inlineStr"/>
    </row>
    <row r="534" ht="15" customHeight="1">
      <c r="A534" t="inlineStr">
        <is>
          <t>A 1123-2023</t>
        </is>
      </c>
      <c r="B534" s="1" t="n">
        <v>44935</v>
      </c>
      <c r="C534" s="1" t="n">
        <v>45997</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36700-2021</t>
        </is>
      </c>
      <c r="B535" s="1" t="n">
        <v>44392</v>
      </c>
      <c r="C535" s="1" t="n">
        <v>45997</v>
      </c>
      <c r="D535" t="inlineStr">
        <is>
          <t>VÄRMLANDS LÄN</t>
        </is>
      </c>
      <c r="E535" t="inlineStr">
        <is>
          <t>TORSBY</t>
        </is>
      </c>
      <c r="F535" t="inlineStr">
        <is>
          <t>Bergvik skog väst AB</t>
        </is>
      </c>
      <c r="G535" t="n">
        <v>9.9</v>
      </c>
      <c r="H535" t="n">
        <v>0</v>
      </c>
      <c r="I535" t="n">
        <v>0</v>
      </c>
      <c r="J535" t="n">
        <v>0</v>
      </c>
      <c r="K535" t="n">
        <v>0</v>
      </c>
      <c r="L535" t="n">
        <v>0</v>
      </c>
      <c r="M535" t="n">
        <v>0</v>
      </c>
      <c r="N535" t="n">
        <v>0</v>
      </c>
      <c r="O535" t="n">
        <v>0</v>
      </c>
      <c r="P535" t="n">
        <v>0</v>
      </c>
      <c r="Q535" t="n">
        <v>0</v>
      </c>
      <c r="R535" s="2" t="inlineStr"/>
    </row>
    <row r="536" ht="15" customHeight="1">
      <c r="A536" t="inlineStr">
        <is>
          <t>A 43248-2022</t>
        </is>
      </c>
      <c r="B536" s="1" t="n">
        <v>44834</v>
      </c>
      <c r="C536" s="1" t="n">
        <v>45997</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43289-2022</t>
        </is>
      </c>
      <c r="B537" s="1" t="n">
        <v>44834.51623842592</v>
      </c>
      <c r="C537" s="1" t="n">
        <v>45997</v>
      </c>
      <c r="D537" t="inlineStr">
        <is>
          <t>VÄRMLANDS LÄN</t>
        </is>
      </c>
      <c r="E537" t="inlineStr">
        <is>
          <t>TORSBY</t>
        </is>
      </c>
      <c r="G537" t="n">
        <v>11.2</v>
      </c>
      <c r="H537" t="n">
        <v>0</v>
      </c>
      <c r="I537" t="n">
        <v>0</v>
      </c>
      <c r="J537" t="n">
        <v>0</v>
      </c>
      <c r="K537" t="n">
        <v>0</v>
      </c>
      <c r="L537" t="n">
        <v>0</v>
      </c>
      <c r="M537" t="n">
        <v>0</v>
      </c>
      <c r="N537" t="n">
        <v>0</v>
      </c>
      <c r="O537" t="n">
        <v>0</v>
      </c>
      <c r="P537" t="n">
        <v>0</v>
      </c>
      <c r="Q537" t="n">
        <v>0</v>
      </c>
      <c r="R537" s="2" t="inlineStr"/>
    </row>
    <row r="538" ht="15" customHeight="1">
      <c r="A538" t="inlineStr">
        <is>
          <t>A 26086-2024</t>
        </is>
      </c>
      <c r="B538" s="1" t="n">
        <v>45468</v>
      </c>
      <c r="C538" s="1" t="n">
        <v>45997</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16073-2024</t>
        </is>
      </c>
      <c r="B539" s="1" t="n">
        <v>45406</v>
      </c>
      <c r="C539" s="1" t="n">
        <v>45997</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58956-2022</t>
        </is>
      </c>
      <c r="B540" s="1" t="n">
        <v>44903.65895833333</v>
      </c>
      <c r="C540" s="1" t="n">
        <v>45997</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54528-2023</t>
        </is>
      </c>
      <c r="B541" s="1" t="n">
        <v>45233.59122685185</v>
      </c>
      <c r="C541" s="1" t="n">
        <v>45997</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25629-2024</t>
        </is>
      </c>
      <c r="B542" s="1" t="n">
        <v>45463</v>
      </c>
      <c r="C542" s="1" t="n">
        <v>45997</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36050-2023</t>
        </is>
      </c>
      <c r="B543" s="1" t="n">
        <v>45149</v>
      </c>
      <c r="C543" s="1" t="n">
        <v>45997</v>
      </c>
      <c r="D543" t="inlineStr">
        <is>
          <t>VÄRMLANDS LÄN</t>
        </is>
      </c>
      <c r="E543" t="inlineStr">
        <is>
          <t>TORSBY</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9067-2023</t>
        </is>
      </c>
      <c r="B544" s="1" t="n">
        <v>44979</v>
      </c>
      <c r="C544" s="1" t="n">
        <v>45997</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3071-2022</t>
        </is>
      </c>
      <c r="B545" s="1" t="n">
        <v>44582.42109953704</v>
      </c>
      <c r="C545" s="1" t="n">
        <v>45997</v>
      </c>
      <c r="D545" t="inlineStr">
        <is>
          <t>VÄRMLANDS LÄN</t>
        </is>
      </c>
      <c r="E545" t="inlineStr">
        <is>
          <t>TORSBY</t>
        </is>
      </c>
      <c r="G545" t="n">
        <v>7.9</v>
      </c>
      <c r="H545" t="n">
        <v>0</v>
      </c>
      <c r="I545" t="n">
        <v>0</v>
      </c>
      <c r="J545" t="n">
        <v>0</v>
      </c>
      <c r="K545" t="n">
        <v>0</v>
      </c>
      <c r="L545" t="n">
        <v>0</v>
      </c>
      <c r="M545" t="n">
        <v>0</v>
      </c>
      <c r="N545" t="n">
        <v>0</v>
      </c>
      <c r="O545" t="n">
        <v>0</v>
      </c>
      <c r="P545" t="n">
        <v>0</v>
      </c>
      <c r="Q545" t="n">
        <v>0</v>
      </c>
      <c r="R545" s="2" t="inlineStr"/>
    </row>
    <row r="546" ht="15" customHeight="1">
      <c r="A546" t="inlineStr">
        <is>
          <t>A 55794-2021</t>
        </is>
      </c>
      <c r="B546" s="1" t="n">
        <v>44476</v>
      </c>
      <c r="C546" s="1" t="n">
        <v>45997</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34966-2024</t>
        </is>
      </c>
      <c r="B547" s="1" t="n">
        <v>45527.49600694444</v>
      </c>
      <c r="C547" s="1" t="n">
        <v>45997</v>
      </c>
      <c r="D547" t="inlineStr">
        <is>
          <t>VÄRMLANDS LÄN</t>
        </is>
      </c>
      <c r="E547" t="inlineStr">
        <is>
          <t>TORSBY</t>
        </is>
      </c>
      <c r="F547" t="inlineStr">
        <is>
          <t>Bergvik skog väst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35553-2023</t>
        </is>
      </c>
      <c r="B548" s="1" t="n">
        <v>45147</v>
      </c>
      <c r="C548" s="1" t="n">
        <v>45997</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20647-2024</t>
        </is>
      </c>
      <c r="B549" s="1" t="n">
        <v>45436</v>
      </c>
      <c r="C549" s="1" t="n">
        <v>45997</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50380-2024</t>
        </is>
      </c>
      <c r="B550" s="1" t="n">
        <v>45601.30582175926</v>
      </c>
      <c r="C550" s="1" t="n">
        <v>45997</v>
      </c>
      <c r="D550" t="inlineStr">
        <is>
          <t>VÄRMLANDS LÄN</t>
        </is>
      </c>
      <c r="E550" t="inlineStr">
        <is>
          <t>TORSBY</t>
        </is>
      </c>
      <c r="F550" t="inlineStr">
        <is>
          <t>Bergvik skog väst AB</t>
        </is>
      </c>
      <c r="G550" t="n">
        <v>7.9</v>
      </c>
      <c r="H550" t="n">
        <v>0</v>
      </c>
      <c r="I550" t="n">
        <v>0</v>
      </c>
      <c r="J550" t="n">
        <v>0</v>
      </c>
      <c r="K550" t="n">
        <v>0</v>
      </c>
      <c r="L550" t="n">
        <v>0</v>
      </c>
      <c r="M550" t="n">
        <v>0</v>
      </c>
      <c r="N550" t="n">
        <v>0</v>
      </c>
      <c r="O550" t="n">
        <v>0</v>
      </c>
      <c r="P550" t="n">
        <v>0</v>
      </c>
      <c r="Q550" t="n">
        <v>0</v>
      </c>
      <c r="R550" s="2" t="inlineStr"/>
    </row>
    <row r="551" ht="15" customHeight="1">
      <c r="A551" t="inlineStr">
        <is>
          <t>A 69628-2020</t>
        </is>
      </c>
      <c r="B551" s="1" t="n">
        <v>44195</v>
      </c>
      <c r="C551" s="1" t="n">
        <v>45997</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14162-2025</t>
        </is>
      </c>
      <c r="B552" s="1" t="n">
        <v>45740</v>
      </c>
      <c r="C552" s="1" t="n">
        <v>45997</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55092-2022</t>
        </is>
      </c>
      <c r="B553" s="1" t="n">
        <v>44886.61493055556</v>
      </c>
      <c r="C553" s="1" t="n">
        <v>45997</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48320-2022</t>
        </is>
      </c>
      <c r="B554" s="1" t="n">
        <v>44853</v>
      </c>
      <c r="C554" s="1" t="n">
        <v>45997</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58185-2023</t>
        </is>
      </c>
      <c r="B555" s="1" t="n">
        <v>45250.41873842593</v>
      </c>
      <c r="C555" s="1" t="n">
        <v>45997</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49206-2022</t>
        </is>
      </c>
      <c r="B556" s="1" t="n">
        <v>44860.95984953704</v>
      </c>
      <c r="C556" s="1" t="n">
        <v>45997</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9908-2024</t>
        </is>
      </c>
      <c r="B557" s="1" t="n">
        <v>45363</v>
      </c>
      <c r="C557" s="1" t="n">
        <v>45997</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2308-2024</t>
        </is>
      </c>
      <c r="B558" s="1" t="n">
        <v>45310</v>
      </c>
      <c r="C558" s="1" t="n">
        <v>45997</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17488-2023</t>
        </is>
      </c>
      <c r="B559" s="1" t="n">
        <v>45036</v>
      </c>
      <c r="C559" s="1" t="n">
        <v>45997</v>
      </c>
      <c r="D559" t="inlineStr">
        <is>
          <t>VÄRMLANDS LÄN</t>
        </is>
      </c>
      <c r="E559" t="inlineStr">
        <is>
          <t>TORSBY</t>
        </is>
      </c>
      <c r="G559" t="n">
        <v>15.6</v>
      </c>
      <c r="H559" t="n">
        <v>0</v>
      </c>
      <c r="I559" t="n">
        <v>0</v>
      </c>
      <c r="J559" t="n">
        <v>0</v>
      </c>
      <c r="K559" t="n">
        <v>0</v>
      </c>
      <c r="L559" t="n">
        <v>0</v>
      </c>
      <c r="M559" t="n">
        <v>0</v>
      </c>
      <c r="N559" t="n">
        <v>0</v>
      </c>
      <c r="O559" t="n">
        <v>0</v>
      </c>
      <c r="P559" t="n">
        <v>0</v>
      </c>
      <c r="Q559" t="n">
        <v>0</v>
      </c>
      <c r="R559" s="2" t="inlineStr"/>
    </row>
    <row r="560" ht="15" customHeight="1">
      <c r="A560" t="inlineStr">
        <is>
          <t>A 20393-2023</t>
        </is>
      </c>
      <c r="B560" s="1" t="n">
        <v>45056</v>
      </c>
      <c r="C560" s="1" t="n">
        <v>45997</v>
      </c>
      <c r="D560" t="inlineStr">
        <is>
          <t>VÄRMLANDS LÄN</t>
        </is>
      </c>
      <c r="E560" t="inlineStr">
        <is>
          <t>TORSBY</t>
        </is>
      </c>
      <c r="G560" t="n">
        <v>4.2</v>
      </c>
      <c r="H560" t="n">
        <v>0</v>
      </c>
      <c r="I560" t="n">
        <v>0</v>
      </c>
      <c r="J560" t="n">
        <v>0</v>
      </c>
      <c r="K560" t="n">
        <v>0</v>
      </c>
      <c r="L560" t="n">
        <v>0</v>
      </c>
      <c r="M560" t="n">
        <v>0</v>
      </c>
      <c r="N560" t="n">
        <v>0</v>
      </c>
      <c r="O560" t="n">
        <v>0</v>
      </c>
      <c r="P560" t="n">
        <v>0</v>
      </c>
      <c r="Q560" t="n">
        <v>0</v>
      </c>
      <c r="R560" s="2" t="inlineStr"/>
    </row>
    <row r="561" ht="15" customHeight="1">
      <c r="A561" t="inlineStr">
        <is>
          <t>A 57072-2022</t>
        </is>
      </c>
      <c r="B561" s="1" t="n">
        <v>44895.4252662037</v>
      </c>
      <c r="C561" s="1" t="n">
        <v>45997</v>
      </c>
      <c r="D561" t="inlineStr">
        <is>
          <t>VÄRMLANDS LÄN</t>
        </is>
      </c>
      <c r="E561" t="inlineStr">
        <is>
          <t>TORSBY</t>
        </is>
      </c>
      <c r="F561" t="inlineStr">
        <is>
          <t>Övriga statliga verk och myndigheter</t>
        </is>
      </c>
      <c r="G561" t="n">
        <v>7.8</v>
      </c>
      <c r="H561" t="n">
        <v>0</v>
      </c>
      <c r="I561" t="n">
        <v>0</v>
      </c>
      <c r="J561" t="n">
        <v>0</v>
      </c>
      <c r="K561" t="n">
        <v>0</v>
      </c>
      <c r="L561" t="n">
        <v>0</v>
      </c>
      <c r="M561" t="n">
        <v>0</v>
      </c>
      <c r="N561" t="n">
        <v>0</v>
      </c>
      <c r="O561" t="n">
        <v>0</v>
      </c>
      <c r="P561" t="n">
        <v>0</v>
      </c>
      <c r="Q561" t="n">
        <v>0</v>
      </c>
      <c r="R561" s="2" t="inlineStr"/>
    </row>
    <row r="562" ht="15" customHeight="1">
      <c r="A562" t="inlineStr">
        <is>
          <t>A 35107-2024</t>
        </is>
      </c>
      <c r="B562" s="1" t="n">
        <v>45529.5588425926</v>
      </c>
      <c r="C562" s="1" t="n">
        <v>45997</v>
      </c>
      <c r="D562" t="inlineStr">
        <is>
          <t>VÄRMLANDS LÄN</t>
        </is>
      </c>
      <c r="E562" t="inlineStr">
        <is>
          <t>TORSBY</t>
        </is>
      </c>
      <c r="G562" t="n">
        <v>5.1</v>
      </c>
      <c r="H562" t="n">
        <v>0</v>
      </c>
      <c r="I562" t="n">
        <v>0</v>
      </c>
      <c r="J562" t="n">
        <v>0</v>
      </c>
      <c r="K562" t="n">
        <v>0</v>
      </c>
      <c r="L562" t="n">
        <v>0</v>
      </c>
      <c r="M562" t="n">
        <v>0</v>
      </c>
      <c r="N562" t="n">
        <v>0</v>
      </c>
      <c r="O562" t="n">
        <v>0</v>
      </c>
      <c r="P562" t="n">
        <v>0</v>
      </c>
      <c r="Q562" t="n">
        <v>0</v>
      </c>
      <c r="R562" s="2" t="inlineStr"/>
    </row>
    <row r="563" ht="15" customHeight="1">
      <c r="A563" t="inlineStr">
        <is>
          <t>A 41529-2024</t>
        </is>
      </c>
      <c r="B563" s="1" t="n">
        <v>45560.48552083333</v>
      </c>
      <c r="C563" s="1" t="n">
        <v>45997</v>
      </c>
      <c r="D563" t="inlineStr">
        <is>
          <t>VÄRMLANDS LÄN</t>
        </is>
      </c>
      <c r="E563" t="inlineStr">
        <is>
          <t>TORSBY</t>
        </is>
      </c>
      <c r="F563" t="inlineStr">
        <is>
          <t>Bergvik skog väst AB</t>
        </is>
      </c>
      <c r="G563" t="n">
        <v>4.8</v>
      </c>
      <c r="H563" t="n">
        <v>0</v>
      </c>
      <c r="I563" t="n">
        <v>0</v>
      </c>
      <c r="J563" t="n">
        <v>0</v>
      </c>
      <c r="K563" t="n">
        <v>0</v>
      </c>
      <c r="L563" t="n">
        <v>0</v>
      </c>
      <c r="M563" t="n">
        <v>0</v>
      </c>
      <c r="N563" t="n">
        <v>0</v>
      </c>
      <c r="O563" t="n">
        <v>0</v>
      </c>
      <c r="P563" t="n">
        <v>0</v>
      </c>
      <c r="Q563" t="n">
        <v>0</v>
      </c>
      <c r="R563" s="2" t="inlineStr"/>
    </row>
    <row r="564" ht="15" customHeight="1">
      <c r="A564" t="inlineStr">
        <is>
          <t>A 54865-2022</t>
        </is>
      </c>
      <c r="B564" s="1" t="n">
        <v>44884</v>
      </c>
      <c r="C564" s="1" t="n">
        <v>45997</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27270-2024</t>
        </is>
      </c>
      <c r="B565" s="1" t="n">
        <v>45471.81967592592</v>
      </c>
      <c r="C565" s="1" t="n">
        <v>45997</v>
      </c>
      <c r="D565" t="inlineStr">
        <is>
          <t>VÄRMLANDS LÄN</t>
        </is>
      </c>
      <c r="E565" t="inlineStr">
        <is>
          <t>TORSBY</t>
        </is>
      </c>
      <c r="G565" t="n">
        <v>6.9</v>
      </c>
      <c r="H565" t="n">
        <v>0</v>
      </c>
      <c r="I565" t="n">
        <v>0</v>
      </c>
      <c r="J565" t="n">
        <v>0</v>
      </c>
      <c r="K565" t="n">
        <v>0</v>
      </c>
      <c r="L565" t="n">
        <v>0</v>
      </c>
      <c r="M565" t="n">
        <v>0</v>
      </c>
      <c r="N565" t="n">
        <v>0</v>
      </c>
      <c r="O565" t="n">
        <v>0</v>
      </c>
      <c r="P565" t="n">
        <v>0</v>
      </c>
      <c r="Q565" t="n">
        <v>0</v>
      </c>
      <c r="R565" s="2" t="inlineStr"/>
    </row>
    <row r="566" ht="15" customHeight="1">
      <c r="A566" t="inlineStr">
        <is>
          <t>A 27358-2024</t>
        </is>
      </c>
      <c r="B566" s="1" t="n">
        <v>45473.71635416667</v>
      </c>
      <c r="C566" s="1" t="n">
        <v>45997</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27360-2024</t>
        </is>
      </c>
      <c r="B567" s="1" t="n">
        <v>45473</v>
      </c>
      <c r="C567" s="1" t="n">
        <v>45997</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35762-2024</t>
        </is>
      </c>
      <c r="B568" s="1" t="n">
        <v>45532.57373842593</v>
      </c>
      <c r="C568" s="1" t="n">
        <v>45997</v>
      </c>
      <c r="D568" t="inlineStr">
        <is>
          <t>VÄRMLANDS LÄN</t>
        </is>
      </c>
      <c r="E568" t="inlineStr">
        <is>
          <t>TORSBY</t>
        </is>
      </c>
      <c r="G568" t="n">
        <v>11.8</v>
      </c>
      <c r="H568" t="n">
        <v>0</v>
      </c>
      <c r="I568" t="n">
        <v>0</v>
      </c>
      <c r="J568" t="n">
        <v>0</v>
      </c>
      <c r="K568" t="n">
        <v>0</v>
      </c>
      <c r="L568" t="n">
        <v>0</v>
      </c>
      <c r="M568" t="n">
        <v>0</v>
      </c>
      <c r="N568" t="n">
        <v>0</v>
      </c>
      <c r="O568" t="n">
        <v>0</v>
      </c>
      <c r="P568" t="n">
        <v>0</v>
      </c>
      <c r="Q568" t="n">
        <v>0</v>
      </c>
      <c r="R568" s="2" t="inlineStr"/>
    </row>
    <row r="569" ht="15" customHeight="1">
      <c r="A569" t="inlineStr">
        <is>
          <t>A 35609-2024</t>
        </is>
      </c>
      <c r="B569" s="1" t="n">
        <v>45531.68758101852</v>
      </c>
      <c r="C569" s="1" t="n">
        <v>45997</v>
      </c>
      <c r="D569" t="inlineStr">
        <is>
          <t>VÄRMLANDS LÄN</t>
        </is>
      </c>
      <c r="E569" t="inlineStr">
        <is>
          <t>TORSBY</t>
        </is>
      </c>
      <c r="G569" t="n">
        <v>38.3</v>
      </c>
      <c r="H569" t="n">
        <v>0</v>
      </c>
      <c r="I569" t="n">
        <v>0</v>
      </c>
      <c r="J569" t="n">
        <v>0</v>
      </c>
      <c r="K569" t="n">
        <v>0</v>
      </c>
      <c r="L569" t="n">
        <v>0</v>
      </c>
      <c r="M569" t="n">
        <v>0</v>
      </c>
      <c r="N569" t="n">
        <v>0</v>
      </c>
      <c r="O569" t="n">
        <v>0</v>
      </c>
      <c r="P569" t="n">
        <v>0</v>
      </c>
      <c r="Q569" t="n">
        <v>0</v>
      </c>
      <c r="R569" s="2" t="inlineStr"/>
    </row>
    <row r="570" ht="15" customHeight="1">
      <c r="A570" t="inlineStr">
        <is>
          <t>A 54714-2023</t>
        </is>
      </c>
      <c r="B570" s="1" t="n">
        <v>45236.3515162037</v>
      </c>
      <c r="C570" s="1" t="n">
        <v>45997</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18959-2024</t>
        </is>
      </c>
      <c r="B571" s="1" t="n">
        <v>45427.53032407408</v>
      </c>
      <c r="C571" s="1" t="n">
        <v>45997</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276-2024</t>
        </is>
      </c>
      <c r="B572" s="1" t="n">
        <v>45295</v>
      </c>
      <c r="C572" s="1" t="n">
        <v>45997</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7921-2022</t>
        </is>
      </c>
      <c r="B573" s="1" t="n">
        <v>44608</v>
      </c>
      <c r="C573" s="1" t="n">
        <v>45997</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28598-2023</t>
        </is>
      </c>
      <c r="B574" s="1" t="n">
        <v>45103.57421296297</v>
      </c>
      <c r="C574" s="1" t="n">
        <v>45997</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36718-2024</t>
        </is>
      </c>
      <c r="B575" s="1" t="n">
        <v>45537</v>
      </c>
      <c r="C575" s="1" t="n">
        <v>45997</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37075-2021</t>
        </is>
      </c>
      <c r="B576" s="1" t="n">
        <v>44394</v>
      </c>
      <c r="C576" s="1" t="n">
        <v>45997</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9574-2023</t>
        </is>
      </c>
      <c r="B577" s="1" t="n">
        <v>44982.55168981481</v>
      </c>
      <c r="C577" s="1" t="n">
        <v>45997</v>
      </c>
      <c r="D577" t="inlineStr">
        <is>
          <t>VÄRMLANDS LÄN</t>
        </is>
      </c>
      <c r="E577" t="inlineStr">
        <is>
          <t>TORSBY</t>
        </is>
      </c>
      <c r="F577" t="inlineStr">
        <is>
          <t>Övriga statliga verk och myndigheter</t>
        </is>
      </c>
      <c r="G577" t="n">
        <v>6.2</v>
      </c>
      <c r="H577" t="n">
        <v>0</v>
      </c>
      <c r="I577" t="n">
        <v>0</v>
      </c>
      <c r="J577" t="n">
        <v>0</v>
      </c>
      <c r="K577" t="n">
        <v>0</v>
      </c>
      <c r="L577" t="n">
        <v>0</v>
      </c>
      <c r="M577" t="n">
        <v>0</v>
      </c>
      <c r="N577" t="n">
        <v>0</v>
      </c>
      <c r="O577" t="n">
        <v>0</v>
      </c>
      <c r="P577" t="n">
        <v>0</v>
      </c>
      <c r="Q577" t="n">
        <v>0</v>
      </c>
      <c r="R577" s="2" t="inlineStr"/>
    </row>
    <row r="578" ht="15" customHeight="1">
      <c r="A578" t="inlineStr">
        <is>
          <t>A 1700-2024</t>
        </is>
      </c>
      <c r="B578" s="1" t="n">
        <v>45307.37347222222</v>
      </c>
      <c r="C578" s="1" t="n">
        <v>45997</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62258-2023</t>
        </is>
      </c>
      <c r="B579" s="1" t="n">
        <v>45266</v>
      </c>
      <c r="C579" s="1" t="n">
        <v>45997</v>
      </c>
      <c r="D579" t="inlineStr">
        <is>
          <t>VÄRMLANDS LÄN</t>
        </is>
      </c>
      <c r="E579" t="inlineStr">
        <is>
          <t>TORSBY</t>
        </is>
      </c>
      <c r="G579" t="n">
        <v>7.8</v>
      </c>
      <c r="H579" t="n">
        <v>0</v>
      </c>
      <c r="I579" t="n">
        <v>0</v>
      </c>
      <c r="J579" t="n">
        <v>0</v>
      </c>
      <c r="K579" t="n">
        <v>0</v>
      </c>
      <c r="L579" t="n">
        <v>0</v>
      </c>
      <c r="M579" t="n">
        <v>0</v>
      </c>
      <c r="N579" t="n">
        <v>0</v>
      </c>
      <c r="O579" t="n">
        <v>0</v>
      </c>
      <c r="P579" t="n">
        <v>0</v>
      </c>
      <c r="Q579" t="n">
        <v>0</v>
      </c>
      <c r="R579" s="2" t="inlineStr"/>
    </row>
    <row r="580" ht="15" customHeight="1">
      <c r="A580" t="inlineStr">
        <is>
          <t>A 28284-2024</t>
        </is>
      </c>
      <c r="B580" s="1" t="n">
        <v>45477</v>
      </c>
      <c r="C580" s="1" t="n">
        <v>45997</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19630-2025</t>
        </is>
      </c>
      <c r="B581" s="1" t="n">
        <v>45770.64239583333</v>
      </c>
      <c r="C581" s="1" t="n">
        <v>45997</v>
      </c>
      <c r="D581" t="inlineStr">
        <is>
          <t>VÄRMLANDS LÄN</t>
        </is>
      </c>
      <c r="E581" t="inlineStr">
        <is>
          <t>TORSBY</t>
        </is>
      </c>
      <c r="G581" t="n">
        <v>3.1</v>
      </c>
      <c r="H581" t="n">
        <v>0</v>
      </c>
      <c r="I581" t="n">
        <v>0</v>
      </c>
      <c r="J581" t="n">
        <v>0</v>
      </c>
      <c r="K581" t="n">
        <v>0</v>
      </c>
      <c r="L581" t="n">
        <v>0</v>
      </c>
      <c r="M581" t="n">
        <v>0</v>
      </c>
      <c r="N581" t="n">
        <v>0</v>
      </c>
      <c r="O581" t="n">
        <v>0</v>
      </c>
      <c r="P581" t="n">
        <v>0</v>
      </c>
      <c r="Q581" t="n">
        <v>0</v>
      </c>
      <c r="R581" s="2" t="inlineStr"/>
    </row>
    <row r="582" ht="15" customHeight="1">
      <c r="A582" t="inlineStr">
        <is>
          <t>A 18877-2022</t>
        </is>
      </c>
      <c r="B582" s="1" t="n">
        <v>44690.52556712963</v>
      </c>
      <c r="C582" s="1" t="n">
        <v>45997</v>
      </c>
      <c r="D582" t="inlineStr">
        <is>
          <t>VÄRMLANDS LÄN</t>
        </is>
      </c>
      <c r="E582" t="inlineStr">
        <is>
          <t>TORSBY</t>
        </is>
      </c>
      <c r="G582" t="n">
        <v>3.1</v>
      </c>
      <c r="H582" t="n">
        <v>0</v>
      </c>
      <c r="I582" t="n">
        <v>0</v>
      </c>
      <c r="J582" t="n">
        <v>0</v>
      </c>
      <c r="K582" t="n">
        <v>0</v>
      </c>
      <c r="L582" t="n">
        <v>0</v>
      </c>
      <c r="M582" t="n">
        <v>0</v>
      </c>
      <c r="N582" t="n">
        <v>0</v>
      </c>
      <c r="O582" t="n">
        <v>0</v>
      </c>
      <c r="P582" t="n">
        <v>0</v>
      </c>
      <c r="Q582" t="n">
        <v>0</v>
      </c>
      <c r="R582" s="2" t="inlineStr"/>
    </row>
    <row r="583" ht="15" customHeight="1">
      <c r="A583" t="inlineStr">
        <is>
          <t>A 14304-2023</t>
        </is>
      </c>
      <c r="B583" s="1" t="n">
        <v>45011.76541666667</v>
      </c>
      <c r="C583" s="1" t="n">
        <v>45997</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17048-2025</t>
        </is>
      </c>
      <c r="B584" s="1" t="n">
        <v>45754</v>
      </c>
      <c r="C584" s="1" t="n">
        <v>45997</v>
      </c>
      <c r="D584" t="inlineStr">
        <is>
          <t>VÄRMLANDS LÄN</t>
        </is>
      </c>
      <c r="E584" t="inlineStr">
        <is>
          <t>TORSBY</t>
        </is>
      </c>
      <c r="G584" t="n">
        <v>3.4</v>
      </c>
      <c r="H584" t="n">
        <v>0</v>
      </c>
      <c r="I584" t="n">
        <v>0</v>
      </c>
      <c r="J584" t="n">
        <v>0</v>
      </c>
      <c r="K584" t="n">
        <v>0</v>
      </c>
      <c r="L584" t="n">
        <v>0</v>
      </c>
      <c r="M584" t="n">
        <v>0</v>
      </c>
      <c r="N584" t="n">
        <v>0</v>
      </c>
      <c r="O584" t="n">
        <v>0</v>
      </c>
      <c r="P584" t="n">
        <v>0</v>
      </c>
      <c r="Q584" t="n">
        <v>0</v>
      </c>
      <c r="R584" s="2" t="inlineStr"/>
    </row>
    <row r="585" ht="15" customHeight="1">
      <c r="A585" t="inlineStr">
        <is>
          <t>A 6713-2023</t>
        </is>
      </c>
      <c r="B585" s="1" t="n">
        <v>44960</v>
      </c>
      <c r="C585" s="1" t="n">
        <v>45997</v>
      </c>
      <c r="D585" t="inlineStr">
        <is>
          <t>VÄRMLANDS LÄN</t>
        </is>
      </c>
      <c r="E585" t="inlineStr">
        <is>
          <t>TORSBY</t>
        </is>
      </c>
      <c r="G585" t="n">
        <v>4.2</v>
      </c>
      <c r="H585" t="n">
        <v>0</v>
      </c>
      <c r="I585" t="n">
        <v>0</v>
      </c>
      <c r="J585" t="n">
        <v>0</v>
      </c>
      <c r="K585" t="n">
        <v>0</v>
      </c>
      <c r="L585" t="n">
        <v>0</v>
      </c>
      <c r="M585" t="n">
        <v>0</v>
      </c>
      <c r="N585" t="n">
        <v>0</v>
      </c>
      <c r="O585" t="n">
        <v>0</v>
      </c>
      <c r="P585" t="n">
        <v>0</v>
      </c>
      <c r="Q585" t="n">
        <v>0</v>
      </c>
      <c r="R585" s="2" t="inlineStr"/>
    </row>
    <row r="586" ht="15" customHeight="1">
      <c r="A586" t="inlineStr">
        <is>
          <t>A 46471-2024</t>
        </is>
      </c>
      <c r="B586" s="1" t="n">
        <v>45582.5517824074</v>
      </c>
      <c r="C586" s="1" t="n">
        <v>45997</v>
      </c>
      <c r="D586" t="inlineStr">
        <is>
          <t>VÄRMLANDS LÄN</t>
        </is>
      </c>
      <c r="E586" t="inlineStr">
        <is>
          <t>TORSBY</t>
        </is>
      </c>
      <c r="G586" t="n">
        <v>2.1</v>
      </c>
      <c r="H586" t="n">
        <v>0</v>
      </c>
      <c r="I586" t="n">
        <v>0</v>
      </c>
      <c r="J586" t="n">
        <v>0</v>
      </c>
      <c r="K586" t="n">
        <v>0</v>
      </c>
      <c r="L586" t="n">
        <v>0</v>
      </c>
      <c r="M586" t="n">
        <v>0</v>
      </c>
      <c r="N586" t="n">
        <v>0</v>
      </c>
      <c r="O586" t="n">
        <v>0</v>
      </c>
      <c r="P586" t="n">
        <v>0</v>
      </c>
      <c r="Q586" t="n">
        <v>0</v>
      </c>
      <c r="R586" s="2" t="inlineStr"/>
    </row>
    <row r="587" ht="15" customHeight="1">
      <c r="A587" t="inlineStr">
        <is>
          <t>A 32332-2023</t>
        </is>
      </c>
      <c r="B587" s="1" t="n">
        <v>45110</v>
      </c>
      <c r="C587" s="1" t="n">
        <v>45997</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15085-2023</t>
        </is>
      </c>
      <c r="B588" s="1" t="n">
        <v>45016</v>
      </c>
      <c r="C588" s="1" t="n">
        <v>45997</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71679-2021</t>
        </is>
      </c>
      <c r="B589" s="1" t="n">
        <v>44543</v>
      </c>
      <c r="C589" s="1" t="n">
        <v>45997</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10684-2024</t>
        </is>
      </c>
      <c r="B590" s="1" t="n">
        <v>45369.37938657407</v>
      </c>
      <c r="C590" s="1" t="n">
        <v>45997</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15939-2021</t>
        </is>
      </c>
      <c r="B591" s="1" t="n">
        <v>44287</v>
      </c>
      <c r="C591" s="1" t="n">
        <v>45997</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40470-2023</t>
        </is>
      </c>
      <c r="B592" s="1" t="n">
        <v>45170</v>
      </c>
      <c r="C592" s="1" t="n">
        <v>45997</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12670-2023</t>
        </is>
      </c>
      <c r="B593" s="1" t="n">
        <v>45000.58043981482</v>
      </c>
      <c r="C593" s="1" t="n">
        <v>45997</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21465-2022</t>
        </is>
      </c>
      <c r="B594" s="1" t="n">
        <v>44706.38893518518</v>
      </c>
      <c r="C594" s="1" t="n">
        <v>45997</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1527-2024</t>
        </is>
      </c>
      <c r="B595" s="1" t="n">
        <v>45306.45614583333</v>
      </c>
      <c r="C595" s="1" t="n">
        <v>45997</v>
      </c>
      <c r="D595" t="inlineStr">
        <is>
          <t>VÄRMLANDS LÄN</t>
        </is>
      </c>
      <c r="E595" t="inlineStr">
        <is>
          <t>TORSBY</t>
        </is>
      </c>
      <c r="G595" t="n">
        <v>2.9</v>
      </c>
      <c r="H595" t="n">
        <v>0</v>
      </c>
      <c r="I595" t="n">
        <v>0</v>
      </c>
      <c r="J595" t="n">
        <v>0</v>
      </c>
      <c r="K595" t="n">
        <v>0</v>
      </c>
      <c r="L595" t="n">
        <v>0</v>
      </c>
      <c r="M595" t="n">
        <v>0</v>
      </c>
      <c r="N595" t="n">
        <v>0</v>
      </c>
      <c r="O595" t="n">
        <v>0</v>
      </c>
      <c r="P595" t="n">
        <v>0</v>
      </c>
      <c r="Q595" t="n">
        <v>0</v>
      </c>
      <c r="R595" s="2" t="inlineStr"/>
    </row>
    <row r="596" ht="15" customHeight="1">
      <c r="A596" t="inlineStr">
        <is>
          <t>A 70785-2021</t>
        </is>
      </c>
      <c r="B596" s="1" t="n">
        <v>44537</v>
      </c>
      <c r="C596" s="1" t="n">
        <v>45997</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23818-2022</t>
        </is>
      </c>
      <c r="B597" s="1" t="n">
        <v>44722</v>
      </c>
      <c r="C597" s="1" t="n">
        <v>45997</v>
      </c>
      <c r="D597" t="inlineStr">
        <is>
          <t>VÄRMLANDS LÄN</t>
        </is>
      </c>
      <c r="E597" t="inlineStr">
        <is>
          <t>TORSBY</t>
        </is>
      </c>
      <c r="G597" t="n">
        <v>23.5</v>
      </c>
      <c r="H597" t="n">
        <v>0</v>
      </c>
      <c r="I597" t="n">
        <v>0</v>
      </c>
      <c r="J597" t="n">
        <v>0</v>
      </c>
      <c r="K597" t="n">
        <v>0</v>
      </c>
      <c r="L597" t="n">
        <v>0</v>
      </c>
      <c r="M597" t="n">
        <v>0</v>
      </c>
      <c r="N597" t="n">
        <v>0</v>
      </c>
      <c r="O597" t="n">
        <v>0</v>
      </c>
      <c r="P597" t="n">
        <v>0</v>
      </c>
      <c r="Q597" t="n">
        <v>0</v>
      </c>
      <c r="R597" s="2" t="inlineStr"/>
    </row>
    <row r="598" ht="15" customHeight="1">
      <c r="A598" t="inlineStr">
        <is>
          <t>A 17754-2025</t>
        </is>
      </c>
      <c r="B598" s="1" t="n">
        <v>45758</v>
      </c>
      <c r="C598" s="1" t="n">
        <v>45997</v>
      </c>
      <c r="D598" t="inlineStr">
        <is>
          <t>VÄRMLANDS LÄN</t>
        </is>
      </c>
      <c r="E598" t="inlineStr">
        <is>
          <t>TORSBY</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62574-2022</t>
        </is>
      </c>
      <c r="B599" s="1" t="n">
        <v>44924.85943287037</v>
      </c>
      <c r="C599" s="1" t="n">
        <v>45997</v>
      </c>
      <c r="D599" t="inlineStr">
        <is>
          <t>VÄRMLANDS LÄN</t>
        </is>
      </c>
      <c r="E599" t="inlineStr">
        <is>
          <t>TORSBY</t>
        </is>
      </c>
      <c r="G599" t="n">
        <v>3.2</v>
      </c>
      <c r="H599" t="n">
        <v>0</v>
      </c>
      <c r="I599" t="n">
        <v>0</v>
      </c>
      <c r="J599" t="n">
        <v>0</v>
      </c>
      <c r="K599" t="n">
        <v>0</v>
      </c>
      <c r="L599" t="n">
        <v>0</v>
      </c>
      <c r="M599" t="n">
        <v>0</v>
      </c>
      <c r="N599" t="n">
        <v>0</v>
      </c>
      <c r="O599" t="n">
        <v>0</v>
      </c>
      <c r="P599" t="n">
        <v>0</v>
      </c>
      <c r="Q599" t="n">
        <v>0</v>
      </c>
      <c r="R599" s="2" t="inlineStr"/>
    </row>
    <row r="600" ht="15" customHeight="1">
      <c r="A600" t="inlineStr">
        <is>
          <t>A 3542-2023</t>
        </is>
      </c>
      <c r="B600" s="1" t="n">
        <v>44950</v>
      </c>
      <c r="C600" s="1" t="n">
        <v>45997</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35134-2022</t>
        </is>
      </c>
      <c r="B601" s="1" t="n">
        <v>44797</v>
      </c>
      <c r="C601" s="1" t="n">
        <v>45997</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15873-2025</t>
        </is>
      </c>
      <c r="B602" s="1" t="n">
        <v>45749.3759375</v>
      </c>
      <c r="C602" s="1" t="n">
        <v>45997</v>
      </c>
      <c r="D602" t="inlineStr">
        <is>
          <t>VÄRMLANDS LÄN</t>
        </is>
      </c>
      <c r="E602" t="inlineStr">
        <is>
          <t>TORSBY</t>
        </is>
      </c>
      <c r="G602" t="n">
        <v>8</v>
      </c>
      <c r="H602" t="n">
        <v>0</v>
      </c>
      <c r="I602" t="n">
        <v>0</v>
      </c>
      <c r="J602" t="n">
        <v>0</v>
      </c>
      <c r="K602" t="n">
        <v>0</v>
      </c>
      <c r="L602" t="n">
        <v>0</v>
      </c>
      <c r="M602" t="n">
        <v>0</v>
      </c>
      <c r="N602" t="n">
        <v>0</v>
      </c>
      <c r="O602" t="n">
        <v>0</v>
      </c>
      <c r="P602" t="n">
        <v>0</v>
      </c>
      <c r="Q602" t="n">
        <v>0</v>
      </c>
      <c r="R602" s="2" t="inlineStr"/>
    </row>
    <row r="603" ht="15" customHeight="1">
      <c r="A603" t="inlineStr">
        <is>
          <t>A 29990-2022</t>
        </is>
      </c>
      <c r="B603" s="1" t="n">
        <v>44756.73530092592</v>
      </c>
      <c r="C603" s="1" t="n">
        <v>45997</v>
      </c>
      <c r="D603" t="inlineStr">
        <is>
          <t>VÄRMLANDS LÄN</t>
        </is>
      </c>
      <c r="E603" t="inlineStr">
        <is>
          <t>TORSBY</t>
        </is>
      </c>
      <c r="G603" t="n">
        <v>4.9</v>
      </c>
      <c r="H603" t="n">
        <v>0</v>
      </c>
      <c r="I603" t="n">
        <v>0</v>
      </c>
      <c r="J603" t="n">
        <v>0</v>
      </c>
      <c r="K603" t="n">
        <v>0</v>
      </c>
      <c r="L603" t="n">
        <v>0</v>
      </c>
      <c r="M603" t="n">
        <v>0</v>
      </c>
      <c r="N603" t="n">
        <v>0</v>
      </c>
      <c r="O603" t="n">
        <v>0</v>
      </c>
      <c r="P603" t="n">
        <v>0</v>
      </c>
      <c r="Q603" t="n">
        <v>0</v>
      </c>
      <c r="R603" s="2" t="inlineStr"/>
    </row>
    <row r="604" ht="15" customHeight="1">
      <c r="A604" t="inlineStr">
        <is>
          <t>A 3678-2024</t>
        </is>
      </c>
      <c r="B604" s="1" t="n">
        <v>45321.37844907407</v>
      </c>
      <c r="C604" s="1" t="n">
        <v>45997</v>
      </c>
      <c r="D604" t="inlineStr">
        <is>
          <t>VÄRMLANDS LÄN</t>
        </is>
      </c>
      <c r="E604" t="inlineStr">
        <is>
          <t>TORSBY</t>
        </is>
      </c>
      <c r="G604" t="n">
        <v>24.6</v>
      </c>
      <c r="H604" t="n">
        <v>0</v>
      </c>
      <c r="I604" t="n">
        <v>0</v>
      </c>
      <c r="J604" t="n">
        <v>0</v>
      </c>
      <c r="K604" t="n">
        <v>0</v>
      </c>
      <c r="L604" t="n">
        <v>0</v>
      </c>
      <c r="M604" t="n">
        <v>0</v>
      </c>
      <c r="N604" t="n">
        <v>0</v>
      </c>
      <c r="O604" t="n">
        <v>0</v>
      </c>
      <c r="P604" t="n">
        <v>0</v>
      </c>
      <c r="Q604" t="n">
        <v>0</v>
      </c>
      <c r="R604" s="2" t="inlineStr"/>
    </row>
    <row r="605" ht="15" customHeight="1">
      <c r="A605" t="inlineStr">
        <is>
          <t>A 59781-2023</t>
        </is>
      </c>
      <c r="B605" s="1" t="n">
        <v>45257.44043981482</v>
      </c>
      <c r="C605" s="1" t="n">
        <v>45997</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6828-2024</t>
        </is>
      </c>
      <c r="B606" s="1" t="n">
        <v>45342</v>
      </c>
      <c r="C606" s="1" t="n">
        <v>45997</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12933-2023</t>
        </is>
      </c>
      <c r="B607" s="1" t="n">
        <v>45001</v>
      </c>
      <c r="C607" s="1" t="n">
        <v>45997</v>
      </c>
      <c r="D607" t="inlineStr">
        <is>
          <t>VÄRMLANDS LÄN</t>
        </is>
      </c>
      <c r="E607" t="inlineStr">
        <is>
          <t>TORSBY</t>
        </is>
      </c>
      <c r="G607" t="n">
        <v>7.1</v>
      </c>
      <c r="H607" t="n">
        <v>0</v>
      </c>
      <c r="I607" t="n">
        <v>0</v>
      </c>
      <c r="J607" t="n">
        <v>0</v>
      </c>
      <c r="K607" t="n">
        <v>0</v>
      </c>
      <c r="L607" t="n">
        <v>0</v>
      </c>
      <c r="M607" t="n">
        <v>0</v>
      </c>
      <c r="N607" t="n">
        <v>0</v>
      </c>
      <c r="O607" t="n">
        <v>0</v>
      </c>
      <c r="P607" t="n">
        <v>0</v>
      </c>
      <c r="Q607" t="n">
        <v>0</v>
      </c>
      <c r="R607" s="2" t="inlineStr"/>
    </row>
    <row r="608" ht="15" customHeight="1">
      <c r="A608" t="inlineStr">
        <is>
          <t>A 63083-2023</t>
        </is>
      </c>
      <c r="B608" s="1" t="n">
        <v>45273.348125</v>
      </c>
      <c r="C608" s="1" t="n">
        <v>45997</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44708-2022</t>
        </is>
      </c>
      <c r="B609" s="1" t="n">
        <v>44840.73633101852</v>
      </c>
      <c r="C609" s="1" t="n">
        <v>45997</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58430-2023</t>
        </is>
      </c>
      <c r="B610" s="1" t="n">
        <v>45250.80646990741</v>
      </c>
      <c r="C610" s="1" t="n">
        <v>45997</v>
      </c>
      <c r="D610" t="inlineStr">
        <is>
          <t>VÄRMLANDS LÄN</t>
        </is>
      </c>
      <c r="E610" t="inlineStr">
        <is>
          <t>TORSBY</t>
        </is>
      </c>
      <c r="G610" t="n">
        <v>0.3</v>
      </c>
      <c r="H610" t="n">
        <v>0</v>
      </c>
      <c r="I610" t="n">
        <v>0</v>
      </c>
      <c r="J610" t="n">
        <v>0</v>
      </c>
      <c r="K610" t="n">
        <v>0</v>
      </c>
      <c r="L610" t="n">
        <v>0</v>
      </c>
      <c r="M610" t="n">
        <v>0</v>
      </c>
      <c r="N610" t="n">
        <v>0</v>
      </c>
      <c r="O610" t="n">
        <v>0</v>
      </c>
      <c r="P610" t="n">
        <v>0</v>
      </c>
      <c r="Q610" t="n">
        <v>0</v>
      </c>
      <c r="R610" s="2" t="inlineStr"/>
    </row>
    <row r="611" ht="15" customHeight="1">
      <c r="A611" t="inlineStr">
        <is>
          <t>A 51843-2022</t>
        </is>
      </c>
      <c r="B611" s="1" t="n">
        <v>44872</v>
      </c>
      <c r="C611" s="1" t="n">
        <v>45997</v>
      </c>
      <c r="D611" t="inlineStr">
        <is>
          <t>VÄRMLANDS LÄN</t>
        </is>
      </c>
      <c r="E611" t="inlineStr">
        <is>
          <t>TORSBY</t>
        </is>
      </c>
      <c r="G611" t="n">
        <v>0.7</v>
      </c>
      <c r="H611" t="n">
        <v>0</v>
      </c>
      <c r="I611" t="n">
        <v>0</v>
      </c>
      <c r="J611" t="n">
        <v>0</v>
      </c>
      <c r="K611" t="n">
        <v>0</v>
      </c>
      <c r="L611" t="n">
        <v>0</v>
      </c>
      <c r="M611" t="n">
        <v>0</v>
      </c>
      <c r="N611" t="n">
        <v>0</v>
      </c>
      <c r="O611" t="n">
        <v>0</v>
      </c>
      <c r="P611" t="n">
        <v>0</v>
      </c>
      <c r="Q611" t="n">
        <v>0</v>
      </c>
      <c r="R611" s="2" t="inlineStr"/>
    </row>
    <row r="612" ht="15" customHeight="1">
      <c r="A612" t="inlineStr">
        <is>
          <t>A 29043-2023</t>
        </is>
      </c>
      <c r="B612" s="1" t="n">
        <v>45104</v>
      </c>
      <c r="C612" s="1" t="n">
        <v>45997</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33072-2023</t>
        </is>
      </c>
      <c r="B613" s="1" t="n">
        <v>45126</v>
      </c>
      <c r="C613" s="1" t="n">
        <v>45997</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65134-2023</t>
        </is>
      </c>
      <c r="B614" s="1" t="n">
        <v>45288.52010416667</v>
      </c>
      <c r="C614" s="1" t="n">
        <v>45997</v>
      </c>
      <c r="D614" t="inlineStr">
        <is>
          <t>VÄRMLANDS LÄN</t>
        </is>
      </c>
      <c r="E614" t="inlineStr">
        <is>
          <t>TORSBY</t>
        </is>
      </c>
      <c r="G614" t="n">
        <v>3.5</v>
      </c>
      <c r="H614" t="n">
        <v>0</v>
      </c>
      <c r="I614" t="n">
        <v>0</v>
      </c>
      <c r="J614" t="n">
        <v>0</v>
      </c>
      <c r="K614" t="n">
        <v>0</v>
      </c>
      <c r="L614" t="n">
        <v>0</v>
      </c>
      <c r="M614" t="n">
        <v>0</v>
      </c>
      <c r="N614" t="n">
        <v>0</v>
      </c>
      <c r="O614" t="n">
        <v>0</v>
      </c>
      <c r="P614" t="n">
        <v>0</v>
      </c>
      <c r="Q614" t="n">
        <v>0</v>
      </c>
      <c r="R614" s="2" t="inlineStr"/>
    </row>
    <row r="615" ht="15" customHeight="1">
      <c r="A615" t="inlineStr">
        <is>
          <t>A 18576-2025</t>
        </is>
      </c>
      <c r="B615" s="1" t="n">
        <v>45763</v>
      </c>
      <c r="C615" s="1" t="n">
        <v>45997</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18584-2025</t>
        </is>
      </c>
      <c r="B616" s="1" t="n">
        <v>45763.46973379629</v>
      </c>
      <c r="C616" s="1" t="n">
        <v>45997</v>
      </c>
      <c r="D616" t="inlineStr">
        <is>
          <t>VÄRMLANDS LÄN</t>
        </is>
      </c>
      <c r="E616" t="inlineStr">
        <is>
          <t>TORSBY</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4219-2024</t>
        </is>
      </c>
      <c r="B617" s="1" t="n">
        <v>45324</v>
      </c>
      <c r="C617" s="1" t="n">
        <v>45997</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731-2024</t>
        </is>
      </c>
      <c r="B618" s="1" t="n">
        <v>45300</v>
      </c>
      <c r="C618" s="1" t="n">
        <v>45997</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61367-2022</t>
        </is>
      </c>
      <c r="B619" s="1" t="n">
        <v>44915.82997685186</v>
      </c>
      <c r="C619" s="1" t="n">
        <v>45997</v>
      </c>
      <c r="D619" t="inlineStr">
        <is>
          <t>VÄRMLANDS LÄN</t>
        </is>
      </c>
      <c r="E619" t="inlineStr">
        <is>
          <t>TORSBY</t>
        </is>
      </c>
      <c r="G619" t="n">
        <v>2.6</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45997</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53396-2024</t>
        </is>
      </c>
      <c r="B621" s="1" t="n">
        <v>45614</v>
      </c>
      <c r="C621" s="1" t="n">
        <v>45997</v>
      </c>
      <c r="D621" t="inlineStr">
        <is>
          <t>VÄRMLANDS LÄN</t>
        </is>
      </c>
      <c r="E621" t="inlineStr">
        <is>
          <t>TORSBY</t>
        </is>
      </c>
      <c r="F621" t="inlineStr">
        <is>
          <t>Bergvik skog väst AB</t>
        </is>
      </c>
      <c r="G621" t="n">
        <v>10.1</v>
      </c>
      <c r="H621" t="n">
        <v>0</v>
      </c>
      <c r="I621" t="n">
        <v>0</v>
      </c>
      <c r="J621" t="n">
        <v>0</v>
      </c>
      <c r="K621" t="n">
        <v>0</v>
      </c>
      <c r="L621" t="n">
        <v>0</v>
      </c>
      <c r="M621" t="n">
        <v>0</v>
      </c>
      <c r="N621" t="n">
        <v>0</v>
      </c>
      <c r="O621" t="n">
        <v>0</v>
      </c>
      <c r="P621" t="n">
        <v>0</v>
      </c>
      <c r="Q621" t="n">
        <v>0</v>
      </c>
      <c r="R621" s="2" t="inlineStr"/>
    </row>
    <row r="622" ht="15" customHeight="1">
      <c r="A622" t="inlineStr">
        <is>
          <t>A 14917-2023</t>
        </is>
      </c>
      <c r="B622" s="1" t="n">
        <v>45015.39938657408</v>
      </c>
      <c r="C622" s="1" t="n">
        <v>45997</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16362-2025</t>
        </is>
      </c>
      <c r="B623" s="1" t="n">
        <v>45751</v>
      </c>
      <c r="C623" s="1" t="n">
        <v>45997</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32444-2022</t>
        </is>
      </c>
      <c r="B624" s="1" t="n">
        <v>44782</v>
      </c>
      <c r="C624" s="1" t="n">
        <v>45997</v>
      </c>
      <c r="D624" t="inlineStr">
        <is>
          <t>VÄRMLANDS LÄN</t>
        </is>
      </c>
      <c r="E624" t="inlineStr">
        <is>
          <t>TORSBY</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32496-2022</t>
        </is>
      </c>
      <c r="B625" s="1" t="n">
        <v>44782</v>
      </c>
      <c r="C625" s="1" t="n">
        <v>45997</v>
      </c>
      <c r="D625" t="inlineStr">
        <is>
          <t>VÄRMLANDS LÄN</t>
        </is>
      </c>
      <c r="E625" t="inlineStr">
        <is>
          <t>TORSBY</t>
        </is>
      </c>
      <c r="G625" t="n">
        <v>1.9</v>
      </c>
      <c r="H625" t="n">
        <v>0</v>
      </c>
      <c r="I625" t="n">
        <v>0</v>
      </c>
      <c r="J625" t="n">
        <v>0</v>
      </c>
      <c r="K625" t="n">
        <v>0</v>
      </c>
      <c r="L625" t="n">
        <v>0</v>
      </c>
      <c r="M625" t="n">
        <v>0</v>
      </c>
      <c r="N625" t="n">
        <v>0</v>
      </c>
      <c r="O625" t="n">
        <v>0</v>
      </c>
      <c r="P625" t="n">
        <v>0</v>
      </c>
      <c r="Q625" t="n">
        <v>0</v>
      </c>
      <c r="R625" s="2" t="inlineStr"/>
    </row>
    <row r="626" ht="15" customHeight="1">
      <c r="A626" t="inlineStr">
        <is>
          <t>A 11242-2024</t>
        </is>
      </c>
      <c r="B626" s="1" t="n">
        <v>45371</v>
      </c>
      <c r="C626" s="1" t="n">
        <v>45997</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73521-2021</t>
        </is>
      </c>
      <c r="B627" s="1" t="n">
        <v>44551</v>
      </c>
      <c r="C627" s="1" t="n">
        <v>45997</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15022-2025</t>
        </is>
      </c>
      <c r="B628" s="1" t="n">
        <v>45743</v>
      </c>
      <c r="C628" s="1" t="n">
        <v>45997</v>
      </c>
      <c r="D628" t="inlineStr">
        <is>
          <t>VÄRMLANDS LÄN</t>
        </is>
      </c>
      <c r="E628" t="inlineStr">
        <is>
          <t>TORSBY</t>
        </is>
      </c>
      <c r="G628" t="n">
        <v>7.2</v>
      </c>
      <c r="H628" t="n">
        <v>0</v>
      </c>
      <c r="I628" t="n">
        <v>0</v>
      </c>
      <c r="J628" t="n">
        <v>0</v>
      </c>
      <c r="K628" t="n">
        <v>0</v>
      </c>
      <c r="L628" t="n">
        <v>0</v>
      </c>
      <c r="M628" t="n">
        <v>0</v>
      </c>
      <c r="N628" t="n">
        <v>0</v>
      </c>
      <c r="O628" t="n">
        <v>0</v>
      </c>
      <c r="P628" t="n">
        <v>0</v>
      </c>
      <c r="Q628" t="n">
        <v>0</v>
      </c>
      <c r="R628" s="2" t="inlineStr"/>
    </row>
    <row r="629" ht="15" customHeight="1">
      <c r="A629" t="inlineStr">
        <is>
          <t>A 40009-2022</t>
        </is>
      </c>
      <c r="B629" s="1" t="n">
        <v>44820</v>
      </c>
      <c r="C629" s="1" t="n">
        <v>45997</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11776-2024</t>
        </is>
      </c>
      <c r="B630" s="1" t="n">
        <v>45374</v>
      </c>
      <c r="C630" s="1" t="n">
        <v>45997</v>
      </c>
      <c r="D630" t="inlineStr">
        <is>
          <t>VÄRMLANDS LÄN</t>
        </is>
      </c>
      <c r="E630" t="inlineStr">
        <is>
          <t>TORSBY</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57647-2023</t>
        </is>
      </c>
      <c r="B631" s="1" t="n">
        <v>45246.59627314815</v>
      </c>
      <c r="C631" s="1" t="n">
        <v>45997</v>
      </c>
      <c r="D631" t="inlineStr">
        <is>
          <t>VÄRMLANDS LÄN</t>
        </is>
      </c>
      <c r="E631" t="inlineStr">
        <is>
          <t>TORSBY</t>
        </is>
      </c>
      <c r="G631" t="n">
        <v>10.3</v>
      </c>
      <c r="H631" t="n">
        <v>0</v>
      </c>
      <c r="I631" t="n">
        <v>0</v>
      </c>
      <c r="J631" t="n">
        <v>0</v>
      </c>
      <c r="K631" t="n">
        <v>0</v>
      </c>
      <c r="L631" t="n">
        <v>0</v>
      </c>
      <c r="M631" t="n">
        <v>0</v>
      </c>
      <c r="N631" t="n">
        <v>0</v>
      </c>
      <c r="O631" t="n">
        <v>0</v>
      </c>
      <c r="P631" t="n">
        <v>0</v>
      </c>
      <c r="Q631" t="n">
        <v>0</v>
      </c>
      <c r="R631" s="2" t="inlineStr"/>
    </row>
    <row r="632" ht="15" customHeight="1">
      <c r="A632" t="inlineStr">
        <is>
          <t>A 924-2024</t>
        </is>
      </c>
      <c r="B632" s="1" t="n">
        <v>45301</v>
      </c>
      <c r="C632" s="1" t="n">
        <v>45997</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67933-2021</t>
        </is>
      </c>
      <c r="B633" s="1" t="n">
        <v>44525</v>
      </c>
      <c r="C633" s="1" t="n">
        <v>45997</v>
      </c>
      <c r="D633" t="inlineStr">
        <is>
          <t>VÄRMLANDS LÄN</t>
        </is>
      </c>
      <c r="E633" t="inlineStr">
        <is>
          <t>TORSBY</t>
        </is>
      </c>
      <c r="F633" t="inlineStr">
        <is>
          <t>Bergvik skog väst AB</t>
        </is>
      </c>
      <c r="G633" t="n">
        <v>4</v>
      </c>
      <c r="H633" t="n">
        <v>0</v>
      </c>
      <c r="I633" t="n">
        <v>0</v>
      </c>
      <c r="J633" t="n">
        <v>0</v>
      </c>
      <c r="K633" t="n">
        <v>0</v>
      </c>
      <c r="L633" t="n">
        <v>0</v>
      </c>
      <c r="M633" t="n">
        <v>0</v>
      </c>
      <c r="N633" t="n">
        <v>0</v>
      </c>
      <c r="O633" t="n">
        <v>0</v>
      </c>
      <c r="P633" t="n">
        <v>0</v>
      </c>
      <c r="Q633" t="n">
        <v>0</v>
      </c>
      <c r="R633" s="2" t="inlineStr"/>
    </row>
    <row r="634" ht="15" customHeight="1">
      <c r="A634" t="inlineStr">
        <is>
          <t>A 31052-2023</t>
        </is>
      </c>
      <c r="B634" s="1" t="n">
        <v>45113</v>
      </c>
      <c r="C634" s="1" t="n">
        <v>45997</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37822-2023</t>
        </is>
      </c>
      <c r="B635" s="1" t="n">
        <v>45160.30215277777</v>
      </c>
      <c r="C635" s="1" t="n">
        <v>45997</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30789-2024</t>
        </is>
      </c>
      <c r="B636" s="1" t="n">
        <v>45497.178125</v>
      </c>
      <c r="C636" s="1" t="n">
        <v>45997</v>
      </c>
      <c r="D636" t="inlineStr">
        <is>
          <t>VÄRMLANDS LÄN</t>
        </is>
      </c>
      <c r="E636" t="inlineStr">
        <is>
          <t>TORSBY</t>
        </is>
      </c>
      <c r="G636" t="n">
        <v>5.2</v>
      </c>
      <c r="H636" t="n">
        <v>0</v>
      </c>
      <c r="I636" t="n">
        <v>0</v>
      </c>
      <c r="J636" t="n">
        <v>0</v>
      </c>
      <c r="K636" t="n">
        <v>0</v>
      </c>
      <c r="L636" t="n">
        <v>0</v>
      </c>
      <c r="M636" t="n">
        <v>0</v>
      </c>
      <c r="N636" t="n">
        <v>0</v>
      </c>
      <c r="O636" t="n">
        <v>0</v>
      </c>
      <c r="P636" t="n">
        <v>0</v>
      </c>
      <c r="Q636" t="n">
        <v>0</v>
      </c>
      <c r="R636" s="2" t="inlineStr"/>
    </row>
    <row r="637" ht="15" customHeight="1">
      <c r="A637" t="inlineStr">
        <is>
          <t>A 34717-2024</t>
        </is>
      </c>
      <c r="B637" s="1" t="n">
        <v>45526.56409722222</v>
      </c>
      <c r="C637" s="1" t="n">
        <v>45997</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60133-2023</t>
        </is>
      </c>
      <c r="B638" s="1" t="n">
        <v>45258</v>
      </c>
      <c r="C638" s="1" t="n">
        <v>45997</v>
      </c>
      <c r="D638" t="inlineStr">
        <is>
          <t>VÄRMLANDS LÄN</t>
        </is>
      </c>
      <c r="E638" t="inlineStr">
        <is>
          <t>TORSBY</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53099-2024</t>
        </is>
      </c>
      <c r="B639" s="1" t="n">
        <v>45611.54206018519</v>
      </c>
      <c r="C639" s="1" t="n">
        <v>45997</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2130-2024</t>
        </is>
      </c>
      <c r="B640" s="1" t="n">
        <v>45309.51518518518</v>
      </c>
      <c r="C640" s="1" t="n">
        <v>45997</v>
      </c>
      <c r="D640" t="inlineStr">
        <is>
          <t>VÄRMLANDS LÄN</t>
        </is>
      </c>
      <c r="E640" t="inlineStr">
        <is>
          <t>TORSBY</t>
        </is>
      </c>
      <c r="G640" t="n">
        <v>4</v>
      </c>
      <c r="H640" t="n">
        <v>0</v>
      </c>
      <c r="I640" t="n">
        <v>0</v>
      </c>
      <c r="J640" t="n">
        <v>0</v>
      </c>
      <c r="K640" t="n">
        <v>0</v>
      </c>
      <c r="L640" t="n">
        <v>0</v>
      </c>
      <c r="M640" t="n">
        <v>0</v>
      </c>
      <c r="N640" t="n">
        <v>0</v>
      </c>
      <c r="O640" t="n">
        <v>0</v>
      </c>
      <c r="P640" t="n">
        <v>0</v>
      </c>
      <c r="Q640" t="n">
        <v>0</v>
      </c>
      <c r="R640" s="2" t="inlineStr"/>
    </row>
    <row r="641" ht="15" customHeight="1">
      <c r="A641" t="inlineStr">
        <is>
          <t>A 54532-2023</t>
        </is>
      </c>
      <c r="B641" s="1" t="n">
        <v>45233</v>
      </c>
      <c r="C641" s="1" t="n">
        <v>45997</v>
      </c>
      <c r="D641" t="inlineStr">
        <is>
          <t>VÄRMLANDS LÄN</t>
        </is>
      </c>
      <c r="E641" t="inlineStr">
        <is>
          <t>TORSBY</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58304-2024</t>
        </is>
      </c>
      <c r="B642" s="1" t="n">
        <v>45632</v>
      </c>
      <c r="C642" s="1" t="n">
        <v>45997</v>
      </c>
      <c r="D642" t="inlineStr">
        <is>
          <t>VÄRMLANDS LÄN</t>
        </is>
      </c>
      <c r="E642" t="inlineStr">
        <is>
          <t>TORSBY</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234-2024</t>
        </is>
      </c>
      <c r="B643" s="1" t="n">
        <v>45294.8253587963</v>
      </c>
      <c r="C643" s="1" t="n">
        <v>45997</v>
      </c>
      <c r="D643" t="inlineStr">
        <is>
          <t>VÄRMLANDS LÄN</t>
        </is>
      </c>
      <c r="E643" t="inlineStr">
        <is>
          <t>TORSBY</t>
        </is>
      </c>
      <c r="G643" t="n">
        <v>3.2</v>
      </c>
      <c r="H643" t="n">
        <v>0</v>
      </c>
      <c r="I643" t="n">
        <v>0</v>
      </c>
      <c r="J643" t="n">
        <v>0</v>
      </c>
      <c r="K643" t="n">
        <v>0</v>
      </c>
      <c r="L643" t="n">
        <v>0</v>
      </c>
      <c r="M643" t="n">
        <v>0</v>
      </c>
      <c r="N643" t="n">
        <v>0</v>
      </c>
      <c r="O643" t="n">
        <v>0</v>
      </c>
      <c r="P643" t="n">
        <v>0</v>
      </c>
      <c r="Q643" t="n">
        <v>0</v>
      </c>
      <c r="R643" s="2" t="inlineStr"/>
    </row>
    <row r="644" ht="15" customHeight="1">
      <c r="A644" t="inlineStr">
        <is>
          <t>A 236-2024</t>
        </is>
      </c>
      <c r="B644" s="1" t="n">
        <v>45294.85927083333</v>
      </c>
      <c r="C644" s="1" t="n">
        <v>45997</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3160-2021</t>
        </is>
      </c>
      <c r="B645" s="1" t="n">
        <v>44217</v>
      </c>
      <c r="C645" s="1" t="n">
        <v>45997</v>
      </c>
      <c r="D645" t="inlineStr">
        <is>
          <t>VÄRMLANDS LÄN</t>
        </is>
      </c>
      <c r="E645" t="inlineStr">
        <is>
          <t>TORSBY</t>
        </is>
      </c>
      <c r="G645" t="n">
        <v>4.4</v>
      </c>
      <c r="H645" t="n">
        <v>0</v>
      </c>
      <c r="I645" t="n">
        <v>0</v>
      </c>
      <c r="J645" t="n">
        <v>0</v>
      </c>
      <c r="K645" t="n">
        <v>0</v>
      </c>
      <c r="L645" t="n">
        <v>0</v>
      </c>
      <c r="M645" t="n">
        <v>0</v>
      </c>
      <c r="N645" t="n">
        <v>0</v>
      </c>
      <c r="O645" t="n">
        <v>0</v>
      </c>
      <c r="P645" t="n">
        <v>0</v>
      </c>
      <c r="Q645" t="n">
        <v>0</v>
      </c>
      <c r="R645" s="2" t="inlineStr"/>
    </row>
    <row r="646" ht="15" customHeight="1">
      <c r="A646" t="inlineStr">
        <is>
          <t>A 64672-2023</t>
        </is>
      </c>
      <c r="B646" s="1" t="n">
        <v>45281.61913194445</v>
      </c>
      <c r="C646" s="1" t="n">
        <v>45997</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3922-2024</t>
        </is>
      </c>
      <c r="B647" s="1" t="n">
        <v>45322.57271990741</v>
      </c>
      <c r="C647" s="1" t="n">
        <v>45997</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15931-2025</t>
        </is>
      </c>
      <c r="B648" s="1" t="n">
        <v>45749.46791666667</v>
      </c>
      <c r="C648" s="1" t="n">
        <v>45997</v>
      </c>
      <c r="D648" t="inlineStr">
        <is>
          <t>VÄRMLANDS LÄN</t>
        </is>
      </c>
      <c r="E648" t="inlineStr">
        <is>
          <t>TORSBY</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11050-2022</t>
        </is>
      </c>
      <c r="B649" s="1" t="n">
        <v>44628.60393518519</v>
      </c>
      <c r="C649" s="1" t="n">
        <v>45997</v>
      </c>
      <c r="D649" t="inlineStr">
        <is>
          <t>VÄRMLANDS LÄN</t>
        </is>
      </c>
      <c r="E649" t="inlineStr">
        <is>
          <t>TORSBY</t>
        </is>
      </c>
      <c r="G649" t="n">
        <v>4.9</v>
      </c>
      <c r="H649" t="n">
        <v>0</v>
      </c>
      <c r="I649" t="n">
        <v>0</v>
      </c>
      <c r="J649" t="n">
        <v>0</v>
      </c>
      <c r="K649" t="n">
        <v>0</v>
      </c>
      <c r="L649" t="n">
        <v>0</v>
      </c>
      <c r="M649" t="n">
        <v>0</v>
      </c>
      <c r="N649" t="n">
        <v>0</v>
      </c>
      <c r="O649" t="n">
        <v>0</v>
      </c>
      <c r="P649" t="n">
        <v>0</v>
      </c>
      <c r="Q649" t="n">
        <v>0</v>
      </c>
      <c r="R649" s="2" t="inlineStr"/>
    </row>
    <row r="650" ht="15" customHeight="1">
      <c r="A650" t="inlineStr">
        <is>
          <t>A 33862-2024</t>
        </is>
      </c>
      <c r="B650" s="1" t="n">
        <v>45520.69163194444</v>
      </c>
      <c r="C650" s="1" t="n">
        <v>45997</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34500-2024</t>
        </is>
      </c>
      <c r="B651" s="1" t="n">
        <v>45525</v>
      </c>
      <c r="C651" s="1" t="n">
        <v>45997</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46424-2023</t>
        </is>
      </c>
      <c r="B652" s="1" t="n">
        <v>45197.56141203704</v>
      </c>
      <c r="C652" s="1" t="n">
        <v>45997</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41995-2022</t>
        </is>
      </c>
      <c r="B653" s="1" t="n">
        <v>44830</v>
      </c>
      <c r="C653" s="1" t="n">
        <v>45997</v>
      </c>
      <c r="D653" t="inlineStr">
        <is>
          <t>VÄRMLANDS LÄN</t>
        </is>
      </c>
      <c r="E653" t="inlineStr">
        <is>
          <t>TORSBY</t>
        </is>
      </c>
      <c r="F653" t="inlineStr">
        <is>
          <t>Bergvik skog väst AB</t>
        </is>
      </c>
      <c r="G653" t="n">
        <v>5.2</v>
      </c>
      <c r="H653" t="n">
        <v>0</v>
      </c>
      <c r="I653" t="n">
        <v>0</v>
      </c>
      <c r="J653" t="n">
        <v>0</v>
      </c>
      <c r="K653" t="n">
        <v>0</v>
      </c>
      <c r="L653" t="n">
        <v>0</v>
      </c>
      <c r="M653" t="n">
        <v>0</v>
      </c>
      <c r="N653" t="n">
        <v>0</v>
      </c>
      <c r="O653" t="n">
        <v>0</v>
      </c>
      <c r="P653" t="n">
        <v>0</v>
      </c>
      <c r="Q653" t="n">
        <v>0</v>
      </c>
      <c r="R653" s="2" t="inlineStr"/>
    </row>
    <row r="654" ht="15" customHeight="1">
      <c r="A654" t="inlineStr">
        <is>
          <t>A 45303-2022</t>
        </is>
      </c>
      <c r="B654" s="1" t="n">
        <v>44844</v>
      </c>
      <c r="C654" s="1" t="n">
        <v>45997</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1166-2023</t>
        </is>
      </c>
      <c r="B655" s="1" t="n">
        <v>44935</v>
      </c>
      <c r="C655" s="1" t="n">
        <v>45997</v>
      </c>
      <c r="D655" t="inlineStr">
        <is>
          <t>VÄRMLANDS LÄN</t>
        </is>
      </c>
      <c r="E655" t="inlineStr">
        <is>
          <t>TORSBY</t>
        </is>
      </c>
      <c r="G655" t="n">
        <v>3.9</v>
      </c>
      <c r="H655" t="n">
        <v>0</v>
      </c>
      <c r="I655" t="n">
        <v>0</v>
      </c>
      <c r="J655" t="n">
        <v>0</v>
      </c>
      <c r="K655" t="n">
        <v>0</v>
      </c>
      <c r="L655" t="n">
        <v>0</v>
      </c>
      <c r="M655" t="n">
        <v>0</v>
      </c>
      <c r="N655" t="n">
        <v>0</v>
      </c>
      <c r="O655" t="n">
        <v>0</v>
      </c>
      <c r="P655" t="n">
        <v>0</v>
      </c>
      <c r="Q655" t="n">
        <v>0</v>
      </c>
      <c r="R655" s="2" t="inlineStr"/>
    </row>
    <row r="656" ht="15" customHeight="1">
      <c r="A656" t="inlineStr">
        <is>
          <t>A 34581-2022</t>
        </is>
      </c>
      <c r="B656" s="1" t="n">
        <v>44792</v>
      </c>
      <c r="C656" s="1" t="n">
        <v>45997</v>
      </c>
      <c r="D656" t="inlineStr">
        <is>
          <t>VÄRMLANDS LÄN</t>
        </is>
      </c>
      <c r="E656" t="inlineStr">
        <is>
          <t>TORSBY</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69878-2021</t>
        </is>
      </c>
      <c r="B657" s="1" t="n">
        <v>44532.82293981482</v>
      </c>
      <c r="C657" s="1" t="n">
        <v>45997</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37754-2022</t>
        </is>
      </c>
      <c r="B658" s="1" t="n">
        <v>44810</v>
      </c>
      <c r="C658" s="1" t="n">
        <v>45997</v>
      </c>
      <c r="D658" t="inlineStr">
        <is>
          <t>VÄRMLANDS LÄN</t>
        </is>
      </c>
      <c r="E658" t="inlineStr">
        <is>
          <t>TORSBY</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5814-2024</t>
        </is>
      </c>
      <c r="B659" s="1" t="n">
        <v>45335</v>
      </c>
      <c r="C659" s="1" t="n">
        <v>45997</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33469-2024</t>
        </is>
      </c>
      <c r="B660" s="1" t="n">
        <v>45519.5996875</v>
      </c>
      <c r="C660" s="1" t="n">
        <v>45997</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1547-2024</t>
        </is>
      </c>
      <c r="B661" s="1" t="n">
        <v>45306.48456018518</v>
      </c>
      <c r="C661" s="1" t="n">
        <v>45997</v>
      </c>
      <c r="D661" t="inlineStr">
        <is>
          <t>VÄRMLANDS LÄN</t>
        </is>
      </c>
      <c r="E661" t="inlineStr">
        <is>
          <t>TORSBY</t>
        </is>
      </c>
      <c r="G661" t="n">
        <v>7.2</v>
      </c>
      <c r="H661" t="n">
        <v>0</v>
      </c>
      <c r="I661" t="n">
        <v>0</v>
      </c>
      <c r="J661" t="n">
        <v>0</v>
      </c>
      <c r="K661" t="n">
        <v>0</v>
      </c>
      <c r="L661" t="n">
        <v>0</v>
      </c>
      <c r="M661" t="n">
        <v>0</v>
      </c>
      <c r="N661" t="n">
        <v>0</v>
      </c>
      <c r="O661" t="n">
        <v>0</v>
      </c>
      <c r="P661" t="n">
        <v>0</v>
      </c>
      <c r="Q661" t="n">
        <v>0</v>
      </c>
      <c r="R661" s="2" t="inlineStr"/>
    </row>
    <row r="662" ht="15" customHeight="1">
      <c r="A662" t="inlineStr">
        <is>
          <t>A 72200-2021</t>
        </is>
      </c>
      <c r="B662" s="1" t="n">
        <v>44544.67358796296</v>
      </c>
      <c r="C662" s="1" t="n">
        <v>45997</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2009-2025</t>
        </is>
      </c>
      <c r="B663" s="1" t="n">
        <v>45672</v>
      </c>
      <c r="C663" s="1" t="n">
        <v>45997</v>
      </c>
      <c r="D663" t="inlineStr">
        <is>
          <t>VÄRMLANDS LÄN</t>
        </is>
      </c>
      <c r="E663" t="inlineStr">
        <is>
          <t>TORSBY</t>
        </is>
      </c>
      <c r="G663" t="n">
        <v>3.3</v>
      </c>
      <c r="H663" t="n">
        <v>0</v>
      </c>
      <c r="I663" t="n">
        <v>0</v>
      </c>
      <c r="J663" t="n">
        <v>0</v>
      </c>
      <c r="K663" t="n">
        <v>0</v>
      </c>
      <c r="L663" t="n">
        <v>0</v>
      </c>
      <c r="M663" t="n">
        <v>0</v>
      </c>
      <c r="N663" t="n">
        <v>0</v>
      </c>
      <c r="O663" t="n">
        <v>0</v>
      </c>
      <c r="P663" t="n">
        <v>0</v>
      </c>
      <c r="Q663" t="n">
        <v>0</v>
      </c>
      <c r="R663" s="2" t="inlineStr"/>
    </row>
    <row r="664" ht="15" customHeight="1">
      <c r="A664" t="inlineStr">
        <is>
          <t>A 13191-2025</t>
        </is>
      </c>
      <c r="B664" s="1" t="n">
        <v>45735.40501157408</v>
      </c>
      <c r="C664" s="1" t="n">
        <v>45997</v>
      </c>
      <c r="D664" t="inlineStr">
        <is>
          <t>VÄRMLANDS LÄN</t>
        </is>
      </c>
      <c r="E664" t="inlineStr">
        <is>
          <t>TORSBY</t>
        </is>
      </c>
      <c r="G664" t="n">
        <v>10.6</v>
      </c>
      <c r="H664" t="n">
        <v>0</v>
      </c>
      <c r="I664" t="n">
        <v>0</v>
      </c>
      <c r="J664" t="n">
        <v>0</v>
      </c>
      <c r="K664" t="n">
        <v>0</v>
      </c>
      <c r="L664" t="n">
        <v>0</v>
      </c>
      <c r="M664" t="n">
        <v>0</v>
      </c>
      <c r="N664" t="n">
        <v>0</v>
      </c>
      <c r="O664" t="n">
        <v>0</v>
      </c>
      <c r="P664" t="n">
        <v>0</v>
      </c>
      <c r="Q664" t="n">
        <v>0</v>
      </c>
      <c r="R664" s="2" t="inlineStr"/>
    </row>
    <row r="665" ht="15" customHeight="1">
      <c r="A665" t="inlineStr">
        <is>
          <t>A 41841-2023</t>
        </is>
      </c>
      <c r="B665" s="1" t="n">
        <v>45176.60436342593</v>
      </c>
      <c r="C665" s="1" t="n">
        <v>45997</v>
      </c>
      <c r="D665" t="inlineStr">
        <is>
          <t>VÄRMLANDS LÄN</t>
        </is>
      </c>
      <c r="E665" t="inlineStr">
        <is>
          <t>TORSBY</t>
        </is>
      </c>
      <c r="G665" t="n">
        <v>6.3</v>
      </c>
      <c r="H665" t="n">
        <v>0</v>
      </c>
      <c r="I665" t="n">
        <v>0</v>
      </c>
      <c r="J665" t="n">
        <v>0</v>
      </c>
      <c r="K665" t="n">
        <v>0</v>
      </c>
      <c r="L665" t="n">
        <v>0</v>
      </c>
      <c r="M665" t="n">
        <v>0</v>
      </c>
      <c r="N665" t="n">
        <v>0</v>
      </c>
      <c r="O665" t="n">
        <v>0</v>
      </c>
      <c r="P665" t="n">
        <v>0</v>
      </c>
      <c r="Q665" t="n">
        <v>0</v>
      </c>
      <c r="R665" s="2" t="inlineStr"/>
    </row>
    <row r="666" ht="15" customHeight="1">
      <c r="A666" t="inlineStr">
        <is>
          <t>A 40007-2023</t>
        </is>
      </c>
      <c r="B666" s="1" t="n">
        <v>45168</v>
      </c>
      <c r="C666" s="1" t="n">
        <v>45997</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74375-2021</t>
        </is>
      </c>
      <c r="B667" s="1" t="n">
        <v>44559.71840277778</v>
      </c>
      <c r="C667" s="1" t="n">
        <v>45997</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32588-2024</t>
        </is>
      </c>
      <c r="B668" s="1" t="n">
        <v>45513.59612268519</v>
      </c>
      <c r="C668" s="1" t="n">
        <v>45997</v>
      </c>
      <c r="D668" t="inlineStr">
        <is>
          <t>VÄRMLANDS LÄN</t>
        </is>
      </c>
      <c r="E668" t="inlineStr">
        <is>
          <t>TORSBY</t>
        </is>
      </c>
      <c r="F668" t="inlineStr">
        <is>
          <t>Bergvik skog väst AB</t>
        </is>
      </c>
      <c r="G668" t="n">
        <v>5.2</v>
      </c>
      <c r="H668" t="n">
        <v>0</v>
      </c>
      <c r="I668" t="n">
        <v>0</v>
      </c>
      <c r="J668" t="n">
        <v>0</v>
      </c>
      <c r="K668" t="n">
        <v>0</v>
      </c>
      <c r="L668" t="n">
        <v>0</v>
      </c>
      <c r="M668" t="n">
        <v>0</v>
      </c>
      <c r="N668" t="n">
        <v>0</v>
      </c>
      <c r="O668" t="n">
        <v>0</v>
      </c>
      <c r="P668" t="n">
        <v>0</v>
      </c>
      <c r="Q668" t="n">
        <v>0</v>
      </c>
      <c r="R668" s="2" t="inlineStr"/>
    </row>
    <row r="669" ht="15" customHeight="1">
      <c r="A669" t="inlineStr">
        <is>
          <t>A 66133-2021</t>
        </is>
      </c>
      <c r="B669" s="1" t="n">
        <v>44517</v>
      </c>
      <c r="C669" s="1" t="n">
        <v>45997</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16427-2023</t>
        </is>
      </c>
      <c r="B670" s="1" t="n">
        <v>45022</v>
      </c>
      <c r="C670" s="1" t="n">
        <v>45997</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38100-2024</t>
        </is>
      </c>
      <c r="B671" s="1" t="n">
        <v>45545</v>
      </c>
      <c r="C671" s="1" t="n">
        <v>45997</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3098-2023</t>
        </is>
      </c>
      <c r="B672" s="1" t="n">
        <v>44946.46096064815</v>
      </c>
      <c r="C672" s="1" t="n">
        <v>45997</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3103-2023</t>
        </is>
      </c>
      <c r="B673" s="1" t="n">
        <v>44946</v>
      </c>
      <c r="C673" s="1" t="n">
        <v>45997</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32847-2024</t>
        </is>
      </c>
      <c r="B674" s="1" t="n">
        <v>45516.63021990741</v>
      </c>
      <c r="C674" s="1" t="n">
        <v>45997</v>
      </c>
      <c r="D674" t="inlineStr">
        <is>
          <t>VÄRMLANDS LÄN</t>
        </is>
      </c>
      <c r="E674" t="inlineStr">
        <is>
          <t>TORSBY</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4231-2024</t>
        </is>
      </c>
      <c r="B675" s="1" t="n">
        <v>45324.42771990741</v>
      </c>
      <c r="C675" s="1" t="n">
        <v>45997</v>
      </c>
      <c r="D675" t="inlineStr">
        <is>
          <t>VÄRMLANDS LÄN</t>
        </is>
      </c>
      <c r="E675" t="inlineStr">
        <is>
          <t>TORSBY</t>
        </is>
      </c>
      <c r="G675" t="n">
        <v>3.6</v>
      </c>
      <c r="H675" t="n">
        <v>0</v>
      </c>
      <c r="I675" t="n">
        <v>0</v>
      </c>
      <c r="J675" t="n">
        <v>0</v>
      </c>
      <c r="K675" t="n">
        <v>0</v>
      </c>
      <c r="L675" t="n">
        <v>0</v>
      </c>
      <c r="M675" t="n">
        <v>0</v>
      </c>
      <c r="N675" t="n">
        <v>0</v>
      </c>
      <c r="O675" t="n">
        <v>0</v>
      </c>
      <c r="P675" t="n">
        <v>0</v>
      </c>
      <c r="Q675" t="n">
        <v>0</v>
      </c>
      <c r="R675" s="2" t="inlineStr"/>
    </row>
    <row r="676" ht="15" customHeight="1">
      <c r="A676" t="inlineStr">
        <is>
          <t>A 33848-2023</t>
        </is>
      </c>
      <c r="B676" s="1" t="n">
        <v>45133.68835648148</v>
      </c>
      <c r="C676" s="1" t="n">
        <v>45997</v>
      </c>
      <c r="D676" t="inlineStr">
        <is>
          <t>VÄRMLANDS LÄN</t>
        </is>
      </c>
      <c r="E676" t="inlineStr">
        <is>
          <t>TORSBY</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59005-2024</t>
        </is>
      </c>
      <c r="B677" s="1" t="n">
        <v>45636.65234953703</v>
      </c>
      <c r="C677" s="1" t="n">
        <v>45997</v>
      </c>
      <c r="D677" t="inlineStr">
        <is>
          <t>VÄRMLANDS LÄN</t>
        </is>
      </c>
      <c r="E677" t="inlineStr">
        <is>
          <t>TORSBY</t>
        </is>
      </c>
      <c r="G677" t="n">
        <v>9.6</v>
      </c>
      <c r="H677" t="n">
        <v>0</v>
      </c>
      <c r="I677" t="n">
        <v>0</v>
      </c>
      <c r="J677" t="n">
        <v>0</v>
      </c>
      <c r="K677" t="n">
        <v>0</v>
      </c>
      <c r="L677" t="n">
        <v>0</v>
      </c>
      <c r="M677" t="n">
        <v>0</v>
      </c>
      <c r="N677" t="n">
        <v>0</v>
      </c>
      <c r="O677" t="n">
        <v>0</v>
      </c>
      <c r="P677" t="n">
        <v>0</v>
      </c>
      <c r="Q677" t="n">
        <v>0</v>
      </c>
      <c r="R677" s="2" t="inlineStr"/>
    </row>
    <row r="678" ht="15" customHeight="1">
      <c r="A678" t="inlineStr">
        <is>
          <t>A 55522-2023</t>
        </is>
      </c>
      <c r="B678" s="1" t="n">
        <v>45238</v>
      </c>
      <c r="C678" s="1" t="n">
        <v>45997</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15413-2023</t>
        </is>
      </c>
      <c r="B679" s="1" t="n">
        <v>45019</v>
      </c>
      <c r="C679" s="1" t="n">
        <v>45997</v>
      </c>
      <c r="D679" t="inlineStr">
        <is>
          <t>VÄRMLANDS LÄN</t>
        </is>
      </c>
      <c r="E679" t="inlineStr">
        <is>
          <t>TORSBY</t>
        </is>
      </c>
      <c r="G679" t="n">
        <v>17.1</v>
      </c>
      <c r="H679" t="n">
        <v>0</v>
      </c>
      <c r="I679" t="n">
        <v>0</v>
      </c>
      <c r="J679" t="n">
        <v>0</v>
      </c>
      <c r="K679" t="n">
        <v>0</v>
      </c>
      <c r="L679" t="n">
        <v>0</v>
      </c>
      <c r="M679" t="n">
        <v>0</v>
      </c>
      <c r="N679" t="n">
        <v>0</v>
      </c>
      <c r="O679" t="n">
        <v>0</v>
      </c>
      <c r="P679" t="n">
        <v>0</v>
      </c>
      <c r="Q679" t="n">
        <v>0</v>
      </c>
      <c r="R679" s="2" t="inlineStr"/>
    </row>
    <row r="680" ht="15" customHeight="1">
      <c r="A680" t="inlineStr">
        <is>
          <t>A 15488-2023</t>
        </is>
      </c>
      <c r="B680" s="1" t="n">
        <v>45020</v>
      </c>
      <c r="C680" s="1" t="n">
        <v>45997</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11878-2024</t>
        </is>
      </c>
      <c r="B681" s="1" t="n">
        <v>45376.47877314815</v>
      </c>
      <c r="C681" s="1" t="n">
        <v>45997</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18883-2024</t>
        </is>
      </c>
      <c r="B682" s="1" t="n">
        <v>45426</v>
      </c>
      <c r="C682" s="1" t="n">
        <v>45997</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23843-2024</t>
        </is>
      </c>
      <c r="B683" s="1" t="n">
        <v>45455</v>
      </c>
      <c r="C683" s="1" t="n">
        <v>45997</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7643-2025</t>
        </is>
      </c>
      <c r="B684" s="1" t="n">
        <v>45705.78703703704</v>
      </c>
      <c r="C684" s="1" t="n">
        <v>45997</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4030-2024</t>
        </is>
      </c>
      <c r="B685" s="1" t="n">
        <v>45323</v>
      </c>
      <c r="C685" s="1" t="n">
        <v>45997</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29925-2024</t>
        </is>
      </c>
      <c r="B686" s="1" t="n">
        <v>45488</v>
      </c>
      <c r="C686" s="1" t="n">
        <v>45997</v>
      </c>
      <c r="D686" t="inlineStr">
        <is>
          <t>VÄRMLANDS LÄN</t>
        </is>
      </c>
      <c r="E686" t="inlineStr">
        <is>
          <t>TORSBY</t>
        </is>
      </c>
      <c r="F686" t="inlineStr">
        <is>
          <t>Kyrkan</t>
        </is>
      </c>
      <c r="G686" t="n">
        <v>7.9</v>
      </c>
      <c r="H686" t="n">
        <v>0</v>
      </c>
      <c r="I686" t="n">
        <v>0</v>
      </c>
      <c r="J686" t="n">
        <v>0</v>
      </c>
      <c r="K686" t="n">
        <v>0</v>
      </c>
      <c r="L686" t="n">
        <v>0</v>
      </c>
      <c r="M686" t="n">
        <v>0</v>
      </c>
      <c r="N686" t="n">
        <v>0</v>
      </c>
      <c r="O686" t="n">
        <v>0</v>
      </c>
      <c r="P686" t="n">
        <v>0</v>
      </c>
      <c r="Q686" t="n">
        <v>0</v>
      </c>
      <c r="R686" s="2" t="inlineStr"/>
    </row>
    <row r="687" ht="15" customHeight="1">
      <c r="A687" t="inlineStr">
        <is>
          <t>A 29936-2024</t>
        </is>
      </c>
      <c r="B687" s="1" t="n">
        <v>45488</v>
      </c>
      <c r="C687" s="1" t="n">
        <v>45997</v>
      </c>
      <c r="D687" t="inlineStr">
        <is>
          <t>VÄRMLANDS LÄN</t>
        </is>
      </c>
      <c r="E687" t="inlineStr">
        <is>
          <t>TORSBY</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39648-2023</t>
        </is>
      </c>
      <c r="B688" s="1" t="n">
        <v>45167.5528587963</v>
      </c>
      <c r="C688" s="1" t="n">
        <v>45997</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2797-2025</t>
        </is>
      </c>
      <c r="B689" s="1" t="n">
        <v>45677</v>
      </c>
      <c r="C689" s="1" t="n">
        <v>45997</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62510-2023</t>
        </is>
      </c>
      <c r="B690" s="1" t="n">
        <v>45268.61853009259</v>
      </c>
      <c r="C690" s="1" t="n">
        <v>45997</v>
      </c>
      <c r="D690" t="inlineStr">
        <is>
          <t>VÄRMLANDS LÄN</t>
        </is>
      </c>
      <c r="E690" t="inlineStr">
        <is>
          <t>TORSBY</t>
        </is>
      </c>
      <c r="G690" t="n">
        <v>10.1</v>
      </c>
      <c r="H690" t="n">
        <v>0</v>
      </c>
      <c r="I690" t="n">
        <v>0</v>
      </c>
      <c r="J690" t="n">
        <v>0</v>
      </c>
      <c r="K690" t="n">
        <v>0</v>
      </c>
      <c r="L690" t="n">
        <v>0</v>
      </c>
      <c r="M690" t="n">
        <v>0</v>
      </c>
      <c r="N690" t="n">
        <v>0</v>
      </c>
      <c r="O690" t="n">
        <v>0</v>
      </c>
      <c r="P690" t="n">
        <v>0</v>
      </c>
      <c r="Q690" t="n">
        <v>0</v>
      </c>
      <c r="R690" s="2" t="inlineStr"/>
    </row>
    <row r="691" ht="15" customHeight="1">
      <c r="A691" t="inlineStr">
        <is>
          <t>A 27038-2024</t>
        </is>
      </c>
      <c r="B691" s="1" t="n">
        <v>45471</v>
      </c>
      <c r="C691" s="1" t="n">
        <v>45997</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27045-2024</t>
        </is>
      </c>
      <c r="B692" s="1" t="n">
        <v>45471</v>
      </c>
      <c r="C692" s="1" t="n">
        <v>45997</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27090-2024</t>
        </is>
      </c>
      <c r="B693" s="1" t="n">
        <v>45471</v>
      </c>
      <c r="C693" s="1" t="n">
        <v>45997</v>
      </c>
      <c r="D693" t="inlineStr">
        <is>
          <t>VÄRMLANDS LÄN</t>
        </is>
      </c>
      <c r="E693" t="inlineStr">
        <is>
          <t>TORSBY</t>
        </is>
      </c>
      <c r="G693" t="n">
        <v>0.4</v>
      </c>
      <c r="H693" t="n">
        <v>0</v>
      </c>
      <c r="I693" t="n">
        <v>0</v>
      </c>
      <c r="J693" t="n">
        <v>0</v>
      </c>
      <c r="K693" t="n">
        <v>0</v>
      </c>
      <c r="L693" t="n">
        <v>0</v>
      </c>
      <c r="M693" t="n">
        <v>0</v>
      </c>
      <c r="N693" t="n">
        <v>0</v>
      </c>
      <c r="O693" t="n">
        <v>0</v>
      </c>
      <c r="P693" t="n">
        <v>0</v>
      </c>
      <c r="Q693" t="n">
        <v>0</v>
      </c>
      <c r="R693" s="2" t="inlineStr"/>
    </row>
    <row r="694" ht="15" customHeight="1">
      <c r="A694" t="inlineStr">
        <is>
          <t>A 40573-2024</t>
        </is>
      </c>
      <c r="B694" s="1" t="n">
        <v>45555.69518518518</v>
      </c>
      <c r="C694" s="1" t="n">
        <v>45997</v>
      </c>
      <c r="D694" t="inlineStr">
        <is>
          <t>VÄRMLANDS LÄN</t>
        </is>
      </c>
      <c r="E694" t="inlineStr">
        <is>
          <t>TORSBY</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67172-2021</t>
        </is>
      </c>
      <c r="B695" s="1" t="n">
        <v>44523.4271875</v>
      </c>
      <c r="C695" s="1" t="n">
        <v>45997</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60458-2024</t>
        </is>
      </c>
      <c r="B696" s="1" t="n">
        <v>45643</v>
      </c>
      <c r="C696" s="1" t="n">
        <v>45997</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37238-2024</t>
        </is>
      </c>
      <c r="B697" s="1" t="n">
        <v>45540</v>
      </c>
      <c r="C697" s="1" t="n">
        <v>45997</v>
      </c>
      <c r="D697" t="inlineStr">
        <is>
          <t>VÄRMLANDS LÄN</t>
        </is>
      </c>
      <c r="E697" t="inlineStr">
        <is>
          <t>TORSBY</t>
        </is>
      </c>
      <c r="F697" t="inlineStr">
        <is>
          <t>Bergvik skog väst AB</t>
        </is>
      </c>
      <c r="G697" t="n">
        <v>11.9</v>
      </c>
      <c r="H697" t="n">
        <v>0</v>
      </c>
      <c r="I697" t="n">
        <v>0</v>
      </c>
      <c r="J697" t="n">
        <v>0</v>
      </c>
      <c r="K697" t="n">
        <v>0</v>
      </c>
      <c r="L697" t="n">
        <v>0</v>
      </c>
      <c r="M697" t="n">
        <v>0</v>
      </c>
      <c r="N697" t="n">
        <v>0</v>
      </c>
      <c r="O697" t="n">
        <v>0</v>
      </c>
      <c r="P697" t="n">
        <v>0</v>
      </c>
      <c r="Q697" t="n">
        <v>0</v>
      </c>
      <c r="R697" s="2" t="inlineStr"/>
    </row>
    <row r="698" ht="15" customHeight="1">
      <c r="A698" t="inlineStr">
        <is>
          <t>A 41518-2024</t>
        </is>
      </c>
      <c r="B698" s="1" t="n">
        <v>45560</v>
      </c>
      <c r="C698" s="1" t="n">
        <v>45997</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33429-2024</t>
        </is>
      </c>
      <c r="B699" s="1" t="n">
        <v>45519.52792824074</v>
      </c>
      <c r="C699" s="1" t="n">
        <v>45997</v>
      </c>
      <c r="D699" t="inlineStr">
        <is>
          <t>VÄRMLANDS LÄN</t>
        </is>
      </c>
      <c r="E699" t="inlineStr">
        <is>
          <t>TORSBY</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1911-2022</t>
        </is>
      </c>
      <c r="B700" s="1" t="n">
        <v>44575</v>
      </c>
      <c r="C700" s="1" t="n">
        <v>45997</v>
      </c>
      <c r="D700" t="inlineStr">
        <is>
          <t>VÄRMLANDS LÄN</t>
        </is>
      </c>
      <c r="E700" t="inlineStr">
        <is>
          <t>TORSBY</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10473-2023</t>
        </is>
      </c>
      <c r="B701" s="1" t="n">
        <v>44981</v>
      </c>
      <c r="C701" s="1" t="n">
        <v>45997</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38062-2024</t>
        </is>
      </c>
      <c r="B702" s="1" t="n">
        <v>45544</v>
      </c>
      <c r="C702" s="1" t="n">
        <v>45997</v>
      </c>
      <c r="D702" t="inlineStr">
        <is>
          <t>VÄRMLANDS LÄN</t>
        </is>
      </c>
      <c r="E702" t="inlineStr">
        <is>
          <t>TORSBY</t>
        </is>
      </c>
      <c r="F702" t="inlineStr">
        <is>
          <t>Bergvik skog väst AB</t>
        </is>
      </c>
      <c r="G702" t="n">
        <v>7.9</v>
      </c>
      <c r="H702" t="n">
        <v>0</v>
      </c>
      <c r="I702" t="n">
        <v>0</v>
      </c>
      <c r="J702" t="n">
        <v>0</v>
      </c>
      <c r="K702" t="n">
        <v>0</v>
      </c>
      <c r="L702" t="n">
        <v>0</v>
      </c>
      <c r="M702" t="n">
        <v>0</v>
      </c>
      <c r="N702" t="n">
        <v>0</v>
      </c>
      <c r="O702" t="n">
        <v>0</v>
      </c>
      <c r="P702" t="n">
        <v>0</v>
      </c>
      <c r="Q702" t="n">
        <v>0</v>
      </c>
      <c r="R702" s="2" t="inlineStr"/>
    </row>
    <row r="703" ht="15" customHeight="1">
      <c r="A703" t="inlineStr">
        <is>
          <t>A 42662-2024</t>
        </is>
      </c>
      <c r="B703" s="1" t="n">
        <v>45566</v>
      </c>
      <c r="C703" s="1" t="n">
        <v>45997</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13791-2023</t>
        </is>
      </c>
      <c r="B704" s="1" t="n">
        <v>45005</v>
      </c>
      <c r="C704" s="1" t="n">
        <v>45997</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8197-2025</t>
        </is>
      </c>
      <c r="B705" s="1" t="n">
        <v>45708.4318287037</v>
      </c>
      <c r="C705" s="1" t="n">
        <v>45997</v>
      </c>
      <c r="D705" t="inlineStr">
        <is>
          <t>VÄRMLANDS LÄN</t>
        </is>
      </c>
      <c r="E705" t="inlineStr">
        <is>
          <t>TORSBY</t>
        </is>
      </c>
      <c r="G705" t="n">
        <v>9.6</v>
      </c>
      <c r="H705" t="n">
        <v>0</v>
      </c>
      <c r="I705" t="n">
        <v>0</v>
      </c>
      <c r="J705" t="n">
        <v>0</v>
      </c>
      <c r="K705" t="n">
        <v>0</v>
      </c>
      <c r="L705" t="n">
        <v>0</v>
      </c>
      <c r="M705" t="n">
        <v>0</v>
      </c>
      <c r="N705" t="n">
        <v>0</v>
      </c>
      <c r="O705" t="n">
        <v>0</v>
      </c>
      <c r="P705" t="n">
        <v>0</v>
      </c>
      <c r="Q705" t="n">
        <v>0</v>
      </c>
      <c r="R705" s="2" t="inlineStr"/>
    </row>
    <row r="706" ht="15" customHeight="1">
      <c r="A706" t="inlineStr">
        <is>
          <t>A 2662-2024</t>
        </is>
      </c>
      <c r="B706" s="1" t="n">
        <v>45314.38747685185</v>
      </c>
      <c r="C706" s="1" t="n">
        <v>45997</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25316-2024</t>
        </is>
      </c>
      <c r="B707" s="1" t="n">
        <v>45462</v>
      </c>
      <c r="C707" s="1" t="n">
        <v>45997</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33656-2023</t>
        </is>
      </c>
      <c r="B708" s="1" t="n">
        <v>45132.57922453704</v>
      </c>
      <c r="C708" s="1" t="n">
        <v>45997</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15899-2024</t>
        </is>
      </c>
      <c r="B709" s="1" t="n">
        <v>45405.4034837963</v>
      </c>
      <c r="C709" s="1" t="n">
        <v>45997</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27195-2023</t>
        </is>
      </c>
      <c r="B710" s="1" t="n">
        <v>45096</v>
      </c>
      <c r="C710" s="1" t="n">
        <v>45997</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21757-2024</t>
        </is>
      </c>
      <c r="B711" s="1" t="n">
        <v>45442</v>
      </c>
      <c r="C711" s="1" t="n">
        <v>45997</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1803-2024</t>
        </is>
      </c>
      <c r="B712" s="1" t="n">
        <v>45307</v>
      </c>
      <c r="C712" s="1" t="n">
        <v>45997</v>
      </c>
      <c r="D712" t="inlineStr">
        <is>
          <t>VÄRMLANDS LÄN</t>
        </is>
      </c>
      <c r="E712" t="inlineStr">
        <is>
          <t>TORSBY</t>
        </is>
      </c>
      <c r="G712" t="n">
        <v>12.9</v>
      </c>
      <c r="H712" t="n">
        <v>0</v>
      </c>
      <c r="I712" t="n">
        <v>0</v>
      </c>
      <c r="J712" t="n">
        <v>0</v>
      </c>
      <c r="K712" t="n">
        <v>0</v>
      </c>
      <c r="L712" t="n">
        <v>0</v>
      </c>
      <c r="M712" t="n">
        <v>0</v>
      </c>
      <c r="N712" t="n">
        <v>0</v>
      </c>
      <c r="O712" t="n">
        <v>0</v>
      </c>
      <c r="P712" t="n">
        <v>0</v>
      </c>
      <c r="Q712" t="n">
        <v>0</v>
      </c>
      <c r="R712" s="2" t="inlineStr"/>
    </row>
    <row r="713" ht="15" customHeight="1">
      <c r="A713" t="inlineStr">
        <is>
          <t>A 30110-2023</t>
        </is>
      </c>
      <c r="B713" s="1" t="n">
        <v>45110</v>
      </c>
      <c r="C713" s="1" t="n">
        <v>45997</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34697-2024</t>
        </is>
      </c>
      <c r="B714" s="1" t="n">
        <v>45526.55518518519</v>
      </c>
      <c r="C714" s="1" t="n">
        <v>45997</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36419-2024</t>
        </is>
      </c>
      <c r="B715" s="1" t="n">
        <v>45536.58380787037</v>
      </c>
      <c r="C715" s="1" t="n">
        <v>45997</v>
      </c>
      <c r="D715" t="inlineStr">
        <is>
          <t>VÄRMLANDS LÄN</t>
        </is>
      </c>
      <c r="E715" t="inlineStr">
        <is>
          <t>TORSBY</t>
        </is>
      </c>
      <c r="G715" t="n">
        <v>8.9</v>
      </c>
      <c r="H715" t="n">
        <v>0</v>
      </c>
      <c r="I715" t="n">
        <v>0</v>
      </c>
      <c r="J715" t="n">
        <v>0</v>
      </c>
      <c r="K715" t="n">
        <v>0</v>
      </c>
      <c r="L715" t="n">
        <v>0</v>
      </c>
      <c r="M715" t="n">
        <v>0</v>
      </c>
      <c r="N715" t="n">
        <v>0</v>
      </c>
      <c r="O715" t="n">
        <v>0</v>
      </c>
      <c r="P715" t="n">
        <v>0</v>
      </c>
      <c r="Q715" t="n">
        <v>0</v>
      </c>
      <c r="R715" s="2" t="inlineStr"/>
    </row>
    <row r="716" ht="15" customHeight="1">
      <c r="A716" t="inlineStr">
        <is>
          <t>A 32845-2024</t>
        </is>
      </c>
      <c r="B716" s="1" t="n">
        <v>45516.62422453704</v>
      </c>
      <c r="C716" s="1" t="n">
        <v>45997</v>
      </c>
      <c r="D716" t="inlineStr">
        <is>
          <t>VÄRMLANDS LÄN</t>
        </is>
      </c>
      <c r="E716" t="inlineStr">
        <is>
          <t>TORSBY</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26166-2024</t>
        </is>
      </c>
      <c r="B717" s="1" t="n">
        <v>45468.55357638889</v>
      </c>
      <c r="C717" s="1" t="n">
        <v>45997</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4537-2025</t>
        </is>
      </c>
      <c r="B718" s="1" t="n">
        <v>45687.38836805556</v>
      </c>
      <c r="C718" s="1" t="n">
        <v>45997</v>
      </c>
      <c r="D718" t="inlineStr">
        <is>
          <t>VÄRMLANDS LÄN</t>
        </is>
      </c>
      <c r="E718" t="inlineStr">
        <is>
          <t>TORSBY</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27588-2024</t>
        </is>
      </c>
      <c r="B719" s="1" t="n">
        <v>45474</v>
      </c>
      <c r="C719" s="1" t="n">
        <v>45997</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43037-2024</t>
        </is>
      </c>
      <c r="B720" s="1" t="n">
        <v>45567</v>
      </c>
      <c r="C720" s="1" t="n">
        <v>45997</v>
      </c>
      <c r="D720" t="inlineStr">
        <is>
          <t>VÄRMLANDS LÄN</t>
        </is>
      </c>
      <c r="E720" t="inlineStr">
        <is>
          <t>TORSBY</t>
        </is>
      </c>
      <c r="F720" t="inlineStr">
        <is>
          <t>Bergvik skog väst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24639-2023</t>
        </is>
      </c>
      <c r="B721" s="1" t="n">
        <v>45084</v>
      </c>
      <c r="C721" s="1" t="n">
        <v>45997</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33133-2024</t>
        </is>
      </c>
      <c r="B722" s="1" t="n">
        <v>45518.31722222222</v>
      </c>
      <c r="C722" s="1" t="n">
        <v>45997</v>
      </c>
      <c r="D722" t="inlineStr">
        <is>
          <t>VÄRMLANDS LÄN</t>
        </is>
      </c>
      <c r="E722" t="inlineStr">
        <is>
          <t>TORSBY</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52809-2024</t>
        </is>
      </c>
      <c r="B723" s="1" t="n">
        <v>45610</v>
      </c>
      <c r="C723" s="1" t="n">
        <v>45997</v>
      </c>
      <c r="D723" t="inlineStr">
        <is>
          <t>VÄRMLANDS LÄN</t>
        </is>
      </c>
      <c r="E723" t="inlineStr">
        <is>
          <t>TORSBY</t>
        </is>
      </c>
      <c r="G723" t="n">
        <v>4.5</v>
      </c>
      <c r="H723" t="n">
        <v>0</v>
      </c>
      <c r="I723" t="n">
        <v>0</v>
      </c>
      <c r="J723" t="n">
        <v>0</v>
      </c>
      <c r="K723" t="n">
        <v>0</v>
      </c>
      <c r="L723" t="n">
        <v>0</v>
      </c>
      <c r="M723" t="n">
        <v>0</v>
      </c>
      <c r="N723" t="n">
        <v>0</v>
      </c>
      <c r="O723" t="n">
        <v>0</v>
      </c>
      <c r="P723" t="n">
        <v>0</v>
      </c>
      <c r="Q723" t="n">
        <v>0</v>
      </c>
      <c r="R723" s="2" t="inlineStr"/>
    </row>
    <row r="724" ht="15" customHeight="1">
      <c r="A724" t="inlineStr">
        <is>
          <t>A 24995-2024</t>
        </is>
      </c>
      <c r="B724" s="1" t="n">
        <v>45461</v>
      </c>
      <c r="C724" s="1" t="n">
        <v>45997</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423-2024</t>
        </is>
      </c>
      <c r="B725" s="1" t="n">
        <v>45296.53034722222</v>
      </c>
      <c r="C725" s="1" t="n">
        <v>45997</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11395-2025</t>
        </is>
      </c>
      <c r="B726" s="1" t="n">
        <v>45726.5728125</v>
      </c>
      <c r="C726" s="1" t="n">
        <v>45997</v>
      </c>
      <c r="D726" t="inlineStr">
        <is>
          <t>VÄRMLANDS LÄN</t>
        </is>
      </c>
      <c r="E726" t="inlineStr">
        <is>
          <t>TORSBY</t>
        </is>
      </c>
      <c r="G726" t="n">
        <v>25.3</v>
      </c>
      <c r="H726" t="n">
        <v>0</v>
      </c>
      <c r="I726" t="n">
        <v>0</v>
      </c>
      <c r="J726" t="n">
        <v>0</v>
      </c>
      <c r="K726" t="n">
        <v>0</v>
      </c>
      <c r="L726" t="n">
        <v>0</v>
      </c>
      <c r="M726" t="n">
        <v>0</v>
      </c>
      <c r="N726" t="n">
        <v>0</v>
      </c>
      <c r="O726" t="n">
        <v>0</v>
      </c>
      <c r="P726" t="n">
        <v>0</v>
      </c>
      <c r="Q726" t="n">
        <v>0</v>
      </c>
      <c r="R726" s="2" t="inlineStr"/>
    </row>
    <row r="727" ht="15" customHeight="1">
      <c r="A727" t="inlineStr">
        <is>
          <t>A 10583-2023</t>
        </is>
      </c>
      <c r="B727" s="1" t="n">
        <v>44988.36435185185</v>
      </c>
      <c r="C727" s="1" t="n">
        <v>45997</v>
      </c>
      <c r="D727" t="inlineStr">
        <is>
          <t>VÄRMLANDS LÄN</t>
        </is>
      </c>
      <c r="E727" t="inlineStr">
        <is>
          <t>TORSBY</t>
        </is>
      </c>
      <c r="G727" t="n">
        <v>3.6</v>
      </c>
      <c r="H727" t="n">
        <v>0</v>
      </c>
      <c r="I727" t="n">
        <v>0</v>
      </c>
      <c r="J727" t="n">
        <v>0</v>
      </c>
      <c r="K727" t="n">
        <v>0</v>
      </c>
      <c r="L727" t="n">
        <v>0</v>
      </c>
      <c r="M727" t="n">
        <v>0</v>
      </c>
      <c r="N727" t="n">
        <v>0</v>
      </c>
      <c r="O727" t="n">
        <v>0</v>
      </c>
      <c r="P727" t="n">
        <v>0</v>
      </c>
      <c r="Q727" t="n">
        <v>0</v>
      </c>
      <c r="R727" s="2" t="inlineStr"/>
    </row>
    <row r="728" ht="15" customHeight="1">
      <c r="A728" t="inlineStr">
        <is>
          <t>A 15315-2024</t>
        </is>
      </c>
      <c r="B728" s="1" t="n">
        <v>45400</v>
      </c>
      <c r="C728" s="1" t="n">
        <v>45997</v>
      </c>
      <c r="D728" t="inlineStr">
        <is>
          <t>VÄRMLANDS LÄN</t>
        </is>
      </c>
      <c r="E728" t="inlineStr">
        <is>
          <t>TORSBY</t>
        </is>
      </c>
      <c r="G728" t="n">
        <v>3.6</v>
      </c>
      <c r="H728" t="n">
        <v>0</v>
      </c>
      <c r="I728" t="n">
        <v>0</v>
      </c>
      <c r="J728" t="n">
        <v>0</v>
      </c>
      <c r="K728" t="n">
        <v>0</v>
      </c>
      <c r="L728" t="n">
        <v>0</v>
      </c>
      <c r="M728" t="n">
        <v>0</v>
      </c>
      <c r="N728" t="n">
        <v>0</v>
      </c>
      <c r="O728" t="n">
        <v>0</v>
      </c>
      <c r="P728" t="n">
        <v>0</v>
      </c>
      <c r="Q728" t="n">
        <v>0</v>
      </c>
      <c r="R728" s="2" t="inlineStr"/>
    </row>
    <row r="729" ht="15" customHeight="1">
      <c r="A729" t="inlineStr">
        <is>
          <t>A 49298-2024</t>
        </is>
      </c>
      <c r="B729" s="1" t="n">
        <v>45595.54357638889</v>
      </c>
      <c r="C729" s="1" t="n">
        <v>45997</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53381-2022</t>
        </is>
      </c>
      <c r="B730" s="1" t="n">
        <v>44879</v>
      </c>
      <c r="C730" s="1" t="n">
        <v>45997</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66194-2020</t>
        </is>
      </c>
      <c r="B731" s="1" t="n">
        <v>44175</v>
      </c>
      <c r="C731" s="1" t="n">
        <v>45997</v>
      </c>
      <c r="D731" t="inlineStr">
        <is>
          <t>VÄRMLANDS LÄN</t>
        </is>
      </c>
      <c r="E731" t="inlineStr">
        <is>
          <t>TORSBY</t>
        </is>
      </c>
      <c r="F731" t="inlineStr">
        <is>
          <t>Bergvik skog väst AB</t>
        </is>
      </c>
      <c r="G731" t="n">
        <v>18.4</v>
      </c>
      <c r="H731" t="n">
        <v>0</v>
      </c>
      <c r="I731" t="n">
        <v>0</v>
      </c>
      <c r="J731" t="n">
        <v>0</v>
      </c>
      <c r="K731" t="n">
        <v>0</v>
      </c>
      <c r="L731" t="n">
        <v>0</v>
      </c>
      <c r="M731" t="n">
        <v>0</v>
      </c>
      <c r="N731" t="n">
        <v>0</v>
      </c>
      <c r="O731" t="n">
        <v>0</v>
      </c>
      <c r="P731" t="n">
        <v>0</v>
      </c>
      <c r="Q731" t="n">
        <v>0</v>
      </c>
      <c r="R731" s="2" t="inlineStr"/>
    </row>
    <row r="732" ht="15" customHeight="1">
      <c r="A732" t="inlineStr">
        <is>
          <t>A 32138-2024</t>
        </is>
      </c>
      <c r="B732" s="1" t="n">
        <v>45511</v>
      </c>
      <c r="C732" s="1" t="n">
        <v>45997</v>
      </c>
      <c r="D732" t="inlineStr">
        <is>
          <t>VÄRMLANDS LÄN</t>
        </is>
      </c>
      <c r="E732" t="inlineStr">
        <is>
          <t>TORSBY</t>
        </is>
      </c>
      <c r="F732" t="inlineStr">
        <is>
          <t>Bergvik skog väst AB</t>
        </is>
      </c>
      <c r="G732" t="n">
        <v>26.3</v>
      </c>
      <c r="H732" t="n">
        <v>0</v>
      </c>
      <c r="I732" t="n">
        <v>0</v>
      </c>
      <c r="J732" t="n">
        <v>0</v>
      </c>
      <c r="K732" t="n">
        <v>0</v>
      </c>
      <c r="L732" t="n">
        <v>0</v>
      </c>
      <c r="M732" t="n">
        <v>0</v>
      </c>
      <c r="N732" t="n">
        <v>0</v>
      </c>
      <c r="O732" t="n">
        <v>0</v>
      </c>
      <c r="P732" t="n">
        <v>0</v>
      </c>
      <c r="Q732" t="n">
        <v>0</v>
      </c>
      <c r="R732" s="2" t="inlineStr"/>
    </row>
    <row r="733" ht="15" customHeight="1">
      <c r="A733" t="inlineStr">
        <is>
          <t>A 44659-2024</t>
        </is>
      </c>
      <c r="B733" s="1" t="n">
        <v>45574</v>
      </c>
      <c r="C733" s="1" t="n">
        <v>45997</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57785-2024</t>
        </is>
      </c>
      <c r="B734" s="1" t="n">
        <v>45631</v>
      </c>
      <c r="C734" s="1" t="n">
        <v>45997</v>
      </c>
      <c r="D734" t="inlineStr">
        <is>
          <t>VÄRMLANDS LÄN</t>
        </is>
      </c>
      <c r="E734" t="inlineStr">
        <is>
          <t>TORSBY</t>
        </is>
      </c>
      <c r="F734" t="inlineStr">
        <is>
          <t>Bergvik skog väst AB</t>
        </is>
      </c>
      <c r="G734" t="n">
        <v>10.9</v>
      </c>
      <c r="H734" t="n">
        <v>0</v>
      </c>
      <c r="I734" t="n">
        <v>0</v>
      </c>
      <c r="J734" t="n">
        <v>0</v>
      </c>
      <c r="K734" t="n">
        <v>0</v>
      </c>
      <c r="L734" t="n">
        <v>0</v>
      </c>
      <c r="M734" t="n">
        <v>0</v>
      </c>
      <c r="N734" t="n">
        <v>0</v>
      </c>
      <c r="O734" t="n">
        <v>0</v>
      </c>
      <c r="P734" t="n">
        <v>0</v>
      </c>
      <c r="Q734" t="n">
        <v>0</v>
      </c>
      <c r="R734" s="2" t="inlineStr"/>
    </row>
    <row r="735" ht="15" customHeight="1">
      <c r="A735" t="inlineStr">
        <is>
          <t>A 60385-2024</t>
        </is>
      </c>
      <c r="B735" s="1" t="n">
        <v>45643</v>
      </c>
      <c r="C735" s="1" t="n">
        <v>45997</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739-2022</t>
        </is>
      </c>
      <c r="B736" s="1" t="n">
        <v>44568</v>
      </c>
      <c r="C736" s="1" t="n">
        <v>45997</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38486-2022</t>
        </is>
      </c>
      <c r="B737" s="1" t="n">
        <v>44813</v>
      </c>
      <c r="C737" s="1" t="n">
        <v>45997</v>
      </c>
      <c r="D737" t="inlineStr">
        <is>
          <t>VÄRMLANDS LÄN</t>
        </is>
      </c>
      <c r="E737" t="inlineStr">
        <is>
          <t>TORSBY</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6111-2021</t>
        </is>
      </c>
      <c r="B738" s="1" t="n">
        <v>44232</v>
      </c>
      <c r="C738" s="1" t="n">
        <v>45997</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53331-2024</t>
        </is>
      </c>
      <c r="B739" s="1" t="n">
        <v>45614</v>
      </c>
      <c r="C739" s="1" t="n">
        <v>45997</v>
      </c>
      <c r="D739" t="inlineStr">
        <is>
          <t>VÄRMLANDS LÄN</t>
        </is>
      </c>
      <c r="E739" t="inlineStr">
        <is>
          <t>TORSBY</t>
        </is>
      </c>
      <c r="F739" t="inlineStr">
        <is>
          <t>Bergvik skog väst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8012-2023</t>
        </is>
      </c>
      <c r="B740" s="1" t="n">
        <v>44973</v>
      </c>
      <c r="C740" s="1" t="n">
        <v>45997</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39075-2024</t>
        </is>
      </c>
      <c r="B741" s="1" t="n">
        <v>45548</v>
      </c>
      <c r="C741" s="1" t="n">
        <v>45997</v>
      </c>
      <c r="D741" t="inlineStr">
        <is>
          <t>VÄRMLANDS LÄN</t>
        </is>
      </c>
      <c r="E741" t="inlineStr">
        <is>
          <t>TORSBY</t>
        </is>
      </c>
      <c r="G741" t="n">
        <v>5.8</v>
      </c>
      <c r="H741" t="n">
        <v>0</v>
      </c>
      <c r="I741" t="n">
        <v>0</v>
      </c>
      <c r="J741" t="n">
        <v>0</v>
      </c>
      <c r="K741" t="n">
        <v>0</v>
      </c>
      <c r="L741" t="n">
        <v>0</v>
      </c>
      <c r="M741" t="n">
        <v>0</v>
      </c>
      <c r="N741" t="n">
        <v>0</v>
      </c>
      <c r="O741" t="n">
        <v>0</v>
      </c>
      <c r="P741" t="n">
        <v>0</v>
      </c>
      <c r="Q741" t="n">
        <v>0</v>
      </c>
      <c r="R741" s="2" t="inlineStr"/>
    </row>
    <row r="742" ht="15" customHeight="1">
      <c r="A742" t="inlineStr">
        <is>
          <t>A 15992-2023</t>
        </is>
      </c>
      <c r="B742" s="1" t="n">
        <v>45023.5066087963</v>
      </c>
      <c r="C742" s="1" t="n">
        <v>45997</v>
      </c>
      <c r="D742" t="inlineStr">
        <is>
          <t>VÄRMLANDS LÄN</t>
        </is>
      </c>
      <c r="E742" t="inlineStr">
        <is>
          <t>TORSBY</t>
        </is>
      </c>
      <c r="G742" t="n">
        <v>5.4</v>
      </c>
      <c r="H742" t="n">
        <v>0</v>
      </c>
      <c r="I742" t="n">
        <v>0</v>
      </c>
      <c r="J742" t="n">
        <v>0</v>
      </c>
      <c r="K742" t="n">
        <v>0</v>
      </c>
      <c r="L742" t="n">
        <v>0</v>
      </c>
      <c r="M742" t="n">
        <v>0</v>
      </c>
      <c r="N742" t="n">
        <v>0</v>
      </c>
      <c r="O742" t="n">
        <v>0</v>
      </c>
      <c r="P742" t="n">
        <v>0</v>
      </c>
      <c r="Q742" t="n">
        <v>0</v>
      </c>
      <c r="R742" s="2" t="inlineStr"/>
    </row>
    <row r="743" ht="15" customHeight="1">
      <c r="A743" t="inlineStr">
        <is>
          <t>A 16044-2023</t>
        </is>
      </c>
      <c r="B743" s="1" t="n">
        <v>45027</v>
      </c>
      <c r="C743" s="1" t="n">
        <v>45997</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15083-2024</t>
        </is>
      </c>
      <c r="B744" s="1" t="n">
        <v>45399.63163194444</v>
      </c>
      <c r="C744" s="1" t="n">
        <v>45997</v>
      </c>
      <c r="D744" t="inlineStr">
        <is>
          <t>VÄRMLANDS LÄN</t>
        </is>
      </c>
      <c r="E744" t="inlineStr">
        <is>
          <t>TORSBY</t>
        </is>
      </c>
      <c r="G744" t="n">
        <v>2.8</v>
      </c>
      <c r="H744" t="n">
        <v>0</v>
      </c>
      <c r="I744" t="n">
        <v>0</v>
      </c>
      <c r="J744" t="n">
        <v>0</v>
      </c>
      <c r="K744" t="n">
        <v>0</v>
      </c>
      <c r="L744" t="n">
        <v>0</v>
      </c>
      <c r="M744" t="n">
        <v>0</v>
      </c>
      <c r="N744" t="n">
        <v>0</v>
      </c>
      <c r="O744" t="n">
        <v>0</v>
      </c>
      <c r="P744" t="n">
        <v>0</v>
      </c>
      <c r="Q744" t="n">
        <v>0</v>
      </c>
      <c r="R744" s="2" t="inlineStr"/>
    </row>
    <row r="745" ht="15" customHeight="1">
      <c r="A745" t="inlineStr">
        <is>
          <t>A 15274-2024</t>
        </is>
      </c>
      <c r="B745" s="1" t="n">
        <v>45400.58201388889</v>
      </c>
      <c r="C745" s="1" t="n">
        <v>45997</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56101-2024</t>
        </is>
      </c>
      <c r="B746" s="1" t="n">
        <v>45624</v>
      </c>
      <c r="C746" s="1" t="n">
        <v>45997</v>
      </c>
      <c r="D746" t="inlineStr">
        <is>
          <t>VÄRMLANDS LÄN</t>
        </is>
      </c>
      <c r="E746" t="inlineStr">
        <is>
          <t>TORSBY</t>
        </is>
      </c>
      <c r="G746" t="n">
        <v>3.2</v>
      </c>
      <c r="H746" t="n">
        <v>0</v>
      </c>
      <c r="I746" t="n">
        <v>0</v>
      </c>
      <c r="J746" t="n">
        <v>0</v>
      </c>
      <c r="K746" t="n">
        <v>0</v>
      </c>
      <c r="L746" t="n">
        <v>0</v>
      </c>
      <c r="M746" t="n">
        <v>0</v>
      </c>
      <c r="N746" t="n">
        <v>0</v>
      </c>
      <c r="O746" t="n">
        <v>0</v>
      </c>
      <c r="P746" t="n">
        <v>0</v>
      </c>
      <c r="Q746" t="n">
        <v>0</v>
      </c>
      <c r="R746" s="2" t="inlineStr"/>
    </row>
    <row r="747" ht="15" customHeight="1">
      <c r="A747" t="inlineStr">
        <is>
          <t>A 48540-2024</t>
        </is>
      </c>
      <c r="B747" s="1" t="n">
        <v>45593</v>
      </c>
      <c r="C747" s="1" t="n">
        <v>45997</v>
      </c>
      <c r="D747" t="inlineStr">
        <is>
          <t>VÄRMLANDS LÄN</t>
        </is>
      </c>
      <c r="E747" t="inlineStr">
        <is>
          <t>TORSBY</t>
        </is>
      </c>
      <c r="G747" t="n">
        <v>16.5</v>
      </c>
      <c r="H747" t="n">
        <v>0</v>
      </c>
      <c r="I747" t="n">
        <v>0</v>
      </c>
      <c r="J747" t="n">
        <v>0</v>
      </c>
      <c r="K747" t="n">
        <v>0</v>
      </c>
      <c r="L747" t="n">
        <v>0</v>
      </c>
      <c r="M747" t="n">
        <v>0</v>
      </c>
      <c r="N747" t="n">
        <v>0</v>
      </c>
      <c r="O747" t="n">
        <v>0</v>
      </c>
      <c r="P747" t="n">
        <v>0</v>
      </c>
      <c r="Q747" t="n">
        <v>0</v>
      </c>
      <c r="R747" s="2" t="inlineStr"/>
    </row>
    <row r="748" ht="15" customHeight="1">
      <c r="A748" t="inlineStr">
        <is>
          <t>A 54618-2024</t>
        </is>
      </c>
      <c r="B748" s="1" t="n">
        <v>45617</v>
      </c>
      <c r="C748" s="1" t="n">
        <v>45997</v>
      </c>
      <c r="D748" t="inlineStr">
        <is>
          <t>VÄRMLANDS LÄN</t>
        </is>
      </c>
      <c r="E748" t="inlineStr">
        <is>
          <t>TORSBY</t>
        </is>
      </c>
      <c r="F748" t="inlineStr">
        <is>
          <t>Kommuner</t>
        </is>
      </c>
      <c r="G748" t="n">
        <v>1.2</v>
      </c>
      <c r="H748" t="n">
        <v>0</v>
      </c>
      <c r="I748" t="n">
        <v>0</v>
      </c>
      <c r="J748" t="n">
        <v>0</v>
      </c>
      <c r="K748" t="n">
        <v>0</v>
      </c>
      <c r="L748" t="n">
        <v>0</v>
      </c>
      <c r="M748" t="n">
        <v>0</v>
      </c>
      <c r="N748" t="n">
        <v>0</v>
      </c>
      <c r="O748" t="n">
        <v>0</v>
      </c>
      <c r="P748" t="n">
        <v>0</v>
      </c>
      <c r="Q748" t="n">
        <v>0</v>
      </c>
      <c r="R748" s="2" t="inlineStr"/>
    </row>
    <row r="749" ht="15" customHeight="1">
      <c r="A749" t="inlineStr">
        <is>
          <t>A 21094-2022</t>
        </is>
      </c>
      <c r="B749" s="1" t="n">
        <v>44704</v>
      </c>
      <c r="C749" s="1" t="n">
        <v>45997</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20872-2024</t>
        </is>
      </c>
      <c r="B750" s="1" t="n">
        <v>45439.44173611111</v>
      </c>
      <c r="C750" s="1" t="n">
        <v>45997</v>
      </c>
      <c r="D750" t="inlineStr">
        <is>
          <t>VÄRMLANDS LÄN</t>
        </is>
      </c>
      <c r="E750" t="inlineStr">
        <is>
          <t>TORSBY</t>
        </is>
      </c>
      <c r="G750" t="n">
        <v>7.4</v>
      </c>
      <c r="H750" t="n">
        <v>0</v>
      </c>
      <c r="I750" t="n">
        <v>0</v>
      </c>
      <c r="J750" t="n">
        <v>0</v>
      </c>
      <c r="K750" t="n">
        <v>0</v>
      </c>
      <c r="L750" t="n">
        <v>0</v>
      </c>
      <c r="M750" t="n">
        <v>0</v>
      </c>
      <c r="N750" t="n">
        <v>0</v>
      </c>
      <c r="O750" t="n">
        <v>0</v>
      </c>
      <c r="P750" t="n">
        <v>0</v>
      </c>
      <c r="Q750" t="n">
        <v>0</v>
      </c>
      <c r="R750" s="2" t="inlineStr"/>
    </row>
    <row r="751" ht="15" customHeight="1">
      <c r="A751" t="inlineStr">
        <is>
          <t>A 18354-2021</t>
        </is>
      </c>
      <c r="B751" s="1" t="n">
        <v>44305.56186342592</v>
      </c>
      <c r="C751" s="1" t="n">
        <v>45997</v>
      </c>
      <c r="D751" t="inlineStr">
        <is>
          <t>VÄRMLANDS LÄN</t>
        </is>
      </c>
      <c r="E751" t="inlineStr">
        <is>
          <t>TORSBY</t>
        </is>
      </c>
      <c r="F751" t="inlineStr">
        <is>
          <t>Kommuner</t>
        </is>
      </c>
      <c r="G751" t="n">
        <v>2.4</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45997</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37357-2023</t>
        </is>
      </c>
      <c r="B753" s="1" t="n">
        <v>45156.48006944444</v>
      </c>
      <c r="C753" s="1" t="n">
        <v>45997</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58386-2023</t>
        </is>
      </c>
      <c r="B754" s="1" t="n">
        <v>45250</v>
      </c>
      <c r="C754" s="1" t="n">
        <v>45997</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21390-2023</t>
        </is>
      </c>
      <c r="B755" s="1" t="n">
        <v>45063</v>
      </c>
      <c r="C755" s="1" t="n">
        <v>45997</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21409-2023</t>
        </is>
      </c>
      <c r="B756" s="1" t="n">
        <v>45063</v>
      </c>
      <c r="C756" s="1" t="n">
        <v>45997</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34164-2024</t>
        </is>
      </c>
      <c r="B757" s="1" t="n">
        <v>45524.41924768518</v>
      </c>
      <c r="C757" s="1" t="n">
        <v>45997</v>
      </c>
      <c r="D757" t="inlineStr">
        <is>
          <t>VÄRMLANDS LÄN</t>
        </is>
      </c>
      <c r="E757" t="inlineStr">
        <is>
          <t>TORSBY</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17898-2023</t>
        </is>
      </c>
      <c r="B758" s="1" t="n">
        <v>45039.72086805556</v>
      </c>
      <c r="C758" s="1" t="n">
        <v>45997</v>
      </c>
      <c r="D758" t="inlineStr">
        <is>
          <t>VÄRMLANDS LÄN</t>
        </is>
      </c>
      <c r="E758" t="inlineStr">
        <is>
          <t>TORSBY</t>
        </is>
      </c>
      <c r="G758" t="n">
        <v>0.3</v>
      </c>
      <c r="H758" t="n">
        <v>0</v>
      </c>
      <c r="I758" t="n">
        <v>0</v>
      </c>
      <c r="J758" t="n">
        <v>0</v>
      </c>
      <c r="K758" t="n">
        <v>0</v>
      </c>
      <c r="L758" t="n">
        <v>0</v>
      </c>
      <c r="M758" t="n">
        <v>0</v>
      </c>
      <c r="N758" t="n">
        <v>0</v>
      </c>
      <c r="O758" t="n">
        <v>0</v>
      </c>
      <c r="P758" t="n">
        <v>0</v>
      </c>
      <c r="Q758" t="n">
        <v>0</v>
      </c>
      <c r="R758" s="2" t="inlineStr"/>
    </row>
    <row r="759" ht="15" customHeight="1">
      <c r="A759" t="inlineStr">
        <is>
          <t>A 42945-2024</t>
        </is>
      </c>
      <c r="B759" s="1" t="n">
        <v>45567</v>
      </c>
      <c r="C759" s="1" t="n">
        <v>45997</v>
      </c>
      <c r="D759" t="inlineStr">
        <is>
          <t>VÄRMLANDS LÄN</t>
        </is>
      </c>
      <c r="E759" t="inlineStr">
        <is>
          <t>TORSBY</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8048-2022</t>
        </is>
      </c>
      <c r="B760" s="1" t="n">
        <v>44609</v>
      </c>
      <c r="C760" s="1" t="n">
        <v>45997</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23044-2024</t>
        </is>
      </c>
      <c r="B761" s="1" t="n">
        <v>45450</v>
      </c>
      <c r="C761" s="1" t="n">
        <v>45997</v>
      </c>
      <c r="D761" t="inlineStr">
        <is>
          <t>VÄRMLANDS LÄN</t>
        </is>
      </c>
      <c r="E761" t="inlineStr">
        <is>
          <t>TORSBY</t>
        </is>
      </c>
      <c r="G761" t="n">
        <v>2.9</v>
      </c>
      <c r="H761" t="n">
        <v>0</v>
      </c>
      <c r="I761" t="n">
        <v>0</v>
      </c>
      <c r="J761" t="n">
        <v>0</v>
      </c>
      <c r="K761" t="n">
        <v>0</v>
      </c>
      <c r="L761" t="n">
        <v>0</v>
      </c>
      <c r="M761" t="n">
        <v>0</v>
      </c>
      <c r="N761" t="n">
        <v>0</v>
      </c>
      <c r="O761" t="n">
        <v>0</v>
      </c>
      <c r="P761" t="n">
        <v>0</v>
      </c>
      <c r="Q761" t="n">
        <v>0</v>
      </c>
      <c r="R761" s="2" t="inlineStr"/>
    </row>
    <row r="762" ht="15" customHeight="1">
      <c r="A762" t="inlineStr">
        <is>
          <t>A 24182-2024</t>
        </is>
      </c>
      <c r="B762" s="1" t="n">
        <v>45456</v>
      </c>
      <c r="C762" s="1" t="n">
        <v>45997</v>
      </c>
      <c r="D762" t="inlineStr">
        <is>
          <t>VÄRMLANDS LÄN</t>
        </is>
      </c>
      <c r="E762" t="inlineStr">
        <is>
          <t>TORSBY</t>
        </is>
      </c>
      <c r="F762" t="inlineStr">
        <is>
          <t>Bergvik skog väst AB</t>
        </is>
      </c>
      <c r="G762" t="n">
        <v>28.9</v>
      </c>
      <c r="H762" t="n">
        <v>0</v>
      </c>
      <c r="I762" t="n">
        <v>0</v>
      </c>
      <c r="J762" t="n">
        <v>0</v>
      </c>
      <c r="K762" t="n">
        <v>0</v>
      </c>
      <c r="L762" t="n">
        <v>0</v>
      </c>
      <c r="M762" t="n">
        <v>0</v>
      </c>
      <c r="N762" t="n">
        <v>0</v>
      </c>
      <c r="O762" t="n">
        <v>0</v>
      </c>
      <c r="P762" t="n">
        <v>0</v>
      </c>
      <c r="Q762" t="n">
        <v>0</v>
      </c>
      <c r="R762" s="2" t="inlineStr"/>
    </row>
    <row r="763" ht="15" customHeight="1">
      <c r="A763" t="inlineStr">
        <is>
          <t>A 24708-2024</t>
        </is>
      </c>
      <c r="B763" s="1" t="n">
        <v>45460</v>
      </c>
      <c r="C763" s="1" t="n">
        <v>45997</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40788-2022</t>
        </is>
      </c>
      <c r="B764" s="1" t="n">
        <v>44824</v>
      </c>
      <c r="C764" s="1" t="n">
        <v>45997</v>
      </c>
      <c r="D764" t="inlineStr">
        <is>
          <t>VÄRMLANDS LÄN</t>
        </is>
      </c>
      <c r="E764" t="inlineStr">
        <is>
          <t>TORSBY</t>
        </is>
      </c>
      <c r="G764" t="n">
        <v>3.8</v>
      </c>
      <c r="H764" t="n">
        <v>0</v>
      </c>
      <c r="I764" t="n">
        <v>0</v>
      </c>
      <c r="J764" t="n">
        <v>0</v>
      </c>
      <c r="K764" t="n">
        <v>0</v>
      </c>
      <c r="L764" t="n">
        <v>0</v>
      </c>
      <c r="M764" t="n">
        <v>0</v>
      </c>
      <c r="N764" t="n">
        <v>0</v>
      </c>
      <c r="O764" t="n">
        <v>0</v>
      </c>
      <c r="P764" t="n">
        <v>0</v>
      </c>
      <c r="Q764" t="n">
        <v>0</v>
      </c>
      <c r="R764" s="2" t="inlineStr"/>
    </row>
    <row r="765" ht="15" customHeight="1">
      <c r="A765" t="inlineStr">
        <is>
          <t>A 44470-2024</t>
        </is>
      </c>
      <c r="B765" s="1" t="n">
        <v>45574</v>
      </c>
      <c r="C765" s="1" t="n">
        <v>45997</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26799-2024</t>
        </is>
      </c>
      <c r="B766" s="1" t="n">
        <v>45470.5071875</v>
      </c>
      <c r="C766" s="1" t="n">
        <v>45997</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52447-2022</t>
        </is>
      </c>
      <c r="B767" s="1" t="n">
        <v>44874</v>
      </c>
      <c r="C767" s="1" t="n">
        <v>45997</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16369-2024</t>
        </is>
      </c>
      <c r="B768" s="1" t="n">
        <v>45407</v>
      </c>
      <c r="C768" s="1" t="n">
        <v>45997</v>
      </c>
      <c r="D768" t="inlineStr">
        <is>
          <t>VÄRMLANDS LÄN</t>
        </is>
      </c>
      <c r="E768" t="inlineStr">
        <is>
          <t>TORSBY</t>
        </is>
      </c>
      <c r="F768" t="inlineStr">
        <is>
          <t>Kommuner</t>
        </is>
      </c>
      <c r="G768" t="n">
        <v>2.2</v>
      </c>
      <c r="H768" t="n">
        <v>0</v>
      </c>
      <c r="I768" t="n">
        <v>0</v>
      </c>
      <c r="J768" t="n">
        <v>0</v>
      </c>
      <c r="K768" t="n">
        <v>0</v>
      </c>
      <c r="L768" t="n">
        <v>0</v>
      </c>
      <c r="M768" t="n">
        <v>0</v>
      </c>
      <c r="N768" t="n">
        <v>0</v>
      </c>
      <c r="O768" t="n">
        <v>0</v>
      </c>
      <c r="P768" t="n">
        <v>0</v>
      </c>
      <c r="Q768" t="n">
        <v>0</v>
      </c>
      <c r="R768" s="2" t="inlineStr"/>
    </row>
    <row r="769" ht="15" customHeight="1">
      <c r="A769" t="inlineStr">
        <is>
          <t>A 6013-2024</t>
        </is>
      </c>
      <c r="B769" s="1" t="n">
        <v>45336.60763888889</v>
      </c>
      <c r="C769" s="1" t="n">
        <v>45997</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34256-2024</t>
        </is>
      </c>
      <c r="B770" s="1" t="n">
        <v>45524.59434027778</v>
      </c>
      <c r="C770" s="1" t="n">
        <v>45997</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43301-2024</t>
        </is>
      </c>
      <c r="B771" s="1" t="n">
        <v>45568</v>
      </c>
      <c r="C771" s="1" t="n">
        <v>45997</v>
      </c>
      <c r="D771" t="inlineStr">
        <is>
          <t>VÄRMLANDS LÄN</t>
        </is>
      </c>
      <c r="E771" t="inlineStr">
        <is>
          <t>TORSBY</t>
        </is>
      </c>
      <c r="G771" t="n">
        <v>2</v>
      </c>
      <c r="H771" t="n">
        <v>0</v>
      </c>
      <c r="I771" t="n">
        <v>0</v>
      </c>
      <c r="J771" t="n">
        <v>0</v>
      </c>
      <c r="K771" t="n">
        <v>0</v>
      </c>
      <c r="L771" t="n">
        <v>0</v>
      </c>
      <c r="M771" t="n">
        <v>0</v>
      </c>
      <c r="N771" t="n">
        <v>0</v>
      </c>
      <c r="O771" t="n">
        <v>0</v>
      </c>
      <c r="P771" t="n">
        <v>0</v>
      </c>
      <c r="Q771" t="n">
        <v>0</v>
      </c>
      <c r="R771" s="2" t="inlineStr"/>
    </row>
    <row r="772" ht="15" customHeight="1">
      <c r="A772" t="inlineStr">
        <is>
          <t>A 63409-2023</t>
        </is>
      </c>
      <c r="B772" s="1" t="n">
        <v>45274.51719907407</v>
      </c>
      <c r="C772" s="1" t="n">
        <v>45997</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20737-2023</t>
        </is>
      </c>
      <c r="B773" s="1" t="n">
        <v>45058</v>
      </c>
      <c r="C773" s="1" t="n">
        <v>45997</v>
      </c>
      <c r="D773" t="inlineStr">
        <is>
          <t>VÄRMLANDS LÄN</t>
        </is>
      </c>
      <c r="E773" t="inlineStr">
        <is>
          <t>TORSBY</t>
        </is>
      </c>
      <c r="G773" t="n">
        <v>2.6</v>
      </c>
      <c r="H773" t="n">
        <v>0</v>
      </c>
      <c r="I773" t="n">
        <v>0</v>
      </c>
      <c r="J773" t="n">
        <v>0</v>
      </c>
      <c r="K773" t="n">
        <v>0</v>
      </c>
      <c r="L773" t="n">
        <v>0</v>
      </c>
      <c r="M773" t="n">
        <v>0</v>
      </c>
      <c r="N773" t="n">
        <v>0</v>
      </c>
      <c r="O773" t="n">
        <v>0</v>
      </c>
      <c r="P773" t="n">
        <v>0</v>
      </c>
      <c r="Q773" t="n">
        <v>0</v>
      </c>
      <c r="R773" s="2" t="inlineStr"/>
    </row>
    <row r="774" ht="15" customHeight="1">
      <c r="A774" t="inlineStr">
        <is>
          <t>A 22158-2022</t>
        </is>
      </c>
      <c r="B774" s="1" t="n">
        <v>44708</v>
      </c>
      <c r="C774" s="1" t="n">
        <v>45997</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14303-2023</t>
        </is>
      </c>
      <c r="B775" s="1" t="n">
        <v>45011.75886574074</v>
      </c>
      <c r="C775" s="1" t="n">
        <v>45997</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34427-2023</t>
        </is>
      </c>
      <c r="B776" s="1" t="n">
        <v>45139.61741898148</v>
      </c>
      <c r="C776" s="1" t="n">
        <v>45997</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15087-2023</t>
        </is>
      </c>
      <c r="B777" s="1" t="n">
        <v>45016</v>
      </c>
      <c r="C777" s="1" t="n">
        <v>45997</v>
      </c>
      <c r="D777" t="inlineStr">
        <is>
          <t>VÄRMLANDS LÄN</t>
        </is>
      </c>
      <c r="E777" t="inlineStr">
        <is>
          <t>TORSBY</t>
        </is>
      </c>
      <c r="F777" t="inlineStr">
        <is>
          <t>Bergvik skog väst AB</t>
        </is>
      </c>
      <c r="G777" t="n">
        <v>11.4</v>
      </c>
      <c r="H777" t="n">
        <v>0</v>
      </c>
      <c r="I777" t="n">
        <v>0</v>
      </c>
      <c r="J777" t="n">
        <v>0</v>
      </c>
      <c r="K777" t="n">
        <v>0</v>
      </c>
      <c r="L777" t="n">
        <v>0</v>
      </c>
      <c r="M777" t="n">
        <v>0</v>
      </c>
      <c r="N777" t="n">
        <v>0</v>
      </c>
      <c r="O777" t="n">
        <v>0</v>
      </c>
      <c r="P777" t="n">
        <v>0</v>
      </c>
      <c r="Q777" t="n">
        <v>0</v>
      </c>
      <c r="R777" s="2" t="inlineStr"/>
    </row>
    <row r="778" ht="15" customHeight="1">
      <c r="A778" t="inlineStr">
        <is>
          <t>A 56281-2022</t>
        </is>
      </c>
      <c r="B778" s="1" t="n">
        <v>44890</v>
      </c>
      <c r="C778" s="1" t="n">
        <v>45997</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17001-2024</t>
        </is>
      </c>
      <c r="B779" s="1" t="n">
        <v>45412.35605324074</v>
      </c>
      <c r="C779" s="1" t="n">
        <v>45997</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20130-2023</t>
        </is>
      </c>
      <c r="B780" s="1" t="n">
        <v>45055.38503472223</v>
      </c>
      <c r="C780" s="1" t="n">
        <v>45997</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43545-2024</t>
        </is>
      </c>
      <c r="B781" s="1" t="n">
        <v>45569.36980324074</v>
      </c>
      <c r="C781" s="1" t="n">
        <v>45997</v>
      </c>
      <c r="D781" t="inlineStr">
        <is>
          <t>VÄRMLANDS LÄN</t>
        </is>
      </c>
      <c r="E781" t="inlineStr">
        <is>
          <t>TORSBY</t>
        </is>
      </c>
      <c r="F781" t="inlineStr">
        <is>
          <t>Bergvik skog väst AB</t>
        </is>
      </c>
      <c r="G781" t="n">
        <v>5.5</v>
      </c>
      <c r="H781" t="n">
        <v>0</v>
      </c>
      <c r="I781" t="n">
        <v>0</v>
      </c>
      <c r="J781" t="n">
        <v>0</v>
      </c>
      <c r="K781" t="n">
        <v>0</v>
      </c>
      <c r="L781" t="n">
        <v>0</v>
      </c>
      <c r="M781" t="n">
        <v>0</v>
      </c>
      <c r="N781" t="n">
        <v>0</v>
      </c>
      <c r="O781" t="n">
        <v>0</v>
      </c>
      <c r="P781" t="n">
        <v>0</v>
      </c>
      <c r="Q781" t="n">
        <v>0</v>
      </c>
      <c r="R781" s="2" t="inlineStr"/>
    </row>
    <row r="782" ht="15" customHeight="1">
      <c r="A782" t="inlineStr">
        <is>
          <t>A 65713-2021</t>
        </is>
      </c>
      <c r="B782" s="1" t="n">
        <v>44516</v>
      </c>
      <c r="C782" s="1" t="n">
        <v>45997</v>
      </c>
      <c r="D782" t="inlineStr">
        <is>
          <t>VÄRMLANDS LÄN</t>
        </is>
      </c>
      <c r="E782" t="inlineStr">
        <is>
          <t>TORSBY</t>
        </is>
      </c>
      <c r="G782" t="n">
        <v>7</v>
      </c>
      <c r="H782" t="n">
        <v>0</v>
      </c>
      <c r="I782" t="n">
        <v>0</v>
      </c>
      <c r="J782" t="n">
        <v>0</v>
      </c>
      <c r="K782" t="n">
        <v>0</v>
      </c>
      <c r="L782" t="n">
        <v>0</v>
      </c>
      <c r="M782" t="n">
        <v>0</v>
      </c>
      <c r="N782" t="n">
        <v>0</v>
      </c>
      <c r="O782" t="n">
        <v>0</v>
      </c>
      <c r="P782" t="n">
        <v>0</v>
      </c>
      <c r="Q782" t="n">
        <v>0</v>
      </c>
      <c r="R782" s="2" t="inlineStr"/>
    </row>
    <row r="783" ht="15" customHeight="1">
      <c r="A783" t="inlineStr">
        <is>
          <t>A 30267-2023</t>
        </is>
      </c>
      <c r="B783" s="1" t="n">
        <v>45110.75915509259</v>
      </c>
      <c r="C783" s="1" t="n">
        <v>45997</v>
      </c>
      <c r="D783" t="inlineStr">
        <is>
          <t>VÄRMLANDS LÄN</t>
        </is>
      </c>
      <c r="E783" t="inlineStr">
        <is>
          <t>TORSBY</t>
        </is>
      </c>
      <c r="G783" t="n">
        <v>2.1</v>
      </c>
      <c r="H783" t="n">
        <v>0</v>
      </c>
      <c r="I783" t="n">
        <v>0</v>
      </c>
      <c r="J783" t="n">
        <v>0</v>
      </c>
      <c r="K783" t="n">
        <v>0</v>
      </c>
      <c r="L783" t="n">
        <v>0</v>
      </c>
      <c r="M783" t="n">
        <v>0</v>
      </c>
      <c r="N783" t="n">
        <v>0</v>
      </c>
      <c r="O783" t="n">
        <v>0</v>
      </c>
      <c r="P783" t="n">
        <v>0</v>
      </c>
      <c r="Q783" t="n">
        <v>0</v>
      </c>
      <c r="R783" s="2" t="inlineStr"/>
    </row>
    <row r="784" ht="15" customHeight="1">
      <c r="A784" t="inlineStr">
        <is>
          <t>A 30269-2023</t>
        </is>
      </c>
      <c r="B784" s="1" t="n">
        <v>45110.76082175926</v>
      </c>
      <c r="C784" s="1" t="n">
        <v>45997</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17548-2023</t>
        </is>
      </c>
      <c r="B785" s="1" t="n">
        <v>45036</v>
      </c>
      <c r="C785" s="1" t="n">
        <v>45997</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70926-2021</t>
        </is>
      </c>
      <c r="B786" s="1" t="n">
        <v>44538</v>
      </c>
      <c r="C786" s="1" t="n">
        <v>45997</v>
      </c>
      <c r="D786" t="inlineStr">
        <is>
          <t>VÄRMLANDS LÄN</t>
        </is>
      </c>
      <c r="E786" t="inlineStr">
        <is>
          <t>TORSBY</t>
        </is>
      </c>
      <c r="G786" t="n">
        <v>6.5</v>
      </c>
      <c r="H786" t="n">
        <v>0</v>
      </c>
      <c r="I786" t="n">
        <v>0</v>
      </c>
      <c r="J786" t="n">
        <v>0</v>
      </c>
      <c r="K786" t="n">
        <v>0</v>
      </c>
      <c r="L786" t="n">
        <v>0</v>
      </c>
      <c r="M786" t="n">
        <v>0</v>
      </c>
      <c r="N786" t="n">
        <v>0</v>
      </c>
      <c r="O786" t="n">
        <v>0</v>
      </c>
      <c r="P786" t="n">
        <v>0</v>
      </c>
      <c r="Q786" t="n">
        <v>0</v>
      </c>
      <c r="R786" s="2" t="inlineStr"/>
    </row>
    <row r="787" ht="15" customHeight="1">
      <c r="A787" t="inlineStr">
        <is>
          <t>A 69241-2020</t>
        </is>
      </c>
      <c r="B787" s="1" t="n">
        <v>44192.85814814815</v>
      </c>
      <c r="C787" s="1" t="n">
        <v>45997</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21580-2024</t>
        </is>
      </c>
      <c r="B788" s="1" t="n">
        <v>45441</v>
      </c>
      <c r="C788" s="1" t="n">
        <v>45997</v>
      </c>
      <c r="D788" t="inlineStr">
        <is>
          <t>VÄRMLANDS LÄN</t>
        </is>
      </c>
      <c r="E788" t="inlineStr">
        <is>
          <t>TORSBY</t>
        </is>
      </c>
      <c r="G788" t="n">
        <v>2.8</v>
      </c>
      <c r="H788" t="n">
        <v>0</v>
      </c>
      <c r="I788" t="n">
        <v>0</v>
      </c>
      <c r="J788" t="n">
        <v>0</v>
      </c>
      <c r="K788" t="n">
        <v>0</v>
      </c>
      <c r="L788" t="n">
        <v>0</v>
      </c>
      <c r="M788" t="n">
        <v>0</v>
      </c>
      <c r="N788" t="n">
        <v>0</v>
      </c>
      <c r="O788" t="n">
        <v>0</v>
      </c>
      <c r="P788" t="n">
        <v>0</v>
      </c>
      <c r="Q788" t="n">
        <v>0</v>
      </c>
      <c r="R788" s="2" t="inlineStr"/>
    </row>
    <row r="789" ht="15" customHeight="1">
      <c r="A789" t="inlineStr">
        <is>
          <t>A 18480-2025</t>
        </is>
      </c>
      <c r="B789" s="1" t="n">
        <v>45762.9171412037</v>
      </c>
      <c r="C789" s="1" t="n">
        <v>45997</v>
      </c>
      <c r="D789" t="inlineStr">
        <is>
          <t>VÄRMLANDS LÄN</t>
        </is>
      </c>
      <c r="E789" t="inlineStr">
        <is>
          <t>TORSBY</t>
        </is>
      </c>
      <c r="G789" t="n">
        <v>2.8</v>
      </c>
      <c r="H789" t="n">
        <v>0</v>
      </c>
      <c r="I789" t="n">
        <v>0</v>
      </c>
      <c r="J789" t="n">
        <v>0</v>
      </c>
      <c r="K789" t="n">
        <v>0</v>
      </c>
      <c r="L789" t="n">
        <v>0</v>
      </c>
      <c r="M789" t="n">
        <v>0</v>
      </c>
      <c r="N789" t="n">
        <v>0</v>
      </c>
      <c r="O789" t="n">
        <v>0</v>
      </c>
      <c r="P789" t="n">
        <v>0</v>
      </c>
      <c r="Q789" t="n">
        <v>0</v>
      </c>
      <c r="R789" s="2" t="inlineStr"/>
    </row>
    <row r="790" ht="15" customHeight="1">
      <c r="A790" t="inlineStr">
        <is>
          <t>A 8447-2023</t>
        </is>
      </c>
      <c r="B790" s="1" t="n">
        <v>44977</v>
      </c>
      <c r="C790" s="1" t="n">
        <v>45997</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4236-2023</t>
        </is>
      </c>
      <c r="B791" s="1" t="n">
        <v>44953.48950231481</v>
      </c>
      <c r="C791" s="1" t="n">
        <v>45997</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4250-2023</t>
        </is>
      </c>
      <c r="B792" s="1" t="n">
        <v>44953.51747685186</v>
      </c>
      <c r="C792" s="1" t="n">
        <v>45997</v>
      </c>
      <c r="D792" t="inlineStr">
        <is>
          <t>VÄRMLANDS LÄN</t>
        </is>
      </c>
      <c r="E792" t="inlineStr">
        <is>
          <t>TORSBY</t>
        </is>
      </c>
      <c r="G792" t="n">
        <v>5.4</v>
      </c>
      <c r="H792" t="n">
        <v>0</v>
      </c>
      <c r="I792" t="n">
        <v>0</v>
      </c>
      <c r="J792" t="n">
        <v>0</v>
      </c>
      <c r="K792" t="n">
        <v>0</v>
      </c>
      <c r="L792" t="n">
        <v>0</v>
      </c>
      <c r="M792" t="n">
        <v>0</v>
      </c>
      <c r="N792" t="n">
        <v>0</v>
      </c>
      <c r="O792" t="n">
        <v>0</v>
      </c>
      <c r="P792" t="n">
        <v>0</v>
      </c>
      <c r="Q792" t="n">
        <v>0</v>
      </c>
      <c r="R792" s="2" t="inlineStr"/>
    </row>
    <row r="793" ht="15" customHeight="1">
      <c r="A793" t="inlineStr">
        <is>
          <t>A 46917-2024</t>
        </is>
      </c>
      <c r="B793" s="1" t="n">
        <v>45583</v>
      </c>
      <c r="C793" s="1" t="n">
        <v>45997</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36558-2024</t>
        </is>
      </c>
      <c r="B794" s="1" t="n">
        <v>45537</v>
      </c>
      <c r="C794" s="1" t="n">
        <v>45997</v>
      </c>
      <c r="D794" t="inlineStr">
        <is>
          <t>VÄRMLANDS LÄN</t>
        </is>
      </c>
      <c r="E794" t="inlineStr">
        <is>
          <t>TORSBY</t>
        </is>
      </c>
      <c r="G794" t="n">
        <v>0.4</v>
      </c>
      <c r="H794" t="n">
        <v>0</v>
      </c>
      <c r="I794" t="n">
        <v>0</v>
      </c>
      <c r="J794" t="n">
        <v>0</v>
      </c>
      <c r="K794" t="n">
        <v>0</v>
      </c>
      <c r="L794" t="n">
        <v>0</v>
      </c>
      <c r="M794" t="n">
        <v>0</v>
      </c>
      <c r="N794" t="n">
        <v>0</v>
      </c>
      <c r="O794" t="n">
        <v>0</v>
      </c>
      <c r="P794" t="n">
        <v>0</v>
      </c>
      <c r="Q794" t="n">
        <v>0</v>
      </c>
      <c r="R794" s="2" t="inlineStr"/>
    </row>
    <row r="795" ht="15" customHeight="1">
      <c r="A795" t="inlineStr">
        <is>
          <t>A 10979-2025</t>
        </is>
      </c>
      <c r="B795" s="1" t="n">
        <v>45723.39988425926</v>
      </c>
      <c r="C795" s="1" t="n">
        <v>45997</v>
      </c>
      <c r="D795" t="inlineStr">
        <is>
          <t>VÄRMLANDS LÄN</t>
        </is>
      </c>
      <c r="E795" t="inlineStr">
        <is>
          <t>TORSBY</t>
        </is>
      </c>
      <c r="G795" t="n">
        <v>5.2</v>
      </c>
      <c r="H795" t="n">
        <v>0</v>
      </c>
      <c r="I795" t="n">
        <v>0</v>
      </c>
      <c r="J795" t="n">
        <v>0</v>
      </c>
      <c r="K795" t="n">
        <v>0</v>
      </c>
      <c r="L795" t="n">
        <v>0</v>
      </c>
      <c r="M795" t="n">
        <v>0</v>
      </c>
      <c r="N795" t="n">
        <v>0</v>
      </c>
      <c r="O795" t="n">
        <v>0</v>
      </c>
      <c r="P795" t="n">
        <v>0</v>
      </c>
      <c r="Q795" t="n">
        <v>0</v>
      </c>
      <c r="R795" s="2" t="inlineStr"/>
    </row>
    <row r="796" ht="15" customHeight="1">
      <c r="A796" t="inlineStr">
        <is>
          <t>A 7133-2023</t>
        </is>
      </c>
      <c r="B796" s="1" t="n">
        <v>44970.43622685185</v>
      </c>
      <c r="C796" s="1" t="n">
        <v>45997</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46343-2024</t>
        </is>
      </c>
      <c r="B797" s="1" t="n">
        <v>45582</v>
      </c>
      <c r="C797" s="1" t="n">
        <v>45997</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14709-2023</t>
        </is>
      </c>
      <c r="B798" s="1" t="n">
        <v>45014.41900462963</v>
      </c>
      <c r="C798" s="1" t="n">
        <v>45997</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39390-2023</t>
        </is>
      </c>
      <c r="B799" s="1" t="n">
        <v>45166.65104166666</v>
      </c>
      <c r="C799" s="1" t="n">
        <v>45997</v>
      </c>
      <c r="D799" t="inlineStr">
        <is>
          <t>VÄRMLANDS LÄN</t>
        </is>
      </c>
      <c r="E799" t="inlineStr">
        <is>
          <t>TORSBY</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65301-2021</t>
        </is>
      </c>
      <c r="B800" s="1" t="n">
        <v>44515</v>
      </c>
      <c r="C800" s="1" t="n">
        <v>45997</v>
      </c>
      <c r="D800" t="inlineStr">
        <is>
          <t>VÄRMLANDS LÄN</t>
        </is>
      </c>
      <c r="E800" t="inlineStr">
        <is>
          <t>TORSBY</t>
        </is>
      </c>
      <c r="G800" t="n">
        <v>2.9</v>
      </c>
      <c r="H800" t="n">
        <v>0</v>
      </c>
      <c r="I800" t="n">
        <v>0</v>
      </c>
      <c r="J800" t="n">
        <v>0</v>
      </c>
      <c r="K800" t="n">
        <v>0</v>
      </c>
      <c r="L800" t="n">
        <v>0</v>
      </c>
      <c r="M800" t="n">
        <v>0</v>
      </c>
      <c r="N800" t="n">
        <v>0</v>
      </c>
      <c r="O800" t="n">
        <v>0</v>
      </c>
      <c r="P800" t="n">
        <v>0</v>
      </c>
      <c r="Q800" t="n">
        <v>0</v>
      </c>
      <c r="R800" s="2" t="inlineStr"/>
    </row>
    <row r="801" ht="15" customHeight="1">
      <c r="A801" t="inlineStr">
        <is>
          <t>A 7636-2024</t>
        </is>
      </c>
      <c r="B801" s="1" t="n">
        <v>45348</v>
      </c>
      <c r="C801" s="1" t="n">
        <v>45997</v>
      </c>
      <c r="D801" t="inlineStr">
        <is>
          <t>VÄRMLANDS LÄN</t>
        </is>
      </c>
      <c r="E801" t="inlineStr">
        <is>
          <t>TORSBY</t>
        </is>
      </c>
      <c r="G801" t="n">
        <v>5.1</v>
      </c>
      <c r="H801" t="n">
        <v>0</v>
      </c>
      <c r="I801" t="n">
        <v>0</v>
      </c>
      <c r="J801" t="n">
        <v>0</v>
      </c>
      <c r="K801" t="n">
        <v>0</v>
      </c>
      <c r="L801" t="n">
        <v>0</v>
      </c>
      <c r="M801" t="n">
        <v>0</v>
      </c>
      <c r="N801" t="n">
        <v>0</v>
      </c>
      <c r="O801" t="n">
        <v>0</v>
      </c>
      <c r="P801" t="n">
        <v>0</v>
      </c>
      <c r="Q801" t="n">
        <v>0</v>
      </c>
      <c r="R801" s="2" t="inlineStr"/>
    </row>
    <row r="802" ht="15" customHeight="1">
      <c r="A802" t="inlineStr">
        <is>
          <t>A 5351-2024</t>
        </is>
      </c>
      <c r="B802" s="1" t="n">
        <v>45331.45199074074</v>
      </c>
      <c r="C802" s="1" t="n">
        <v>45997</v>
      </c>
      <c r="D802" t="inlineStr">
        <is>
          <t>VÄRMLANDS LÄN</t>
        </is>
      </c>
      <c r="E802" t="inlineStr">
        <is>
          <t>TORSBY</t>
        </is>
      </c>
      <c r="G802" t="n">
        <v>8.9</v>
      </c>
      <c r="H802" t="n">
        <v>0</v>
      </c>
      <c r="I802" t="n">
        <v>0</v>
      </c>
      <c r="J802" t="n">
        <v>0</v>
      </c>
      <c r="K802" t="n">
        <v>0</v>
      </c>
      <c r="L802" t="n">
        <v>0</v>
      </c>
      <c r="M802" t="n">
        <v>0</v>
      </c>
      <c r="N802" t="n">
        <v>0</v>
      </c>
      <c r="O802" t="n">
        <v>0</v>
      </c>
      <c r="P802" t="n">
        <v>0</v>
      </c>
      <c r="Q802" t="n">
        <v>0</v>
      </c>
      <c r="R802" s="2" t="inlineStr"/>
    </row>
    <row r="803" ht="15" customHeight="1">
      <c r="A803" t="inlineStr">
        <is>
          <t>A 11153-2024</t>
        </is>
      </c>
      <c r="B803" s="1" t="n">
        <v>45371.4759837963</v>
      </c>
      <c r="C803" s="1" t="n">
        <v>45997</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6438-2022</t>
        </is>
      </c>
      <c r="B804" s="1" t="n">
        <v>44601.32209490741</v>
      </c>
      <c r="C804" s="1" t="n">
        <v>45997</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18676-2025</t>
        </is>
      </c>
      <c r="B805" s="1" t="n">
        <v>45763</v>
      </c>
      <c r="C805" s="1" t="n">
        <v>45997</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11447-2022</t>
        </is>
      </c>
      <c r="B806" s="1" t="n">
        <v>44630</v>
      </c>
      <c r="C806" s="1" t="n">
        <v>45997</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58948-2024</t>
        </is>
      </c>
      <c r="B807" s="1" t="n">
        <v>45636</v>
      </c>
      <c r="C807" s="1" t="n">
        <v>45997</v>
      </c>
      <c r="D807" t="inlineStr">
        <is>
          <t>VÄRMLANDS LÄN</t>
        </is>
      </c>
      <c r="E807" t="inlineStr">
        <is>
          <t>TORSBY</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16592-2024</t>
        </is>
      </c>
      <c r="B808" s="1" t="n">
        <v>45408.49623842593</v>
      </c>
      <c r="C808" s="1" t="n">
        <v>45997</v>
      </c>
      <c r="D808" t="inlineStr">
        <is>
          <t>VÄRMLANDS LÄN</t>
        </is>
      </c>
      <c r="E808" t="inlineStr">
        <is>
          <t>TORSBY</t>
        </is>
      </c>
      <c r="G808" t="n">
        <v>3.6</v>
      </c>
      <c r="H808" t="n">
        <v>0</v>
      </c>
      <c r="I808" t="n">
        <v>0</v>
      </c>
      <c r="J808" t="n">
        <v>0</v>
      </c>
      <c r="K808" t="n">
        <v>0</v>
      </c>
      <c r="L808" t="n">
        <v>0</v>
      </c>
      <c r="M808" t="n">
        <v>0</v>
      </c>
      <c r="N808" t="n">
        <v>0</v>
      </c>
      <c r="O808" t="n">
        <v>0</v>
      </c>
      <c r="P808" t="n">
        <v>0</v>
      </c>
      <c r="Q808" t="n">
        <v>0</v>
      </c>
      <c r="R808" s="2" t="inlineStr"/>
    </row>
    <row r="809" ht="15" customHeight="1">
      <c r="A809" t="inlineStr">
        <is>
          <t>A 4908-2024</t>
        </is>
      </c>
      <c r="B809" s="1" t="n">
        <v>45329</v>
      </c>
      <c r="C809" s="1" t="n">
        <v>45997</v>
      </c>
      <c r="D809" t="inlineStr">
        <is>
          <t>VÄRMLANDS LÄN</t>
        </is>
      </c>
      <c r="E809" t="inlineStr">
        <is>
          <t>TORSBY</t>
        </is>
      </c>
      <c r="G809" t="n">
        <v>4</v>
      </c>
      <c r="H809" t="n">
        <v>0</v>
      </c>
      <c r="I809" t="n">
        <v>0</v>
      </c>
      <c r="J809" t="n">
        <v>0</v>
      </c>
      <c r="K809" t="n">
        <v>0</v>
      </c>
      <c r="L809" t="n">
        <v>0</v>
      </c>
      <c r="M809" t="n">
        <v>0</v>
      </c>
      <c r="N809" t="n">
        <v>0</v>
      </c>
      <c r="O809" t="n">
        <v>0</v>
      </c>
      <c r="P809" t="n">
        <v>0</v>
      </c>
      <c r="Q809" t="n">
        <v>0</v>
      </c>
      <c r="R809" s="2" t="inlineStr"/>
    </row>
    <row r="810" ht="15" customHeight="1">
      <c r="A810" t="inlineStr">
        <is>
          <t>A 22464-2021</t>
        </is>
      </c>
      <c r="B810" s="1" t="n">
        <v>44326.67932870371</v>
      </c>
      <c r="C810" s="1" t="n">
        <v>45997</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19307-2022</t>
        </is>
      </c>
      <c r="B811" s="1" t="n">
        <v>44692.55497685185</v>
      </c>
      <c r="C811" s="1" t="n">
        <v>45997</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52314-2024</t>
        </is>
      </c>
      <c r="B812" s="1" t="n">
        <v>45608.87075231481</v>
      </c>
      <c r="C812" s="1" t="n">
        <v>45997</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46456-2024</t>
        </is>
      </c>
      <c r="B813" s="1" t="n">
        <v>45582</v>
      </c>
      <c r="C813" s="1" t="n">
        <v>45997</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22536-2024</t>
        </is>
      </c>
      <c r="B814" s="1" t="n">
        <v>45447</v>
      </c>
      <c r="C814" s="1" t="n">
        <v>45997</v>
      </c>
      <c r="D814" t="inlineStr">
        <is>
          <t>VÄRMLANDS LÄN</t>
        </is>
      </c>
      <c r="E814" t="inlineStr">
        <is>
          <t>TORSBY</t>
        </is>
      </c>
      <c r="G814" t="n">
        <v>25.2</v>
      </c>
      <c r="H814" t="n">
        <v>0</v>
      </c>
      <c r="I814" t="n">
        <v>0</v>
      </c>
      <c r="J814" t="n">
        <v>0</v>
      </c>
      <c r="K814" t="n">
        <v>0</v>
      </c>
      <c r="L814" t="n">
        <v>0</v>
      </c>
      <c r="M814" t="n">
        <v>0</v>
      </c>
      <c r="N814" t="n">
        <v>0</v>
      </c>
      <c r="O814" t="n">
        <v>0</v>
      </c>
      <c r="P814" t="n">
        <v>0</v>
      </c>
      <c r="Q814" t="n">
        <v>0</v>
      </c>
      <c r="R814" s="2" t="inlineStr"/>
    </row>
    <row r="815" ht="15" customHeight="1">
      <c r="A815" t="inlineStr">
        <is>
          <t>A 50680-2023</t>
        </is>
      </c>
      <c r="B815" s="1" t="n">
        <v>45217.5165625</v>
      </c>
      <c r="C815" s="1" t="n">
        <v>45997</v>
      </c>
      <c r="D815" t="inlineStr">
        <is>
          <t>VÄRMLANDS LÄN</t>
        </is>
      </c>
      <c r="E815" t="inlineStr">
        <is>
          <t>TORSBY</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30531-2023</t>
        </is>
      </c>
      <c r="B816" s="1" t="n">
        <v>45111.68223379629</v>
      </c>
      <c r="C816" s="1" t="n">
        <v>45997</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52592-2024</t>
        </is>
      </c>
      <c r="B817" s="1" t="n">
        <v>45609</v>
      </c>
      <c r="C817" s="1" t="n">
        <v>45997</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45231-2023</t>
        </is>
      </c>
      <c r="B818" s="1" t="n">
        <v>45191</v>
      </c>
      <c r="C818" s="1" t="n">
        <v>45997</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43988-2024</t>
        </is>
      </c>
      <c r="B819" s="1" t="n">
        <v>45572</v>
      </c>
      <c r="C819" s="1" t="n">
        <v>45997</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3667-2023</t>
        </is>
      </c>
      <c r="B820" s="1" t="n">
        <v>44950</v>
      </c>
      <c r="C820" s="1" t="n">
        <v>45997</v>
      </c>
      <c r="D820" t="inlineStr">
        <is>
          <t>VÄRMLANDS LÄN</t>
        </is>
      </c>
      <c r="E820" t="inlineStr">
        <is>
          <t>TORSBY</t>
        </is>
      </c>
      <c r="G820" t="n">
        <v>21.2</v>
      </c>
      <c r="H820" t="n">
        <v>0</v>
      </c>
      <c r="I820" t="n">
        <v>0</v>
      </c>
      <c r="J820" t="n">
        <v>0</v>
      </c>
      <c r="K820" t="n">
        <v>0</v>
      </c>
      <c r="L820" t="n">
        <v>0</v>
      </c>
      <c r="M820" t="n">
        <v>0</v>
      </c>
      <c r="N820" t="n">
        <v>0</v>
      </c>
      <c r="O820" t="n">
        <v>0</v>
      </c>
      <c r="P820" t="n">
        <v>0</v>
      </c>
      <c r="Q820" t="n">
        <v>0</v>
      </c>
      <c r="R820" s="2" t="inlineStr"/>
    </row>
    <row r="821" ht="15" customHeight="1">
      <c r="A821" t="inlineStr">
        <is>
          <t>A 25949-2024</t>
        </is>
      </c>
      <c r="B821" s="1" t="n">
        <v>45467.6442824074</v>
      </c>
      <c r="C821" s="1" t="n">
        <v>45997</v>
      </c>
      <c r="D821" t="inlineStr">
        <is>
          <t>VÄRMLANDS LÄN</t>
        </is>
      </c>
      <c r="E821" t="inlineStr">
        <is>
          <t>TORSBY</t>
        </is>
      </c>
      <c r="F821" t="inlineStr">
        <is>
          <t>Bergvik skog väst AB</t>
        </is>
      </c>
      <c r="G821" t="n">
        <v>2.3</v>
      </c>
      <c r="H821" t="n">
        <v>0</v>
      </c>
      <c r="I821" t="n">
        <v>0</v>
      </c>
      <c r="J821" t="n">
        <v>0</v>
      </c>
      <c r="K821" t="n">
        <v>0</v>
      </c>
      <c r="L821" t="n">
        <v>0</v>
      </c>
      <c r="M821" t="n">
        <v>0</v>
      </c>
      <c r="N821" t="n">
        <v>0</v>
      </c>
      <c r="O821" t="n">
        <v>0</v>
      </c>
      <c r="P821" t="n">
        <v>0</v>
      </c>
      <c r="Q821" t="n">
        <v>0</v>
      </c>
      <c r="R821" s="2" t="inlineStr"/>
    </row>
    <row r="822" ht="15" customHeight="1">
      <c r="A822" t="inlineStr">
        <is>
          <t>A 43599-2023</t>
        </is>
      </c>
      <c r="B822" s="1" t="n">
        <v>45184</v>
      </c>
      <c r="C822" s="1" t="n">
        <v>45997</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73324-2021</t>
        </is>
      </c>
      <c r="B823" s="1" t="n">
        <v>44550</v>
      </c>
      <c r="C823" s="1" t="n">
        <v>45997</v>
      </c>
      <c r="D823" t="inlineStr">
        <is>
          <t>VÄRMLANDS LÄN</t>
        </is>
      </c>
      <c r="E823" t="inlineStr">
        <is>
          <t>TORSBY</t>
        </is>
      </c>
      <c r="G823" t="n">
        <v>9.9</v>
      </c>
      <c r="H823" t="n">
        <v>0</v>
      </c>
      <c r="I823" t="n">
        <v>0</v>
      </c>
      <c r="J823" t="n">
        <v>0</v>
      </c>
      <c r="K823" t="n">
        <v>0</v>
      </c>
      <c r="L823" t="n">
        <v>0</v>
      </c>
      <c r="M823" t="n">
        <v>0</v>
      </c>
      <c r="N823" t="n">
        <v>0</v>
      </c>
      <c r="O823" t="n">
        <v>0</v>
      </c>
      <c r="P823" t="n">
        <v>0</v>
      </c>
      <c r="Q823" t="n">
        <v>0</v>
      </c>
      <c r="R823" s="2" t="inlineStr"/>
    </row>
    <row r="824" ht="15" customHeight="1">
      <c r="A824" t="inlineStr">
        <is>
          <t>A 6121-2021</t>
        </is>
      </c>
      <c r="B824" s="1" t="n">
        <v>44232</v>
      </c>
      <c r="C824" s="1" t="n">
        <v>45997</v>
      </c>
      <c r="D824" t="inlineStr">
        <is>
          <t>VÄRMLANDS LÄN</t>
        </is>
      </c>
      <c r="E824" t="inlineStr">
        <is>
          <t>TORSBY</t>
        </is>
      </c>
      <c r="G824" t="n">
        <v>2.9</v>
      </c>
      <c r="H824" t="n">
        <v>0</v>
      </c>
      <c r="I824" t="n">
        <v>0</v>
      </c>
      <c r="J824" t="n">
        <v>0</v>
      </c>
      <c r="K824" t="n">
        <v>0</v>
      </c>
      <c r="L824" t="n">
        <v>0</v>
      </c>
      <c r="M824" t="n">
        <v>0</v>
      </c>
      <c r="N824" t="n">
        <v>0</v>
      </c>
      <c r="O824" t="n">
        <v>0</v>
      </c>
      <c r="P824" t="n">
        <v>0</v>
      </c>
      <c r="Q824" t="n">
        <v>0</v>
      </c>
      <c r="R824" s="2" t="inlineStr"/>
    </row>
    <row r="825" ht="15" customHeight="1">
      <c r="A825" t="inlineStr">
        <is>
          <t>A 52669-2024</t>
        </is>
      </c>
      <c r="B825" s="1" t="n">
        <v>45610</v>
      </c>
      <c r="C825" s="1" t="n">
        <v>45997</v>
      </c>
      <c r="D825" t="inlineStr">
        <is>
          <t>VÄRMLANDS LÄN</t>
        </is>
      </c>
      <c r="E825" t="inlineStr">
        <is>
          <t>TORSBY</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60710-2024</t>
        </is>
      </c>
      <c r="B826" s="1" t="n">
        <v>45643</v>
      </c>
      <c r="C826" s="1" t="n">
        <v>45997</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48874-2024</t>
        </is>
      </c>
      <c r="B827" s="1" t="n">
        <v>45594</v>
      </c>
      <c r="C827" s="1" t="n">
        <v>45997</v>
      </c>
      <c r="D827" t="inlineStr">
        <is>
          <t>VÄRMLANDS LÄN</t>
        </is>
      </c>
      <c r="E827" t="inlineStr">
        <is>
          <t>TORSBY</t>
        </is>
      </c>
      <c r="F827" t="inlineStr">
        <is>
          <t>Bergvik skog väst AB</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6063-2021</t>
        </is>
      </c>
      <c r="B828" s="1" t="n">
        <v>44232</v>
      </c>
      <c r="C828" s="1" t="n">
        <v>45997</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56880-2023</t>
        </is>
      </c>
      <c r="B829" s="1" t="n">
        <v>45244</v>
      </c>
      <c r="C829" s="1" t="n">
        <v>45997</v>
      </c>
      <c r="D829" t="inlineStr">
        <is>
          <t>VÄRMLANDS LÄN</t>
        </is>
      </c>
      <c r="E829" t="inlineStr">
        <is>
          <t>TORSBY</t>
        </is>
      </c>
      <c r="F829" t="inlineStr">
        <is>
          <t>Övriga Aktiebolag</t>
        </is>
      </c>
      <c r="G829" t="n">
        <v>4.9</v>
      </c>
      <c r="H829" t="n">
        <v>0</v>
      </c>
      <c r="I829" t="n">
        <v>0</v>
      </c>
      <c r="J829" t="n">
        <v>0</v>
      </c>
      <c r="K829" t="n">
        <v>0</v>
      </c>
      <c r="L829" t="n">
        <v>0</v>
      </c>
      <c r="M829" t="n">
        <v>0</v>
      </c>
      <c r="N829" t="n">
        <v>0</v>
      </c>
      <c r="O829" t="n">
        <v>0</v>
      </c>
      <c r="P829" t="n">
        <v>0</v>
      </c>
      <c r="Q829" t="n">
        <v>0</v>
      </c>
      <c r="R829" s="2" t="inlineStr"/>
    </row>
    <row r="830" ht="15" customHeight="1">
      <c r="A830" t="inlineStr">
        <is>
          <t>A 56170-2023</t>
        </is>
      </c>
      <c r="B830" s="1" t="n">
        <v>45240.62975694444</v>
      </c>
      <c r="C830" s="1" t="n">
        <v>45997</v>
      </c>
      <c r="D830" t="inlineStr">
        <is>
          <t>VÄRMLANDS LÄN</t>
        </is>
      </c>
      <c r="E830" t="inlineStr">
        <is>
          <t>TORSBY</t>
        </is>
      </c>
      <c r="G830" t="n">
        <v>3.8</v>
      </c>
      <c r="H830" t="n">
        <v>0</v>
      </c>
      <c r="I830" t="n">
        <v>0</v>
      </c>
      <c r="J830" t="n">
        <v>0</v>
      </c>
      <c r="K830" t="n">
        <v>0</v>
      </c>
      <c r="L830" t="n">
        <v>0</v>
      </c>
      <c r="M830" t="n">
        <v>0</v>
      </c>
      <c r="N830" t="n">
        <v>0</v>
      </c>
      <c r="O830" t="n">
        <v>0</v>
      </c>
      <c r="P830" t="n">
        <v>0</v>
      </c>
      <c r="Q830" t="n">
        <v>0</v>
      </c>
      <c r="R830" s="2" t="inlineStr"/>
    </row>
    <row r="831" ht="15" customHeight="1">
      <c r="A831" t="inlineStr">
        <is>
          <t>A 6646-2024</t>
        </is>
      </c>
      <c r="B831" s="1" t="n">
        <v>45341.66643518519</v>
      </c>
      <c r="C831" s="1" t="n">
        <v>45997</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6648-2024</t>
        </is>
      </c>
      <c r="B832" s="1" t="n">
        <v>45341</v>
      </c>
      <c r="C832" s="1" t="n">
        <v>45997</v>
      </c>
      <c r="D832" t="inlineStr">
        <is>
          <t>VÄRMLANDS LÄN</t>
        </is>
      </c>
      <c r="E832" t="inlineStr">
        <is>
          <t>TORSBY</t>
        </is>
      </c>
      <c r="G832" t="n">
        <v>3.9</v>
      </c>
      <c r="H832" t="n">
        <v>0</v>
      </c>
      <c r="I832" t="n">
        <v>0</v>
      </c>
      <c r="J832" t="n">
        <v>0</v>
      </c>
      <c r="K832" t="n">
        <v>0</v>
      </c>
      <c r="L832" t="n">
        <v>0</v>
      </c>
      <c r="M832" t="n">
        <v>0</v>
      </c>
      <c r="N832" t="n">
        <v>0</v>
      </c>
      <c r="O832" t="n">
        <v>0</v>
      </c>
      <c r="P832" t="n">
        <v>0</v>
      </c>
      <c r="Q832" t="n">
        <v>0</v>
      </c>
      <c r="R832" s="2" t="inlineStr"/>
    </row>
    <row r="833" ht="15" customHeight="1">
      <c r="A833" t="inlineStr">
        <is>
          <t>A 18337-2024</t>
        </is>
      </c>
      <c r="B833" s="1" t="n">
        <v>45422</v>
      </c>
      <c r="C833" s="1" t="n">
        <v>45997</v>
      </c>
      <c r="D833" t="inlineStr">
        <is>
          <t>VÄRMLANDS LÄN</t>
        </is>
      </c>
      <c r="E833" t="inlineStr">
        <is>
          <t>TORSBY</t>
        </is>
      </c>
      <c r="G833" t="n">
        <v>2.5</v>
      </c>
      <c r="H833" t="n">
        <v>0</v>
      </c>
      <c r="I833" t="n">
        <v>0</v>
      </c>
      <c r="J833" t="n">
        <v>0</v>
      </c>
      <c r="K833" t="n">
        <v>0</v>
      </c>
      <c r="L833" t="n">
        <v>0</v>
      </c>
      <c r="M833" t="n">
        <v>0</v>
      </c>
      <c r="N833" t="n">
        <v>0</v>
      </c>
      <c r="O833" t="n">
        <v>0</v>
      </c>
      <c r="P833" t="n">
        <v>0</v>
      </c>
      <c r="Q833" t="n">
        <v>0</v>
      </c>
      <c r="R833" s="2" t="inlineStr"/>
    </row>
    <row r="834" ht="15" customHeight="1">
      <c r="A834" t="inlineStr">
        <is>
          <t>A 34968-2024</t>
        </is>
      </c>
      <c r="B834" s="1" t="n">
        <v>45527.49986111111</v>
      </c>
      <c r="C834" s="1" t="n">
        <v>45997</v>
      </c>
      <c r="D834" t="inlineStr">
        <is>
          <t>VÄRMLANDS LÄN</t>
        </is>
      </c>
      <c r="E834" t="inlineStr">
        <is>
          <t>TORSBY</t>
        </is>
      </c>
      <c r="F834" t="inlineStr">
        <is>
          <t>Bergvik skog väst AB</t>
        </is>
      </c>
      <c r="G834" t="n">
        <v>10.2</v>
      </c>
      <c r="H834" t="n">
        <v>0</v>
      </c>
      <c r="I834" t="n">
        <v>0</v>
      </c>
      <c r="J834" t="n">
        <v>0</v>
      </c>
      <c r="K834" t="n">
        <v>0</v>
      </c>
      <c r="L834" t="n">
        <v>0</v>
      </c>
      <c r="M834" t="n">
        <v>0</v>
      </c>
      <c r="N834" t="n">
        <v>0</v>
      </c>
      <c r="O834" t="n">
        <v>0</v>
      </c>
      <c r="P834" t="n">
        <v>0</v>
      </c>
      <c r="Q834" t="n">
        <v>0</v>
      </c>
      <c r="R834" s="2" t="inlineStr"/>
    </row>
    <row r="835" ht="15" customHeight="1">
      <c r="A835" t="inlineStr">
        <is>
          <t>A 492-2025</t>
        </is>
      </c>
      <c r="B835" s="1" t="n">
        <v>45664.46337962963</v>
      </c>
      <c r="C835" s="1" t="n">
        <v>45997</v>
      </c>
      <c r="D835" t="inlineStr">
        <is>
          <t>VÄRMLANDS LÄN</t>
        </is>
      </c>
      <c r="E835" t="inlineStr">
        <is>
          <t>TORSBY</t>
        </is>
      </c>
      <c r="G835" t="n">
        <v>6.9</v>
      </c>
      <c r="H835" t="n">
        <v>0</v>
      </c>
      <c r="I835" t="n">
        <v>0</v>
      </c>
      <c r="J835" t="n">
        <v>0</v>
      </c>
      <c r="K835" t="n">
        <v>0</v>
      </c>
      <c r="L835" t="n">
        <v>0</v>
      </c>
      <c r="M835" t="n">
        <v>0</v>
      </c>
      <c r="N835" t="n">
        <v>0</v>
      </c>
      <c r="O835" t="n">
        <v>0</v>
      </c>
      <c r="P835" t="n">
        <v>0</v>
      </c>
      <c r="Q835" t="n">
        <v>0</v>
      </c>
      <c r="R835" s="2" t="inlineStr"/>
    </row>
    <row r="836" ht="15" customHeight="1">
      <c r="A836" t="inlineStr">
        <is>
          <t>A 64664-2023</t>
        </is>
      </c>
      <c r="B836" s="1" t="n">
        <v>45281.60710648148</v>
      </c>
      <c r="C836" s="1" t="n">
        <v>45997</v>
      </c>
      <c r="D836" t="inlineStr">
        <is>
          <t>VÄRMLANDS LÄN</t>
        </is>
      </c>
      <c r="E836" t="inlineStr">
        <is>
          <t>TORSBY</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36775-2024</t>
        </is>
      </c>
      <c r="B837" s="1" t="n">
        <v>45538</v>
      </c>
      <c r="C837" s="1" t="n">
        <v>45997</v>
      </c>
      <c r="D837" t="inlineStr">
        <is>
          <t>VÄRMLANDS LÄN</t>
        </is>
      </c>
      <c r="E837" t="inlineStr">
        <is>
          <t>TORSBY</t>
        </is>
      </c>
      <c r="F837" t="inlineStr">
        <is>
          <t>Kyrkan</t>
        </is>
      </c>
      <c r="G837" t="n">
        <v>2.6</v>
      </c>
      <c r="H837" t="n">
        <v>0</v>
      </c>
      <c r="I837" t="n">
        <v>0</v>
      </c>
      <c r="J837" t="n">
        <v>0</v>
      </c>
      <c r="K837" t="n">
        <v>0</v>
      </c>
      <c r="L837" t="n">
        <v>0</v>
      </c>
      <c r="M837" t="n">
        <v>0</v>
      </c>
      <c r="N837" t="n">
        <v>0</v>
      </c>
      <c r="O837" t="n">
        <v>0</v>
      </c>
      <c r="P837" t="n">
        <v>0</v>
      </c>
      <c r="Q837" t="n">
        <v>0</v>
      </c>
      <c r="R837" s="2" t="inlineStr"/>
    </row>
    <row r="838" ht="15" customHeight="1">
      <c r="A838" t="inlineStr">
        <is>
          <t>A 55428-2022</t>
        </is>
      </c>
      <c r="B838" s="1" t="n">
        <v>44887.60894675926</v>
      </c>
      <c r="C838" s="1" t="n">
        <v>45997</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22705-2023</t>
        </is>
      </c>
      <c r="B839" s="1" t="n">
        <v>45071</v>
      </c>
      <c r="C839" s="1" t="n">
        <v>45997</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22702-2023</t>
        </is>
      </c>
      <c r="B840" s="1" t="n">
        <v>45071</v>
      </c>
      <c r="C840" s="1" t="n">
        <v>45997</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17941-2021</t>
        </is>
      </c>
      <c r="B841" s="1" t="n">
        <v>44301</v>
      </c>
      <c r="C841" s="1" t="n">
        <v>45997</v>
      </c>
      <c r="D841" t="inlineStr">
        <is>
          <t>VÄRMLANDS LÄN</t>
        </is>
      </c>
      <c r="E841" t="inlineStr">
        <is>
          <t>TORSBY</t>
        </is>
      </c>
      <c r="F841" t="inlineStr">
        <is>
          <t>Kommuner</t>
        </is>
      </c>
      <c r="G841" t="n">
        <v>8</v>
      </c>
      <c r="H841" t="n">
        <v>0</v>
      </c>
      <c r="I841" t="n">
        <v>0</v>
      </c>
      <c r="J841" t="n">
        <v>0</v>
      </c>
      <c r="K841" t="n">
        <v>0</v>
      </c>
      <c r="L841" t="n">
        <v>0</v>
      </c>
      <c r="M841" t="n">
        <v>0</v>
      </c>
      <c r="N841" t="n">
        <v>0</v>
      </c>
      <c r="O841" t="n">
        <v>0</v>
      </c>
      <c r="P841" t="n">
        <v>0</v>
      </c>
      <c r="Q841" t="n">
        <v>0</v>
      </c>
      <c r="R841" s="2" t="inlineStr"/>
    </row>
    <row r="842" ht="15" customHeight="1">
      <c r="A842" t="inlineStr">
        <is>
          <t>A 52901-2022</t>
        </is>
      </c>
      <c r="B842" s="1" t="n">
        <v>44872</v>
      </c>
      <c r="C842" s="1" t="n">
        <v>45997</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57452-2022</t>
        </is>
      </c>
      <c r="B843" s="1" t="n">
        <v>44896.55787037037</v>
      </c>
      <c r="C843" s="1" t="n">
        <v>45997</v>
      </c>
      <c r="D843" t="inlineStr">
        <is>
          <t>VÄRMLANDS LÄN</t>
        </is>
      </c>
      <c r="E843" t="inlineStr">
        <is>
          <t>TORSBY</t>
        </is>
      </c>
      <c r="F843" t="inlineStr">
        <is>
          <t>Bergvik skog väst AB</t>
        </is>
      </c>
      <c r="G843" t="n">
        <v>4.8</v>
      </c>
      <c r="H843" t="n">
        <v>0</v>
      </c>
      <c r="I843" t="n">
        <v>0</v>
      </c>
      <c r="J843" t="n">
        <v>0</v>
      </c>
      <c r="K843" t="n">
        <v>0</v>
      </c>
      <c r="L843" t="n">
        <v>0</v>
      </c>
      <c r="M843" t="n">
        <v>0</v>
      </c>
      <c r="N843" t="n">
        <v>0</v>
      </c>
      <c r="O843" t="n">
        <v>0</v>
      </c>
      <c r="P843" t="n">
        <v>0</v>
      </c>
      <c r="Q843" t="n">
        <v>0</v>
      </c>
      <c r="R843" s="2" t="inlineStr"/>
    </row>
    <row r="844" ht="15" customHeight="1">
      <c r="A844" t="inlineStr">
        <is>
          <t>A 53358-2024</t>
        </is>
      </c>
      <c r="B844" s="1" t="n">
        <v>45614</v>
      </c>
      <c r="C844" s="1" t="n">
        <v>45997</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8054-2022</t>
        </is>
      </c>
      <c r="B845" s="1" t="n">
        <v>44609</v>
      </c>
      <c r="C845" s="1" t="n">
        <v>45997</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32747-2021</t>
        </is>
      </c>
      <c r="B846" s="1" t="n">
        <v>44375</v>
      </c>
      <c r="C846" s="1" t="n">
        <v>45997</v>
      </c>
      <c r="D846" t="inlineStr">
        <is>
          <t>VÄRMLANDS LÄN</t>
        </is>
      </c>
      <c r="E846" t="inlineStr">
        <is>
          <t>TORSBY</t>
        </is>
      </c>
      <c r="G846" t="n">
        <v>6.3</v>
      </c>
      <c r="H846" t="n">
        <v>0</v>
      </c>
      <c r="I846" t="n">
        <v>0</v>
      </c>
      <c r="J846" t="n">
        <v>0</v>
      </c>
      <c r="K846" t="n">
        <v>0</v>
      </c>
      <c r="L846" t="n">
        <v>0</v>
      </c>
      <c r="M846" t="n">
        <v>0</v>
      </c>
      <c r="N846" t="n">
        <v>0</v>
      </c>
      <c r="O846" t="n">
        <v>0</v>
      </c>
      <c r="P846" t="n">
        <v>0</v>
      </c>
      <c r="Q846" t="n">
        <v>0</v>
      </c>
      <c r="R846" s="2" t="inlineStr"/>
    </row>
    <row r="847" ht="15" customHeight="1">
      <c r="A847" t="inlineStr">
        <is>
          <t>A 39069-2022</t>
        </is>
      </c>
      <c r="B847" s="1" t="n">
        <v>44816</v>
      </c>
      <c r="C847" s="1" t="n">
        <v>45997</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10584-2023</t>
        </is>
      </c>
      <c r="B848" s="1" t="n">
        <v>44988.36736111111</v>
      </c>
      <c r="C848" s="1" t="n">
        <v>45997</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53499-2023</t>
        </is>
      </c>
      <c r="B849" s="1" t="n">
        <v>45223</v>
      </c>
      <c r="C849" s="1" t="n">
        <v>45997</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38257-2023</t>
        </is>
      </c>
      <c r="B850" s="1" t="n">
        <v>45161.58917824074</v>
      </c>
      <c r="C850" s="1" t="n">
        <v>45997</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60525-2023</t>
        </is>
      </c>
      <c r="B851" s="1" t="n">
        <v>45259</v>
      </c>
      <c r="C851" s="1" t="n">
        <v>45997</v>
      </c>
      <c r="D851" t="inlineStr">
        <is>
          <t>VÄRMLANDS LÄN</t>
        </is>
      </c>
      <c r="E851" t="inlineStr">
        <is>
          <t>TORSBY</t>
        </is>
      </c>
      <c r="G851" t="n">
        <v>3.1</v>
      </c>
      <c r="H851" t="n">
        <v>0</v>
      </c>
      <c r="I851" t="n">
        <v>0</v>
      </c>
      <c r="J851" t="n">
        <v>0</v>
      </c>
      <c r="K851" t="n">
        <v>0</v>
      </c>
      <c r="L851" t="n">
        <v>0</v>
      </c>
      <c r="M851" t="n">
        <v>0</v>
      </c>
      <c r="N851" t="n">
        <v>0</v>
      </c>
      <c r="O851" t="n">
        <v>0</v>
      </c>
      <c r="P851" t="n">
        <v>0</v>
      </c>
      <c r="Q851" t="n">
        <v>0</v>
      </c>
      <c r="R851" s="2" t="inlineStr"/>
    </row>
    <row r="852" ht="15" customHeight="1">
      <c r="A852" t="inlineStr">
        <is>
          <t>A 2195-2025</t>
        </is>
      </c>
      <c r="B852" s="1" t="n">
        <v>45673.38138888889</v>
      </c>
      <c r="C852" s="1" t="n">
        <v>45997</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45997</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8025-2025</t>
        </is>
      </c>
      <c r="B854" s="1" t="n">
        <v>45707</v>
      </c>
      <c r="C854" s="1" t="n">
        <v>45997</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46914-2024</t>
        </is>
      </c>
      <c r="B855" s="1" t="n">
        <v>45583.7577662037</v>
      </c>
      <c r="C855" s="1" t="n">
        <v>45997</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32319-2024</t>
        </is>
      </c>
      <c r="B856" s="1" t="n">
        <v>45512.4621875</v>
      </c>
      <c r="C856" s="1" t="n">
        <v>45997</v>
      </c>
      <c r="D856" t="inlineStr">
        <is>
          <t>VÄRMLANDS LÄN</t>
        </is>
      </c>
      <c r="E856" t="inlineStr">
        <is>
          <t>TORSBY</t>
        </is>
      </c>
      <c r="G856" t="n">
        <v>2.6</v>
      </c>
      <c r="H856" t="n">
        <v>0</v>
      </c>
      <c r="I856" t="n">
        <v>0</v>
      </c>
      <c r="J856" t="n">
        <v>0</v>
      </c>
      <c r="K856" t="n">
        <v>0</v>
      </c>
      <c r="L856" t="n">
        <v>0</v>
      </c>
      <c r="M856" t="n">
        <v>0</v>
      </c>
      <c r="N856" t="n">
        <v>0</v>
      </c>
      <c r="O856" t="n">
        <v>0</v>
      </c>
      <c r="P856" t="n">
        <v>0</v>
      </c>
      <c r="Q856" t="n">
        <v>0</v>
      </c>
      <c r="R856" s="2" t="inlineStr"/>
    </row>
    <row r="857" ht="15" customHeight="1">
      <c r="A857" t="inlineStr">
        <is>
          <t>A 40207-2023</t>
        </is>
      </c>
      <c r="B857" s="1" t="n">
        <v>45169.44604166667</v>
      </c>
      <c r="C857" s="1" t="n">
        <v>45997</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1979-2023</t>
        </is>
      </c>
      <c r="B858" s="1" t="n">
        <v>44939</v>
      </c>
      <c r="C858" s="1" t="n">
        <v>45997</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20740-2025</t>
        </is>
      </c>
      <c r="B859" s="1" t="n">
        <v>45776.54284722222</v>
      </c>
      <c r="C859" s="1" t="n">
        <v>45997</v>
      </c>
      <c r="D859" t="inlineStr">
        <is>
          <t>VÄRMLANDS LÄN</t>
        </is>
      </c>
      <c r="E859" t="inlineStr">
        <is>
          <t>TORSBY</t>
        </is>
      </c>
      <c r="F859" t="inlineStr">
        <is>
          <t>Bergvik skog väst AB</t>
        </is>
      </c>
      <c r="G859" t="n">
        <v>3.7</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45997</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39772-2024</t>
        </is>
      </c>
      <c r="B861" s="1" t="n">
        <v>45552</v>
      </c>
      <c r="C861" s="1" t="n">
        <v>45997</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45134-2024</t>
        </is>
      </c>
      <c r="B862" s="1" t="n">
        <v>45575</v>
      </c>
      <c r="C862" s="1" t="n">
        <v>45997</v>
      </c>
      <c r="D862" t="inlineStr">
        <is>
          <t>VÄRMLANDS LÄN</t>
        </is>
      </c>
      <c r="E862" t="inlineStr">
        <is>
          <t>TORSBY</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21365-2023</t>
        </is>
      </c>
      <c r="B863" s="1" t="n">
        <v>45063.26761574074</v>
      </c>
      <c r="C863" s="1" t="n">
        <v>45997</v>
      </c>
      <c r="D863" t="inlineStr">
        <is>
          <t>VÄRMLANDS LÄN</t>
        </is>
      </c>
      <c r="E863" t="inlineStr">
        <is>
          <t>TORSBY</t>
        </is>
      </c>
      <c r="F863" t="inlineStr">
        <is>
          <t>Kyrkan</t>
        </is>
      </c>
      <c r="G863" t="n">
        <v>4</v>
      </c>
      <c r="H863" t="n">
        <v>0</v>
      </c>
      <c r="I863" t="n">
        <v>0</v>
      </c>
      <c r="J863" t="n">
        <v>0</v>
      </c>
      <c r="K863" t="n">
        <v>0</v>
      </c>
      <c r="L863" t="n">
        <v>0</v>
      </c>
      <c r="M863" t="n">
        <v>0</v>
      </c>
      <c r="N863" t="n">
        <v>0</v>
      </c>
      <c r="O863" t="n">
        <v>0</v>
      </c>
      <c r="P863" t="n">
        <v>0</v>
      </c>
      <c r="Q863" t="n">
        <v>0</v>
      </c>
      <c r="R863" s="2" t="inlineStr"/>
    </row>
    <row r="864" ht="15" customHeight="1">
      <c r="A864" t="inlineStr">
        <is>
          <t>A 60781-2024</t>
        </is>
      </c>
      <c r="B864" s="1" t="n">
        <v>45642</v>
      </c>
      <c r="C864" s="1" t="n">
        <v>45997</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20816-2025</t>
        </is>
      </c>
      <c r="B865" s="1" t="n">
        <v>45776</v>
      </c>
      <c r="C865" s="1" t="n">
        <v>45997</v>
      </c>
      <c r="D865" t="inlineStr">
        <is>
          <t>VÄRMLANDS LÄN</t>
        </is>
      </c>
      <c r="E865" t="inlineStr">
        <is>
          <t>TORSBY</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16591-2024</t>
        </is>
      </c>
      <c r="B866" s="1" t="n">
        <v>45408.49420138889</v>
      </c>
      <c r="C866" s="1" t="n">
        <v>45997</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52581-2024</t>
        </is>
      </c>
      <c r="B867" s="1" t="n">
        <v>45609</v>
      </c>
      <c r="C867" s="1" t="n">
        <v>45997</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20773-2025</t>
        </is>
      </c>
      <c r="B868" s="1" t="n">
        <v>45776.59321759259</v>
      </c>
      <c r="C868" s="1" t="n">
        <v>45997</v>
      </c>
      <c r="D868" t="inlineStr">
        <is>
          <t>VÄRMLANDS LÄN</t>
        </is>
      </c>
      <c r="E868" t="inlineStr">
        <is>
          <t>TORSBY</t>
        </is>
      </c>
      <c r="F868" t="inlineStr">
        <is>
          <t>Bergvik skog väst AB</t>
        </is>
      </c>
      <c r="G868" t="n">
        <v>4.2</v>
      </c>
      <c r="H868" t="n">
        <v>0</v>
      </c>
      <c r="I868" t="n">
        <v>0</v>
      </c>
      <c r="J868" t="n">
        <v>0</v>
      </c>
      <c r="K868" t="n">
        <v>0</v>
      </c>
      <c r="L868" t="n">
        <v>0</v>
      </c>
      <c r="M868" t="n">
        <v>0</v>
      </c>
      <c r="N868" t="n">
        <v>0</v>
      </c>
      <c r="O868" t="n">
        <v>0</v>
      </c>
      <c r="P868" t="n">
        <v>0</v>
      </c>
      <c r="Q868" t="n">
        <v>0</v>
      </c>
      <c r="R868" s="2" t="inlineStr"/>
    </row>
    <row r="869" ht="15" customHeight="1">
      <c r="A869" t="inlineStr">
        <is>
          <t>A 73553-2021</t>
        </is>
      </c>
      <c r="B869" s="1" t="n">
        <v>44551</v>
      </c>
      <c r="C869" s="1" t="n">
        <v>45997</v>
      </c>
      <c r="D869" t="inlineStr">
        <is>
          <t>VÄRMLANDS LÄN</t>
        </is>
      </c>
      <c r="E869" t="inlineStr">
        <is>
          <t>TORSBY</t>
        </is>
      </c>
      <c r="G869" t="n">
        <v>5.1</v>
      </c>
      <c r="H869" t="n">
        <v>0</v>
      </c>
      <c r="I869" t="n">
        <v>0</v>
      </c>
      <c r="J869" t="n">
        <v>0</v>
      </c>
      <c r="K869" t="n">
        <v>0</v>
      </c>
      <c r="L869" t="n">
        <v>0</v>
      </c>
      <c r="M869" t="n">
        <v>0</v>
      </c>
      <c r="N869" t="n">
        <v>0</v>
      </c>
      <c r="O869" t="n">
        <v>0</v>
      </c>
      <c r="P869" t="n">
        <v>0</v>
      </c>
      <c r="Q869" t="n">
        <v>0</v>
      </c>
      <c r="R869" s="2" t="inlineStr"/>
    </row>
    <row r="870" ht="15" customHeight="1">
      <c r="A870" t="inlineStr">
        <is>
          <t>A 44342-2024</t>
        </is>
      </c>
      <c r="B870" s="1" t="n">
        <v>45573.61793981482</v>
      </c>
      <c r="C870" s="1" t="n">
        <v>45997</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66978-2021</t>
        </is>
      </c>
      <c r="B871" s="1" t="n">
        <v>44522</v>
      </c>
      <c r="C871" s="1" t="n">
        <v>45997</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60148-2024</t>
        </is>
      </c>
      <c r="B872" s="1" t="n">
        <v>45642</v>
      </c>
      <c r="C872" s="1" t="n">
        <v>45997</v>
      </c>
      <c r="D872" t="inlineStr">
        <is>
          <t>VÄRMLANDS LÄN</t>
        </is>
      </c>
      <c r="E872" t="inlineStr">
        <is>
          <t>TORSBY</t>
        </is>
      </c>
      <c r="G872" t="n">
        <v>12.4</v>
      </c>
      <c r="H872" t="n">
        <v>0</v>
      </c>
      <c r="I872" t="n">
        <v>0</v>
      </c>
      <c r="J872" t="n">
        <v>0</v>
      </c>
      <c r="K872" t="n">
        <v>0</v>
      </c>
      <c r="L872" t="n">
        <v>0</v>
      </c>
      <c r="M872" t="n">
        <v>0</v>
      </c>
      <c r="N872" t="n">
        <v>0</v>
      </c>
      <c r="O872" t="n">
        <v>0</v>
      </c>
      <c r="P872" t="n">
        <v>0</v>
      </c>
      <c r="Q872" t="n">
        <v>0</v>
      </c>
      <c r="R872" s="2" t="inlineStr"/>
    </row>
    <row r="873" ht="15" customHeight="1">
      <c r="A873" t="inlineStr">
        <is>
          <t>A 27101-2024</t>
        </is>
      </c>
      <c r="B873" s="1" t="n">
        <v>45471</v>
      </c>
      <c r="C873" s="1" t="n">
        <v>45997</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27116-2024</t>
        </is>
      </c>
      <c r="B874" s="1" t="n">
        <v>45471.5056712963</v>
      </c>
      <c r="C874" s="1" t="n">
        <v>45997</v>
      </c>
      <c r="D874" t="inlineStr">
        <is>
          <t>VÄRMLANDS LÄN</t>
        </is>
      </c>
      <c r="E874" t="inlineStr">
        <is>
          <t>TORSBY</t>
        </is>
      </c>
      <c r="G874" t="n">
        <v>0.3</v>
      </c>
      <c r="H874" t="n">
        <v>0</v>
      </c>
      <c r="I874" t="n">
        <v>0</v>
      </c>
      <c r="J874" t="n">
        <v>0</v>
      </c>
      <c r="K874" t="n">
        <v>0</v>
      </c>
      <c r="L874" t="n">
        <v>0</v>
      </c>
      <c r="M874" t="n">
        <v>0</v>
      </c>
      <c r="N874" t="n">
        <v>0</v>
      </c>
      <c r="O874" t="n">
        <v>0</v>
      </c>
      <c r="P874" t="n">
        <v>0</v>
      </c>
      <c r="Q874" t="n">
        <v>0</v>
      </c>
      <c r="R874" s="2" t="inlineStr"/>
    </row>
    <row r="875" ht="15" customHeight="1">
      <c r="A875" t="inlineStr">
        <is>
          <t>A 29375-2024</t>
        </is>
      </c>
      <c r="B875" s="1" t="n">
        <v>45483.58712962963</v>
      </c>
      <c r="C875" s="1" t="n">
        <v>45997</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20843-2025</t>
        </is>
      </c>
      <c r="B876" s="1" t="n">
        <v>45776.9233912037</v>
      </c>
      <c r="C876" s="1" t="n">
        <v>45997</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56509-2024</t>
        </is>
      </c>
      <c r="B877" s="1" t="n">
        <v>45625</v>
      </c>
      <c r="C877" s="1" t="n">
        <v>45997</v>
      </c>
      <c r="D877" t="inlineStr">
        <is>
          <t>VÄRMLANDS LÄN</t>
        </is>
      </c>
      <c r="E877" t="inlineStr">
        <is>
          <t>TORSBY</t>
        </is>
      </c>
      <c r="G877" t="n">
        <v>2.6</v>
      </c>
      <c r="H877" t="n">
        <v>0</v>
      </c>
      <c r="I877" t="n">
        <v>0</v>
      </c>
      <c r="J877" t="n">
        <v>0</v>
      </c>
      <c r="K877" t="n">
        <v>0</v>
      </c>
      <c r="L877" t="n">
        <v>0</v>
      </c>
      <c r="M877" t="n">
        <v>0</v>
      </c>
      <c r="N877" t="n">
        <v>0</v>
      </c>
      <c r="O877" t="n">
        <v>0</v>
      </c>
      <c r="P877" t="n">
        <v>0</v>
      </c>
      <c r="Q877" t="n">
        <v>0</v>
      </c>
      <c r="R877" s="2" t="inlineStr"/>
    </row>
    <row r="878" ht="15" customHeight="1">
      <c r="A878" t="inlineStr">
        <is>
          <t>A 20914-2025</t>
        </is>
      </c>
      <c r="B878" s="1" t="n">
        <v>45777</v>
      </c>
      <c r="C878" s="1" t="n">
        <v>45997</v>
      </c>
      <c r="D878" t="inlineStr">
        <is>
          <t>VÄRMLANDS LÄN</t>
        </is>
      </c>
      <c r="E878" t="inlineStr">
        <is>
          <t>TORSBY</t>
        </is>
      </c>
      <c r="F878" t="inlineStr">
        <is>
          <t>Bergvik skog väst AB</t>
        </is>
      </c>
      <c r="G878" t="n">
        <v>2.8</v>
      </c>
      <c r="H878" t="n">
        <v>0</v>
      </c>
      <c r="I878" t="n">
        <v>0</v>
      </c>
      <c r="J878" t="n">
        <v>0</v>
      </c>
      <c r="K878" t="n">
        <v>0</v>
      </c>
      <c r="L878" t="n">
        <v>0</v>
      </c>
      <c r="M878" t="n">
        <v>0</v>
      </c>
      <c r="N878" t="n">
        <v>0</v>
      </c>
      <c r="O878" t="n">
        <v>0</v>
      </c>
      <c r="P878" t="n">
        <v>0</v>
      </c>
      <c r="Q878" t="n">
        <v>0</v>
      </c>
      <c r="R878" s="2" t="inlineStr"/>
    </row>
    <row r="879" ht="15" customHeight="1">
      <c r="A879" t="inlineStr">
        <is>
          <t>A 22634-2023</t>
        </is>
      </c>
      <c r="B879" s="1" t="n">
        <v>45071</v>
      </c>
      <c r="C879" s="1" t="n">
        <v>45997</v>
      </c>
      <c r="D879" t="inlineStr">
        <is>
          <t>VÄRMLANDS LÄN</t>
        </is>
      </c>
      <c r="E879" t="inlineStr">
        <is>
          <t>TORSBY</t>
        </is>
      </c>
      <c r="F879" t="inlineStr">
        <is>
          <t>Bergvik skog väst AB</t>
        </is>
      </c>
      <c r="G879" t="n">
        <v>0.2</v>
      </c>
      <c r="H879" t="n">
        <v>0</v>
      </c>
      <c r="I879" t="n">
        <v>0</v>
      </c>
      <c r="J879" t="n">
        <v>0</v>
      </c>
      <c r="K879" t="n">
        <v>0</v>
      </c>
      <c r="L879" t="n">
        <v>0</v>
      </c>
      <c r="M879" t="n">
        <v>0</v>
      </c>
      <c r="N879" t="n">
        <v>0</v>
      </c>
      <c r="O879" t="n">
        <v>0</v>
      </c>
      <c r="P879" t="n">
        <v>0</v>
      </c>
      <c r="Q879" t="n">
        <v>0</v>
      </c>
      <c r="R879" s="2" t="inlineStr"/>
    </row>
    <row r="880" ht="15" customHeight="1">
      <c r="A880" t="inlineStr">
        <is>
          <t>A 57469-2024</t>
        </is>
      </c>
      <c r="B880" s="1" t="n">
        <v>45630</v>
      </c>
      <c r="C880" s="1" t="n">
        <v>45997</v>
      </c>
      <c r="D880" t="inlineStr">
        <is>
          <t>VÄRMLANDS LÄN</t>
        </is>
      </c>
      <c r="E880" t="inlineStr">
        <is>
          <t>TORSBY</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2699-2022</t>
        </is>
      </c>
      <c r="B881" s="1" t="n">
        <v>44580.62828703703</v>
      </c>
      <c r="C881" s="1" t="n">
        <v>45997</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41160-2023</t>
        </is>
      </c>
      <c r="B882" s="1" t="n">
        <v>45174</v>
      </c>
      <c r="C882" s="1" t="n">
        <v>45997</v>
      </c>
      <c r="D882" t="inlineStr">
        <is>
          <t>VÄRMLANDS LÄN</t>
        </is>
      </c>
      <c r="E882" t="inlineStr">
        <is>
          <t>TORSBY</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11121-2024</t>
        </is>
      </c>
      <c r="B883" s="1" t="n">
        <v>45371.40634259259</v>
      </c>
      <c r="C883" s="1" t="n">
        <v>45997</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61138-2022</t>
        </is>
      </c>
      <c r="B884" s="1" t="n">
        <v>44915</v>
      </c>
      <c r="C884" s="1" t="n">
        <v>45997</v>
      </c>
      <c r="D884" t="inlineStr">
        <is>
          <t>VÄRMLANDS LÄN</t>
        </is>
      </c>
      <c r="E884" t="inlineStr">
        <is>
          <t>TORSBY</t>
        </is>
      </c>
      <c r="G884" t="n">
        <v>3.6</v>
      </c>
      <c r="H884" t="n">
        <v>0</v>
      </c>
      <c r="I884" t="n">
        <v>0</v>
      </c>
      <c r="J884" t="n">
        <v>0</v>
      </c>
      <c r="K884" t="n">
        <v>0</v>
      </c>
      <c r="L884" t="n">
        <v>0</v>
      </c>
      <c r="M884" t="n">
        <v>0</v>
      </c>
      <c r="N884" t="n">
        <v>0</v>
      </c>
      <c r="O884" t="n">
        <v>0</v>
      </c>
      <c r="P884" t="n">
        <v>0</v>
      </c>
      <c r="Q884" t="n">
        <v>0</v>
      </c>
      <c r="R884" s="2" t="inlineStr"/>
    </row>
    <row r="885" ht="15" customHeight="1">
      <c r="A885" t="inlineStr">
        <is>
          <t>A 64902-2021</t>
        </is>
      </c>
      <c r="B885" s="1" t="n">
        <v>44512.64336805556</v>
      </c>
      <c r="C885" s="1" t="n">
        <v>45997</v>
      </c>
      <c r="D885" t="inlineStr">
        <is>
          <t>VÄRMLANDS LÄN</t>
        </is>
      </c>
      <c r="E885" t="inlineStr">
        <is>
          <t>TORSBY</t>
        </is>
      </c>
      <c r="G885" t="n">
        <v>6.1</v>
      </c>
      <c r="H885" t="n">
        <v>0</v>
      </c>
      <c r="I885" t="n">
        <v>0</v>
      </c>
      <c r="J885" t="n">
        <v>0</v>
      </c>
      <c r="K885" t="n">
        <v>0</v>
      </c>
      <c r="L885" t="n">
        <v>0</v>
      </c>
      <c r="M885" t="n">
        <v>0</v>
      </c>
      <c r="N885" t="n">
        <v>0</v>
      </c>
      <c r="O885" t="n">
        <v>0</v>
      </c>
      <c r="P885" t="n">
        <v>0</v>
      </c>
      <c r="Q885" t="n">
        <v>0</v>
      </c>
      <c r="R885" s="2" t="inlineStr"/>
    </row>
    <row r="886" ht="15" customHeight="1">
      <c r="A886" t="inlineStr">
        <is>
          <t>A 22662-2022</t>
        </is>
      </c>
      <c r="B886" s="1" t="n">
        <v>44714</v>
      </c>
      <c r="C886" s="1" t="n">
        <v>45997</v>
      </c>
      <c r="D886" t="inlineStr">
        <is>
          <t>VÄRMLANDS LÄN</t>
        </is>
      </c>
      <c r="E886" t="inlineStr">
        <is>
          <t>TORSBY</t>
        </is>
      </c>
      <c r="G886" t="n">
        <v>4.8</v>
      </c>
      <c r="H886" t="n">
        <v>0</v>
      </c>
      <c r="I886" t="n">
        <v>0</v>
      </c>
      <c r="J886" t="n">
        <v>0</v>
      </c>
      <c r="K886" t="n">
        <v>0</v>
      </c>
      <c r="L886" t="n">
        <v>0</v>
      </c>
      <c r="M886" t="n">
        <v>0</v>
      </c>
      <c r="N886" t="n">
        <v>0</v>
      </c>
      <c r="O886" t="n">
        <v>0</v>
      </c>
      <c r="P886" t="n">
        <v>0</v>
      </c>
      <c r="Q886" t="n">
        <v>0</v>
      </c>
      <c r="R886" s="2" t="inlineStr"/>
    </row>
    <row r="887" ht="15" customHeight="1">
      <c r="A887" t="inlineStr">
        <is>
          <t>A 51661-2024</t>
        </is>
      </c>
      <c r="B887" s="1" t="n">
        <v>45606.74392361111</v>
      </c>
      <c r="C887" s="1" t="n">
        <v>45997</v>
      </c>
      <c r="D887" t="inlineStr">
        <is>
          <t>VÄRMLANDS LÄN</t>
        </is>
      </c>
      <c r="E887" t="inlineStr">
        <is>
          <t>TORSBY</t>
        </is>
      </c>
      <c r="G887" t="n">
        <v>6.9</v>
      </c>
      <c r="H887" t="n">
        <v>0</v>
      </c>
      <c r="I887" t="n">
        <v>0</v>
      </c>
      <c r="J887" t="n">
        <v>0</v>
      </c>
      <c r="K887" t="n">
        <v>0</v>
      </c>
      <c r="L887" t="n">
        <v>0</v>
      </c>
      <c r="M887" t="n">
        <v>0</v>
      </c>
      <c r="N887" t="n">
        <v>0</v>
      </c>
      <c r="O887" t="n">
        <v>0</v>
      </c>
      <c r="P887" t="n">
        <v>0</v>
      </c>
      <c r="Q887" t="n">
        <v>0</v>
      </c>
      <c r="R887" s="2" t="inlineStr"/>
    </row>
    <row r="888" ht="15" customHeight="1">
      <c r="A888" t="inlineStr">
        <is>
          <t>A 51663-2024</t>
        </is>
      </c>
      <c r="B888" s="1" t="n">
        <v>45606.76396990741</v>
      </c>
      <c r="C888" s="1" t="n">
        <v>45997</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9226-2025</t>
        </is>
      </c>
      <c r="B889" s="1" t="n">
        <v>45714</v>
      </c>
      <c r="C889" s="1" t="n">
        <v>45997</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21462-2025</t>
        </is>
      </c>
      <c r="B890" s="1" t="n">
        <v>45782.56770833334</v>
      </c>
      <c r="C890" s="1" t="n">
        <v>45997</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45997</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14292-2023</t>
        </is>
      </c>
      <c r="B892" s="1" t="n">
        <v>45011</v>
      </c>
      <c r="C892" s="1" t="n">
        <v>45997</v>
      </c>
      <c r="D892" t="inlineStr">
        <is>
          <t>VÄRMLANDS LÄN</t>
        </is>
      </c>
      <c r="E892" t="inlineStr">
        <is>
          <t>TORSBY</t>
        </is>
      </c>
      <c r="G892" t="n">
        <v>1.6</v>
      </c>
      <c r="H892" t="n">
        <v>0</v>
      </c>
      <c r="I892" t="n">
        <v>0</v>
      </c>
      <c r="J892" t="n">
        <v>0</v>
      </c>
      <c r="K892" t="n">
        <v>0</v>
      </c>
      <c r="L892" t="n">
        <v>0</v>
      </c>
      <c r="M892" t="n">
        <v>0</v>
      </c>
      <c r="N892" t="n">
        <v>0</v>
      </c>
      <c r="O892" t="n">
        <v>0</v>
      </c>
      <c r="P892" t="n">
        <v>0</v>
      </c>
      <c r="Q892" t="n">
        <v>0</v>
      </c>
      <c r="R892" s="2" t="inlineStr"/>
    </row>
    <row r="893" ht="15" customHeight="1">
      <c r="A893" t="inlineStr">
        <is>
          <t>A 14293-2023</t>
        </is>
      </c>
      <c r="B893" s="1" t="n">
        <v>45011</v>
      </c>
      <c r="C893" s="1" t="n">
        <v>45997</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21274-2025</t>
        </is>
      </c>
      <c r="B894" s="1" t="n">
        <v>45779.62877314815</v>
      </c>
      <c r="C894" s="1" t="n">
        <v>45997</v>
      </c>
      <c r="D894" t="inlineStr">
        <is>
          <t>VÄRMLANDS LÄN</t>
        </is>
      </c>
      <c r="E894" t="inlineStr">
        <is>
          <t>TORSBY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5289-2022</t>
        </is>
      </c>
      <c r="B895" s="1" t="n">
        <v>44594.61883101852</v>
      </c>
      <c r="C895" s="1" t="n">
        <v>45997</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38979-2023</t>
        </is>
      </c>
      <c r="B896" s="1" t="n">
        <v>45163.64584490741</v>
      </c>
      <c r="C896" s="1" t="n">
        <v>45997</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33232-2024</t>
        </is>
      </c>
      <c r="B897" s="1" t="n">
        <v>45518</v>
      </c>
      <c r="C897" s="1" t="n">
        <v>45997</v>
      </c>
      <c r="D897" t="inlineStr">
        <is>
          <t>VÄRMLANDS LÄN</t>
        </is>
      </c>
      <c r="E897" t="inlineStr">
        <is>
          <t>TORSBY</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26887-2024</t>
        </is>
      </c>
      <c r="B898" s="1" t="n">
        <v>45470.64864583333</v>
      </c>
      <c r="C898" s="1" t="n">
        <v>45997</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21280-2024</t>
        </is>
      </c>
      <c r="B899" s="1" t="n">
        <v>45440</v>
      </c>
      <c r="C899" s="1" t="n">
        <v>45997</v>
      </c>
      <c r="D899" t="inlineStr">
        <is>
          <t>VÄRMLANDS LÄN</t>
        </is>
      </c>
      <c r="E899" t="inlineStr">
        <is>
          <t>TORSBY</t>
        </is>
      </c>
      <c r="G899" t="n">
        <v>10.1</v>
      </c>
      <c r="H899" t="n">
        <v>0</v>
      </c>
      <c r="I899" t="n">
        <v>0</v>
      </c>
      <c r="J899" t="n">
        <v>0</v>
      </c>
      <c r="K899" t="n">
        <v>0</v>
      </c>
      <c r="L899" t="n">
        <v>0</v>
      </c>
      <c r="M899" t="n">
        <v>0</v>
      </c>
      <c r="N899" t="n">
        <v>0</v>
      </c>
      <c r="O899" t="n">
        <v>0</v>
      </c>
      <c r="P899" t="n">
        <v>0</v>
      </c>
      <c r="Q899" t="n">
        <v>0</v>
      </c>
      <c r="R899" s="2" t="inlineStr"/>
    </row>
    <row r="900" ht="15" customHeight="1">
      <c r="A900" t="inlineStr">
        <is>
          <t>A 11581-2025</t>
        </is>
      </c>
      <c r="B900" s="1" t="n">
        <v>45727</v>
      </c>
      <c r="C900" s="1" t="n">
        <v>45997</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64602-2023</t>
        </is>
      </c>
      <c r="B901" s="1" t="n">
        <v>45281.50085648148</v>
      </c>
      <c r="C901" s="1" t="n">
        <v>45997</v>
      </c>
      <c r="D901" t="inlineStr">
        <is>
          <t>VÄRMLANDS LÄN</t>
        </is>
      </c>
      <c r="E901" t="inlineStr">
        <is>
          <t>TORSBY</t>
        </is>
      </c>
      <c r="G901" t="n">
        <v>3.5</v>
      </c>
      <c r="H901" t="n">
        <v>0</v>
      </c>
      <c r="I901" t="n">
        <v>0</v>
      </c>
      <c r="J901" t="n">
        <v>0</v>
      </c>
      <c r="K901" t="n">
        <v>0</v>
      </c>
      <c r="L901" t="n">
        <v>0</v>
      </c>
      <c r="M901" t="n">
        <v>0</v>
      </c>
      <c r="N901" t="n">
        <v>0</v>
      </c>
      <c r="O901" t="n">
        <v>0</v>
      </c>
      <c r="P901" t="n">
        <v>0</v>
      </c>
      <c r="Q901" t="n">
        <v>0</v>
      </c>
      <c r="R901" s="2" t="inlineStr"/>
    </row>
    <row r="902" ht="15" customHeight="1">
      <c r="A902" t="inlineStr">
        <is>
          <t>A 53044-2024</t>
        </is>
      </c>
      <c r="B902" s="1" t="n">
        <v>45611.44701388889</v>
      </c>
      <c r="C902" s="1" t="n">
        <v>45997</v>
      </c>
      <c r="D902" t="inlineStr">
        <is>
          <t>VÄRMLANDS LÄN</t>
        </is>
      </c>
      <c r="E902" t="inlineStr">
        <is>
          <t>TORSBY</t>
        </is>
      </c>
      <c r="F902" t="inlineStr">
        <is>
          <t>Kyrkan</t>
        </is>
      </c>
      <c r="G902" t="n">
        <v>25.8</v>
      </c>
      <c r="H902" t="n">
        <v>0</v>
      </c>
      <c r="I902" t="n">
        <v>0</v>
      </c>
      <c r="J902" t="n">
        <v>0</v>
      </c>
      <c r="K902" t="n">
        <v>0</v>
      </c>
      <c r="L902" t="n">
        <v>0</v>
      </c>
      <c r="M902" t="n">
        <v>0</v>
      </c>
      <c r="N902" t="n">
        <v>0</v>
      </c>
      <c r="O902" t="n">
        <v>0</v>
      </c>
      <c r="P902" t="n">
        <v>0</v>
      </c>
      <c r="Q902" t="n">
        <v>0</v>
      </c>
      <c r="R902" s="2" t="inlineStr"/>
    </row>
    <row r="903" ht="15" customHeight="1">
      <c r="A903" t="inlineStr">
        <is>
          <t>A 47271-2021</t>
        </is>
      </c>
      <c r="B903" s="1" t="n">
        <v>44447</v>
      </c>
      <c r="C903" s="1" t="n">
        <v>45997</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53988-2022</t>
        </is>
      </c>
      <c r="B904" s="1" t="n">
        <v>44876</v>
      </c>
      <c r="C904" s="1" t="n">
        <v>45997</v>
      </c>
      <c r="D904" t="inlineStr">
        <is>
          <t>VÄRMLANDS LÄN</t>
        </is>
      </c>
      <c r="E904" t="inlineStr">
        <is>
          <t>TORSBY</t>
        </is>
      </c>
      <c r="G904" t="n">
        <v>6</v>
      </c>
      <c r="H904" t="n">
        <v>0</v>
      </c>
      <c r="I904" t="n">
        <v>0</v>
      </c>
      <c r="J904" t="n">
        <v>0</v>
      </c>
      <c r="K904" t="n">
        <v>0</v>
      </c>
      <c r="L904" t="n">
        <v>0</v>
      </c>
      <c r="M904" t="n">
        <v>0</v>
      </c>
      <c r="N904" t="n">
        <v>0</v>
      </c>
      <c r="O904" t="n">
        <v>0</v>
      </c>
      <c r="P904" t="n">
        <v>0</v>
      </c>
      <c r="Q904" t="n">
        <v>0</v>
      </c>
      <c r="R904" s="2" t="inlineStr"/>
    </row>
    <row r="905" ht="15" customHeight="1">
      <c r="A905" t="inlineStr">
        <is>
          <t>A 64641-2023</t>
        </is>
      </c>
      <c r="B905" s="1" t="n">
        <v>45281.55908564815</v>
      </c>
      <c r="C905" s="1" t="n">
        <v>45997</v>
      </c>
      <c r="D905" t="inlineStr">
        <is>
          <t>VÄRMLANDS LÄN</t>
        </is>
      </c>
      <c r="E905" t="inlineStr">
        <is>
          <t>TORSBY</t>
        </is>
      </c>
      <c r="F905" t="inlineStr">
        <is>
          <t>Bergvik skog väst AB</t>
        </is>
      </c>
      <c r="G905" t="n">
        <v>2.8</v>
      </c>
      <c r="H905" t="n">
        <v>0</v>
      </c>
      <c r="I905" t="n">
        <v>0</v>
      </c>
      <c r="J905" t="n">
        <v>0</v>
      </c>
      <c r="K905" t="n">
        <v>0</v>
      </c>
      <c r="L905" t="n">
        <v>0</v>
      </c>
      <c r="M905" t="n">
        <v>0</v>
      </c>
      <c r="N905" t="n">
        <v>0</v>
      </c>
      <c r="O905" t="n">
        <v>0</v>
      </c>
      <c r="P905" t="n">
        <v>0</v>
      </c>
      <c r="Q905" t="n">
        <v>0</v>
      </c>
      <c r="R905" s="2" t="inlineStr"/>
    </row>
    <row r="906" ht="15" customHeight="1">
      <c r="A906" t="inlineStr">
        <is>
          <t>A 7069-2022</t>
        </is>
      </c>
      <c r="B906" s="1" t="n">
        <v>44603</v>
      </c>
      <c r="C906" s="1" t="n">
        <v>45997</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47465-2024</t>
        </is>
      </c>
      <c r="B907" s="1" t="n">
        <v>45587</v>
      </c>
      <c r="C907" s="1" t="n">
        <v>45997</v>
      </c>
      <c r="D907" t="inlineStr">
        <is>
          <t>VÄRMLANDS LÄN</t>
        </is>
      </c>
      <c r="E907" t="inlineStr">
        <is>
          <t>TORSBY</t>
        </is>
      </c>
      <c r="F907" t="inlineStr">
        <is>
          <t>Övriga Aktiebolag</t>
        </is>
      </c>
      <c r="G907" t="n">
        <v>4.6</v>
      </c>
      <c r="H907" t="n">
        <v>0</v>
      </c>
      <c r="I907" t="n">
        <v>0</v>
      </c>
      <c r="J907" t="n">
        <v>0</v>
      </c>
      <c r="K907" t="n">
        <v>0</v>
      </c>
      <c r="L907" t="n">
        <v>0</v>
      </c>
      <c r="M907" t="n">
        <v>0</v>
      </c>
      <c r="N907" t="n">
        <v>0</v>
      </c>
      <c r="O907" t="n">
        <v>0</v>
      </c>
      <c r="P907" t="n">
        <v>0</v>
      </c>
      <c r="Q907" t="n">
        <v>0</v>
      </c>
      <c r="R907" s="2" t="inlineStr"/>
    </row>
    <row r="908" ht="15" customHeight="1">
      <c r="A908" t="inlineStr">
        <is>
          <t>A 15398-2025</t>
        </is>
      </c>
      <c r="B908" s="1" t="n">
        <v>45747.44309027777</v>
      </c>
      <c r="C908" s="1" t="n">
        <v>45997</v>
      </c>
      <c r="D908" t="inlineStr">
        <is>
          <t>VÄRMLANDS LÄN</t>
        </is>
      </c>
      <c r="E908" t="inlineStr">
        <is>
          <t>TORSBY</t>
        </is>
      </c>
      <c r="G908" t="n">
        <v>8</v>
      </c>
      <c r="H908" t="n">
        <v>0</v>
      </c>
      <c r="I908" t="n">
        <v>0</v>
      </c>
      <c r="J908" t="n">
        <v>0</v>
      </c>
      <c r="K908" t="n">
        <v>0</v>
      </c>
      <c r="L908" t="n">
        <v>0</v>
      </c>
      <c r="M908" t="n">
        <v>0</v>
      </c>
      <c r="N908" t="n">
        <v>0</v>
      </c>
      <c r="O908" t="n">
        <v>0</v>
      </c>
      <c r="P908" t="n">
        <v>0</v>
      </c>
      <c r="Q908" t="n">
        <v>0</v>
      </c>
      <c r="R908" s="2" t="inlineStr"/>
    </row>
    <row r="909" ht="15" customHeight="1">
      <c r="A909" t="inlineStr">
        <is>
          <t>A 4707-2023</t>
        </is>
      </c>
      <c r="B909" s="1" t="n">
        <v>44957</v>
      </c>
      <c r="C909" s="1" t="n">
        <v>45997</v>
      </c>
      <c r="D909" t="inlineStr">
        <is>
          <t>VÄRMLANDS LÄN</t>
        </is>
      </c>
      <c r="E909" t="inlineStr">
        <is>
          <t>TORSBY</t>
        </is>
      </c>
      <c r="G909" t="n">
        <v>7</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45997</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44497-2023</t>
        </is>
      </c>
      <c r="B911" s="1" t="n">
        <v>45189.45701388889</v>
      </c>
      <c r="C911" s="1" t="n">
        <v>45997</v>
      </c>
      <c r="D911" t="inlineStr">
        <is>
          <t>VÄRMLANDS LÄN</t>
        </is>
      </c>
      <c r="E911" t="inlineStr">
        <is>
          <t>TORSBY</t>
        </is>
      </c>
      <c r="G911" t="n">
        <v>7.6</v>
      </c>
      <c r="H911" t="n">
        <v>0</v>
      </c>
      <c r="I911" t="n">
        <v>0</v>
      </c>
      <c r="J911" t="n">
        <v>0</v>
      </c>
      <c r="K911" t="n">
        <v>0</v>
      </c>
      <c r="L911" t="n">
        <v>0</v>
      </c>
      <c r="M911" t="n">
        <v>0</v>
      </c>
      <c r="N911" t="n">
        <v>0</v>
      </c>
      <c r="O911" t="n">
        <v>0</v>
      </c>
      <c r="P911" t="n">
        <v>0</v>
      </c>
      <c r="Q911" t="n">
        <v>0</v>
      </c>
      <c r="R911" s="2" t="inlineStr"/>
    </row>
    <row r="912" ht="15" customHeight="1">
      <c r="A912" t="inlineStr">
        <is>
          <t>A 61128-2022</t>
        </is>
      </c>
      <c r="B912" s="1" t="n">
        <v>44915.4455787037</v>
      </c>
      <c r="C912" s="1" t="n">
        <v>45997</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41671-2021</t>
        </is>
      </c>
      <c r="B913" s="1" t="n">
        <v>44425</v>
      </c>
      <c r="C913" s="1" t="n">
        <v>45997</v>
      </c>
      <c r="D913" t="inlineStr">
        <is>
          <t>VÄRMLANDS LÄN</t>
        </is>
      </c>
      <c r="E913" t="inlineStr">
        <is>
          <t>TORSBY</t>
        </is>
      </c>
      <c r="F913" t="inlineStr">
        <is>
          <t>Övriga Aktiebolag</t>
        </is>
      </c>
      <c r="G913" t="n">
        <v>10.1</v>
      </c>
      <c r="H913" t="n">
        <v>0</v>
      </c>
      <c r="I913" t="n">
        <v>0</v>
      </c>
      <c r="J913" t="n">
        <v>0</v>
      </c>
      <c r="K913" t="n">
        <v>0</v>
      </c>
      <c r="L913" t="n">
        <v>0</v>
      </c>
      <c r="M913" t="n">
        <v>0</v>
      </c>
      <c r="N913" t="n">
        <v>0</v>
      </c>
      <c r="O913" t="n">
        <v>0</v>
      </c>
      <c r="P913" t="n">
        <v>0</v>
      </c>
      <c r="Q913" t="n">
        <v>0</v>
      </c>
      <c r="R913" s="2" t="inlineStr"/>
    </row>
    <row r="914" ht="15" customHeight="1">
      <c r="A914" t="inlineStr">
        <is>
          <t>A 27086-2024</t>
        </is>
      </c>
      <c r="B914" s="1" t="n">
        <v>45471</v>
      </c>
      <c r="C914" s="1" t="n">
        <v>45997</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41633-2021</t>
        </is>
      </c>
      <c r="B915" s="1" t="n">
        <v>44425</v>
      </c>
      <c r="C915" s="1" t="n">
        <v>45997</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21324-2025</t>
        </is>
      </c>
      <c r="B916" s="1" t="n">
        <v>45782.34947916667</v>
      </c>
      <c r="C916" s="1" t="n">
        <v>45997</v>
      </c>
      <c r="D916" t="inlineStr">
        <is>
          <t>VÄRMLANDS LÄN</t>
        </is>
      </c>
      <c r="E916" t="inlineStr">
        <is>
          <t>TORSBY</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1528-2025</t>
        </is>
      </c>
      <c r="B917" s="1" t="n">
        <v>45670</v>
      </c>
      <c r="C917" s="1" t="n">
        <v>45997</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29256-2023</t>
        </is>
      </c>
      <c r="B918" s="1" t="n">
        <v>45105.65310185185</v>
      </c>
      <c r="C918" s="1" t="n">
        <v>45997</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13723-2023</t>
        </is>
      </c>
      <c r="B919" s="1" t="n">
        <v>45007</v>
      </c>
      <c r="C919" s="1" t="n">
        <v>45997</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43732-2022</t>
        </is>
      </c>
      <c r="B920" s="1" t="n">
        <v>44837.69357638889</v>
      </c>
      <c r="C920" s="1" t="n">
        <v>45997</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14025-2025</t>
        </is>
      </c>
      <c r="B921" s="1" t="n">
        <v>45740</v>
      </c>
      <c r="C921" s="1" t="n">
        <v>45997</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1104-2025</t>
        </is>
      </c>
      <c r="B922" s="1" t="n">
        <v>45666</v>
      </c>
      <c r="C922" s="1" t="n">
        <v>45997</v>
      </c>
      <c r="D922" t="inlineStr">
        <is>
          <t>VÄRMLANDS LÄN</t>
        </is>
      </c>
      <c r="E922" t="inlineStr">
        <is>
          <t>TORSBY</t>
        </is>
      </c>
      <c r="G922" t="n">
        <v>6.9</v>
      </c>
      <c r="H922" t="n">
        <v>0</v>
      </c>
      <c r="I922" t="n">
        <v>0</v>
      </c>
      <c r="J922" t="n">
        <v>0</v>
      </c>
      <c r="K922" t="n">
        <v>0</v>
      </c>
      <c r="L922" t="n">
        <v>0</v>
      </c>
      <c r="M922" t="n">
        <v>0</v>
      </c>
      <c r="N922" t="n">
        <v>0</v>
      </c>
      <c r="O922" t="n">
        <v>0</v>
      </c>
      <c r="P922" t="n">
        <v>0</v>
      </c>
      <c r="Q922" t="n">
        <v>0</v>
      </c>
      <c r="R922" s="2" t="inlineStr"/>
    </row>
    <row r="923" ht="15" customHeight="1">
      <c r="A923" t="inlineStr">
        <is>
          <t>A 25313-2024</t>
        </is>
      </c>
      <c r="B923" s="1" t="n">
        <v>45462</v>
      </c>
      <c r="C923" s="1" t="n">
        <v>45997</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16433-2023</t>
        </is>
      </c>
      <c r="B924" s="1" t="n">
        <v>45022</v>
      </c>
      <c r="C924" s="1" t="n">
        <v>45997</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38541-2023</t>
        </is>
      </c>
      <c r="B925" s="1" t="n">
        <v>45162</v>
      </c>
      <c r="C925" s="1" t="n">
        <v>45997</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21411-2023</t>
        </is>
      </c>
      <c r="B926" s="1" t="n">
        <v>45063.38505787037</v>
      </c>
      <c r="C926" s="1" t="n">
        <v>45997</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21858-2025</t>
        </is>
      </c>
      <c r="B927" s="1" t="n">
        <v>45784.36265046296</v>
      </c>
      <c r="C927" s="1" t="n">
        <v>45997</v>
      </c>
      <c r="D927" t="inlineStr">
        <is>
          <t>VÄRMLANDS LÄN</t>
        </is>
      </c>
      <c r="E927" t="inlineStr">
        <is>
          <t>TORSBY</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21974-2025</t>
        </is>
      </c>
      <c r="B928" s="1" t="n">
        <v>45784.63689814815</v>
      </c>
      <c r="C928" s="1" t="n">
        <v>45997</v>
      </c>
      <c r="D928" t="inlineStr">
        <is>
          <t>VÄRMLANDS LÄN</t>
        </is>
      </c>
      <c r="E928" t="inlineStr">
        <is>
          <t>TORSBY</t>
        </is>
      </c>
      <c r="F928" t="inlineStr">
        <is>
          <t>Bergvik skog väst AB</t>
        </is>
      </c>
      <c r="G928" t="n">
        <v>6.9</v>
      </c>
      <c r="H928" t="n">
        <v>0</v>
      </c>
      <c r="I928" t="n">
        <v>0</v>
      </c>
      <c r="J928" t="n">
        <v>0</v>
      </c>
      <c r="K928" t="n">
        <v>0</v>
      </c>
      <c r="L928" t="n">
        <v>0</v>
      </c>
      <c r="M928" t="n">
        <v>0</v>
      </c>
      <c r="N928" t="n">
        <v>0</v>
      </c>
      <c r="O928" t="n">
        <v>0</v>
      </c>
      <c r="P928" t="n">
        <v>0</v>
      </c>
      <c r="Q928" t="n">
        <v>0</v>
      </c>
      <c r="R928" s="2" t="inlineStr"/>
    </row>
    <row r="929" ht="15" customHeight="1">
      <c r="A929" t="inlineStr">
        <is>
          <t>A 21963-2025</t>
        </is>
      </c>
      <c r="B929" s="1" t="n">
        <v>45784</v>
      </c>
      <c r="C929" s="1" t="n">
        <v>45997</v>
      </c>
      <c r="D929" t="inlineStr">
        <is>
          <t>VÄRMLANDS LÄN</t>
        </is>
      </c>
      <c r="E929" t="inlineStr">
        <is>
          <t>TORSBY</t>
        </is>
      </c>
      <c r="F929" t="inlineStr">
        <is>
          <t>Bergvik skog väst AB</t>
        </is>
      </c>
      <c r="G929" t="n">
        <v>12.3</v>
      </c>
      <c r="H929" t="n">
        <v>0</v>
      </c>
      <c r="I929" t="n">
        <v>0</v>
      </c>
      <c r="J929" t="n">
        <v>0</v>
      </c>
      <c r="K929" t="n">
        <v>0</v>
      </c>
      <c r="L929" t="n">
        <v>0</v>
      </c>
      <c r="M929" t="n">
        <v>0</v>
      </c>
      <c r="N929" t="n">
        <v>0</v>
      </c>
      <c r="O929" t="n">
        <v>0</v>
      </c>
      <c r="P929" t="n">
        <v>0</v>
      </c>
      <c r="Q929" t="n">
        <v>0</v>
      </c>
      <c r="R929" s="2" t="inlineStr"/>
    </row>
    <row r="930" ht="15" customHeight="1">
      <c r="A930" t="inlineStr">
        <is>
          <t>A 2506-2025</t>
        </is>
      </c>
      <c r="B930" s="1" t="n">
        <v>45674</v>
      </c>
      <c r="C930" s="1" t="n">
        <v>45997</v>
      </c>
      <c r="D930" t="inlineStr">
        <is>
          <t>VÄRMLANDS LÄN</t>
        </is>
      </c>
      <c r="E930" t="inlineStr">
        <is>
          <t>TORSBY</t>
        </is>
      </c>
      <c r="F930" t="inlineStr">
        <is>
          <t>Bergvik skog väst AB</t>
        </is>
      </c>
      <c r="G930" t="n">
        <v>19.2</v>
      </c>
      <c r="H930" t="n">
        <v>0</v>
      </c>
      <c r="I930" t="n">
        <v>0</v>
      </c>
      <c r="J930" t="n">
        <v>0</v>
      </c>
      <c r="K930" t="n">
        <v>0</v>
      </c>
      <c r="L930" t="n">
        <v>0</v>
      </c>
      <c r="M930" t="n">
        <v>0</v>
      </c>
      <c r="N930" t="n">
        <v>0</v>
      </c>
      <c r="O930" t="n">
        <v>0</v>
      </c>
      <c r="P930" t="n">
        <v>0</v>
      </c>
      <c r="Q930" t="n">
        <v>0</v>
      </c>
      <c r="R930" s="2" t="inlineStr"/>
    </row>
    <row r="931" ht="15" customHeight="1">
      <c r="A931" t="inlineStr">
        <is>
          <t>A 62090-2024</t>
        </is>
      </c>
      <c r="B931" s="1" t="n">
        <v>45656</v>
      </c>
      <c r="C931" s="1" t="n">
        <v>45997</v>
      </c>
      <c r="D931" t="inlineStr">
        <is>
          <t>VÄRMLANDS LÄN</t>
        </is>
      </c>
      <c r="E931" t="inlineStr">
        <is>
          <t>TORSBY</t>
        </is>
      </c>
      <c r="G931" t="n">
        <v>2.8</v>
      </c>
      <c r="H931" t="n">
        <v>0</v>
      </c>
      <c r="I931" t="n">
        <v>0</v>
      </c>
      <c r="J931" t="n">
        <v>0</v>
      </c>
      <c r="K931" t="n">
        <v>0</v>
      </c>
      <c r="L931" t="n">
        <v>0</v>
      </c>
      <c r="M931" t="n">
        <v>0</v>
      </c>
      <c r="N931" t="n">
        <v>0</v>
      </c>
      <c r="O931" t="n">
        <v>0</v>
      </c>
      <c r="P931" t="n">
        <v>0</v>
      </c>
      <c r="Q931" t="n">
        <v>0</v>
      </c>
      <c r="R931" s="2" t="inlineStr"/>
    </row>
    <row r="932" ht="15" customHeight="1">
      <c r="A932" t="inlineStr">
        <is>
          <t>A 62092-2024</t>
        </is>
      </c>
      <c r="B932" s="1" t="n">
        <v>45656</v>
      </c>
      <c r="C932" s="1" t="n">
        <v>45997</v>
      </c>
      <c r="D932" t="inlineStr">
        <is>
          <t>VÄRMLANDS LÄN</t>
        </is>
      </c>
      <c r="E932" t="inlineStr">
        <is>
          <t>TORSBY</t>
        </is>
      </c>
      <c r="G932" t="n">
        <v>3.7</v>
      </c>
      <c r="H932" t="n">
        <v>0</v>
      </c>
      <c r="I932" t="n">
        <v>0</v>
      </c>
      <c r="J932" t="n">
        <v>0</v>
      </c>
      <c r="K932" t="n">
        <v>0</v>
      </c>
      <c r="L932" t="n">
        <v>0</v>
      </c>
      <c r="M932" t="n">
        <v>0</v>
      </c>
      <c r="N932" t="n">
        <v>0</v>
      </c>
      <c r="O932" t="n">
        <v>0</v>
      </c>
      <c r="P932" t="n">
        <v>0</v>
      </c>
      <c r="Q932" t="n">
        <v>0</v>
      </c>
      <c r="R932" s="2" t="inlineStr"/>
    </row>
    <row r="933" ht="15" customHeight="1">
      <c r="A933" t="inlineStr">
        <is>
          <t>A 52940-2024</t>
        </is>
      </c>
      <c r="B933" s="1" t="n">
        <v>45610</v>
      </c>
      <c r="C933" s="1" t="n">
        <v>45997</v>
      </c>
      <c r="D933" t="inlineStr">
        <is>
          <t>VÄRMLANDS LÄN</t>
        </is>
      </c>
      <c r="E933" t="inlineStr">
        <is>
          <t>TORSBY</t>
        </is>
      </c>
      <c r="G933" t="n">
        <v>3.7</v>
      </c>
      <c r="H933" t="n">
        <v>0</v>
      </c>
      <c r="I933" t="n">
        <v>0</v>
      </c>
      <c r="J933" t="n">
        <v>0</v>
      </c>
      <c r="K933" t="n">
        <v>0</v>
      </c>
      <c r="L933" t="n">
        <v>0</v>
      </c>
      <c r="M933" t="n">
        <v>0</v>
      </c>
      <c r="N933" t="n">
        <v>0</v>
      </c>
      <c r="O933" t="n">
        <v>0</v>
      </c>
      <c r="P933" t="n">
        <v>0</v>
      </c>
      <c r="Q933" t="n">
        <v>0</v>
      </c>
      <c r="R933" s="2" t="inlineStr"/>
    </row>
    <row r="934" ht="15" customHeight="1">
      <c r="A934" t="inlineStr">
        <is>
          <t>A 45587-2023</t>
        </is>
      </c>
      <c r="B934" s="1" t="n">
        <v>45194.62877314815</v>
      </c>
      <c r="C934" s="1" t="n">
        <v>45997</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46233-2023</t>
        </is>
      </c>
      <c r="B935" s="1" t="n">
        <v>45196.69575231482</v>
      </c>
      <c r="C935" s="1" t="n">
        <v>45997</v>
      </c>
      <c r="D935" t="inlineStr">
        <is>
          <t>VÄRMLANDS LÄN</t>
        </is>
      </c>
      <c r="E935" t="inlineStr">
        <is>
          <t>TORSBY</t>
        </is>
      </c>
      <c r="F935" t="inlineStr">
        <is>
          <t>Kyrkan</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52057-2024</t>
        </is>
      </c>
      <c r="B936" s="1" t="n">
        <v>45608</v>
      </c>
      <c r="C936" s="1" t="n">
        <v>45997</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35057-2023</t>
        </is>
      </c>
      <c r="B937" s="1" t="n">
        <v>45145.3909375</v>
      </c>
      <c r="C937" s="1" t="n">
        <v>45997</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485-2025</t>
        </is>
      </c>
      <c r="B938" s="1" t="n">
        <v>45664</v>
      </c>
      <c r="C938" s="1" t="n">
        <v>45997</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3442-2025</t>
        </is>
      </c>
      <c r="B939" s="1" t="n">
        <v>45680.45114583334</v>
      </c>
      <c r="C939" s="1" t="n">
        <v>45997</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3409-2025</t>
        </is>
      </c>
      <c r="B940" s="1" t="n">
        <v>45680.39391203703</v>
      </c>
      <c r="C940" s="1" t="n">
        <v>45997</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43137-2024</t>
        </is>
      </c>
      <c r="B941" s="1" t="n">
        <v>45567</v>
      </c>
      <c r="C941" s="1" t="n">
        <v>45997</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42632-2023</t>
        </is>
      </c>
      <c r="B942" s="1" t="n">
        <v>45181</v>
      </c>
      <c r="C942" s="1" t="n">
        <v>45997</v>
      </c>
      <c r="D942" t="inlineStr">
        <is>
          <t>VÄRMLANDS LÄN</t>
        </is>
      </c>
      <c r="E942" t="inlineStr">
        <is>
          <t>TORSBY</t>
        </is>
      </c>
      <c r="G942" t="n">
        <v>5.8</v>
      </c>
      <c r="H942" t="n">
        <v>0</v>
      </c>
      <c r="I942" t="n">
        <v>0</v>
      </c>
      <c r="J942" t="n">
        <v>0</v>
      </c>
      <c r="K942" t="n">
        <v>0</v>
      </c>
      <c r="L942" t="n">
        <v>0</v>
      </c>
      <c r="M942" t="n">
        <v>0</v>
      </c>
      <c r="N942" t="n">
        <v>0</v>
      </c>
      <c r="O942" t="n">
        <v>0</v>
      </c>
      <c r="P942" t="n">
        <v>0</v>
      </c>
      <c r="Q942" t="n">
        <v>0</v>
      </c>
      <c r="R942" s="2" t="inlineStr"/>
    </row>
    <row r="943" ht="15" customHeight="1">
      <c r="A943" t="inlineStr">
        <is>
          <t>A 42635-2023</t>
        </is>
      </c>
      <c r="B943" s="1" t="n">
        <v>45181.49310185185</v>
      </c>
      <c r="C943" s="1" t="n">
        <v>45997</v>
      </c>
      <c r="D943" t="inlineStr">
        <is>
          <t>VÄRMLANDS LÄN</t>
        </is>
      </c>
      <c r="E943" t="inlineStr">
        <is>
          <t>TORSBY</t>
        </is>
      </c>
      <c r="G943" t="n">
        <v>16.1</v>
      </c>
      <c r="H943" t="n">
        <v>0</v>
      </c>
      <c r="I943" t="n">
        <v>0</v>
      </c>
      <c r="J943" t="n">
        <v>0</v>
      </c>
      <c r="K943" t="n">
        <v>0</v>
      </c>
      <c r="L943" t="n">
        <v>0</v>
      </c>
      <c r="M943" t="n">
        <v>0</v>
      </c>
      <c r="N943" t="n">
        <v>0</v>
      </c>
      <c r="O943" t="n">
        <v>0</v>
      </c>
      <c r="P943" t="n">
        <v>0</v>
      </c>
      <c r="Q943" t="n">
        <v>0</v>
      </c>
      <c r="R943" s="2" t="inlineStr"/>
    </row>
    <row r="944" ht="15" customHeight="1">
      <c r="A944" t="inlineStr">
        <is>
          <t>A 48239-2022</t>
        </is>
      </c>
      <c r="B944" s="1" t="n">
        <v>44858.45881944444</v>
      </c>
      <c r="C944" s="1" t="n">
        <v>45997</v>
      </c>
      <c r="D944" t="inlineStr">
        <is>
          <t>VÄRMLANDS LÄN</t>
        </is>
      </c>
      <c r="E944" t="inlineStr">
        <is>
          <t>TORSBY</t>
        </is>
      </c>
      <c r="G944" t="n">
        <v>3.9</v>
      </c>
      <c r="H944" t="n">
        <v>0</v>
      </c>
      <c r="I944" t="n">
        <v>0</v>
      </c>
      <c r="J944" t="n">
        <v>0</v>
      </c>
      <c r="K944" t="n">
        <v>0</v>
      </c>
      <c r="L944" t="n">
        <v>0</v>
      </c>
      <c r="M944" t="n">
        <v>0</v>
      </c>
      <c r="N944" t="n">
        <v>0</v>
      </c>
      <c r="O944" t="n">
        <v>0</v>
      </c>
      <c r="P944" t="n">
        <v>0</v>
      </c>
      <c r="Q944" t="n">
        <v>0</v>
      </c>
      <c r="R944" s="2" t="inlineStr"/>
    </row>
    <row r="945" ht="15" customHeight="1">
      <c r="A945" t="inlineStr">
        <is>
          <t>A 22124-2022</t>
        </is>
      </c>
      <c r="B945" s="1" t="n">
        <v>44712</v>
      </c>
      <c r="C945" s="1" t="n">
        <v>45997</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6708-2023</t>
        </is>
      </c>
      <c r="B946" s="1" t="n">
        <v>44960</v>
      </c>
      <c r="C946" s="1" t="n">
        <v>45997</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53744-2024</t>
        </is>
      </c>
      <c r="B947" s="1" t="n">
        <v>45615</v>
      </c>
      <c r="C947" s="1" t="n">
        <v>45997</v>
      </c>
      <c r="D947" t="inlineStr">
        <is>
          <t>VÄRMLANDS LÄN</t>
        </is>
      </c>
      <c r="E947" t="inlineStr">
        <is>
          <t>TORSBY</t>
        </is>
      </c>
      <c r="G947" t="n">
        <v>16.9</v>
      </c>
      <c r="H947" t="n">
        <v>0</v>
      </c>
      <c r="I947" t="n">
        <v>0</v>
      </c>
      <c r="J947" t="n">
        <v>0</v>
      </c>
      <c r="K947" t="n">
        <v>0</v>
      </c>
      <c r="L947" t="n">
        <v>0</v>
      </c>
      <c r="M947" t="n">
        <v>0</v>
      </c>
      <c r="N947" t="n">
        <v>0</v>
      </c>
      <c r="O947" t="n">
        <v>0</v>
      </c>
      <c r="P947" t="n">
        <v>0</v>
      </c>
      <c r="Q947" t="n">
        <v>0</v>
      </c>
      <c r="R947" s="2" t="inlineStr"/>
    </row>
    <row r="948" ht="15" customHeight="1">
      <c r="A948" t="inlineStr">
        <is>
          <t>A 1100-2025</t>
        </is>
      </c>
      <c r="B948" s="1" t="n">
        <v>45666.64099537037</v>
      </c>
      <c r="C948" s="1" t="n">
        <v>45997</v>
      </c>
      <c r="D948" t="inlineStr">
        <is>
          <t>VÄRMLANDS LÄN</t>
        </is>
      </c>
      <c r="E948" t="inlineStr">
        <is>
          <t>TORSBY</t>
        </is>
      </c>
      <c r="G948" t="n">
        <v>8.4</v>
      </c>
      <c r="H948" t="n">
        <v>0</v>
      </c>
      <c r="I948" t="n">
        <v>0</v>
      </c>
      <c r="J948" t="n">
        <v>0</v>
      </c>
      <c r="K948" t="n">
        <v>0</v>
      </c>
      <c r="L948" t="n">
        <v>0</v>
      </c>
      <c r="M948" t="n">
        <v>0</v>
      </c>
      <c r="N948" t="n">
        <v>0</v>
      </c>
      <c r="O948" t="n">
        <v>0</v>
      </c>
      <c r="P948" t="n">
        <v>0</v>
      </c>
      <c r="Q948" t="n">
        <v>0</v>
      </c>
      <c r="R948" s="2" t="inlineStr"/>
    </row>
    <row r="949" ht="15" customHeight="1">
      <c r="A949" t="inlineStr">
        <is>
          <t>A 10895-2024</t>
        </is>
      </c>
      <c r="B949" s="1" t="n">
        <v>45370.34901620371</v>
      </c>
      <c r="C949" s="1" t="n">
        <v>45997</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58728-2021</t>
        </is>
      </c>
      <c r="B950" s="1" t="n">
        <v>44489</v>
      </c>
      <c r="C950" s="1" t="n">
        <v>45997</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62445-2023</t>
        </is>
      </c>
      <c r="B951" s="1" t="n">
        <v>45268.47487268518</v>
      </c>
      <c r="C951" s="1" t="n">
        <v>45997</v>
      </c>
      <c r="D951" t="inlineStr">
        <is>
          <t>VÄRMLANDS LÄN</t>
        </is>
      </c>
      <c r="E951" t="inlineStr">
        <is>
          <t>TORSBY</t>
        </is>
      </c>
      <c r="G951" t="n">
        <v>2.2</v>
      </c>
      <c r="H951" t="n">
        <v>0</v>
      </c>
      <c r="I951" t="n">
        <v>0</v>
      </c>
      <c r="J951" t="n">
        <v>0</v>
      </c>
      <c r="K951" t="n">
        <v>0</v>
      </c>
      <c r="L951" t="n">
        <v>0</v>
      </c>
      <c r="M951" t="n">
        <v>0</v>
      </c>
      <c r="N951" t="n">
        <v>0</v>
      </c>
      <c r="O951" t="n">
        <v>0</v>
      </c>
      <c r="P951" t="n">
        <v>0</v>
      </c>
      <c r="Q951" t="n">
        <v>0</v>
      </c>
      <c r="R951" s="2" t="inlineStr"/>
    </row>
    <row r="952" ht="15" customHeight="1">
      <c r="A952" t="inlineStr">
        <is>
          <t>A 28624-2024</t>
        </is>
      </c>
      <c r="B952" s="1" t="n">
        <v>45478.44297453704</v>
      </c>
      <c r="C952" s="1" t="n">
        <v>45997</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34655-2022</t>
        </is>
      </c>
      <c r="B953" s="1" t="n">
        <v>44795</v>
      </c>
      <c r="C953" s="1" t="n">
        <v>45997</v>
      </c>
      <c r="D953" t="inlineStr">
        <is>
          <t>VÄRMLANDS LÄN</t>
        </is>
      </c>
      <c r="E953" t="inlineStr">
        <is>
          <t>TORSBY</t>
        </is>
      </c>
      <c r="G953" t="n">
        <v>12.8</v>
      </c>
      <c r="H953" t="n">
        <v>0</v>
      </c>
      <c r="I953" t="n">
        <v>0</v>
      </c>
      <c r="J953" t="n">
        <v>0</v>
      </c>
      <c r="K953" t="n">
        <v>0</v>
      </c>
      <c r="L953" t="n">
        <v>0</v>
      </c>
      <c r="M953" t="n">
        <v>0</v>
      </c>
      <c r="N953" t="n">
        <v>0</v>
      </c>
      <c r="O953" t="n">
        <v>0</v>
      </c>
      <c r="P953" t="n">
        <v>0</v>
      </c>
      <c r="Q953" t="n">
        <v>0</v>
      </c>
      <c r="R953" s="2" t="inlineStr"/>
    </row>
    <row r="954" ht="15" customHeight="1">
      <c r="A954" t="inlineStr">
        <is>
          <t>A 345-2023</t>
        </is>
      </c>
      <c r="B954" s="1" t="n">
        <v>44923</v>
      </c>
      <c r="C954" s="1" t="n">
        <v>45997</v>
      </c>
      <c r="D954" t="inlineStr">
        <is>
          <t>VÄRMLANDS LÄN</t>
        </is>
      </c>
      <c r="E954" t="inlineStr">
        <is>
          <t>TORSBY</t>
        </is>
      </c>
      <c r="G954" t="n">
        <v>9.4</v>
      </c>
      <c r="H954" t="n">
        <v>0</v>
      </c>
      <c r="I954" t="n">
        <v>0</v>
      </c>
      <c r="J954" t="n">
        <v>0</v>
      </c>
      <c r="K954" t="n">
        <v>0</v>
      </c>
      <c r="L954" t="n">
        <v>0</v>
      </c>
      <c r="M954" t="n">
        <v>0</v>
      </c>
      <c r="N954" t="n">
        <v>0</v>
      </c>
      <c r="O954" t="n">
        <v>0</v>
      </c>
      <c r="P954" t="n">
        <v>0</v>
      </c>
      <c r="Q954" t="n">
        <v>0</v>
      </c>
      <c r="R954" s="2" t="inlineStr"/>
    </row>
    <row r="955" ht="15" customHeight="1">
      <c r="A955" t="inlineStr">
        <is>
          <t>A 522-2023</t>
        </is>
      </c>
      <c r="B955" s="1" t="n">
        <v>44930</v>
      </c>
      <c r="C955" s="1" t="n">
        <v>45997</v>
      </c>
      <c r="D955" t="inlineStr">
        <is>
          <t>VÄRMLANDS LÄN</t>
        </is>
      </c>
      <c r="E955" t="inlineStr">
        <is>
          <t>TORSBY</t>
        </is>
      </c>
      <c r="G955" t="n">
        <v>2.8</v>
      </c>
      <c r="H955" t="n">
        <v>0</v>
      </c>
      <c r="I955" t="n">
        <v>0</v>
      </c>
      <c r="J955" t="n">
        <v>0</v>
      </c>
      <c r="K955" t="n">
        <v>0</v>
      </c>
      <c r="L955" t="n">
        <v>0</v>
      </c>
      <c r="M955" t="n">
        <v>0</v>
      </c>
      <c r="N955" t="n">
        <v>0</v>
      </c>
      <c r="O955" t="n">
        <v>0</v>
      </c>
      <c r="P955" t="n">
        <v>0</v>
      </c>
      <c r="Q955" t="n">
        <v>0</v>
      </c>
      <c r="R955" s="2" t="inlineStr"/>
    </row>
    <row r="956" ht="15" customHeight="1">
      <c r="A956" t="inlineStr">
        <is>
          <t>A 56240-2024</t>
        </is>
      </c>
      <c r="B956" s="1" t="n">
        <v>45624.63012731481</v>
      </c>
      <c r="C956" s="1" t="n">
        <v>45997</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2387-2025</t>
        </is>
      </c>
      <c r="B957" s="1" t="n">
        <v>45674</v>
      </c>
      <c r="C957" s="1" t="n">
        <v>45997</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41936-2024</t>
        </is>
      </c>
      <c r="B958" s="1" t="n">
        <v>45561</v>
      </c>
      <c r="C958" s="1" t="n">
        <v>45997</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36758-2024</t>
        </is>
      </c>
      <c r="B959" s="1" t="n">
        <v>45538.35525462963</v>
      </c>
      <c r="C959" s="1" t="n">
        <v>45997</v>
      </c>
      <c r="D959" t="inlineStr">
        <is>
          <t>VÄRMLANDS LÄN</t>
        </is>
      </c>
      <c r="E959" t="inlineStr">
        <is>
          <t>TORSBY</t>
        </is>
      </c>
      <c r="F959" t="inlineStr">
        <is>
          <t>Kyrkan</t>
        </is>
      </c>
      <c r="G959" t="n">
        <v>4.7</v>
      </c>
      <c r="H959" t="n">
        <v>0</v>
      </c>
      <c r="I959" t="n">
        <v>0</v>
      </c>
      <c r="J959" t="n">
        <v>0</v>
      </c>
      <c r="K959" t="n">
        <v>0</v>
      </c>
      <c r="L959" t="n">
        <v>0</v>
      </c>
      <c r="M959" t="n">
        <v>0</v>
      </c>
      <c r="N959" t="n">
        <v>0</v>
      </c>
      <c r="O959" t="n">
        <v>0</v>
      </c>
      <c r="P959" t="n">
        <v>0</v>
      </c>
      <c r="Q959" t="n">
        <v>0</v>
      </c>
      <c r="R959" s="2" t="inlineStr"/>
    </row>
    <row r="960" ht="15" customHeight="1">
      <c r="A960" t="inlineStr">
        <is>
          <t>A 43943-2022</t>
        </is>
      </c>
      <c r="B960" s="1" t="n">
        <v>44838</v>
      </c>
      <c r="C960" s="1" t="n">
        <v>45997</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45997</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21089-2022</t>
        </is>
      </c>
      <c r="B962" s="1" t="n">
        <v>44704</v>
      </c>
      <c r="C962" s="1" t="n">
        <v>45997</v>
      </c>
      <c r="D962" t="inlineStr">
        <is>
          <t>VÄRMLANDS LÄN</t>
        </is>
      </c>
      <c r="E962" t="inlineStr">
        <is>
          <t>TORSBY</t>
        </is>
      </c>
      <c r="G962" t="n">
        <v>13.4</v>
      </c>
      <c r="H962" t="n">
        <v>0</v>
      </c>
      <c r="I962" t="n">
        <v>0</v>
      </c>
      <c r="J962" t="n">
        <v>0</v>
      </c>
      <c r="K962" t="n">
        <v>0</v>
      </c>
      <c r="L962" t="n">
        <v>0</v>
      </c>
      <c r="M962" t="n">
        <v>0</v>
      </c>
      <c r="N962" t="n">
        <v>0</v>
      </c>
      <c r="O962" t="n">
        <v>0</v>
      </c>
      <c r="P962" t="n">
        <v>0</v>
      </c>
      <c r="Q962" t="n">
        <v>0</v>
      </c>
      <c r="R962" s="2" t="inlineStr"/>
    </row>
    <row r="963" ht="15" customHeight="1">
      <c r="A963" t="inlineStr">
        <is>
          <t>A 45399-2023</t>
        </is>
      </c>
      <c r="B963" s="1" t="n">
        <v>45194</v>
      </c>
      <c r="C963" s="1" t="n">
        <v>45997</v>
      </c>
      <c r="D963" t="inlineStr">
        <is>
          <t>VÄRMLANDS LÄN</t>
        </is>
      </c>
      <c r="E963" t="inlineStr">
        <is>
          <t>TORSBY</t>
        </is>
      </c>
      <c r="G963" t="n">
        <v>2.4</v>
      </c>
      <c r="H963" t="n">
        <v>0</v>
      </c>
      <c r="I963" t="n">
        <v>0</v>
      </c>
      <c r="J963" t="n">
        <v>0</v>
      </c>
      <c r="K963" t="n">
        <v>0</v>
      </c>
      <c r="L963" t="n">
        <v>0</v>
      </c>
      <c r="M963" t="n">
        <v>0</v>
      </c>
      <c r="N963" t="n">
        <v>0</v>
      </c>
      <c r="O963" t="n">
        <v>0</v>
      </c>
      <c r="P963" t="n">
        <v>0</v>
      </c>
      <c r="Q963" t="n">
        <v>0</v>
      </c>
      <c r="R963" s="2" t="inlineStr"/>
    </row>
    <row r="964" ht="15" customHeight="1">
      <c r="A964" t="inlineStr">
        <is>
          <t>A 2807-2025</t>
        </is>
      </c>
      <c r="B964" s="1" t="n">
        <v>45677</v>
      </c>
      <c r="C964" s="1" t="n">
        <v>45997</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59423-2024</t>
        </is>
      </c>
      <c r="B965" s="1" t="n">
        <v>45638</v>
      </c>
      <c r="C965" s="1" t="n">
        <v>45997</v>
      </c>
      <c r="D965" t="inlineStr">
        <is>
          <t>VÄRMLANDS LÄN</t>
        </is>
      </c>
      <c r="E965" t="inlineStr">
        <is>
          <t>TORSBY</t>
        </is>
      </c>
      <c r="G965" t="n">
        <v>23.7</v>
      </c>
      <c r="H965" t="n">
        <v>0</v>
      </c>
      <c r="I965" t="n">
        <v>0</v>
      </c>
      <c r="J965" t="n">
        <v>0</v>
      </c>
      <c r="K965" t="n">
        <v>0</v>
      </c>
      <c r="L965" t="n">
        <v>0</v>
      </c>
      <c r="M965" t="n">
        <v>0</v>
      </c>
      <c r="N965" t="n">
        <v>0</v>
      </c>
      <c r="O965" t="n">
        <v>0</v>
      </c>
      <c r="P965" t="n">
        <v>0</v>
      </c>
      <c r="Q965" t="n">
        <v>0</v>
      </c>
      <c r="R965" s="2" t="inlineStr"/>
    </row>
    <row r="966" ht="15" customHeight="1">
      <c r="A966" t="inlineStr">
        <is>
          <t>A 34667-2022</t>
        </is>
      </c>
      <c r="B966" s="1" t="n">
        <v>44795</v>
      </c>
      <c r="C966" s="1" t="n">
        <v>45997</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26124-2024</t>
        </is>
      </c>
      <c r="B967" s="1" t="n">
        <v>45468</v>
      </c>
      <c r="C967" s="1" t="n">
        <v>45997</v>
      </c>
      <c r="D967" t="inlineStr">
        <is>
          <t>VÄRMLANDS LÄN</t>
        </is>
      </c>
      <c r="E967" t="inlineStr">
        <is>
          <t>TORSBY</t>
        </is>
      </c>
      <c r="G967" t="n">
        <v>5.7</v>
      </c>
      <c r="H967" t="n">
        <v>0</v>
      </c>
      <c r="I967" t="n">
        <v>0</v>
      </c>
      <c r="J967" t="n">
        <v>0</v>
      </c>
      <c r="K967" t="n">
        <v>0</v>
      </c>
      <c r="L967" t="n">
        <v>0</v>
      </c>
      <c r="M967" t="n">
        <v>0</v>
      </c>
      <c r="N967" t="n">
        <v>0</v>
      </c>
      <c r="O967" t="n">
        <v>0</v>
      </c>
      <c r="P967" t="n">
        <v>0</v>
      </c>
      <c r="Q967" t="n">
        <v>0</v>
      </c>
      <c r="R967" s="2" t="inlineStr"/>
    </row>
    <row r="968" ht="15" customHeight="1">
      <c r="A968" t="inlineStr">
        <is>
          <t>A 13189-2025</t>
        </is>
      </c>
      <c r="B968" s="1" t="n">
        <v>45735.39708333334</v>
      </c>
      <c r="C968" s="1" t="n">
        <v>45997</v>
      </c>
      <c r="D968" t="inlineStr">
        <is>
          <t>VÄRMLANDS LÄN</t>
        </is>
      </c>
      <c r="E968" t="inlineStr">
        <is>
          <t>TORSBY</t>
        </is>
      </c>
      <c r="G968" t="n">
        <v>15.4</v>
      </c>
      <c r="H968" t="n">
        <v>0</v>
      </c>
      <c r="I968" t="n">
        <v>0</v>
      </c>
      <c r="J968" t="n">
        <v>0</v>
      </c>
      <c r="K968" t="n">
        <v>0</v>
      </c>
      <c r="L968" t="n">
        <v>0</v>
      </c>
      <c r="M968" t="n">
        <v>0</v>
      </c>
      <c r="N968" t="n">
        <v>0</v>
      </c>
      <c r="O968" t="n">
        <v>0</v>
      </c>
      <c r="P968" t="n">
        <v>0</v>
      </c>
      <c r="Q968" t="n">
        <v>0</v>
      </c>
      <c r="R968" s="2" t="inlineStr"/>
    </row>
    <row r="969" ht="15" customHeight="1">
      <c r="A969" t="inlineStr">
        <is>
          <t>A 13006-2025</t>
        </is>
      </c>
      <c r="B969" s="1" t="n">
        <v>45734.51652777778</v>
      </c>
      <c r="C969" s="1" t="n">
        <v>45997</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19148-2025</t>
        </is>
      </c>
      <c r="B970" s="1" t="n">
        <v>45769</v>
      </c>
      <c r="C970" s="1" t="n">
        <v>45997</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37340-2022</t>
        </is>
      </c>
      <c r="B971" s="1" t="n">
        <v>44809</v>
      </c>
      <c r="C971" s="1" t="n">
        <v>45997</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61428-2022</t>
        </is>
      </c>
      <c r="B972" s="1" t="n">
        <v>44910</v>
      </c>
      <c r="C972" s="1" t="n">
        <v>45997</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61432-2022</t>
        </is>
      </c>
      <c r="B973" s="1" t="n">
        <v>44910</v>
      </c>
      <c r="C973" s="1" t="n">
        <v>45997</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46909-2024</t>
        </is>
      </c>
      <c r="B974" s="1" t="n">
        <v>45583</v>
      </c>
      <c r="C974" s="1" t="n">
        <v>45997</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20847-2023</t>
        </is>
      </c>
      <c r="B975" s="1" t="n">
        <v>45056</v>
      </c>
      <c r="C975" s="1" t="n">
        <v>45997</v>
      </c>
      <c r="D975" t="inlineStr">
        <is>
          <t>VÄRMLANDS LÄN</t>
        </is>
      </c>
      <c r="E975" t="inlineStr">
        <is>
          <t>TORSBY</t>
        </is>
      </c>
      <c r="G975" t="n">
        <v>13.9</v>
      </c>
      <c r="H975" t="n">
        <v>0</v>
      </c>
      <c r="I975" t="n">
        <v>0</v>
      </c>
      <c r="J975" t="n">
        <v>0</v>
      </c>
      <c r="K975" t="n">
        <v>0</v>
      </c>
      <c r="L975" t="n">
        <v>0</v>
      </c>
      <c r="M975" t="n">
        <v>0</v>
      </c>
      <c r="N975" t="n">
        <v>0</v>
      </c>
      <c r="O975" t="n">
        <v>0</v>
      </c>
      <c r="P975" t="n">
        <v>0</v>
      </c>
      <c r="Q975" t="n">
        <v>0</v>
      </c>
      <c r="R975" s="2" t="inlineStr"/>
    </row>
    <row r="976" ht="15" customHeight="1">
      <c r="A976" t="inlineStr">
        <is>
          <t>A 53748-2024</t>
        </is>
      </c>
      <c r="B976" s="1" t="n">
        <v>45615.48322916667</v>
      </c>
      <c r="C976" s="1" t="n">
        <v>45997</v>
      </c>
      <c r="D976" t="inlineStr">
        <is>
          <t>VÄRMLANDS LÄN</t>
        </is>
      </c>
      <c r="E976" t="inlineStr">
        <is>
          <t>TORSBY</t>
        </is>
      </c>
      <c r="G976" t="n">
        <v>11.2</v>
      </c>
      <c r="H976" t="n">
        <v>0</v>
      </c>
      <c r="I976" t="n">
        <v>0</v>
      </c>
      <c r="J976" t="n">
        <v>0</v>
      </c>
      <c r="K976" t="n">
        <v>0</v>
      </c>
      <c r="L976" t="n">
        <v>0</v>
      </c>
      <c r="M976" t="n">
        <v>0</v>
      </c>
      <c r="N976" t="n">
        <v>0</v>
      </c>
      <c r="O976" t="n">
        <v>0</v>
      </c>
      <c r="P976" t="n">
        <v>0</v>
      </c>
      <c r="Q976" t="n">
        <v>0</v>
      </c>
      <c r="R976" s="2" t="inlineStr"/>
    </row>
    <row r="977" ht="15" customHeight="1">
      <c r="A977" t="inlineStr">
        <is>
          <t>A 14581-2023</t>
        </is>
      </c>
      <c r="B977" s="1" t="n">
        <v>45013.52122685185</v>
      </c>
      <c r="C977" s="1" t="n">
        <v>45997</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21808-2025</t>
        </is>
      </c>
      <c r="B978" s="1" t="n">
        <v>45783.70846064815</v>
      </c>
      <c r="C978" s="1" t="n">
        <v>45997</v>
      </c>
      <c r="D978" t="inlineStr">
        <is>
          <t>VÄRMLANDS LÄN</t>
        </is>
      </c>
      <c r="E978" t="inlineStr">
        <is>
          <t>TORSBY</t>
        </is>
      </c>
      <c r="G978" t="n">
        <v>0.6</v>
      </c>
      <c r="H978" t="n">
        <v>0</v>
      </c>
      <c r="I978" t="n">
        <v>0</v>
      </c>
      <c r="J978" t="n">
        <v>0</v>
      </c>
      <c r="K978" t="n">
        <v>0</v>
      </c>
      <c r="L978" t="n">
        <v>0</v>
      </c>
      <c r="M978" t="n">
        <v>0</v>
      </c>
      <c r="N978" t="n">
        <v>0</v>
      </c>
      <c r="O978" t="n">
        <v>0</v>
      </c>
      <c r="P978" t="n">
        <v>0</v>
      </c>
      <c r="Q978" t="n">
        <v>0</v>
      </c>
      <c r="R978" s="2" t="inlineStr"/>
    </row>
    <row r="979" ht="15" customHeight="1">
      <c r="A979" t="inlineStr">
        <is>
          <t>A 17062-2025</t>
        </is>
      </c>
      <c r="B979" s="1" t="n">
        <v>45754</v>
      </c>
      <c r="C979" s="1" t="n">
        <v>45997</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54223-2023</t>
        </is>
      </c>
      <c r="B980" s="1" t="n">
        <v>45232</v>
      </c>
      <c r="C980" s="1" t="n">
        <v>45997</v>
      </c>
      <c r="D980" t="inlineStr">
        <is>
          <t>VÄRMLANDS LÄN</t>
        </is>
      </c>
      <c r="E980" t="inlineStr">
        <is>
          <t>TORSBY</t>
        </is>
      </c>
      <c r="F980" t="inlineStr">
        <is>
          <t>Bergvik skog väst AB</t>
        </is>
      </c>
      <c r="G980" t="n">
        <v>8.6</v>
      </c>
      <c r="H980" t="n">
        <v>0</v>
      </c>
      <c r="I980" t="n">
        <v>0</v>
      </c>
      <c r="J980" t="n">
        <v>0</v>
      </c>
      <c r="K980" t="n">
        <v>0</v>
      </c>
      <c r="L980" t="n">
        <v>0</v>
      </c>
      <c r="M980" t="n">
        <v>0</v>
      </c>
      <c r="N980" t="n">
        <v>0</v>
      </c>
      <c r="O980" t="n">
        <v>0</v>
      </c>
      <c r="P980" t="n">
        <v>0</v>
      </c>
      <c r="Q980" t="n">
        <v>0</v>
      </c>
      <c r="R980" s="2" t="inlineStr"/>
    </row>
    <row r="981" ht="15" customHeight="1">
      <c r="A981" t="inlineStr">
        <is>
          <t>A 3387-2025</t>
        </is>
      </c>
      <c r="B981" s="1" t="n">
        <v>45680</v>
      </c>
      <c r="C981" s="1" t="n">
        <v>45997</v>
      </c>
      <c r="D981" t="inlineStr">
        <is>
          <t>VÄRMLANDS LÄN</t>
        </is>
      </c>
      <c r="E981" t="inlineStr">
        <is>
          <t>TORSBY</t>
        </is>
      </c>
      <c r="F981" t="inlineStr">
        <is>
          <t>Kommuner</t>
        </is>
      </c>
      <c r="G981" t="n">
        <v>0.9</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45997</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18447-2025</t>
        </is>
      </c>
      <c r="B983" s="1" t="n">
        <v>45762</v>
      </c>
      <c r="C983" s="1" t="n">
        <v>45997</v>
      </c>
      <c r="D983" t="inlineStr">
        <is>
          <t>VÄRMLANDS LÄN</t>
        </is>
      </c>
      <c r="E983" t="inlineStr">
        <is>
          <t>TORSBY</t>
        </is>
      </c>
      <c r="G983" t="n">
        <v>12.8</v>
      </c>
      <c r="H983" t="n">
        <v>0</v>
      </c>
      <c r="I983" t="n">
        <v>0</v>
      </c>
      <c r="J983" t="n">
        <v>0</v>
      </c>
      <c r="K983" t="n">
        <v>0</v>
      </c>
      <c r="L983" t="n">
        <v>0</v>
      </c>
      <c r="M983" t="n">
        <v>0</v>
      </c>
      <c r="N983" t="n">
        <v>0</v>
      </c>
      <c r="O983" t="n">
        <v>0</v>
      </c>
      <c r="P983" t="n">
        <v>0</v>
      </c>
      <c r="Q983" t="n">
        <v>0</v>
      </c>
      <c r="R983" s="2" t="inlineStr"/>
    </row>
    <row r="984" ht="15" customHeight="1">
      <c r="A984" t="inlineStr">
        <is>
          <t>A 2203-2025</t>
        </is>
      </c>
      <c r="B984" s="1" t="n">
        <v>45672</v>
      </c>
      <c r="C984" s="1" t="n">
        <v>45997</v>
      </c>
      <c r="D984" t="inlineStr">
        <is>
          <t>VÄRMLANDS LÄN</t>
        </is>
      </c>
      <c r="E984" t="inlineStr">
        <is>
          <t>TORSBY</t>
        </is>
      </c>
      <c r="G984" t="n">
        <v>11.3</v>
      </c>
      <c r="H984" t="n">
        <v>0</v>
      </c>
      <c r="I984" t="n">
        <v>0</v>
      </c>
      <c r="J984" t="n">
        <v>0</v>
      </c>
      <c r="K984" t="n">
        <v>0</v>
      </c>
      <c r="L984" t="n">
        <v>0</v>
      </c>
      <c r="M984" t="n">
        <v>0</v>
      </c>
      <c r="N984" t="n">
        <v>0</v>
      </c>
      <c r="O984" t="n">
        <v>0</v>
      </c>
      <c r="P984" t="n">
        <v>0</v>
      </c>
      <c r="Q984" t="n">
        <v>0</v>
      </c>
      <c r="R984" s="2" t="inlineStr"/>
    </row>
    <row r="985" ht="15" customHeight="1">
      <c r="A985" t="inlineStr">
        <is>
          <t>A 10608-2022</t>
        </is>
      </c>
      <c r="B985" s="1" t="n">
        <v>44624</v>
      </c>
      <c r="C985" s="1" t="n">
        <v>45997</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41504-2024</t>
        </is>
      </c>
      <c r="B986" s="1" t="n">
        <v>45560</v>
      </c>
      <c r="C986" s="1" t="n">
        <v>45997</v>
      </c>
      <c r="D986" t="inlineStr">
        <is>
          <t>VÄRMLANDS LÄN</t>
        </is>
      </c>
      <c r="E986" t="inlineStr">
        <is>
          <t>TORSBY</t>
        </is>
      </c>
      <c r="G986" t="n">
        <v>4.7</v>
      </c>
      <c r="H986" t="n">
        <v>0</v>
      </c>
      <c r="I986" t="n">
        <v>0</v>
      </c>
      <c r="J986" t="n">
        <v>0</v>
      </c>
      <c r="K986" t="n">
        <v>0</v>
      </c>
      <c r="L986" t="n">
        <v>0</v>
      </c>
      <c r="M986" t="n">
        <v>0</v>
      </c>
      <c r="N986" t="n">
        <v>0</v>
      </c>
      <c r="O986" t="n">
        <v>0</v>
      </c>
      <c r="P986" t="n">
        <v>0</v>
      </c>
      <c r="Q986" t="n">
        <v>0</v>
      </c>
      <c r="R986" s="2" t="inlineStr"/>
    </row>
    <row r="987" ht="15" customHeight="1">
      <c r="A987" t="inlineStr">
        <is>
          <t>A 2390-2025</t>
        </is>
      </c>
      <c r="B987" s="1" t="n">
        <v>45674.32071759259</v>
      </c>
      <c r="C987" s="1" t="n">
        <v>45997</v>
      </c>
      <c r="D987" t="inlineStr">
        <is>
          <t>VÄRMLANDS LÄN</t>
        </is>
      </c>
      <c r="E987" t="inlineStr">
        <is>
          <t>TORSBY</t>
        </is>
      </c>
      <c r="G987" t="n">
        <v>4.6</v>
      </c>
      <c r="H987" t="n">
        <v>0</v>
      </c>
      <c r="I987" t="n">
        <v>0</v>
      </c>
      <c r="J987" t="n">
        <v>0</v>
      </c>
      <c r="K987" t="n">
        <v>0</v>
      </c>
      <c r="L987" t="n">
        <v>0</v>
      </c>
      <c r="M987" t="n">
        <v>0</v>
      </c>
      <c r="N987" t="n">
        <v>0</v>
      </c>
      <c r="O987" t="n">
        <v>0</v>
      </c>
      <c r="P987" t="n">
        <v>0</v>
      </c>
      <c r="Q987" t="n">
        <v>0</v>
      </c>
      <c r="R987" s="2" t="inlineStr"/>
    </row>
    <row r="988" ht="15" customHeight="1">
      <c r="A988" t="inlineStr">
        <is>
          <t>A 44083-2023</t>
        </is>
      </c>
      <c r="B988" s="1" t="n">
        <v>45182</v>
      </c>
      <c r="C988" s="1" t="n">
        <v>45997</v>
      </c>
      <c r="D988" t="inlineStr">
        <is>
          <t>VÄRMLANDS LÄN</t>
        </is>
      </c>
      <c r="E988" t="inlineStr">
        <is>
          <t>TORSBY</t>
        </is>
      </c>
      <c r="G988" t="n">
        <v>1.9</v>
      </c>
      <c r="H988" t="n">
        <v>0</v>
      </c>
      <c r="I988" t="n">
        <v>0</v>
      </c>
      <c r="J988" t="n">
        <v>0</v>
      </c>
      <c r="K988" t="n">
        <v>0</v>
      </c>
      <c r="L988" t="n">
        <v>0</v>
      </c>
      <c r="M988" t="n">
        <v>0</v>
      </c>
      <c r="N988" t="n">
        <v>0</v>
      </c>
      <c r="O988" t="n">
        <v>0</v>
      </c>
      <c r="P988" t="n">
        <v>0</v>
      </c>
      <c r="Q988" t="n">
        <v>0</v>
      </c>
      <c r="R988" s="2" t="inlineStr"/>
    </row>
    <row r="989" ht="15" customHeight="1">
      <c r="A989" t="inlineStr">
        <is>
          <t>A 18331-2025</t>
        </is>
      </c>
      <c r="B989" s="1" t="n">
        <v>45762</v>
      </c>
      <c r="C989" s="1" t="n">
        <v>45997</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68136-2021</t>
        </is>
      </c>
      <c r="B990" s="1" t="n">
        <v>44526.40984953703</v>
      </c>
      <c r="C990" s="1" t="n">
        <v>45997</v>
      </c>
      <c r="D990" t="inlineStr">
        <is>
          <t>VÄRMLANDS LÄN</t>
        </is>
      </c>
      <c r="E990" t="inlineStr">
        <is>
          <t>TORSBY</t>
        </is>
      </c>
      <c r="G990" t="n">
        <v>2.9</v>
      </c>
      <c r="H990" t="n">
        <v>0</v>
      </c>
      <c r="I990" t="n">
        <v>0</v>
      </c>
      <c r="J990" t="n">
        <v>0</v>
      </c>
      <c r="K990" t="n">
        <v>0</v>
      </c>
      <c r="L990" t="n">
        <v>0</v>
      </c>
      <c r="M990" t="n">
        <v>0</v>
      </c>
      <c r="N990" t="n">
        <v>0</v>
      </c>
      <c r="O990" t="n">
        <v>0</v>
      </c>
      <c r="P990" t="n">
        <v>0</v>
      </c>
      <c r="Q990" t="n">
        <v>0</v>
      </c>
      <c r="R990" s="2" t="inlineStr"/>
    </row>
    <row r="991" ht="15" customHeight="1">
      <c r="A991" t="inlineStr">
        <is>
          <t>A 11214-2024</t>
        </is>
      </c>
      <c r="B991" s="1" t="n">
        <v>45371</v>
      </c>
      <c r="C991" s="1" t="n">
        <v>45997</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3951-2025</t>
        </is>
      </c>
      <c r="B992" s="1" t="n">
        <v>45684.49333333333</v>
      </c>
      <c r="C992" s="1" t="n">
        <v>45997</v>
      </c>
      <c r="D992" t="inlineStr">
        <is>
          <t>VÄRMLANDS LÄN</t>
        </is>
      </c>
      <c r="E992" t="inlineStr">
        <is>
          <t>TORSBY</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34430-2023</t>
        </is>
      </c>
      <c r="B993" s="1" t="n">
        <v>45139.62216435185</v>
      </c>
      <c r="C993" s="1" t="n">
        <v>45997</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9871-2024</t>
        </is>
      </c>
      <c r="B994" s="1" t="n">
        <v>45363</v>
      </c>
      <c r="C994" s="1" t="n">
        <v>45997</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36327-2021</t>
        </is>
      </c>
      <c r="B995" s="1" t="n">
        <v>44390</v>
      </c>
      <c r="C995" s="1" t="n">
        <v>45997</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52483-2022</t>
        </is>
      </c>
      <c r="B996" s="1" t="n">
        <v>44874.48637731482</v>
      </c>
      <c r="C996" s="1" t="n">
        <v>45997</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49073-2022</t>
        </is>
      </c>
      <c r="B997" s="1" t="n">
        <v>44860</v>
      </c>
      <c r="C997" s="1" t="n">
        <v>45997</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54452-2022</t>
        </is>
      </c>
      <c r="B998" s="1" t="n">
        <v>44880</v>
      </c>
      <c r="C998" s="1" t="n">
        <v>45997</v>
      </c>
      <c r="D998" t="inlineStr">
        <is>
          <t>VÄRMLANDS LÄN</t>
        </is>
      </c>
      <c r="E998" t="inlineStr">
        <is>
          <t>TORSBY</t>
        </is>
      </c>
      <c r="F998" t="inlineStr">
        <is>
          <t>Kyrkan</t>
        </is>
      </c>
      <c r="G998" t="n">
        <v>10.6</v>
      </c>
      <c r="H998" t="n">
        <v>0</v>
      </c>
      <c r="I998" t="n">
        <v>0</v>
      </c>
      <c r="J998" t="n">
        <v>0</v>
      </c>
      <c r="K998" t="n">
        <v>0</v>
      </c>
      <c r="L998" t="n">
        <v>0</v>
      </c>
      <c r="M998" t="n">
        <v>0</v>
      </c>
      <c r="N998" t="n">
        <v>0</v>
      </c>
      <c r="O998" t="n">
        <v>0</v>
      </c>
      <c r="P998" t="n">
        <v>0</v>
      </c>
      <c r="Q998" t="n">
        <v>0</v>
      </c>
      <c r="R998" s="2" t="inlineStr"/>
    </row>
    <row r="999" ht="15" customHeight="1">
      <c r="A999" t="inlineStr">
        <is>
          <t>A 54556-2023</t>
        </is>
      </c>
      <c r="B999" s="1" t="n">
        <v>45233.63445601852</v>
      </c>
      <c r="C999" s="1" t="n">
        <v>45997</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34405-2023</t>
        </is>
      </c>
      <c r="B1000" s="1" t="n">
        <v>45139.55131944444</v>
      </c>
      <c r="C1000" s="1" t="n">
        <v>45997</v>
      </c>
      <c r="D1000" t="inlineStr">
        <is>
          <t>VÄRMLANDS LÄN</t>
        </is>
      </c>
      <c r="E1000" t="inlineStr">
        <is>
          <t>TORSBY</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44340-2022</t>
        </is>
      </c>
      <c r="B1001" s="1" t="n">
        <v>44838</v>
      </c>
      <c r="C1001" s="1" t="n">
        <v>45997</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48903-2024</t>
        </is>
      </c>
      <c r="B1002" s="1" t="n">
        <v>45594</v>
      </c>
      <c r="C1002" s="1" t="n">
        <v>45997</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30104-2023</t>
        </is>
      </c>
      <c r="B1003" s="1" t="n">
        <v>45110</v>
      </c>
      <c r="C1003" s="1" t="n">
        <v>45997</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3864-2025</t>
        </is>
      </c>
      <c r="B1004" s="1" t="n">
        <v>45684</v>
      </c>
      <c r="C1004" s="1" t="n">
        <v>45997</v>
      </c>
      <c r="D1004" t="inlineStr">
        <is>
          <t>VÄRMLANDS LÄN</t>
        </is>
      </c>
      <c r="E1004" t="inlineStr">
        <is>
          <t>TORSBY</t>
        </is>
      </c>
      <c r="F1004" t="inlineStr">
        <is>
          <t>Bergvik skog väst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22463-2021</t>
        </is>
      </c>
      <c r="B1005" s="1" t="n">
        <v>44326.67366898148</v>
      </c>
      <c r="C1005" s="1" t="n">
        <v>45997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52239-2024</t>
        </is>
      </c>
      <c r="B1006" s="1" t="n">
        <v>45608.61837962963</v>
      </c>
      <c r="C1006" s="1" t="n">
        <v>45997</v>
      </c>
      <c r="D1006" t="inlineStr">
        <is>
          <t>VÄRMLANDS LÄN</t>
        </is>
      </c>
      <c r="E1006" t="inlineStr">
        <is>
          <t>TORSBY</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56473-2022</t>
        </is>
      </c>
      <c r="B1007" s="1" t="n">
        <v>44893</v>
      </c>
      <c r="C1007" s="1" t="n">
        <v>45997</v>
      </c>
      <c r="D1007" t="inlineStr">
        <is>
          <t>VÄRMLANDS LÄN</t>
        </is>
      </c>
      <c r="E1007" t="inlineStr">
        <is>
          <t>TORSBY</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21581-2024</t>
        </is>
      </c>
      <c r="B1008" s="1" t="n">
        <v>45441</v>
      </c>
      <c r="C1008" s="1" t="n">
        <v>45997</v>
      </c>
      <c r="D1008" t="inlineStr">
        <is>
          <t>VÄRMLANDS LÄN</t>
        </is>
      </c>
      <c r="E1008" t="inlineStr">
        <is>
          <t>TORSBY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45328-2022</t>
        </is>
      </c>
      <c r="B1009" s="1" t="n">
        <v>44844</v>
      </c>
      <c r="C1009" s="1" t="n">
        <v>45997</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24004-2024</t>
        </is>
      </c>
      <c r="B1010" s="1" t="n">
        <v>45456</v>
      </c>
      <c r="C1010" s="1" t="n">
        <v>45997</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49982-2023</t>
        </is>
      </c>
      <c r="B1011" s="1" t="n">
        <v>45215.4216087963</v>
      </c>
      <c r="C1011" s="1" t="n">
        <v>45997</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35629-2023</t>
        </is>
      </c>
      <c r="B1012" s="1" t="n">
        <v>45147.55939814815</v>
      </c>
      <c r="C1012" s="1" t="n">
        <v>45997</v>
      </c>
      <c r="D1012" t="inlineStr">
        <is>
          <t>VÄRMLANDS LÄN</t>
        </is>
      </c>
      <c r="E1012" t="inlineStr">
        <is>
          <t>TORSBY</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56430-2024</t>
        </is>
      </c>
      <c r="B1013" s="1" t="n">
        <v>45625</v>
      </c>
      <c r="C1013" s="1" t="n">
        <v>45997</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18099-2022</t>
        </is>
      </c>
      <c r="B1014" s="1" t="n">
        <v>44684</v>
      </c>
      <c r="C1014" s="1" t="n">
        <v>45997</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21576-2025</t>
        </is>
      </c>
      <c r="B1015" s="1" t="n">
        <v>45782.86440972222</v>
      </c>
      <c r="C1015" s="1" t="n">
        <v>45997</v>
      </c>
      <c r="D1015" t="inlineStr">
        <is>
          <t>VÄRMLANDS LÄN</t>
        </is>
      </c>
      <c r="E1015" t="inlineStr">
        <is>
          <t>TORSBY</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20309-2025</t>
        </is>
      </c>
      <c r="B1016" s="1" t="n">
        <v>45775.28427083333</v>
      </c>
      <c r="C1016" s="1" t="n">
        <v>45997</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10888-2023</t>
        </is>
      </c>
      <c r="B1017" s="1" t="n">
        <v>44985</v>
      </c>
      <c r="C1017" s="1" t="n">
        <v>45997</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21759-2025</t>
        </is>
      </c>
      <c r="B1018" s="1" t="n">
        <v>45783</v>
      </c>
      <c r="C1018" s="1" t="n">
        <v>45997</v>
      </c>
      <c r="D1018" t="inlineStr">
        <is>
          <t>VÄRMLANDS LÄN</t>
        </is>
      </c>
      <c r="E1018" t="inlineStr">
        <is>
          <t>TORSBY</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25355-2024</t>
        </is>
      </c>
      <c r="B1019" s="1" t="n">
        <v>45462.92868055555</v>
      </c>
      <c r="C1019" s="1" t="n">
        <v>45997</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30074-2024</t>
        </is>
      </c>
      <c r="B1020" s="1" t="n">
        <v>45489</v>
      </c>
      <c r="C1020" s="1" t="n">
        <v>45997</v>
      </c>
      <c r="D1020" t="inlineStr">
        <is>
          <t>VÄRMLANDS LÄN</t>
        </is>
      </c>
      <c r="E1020" t="inlineStr">
        <is>
          <t>TORSBY</t>
        </is>
      </c>
      <c r="F1020" t="inlineStr">
        <is>
          <t>Kyrkan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19489-2022</t>
        </is>
      </c>
      <c r="B1021" s="1" t="n">
        <v>44693</v>
      </c>
      <c r="C1021" s="1" t="n">
        <v>45997</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20168-2022</t>
        </is>
      </c>
      <c r="B1022" s="1" t="n">
        <v>44698.50056712963</v>
      </c>
      <c r="C1022" s="1" t="n">
        <v>45997</v>
      </c>
      <c r="D1022" t="inlineStr">
        <is>
          <t>VÄRMLANDS LÄN</t>
        </is>
      </c>
      <c r="E1022" t="inlineStr">
        <is>
          <t>TORSBY</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21258-2023</t>
        </is>
      </c>
      <c r="B1023" s="1" t="n">
        <v>45058</v>
      </c>
      <c r="C1023" s="1" t="n">
        <v>45997</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1095-2025</t>
        </is>
      </c>
      <c r="B1024" s="1" t="n">
        <v>45666.63681712963</v>
      </c>
      <c r="C1024" s="1" t="n">
        <v>45997</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19791-2025</t>
        </is>
      </c>
      <c r="B1025" s="1" t="n">
        <v>45771.4452662037</v>
      </c>
      <c r="C1025" s="1" t="n">
        <v>45997</v>
      </c>
      <c r="D1025" t="inlineStr">
        <is>
          <t>VÄRMLANDS LÄN</t>
        </is>
      </c>
      <c r="E1025" t="inlineStr">
        <is>
          <t>TORSBY</t>
        </is>
      </c>
      <c r="F1025" t="inlineStr">
        <is>
          <t>Bergvik skog väst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19743-2025</t>
        </is>
      </c>
      <c r="B1026" s="1" t="n">
        <v>45771.37554398148</v>
      </c>
      <c r="C1026" s="1" t="n">
        <v>45997</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56815-2023</t>
        </is>
      </c>
      <c r="B1027" s="1" t="n">
        <v>45244</v>
      </c>
      <c r="C1027" s="1" t="n">
        <v>45997</v>
      </c>
      <c r="D1027" t="inlineStr">
        <is>
          <t>VÄRMLANDS LÄN</t>
        </is>
      </c>
      <c r="E1027" t="inlineStr">
        <is>
          <t>TORSBY</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38086-2023</t>
        </is>
      </c>
      <c r="B1028" s="1" t="n">
        <v>45160</v>
      </c>
      <c r="C1028" s="1" t="n">
        <v>45997</v>
      </c>
      <c r="D1028" t="inlineStr">
        <is>
          <t>VÄRMLANDS LÄN</t>
        </is>
      </c>
      <c r="E1028" t="inlineStr">
        <is>
          <t>TORSBY</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48629-2024</t>
        </is>
      </c>
      <c r="B1029" s="1" t="n">
        <v>45593.46605324074</v>
      </c>
      <c r="C1029" s="1" t="n">
        <v>45997</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20721-2023</t>
        </is>
      </c>
      <c r="B1030" s="1" t="n">
        <v>45058</v>
      </c>
      <c r="C1030" s="1" t="n">
        <v>45997</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18314-2025</t>
        </is>
      </c>
      <c r="B1031" s="1" t="n">
        <v>45762.44986111111</v>
      </c>
      <c r="C1031" s="1" t="n">
        <v>45997</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235-2024</t>
        </is>
      </c>
      <c r="B1032" s="1" t="n">
        <v>45294.85100694445</v>
      </c>
      <c r="C1032" s="1" t="n">
        <v>45997</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1708-2025</t>
        </is>
      </c>
      <c r="B1033" s="1" t="n">
        <v>45670</v>
      </c>
      <c r="C1033" s="1" t="n">
        <v>45997</v>
      </c>
      <c r="D1033" t="inlineStr">
        <is>
          <t>VÄRMLANDS LÄN</t>
        </is>
      </c>
      <c r="E1033" t="inlineStr">
        <is>
          <t>TORSBY</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18308-2024</t>
        </is>
      </c>
      <c r="B1034" s="1" t="n">
        <v>45422</v>
      </c>
      <c r="C1034" s="1" t="n">
        <v>45997</v>
      </c>
      <c r="D1034" t="inlineStr">
        <is>
          <t>VÄRMLANDS LÄN</t>
        </is>
      </c>
      <c r="E1034" t="inlineStr">
        <is>
          <t>TORSBY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55839-2024</t>
        </is>
      </c>
      <c r="B1035" s="1" t="n">
        <v>45623.49502314815</v>
      </c>
      <c r="C1035" s="1" t="n">
        <v>45997</v>
      </c>
      <c r="D1035" t="inlineStr">
        <is>
          <t>VÄRMLANDS LÄN</t>
        </is>
      </c>
      <c r="E1035" t="inlineStr">
        <is>
          <t>TORSBY</t>
        </is>
      </c>
      <c r="F1035" t="inlineStr">
        <is>
          <t>Kommuner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34105-2023</t>
        </is>
      </c>
      <c r="B1036" s="1" t="n">
        <v>45126</v>
      </c>
      <c r="C1036" s="1" t="n">
        <v>45997</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50445-2023</t>
        </is>
      </c>
      <c r="B1037" s="1" t="n">
        <v>45216</v>
      </c>
      <c r="C1037" s="1" t="n">
        <v>45997</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58707-2024</t>
        </is>
      </c>
      <c r="B1038" s="1" t="n">
        <v>45635</v>
      </c>
      <c r="C1038" s="1" t="n">
        <v>45997</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56634-2024</t>
        </is>
      </c>
      <c r="B1039" s="1" t="n">
        <v>45625.68491898148</v>
      </c>
      <c r="C1039" s="1" t="n">
        <v>45997</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54014-2024</t>
        </is>
      </c>
      <c r="B1040" s="1" t="n">
        <v>45616.38003472222</v>
      </c>
      <c r="C1040" s="1" t="n">
        <v>45997</v>
      </c>
      <c r="D1040" t="inlineStr">
        <is>
          <t>VÄRMLANDS LÄN</t>
        </is>
      </c>
      <c r="E1040" t="inlineStr">
        <is>
          <t>TORSBY</t>
        </is>
      </c>
      <c r="F1040" t="inlineStr">
        <is>
          <t>Kommuner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49717-2023</t>
        </is>
      </c>
      <c r="B1041" s="1" t="n">
        <v>45208</v>
      </c>
      <c r="C1041" s="1" t="n">
        <v>45997</v>
      </c>
      <c r="D1041" t="inlineStr">
        <is>
          <t>VÄRMLANDS LÄN</t>
        </is>
      </c>
      <c r="E1041" t="inlineStr">
        <is>
          <t>TORSBY</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54011-2024</t>
        </is>
      </c>
      <c r="B1042" s="1" t="n">
        <v>45616.37576388889</v>
      </c>
      <c r="C1042" s="1" t="n">
        <v>45997</v>
      </c>
      <c r="D1042" t="inlineStr">
        <is>
          <t>VÄRMLANDS LÄN</t>
        </is>
      </c>
      <c r="E1042" t="inlineStr">
        <is>
          <t>TORSBY</t>
        </is>
      </c>
      <c r="F1042" t="inlineStr">
        <is>
          <t>Kommuner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54026-2024</t>
        </is>
      </c>
      <c r="B1043" s="1" t="n">
        <v>45616</v>
      </c>
      <c r="C1043" s="1" t="n">
        <v>45997</v>
      </c>
      <c r="D1043" t="inlineStr">
        <is>
          <t>VÄRMLANDS LÄN</t>
        </is>
      </c>
      <c r="E1043" t="inlineStr">
        <is>
          <t>TORSBY</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61251-2024</t>
        </is>
      </c>
      <c r="B1044" s="1" t="n">
        <v>45645</v>
      </c>
      <c r="C1044" s="1" t="n">
        <v>45997</v>
      </c>
      <c r="D1044" t="inlineStr">
        <is>
          <t>VÄRMLANDS LÄN</t>
        </is>
      </c>
      <c r="E1044" t="inlineStr">
        <is>
          <t>TORSBY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61259-2024</t>
        </is>
      </c>
      <c r="B1045" s="1" t="n">
        <v>45645.71188657408</v>
      </c>
      <c r="C1045" s="1" t="n">
        <v>45997</v>
      </c>
      <c r="D1045" t="inlineStr">
        <is>
          <t>VÄRMLANDS LÄN</t>
        </is>
      </c>
      <c r="E1045" t="inlineStr">
        <is>
          <t>TORSBY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22826-2022</t>
        </is>
      </c>
      <c r="B1046" s="1" t="n">
        <v>44714</v>
      </c>
      <c r="C1046" s="1" t="n">
        <v>45997</v>
      </c>
      <c r="D1046" t="inlineStr">
        <is>
          <t>VÄRMLANDS LÄN</t>
        </is>
      </c>
      <c r="E1046" t="inlineStr">
        <is>
          <t>TORSBY</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2616-2025</t>
        </is>
      </c>
      <c r="B1047" s="1" t="n">
        <v>45675</v>
      </c>
      <c r="C1047" s="1" t="n">
        <v>45997</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17018-2025</t>
        </is>
      </c>
      <c r="B1048" s="1" t="n">
        <v>45755</v>
      </c>
      <c r="C1048" s="1" t="n">
        <v>45997</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54777-2023</t>
        </is>
      </c>
      <c r="B1049" s="1" t="n">
        <v>45236</v>
      </c>
      <c r="C1049" s="1" t="n">
        <v>45997</v>
      </c>
      <c r="D1049" t="inlineStr">
        <is>
          <t>VÄRMLANDS LÄN</t>
        </is>
      </c>
      <c r="E1049" t="inlineStr">
        <is>
          <t>TORSBY</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3904-2025</t>
        </is>
      </c>
      <c r="B1050" s="1" t="n">
        <v>45684</v>
      </c>
      <c r="C1050" s="1" t="n">
        <v>45997</v>
      </c>
      <c r="D1050" t="inlineStr">
        <is>
          <t>VÄRMLANDS LÄN</t>
        </is>
      </c>
      <c r="E1050" t="inlineStr">
        <is>
          <t>TORSBY</t>
        </is>
      </c>
      <c r="F1050" t="inlineStr">
        <is>
          <t>Övriga statliga verk och myndigheter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56098-2024</t>
        </is>
      </c>
      <c r="B1051" s="1" t="n">
        <v>45624.42371527778</v>
      </c>
      <c r="C1051" s="1" t="n">
        <v>45997</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19614-2022</t>
        </is>
      </c>
      <c r="B1052" s="1" t="n">
        <v>44694</v>
      </c>
      <c r="C1052" s="1" t="n">
        <v>45997</v>
      </c>
      <c r="D1052" t="inlineStr">
        <is>
          <t>VÄRMLANDS LÄN</t>
        </is>
      </c>
      <c r="E1052" t="inlineStr">
        <is>
          <t>TORSBY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48762-2023</t>
        </is>
      </c>
      <c r="B1053" s="1" t="n">
        <v>45208</v>
      </c>
      <c r="C1053" s="1" t="n">
        <v>45997</v>
      </c>
      <c r="D1053" t="inlineStr">
        <is>
          <t>VÄRMLANDS LÄN</t>
        </is>
      </c>
      <c r="E1053" t="inlineStr">
        <is>
          <t>TORSBY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53570-2024</t>
        </is>
      </c>
      <c r="B1054" s="1" t="n">
        <v>45614.65956018519</v>
      </c>
      <c r="C1054" s="1" t="n">
        <v>45997</v>
      </c>
      <c r="D1054" t="inlineStr">
        <is>
          <t>VÄRMLANDS LÄN</t>
        </is>
      </c>
      <c r="E1054" t="inlineStr">
        <is>
          <t>TORSBY</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4302-2025</t>
        </is>
      </c>
      <c r="B1055" s="1" t="n">
        <v>45685.67939814815</v>
      </c>
      <c r="C1055" s="1" t="n">
        <v>45997</v>
      </c>
      <c r="D1055" t="inlineStr">
        <is>
          <t>VÄRMLANDS LÄN</t>
        </is>
      </c>
      <c r="E1055" t="inlineStr">
        <is>
          <t>TORSBY</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14301-2025</t>
        </is>
      </c>
      <c r="B1056" s="1" t="n">
        <v>45740</v>
      </c>
      <c r="C1056" s="1" t="n">
        <v>45997</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10288-2025</t>
        </is>
      </c>
      <c r="B1057" s="1" t="n">
        <v>45720.41396990741</v>
      </c>
      <c r="C1057" s="1" t="n">
        <v>45997</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19787-2025</t>
        </is>
      </c>
      <c r="B1058" s="1" t="n">
        <v>45771.4408912037</v>
      </c>
      <c r="C1058" s="1" t="n">
        <v>45997</v>
      </c>
      <c r="D1058" t="inlineStr">
        <is>
          <t>VÄRMLANDS LÄN</t>
        </is>
      </c>
      <c r="E1058" t="inlineStr">
        <is>
          <t>TORSBY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27920-2023</t>
        </is>
      </c>
      <c r="B1059" s="1" t="n">
        <v>45098.64269675926</v>
      </c>
      <c r="C1059" s="1" t="n">
        <v>45997</v>
      </c>
      <c r="D1059" t="inlineStr">
        <is>
          <t>VÄRMLANDS LÄN</t>
        </is>
      </c>
      <c r="E1059" t="inlineStr">
        <is>
          <t>TORSBY</t>
        </is>
      </c>
      <c r="F1059" t="inlineStr">
        <is>
          <t>Kyrkan</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24876-2023</t>
        </is>
      </c>
      <c r="B1060" s="1" t="n">
        <v>45085.42391203704</v>
      </c>
      <c r="C1060" s="1" t="n">
        <v>45997</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3326-2024</t>
        </is>
      </c>
      <c r="B1061" s="1" t="n">
        <v>45317</v>
      </c>
      <c r="C1061" s="1" t="n">
        <v>45997</v>
      </c>
      <c r="D1061" t="inlineStr">
        <is>
          <t>VÄRMLANDS LÄN</t>
        </is>
      </c>
      <c r="E1061" t="inlineStr">
        <is>
          <t>TORSBY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55808-2024</t>
        </is>
      </c>
      <c r="B1062" s="1" t="n">
        <v>45622</v>
      </c>
      <c r="C1062" s="1" t="n">
        <v>45997</v>
      </c>
      <c r="D1062" t="inlineStr">
        <is>
          <t>VÄRMLANDS LÄN</t>
        </is>
      </c>
      <c r="E1062" t="inlineStr">
        <is>
          <t>TORSBY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17841-2025</t>
        </is>
      </c>
      <c r="B1063" s="1" t="n">
        <v>45758</v>
      </c>
      <c r="C1063" s="1" t="n">
        <v>45997</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24657-2024</t>
        </is>
      </c>
      <c r="B1064" s="1" t="n">
        <v>45460</v>
      </c>
      <c r="C1064" s="1" t="n">
        <v>45997</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39567-2024</t>
        </is>
      </c>
      <c r="B1065" s="1" t="n">
        <v>45552.3584375</v>
      </c>
      <c r="C1065" s="1" t="n">
        <v>45997</v>
      </c>
      <c r="D1065" t="inlineStr">
        <is>
          <t>VÄRMLANDS LÄN</t>
        </is>
      </c>
      <c r="E1065" t="inlineStr">
        <is>
          <t>TORSBY</t>
        </is>
      </c>
      <c r="F1065" t="inlineStr">
        <is>
          <t>Bergvik skog väst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9203-2024</t>
        </is>
      </c>
      <c r="B1066" s="1" t="n">
        <v>45358</v>
      </c>
      <c r="C1066" s="1" t="n">
        <v>45997</v>
      </c>
      <c r="D1066" t="inlineStr">
        <is>
          <t>VÄRMLANDS LÄN</t>
        </is>
      </c>
      <c r="E1066" t="inlineStr">
        <is>
          <t>TORSBY</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23996-2024</t>
        </is>
      </c>
      <c r="B1067" s="1" t="n">
        <v>45456</v>
      </c>
      <c r="C1067" s="1" t="n">
        <v>45997</v>
      </c>
      <c r="D1067" t="inlineStr">
        <is>
          <t>VÄRMLANDS LÄN</t>
        </is>
      </c>
      <c r="E1067" t="inlineStr">
        <is>
          <t>TORSBY</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18344-2021</t>
        </is>
      </c>
      <c r="B1068" s="1" t="n">
        <v>44305</v>
      </c>
      <c r="C1068" s="1" t="n">
        <v>45997</v>
      </c>
      <c r="D1068" t="inlineStr">
        <is>
          <t>VÄRMLANDS LÄN</t>
        </is>
      </c>
      <c r="E1068" t="inlineStr">
        <is>
          <t>TORSBY</t>
        </is>
      </c>
      <c r="F1068" t="inlineStr">
        <is>
          <t>Kommuner</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22426-2024</t>
        </is>
      </c>
      <c r="B1069" s="1" t="n">
        <v>45446</v>
      </c>
      <c r="C1069" s="1" t="n">
        <v>45997</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54306-2024</t>
        </is>
      </c>
      <c r="B1070" s="1" t="n">
        <v>45617</v>
      </c>
      <c r="C1070" s="1" t="n">
        <v>45997</v>
      </c>
      <c r="D1070" t="inlineStr">
        <is>
          <t>VÄRMLANDS LÄN</t>
        </is>
      </c>
      <c r="E1070" t="inlineStr">
        <is>
          <t>TORSBY</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24148-2024</t>
        </is>
      </c>
      <c r="B1071" s="1" t="n">
        <v>45456</v>
      </c>
      <c r="C1071" s="1" t="n">
        <v>45997</v>
      </c>
      <c r="D1071" t="inlineStr">
        <is>
          <t>VÄRMLANDS LÄN</t>
        </is>
      </c>
      <c r="E1071" t="inlineStr">
        <is>
          <t>TORSBY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21587-2024</t>
        </is>
      </c>
      <c r="B1072" s="1" t="n">
        <v>45441</v>
      </c>
      <c r="C1072" s="1" t="n">
        <v>45997</v>
      </c>
      <c r="D1072" t="inlineStr">
        <is>
          <t>VÄRMLANDS LÄN</t>
        </is>
      </c>
      <c r="E1072" t="inlineStr">
        <is>
          <t>TORSBY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9578-2023</t>
        </is>
      </c>
      <c r="B1073" s="1" t="n">
        <v>44982.69790509259</v>
      </c>
      <c r="C1073" s="1" t="n">
        <v>45997</v>
      </c>
      <c r="D1073" t="inlineStr">
        <is>
          <t>VÄRMLANDS LÄN</t>
        </is>
      </c>
      <c r="E1073" t="inlineStr">
        <is>
          <t>TORSBY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20120-2023</t>
        </is>
      </c>
      <c r="B1074" s="1" t="n">
        <v>45055</v>
      </c>
      <c r="C1074" s="1" t="n">
        <v>45997</v>
      </c>
      <c r="D1074" t="inlineStr">
        <is>
          <t>VÄRMLANDS LÄN</t>
        </is>
      </c>
      <c r="E1074" t="inlineStr">
        <is>
          <t>TORSBY</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54265-2024</t>
        </is>
      </c>
      <c r="B1075" s="1" t="n">
        <v>45616</v>
      </c>
      <c r="C1075" s="1" t="n">
        <v>45997</v>
      </c>
      <c r="D1075" t="inlineStr">
        <is>
          <t>VÄRMLANDS LÄN</t>
        </is>
      </c>
      <c r="E1075" t="inlineStr">
        <is>
          <t>TORSBY</t>
        </is>
      </c>
      <c r="F1075" t="inlineStr">
        <is>
          <t>Kommuner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42613-2023</t>
        </is>
      </c>
      <c r="B1076" s="1" t="n">
        <v>45181</v>
      </c>
      <c r="C1076" s="1" t="n">
        <v>45997</v>
      </c>
      <c r="D1076" t="inlineStr">
        <is>
          <t>VÄRMLANDS LÄN</t>
        </is>
      </c>
      <c r="E1076" t="inlineStr">
        <is>
          <t>TORSBY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6534-2025</t>
        </is>
      </c>
      <c r="B1077" s="1" t="n">
        <v>45699</v>
      </c>
      <c r="C1077" s="1" t="n">
        <v>45997</v>
      </c>
      <c r="D1077" t="inlineStr">
        <is>
          <t>VÄRMLANDS LÄN</t>
        </is>
      </c>
      <c r="E1077" t="inlineStr">
        <is>
          <t>TORSBY</t>
        </is>
      </c>
      <c r="F1077" t="inlineStr">
        <is>
          <t>Kommuner</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59236-2023</t>
        </is>
      </c>
      <c r="B1078" s="1" t="n">
        <v>45253</v>
      </c>
      <c r="C1078" s="1" t="n">
        <v>45997</v>
      </c>
      <c r="D1078" t="inlineStr">
        <is>
          <t>VÄRMLANDS LÄN</t>
        </is>
      </c>
      <c r="E1078" t="inlineStr">
        <is>
          <t>TORSBY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20321-2023</t>
        </is>
      </c>
      <c r="B1079" s="1" t="n">
        <v>45056.45232638889</v>
      </c>
      <c r="C1079" s="1" t="n">
        <v>45997</v>
      </c>
      <c r="D1079" t="inlineStr">
        <is>
          <t>VÄRMLANDS LÄN</t>
        </is>
      </c>
      <c r="E1079" t="inlineStr">
        <is>
          <t>TORSBY</t>
        </is>
      </c>
      <c r="F1079" t="inlineStr">
        <is>
          <t>Kyrkan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17944-2021</t>
        </is>
      </c>
      <c r="B1080" s="1" t="n">
        <v>44301</v>
      </c>
      <c r="C1080" s="1" t="n">
        <v>45997</v>
      </c>
      <c r="D1080" t="inlineStr">
        <is>
          <t>VÄRMLANDS LÄN</t>
        </is>
      </c>
      <c r="E1080" t="inlineStr">
        <is>
          <t>TORSBY</t>
        </is>
      </c>
      <c r="F1080" t="inlineStr">
        <is>
          <t>Kommuner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14120-2025</t>
        </is>
      </c>
      <c r="B1081" s="1" t="n">
        <v>45740</v>
      </c>
      <c r="C1081" s="1" t="n">
        <v>45997</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15768-2025</t>
        </is>
      </c>
      <c r="B1082" s="1" t="n">
        <v>45748.58782407407</v>
      </c>
      <c r="C1082" s="1" t="n">
        <v>45997</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57642-2023</t>
        </is>
      </c>
      <c r="B1083" s="1" t="n">
        <v>45246.5915625</v>
      </c>
      <c r="C1083" s="1" t="n">
        <v>45997</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8033-2022</t>
        </is>
      </c>
      <c r="B1084" s="1" t="n">
        <v>44609.43644675926</v>
      </c>
      <c r="C1084" s="1" t="n">
        <v>45997</v>
      </c>
      <c r="D1084" t="inlineStr">
        <is>
          <t>VÄRMLANDS LÄN</t>
        </is>
      </c>
      <c r="E1084" t="inlineStr">
        <is>
          <t>TORSBY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22973-2024</t>
        </is>
      </c>
      <c r="B1085" s="1" t="n">
        <v>45449</v>
      </c>
      <c r="C1085" s="1" t="n">
        <v>45997</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34378-2022</t>
        </is>
      </c>
      <c r="B1086" s="1" t="n">
        <v>44792.48787037037</v>
      </c>
      <c r="C1086" s="1" t="n">
        <v>45997</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17024-2024</t>
        </is>
      </c>
      <c r="B1087" s="1" t="n">
        <v>45412.38322916667</v>
      </c>
      <c r="C1087" s="1" t="n">
        <v>45997</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33088-2024</t>
        </is>
      </c>
      <c r="B1088" s="1" t="n">
        <v>45517</v>
      </c>
      <c r="C1088" s="1" t="n">
        <v>45997</v>
      </c>
      <c r="D1088" t="inlineStr">
        <is>
          <t>VÄRMLANDS LÄN</t>
        </is>
      </c>
      <c r="E1088" t="inlineStr">
        <is>
          <t>TORSBY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22269-2025</t>
        </is>
      </c>
      <c r="B1089" s="1" t="n">
        <v>45785</v>
      </c>
      <c r="C1089" s="1" t="n">
        <v>45997</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22331-2025</t>
        </is>
      </c>
      <c r="B1090" s="1" t="n">
        <v>45786</v>
      </c>
      <c r="C1090" s="1" t="n">
        <v>45997</v>
      </c>
      <c r="D1090" t="inlineStr">
        <is>
          <t>VÄRMLANDS LÄN</t>
        </is>
      </c>
      <c r="E1090" t="inlineStr">
        <is>
          <t>TORSBY</t>
        </is>
      </c>
      <c r="F1090" t="inlineStr">
        <is>
          <t>Bergvik skog väst AB</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44448-2024</t>
        </is>
      </c>
      <c r="B1091" s="1" t="n">
        <v>45574</v>
      </c>
      <c r="C1091" s="1" t="n">
        <v>45997</v>
      </c>
      <c r="D1091" t="inlineStr">
        <is>
          <t>VÄRMLANDS LÄN</t>
        </is>
      </c>
      <c r="E1091" t="inlineStr">
        <is>
          <t>TORSBY</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15052-2024</t>
        </is>
      </c>
      <c r="B1092" s="1" t="n">
        <v>45399.52613425926</v>
      </c>
      <c r="C1092" s="1" t="n">
        <v>45997</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21744-2024</t>
        </is>
      </c>
      <c r="B1093" s="1" t="n">
        <v>45442</v>
      </c>
      <c r="C1093" s="1" t="n">
        <v>45997</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38467-2021</t>
        </is>
      </c>
      <c r="B1094" s="1" t="n">
        <v>44405</v>
      </c>
      <c r="C1094" s="1" t="n">
        <v>45997</v>
      </c>
      <c r="D1094" t="inlineStr">
        <is>
          <t>VÄRMLANDS LÄN</t>
        </is>
      </c>
      <c r="E1094" t="inlineStr">
        <is>
          <t>TORSBY</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73874-2021</t>
        </is>
      </c>
      <c r="B1095" s="1" t="n">
        <v>44553.39755787037</v>
      </c>
      <c r="C1095" s="1" t="n">
        <v>45997</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54766-2023</t>
        </is>
      </c>
      <c r="B1096" s="1" t="n">
        <v>45236</v>
      </c>
      <c r="C1096" s="1" t="n">
        <v>45997</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11135-2024</t>
        </is>
      </c>
      <c r="B1097" s="1" t="n">
        <v>45371</v>
      </c>
      <c r="C1097" s="1" t="n">
        <v>45997</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23423-2024</t>
        </is>
      </c>
      <c r="B1098" s="1" t="n">
        <v>45453.60787037037</v>
      </c>
      <c r="C1098" s="1" t="n">
        <v>45997</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18365-2025</t>
        </is>
      </c>
      <c r="B1099" s="1" t="n">
        <v>45762</v>
      </c>
      <c r="C1099" s="1" t="n">
        <v>45997</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19031-2021</t>
        </is>
      </c>
      <c r="B1100" s="1" t="n">
        <v>44308.51076388889</v>
      </c>
      <c r="C1100" s="1" t="n">
        <v>45997</v>
      </c>
      <c r="D1100" t="inlineStr">
        <is>
          <t>VÄRMLANDS LÄN</t>
        </is>
      </c>
      <c r="E1100" t="inlineStr">
        <is>
          <t>TORSBY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40997-2022</t>
        </is>
      </c>
      <c r="B1101" s="1" t="n">
        <v>44825.50576388889</v>
      </c>
      <c r="C1101" s="1" t="n">
        <v>45997</v>
      </c>
      <c r="D1101" t="inlineStr">
        <is>
          <t>VÄRMLANDS LÄN</t>
        </is>
      </c>
      <c r="E1101" t="inlineStr">
        <is>
          <t>TORSBY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45997</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15460-2022</t>
        </is>
      </c>
      <c r="B1103" s="1" t="n">
        <v>44661</v>
      </c>
      <c r="C1103" s="1" t="n">
        <v>45997</v>
      </c>
      <c r="D1103" t="inlineStr">
        <is>
          <t>VÄRMLANDS LÄN</t>
        </is>
      </c>
      <c r="E1103" t="inlineStr">
        <is>
          <t>TORSBY</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21825-2024</t>
        </is>
      </c>
      <c r="B1104" s="1" t="n">
        <v>45442</v>
      </c>
      <c r="C1104" s="1" t="n">
        <v>45997</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44150-2023</t>
        </is>
      </c>
      <c r="B1105" s="1" t="n">
        <v>45188.47791666666</v>
      </c>
      <c r="C1105" s="1" t="n">
        <v>45997</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15019-2025</t>
        </is>
      </c>
      <c r="B1106" s="1" t="n">
        <v>45743.63811342593</v>
      </c>
      <c r="C1106" s="1" t="n">
        <v>45997</v>
      </c>
      <c r="D1106" t="inlineStr">
        <is>
          <t>VÄRMLANDS LÄN</t>
        </is>
      </c>
      <c r="E1106" t="inlineStr">
        <is>
          <t>TORSBY</t>
        </is>
      </c>
      <c r="F1106" t="inlineStr">
        <is>
          <t>Övriga statliga verk och myndigheter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22278-2025</t>
        </is>
      </c>
      <c r="B1107" s="1" t="n">
        <v>45786.33332175926</v>
      </c>
      <c r="C1107" s="1" t="n">
        <v>45997</v>
      </c>
      <c r="D1107" t="inlineStr">
        <is>
          <t>VÄRMLANDS LÄN</t>
        </is>
      </c>
      <c r="E1107" t="inlineStr">
        <is>
          <t>TORSBY</t>
        </is>
      </c>
      <c r="F1107" t="inlineStr">
        <is>
          <t>Bergvik skog väst AB</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22320-2025</t>
        </is>
      </c>
      <c r="B1108" s="1" t="n">
        <v>45786.40542824074</v>
      </c>
      <c r="C1108" s="1" t="n">
        <v>45997</v>
      </c>
      <c r="D1108" t="inlineStr">
        <is>
          <t>VÄRMLANDS LÄN</t>
        </is>
      </c>
      <c r="E1108" t="inlineStr">
        <is>
          <t>TORSBY</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22339-2025</t>
        </is>
      </c>
      <c r="B1109" s="1" t="n">
        <v>45786</v>
      </c>
      <c r="C1109" s="1" t="n">
        <v>45997</v>
      </c>
      <c r="D1109" t="inlineStr">
        <is>
          <t>VÄRMLANDS LÄN</t>
        </is>
      </c>
      <c r="E1109" t="inlineStr">
        <is>
          <t>TORSBY</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57536-2024</t>
        </is>
      </c>
      <c r="B1110" s="1" t="n">
        <v>45630.43023148148</v>
      </c>
      <c r="C1110" s="1" t="n">
        <v>45997</v>
      </c>
      <c r="D1110" t="inlineStr">
        <is>
          <t>VÄRMLANDS LÄN</t>
        </is>
      </c>
      <c r="E1110" t="inlineStr">
        <is>
          <t>TORSBY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36917-2024</t>
        </is>
      </c>
      <c r="B1111" s="1" t="n">
        <v>45538.65065972223</v>
      </c>
      <c r="C1111" s="1" t="n">
        <v>45997</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36922-2024</t>
        </is>
      </c>
      <c r="B1112" s="1" t="n">
        <v>45538</v>
      </c>
      <c r="C1112" s="1" t="n">
        <v>45997</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40858-2023</t>
        </is>
      </c>
      <c r="B1113" s="1" t="n">
        <v>45173.34709490741</v>
      </c>
      <c r="C1113" s="1" t="n">
        <v>45997</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21076-2023</t>
        </is>
      </c>
      <c r="B1114" s="1" t="n">
        <v>45061</v>
      </c>
      <c r="C1114" s="1" t="n">
        <v>45997</v>
      </c>
      <c r="D1114" t="inlineStr">
        <is>
          <t>VÄRMLANDS LÄN</t>
        </is>
      </c>
      <c r="E1114" t="inlineStr">
        <is>
          <t>TORSBY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18101-2022</t>
        </is>
      </c>
      <c r="B1115" s="1" t="n">
        <v>44684</v>
      </c>
      <c r="C1115" s="1" t="n">
        <v>45997</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20170-2021</t>
        </is>
      </c>
      <c r="B1116" s="1" t="n">
        <v>44312</v>
      </c>
      <c r="C1116" s="1" t="n">
        <v>45997</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55036-2024</t>
        </is>
      </c>
      <c r="B1117" s="1" t="n">
        <v>45621.38342592592</v>
      </c>
      <c r="C1117" s="1" t="n">
        <v>45997</v>
      </c>
      <c r="D1117" t="inlineStr">
        <is>
          <t>VÄRMLANDS LÄN</t>
        </is>
      </c>
      <c r="E1117" t="inlineStr">
        <is>
          <t>TORSBY</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11195-2025</t>
        </is>
      </c>
      <c r="B1118" s="1" t="n">
        <v>45725.85177083333</v>
      </c>
      <c r="C1118" s="1" t="n">
        <v>45997</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11235-2024</t>
        </is>
      </c>
      <c r="B1119" s="1" t="n">
        <v>45371</v>
      </c>
      <c r="C1119" s="1" t="n">
        <v>45997</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11253-2024</t>
        </is>
      </c>
      <c r="B1120" s="1" t="n">
        <v>45371</v>
      </c>
      <c r="C1120" s="1" t="n">
        <v>45997</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47241-2023</t>
        </is>
      </c>
      <c r="B1121" s="1" t="n">
        <v>45202.39821759259</v>
      </c>
      <c r="C1121" s="1" t="n">
        <v>45997</v>
      </c>
      <c r="D1121" t="inlineStr">
        <is>
          <t>VÄRMLANDS LÄN</t>
        </is>
      </c>
      <c r="E1121" t="inlineStr">
        <is>
          <t>TORSBY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16498-2022</t>
        </is>
      </c>
      <c r="B1122" s="1" t="n">
        <v>44671</v>
      </c>
      <c r="C1122" s="1" t="n">
        <v>45997</v>
      </c>
      <c r="D1122" t="inlineStr">
        <is>
          <t>VÄRMLANDS LÄN</t>
        </is>
      </c>
      <c r="E1122" t="inlineStr">
        <is>
          <t>TORSBY</t>
        </is>
      </c>
      <c r="F1122" t="inlineStr">
        <is>
          <t>Kommuner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61157-2023</t>
        </is>
      </c>
      <c r="B1123" s="1" t="n">
        <v>45261.98796296296</v>
      </c>
      <c r="C1123" s="1" t="n">
        <v>45997</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11211-2024</t>
        </is>
      </c>
      <c r="B1124" s="1" t="n">
        <v>45371</v>
      </c>
      <c r="C1124" s="1" t="n">
        <v>45997</v>
      </c>
      <c r="D1124" t="inlineStr">
        <is>
          <t>VÄRMLANDS LÄN</t>
        </is>
      </c>
      <c r="E1124" t="inlineStr">
        <is>
          <t>TORSBY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5830-2023</t>
        </is>
      </c>
      <c r="B1125" s="1" t="n">
        <v>44963</v>
      </c>
      <c r="C1125" s="1" t="n">
        <v>45997</v>
      </c>
      <c r="D1125" t="inlineStr">
        <is>
          <t>VÄRMLANDS LÄN</t>
        </is>
      </c>
      <c r="E1125" t="inlineStr">
        <is>
          <t>TORSBY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57721-2022</t>
        </is>
      </c>
      <c r="B1126" s="1" t="n">
        <v>44897.55278935185</v>
      </c>
      <c r="C1126" s="1" t="n">
        <v>45997</v>
      </c>
      <c r="D1126" t="inlineStr">
        <is>
          <t>VÄRMLANDS LÄN</t>
        </is>
      </c>
      <c r="E1126" t="inlineStr">
        <is>
          <t>TORSBY</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19887-2024</t>
        </is>
      </c>
      <c r="B1127" s="1" t="n">
        <v>45433</v>
      </c>
      <c r="C1127" s="1" t="n">
        <v>45997</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55031-2023</t>
        </is>
      </c>
      <c r="B1128" s="1" t="n">
        <v>45237.34733796296</v>
      </c>
      <c r="C1128" s="1" t="n">
        <v>45997</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29921-2022</t>
        </is>
      </c>
      <c r="B1129" s="1" t="n">
        <v>44756</v>
      </c>
      <c r="C1129" s="1" t="n">
        <v>45997</v>
      </c>
      <c r="D1129" t="inlineStr">
        <is>
          <t>VÄRMLANDS LÄN</t>
        </is>
      </c>
      <c r="E1129" t="inlineStr">
        <is>
          <t>TORSBY</t>
        </is>
      </c>
      <c r="F1129" t="inlineStr">
        <is>
          <t>Kommuner</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4640-2022</t>
        </is>
      </c>
      <c r="B1130" s="1" t="n">
        <v>44592</v>
      </c>
      <c r="C1130" s="1" t="n">
        <v>45997</v>
      </c>
      <c r="D1130" t="inlineStr">
        <is>
          <t>VÄRMLANDS LÄN</t>
        </is>
      </c>
      <c r="E1130" t="inlineStr">
        <is>
          <t>TORSBY</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18876-2023</t>
        </is>
      </c>
      <c r="B1131" s="1" t="n">
        <v>45044.50101851852</v>
      </c>
      <c r="C1131" s="1" t="n">
        <v>45997</v>
      </c>
      <c r="D1131" t="inlineStr">
        <is>
          <t>VÄRMLANDS LÄN</t>
        </is>
      </c>
      <c r="E1131" t="inlineStr">
        <is>
          <t>TORSBY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27347-2024</t>
        </is>
      </c>
      <c r="B1132" s="1" t="n">
        <v>45473.59798611111</v>
      </c>
      <c r="C1132" s="1" t="n">
        <v>45997</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46152-2024</t>
        </is>
      </c>
      <c r="B1133" s="1" t="n">
        <v>45581</v>
      </c>
      <c r="C1133" s="1" t="n">
        <v>45997</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16210-2025</t>
        </is>
      </c>
      <c r="B1134" s="1" t="n">
        <v>45750</v>
      </c>
      <c r="C1134" s="1" t="n">
        <v>45997</v>
      </c>
      <c r="D1134" t="inlineStr">
        <is>
          <t>VÄRMLANDS LÄN</t>
        </is>
      </c>
      <c r="E1134" t="inlineStr">
        <is>
          <t>TORSBY</t>
        </is>
      </c>
      <c r="F1134" t="inlineStr">
        <is>
          <t>Bergvik skog väst AB</t>
        </is>
      </c>
      <c r="G1134" t="n">
        <v>10.7</v>
      </c>
      <c r="H1134" t="n">
        <v>0</v>
      </c>
      <c r="I1134" t="n">
        <v>0</v>
      </c>
      <c r="J1134" t="n">
        <v>0</v>
      </c>
      <c r="K1134" t="n">
        <v>0</v>
      </c>
      <c r="L1134" t="n">
        <v>0</v>
      </c>
      <c r="M1134" t="n">
        <v>0</v>
      </c>
      <c r="N1134" t="n">
        <v>0</v>
      </c>
      <c r="O1134" t="n">
        <v>0</v>
      </c>
      <c r="P1134" t="n">
        <v>0</v>
      </c>
      <c r="Q1134" t="n">
        <v>0</v>
      </c>
      <c r="R1134" s="2" t="inlineStr"/>
    </row>
    <row r="1135" ht="15" customHeight="1">
      <c r="A1135" t="inlineStr">
        <is>
          <t>A 56970-2023</t>
        </is>
      </c>
      <c r="B1135" s="1" t="n">
        <v>45244.63689814815</v>
      </c>
      <c r="C1135" s="1" t="n">
        <v>45997</v>
      </c>
      <c r="D1135" t="inlineStr">
        <is>
          <t>VÄRMLANDS LÄN</t>
        </is>
      </c>
      <c r="E1135" t="inlineStr">
        <is>
          <t>TORSBY</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9056-2023</t>
        </is>
      </c>
      <c r="B1136" s="1" t="n">
        <v>44979</v>
      </c>
      <c r="C1136" s="1" t="n">
        <v>45997</v>
      </c>
      <c r="D1136" t="inlineStr">
        <is>
          <t>VÄRMLANDS LÄN</t>
        </is>
      </c>
      <c r="E1136" t="inlineStr">
        <is>
          <t>TORSBY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58869-2022</t>
        </is>
      </c>
      <c r="B1137" s="1" t="n">
        <v>44903</v>
      </c>
      <c r="C1137" s="1" t="n">
        <v>45997</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1275-2024</t>
        </is>
      </c>
      <c r="B1138" s="1" t="n">
        <v>45302</v>
      </c>
      <c r="C1138" s="1" t="n">
        <v>45997</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44838-2024</t>
        </is>
      </c>
      <c r="B1139" s="1" t="n">
        <v>45574.7069675926</v>
      </c>
      <c r="C1139" s="1" t="n">
        <v>45997</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4479-2021</t>
        </is>
      </c>
      <c r="B1140" s="1" t="n">
        <v>44224</v>
      </c>
      <c r="C1140" s="1" t="n">
        <v>45997</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41156-2023</t>
        </is>
      </c>
      <c r="B1141" s="1" t="n">
        <v>45174</v>
      </c>
      <c r="C1141" s="1" t="n">
        <v>45997</v>
      </c>
      <c r="D1141" t="inlineStr">
        <is>
          <t>VÄRMLANDS LÄN</t>
        </is>
      </c>
      <c r="E1141" t="inlineStr">
        <is>
          <t>TORSBY</t>
        </is>
      </c>
      <c r="F1141" t="inlineStr">
        <is>
          <t>Kyrkan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4522-2021</t>
        </is>
      </c>
      <c r="B1142" s="1" t="n">
        <v>44224</v>
      </c>
      <c r="C1142" s="1" t="n">
        <v>45997</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60796-2024</t>
        </is>
      </c>
      <c r="B1143" s="1" t="n">
        <v>45642</v>
      </c>
      <c r="C1143" s="1" t="n">
        <v>45997</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11575-2024</t>
        </is>
      </c>
      <c r="B1144" s="1" t="n">
        <v>45373</v>
      </c>
      <c r="C1144" s="1" t="n">
        <v>45997</v>
      </c>
      <c r="D1144" t="inlineStr">
        <is>
          <t>VÄRMLANDS LÄN</t>
        </is>
      </c>
      <c r="E1144" t="inlineStr">
        <is>
          <t>TORSBY</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57726-2022</t>
        </is>
      </c>
      <c r="B1145" s="1" t="n">
        <v>44897.56420138889</v>
      </c>
      <c r="C1145" s="1" t="n">
        <v>45997</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1042-2024</t>
        </is>
      </c>
      <c r="B1146" s="1" t="n">
        <v>45301</v>
      </c>
      <c r="C1146" s="1" t="n">
        <v>45997</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36239-2023</t>
        </is>
      </c>
      <c r="B1147" s="1" t="n">
        <v>45150</v>
      </c>
      <c r="C1147" s="1" t="n">
        <v>45997</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41781-2022</t>
        </is>
      </c>
      <c r="B1148" s="1" t="n">
        <v>44827.70537037037</v>
      </c>
      <c r="C1148" s="1" t="n">
        <v>45997</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36879-2024</t>
        </is>
      </c>
      <c r="B1149" s="1" t="n">
        <v>45538</v>
      </c>
      <c r="C1149" s="1" t="n">
        <v>45997</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15465-2024</t>
        </is>
      </c>
      <c r="B1150" s="1" t="n">
        <v>45401.47399305556</v>
      </c>
      <c r="C1150" s="1" t="n">
        <v>45997</v>
      </c>
      <c r="D1150" t="inlineStr">
        <is>
          <t>VÄRMLANDS LÄN</t>
        </is>
      </c>
      <c r="E1150" t="inlineStr">
        <is>
          <t>TORSBY</t>
        </is>
      </c>
      <c r="F1150" t="inlineStr">
        <is>
          <t>Bergvik skog väst AB</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51386-2023</t>
        </is>
      </c>
      <c r="B1151" s="1" t="n">
        <v>45219.65394675926</v>
      </c>
      <c r="C1151" s="1" t="n">
        <v>45997</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38914-2022</t>
        </is>
      </c>
      <c r="B1152" s="1" t="n">
        <v>44816.61194444444</v>
      </c>
      <c r="C1152" s="1" t="n">
        <v>45997</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1997-2025</t>
        </is>
      </c>
      <c r="B1153" s="1" t="n">
        <v>45672.44431712963</v>
      </c>
      <c r="C1153" s="1" t="n">
        <v>45997</v>
      </c>
      <c r="D1153" t="inlineStr">
        <is>
          <t>VÄRMLANDS LÄN</t>
        </is>
      </c>
      <c r="E1153" t="inlineStr">
        <is>
          <t>TORSBY</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1947-2023</t>
        </is>
      </c>
      <c r="B1154" s="1" t="n">
        <v>44939</v>
      </c>
      <c r="C1154" s="1" t="n">
        <v>45997</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60383-2024</t>
        </is>
      </c>
      <c r="B1155" s="1" t="n">
        <v>45643.47674768518</v>
      </c>
      <c r="C1155" s="1" t="n">
        <v>45997</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60386-2024</t>
        </is>
      </c>
      <c r="B1156" s="1" t="n">
        <v>45643</v>
      </c>
      <c r="C1156" s="1" t="n">
        <v>45997</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14026-2025</t>
        </is>
      </c>
      <c r="B1157" s="1" t="n">
        <v>45740.35003472222</v>
      </c>
      <c r="C1157" s="1" t="n">
        <v>45997</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42615-2021</t>
        </is>
      </c>
      <c r="B1158" s="1" t="n">
        <v>44428</v>
      </c>
      <c r="C1158" s="1" t="n">
        <v>45997</v>
      </c>
      <c r="D1158" t="inlineStr">
        <is>
          <t>VÄRMLANDS LÄN</t>
        </is>
      </c>
      <c r="E1158" t="inlineStr">
        <is>
          <t>TORSBY</t>
        </is>
      </c>
      <c r="F1158" t="inlineStr">
        <is>
          <t>Bergvik skog väst AB</t>
        </is>
      </c>
      <c r="G1158" t="n">
        <v>37.2</v>
      </c>
      <c r="H1158" t="n">
        <v>0</v>
      </c>
      <c r="I1158" t="n">
        <v>0</v>
      </c>
      <c r="J1158" t="n">
        <v>0</v>
      </c>
      <c r="K1158" t="n">
        <v>0</v>
      </c>
      <c r="L1158" t="n">
        <v>0</v>
      </c>
      <c r="M1158" t="n">
        <v>0</v>
      </c>
      <c r="N1158" t="n">
        <v>0</v>
      </c>
      <c r="O1158" t="n">
        <v>0</v>
      </c>
      <c r="P1158" t="n">
        <v>0</v>
      </c>
      <c r="Q1158" t="n">
        <v>0</v>
      </c>
      <c r="R1158" s="2" t="inlineStr"/>
    </row>
    <row r="1159" ht="15" customHeight="1">
      <c r="A1159" t="inlineStr">
        <is>
          <t>A 54489-2024</t>
        </is>
      </c>
      <c r="B1159" s="1" t="n">
        <v>45617.56674768519</v>
      </c>
      <c r="C1159" s="1" t="n">
        <v>45997</v>
      </c>
      <c r="D1159" t="inlineStr">
        <is>
          <t>VÄRMLANDS LÄN</t>
        </is>
      </c>
      <c r="E1159" t="inlineStr">
        <is>
          <t>TORSBY</t>
        </is>
      </c>
      <c r="F1159" t="inlineStr">
        <is>
          <t>Bergvik skog väst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58013-2023</t>
        </is>
      </c>
      <c r="B1160" s="1" t="n">
        <v>45247.62346064814</v>
      </c>
      <c r="C1160" s="1" t="n">
        <v>45997</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44670-2023</t>
        </is>
      </c>
      <c r="B1161" s="1" t="n">
        <v>45189</v>
      </c>
      <c r="C1161" s="1" t="n">
        <v>45997</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37623-2023</t>
        </is>
      </c>
      <c r="B1162" s="1" t="n">
        <v>45159.45560185185</v>
      </c>
      <c r="C1162" s="1" t="n">
        <v>45997</v>
      </c>
      <c r="D1162" t="inlineStr">
        <is>
          <t>VÄRMLANDS LÄN</t>
        </is>
      </c>
      <c r="E1162" t="inlineStr">
        <is>
          <t>TORSBY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2321-2021</t>
        </is>
      </c>
      <c r="B1163" s="1" t="n">
        <v>44214</v>
      </c>
      <c r="C1163" s="1" t="n">
        <v>45997</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53652-2023</t>
        </is>
      </c>
      <c r="B1164" s="1" t="n">
        <v>45224</v>
      </c>
      <c r="C1164" s="1" t="n">
        <v>45997</v>
      </c>
      <c r="D1164" t="inlineStr">
        <is>
          <t>VÄRMLANDS LÄN</t>
        </is>
      </c>
      <c r="E1164" t="inlineStr">
        <is>
          <t>TORSBY</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38882-2022</t>
        </is>
      </c>
      <c r="B1165" s="1" t="n">
        <v>44816.565625</v>
      </c>
      <c r="C1165" s="1" t="n">
        <v>45997</v>
      </c>
      <c r="D1165" t="inlineStr">
        <is>
          <t>VÄRMLANDS LÄN</t>
        </is>
      </c>
      <c r="E1165" t="inlineStr">
        <is>
          <t>TORSBY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59872-2023</t>
        </is>
      </c>
      <c r="B1166" s="1" t="n">
        <v>45257.58666666667</v>
      </c>
      <c r="C1166" s="1" t="n">
        <v>45997</v>
      </c>
      <c r="D1166" t="inlineStr">
        <is>
          <t>VÄRMLANDS LÄN</t>
        </is>
      </c>
      <c r="E1166" t="inlineStr">
        <is>
          <t>TORSBY</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40971-2023</t>
        </is>
      </c>
      <c r="B1167" s="1" t="n">
        <v>45173</v>
      </c>
      <c r="C1167" s="1" t="n">
        <v>45997</v>
      </c>
      <c r="D1167" t="inlineStr">
        <is>
          <t>VÄRMLANDS LÄN</t>
        </is>
      </c>
      <c r="E1167" t="inlineStr">
        <is>
          <t>TORSBY</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52078-2023</t>
        </is>
      </c>
      <c r="B1168" s="1" t="n">
        <v>45223</v>
      </c>
      <c r="C1168" s="1" t="n">
        <v>45997</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7215-2025</t>
        </is>
      </c>
      <c r="B1169" s="1" t="n">
        <v>45702</v>
      </c>
      <c r="C1169" s="1" t="n">
        <v>45997</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24630-2024</t>
        </is>
      </c>
      <c r="B1170" s="1" t="n">
        <v>45460.51149305556</v>
      </c>
      <c r="C1170" s="1" t="n">
        <v>45997</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8728-2024</t>
        </is>
      </c>
      <c r="B1171" s="1" t="n">
        <v>45356.42799768518</v>
      </c>
      <c r="C1171" s="1" t="n">
        <v>45997</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9704-2025</t>
        </is>
      </c>
      <c r="B1172" s="1" t="n">
        <v>45716.38378472222</v>
      </c>
      <c r="C1172" s="1" t="n">
        <v>45997</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10587-2024</t>
        </is>
      </c>
      <c r="B1173" s="1" t="n">
        <v>45366</v>
      </c>
      <c r="C1173" s="1" t="n">
        <v>45997</v>
      </c>
      <c r="D1173" t="inlineStr">
        <is>
          <t>VÄRMLANDS LÄN</t>
        </is>
      </c>
      <c r="E1173" t="inlineStr">
        <is>
          <t>TORSBY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60477-2024</t>
        </is>
      </c>
      <c r="B1174" s="1" t="n">
        <v>45643</v>
      </c>
      <c r="C1174" s="1" t="n">
        <v>45997</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45997</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3841-2022</t>
        </is>
      </c>
      <c r="B1176" s="1" t="n">
        <v>44587</v>
      </c>
      <c r="C1176" s="1" t="n">
        <v>45997</v>
      </c>
      <c r="D1176" t="inlineStr">
        <is>
          <t>VÄRMLANDS LÄN</t>
        </is>
      </c>
      <c r="E1176" t="inlineStr">
        <is>
          <t>TORSBY</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58727-2021</t>
        </is>
      </c>
      <c r="B1177" s="1" t="n">
        <v>44489.49052083334</v>
      </c>
      <c r="C1177" s="1" t="n">
        <v>45997</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15169-2025</t>
        </is>
      </c>
      <c r="B1178" s="1" t="n">
        <v>45744</v>
      </c>
      <c r="C1178" s="1" t="n">
        <v>45997</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9286-2025</t>
        </is>
      </c>
      <c r="B1179" s="1" t="n">
        <v>45714</v>
      </c>
      <c r="C1179" s="1" t="n">
        <v>45997</v>
      </c>
      <c r="D1179" t="inlineStr">
        <is>
          <t>VÄRMLANDS LÄN</t>
        </is>
      </c>
      <c r="E1179" t="inlineStr">
        <is>
          <t>TORSBY</t>
        </is>
      </c>
      <c r="F1179" t="inlineStr">
        <is>
          <t>Kommuner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13785-2023</t>
        </is>
      </c>
      <c r="B1180" s="1" t="n">
        <v>45007</v>
      </c>
      <c r="C1180" s="1" t="n">
        <v>45997</v>
      </c>
      <c r="D1180" t="inlineStr">
        <is>
          <t>VÄRMLANDS LÄN</t>
        </is>
      </c>
      <c r="E1180" t="inlineStr">
        <is>
          <t>TORSBY</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57990-2023</t>
        </is>
      </c>
      <c r="B1181" s="1" t="n">
        <v>45247.60293981482</v>
      </c>
      <c r="C1181" s="1" t="n">
        <v>45997</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44423-2024</t>
        </is>
      </c>
      <c r="B1182" s="1" t="n">
        <v>45573</v>
      </c>
      <c r="C1182" s="1" t="n">
        <v>45997</v>
      </c>
      <c r="D1182" t="inlineStr">
        <is>
          <t>VÄRMLANDS LÄN</t>
        </is>
      </c>
      <c r="E1182" t="inlineStr">
        <is>
          <t>TORSBY</t>
        </is>
      </c>
      <c r="G1182" t="n">
        <v>34.1</v>
      </c>
      <c r="H1182" t="n">
        <v>0</v>
      </c>
      <c r="I1182" t="n">
        <v>0</v>
      </c>
      <c r="J1182" t="n">
        <v>0</v>
      </c>
      <c r="K1182" t="n">
        <v>0</v>
      </c>
      <c r="L1182" t="n">
        <v>0</v>
      </c>
      <c r="M1182" t="n">
        <v>0</v>
      </c>
      <c r="N1182" t="n">
        <v>0</v>
      </c>
      <c r="O1182" t="n">
        <v>0</v>
      </c>
      <c r="P1182" t="n">
        <v>0</v>
      </c>
      <c r="Q1182" t="n">
        <v>0</v>
      </c>
      <c r="R1182" s="2" t="inlineStr"/>
    </row>
    <row r="1183" ht="15" customHeight="1">
      <c r="A1183" t="inlineStr">
        <is>
          <t>A 15154-2025</t>
        </is>
      </c>
      <c r="B1183" s="1" t="n">
        <v>45744.46157407408</v>
      </c>
      <c r="C1183" s="1" t="n">
        <v>45997</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35777-2024</t>
        </is>
      </c>
      <c r="B1184" s="1" t="n">
        <v>45532</v>
      </c>
      <c r="C1184" s="1" t="n">
        <v>45997</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8979-2025</t>
        </is>
      </c>
      <c r="B1185" s="1" t="n">
        <v>45713</v>
      </c>
      <c r="C1185" s="1" t="n">
        <v>45997</v>
      </c>
      <c r="D1185" t="inlineStr">
        <is>
          <t>VÄRMLANDS LÄN</t>
        </is>
      </c>
      <c r="E1185" t="inlineStr">
        <is>
          <t>TORSBY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51144-2023</t>
        </is>
      </c>
      <c r="B1186" s="1" t="n">
        <v>45212</v>
      </c>
      <c r="C1186" s="1" t="n">
        <v>45997</v>
      </c>
      <c r="D1186" t="inlineStr">
        <is>
          <t>VÄRMLANDS LÄN</t>
        </is>
      </c>
      <c r="E1186" t="inlineStr">
        <is>
          <t>TORSBY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62210-2023</t>
        </is>
      </c>
      <c r="B1187" s="1" t="n">
        <v>45267.49430555556</v>
      </c>
      <c r="C1187" s="1" t="n">
        <v>45997</v>
      </c>
      <c r="D1187" t="inlineStr">
        <is>
          <t>VÄRMLANDS LÄN</t>
        </is>
      </c>
      <c r="E1187" t="inlineStr">
        <is>
          <t>TORSBY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56811-2023</t>
        </is>
      </c>
      <c r="B1188" s="1" t="n">
        <v>45244</v>
      </c>
      <c r="C1188" s="1" t="n">
        <v>45997</v>
      </c>
      <c r="D1188" t="inlineStr">
        <is>
          <t>VÄRMLANDS LÄN</t>
        </is>
      </c>
      <c r="E1188" t="inlineStr">
        <is>
          <t>TORSBY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16949-2025</t>
        </is>
      </c>
      <c r="B1189" s="1" t="n">
        <v>45755</v>
      </c>
      <c r="C1189" s="1" t="n">
        <v>45997</v>
      </c>
      <c r="D1189" t="inlineStr">
        <is>
          <t>VÄRMLANDS LÄN</t>
        </is>
      </c>
      <c r="E1189" t="inlineStr">
        <is>
          <t>TORSBY</t>
        </is>
      </c>
      <c r="F1189" t="inlineStr">
        <is>
          <t>Bergvik skog väst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27346-2024</t>
        </is>
      </c>
      <c r="B1190" s="1" t="n">
        <v>45473.58984953703</v>
      </c>
      <c r="C1190" s="1" t="n">
        <v>45997</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27349-2024</t>
        </is>
      </c>
      <c r="B1191" s="1" t="n">
        <v>45473.65679398148</v>
      </c>
      <c r="C1191" s="1" t="n">
        <v>45997</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11842-2025</t>
        </is>
      </c>
      <c r="B1192" s="1" t="n">
        <v>45728.36950231482</v>
      </c>
      <c r="C1192" s="1" t="n">
        <v>45997</v>
      </c>
      <c r="D1192" t="inlineStr">
        <is>
          <t>VÄRMLANDS LÄN</t>
        </is>
      </c>
      <c r="E1192" t="inlineStr">
        <is>
          <t>TORSBY</t>
        </is>
      </c>
      <c r="F1192" t="inlineStr">
        <is>
          <t>Bergvik skog väst AB</t>
        </is>
      </c>
      <c r="G1192" t="n">
        <v>32.1</v>
      </c>
      <c r="H1192" t="n">
        <v>0</v>
      </c>
      <c r="I1192" t="n">
        <v>0</v>
      </c>
      <c r="J1192" t="n">
        <v>0</v>
      </c>
      <c r="K1192" t="n">
        <v>0</v>
      </c>
      <c r="L1192" t="n">
        <v>0</v>
      </c>
      <c r="M1192" t="n">
        <v>0</v>
      </c>
      <c r="N1192" t="n">
        <v>0</v>
      </c>
      <c r="O1192" t="n">
        <v>0</v>
      </c>
      <c r="P1192" t="n">
        <v>0</v>
      </c>
      <c r="Q1192" t="n">
        <v>0</v>
      </c>
      <c r="R1192" s="2" t="inlineStr"/>
    </row>
    <row r="1193" ht="15" customHeight="1">
      <c r="A1193" t="inlineStr">
        <is>
          <t>A 45548-2024</t>
        </is>
      </c>
      <c r="B1193" s="1" t="n">
        <v>45579</v>
      </c>
      <c r="C1193" s="1" t="n">
        <v>45997</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17554-2023</t>
        </is>
      </c>
      <c r="B1194" s="1" t="n">
        <v>45034</v>
      </c>
      <c r="C1194" s="1" t="n">
        <v>45997</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14367-2025</t>
        </is>
      </c>
      <c r="B1195" s="1" t="n">
        <v>45741.38988425926</v>
      </c>
      <c r="C1195" s="1" t="n">
        <v>45997</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14419-2025</t>
        </is>
      </c>
      <c r="B1196" s="1" t="n">
        <v>45741</v>
      </c>
      <c r="C1196" s="1" t="n">
        <v>45997</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13262-2024</t>
        </is>
      </c>
      <c r="B1197" s="1" t="n">
        <v>45386.59236111111</v>
      </c>
      <c r="C1197" s="1" t="n">
        <v>45997</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27223-2022</t>
        </is>
      </c>
      <c r="B1198" s="1" t="n">
        <v>44741</v>
      </c>
      <c r="C1198" s="1" t="n">
        <v>45997</v>
      </c>
      <c r="D1198" t="inlineStr">
        <is>
          <t>VÄRMLANDS LÄN</t>
        </is>
      </c>
      <c r="E1198" t="inlineStr">
        <is>
          <t>TORSBY</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20633-2024</t>
        </is>
      </c>
      <c r="B1199" s="1" t="n">
        <v>45436</v>
      </c>
      <c r="C1199" s="1" t="n">
        <v>45997</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9793-2024</t>
        </is>
      </c>
      <c r="B1200" s="1" t="n">
        <v>45362.71013888889</v>
      </c>
      <c r="C1200" s="1" t="n">
        <v>45997</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35132-2022</t>
        </is>
      </c>
      <c r="B1201" s="1" t="n">
        <v>44797</v>
      </c>
      <c r="C1201" s="1" t="n">
        <v>45997</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4510-2023</t>
        </is>
      </c>
      <c r="B1202" s="1" t="n">
        <v>44956.57528935185</v>
      </c>
      <c r="C1202" s="1" t="n">
        <v>45997</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6448-2025</t>
        </is>
      </c>
      <c r="B1203" s="1" t="n">
        <v>45699</v>
      </c>
      <c r="C1203" s="1" t="n">
        <v>45997</v>
      </c>
      <c r="D1203" t="inlineStr">
        <is>
          <t>VÄRMLANDS LÄN</t>
        </is>
      </c>
      <c r="E1203" t="inlineStr">
        <is>
          <t>TORSBY</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200-2025</t>
        </is>
      </c>
      <c r="B1204" s="1" t="n">
        <v>45659.93418981481</v>
      </c>
      <c r="C1204" s="1" t="n">
        <v>45997</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45997</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5052-2025</t>
        </is>
      </c>
      <c r="B1206" s="1" t="n">
        <v>45691</v>
      </c>
      <c r="C1206" s="1" t="n">
        <v>45997</v>
      </c>
      <c r="D1206" t="inlineStr">
        <is>
          <t>VÄRMLANDS LÄN</t>
        </is>
      </c>
      <c r="E1206" t="inlineStr">
        <is>
          <t>TORSBY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36290-2022</t>
        </is>
      </c>
      <c r="B1207" s="1" t="n">
        <v>44803</v>
      </c>
      <c r="C1207" s="1" t="n">
        <v>45997</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7745-2023</t>
        </is>
      </c>
      <c r="B1208" s="1" t="n">
        <v>44973.35336805556</v>
      </c>
      <c r="C1208" s="1" t="n">
        <v>45997</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14800-2025</t>
        </is>
      </c>
      <c r="B1209" s="1" t="n">
        <v>45743</v>
      </c>
      <c r="C1209" s="1" t="n">
        <v>45997</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21516-2022</t>
        </is>
      </c>
      <c r="B1210" s="1" t="n">
        <v>44706</v>
      </c>
      <c r="C1210" s="1" t="n">
        <v>45997</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45997</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45997</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502-2024</t>
        </is>
      </c>
      <c r="B1213" s="1" t="n">
        <v>45299</v>
      </c>
      <c r="C1213" s="1" t="n">
        <v>45997</v>
      </c>
      <c r="D1213" t="inlineStr">
        <is>
          <t>VÄRMLANDS LÄN</t>
        </is>
      </c>
      <c r="E1213" t="inlineStr">
        <is>
          <t>TORSBY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35817-2025</t>
        </is>
      </c>
      <c r="B1214" s="1" t="n">
        <v>45861.44365740741</v>
      </c>
      <c r="C1214" s="1" t="n">
        <v>45997</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35855-2025</t>
        </is>
      </c>
      <c r="B1215" s="1" t="n">
        <v>45861.61864583333</v>
      </c>
      <c r="C1215" s="1" t="n">
        <v>45997</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30958-2025</t>
        </is>
      </c>
      <c r="B1216" s="1" t="n">
        <v>45832.43880787037</v>
      </c>
      <c r="C1216" s="1" t="n">
        <v>45997</v>
      </c>
      <c r="D1216" t="inlineStr">
        <is>
          <t>VÄRMLANDS LÄN</t>
        </is>
      </c>
      <c r="E1216" t="inlineStr">
        <is>
          <t>TORSBY</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38611-2025</t>
        </is>
      </c>
      <c r="B1217" s="1" t="n">
        <v>45884.53958333333</v>
      </c>
      <c r="C1217" s="1" t="n">
        <v>45997</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15014-2025</t>
        </is>
      </c>
      <c r="B1218" s="1" t="n">
        <v>45743</v>
      </c>
      <c r="C1218" s="1" t="n">
        <v>45997</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35965-2025</t>
        </is>
      </c>
      <c r="B1219" s="1" t="n">
        <v>45863.39790509259</v>
      </c>
      <c r="C1219" s="1" t="n">
        <v>45997</v>
      </c>
      <c r="D1219" t="inlineStr">
        <is>
          <t>VÄRMLANDS LÄN</t>
        </is>
      </c>
      <c r="E1219" t="inlineStr">
        <is>
          <t>TORSBY</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7378-2025</t>
        </is>
      </c>
      <c r="B1220" s="1" t="n">
        <v>45705</v>
      </c>
      <c r="C1220" s="1" t="n">
        <v>45997</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35980-2025</t>
        </is>
      </c>
      <c r="B1221" s="1" t="n">
        <v>45863</v>
      </c>
      <c r="C1221" s="1" t="n">
        <v>45997</v>
      </c>
      <c r="D1221" t="inlineStr">
        <is>
          <t>VÄRMLANDS LÄN</t>
        </is>
      </c>
      <c r="E1221" t="inlineStr">
        <is>
          <t>TORSBY</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52062-2024</t>
        </is>
      </c>
      <c r="B1222" s="1" t="n">
        <v>45608</v>
      </c>
      <c r="C1222" s="1" t="n">
        <v>45997</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25961-2025</t>
        </is>
      </c>
      <c r="B1223" s="1" t="n">
        <v>45804</v>
      </c>
      <c r="C1223" s="1" t="n">
        <v>45997</v>
      </c>
      <c r="D1223" t="inlineStr">
        <is>
          <t>VÄRMLANDS LÄN</t>
        </is>
      </c>
      <c r="E1223" t="inlineStr">
        <is>
          <t>TORSBY</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35987-2025</t>
        </is>
      </c>
      <c r="B1224" s="1" t="n">
        <v>45863.46144675926</v>
      </c>
      <c r="C1224" s="1" t="n">
        <v>45997</v>
      </c>
      <c r="D1224" t="inlineStr">
        <is>
          <t>VÄRMLANDS LÄN</t>
        </is>
      </c>
      <c r="E1224" t="inlineStr">
        <is>
          <t>TORSBY</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50973-2023</t>
        </is>
      </c>
      <c r="B1225" s="1" t="n">
        <v>45218.50408564815</v>
      </c>
      <c r="C1225" s="1" t="n">
        <v>45997</v>
      </c>
      <c r="D1225" t="inlineStr">
        <is>
          <t>VÄRMLANDS LÄN</t>
        </is>
      </c>
      <c r="E1225" t="inlineStr">
        <is>
          <t>TORSBY</t>
        </is>
      </c>
      <c r="G1225" t="n">
        <v>10.7</v>
      </c>
      <c r="H1225" t="n">
        <v>0</v>
      </c>
      <c r="I1225" t="n">
        <v>0</v>
      </c>
      <c r="J1225" t="n">
        <v>0</v>
      </c>
      <c r="K1225" t="n">
        <v>0</v>
      </c>
      <c r="L1225" t="n">
        <v>0</v>
      </c>
      <c r="M1225" t="n">
        <v>0</v>
      </c>
      <c r="N1225" t="n">
        <v>0</v>
      </c>
      <c r="O1225" t="n">
        <v>0</v>
      </c>
      <c r="P1225" t="n">
        <v>0</v>
      </c>
      <c r="Q1225" t="n">
        <v>0</v>
      </c>
      <c r="R1225" s="2" t="inlineStr"/>
    </row>
    <row r="1226" ht="15" customHeight="1">
      <c r="A1226" t="inlineStr">
        <is>
          <t>A 38315-2025</t>
        </is>
      </c>
      <c r="B1226" s="1" t="n">
        <v>45883.47824074074</v>
      </c>
      <c r="C1226" s="1" t="n">
        <v>45997</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20191-2025</t>
        </is>
      </c>
      <c r="B1227" s="1" t="n">
        <v>45772</v>
      </c>
      <c r="C1227" s="1" t="n">
        <v>45997</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36288-2025</t>
        </is>
      </c>
      <c r="B1228" s="1" t="n">
        <v>45867.6619212963</v>
      </c>
      <c r="C1228" s="1" t="n">
        <v>45997</v>
      </c>
      <c r="D1228" t="inlineStr">
        <is>
          <t>VÄRMLANDS LÄN</t>
        </is>
      </c>
      <c r="E1228" t="inlineStr">
        <is>
          <t>TORSBY</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36289-2025</t>
        </is>
      </c>
      <c r="B1229" s="1" t="n">
        <v>45867.66329861111</v>
      </c>
      <c r="C1229" s="1" t="n">
        <v>45997</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36256-2025</t>
        </is>
      </c>
      <c r="B1230" s="1" t="n">
        <v>45867.58938657407</v>
      </c>
      <c r="C1230" s="1" t="n">
        <v>45997</v>
      </c>
      <c r="D1230" t="inlineStr">
        <is>
          <t>VÄRMLANDS LÄN</t>
        </is>
      </c>
      <c r="E1230" t="inlineStr">
        <is>
          <t>TORSBY</t>
        </is>
      </c>
      <c r="F1230" t="inlineStr">
        <is>
          <t>Bergvik skog väst AB</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11670-2025</t>
        </is>
      </c>
      <c r="B1231" s="1" t="n">
        <v>45727</v>
      </c>
      <c r="C1231" s="1" t="n">
        <v>45997</v>
      </c>
      <c r="D1231" t="inlineStr">
        <is>
          <t>VÄRMLANDS LÄN</t>
        </is>
      </c>
      <c r="E1231" t="inlineStr">
        <is>
          <t>TORSBY</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36258-2025</t>
        </is>
      </c>
      <c r="B1232" s="1" t="n">
        <v>45867.59559027778</v>
      </c>
      <c r="C1232" s="1" t="n">
        <v>45997</v>
      </c>
      <c r="D1232" t="inlineStr">
        <is>
          <t>VÄRMLANDS LÄN</t>
        </is>
      </c>
      <c r="E1232" t="inlineStr">
        <is>
          <t>TORSBY</t>
        </is>
      </c>
      <c r="F1232" t="inlineStr">
        <is>
          <t>Bergvik skog väst AB</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9793-2024</t>
        </is>
      </c>
      <c r="B1233" s="1" t="n">
        <v>45362.71013888889</v>
      </c>
      <c r="C1233" s="1" t="n">
        <v>45997</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32624-2025</t>
        </is>
      </c>
      <c r="B1234" s="1" t="n">
        <v>45838.64796296296</v>
      </c>
      <c r="C1234" s="1" t="n">
        <v>45997</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38232-2025</t>
        </is>
      </c>
      <c r="B1235" s="1" t="n">
        <v>45883</v>
      </c>
      <c r="C1235" s="1" t="n">
        <v>45997</v>
      </c>
      <c r="D1235" t="inlineStr">
        <is>
          <t>VÄRMLANDS LÄN</t>
        </is>
      </c>
      <c r="E1235" t="inlineStr">
        <is>
          <t>TORSBY</t>
        </is>
      </c>
      <c r="F1235" t="inlineStr">
        <is>
          <t>Bergvik skog väst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36287-2025</t>
        </is>
      </c>
      <c r="B1236" s="1" t="n">
        <v>45867.65814814815</v>
      </c>
      <c r="C1236" s="1" t="n">
        <v>45997</v>
      </c>
      <c r="D1236" t="inlineStr">
        <is>
          <t>VÄRMLANDS LÄN</t>
        </is>
      </c>
      <c r="E1236" t="inlineStr">
        <is>
          <t>TORSBY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36279-2025</t>
        </is>
      </c>
      <c r="B1237" s="1" t="n">
        <v>45867.638125</v>
      </c>
      <c r="C1237" s="1" t="n">
        <v>45997</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21585-2024</t>
        </is>
      </c>
      <c r="B1238" s="1" t="n">
        <v>45441</v>
      </c>
      <c r="C1238" s="1" t="n">
        <v>45997</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30836-2025</t>
        </is>
      </c>
      <c r="B1239" s="1" t="n">
        <v>45831.70571759259</v>
      </c>
      <c r="C1239" s="1" t="n">
        <v>45997</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36548-2025</t>
        </is>
      </c>
      <c r="B1240" s="1" t="n">
        <v>45869.74849537037</v>
      </c>
      <c r="C1240" s="1" t="n">
        <v>45997</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32343-2024</t>
        </is>
      </c>
      <c r="B1241" s="1" t="n">
        <v>45512.520625</v>
      </c>
      <c r="C1241" s="1" t="n">
        <v>45997</v>
      </c>
      <c r="D1241" t="inlineStr">
        <is>
          <t>VÄRMLANDS LÄN</t>
        </is>
      </c>
      <c r="E1241" t="inlineStr">
        <is>
          <t>TORSBY</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38397-2025</t>
        </is>
      </c>
      <c r="B1242" s="1" t="n">
        <v>45883</v>
      </c>
      <c r="C1242" s="1" t="n">
        <v>45997</v>
      </c>
      <c r="D1242" t="inlineStr">
        <is>
          <t>VÄRMLANDS LÄN</t>
        </is>
      </c>
      <c r="E1242" t="inlineStr">
        <is>
          <t>TORSBY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36530-2025</t>
        </is>
      </c>
      <c r="B1243" s="1" t="n">
        <v>45869.61282407407</v>
      </c>
      <c r="C1243" s="1" t="n">
        <v>45997</v>
      </c>
      <c r="D1243" t="inlineStr">
        <is>
          <t>VÄRMLANDS LÄN</t>
        </is>
      </c>
      <c r="E1243" t="inlineStr">
        <is>
          <t>TORSBY</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22076-2025</t>
        </is>
      </c>
      <c r="B1244" s="1" t="n">
        <v>45785.41473379629</v>
      </c>
      <c r="C1244" s="1" t="n">
        <v>45997</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36477-2025</t>
        </is>
      </c>
      <c r="B1245" s="1" t="n">
        <v>45869</v>
      </c>
      <c r="C1245" s="1" t="n">
        <v>45997</v>
      </c>
      <c r="D1245" t="inlineStr">
        <is>
          <t>VÄRMLANDS LÄN</t>
        </is>
      </c>
      <c r="E1245" t="inlineStr">
        <is>
          <t>TORSBY</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36498-2025</t>
        </is>
      </c>
      <c r="B1246" s="1" t="n">
        <v>45869</v>
      </c>
      <c r="C1246" s="1" t="n">
        <v>45997</v>
      </c>
      <c r="D1246" t="inlineStr">
        <is>
          <t>VÄRMLANDS LÄN</t>
        </is>
      </c>
      <c r="E1246" t="inlineStr">
        <is>
          <t>TORSBY</t>
        </is>
      </c>
      <c r="F1246" t="inlineStr">
        <is>
          <t>Bergvik skog väst AB</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36500-2025</t>
        </is>
      </c>
      <c r="B1247" s="1" t="n">
        <v>45869</v>
      </c>
      <c r="C1247" s="1" t="n">
        <v>45997</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38249-2025</t>
        </is>
      </c>
      <c r="B1248" s="1" t="n">
        <v>45883</v>
      </c>
      <c r="C1248" s="1" t="n">
        <v>45997</v>
      </c>
      <c r="D1248" t="inlineStr">
        <is>
          <t>VÄRMLANDS LÄN</t>
        </is>
      </c>
      <c r="E1248" t="inlineStr">
        <is>
          <t>TORSBY</t>
        </is>
      </c>
      <c r="F1248" t="inlineStr">
        <is>
          <t>Bergvik skog väst AB</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36483-2025</t>
        </is>
      </c>
      <c r="B1249" s="1" t="n">
        <v>45869</v>
      </c>
      <c r="C1249" s="1" t="n">
        <v>45997</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36856-2025</t>
        </is>
      </c>
      <c r="B1250" s="1" t="n">
        <v>45874.40421296296</v>
      </c>
      <c r="C1250" s="1" t="n">
        <v>45997</v>
      </c>
      <c r="D1250" t="inlineStr">
        <is>
          <t>VÄRMLANDS LÄN</t>
        </is>
      </c>
      <c r="E1250" t="inlineStr">
        <is>
          <t>TORSBY</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22178-2025</t>
        </is>
      </c>
      <c r="B1251" s="1" t="n">
        <v>45785</v>
      </c>
      <c r="C1251" s="1" t="n">
        <v>45997</v>
      </c>
      <c r="D1251" t="inlineStr">
        <is>
          <t>VÄRMLANDS LÄN</t>
        </is>
      </c>
      <c r="E1251" t="inlineStr">
        <is>
          <t>TORSBY</t>
        </is>
      </c>
      <c r="G1251" t="n">
        <v>25.5</v>
      </c>
      <c r="H1251" t="n">
        <v>0</v>
      </c>
      <c r="I1251" t="n">
        <v>0</v>
      </c>
      <c r="J1251" t="n">
        <v>0</v>
      </c>
      <c r="K1251" t="n">
        <v>0</v>
      </c>
      <c r="L1251" t="n">
        <v>0</v>
      </c>
      <c r="M1251" t="n">
        <v>0</v>
      </c>
      <c r="N1251" t="n">
        <v>0</v>
      </c>
      <c r="O1251" t="n">
        <v>0</v>
      </c>
      <c r="P1251" t="n">
        <v>0</v>
      </c>
      <c r="Q1251" t="n">
        <v>0</v>
      </c>
      <c r="R1251" s="2" t="inlineStr"/>
    </row>
    <row r="1252" ht="15" customHeight="1">
      <c r="A1252" t="inlineStr">
        <is>
          <t>A 33085-2024</t>
        </is>
      </c>
      <c r="B1252" s="1" t="n">
        <v>45517.67784722222</v>
      </c>
      <c r="C1252" s="1" t="n">
        <v>45997</v>
      </c>
      <c r="D1252" t="inlineStr">
        <is>
          <t>VÄRMLANDS LÄN</t>
        </is>
      </c>
      <c r="E1252" t="inlineStr">
        <is>
          <t>TORSBY</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33495-2024</t>
        </is>
      </c>
      <c r="B1253" s="1" t="n">
        <v>45519</v>
      </c>
      <c r="C1253" s="1" t="n">
        <v>45997</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29897-2024</t>
        </is>
      </c>
      <c r="B1254" s="1" t="n">
        <v>45487.51834490741</v>
      </c>
      <c r="C1254" s="1" t="n">
        <v>45997</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47355-2023</t>
        </is>
      </c>
      <c r="B1255" s="1" t="n">
        <v>45202</v>
      </c>
      <c r="C1255" s="1" t="n">
        <v>45997</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24113-2024</t>
        </is>
      </c>
      <c r="B1256" s="1" t="n">
        <v>45456.61590277778</v>
      </c>
      <c r="C1256" s="1" t="n">
        <v>45997</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60626-2024</t>
        </is>
      </c>
      <c r="B1257" s="1" t="n">
        <v>45642</v>
      </c>
      <c r="C1257" s="1" t="n">
        <v>45997</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20182-2021</t>
        </is>
      </c>
      <c r="B1258" s="1" t="n">
        <v>44312</v>
      </c>
      <c r="C1258" s="1" t="n">
        <v>45997</v>
      </c>
      <c r="D1258" t="inlineStr">
        <is>
          <t>VÄRMLANDS LÄN</t>
        </is>
      </c>
      <c r="E1258" t="inlineStr">
        <is>
          <t>TORSBY</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60207-2024</t>
        </is>
      </c>
      <c r="B1259" s="1" t="n">
        <v>45642.67428240741</v>
      </c>
      <c r="C1259" s="1" t="n">
        <v>45997</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60537-2024</t>
        </is>
      </c>
      <c r="B1260" s="1" t="n">
        <v>45643.77138888889</v>
      </c>
      <c r="C1260" s="1" t="n">
        <v>45997</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22090-2025</t>
        </is>
      </c>
      <c r="B1261" s="1" t="n">
        <v>45785.45212962963</v>
      </c>
      <c r="C1261" s="1" t="n">
        <v>45997</v>
      </c>
      <c r="D1261" t="inlineStr">
        <is>
          <t>VÄRMLANDS LÄN</t>
        </is>
      </c>
      <c r="E1261" t="inlineStr">
        <is>
          <t>TORSBY</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45997</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22715-2025</t>
        </is>
      </c>
      <c r="B1263" s="1" t="n">
        <v>45789.56496527778</v>
      </c>
      <c r="C1263" s="1" t="n">
        <v>45997</v>
      </c>
      <c r="D1263" t="inlineStr">
        <is>
          <t>VÄRMLANDS LÄN</t>
        </is>
      </c>
      <c r="E1263" t="inlineStr">
        <is>
          <t>TORSBY</t>
        </is>
      </c>
      <c r="F1263" t="inlineStr">
        <is>
          <t>Kyrkan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38662-2025</t>
        </is>
      </c>
      <c r="B1264" s="1" t="n">
        <v>45884.61193287037</v>
      </c>
      <c r="C1264" s="1" t="n">
        <v>45997</v>
      </c>
      <c r="D1264" t="inlineStr">
        <is>
          <t>VÄRMLANDS LÄN</t>
        </is>
      </c>
      <c r="E1264" t="inlineStr">
        <is>
          <t>TORSBY</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37818-2025</t>
        </is>
      </c>
      <c r="B1265" s="1" t="n">
        <v>45881</v>
      </c>
      <c r="C1265" s="1" t="n">
        <v>45997</v>
      </c>
      <c r="D1265" t="inlineStr">
        <is>
          <t>VÄRMLANDS LÄN</t>
        </is>
      </c>
      <c r="E1265" t="inlineStr">
        <is>
          <t>TORSBY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57393-2022</t>
        </is>
      </c>
      <c r="B1266" s="1" t="n">
        <v>44896.47630787037</v>
      </c>
      <c r="C1266" s="1" t="n">
        <v>45997</v>
      </c>
      <c r="D1266" t="inlineStr">
        <is>
          <t>VÄRMLANDS LÄN</t>
        </is>
      </c>
      <c r="E1266" t="inlineStr">
        <is>
          <t>TORSBY</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63032-2023</t>
        </is>
      </c>
      <c r="B1267" s="1" t="n">
        <v>45272.72728009259</v>
      </c>
      <c r="C1267" s="1" t="n">
        <v>45997</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44903.65313657407</v>
      </c>
      <c r="C1268" s="1" t="n">
        <v>45997</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33499-2024</t>
        </is>
      </c>
      <c r="B1269" s="1" t="n">
        <v>45519.62280092593</v>
      </c>
      <c r="C1269" s="1" t="n">
        <v>45997</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1512-2025</t>
        </is>
      </c>
      <c r="B1270" s="1" t="n">
        <v>45670.45255787037</v>
      </c>
      <c r="C1270" s="1" t="n">
        <v>45997</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40157-2024</t>
        </is>
      </c>
      <c r="B1271" s="1" t="n">
        <v>45554</v>
      </c>
      <c r="C1271" s="1" t="n">
        <v>45997</v>
      </c>
      <c r="D1271" t="inlineStr">
        <is>
          <t>VÄRMLANDS LÄN</t>
        </is>
      </c>
      <c r="E1271" t="inlineStr">
        <is>
          <t>TORSBY</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40227-2024</t>
        </is>
      </c>
      <c r="B1272" s="1" t="n">
        <v>45554</v>
      </c>
      <c r="C1272" s="1" t="n">
        <v>45997</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1120-2023</t>
        </is>
      </c>
      <c r="B1273" s="1" t="n">
        <v>44935</v>
      </c>
      <c r="C1273" s="1" t="n">
        <v>45997</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36920-2025</t>
        </is>
      </c>
      <c r="B1274" s="1" t="n">
        <v>45874</v>
      </c>
      <c r="C1274" s="1" t="n">
        <v>45997</v>
      </c>
      <c r="D1274" t="inlineStr">
        <is>
          <t>VÄRMLANDS LÄN</t>
        </is>
      </c>
      <c r="E1274" t="inlineStr">
        <is>
          <t>TORSBY</t>
        </is>
      </c>
      <c r="F1274" t="inlineStr">
        <is>
          <t>Bergvik skog väst AB</t>
        </is>
      </c>
      <c r="G1274" t="n">
        <v>15.9</v>
      </c>
      <c r="H1274" t="n">
        <v>0</v>
      </c>
      <c r="I1274" t="n">
        <v>0</v>
      </c>
      <c r="J1274" t="n">
        <v>0</v>
      </c>
      <c r="K1274" t="n">
        <v>0</v>
      </c>
      <c r="L1274" t="n">
        <v>0</v>
      </c>
      <c r="M1274" t="n">
        <v>0</v>
      </c>
      <c r="N1274" t="n">
        <v>0</v>
      </c>
      <c r="O1274" t="n">
        <v>0</v>
      </c>
      <c r="P1274" t="n">
        <v>0</v>
      </c>
      <c r="Q1274" t="n">
        <v>0</v>
      </c>
      <c r="R1274" s="2" t="inlineStr"/>
    </row>
    <row r="1275" ht="15" customHeight="1">
      <c r="A1275" t="inlineStr">
        <is>
          <t>A 22593-2025</t>
        </is>
      </c>
      <c r="B1275" s="1" t="n">
        <v>45789.41113425926</v>
      </c>
      <c r="C1275" s="1" t="n">
        <v>45997</v>
      </c>
      <c r="D1275" t="inlineStr">
        <is>
          <t>VÄRMLANDS LÄN</t>
        </is>
      </c>
      <c r="E1275" t="inlineStr">
        <is>
          <t>TORSBY</t>
        </is>
      </c>
      <c r="F1275" t="inlineStr">
        <is>
          <t>Bergvik skog väst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2981-2025</t>
        </is>
      </c>
      <c r="B1276" s="1" t="n">
        <v>45678.48844907407</v>
      </c>
      <c r="C1276" s="1" t="n">
        <v>45997</v>
      </c>
      <c r="D1276" t="inlineStr">
        <is>
          <t>VÄRMLANDS LÄN</t>
        </is>
      </c>
      <c r="E1276" t="inlineStr">
        <is>
          <t>TORSBY</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7101-2025</t>
        </is>
      </c>
      <c r="B1277" s="1" t="n">
        <v>45701</v>
      </c>
      <c r="C1277" s="1" t="n">
        <v>45997</v>
      </c>
      <c r="D1277" t="inlineStr">
        <is>
          <t>VÄRMLANDS LÄN</t>
        </is>
      </c>
      <c r="E1277" t="inlineStr">
        <is>
          <t>TORSBY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22845-2025</t>
        </is>
      </c>
      <c r="B1278" s="1" t="n">
        <v>45790</v>
      </c>
      <c r="C1278" s="1" t="n">
        <v>45997</v>
      </c>
      <c r="D1278" t="inlineStr">
        <is>
          <t>VÄRMLANDS LÄN</t>
        </is>
      </c>
      <c r="E1278" t="inlineStr">
        <is>
          <t>TORSBY</t>
        </is>
      </c>
      <c r="F1278" t="inlineStr">
        <is>
          <t>Bergvik skog väst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37230-2025</t>
        </is>
      </c>
      <c r="B1279" s="1" t="n">
        <v>45876</v>
      </c>
      <c r="C1279" s="1" t="n">
        <v>45997</v>
      </c>
      <c r="D1279" t="inlineStr">
        <is>
          <t>VÄRMLANDS LÄN</t>
        </is>
      </c>
      <c r="E1279" t="inlineStr">
        <is>
          <t>TORSBY</t>
        </is>
      </c>
      <c r="F1279" t="inlineStr">
        <is>
          <t>Bergvik skog väst AB</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37236-2025</t>
        </is>
      </c>
      <c r="B1280" s="1" t="n">
        <v>45876.36116898148</v>
      </c>
      <c r="C1280" s="1" t="n">
        <v>45997</v>
      </c>
      <c r="D1280" t="inlineStr">
        <is>
          <t>VÄRMLANDS LÄN</t>
        </is>
      </c>
      <c r="E1280" t="inlineStr">
        <is>
          <t>TORSBY</t>
        </is>
      </c>
      <c r="F1280" t="inlineStr">
        <is>
          <t>Bergvik skog väst AB</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37334-2025</t>
        </is>
      </c>
      <c r="B1281" s="1" t="n">
        <v>45876.66663194444</v>
      </c>
      <c r="C1281" s="1" t="n">
        <v>45997</v>
      </c>
      <c r="D1281" t="inlineStr">
        <is>
          <t>VÄRMLANDS LÄN</t>
        </is>
      </c>
      <c r="E1281" t="inlineStr">
        <is>
          <t>TORSBY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45997</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22708-2025</t>
        </is>
      </c>
      <c r="B1283" s="1" t="n">
        <v>45789.55561342592</v>
      </c>
      <c r="C1283" s="1" t="n">
        <v>45997</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22757-2025</t>
        </is>
      </c>
      <c r="B1284" s="1" t="n">
        <v>45789.61908564815</v>
      </c>
      <c r="C1284" s="1" t="n">
        <v>45997</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4070-2024</t>
        </is>
      </c>
      <c r="B1285" s="1" t="n">
        <v>45323</v>
      </c>
      <c r="C1285" s="1" t="n">
        <v>45997</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22316-2025</t>
        </is>
      </c>
      <c r="B1286" s="1" t="n">
        <v>45786.39013888889</v>
      </c>
      <c r="C1286" s="1" t="n">
        <v>45997</v>
      </c>
      <c r="D1286" t="inlineStr">
        <is>
          <t>VÄRMLANDS LÄN</t>
        </is>
      </c>
      <c r="E1286" t="inlineStr">
        <is>
          <t>TORSBY</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22596-2025</t>
        </is>
      </c>
      <c r="B1287" s="1" t="n">
        <v>45789.41362268518</v>
      </c>
      <c r="C1287" s="1" t="n">
        <v>45997</v>
      </c>
      <c r="D1287" t="inlineStr">
        <is>
          <t>VÄRMLANDS LÄN</t>
        </is>
      </c>
      <c r="E1287" t="inlineStr">
        <is>
          <t>TORSBY</t>
        </is>
      </c>
      <c r="F1287" t="inlineStr">
        <is>
          <t>Bergvik skog väst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37348-2025</t>
        </is>
      </c>
      <c r="B1288" s="1" t="n">
        <v>45876.71136574074</v>
      </c>
      <c r="C1288" s="1" t="n">
        <v>45997</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33338-2024</t>
        </is>
      </c>
      <c r="B1289" s="1" t="n">
        <v>45519</v>
      </c>
      <c r="C1289" s="1" t="n">
        <v>45997</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15885-2025</t>
        </is>
      </c>
      <c r="B1290" s="1" t="n">
        <v>45749</v>
      </c>
      <c r="C1290" s="1" t="n">
        <v>45997</v>
      </c>
      <c r="D1290" t="inlineStr">
        <is>
          <t>VÄRMLANDS LÄN</t>
        </is>
      </c>
      <c r="E1290" t="inlineStr">
        <is>
          <t>TORSBY</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16017-2025</t>
        </is>
      </c>
      <c r="B1291" s="1" t="n">
        <v>45749</v>
      </c>
      <c r="C1291" s="1" t="n">
        <v>45997</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v>
      </c>
      <c r="C1292" s="1" t="n">
        <v>45997</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19253-2025</t>
        </is>
      </c>
      <c r="B1293" s="1" t="n">
        <v>45769</v>
      </c>
      <c r="C1293" s="1" t="n">
        <v>45997</v>
      </c>
      <c r="D1293" t="inlineStr">
        <is>
          <t>VÄRMLANDS LÄN</t>
        </is>
      </c>
      <c r="E1293" t="inlineStr">
        <is>
          <t>TORSBY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22954-2025</t>
        </is>
      </c>
      <c r="B1294" s="1" t="n">
        <v>45790.5184375</v>
      </c>
      <c r="C1294" s="1" t="n">
        <v>45997</v>
      </c>
      <c r="D1294" t="inlineStr">
        <is>
          <t>VÄRMLANDS LÄN</t>
        </is>
      </c>
      <c r="E1294" t="inlineStr">
        <is>
          <t>TORSBY</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22760-2025</t>
        </is>
      </c>
      <c r="B1295" s="1" t="n">
        <v>45789</v>
      </c>
      <c r="C1295" s="1" t="n">
        <v>45997</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60454-2024</t>
        </is>
      </c>
      <c r="B1296" s="1" t="n">
        <v>45643</v>
      </c>
      <c r="C1296" s="1" t="n">
        <v>45997</v>
      </c>
      <c r="D1296" t="inlineStr">
        <is>
          <t>VÄRMLANDS LÄN</t>
        </is>
      </c>
      <c r="E1296" t="inlineStr">
        <is>
          <t>TORSBY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37300-2025</t>
        </is>
      </c>
      <c r="B1297" s="1" t="n">
        <v>45876</v>
      </c>
      <c r="C1297" s="1" t="n">
        <v>45997</v>
      </c>
      <c r="D1297" t="inlineStr">
        <is>
          <t>VÄRMLANDS LÄN</t>
        </is>
      </c>
      <c r="E1297" t="inlineStr">
        <is>
          <t>TORSBY</t>
        </is>
      </c>
      <c r="F1297" t="inlineStr">
        <is>
          <t>Bergvik skog väst AB</t>
        </is>
      </c>
      <c r="G1297" t="n">
        <v>33.6</v>
      </c>
      <c r="H1297" t="n">
        <v>0</v>
      </c>
      <c r="I1297" t="n">
        <v>0</v>
      </c>
      <c r="J1297" t="n">
        <v>0</v>
      </c>
      <c r="K1297" t="n">
        <v>0</v>
      </c>
      <c r="L1297" t="n">
        <v>0</v>
      </c>
      <c r="M1297" t="n">
        <v>0</v>
      </c>
      <c r="N1297" t="n">
        <v>0</v>
      </c>
      <c r="O1297" t="n">
        <v>0</v>
      </c>
      <c r="P1297" t="n">
        <v>0</v>
      </c>
      <c r="Q1297" t="n">
        <v>0</v>
      </c>
      <c r="R1297" s="2" t="inlineStr"/>
    </row>
    <row r="1298" ht="15" customHeight="1">
      <c r="A1298" t="inlineStr">
        <is>
          <t>A 54023-2024</t>
        </is>
      </c>
      <c r="B1298" s="1" t="n">
        <v>45616</v>
      </c>
      <c r="C1298" s="1" t="n">
        <v>45997</v>
      </c>
      <c r="D1298" t="inlineStr">
        <is>
          <t>VÄRMLANDS LÄN</t>
        </is>
      </c>
      <c r="E1298" t="inlineStr">
        <is>
          <t>TORSBY</t>
        </is>
      </c>
      <c r="F1298" t="inlineStr">
        <is>
          <t>Kommuner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54027-2024</t>
        </is>
      </c>
      <c r="B1299" s="1" t="n">
        <v>45616</v>
      </c>
      <c r="C1299" s="1" t="n">
        <v>45997</v>
      </c>
      <c r="D1299" t="inlineStr">
        <is>
          <t>VÄRMLANDS LÄN</t>
        </is>
      </c>
      <c r="E1299" t="inlineStr">
        <is>
          <t>TORSBY</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37273-2025</t>
        </is>
      </c>
      <c r="B1300" s="1" t="n">
        <v>45876</v>
      </c>
      <c r="C1300" s="1" t="n">
        <v>45997</v>
      </c>
      <c r="D1300" t="inlineStr">
        <is>
          <t>VÄRMLANDS LÄN</t>
        </is>
      </c>
      <c r="E1300" t="inlineStr">
        <is>
          <t>TORSBY</t>
        </is>
      </c>
      <c r="F1300" t="inlineStr">
        <is>
          <t>Bergvik skog väst AB</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54609-2024</t>
        </is>
      </c>
      <c r="B1301" s="1" t="n">
        <v>45617</v>
      </c>
      <c r="C1301" s="1" t="n">
        <v>45997</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37381-2025</t>
        </is>
      </c>
      <c r="B1302" s="1" t="n">
        <v>45877</v>
      </c>
      <c r="C1302" s="1" t="n">
        <v>45997</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12402-2025</t>
        </is>
      </c>
      <c r="B1303" s="1" t="n">
        <v>45730.4228125</v>
      </c>
      <c r="C1303" s="1" t="n">
        <v>45997</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49845-2024</t>
        </is>
      </c>
      <c r="B1304" s="1" t="n">
        <v>45597</v>
      </c>
      <c r="C1304" s="1" t="n">
        <v>45997</v>
      </c>
      <c r="D1304" t="inlineStr">
        <is>
          <t>VÄRMLANDS LÄN</t>
        </is>
      </c>
      <c r="E1304" t="inlineStr">
        <is>
          <t>TORSBY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50372-2024</t>
        </is>
      </c>
      <c r="B1305" s="1" t="n">
        <v>45601.25935185186</v>
      </c>
      <c r="C1305" s="1" t="n">
        <v>45997</v>
      </c>
      <c r="D1305" t="inlineStr">
        <is>
          <t>VÄRMLANDS LÄN</t>
        </is>
      </c>
      <c r="E1305" t="inlineStr">
        <is>
          <t>TORSBY</t>
        </is>
      </c>
      <c r="F1305" t="inlineStr">
        <is>
          <t>Övriga Aktiebolag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19964-2025</t>
        </is>
      </c>
      <c r="B1306" s="1" t="n">
        <v>45771.67315972222</v>
      </c>
      <c r="C1306" s="1" t="n">
        <v>45997</v>
      </c>
      <c r="D1306" t="inlineStr">
        <is>
          <t>VÄRMLANDS LÄN</t>
        </is>
      </c>
      <c r="E1306" t="inlineStr">
        <is>
          <t>TORSBY</t>
        </is>
      </c>
      <c r="F1306" t="inlineStr">
        <is>
          <t>Bergvik skog väst AB</t>
        </is>
      </c>
      <c r="G1306" t="n">
        <v>23.8</v>
      </c>
      <c r="H1306" t="n">
        <v>0</v>
      </c>
      <c r="I1306" t="n">
        <v>0</v>
      </c>
      <c r="J1306" t="n">
        <v>0</v>
      </c>
      <c r="K1306" t="n">
        <v>0</v>
      </c>
      <c r="L1306" t="n">
        <v>0</v>
      </c>
      <c r="M1306" t="n">
        <v>0</v>
      </c>
      <c r="N1306" t="n">
        <v>0</v>
      </c>
      <c r="O1306" t="n">
        <v>0</v>
      </c>
      <c r="P1306" t="n">
        <v>0</v>
      </c>
      <c r="Q1306" t="n">
        <v>0</v>
      </c>
      <c r="R1306" s="2" t="inlineStr"/>
    </row>
    <row r="1307" ht="15" customHeight="1">
      <c r="A1307" t="inlineStr">
        <is>
          <t>A 38497-2025</t>
        </is>
      </c>
      <c r="B1307" s="1" t="n">
        <v>45884</v>
      </c>
      <c r="C1307" s="1" t="n">
        <v>45997</v>
      </c>
      <c r="D1307" t="inlineStr">
        <is>
          <t>VÄRMLANDS LÄN</t>
        </is>
      </c>
      <c r="E1307" t="inlineStr">
        <is>
          <t>TORSBY</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37566-2025</t>
        </is>
      </c>
      <c r="B1308" s="1" t="n">
        <v>45880</v>
      </c>
      <c r="C1308" s="1" t="n">
        <v>45997</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50852-2023</t>
        </is>
      </c>
      <c r="B1309" s="1" t="n">
        <v>45218.29837962963</v>
      </c>
      <c r="C1309" s="1" t="n">
        <v>45997</v>
      </c>
      <c r="D1309" t="inlineStr">
        <is>
          <t>VÄRMLANDS LÄN</t>
        </is>
      </c>
      <c r="E1309" t="inlineStr">
        <is>
          <t>TORSBY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52982-2023</t>
        </is>
      </c>
      <c r="B1310" s="1" t="n">
        <v>45226.61299768519</v>
      </c>
      <c r="C1310" s="1" t="n">
        <v>45997</v>
      </c>
      <c r="D1310" t="inlineStr">
        <is>
          <t>VÄRMLANDS LÄN</t>
        </is>
      </c>
      <c r="E1310" t="inlineStr">
        <is>
          <t>TORSBY</t>
        </is>
      </c>
      <c r="G1310" t="n">
        <v>35.5</v>
      </c>
      <c r="H1310" t="n">
        <v>0</v>
      </c>
      <c r="I1310" t="n">
        <v>0</v>
      </c>
      <c r="J1310" t="n">
        <v>0</v>
      </c>
      <c r="K1310" t="n">
        <v>0</v>
      </c>
      <c r="L1310" t="n">
        <v>0</v>
      </c>
      <c r="M1310" t="n">
        <v>0</v>
      </c>
      <c r="N1310" t="n">
        <v>0</v>
      </c>
      <c r="O1310" t="n">
        <v>0</v>
      </c>
      <c r="P1310" t="n">
        <v>0</v>
      </c>
      <c r="Q1310" t="n">
        <v>0</v>
      </c>
      <c r="R1310" s="2" t="inlineStr"/>
    </row>
    <row r="1311" ht="15" customHeight="1">
      <c r="A1311" t="inlineStr">
        <is>
          <t>A 2471-2023</t>
        </is>
      </c>
      <c r="B1311" s="1" t="n">
        <v>44943.48373842592</v>
      </c>
      <c r="C1311" s="1" t="n">
        <v>45997</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42428-2024</t>
        </is>
      </c>
      <c r="B1312" s="1" t="n">
        <v>45565</v>
      </c>
      <c r="C1312" s="1" t="n">
        <v>45997</v>
      </c>
      <c r="D1312" t="inlineStr">
        <is>
          <t>VÄRMLANDS LÄN</t>
        </is>
      </c>
      <c r="E1312" t="inlineStr">
        <is>
          <t>TORSBY</t>
        </is>
      </c>
      <c r="F1312" t="inlineStr">
        <is>
          <t>Bergvik skog väst AB</t>
        </is>
      </c>
      <c r="G1312" t="n">
        <v>20.7</v>
      </c>
      <c r="H1312" t="n">
        <v>0</v>
      </c>
      <c r="I1312" t="n">
        <v>0</v>
      </c>
      <c r="J1312" t="n">
        <v>0</v>
      </c>
      <c r="K1312" t="n">
        <v>0</v>
      </c>
      <c r="L1312" t="n">
        <v>0</v>
      </c>
      <c r="M1312" t="n">
        <v>0</v>
      </c>
      <c r="N1312" t="n">
        <v>0</v>
      </c>
      <c r="O1312" t="n">
        <v>0</v>
      </c>
      <c r="P1312" t="n">
        <v>0</v>
      </c>
      <c r="Q1312" t="n">
        <v>0</v>
      </c>
      <c r="R1312" s="2" t="inlineStr"/>
    </row>
    <row r="1313" ht="15" customHeight="1">
      <c r="A1313" t="inlineStr">
        <is>
          <t>A 54004-2024</t>
        </is>
      </c>
      <c r="B1313" s="1" t="n">
        <v>45616.36659722222</v>
      </c>
      <c r="C1313" s="1" t="n">
        <v>45997</v>
      </c>
      <c r="D1313" t="inlineStr">
        <is>
          <t>VÄRMLANDS LÄN</t>
        </is>
      </c>
      <c r="E1313" t="inlineStr">
        <is>
          <t>TORSBY</t>
        </is>
      </c>
      <c r="F1313" t="inlineStr">
        <is>
          <t>Kommuner</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57216-2023</t>
        </is>
      </c>
      <c r="B1314" s="1" t="n">
        <v>45245</v>
      </c>
      <c r="C1314" s="1" t="n">
        <v>45997</v>
      </c>
      <c r="D1314" t="inlineStr">
        <is>
          <t>VÄRMLANDS LÄN</t>
        </is>
      </c>
      <c r="E1314" t="inlineStr">
        <is>
          <t>TORSBY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41270-2023</t>
        </is>
      </c>
      <c r="B1315" s="1" t="n">
        <v>45174.54952546296</v>
      </c>
      <c r="C1315" s="1" t="n">
        <v>45997</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32932-2024</t>
        </is>
      </c>
      <c r="B1316" s="1" t="n">
        <v>45517.31537037037</v>
      </c>
      <c r="C1316" s="1" t="n">
        <v>45997</v>
      </c>
      <c r="D1316" t="inlineStr">
        <is>
          <t>VÄRMLANDS LÄN</t>
        </is>
      </c>
      <c r="E1316" t="inlineStr">
        <is>
          <t>TORSBY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61565-2024</t>
        </is>
      </c>
      <c r="B1317" s="1" t="n">
        <v>45646</v>
      </c>
      <c r="C1317" s="1" t="n">
        <v>45997</v>
      </c>
      <c r="D1317" t="inlineStr">
        <is>
          <t>VÄRMLANDS LÄN</t>
        </is>
      </c>
      <c r="E1317" t="inlineStr">
        <is>
          <t>TORSBY</t>
        </is>
      </c>
      <c r="F1317" t="inlineStr">
        <is>
          <t>Bergvik skog väst AB</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25264-2024</t>
        </is>
      </c>
      <c r="B1318" s="1" t="n">
        <v>45462.61859953704</v>
      </c>
      <c r="C1318" s="1" t="n">
        <v>45997</v>
      </c>
      <c r="D1318" t="inlineStr">
        <is>
          <t>VÄRMLANDS LÄN</t>
        </is>
      </c>
      <c r="E1318" t="inlineStr">
        <is>
          <t>TORSBY</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30370-2023</t>
        </is>
      </c>
      <c r="B1319" s="1" t="n">
        <v>45111</v>
      </c>
      <c r="C1319" s="1" t="n">
        <v>45997</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38536-2025</t>
        </is>
      </c>
      <c r="B1320" s="1" t="n">
        <v>45884.42</v>
      </c>
      <c r="C1320" s="1" t="n">
        <v>45997</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14614-2025</t>
        </is>
      </c>
      <c r="B1321" s="1" t="n">
        <v>45742</v>
      </c>
      <c r="C1321" s="1" t="n">
        <v>45997</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22386-2025</t>
        </is>
      </c>
      <c r="B1322" s="1" t="n">
        <v>45786.50703703704</v>
      </c>
      <c r="C1322" s="1" t="n">
        <v>45997</v>
      </c>
      <c r="D1322" t="inlineStr">
        <is>
          <t>VÄRMLANDS LÄN</t>
        </is>
      </c>
      <c r="E1322" t="inlineStr">
        <is>
          <t>TORSBY</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20898-2023</t>
        </is>
      </c>
      <c r="B1323" s="1" t="n">
        <v>45059</v>
      </c>
      <c r="C1323" s="1" t="n">
        <v>45997</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45997</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50138-2023</t>
        </is>
      </c>
      <c r="B1325" s="1" t="n">
        <v>45215.66738425926</v>
      </c>
      <c r="C1325" s="1" t="n">
        <v>45997</v>
      </c>
      <c r="D1325" t="inlineStr">
        <is>
          <t>VÄRMLANDS LÄN</t>
        </is>
      </c>
      <c r="E1325" t="inlineStr">
        <is>
          <t>TORSBY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40987-2024</t>
        </is>
      </c>
      <c r="B1326" s="1" t="n">
        <v>45558</v>
      </c>
      <c r="C1326" s="1" t="n">
        <v>45997</v>
      </c>
      <c r="D1326" t="inlineStr">
        <is>
          <t>VÄRMLANDS LÄN</t>
        </is>
      </c>
      <c r="E1326" t="inlineStr">
        <is>
          <t>TORSBY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31493-2021</t>
        </is>
      </c>
      <c r="B1327" s="1" t="n">
        <v>44369</v>
      </c>
      <c r="C1327" s="1" t="n">
        <v>45997</v>
      </c>
      <c r="D1327" t="inlineStr">
        <is>
          <t>VÄRMLANDS LÄN</t>
        </is>
      </c>
      <c r="E1327" t="inlineStr">
        <is>
          <t>TORSBY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43179-2023</t>
        </is>
      </c>
      <c r="B1328" s="1" t="n">
        <v>45183.37615740741</v>
      </c>
      <c r="C1328" s="1" t="n">
        <v>45997</v>
      </c>
      <c r="D1328" t="inlineStr">
        <is>
          <t>VÄRMLANDS LÄN</t>
        </is>
      </c>
      <c r="E1328" t="inlineStr">
        <is>
          <t>TORSBY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6653-2025</t>
        </is>
      </c>
      <c r="B1329" s="1" t="n">
        <v>45700.42601851852</v>
      </c>
      <c r="C1329" s="1" t="n">
        <v>45997</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41315-2022</t>
        </is>
      </c>
      <c r="B1330" s="1" t="n">
        <v>44826</v>
      </c>
      <c r="C1330" s="1" t="n">
        <v>45997</v>
      </c>
      <c r="D1330" t="inlineStr">
        <is>
          <t>VÄRMLANDS LÄN</t>
        </is>
      </c>
      <c r="E1330" t="inlineStr">
        <is>
          <t>TORSBY</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18411-2023</t>
        </is>
      </c>
      <c r="B1331" s="1" t="n">
        <v>45042</v>
      </c>
      <c r="C1331" s="1" t="n">
        <v>45997</v>
      </c>
      <c r="D1331" t="inlineStr">
        <is>
          <t>VÄRMLANDS LÄN</t>
        </is>
      </c>
      <c r="E1331" t="inlineStr">
        <is>
          <t>TORSBY</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58062-2021</t>
        </is>
      </c>
      <c r="B1332" s="1" t="n">
        <v>44487</v>
      </c>
      <c r="C1332" s="1" t="n">
        <v>45997</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24150-2021</t>
        </is>
      </c>
      <c r="B1333" s="1" t="n">
        <v>44336</v>
      </c>
      <c r="C1333" s="1" t="n">
        <v>45997</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54029-2021</t>
        </is>
      </c>
      <c r="B1334" s="1" t="n">
        <v>44470.37834490741</v>
      </c>
      <c r="C1334" s="1" t="n">
        <v>45997</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12528-2025</t>
        </is>
      </c>
      <c r="B1335" s="1" t="n">
        <v>45730</v>
      </c>
      <c r="C1335" s="1" t="n">
        <v>45997</v>
      </c>
      <c r="D1335" t="inlineStr">
        <is>
          <t>VÄRMLANDS LÄN</t>
        </is>
      </c>
      <c r="E1335" t="inlineStr">
        <is>
          <t>TORSBY</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12554-2025</t>
        </is>
      </c>
      <c r="B1336" s="1" t="n">
        <v>45731</v>
      </c>
      <c r="C1336" s="1" t="n">
        <v>45997</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15464-2025</t>
        </is>
      </c>
      <c r="B1337" s="1" t="n">
        <v>45747</v>
      </c>
      <c r="C1337" s="1" t="n">
        <v>45997</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59941-2023</t>
        </is>
      </c>
      <c r="B1338" s="1" t="n">
        <v>45257.67721064815</v>
      </c>
      <c r="C1338" s="1" t="n">
        <v>45997</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7927-2024</t>
        </is>
      </c>
      <c r="B1339" s="1" t="n">
        <v>45350</v>
      </c>
      <c r="C1339" s="1" t="n">
        <v>45997</v>
      </c>
      <c r="D1339" t="inlineStr">
        <is>
          <t>VÄRMLANDS LÄN</t>
        </is>
      </c>
      <c r="E1339" t="inlineStr">
        <is>
          <t>TORSBY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23367-2025</t>
        </is>
      </c>
      <c r="B1340" s="1" t="n">
        <v>45791.69582175926</v>
      </c>
      <c r="C1340" s="1" t="n">
        <v>45997</v>
      </c>
      <c r="D1340" t="inlineStr">
        <is>
          <t>VÄRMLANDS LÄN</t>
        </is>
      </c>
      <c r="E1340" t="inlineStr">
        <is>
          <t>TORSBY</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60314-2023</t>
        </is>
      </c>
      <c r="B1341" s="1" t="n">
        <v>45258.87101851852</v>
      </c>
      <c r="C1341" s="1" t="n">
        <v>45997</v>
      </c>
      <c r="D1341" t="inlineStr">
        <is>
          <t>VÄRMLANDS LÄN</t>
        </is>
      </c>
      <c r="E1341" t="inlineStr">
        <is>
          <t>TORSBY</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52580-2023</t>
        </is>
      </c>
      <c r="B1342" s="1" t="n">
        <v>45225.59354166667</v>
      </c>
      <c r="C1342" s="1" t="n">
        <v>45997</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52591-2023</t>
        </is>
      </c>
      <c r="B1343" s="1" t="n">
        <v>45225</v>
      </c>
      <c r="C1343" s="1" t="n">
        <v>45997</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30299-2025</t>
        </is>
      </c>
      <c r="B1344" s="1" t="n">
        <v>45827</v>
      </c>
      <c r="C1344" s="1" t="n">
        <v>45997</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31830-2024</t>
        </is>
      </c>
      <c r="B1345" s="1" t="n">
        <v>45509</v>
      </c>
      <c r="C1345" s="1" t="n">
        <v>45997</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36782-2024</t>
        </is>
      </c>
      <c r="B1346" s="1" t="n">
        <v>45538</v>
      </c>
      <c r="C1346" s="1" t="n">
        <v>45997</v>
      </c>
      <c r="D1346" t="inlineStr">
        <is>
          <t>VÄRMLANDS LÄN</t>
        </is>
      </c>
      <c r="E1346" t="inlineStr">
        <is>
          <t>TORSBY</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36790-2024</t>
        </is>
      </c>
      <c r="B1347" s="1" t="n">
        <v>45538.43484953704</v>
      </c>
      <c r="C1347" s="1" t="n">
        <v>45997</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34906-2024</t>
        </is>
      </c>
      <c r="B1348" s="1" t="n">
        <v>45527</v>
      </c>
      <c r="C1348" s="1" t="n">
        <v>45997</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37736-2025</t>
        </is>
      </c>
      <c r="B1349" s="1" t="n">
        <v>45880</v>
      </c>
      <c r="C1349" s="1" t="n">
        <v>45997</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37547-2025</t>
        </is>
      </c>
      <c r="B1350" s="1" t="n">
        <v>45879</v>
      </c>
      <c r="C1350" s="1" t="n">
        <v>45997</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54160-2022</t>
        </is>
      </c>
      <c r="B1351" s="1" t="n">
        <v>44881</v>
      </c>
      <c r="C1351" s="1" t="n">
        <v>45997</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36674-2023</t>
        </is>
      </c>
      <c r="B1352" s="1" t="n">
        <v>45153.5908912037</v>
      </c>
      <c r="C1352" s="1" t="n">
        <v>45997</v>
      </c>
      <c r="D1352" t="inlineStr">
        <is>
          <t>VÄRMLANDS LÄN</t>
        </is>
      </c>
      <c r="E1352" t="inlineStr">
        <is>
          <t>TORSBY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19675-2023</t>
        </is>
      </c>
      <c r="B1353" s="1" t="n">
        <v>45051</v>
      </c>
      <c r="C1353" s="1" t="n">
        <v>45997</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37583-2025</t>
        </is>
      </c>
      <c r="B1354" s="1" t="n">
        <v>45880</v>
      </c>
      <c r="C1354" s="1" t="n">
        <v>45997</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27677-2024</t>
        </is>
      </c>
      <c r="B1355" s="1" t="n">
        <v>45475</v>
      </c>
      <c r="C1355" s="1" t="n">
        <v>45997</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27678-2024</t>
        </is>
      </c>
      <c r="B1356" s="1" t="n">
        <v>45475</v>
      </c>
      <c r="C1356" s="1" t="n">
        <v>45997</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45152-2023</t>
        </is>
      </c>
      <c r="B1357" s="1" t="n">
        <v>45191</v>
      </c>
      <c r="C1357" s="1" t="n">
        <v>45997</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28005-2024</t>
        </is>
      </c>
      <c r="B1358" s="1" t="n">
        <v>45476</v>
      </c>
      <c r="C1358" s="1" t="n">
        <v>45997</v>
      </c>
      <c r="D1358" t="inlineStr">
        <is>
          <t>VÄRMLANDS LÄN</t>
        </is>
      </c>
      <c r="E1358" t="inlineStr">
        <is>
          <t>TORSBY</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49840-2024</t>
        </is>
      </c>
      <c r="B1359" s="1" t="n">
        <v>45597</v>
      </c>
      <c r="C1359" s="1" t="n">
        <v>45997</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17879-2024</t>
        </is>
      </c>
      <c r="B1360" s="1" t="n">
        <v>45419</v>
      </c>
      <c r="C1360" s="1" t="n">
        <v>45997</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5839-2021</t>
        </is>
      </c>
      <c r="B1361" s="1" t="n">
        <v>44231</v>
      </c>
      <c r="C1361" s="1" t="n">
        <v>45997</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41322-2022</t>
        </is>
      </c>
      <c r="B1362" s="1" t="n">
        <v>44826</v>
      </c>
      <c r="C1362" s="1" t="n">
        <v>45997</v>
      </c>
      <c r="D1362" t="inlineStr">
        <is>
          <t>VÄRMLANDS LÄN</t>
        </is>
      </c>
      <c r="E1362" t="inlineStr">
        <is>
          <t>TORSBY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13561-2023</t>
        </is>
      </c>
      <c r="B1363" s="1" t="n">
        <v>45006.47429398148</v>
      </c>
      <c r="C1363" s="1" t="n">
        <v>45997</v>
      </c>
      <c r="D1363" t="inlineStr">
        <is>
          <t>VÄRMLANDS LÄN</t>
        </is>
      </c>
      <c r="E1363" t="inlineStr">
        <is>
          <t>TORSBY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54033-2021</t>
        </is>
      </c>
      <c r="B1364" s="1" t="n">
        <v>44470.38454861111</v>
      </c>
      <c r="C1364" s="1" t="n">
        <v>45997</v>
      </c>
      <c r="D1364" t="inlineStr">
        <is>
          <t>VÄRMLANDS LÄN</t>
        </is>
      </c>
      <c r="E1364" t="inlineStr">
        <is>
          <t>TORSBY</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40718-2022</t>
        </is>
      </c>
      <c r="B1365" s="1" t="n">
        <v>44824.49635416667</v>
      </c>
      <c r="C1365" s="1" t="n">
        <v>45997</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42701-2022</t>
        </is>
      </c>
      <c r="B1366" s="1" t="n">
        <v>44832</v>
      </c>
      <c r="C1366" s="1" t="n">
        <v>45997</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59613-2024</t>
        </is>
      </c>
      <c r="B1367" s="1" t="n">
        <v>45638</v>
      </c>
      <c r="C1367" s="1" t="n">
        <v>45997</v>
      </c>
      <c r="D1367" t="inlineStr">
        <is>
          <t>VÄRMLANDS LÄN</t>
        </is>
      </c>
      <c r="E1367" t="inlineStr">
        <is>
          <t>TORSBY</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45997</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45997</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26042-2024</t>
        </is>
      </c>
      <c r="B1370" s="1" t="n">
        <v>45468.29846064815</v>
      </c>
      <c r="C1370" s="1" t="n">
        <v>45997</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58976-2024</t>
        </is>
      </c>
      <c r="B1371" s="1" t="n">
        <v>45636.6081712963</v>
      </c>
      <c r="C1371" s="1" t="n">
        <v>45997</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37878-2025</t>
        </is>
      </c>
      <c r="B1372" s="1" t="n">
        <v>45881</v>
      </c>
      <c r="C1372" s="1" t="n">
        <v>45997</v>
      </c>
      <c r="D1372" t="inlineStr">
        <is>
          <t>VÄRMLANDS LÄN</t>
        </is>
      </c>
      <c r="E1372" t="inlineStr">
        <is>
          <t>TORSBY</t>
        </is>
      </c>
      <c r="F1372" t="inlineStr">
        <is>
          <t>Bergvik skog väst AB</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37904-2025</t>
        </is>
      </c>
      <c r="B1373" s="1" t="n">
        <v>45881</v>
      </c>
      <c r="C1373" s="1" t="n">
        <v>45997</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37927-2025</t>
        </is>
      </c>
      <c r="B1374" s="1" t="n">
        <v>45881.58063657407</v>
      </c>
      <c r="C1374" s="1" t="n">
        <v>45997</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37937-2025</t>
        </is>
      </c>
      <c r="B1375" s="1" t="n">
        <v>45881</v>
      </c>
      <c r="C1375" s="1" t="n">
        <v>45997</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38165-2025</t>
        </is>
      </c>
      <c r="B1376" s="1" t="n">
        <v>45882.63063657407</v>
      </c>
      <c r="C1376" s="1" t="n">
        <v>45997</v>
      </c>
      <c r="D1376" t="inlineStr">
        <is>
          <t>VÄRMLANDS LÄN</t>
        </is>
      </c>
      <c r="E1376" t="inlineStr">
        <is>
          <t>TORSBY</t>
        </is>
      </c>
      <c r="F1376" t="inlineStr">
        <is>
          <t>Bergvik skog väst AB</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39208-2025</t>
        </is>
      </c>
      <c r="B1377" s="1" t="n">
        <v>45888</v>
      </c>
      <c r="C1377" s="1" t="n">
        <v>45997</v>
      </c>
      <c r="D1377" t="inlineStr">
        <is>
          <t>VÄRMLANDS LÄN</t>
        </is>
      </c>
      <c r="E1377" t="inlineStr">
        <is>
          <t>TORSBY</t>
        </is>
      </c>
      <c r="F1377" t="inlineStr">
        <is>
          <t>Bergvik skog väst AB</t>
        </is>
      </c>
      <c r="G1377" t="n">
        <v>39.1</v>
      </c>
      <c r="H1377" t="n">
        <v>0</v>
      </c>
      <c r="I1377" t="n">
        <v>0</v>
      </c>
      <c r="J1377" t="n">
        <v>0</v>
      </c>
      <c r="K1377" t="n">
        <v>0</v>
      </c>
      <c r="L1377" t="n">
        <v>0</v>
      </c>
      <c r="M1377" t="n">
        <v>0</v>
      </c>
      <c r="N1377" t="n">
        <v>0</v>
      </c>
      <c r="O1377" t="n">
        <v>0</v>
      </c>
      <c r="P1377" t="n">
        <v>0</v>
      </c>
      <c r="Q1377" t="n">
        <v>0</v>
      </c>
      <c r="R1377" s="2" t="inlineStr"/>
    </row>
    <row r="1378" ht="15" customHeight="1">
      <c r="A1378" t="inlineStr">
        <is>
          <t>A 37908-2025</t>
        </is>
      </c>
      <c r="B1378" s="1" t="n">
        <v>45881.5732175926</v>
      </c>
      <c r="C1378" s="1" t="n">
        <v>45997</v>
      </c>
      <c r="D1378" t="inlineStr">
        <is>
          <t>VÄRMLANDS LÄN</t>
        </is>
      </c>
      <c r="E1378" t="inlineStr">
        <is>
          <t>TORSBY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37945-2025</t>
        </is>
      </c>
      <c r="B1379" s="1" t="n">
        <v>45881</v>
      </c>
      <c r="C1379" s="1" t="n">
        <v>45997</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38143-2025</t>
        </is>
      </c>
      <c r="B1380" s="1" t="n">
        <v>45882</v>
      </c>
      <c r="C1380" s="1" t="n">
        <v>45997</v>
      </c>
      <c r="D1380" t="inlineStr">
        <is>
          <t>VÄRMLANDS LÄN</t>
        </is>
      </c>
      <c r="E1380" t="inlineStr">
        <is>
          <t>TORSBY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38738-2025</t>
        </is>
      </c>
      <c r="B1381" s="1" t="n">
        <v>45887.3715162037</v>
      </c>
      <c r="C1381" s="1" t="n">
        <v>45997</v>
      </c>
      <c r="D1381" t="inlineStr">
        <is>
          <t>VÄRMLANDS LÄN</t>
        </is>
      </c>
      <c r="E1381" t="inlineStr">
        <is>
          <t>TORSBY</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38056-2025</t>
        </is>
      </c>
      <c r="B1382" s="1" t="n">
        <v>45882</v>
      </c>
      <c r="C1382" s="1" t="n">
        <v>45997</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14023-2025</t>
        </is>
      </c>
      <c r="B1383" s="1" t="n">
        <v>45740</v>
      </c>
      <c r="C1383" s="1" t="n">
        <v>45997</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38771-2025</t>
        </is>
      </c>
      <c r="B1384" s="1" t="n">
        <v>45887</v>
      </c>
      <c r="C1384" s="1" t="n">
        <v>45997</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38808-2025</t>
        </is>
      </c>
      <c r="B1385" s="1" t="n">
        <v>45887.47344907407</v>
      </c>
      <c r="C1385" s="1" t="n">
        <v>45997</v>
      </c>
      <c r="D1385" t="inlineStr">
        <is>
          <t>VÄRMLANDS LÄN</t>
        </is>
      </c>
      <c r="E1385" t="inlineStr">
        <is>
          <t>TORSBY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39059-2025</t>
        </is>
      </c>
      <c r="B1386" s="1" t="n">
        <v>45888</v>
      </c>
      <c r="C1386" s="1" t="n">
        <v>45997</v>
      </c>
      <c r="D1386" t="inlineStr">
        <is>
          <t>VÄRMLANDS LÄN</t>
        </is>
      </c>
      <c r="E1386" t="inlineStr">
        <is>
          <t>TORSBY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39033-2025</t>
        </is>
      </c>
      <c r="B1387" s="1" t="n">
        <v>45888</v>
      </c>
      <c r="C1387" s="1" t="n">
        <v>45997</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17941-2021</t>
        </is>
      </c>
      <c r="B1388" s="1" t="n">
        <v>44301</v>
      </c>
      <c r="C1388" s="1" t="n">
        <v>45997</v>
      </c>
      <c r="D1388" t="inlineStr">
        <is>
          <t>VÄRMLANDS LÄN</t>
        </is>
      </c>
      <c r="E1388" t="inlineStr">
        <is>
          <t>TORSBY</t>
        </is>
      </c>
      <c r="F1388" t="inlineStr">
        <is>
          <t>Kommuner</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38905-2025</t>
        </is>
      </c>
      <c r="B1389" s="1" t="n">
        <v>45884</v>
      </c>
      <c r="C1389" s="1" t="n">
        <v>45997</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38979-2025</t>
        </is>
      </c>
      <c r="B1390" s="1" t="n">
        <v>45887.99758101852</v>
      </c>
      <c r="C1390" s="1" t="n">
        <v>45997</v>
      </c>
      <c r="D1390" t="inlineStr">
        <is>
          <t>VÄRMLANDS LÄN</t>
        </is>
      </c>
      <c r="E1390" t="inlineStr">
        <is>
          <t>TORSBY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51823-2024</t>
        </is>
      </c>
      <c r="B1391" s="1" t="n">
        <v>45607</v>
      </c>
      <c r="C1391" s="1" t="n">
        <v>45997</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38795-2025</t>
        </is>
      </c>
      <c r="B1392" s="1" t="n">
        <v>45887</v>
      </c>
      <c r="C1392" s="1" t="n">
        <v>45997</v>
      </c>
      <c r="D1392" t="inlineStr">
        <is>
          <t>VÄRMLANDS LÄN</t>
        </is>
      </c>
      <c r="E1392" t="inlineStr">
        <is>
          <t>TORSBY</t>
        </is>
      </c>
      <c r="F1392" t="inlineStr">
        <is>
          <t>Bergvik skog väst AB</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47366-2025</t>
        </is>
      </c>
      <c r="B1393" s="1" t="n">
        <v>45930</v>
      </c>
      <c r="C1393" s="1" t="n">
        <v>45997</v>
      </c>
      <c r="D1393" t="inlineStr">
        <is>
          <t>VÄRMLANDS LÄN</t>
        </is>
      </c>
      <c r="E1393" t="inlineStr">
        <is>
          <t>TORSBY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47047-2025</t>
        </is>
      </c>
      <c r="B1394" s="1" t="n">
        <v>45929</v>
      </c>
      <c r="C1394" s="1" t="n">
        <v>45997</v>
      </c>
      <c r="D1394" t="inlineStr">
        <is>
          <t>VÄRMLANDS LÄN</t>
        </is>
      </c>
      <c r="E1394" t="inlineStr">
        <is>
          <t>TORSBY</t>
        </is>
      </c>
      <c r="F1394" t="inlineStr">
        <is>
          <t>Kyrkan</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39039-2025</t>
        </is>
      </c>
      <c r="B1395" s="1" t="n">
        <v>45888.42684027777</v>
      </c>
      <c r="C1395" s="1" t="n">
        <v>45997</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39565-2025</t>
        </is>
      </c>
      <c r="B1396" s="1" t="n">
        <v>45890</v>
      </c>
      <c r="C1396" s="1" t="n">
        <v>45997</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39454-2025</t>
        </is>
      </c>
      <c r="B1397" s="1" t="n">
        <v>45889.7462962963</v>
      </c>
      <c r="C1397" s="1" t="n">
        <v>45997</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54996-2025</t>
        </is>
      </c>
      <c r="B1398" s="1" t="n">
        <v>45967</v>
      </c>
      <c r="C1398" s="1" t="n">
        <v>45997</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39451-2025</t>
        </is>
      </c>
      <c r="B1399" s="1" t="n">
        <v>45889.72677083333</v>
      </c>
      <c r="C1399" s="1" t="n">
        <v>45997</v>
      </c>
      <c r="D1399" t="inlineStr">
        <is>
          <t>VÄRMLANDS LÄN</t>
        </is>
      </c>
      <c r="E1399" t="inlineStr">
        <is>
          <t>TORSBY</t>
        </is>
      </c>
      <c r="F1399" t="inlineStr">
        <is>
          <t>Bergvik skog väst AB</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55675-2025</t>
        </is>
      </c>
      <c r="B1400" s="1" t="n">
        <v>45972.4175</v>
      </c>
      <c r="C1400" s="1" t="n">
        <v>45997</v>
      </c>
      <c r="D1400" t="inlineStr">
        <is>
          <t>VÄRMLANDS LÄN</t>
        </is>
      </c>
      <c r="E1400" t="inlineStr">
        <is>
          <t>TORSBY</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55296-2025</t>
        </is>
      </c>
      <c r="B1401" s="1" t="n">
        <v>45969.53423611111</v>
      </c>
      <c r="C1401" s="1" t="n">
        <v>45997</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39258-2025</t>
        </is>
      </c>
      <c r="B1402" s="1" t="n">
        <v>45889</v>
      </c>
      <c r="C1402" s="1" t="n">
        <v>45997</v>
      </c>
      <c r="D1402" t="inlineStr">
        <is>
          <t>VÄRMLANDS LÄN</t>
        </is>
      </c>
      <c r="E1402" t="inlineStr">
        <is>
          <t>TORSBY</t>
        </is>
      </c>
      <c r="F1402" t="inlineStr">
        <is>
          <t>Bergvik skog väst AB</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45997</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39321-2025</t>
        </is>
      </c>
      <c r="B1404" s="1" t="n">
        <v>45889</v>
      </c>
      <c r="C1404" s="1" t="n">
        <v>45997</v>
      </c>
      <c r="D1404" t="inlineStr">
        <is>
          <t>VÄRMLANDS LÄN</t>
        </is>
      </c>
      <c r="E1404" t="inlineStr">
        <is>
          <t>TORSBY</t>
        </is>
      </c>
      <c r="F1404" t="inlineStr">
        <is>
          <t>Bergvik skog väst AB</t>
        </is>
      </c>
      <c r="G1404" t="n">
        <v>47.1</v>
      </c>
      <c r="H1404" t="n">
        <v>0</v>
      </c>
      <c r="I1404" t="n">
        <v>0</v>
      </c>
      <c r="J1404" t="n">
        <v>0</v>
      </c>
      <c r="K1404" t="n">
        <v>0</v>
      </c>
      <c r="L1404" t="n">
        <v>0</v>
      </c>
      <c r="M1404" t="n">
        <v>0</v>
      </c>
      <c r="N1404" t="n">
        <v>0</v>
      </c>
      <c r="O1404" t="n">
        <v>0</v>
      </c>
      <c r="P1404" t="n">
        <v>0</v>
      </c>
      <c r="Q1404" t="n">
        <v>0</v>
      </c>
      <c r="R1404" s="2" t="inlineStr"/>
    </row>
    <row r="1405" ht="15" customHeight="1">
      <c r="A1405" t="inlineStr">
        <is>
          <t>A 39473-2025</t>
        </is>
      </c>
      <c r="B1405" s="1" t="n">
        <v>45890</v>
      </c>
      <c r="C1405" s="1" t="n">
        <v>45997</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55664-2025</t>
        </is>
      </c>
      <c r="B1406" s="1" t="n">
        <v>45972.39621527777</v>
      </c>
      <c r="C1406" s="1" t="n">
        <v>45997</v>
      </c>
      <c r="D1406" t="inlineStr">
        <is>
          <t>VÄRMLANDS LÄN</t>
        </is>
      </c>
      <c r="E1406" t="inlineStr">
        <is>
          <t>TORSBY</t>
        </is>
      </c>
      <c r="F1406" t="inlineStr">
        <is>
          <t>Bergvik skog väst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39652-2025</t>
        </is>
      </c>
      <c r="B1407" s="1" t="n">
        <v>45890.61689814815</v>
      </c>
      <c r="C1407" s="1" t="n">
        <v>45997</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46865-2025</t>
        </is>
      </c>
      <c r="B1408" s="1" t="n">
        <v>45929</v>
      </c>
      <c r="C1408" s="1" t="n">
        <v>45997</v>
      </c>
      <c r="D1408" t="inlineStr">
        <is>
          <t>VÄRMLANDS LÄN</t>
        </is>
      </c>
      <c r="E1408" t="inlineStr">
        <is>
          <t>TORSBY</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39815-2025</t>
        </is>
      </c>
      <c r="B1409" s="1" t="n">
        <v>45891.52760416667</v>
      </c>
      <c r="C1409" s="1" t="n">
        <v>45997</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46921-2025</t>
        </is>
      </c>
      <c r="B1410" s="1" t="n">
        <v>45929.43655092592</v>
      </c>
      <c r="C1410" s="1" t="n">
        <v>45997</v>
      </c>
      <c r="D1410" t="inlineStr">
        <is>
          <t>VÄRMLANDS LÄN</t>
        </is>
      </c>
      <c r="E1410" t="inlineStr">
        <is>
          <t>TORSBY</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40195-2025</t>
        </is>
      </c>
      <c r="B1411" s="1" t="n">
        <v>45894.65922453703</v>
      </c>
      <c r="C1411" s="1" t="n">
        <v>45997</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40051-2025</t>
        </is>
      </c>
      <c r="B1412" s="1" t="n">
        <v>45894.40730324074</v>
      </c>
      <c r="C1412" s="1" t="n">
        <v>45997</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39919-2025</t>
        </is>
      </c>
      <c r="B1413" s="1" t="n">
        <v>45891.66664351852</v>
      </c>
      <c r="C1413" s="1" t="n">
        <v>45997</v>
      </c>
      <c r="D1413" t="inlineStr">
        <is>
          <t>VÄRMLANDS LÄN</t>
        </is>
      </c>
      <c r="E1413" t="inlineStr">
        <is>
          <t>TORSBY</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54462-2025</t>
        </is>
      </c>
      <c r="B1414" s="1" t="n">
        <v>45964</v>
      </c>
      <c r="C1414" s="1" t="n">
        <v>45997</v>
      </c>
      <c r="D1414" t="inlineStr">
        <is>
          <t>VÄRMLANDS LÄN</t>
        </is>
      </c>
      <c r="E1414" t="inlineStr">
        <is>
          <t>TORSBY</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40034-2025</t>
        </is>
      </c>
      <c r="B1415" s="1" t="n">
        <v>45894.38159722222</v>
      </c>
      <c r="C1415" s="1" t="n">
        <v>45997</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39845-2025</t>
        </is>
      </c>
      <c r="B1416" s="1" t="n">
        <v>45891</v>
      </c>
      <c r="C1416" s="1" t="n">
        <v>45997</v>
      </c>
      <c r="D1416" t="inlineStr">
        <is>
          <t>VÄRMLANDS LÄN</t>
        </is>
      </c>
      <c r="E1416" t="inlineStr">
        <is>
          <t>TORSBY</t>
        </is>
      </c>
      <c r="F1416" t="inlineStr">
        <is>
          <t>Bergvik skog väst AB</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39743-2025</t>
        </is>
      </c>
      <c r="B1417" s="1" t="n">
        <v>45891</v>
      </c>
      <c r="C1417" s="1" t="n">
        <v>45997</v>
      </c>
      <c r="D1417" t="inlineStr">
        <is>
          <t>VÄRMLANDS LÄN</t>
        </is>
      </c>
      <c r="E1417" t="inlineStr">
        <is>
          <t>TORSBY</t>
        </is>
      </c>
      <c r="F1417" t="inlineStr">
        <is>
          <t>Bergvik skog väst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40128-2025</t>
        </is>
      </c>
      <c r="B1418" s="1" t="n">
        <v>45894</v>
      </c>
      <c r="C1418" s="1" t="n">
        <v>45997</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47049-2025</t>
        </is>
      </c>
      <c r="B1419" s="1" t="n">
        <v>45929.6130324074</v>
      </c>
      <c r="C1419" s="1" t="n">
        <v>45997</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39731-2025</t>
        </is>
      </c>
      <c r="B1420" s="1" t="n">
        <v>45891</v>
      </c>
      <c r="C1420" s="1" t="n">
        <v>45997</v>
      </c>
      <c r="D1420" t="inlineStr">
        <is>
          <t>VÄRMLANDS LÄN</t>
        </is>
      </c>
      <c r="E1420" t="inlineStr">
        <is>
          <t>TORSBY</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24580-2025</t>
        </is>
      </c>
      <c r="B1421" s="1" t="n">
        <v>45798</v>
      </c>
      <c r="C1421" s="1" t="n">
        <v>45997</v>
      </c>
      <c r="D1421" t="inlineStr">
        <is>
          <t>VÄRMLANDS LÄN</t>
        </is>
      </c>
      <c r="E1421" t="inlineStr">
        <is>
          <t>TORSBY</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39499-2025</t>
        </is>
      </c>
      <c r="B1422" s="1" t="n">
        <v>45890</v>
      </c>
      <c r="C1422" s="1" t="n">
        <v>45997</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18115-2025</t>
        </is>
      </c>
      <c r="B1423" s="1" t="n">
        <v>45761</v>
      </c>
      <c r="C1423" s="1" t="n">
        <v>45997</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28035-2024</t>
        </is>
      </c>
      <c r="B1424" s="1" t="n">
        <v>45476</v>
      </c>
      <c r="C1424" s="1" t="n">
        <v>45997</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45997</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17687-2024</t>
        </is>
      </c>
      <c r="B1426" s="1" t="n">
        <v>45418</v>
      </c>
      <c r="C1426" s="1" t="n">
        <v>45997</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47621-2025</t>
        </is>
      </c>
      <c r="B1427" s="1" t="n">
        <v>45931.48322916667</v>
      </c>
      <c r="C1427" s="1" t="n">
        <v>45997</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54790-2024</t>
        </is>
      </c>
      <c r="B1428" s="1" t="n">
        <v>45618</v>
      </c>
      <c r="C1428" s="1" t="n">
        <v>45997</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40519-2025</t>
        </is>
      </c>
      <c r="B1429" s="1" t="n">
        <v>45896.3640162037</v>
      </c>
      <c r="C1429" s="1" t="n">
        <v>45997</v>
      </c>
      <c r="D1429" t="inlineStr">
        <is>
          <t>VÄRMLANDS LÄN</t>
        </is>
      </c>
      <c r="E1429" t="inlineStr">
        <is>
          <t>TORSBY</t>
        </is>
      </c>
      <c r="F1429" t="inlineStr">
        <is>
          <t>Bergvik skog väst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56033-2025</t>
        </is>
      </c>
      <c r="B1430" s="1" t="n">
        <v>45973.6066087963</v>
      </c>
      <c r="C1430" s="1" t="n">
        <v>45997</v>
      </c>
      <c r="D1430" t="inlineStr">
        <is>
          <t>VÄRMLANDS LÄN</t>
        </is>
      </c>
      <c r="E1430" t="inlineStr">
        <is>
          <t>TORSBY</t>
        </is>
      </c>
      <c r="F1430" t="inlineStr">
        <is>
          <t>Bergvik skog väst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24827-2025</t>
        </is>
      </c>
      <c r="B1431" s="1" t="n">
        <v>45799</v>
      </c>
      <c r="C1431" s="1" t="n">
        <v>45997</v>
      </c>
      <c r="D1431" t="inlineStr">
        <is>
          <t>VÄRMLANDS LÄN</t>
        </is>
      </c>
      <c r="E1431" t="inlineStr">
        <is>
          <t>TORSBY</t>
        </is>
      </c>
      <c r="G1431" t="n">
        <v>27.5</v>
      </c>
      <c r="H1431" t="n">
        <v>0</v>
      </c>
      <c r="I1431" t="n">
        <v>0</v>
      </c>
      <c r="J1431" t="n">
        <v>0</v>
      </c>
      <c r="K1431" t="n">
        <v>0</v>
      </c>
      <c r="L1431" t="n">
        <v>0</v>
      </c>
      <c r="M1431" t="n">
        <v>0</v>
      </c>
      <c r="N1431" t="n">
        <v>0</v>
      </c>
      <c r="O1431" t="n">
        <v>0</v>
      </c>
      <c r="P1431" t="n">
        <v>0</v>
      </c>
      <c r="Q1431" t="n">
        <v>0</v>
      </c>
      <c r="R1431" s="2" t="inlineStr"/>
    </row>
    <row r="1432" ht="15" customHeight="1">
      <c r="A1432" t="inlineStr">
        <is>
          <t>A 18096-2025</t>
        </is>
      </c>
      <c r="B1432" s="1" t="n">
        <v>45761</v>
      </c>
      <c r="C1432" s="1" t="n">
        <v>45997</v>
      </c>
      <c r="D1432" t="inlineStr">
        <is>
          <t>VÄRMLANDS LÄN</t>
        </is>
      </c>
      <c r="E1432" t="inlineStr">
        <is>
          <t>TORSBY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48020-2025</t>
        </is>
      </c>
      <c r="B1433" s="1" t="n">
        <v>45932</v>
      </c>
      <c r="C1433" s="1" t="n">
        <v>45997</v>
      </c>
      <c r="D1433" t="inlineStr">
        <is>
          <t>VÄRMLANDS LÄN</t>
        </is>
      </c>
      <c r="E1433" t="inlineStr">
        <is>
          <t>TORSBY</t>
        </is>
      </c>
      <c r="F1433" t="inlineStr">
        <is>
          <t>Bergvik skog väst AB</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41293-2025</t>
        </is>
      </c>
      <c r="B1434" s="1" t="n">
        <v>45898</v>
      </c>
      <c r="C1434" s="1" t="n">
        <v>45997</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40729-2025</t>
        </is>
      </c>
      <c r="B1435" s="1" t="n">
        <v>45897.35421296296</v>
      </c>
      <c r="C1435" s="1" t="n">
        <v>45997</v>
      </c>
      <c r="D1435" t="inlineStr">
        <is>
          <t>VÄRMLANDS LÄN</t>
        </is>
      </c>
      <c r="E1435" t="inlineStr">
        <is>
          <t>TORSBY</t>
        </is>
      </c>
      <c r="F1435" t="inlineStr">
        <is>
          <t>Bergvik skog väst AB</t>
        </is>
      </c>
      <c r="G1435" t="n">
        <v>25.4</v>
      </c>
      <c r="H1435" t="n">
        <v>0</v>
      </c>
      <c r="I1435" t="n">
        <v>0</v>
      </c>
      <c r="J1435" t="n">
        <v>0</v>
      </c>
      <c r="K1435" t="n">
        <v>0</v>
      </c>
      <c r="L1435" t="n">
        <v>0</v>
      </c>
      <c r="M1435" t="n">
        <v>0</v>
      </c>
      <c r="N1435" t="n">
        <v>0</v>
      </c>
      <c r="O1435" t="n">
        <v>0</v>
      </c>
      <c r="P1435" t="n">
        <v>0</v>
      </c>
      <c r="Q1435" t="n">
        <v>0</v>
      </c>
      <c r="R1435" s="2" t="inlineStr"/>
    </row>
    <row r="1436" ht="15" customHeight="1">
      <c r="A1436" t="inlineStr">
        <is>
          <t>A 47494-2025</t>
        </is>
      </c>
      <c r="B1436" s="1" t="n">
        <v>45930.78428240741</v>
      </c>
      <c r="C1436" s="1" t="n">
        <v>45997</v>
      </c>
      <c r="D1436" t="inlineStr">
        <is>
          <t>VÄRMLANDS LÄN</t>
        </is>
      </c>
      <c r="E1436" t="inlineStr">
        <is>
          <t>TORSBY</t>
        </is>
      </c>
      <c r="F1436" t="inlineStr">
        <is>
          <t>Bergvik skog väst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47495-2025</t>
        </is>
      </c>
      <c r="B1437" s="1" t="n">
        <v>45930.79185185185</v>
      </c>
      <c r="C1437" s="1" t="n">
        <v>45997</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25866-2025</t>
        </is>
      </c>
      <c r="B1438" s="1" t="n">
        <v>45804.48143518518</v>
      </c>
      <c r="C1438" s="1" t="n">
        <v>45997</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41209-2025</t>
        </is>
      </c>
      <c r="B1439" s="1" t="n">
        <v>45898</v>
      </c>
      <c r="C1439" s="1" t="n">
        <v>45997</v>
      </c>
      <c r="D1439" t="inlineStr">
        <is>
          <t>VÄRMLANDS LÄN</t>
        </is>
      </c>
      <c r="E1439" t="inlineStr">
        <is>
          <t>TORSBY</t>
        </is>
      </c>
      <c r="F1439" t="inlineStr">
        <is>
          <t>Övriga Aktiebolag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41168-2025</t>
        </is>
      </c>
      <c r="B1440" s="1" t="n">
        <v>45898</v>
      </c>
      <c r="C1440" s="1" t="n">
        <v>45997</v>
      </c>
      <c r="D1440" t="inlineStr">
        <is>
          <t>VÄRMLANDS LÄN</t>
        </is>
      </c>
      <c r="E1440" t="inlineStr">
        <is>
          <t>TORSBY</t>
        </is>
      </c>
      <c r="F1440" t="inlineStr">
        <is>
          <t>Övriga Aktiebolag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54076-2025</t>
        </is>
      </c>
      <c r="B1441" s="1" t="n">
        <v>45964</v>
      </c>
      <c r="C1441" s="1" t="n">
        <v>45997</v>
      </c>
      <c r="D1441" t="inlineStr">
        <is>
          <t>VÄRMLANDS LÄN</t>
        </is>
      </c>
      <c r="E1441" t="inlineStr">
        <is>
          <t>TORSBY</t>
        </is>
      </c>
      <c r="F1441" t="inlineStr">
        <is>
          <t>Övriga statliga verk och myndigheter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47545-2025</t>
        </is>
      </c>
      <c r="B1442" s="1" t="n">
        <v>45931</v>
      </c>
      <c r="C1442" s="1" t="n">
        <v>45997</v>
      </c>
      <c r="D1442" t="inlineStr">
        <is>
          <t>VÄRMLANDS LÄN</t>
        </is>
      </c>
      <c r="E1442" t="inlineStr">
        <is>
          <t>TORSBY</t>
        </is>
      </c>
      <c r="F1442" t="inlineStr">
        <is>
          <t>Bergvik skog väst AB</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34353-2025</t>
        </is>
      </c>
      <c r="B1443" s="1" t="n">
        <v>45846.4775</v>
      </c>
      <c r="C1443" s="1" t="n">
        <v>45997</v>
      </c>
      <c r="D1443" t="inlineStr">
        <is>
          <t>VÄRMLANDS LÄN</t>
        </is>
      </c>
      <c r="E1443" t="inlineStr">
        <is>
          <t>TORSBY</t>
        </is>
      </c>
      <c r="G1443" t="n">
        <v>14.5</v>
      </c>
      <c r="H1443" t="n">
        <v>0</v>
      </c>
      <c r="I1443" t="n">
        <v>0</v>
      </c>
      <c r="J1443" t="n">
        <v>0</v>
      </c>
      <c r="K1443" t="n">
        <v>0</v>
      </c>
      <c r="L1443" t="n">
        <v>0</v>
      </c>
      <c r="M1443" t="n">
        <v>0</v>
      </c>
      <c r="N1443" t="n">
        <v>0</v>
      </c>
      <c r="O1443" t="n">
        <v>0</v>
      </c>
      <c r="P1443" t="n">
        <v>0</v>
      </c>
      <c r="Q1443" t="n">
        <v>0</v>
      </c>
      <c r="R1443" s="2" t="inlineStr"/>
    </row>
    <row r="1444" ht="15" customHeight="1">
      <c r="A1444" t="inlineStr">
        <is>
          <t>A 41137-2025</t>
        </is>
      </c>
      <c r="B1444" s="1" t="n">
        <v>45898</v>
      </c>
      <c r="C1444" s="1" t="n">
        <v>45997</v>
      </c>
      <c r="D1444" t="inlineStr">
        <is>
          <t>VÄRMLANDS LÄN</t>
        </is>
      </c>
      <c r="E1444" t="inlineStr">
        <is>
          <t>TORSBY</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50494-2024</t>
        </is>
      </c>
      <c r="B1445" s="1" t="n">
        <v>45601.50818287037</v>
      </c>
      <c r="C1445" s="1" t="n">
        <v>45997</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55938-2025</t>
        </is>
      </c>
      <c r="B1446" s="1" t="n">
        <v>45973.44658564815</v>
      </c>
      <c r="C1446" s="1" t="n">
        <v>45997</v>
      </c>
      <c r="D1446" t="inlineStr">
        <is>
          <t>VÄRMLANDS LÄN</t>
        </is>
      </c>
      <c r="E1446" t="inlineStr">
        <is>
          <t>TORSBY</t>
        </is>
      </c>
      <c r="F1446" t="inlineStr">
        <is>
          <t>Bergvik skog väst AB</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41148-2025</t>
        </is>
      </c>
      <c r="B1447" s="1" t="n">
        <v>45898</v>
      </c>
      <c r="C1447" s="1" t="n">
        <v>45997</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55863-2025</t>
        </is>
      </c>
      <c r="B1448" s="1" t="n">
        <v>45973.3465162037</v>
      </c>
      <c r="C1448" s="1" t="n">
        <v>45997</v>
      </c>
      <c r="D1448" t="inlineStr">
        <is>
          <t>VÄRMLANDS LÄN</t>
        </is>
      </c>
      <c r="E1448" t="inlineStr">
        <is>
          <t>TORSBY</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47927-2025</t>
        </is>
      </c>
      <c r="B1449" s="1" t="n">
        <v>45932.54604166667</v>
      </c>
      <c r="C1449" s="1" t="n">
        <v>45997</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56258-2025</t>
        </is>
      </c>
      <c r="B1450" s="1" t="n">
        <v>45974.56655092593</v>
      </c>
      <c r="C1450" s="1" t="n">
        <v>45997</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47736-2025</t>
        </is>
      </c>
      <c r="B1451" s="1" t="n">
        <v>45931.63822916667</v>
      </c>
      <c r="C1451" s="1" t="n">
        <v>45997</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28329-2024</t>
        </is>
      </c>
      <c r="B1452" s="1" t="n">
        <v>45477</v>
      </c>
      <c r="C1452" s="1" t="n">
        <v>45997</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56187-2025</t>
        </is>
      </c>
      <c r="B1453" s="1" t="n">
        <v>45974.42451388889</v>
      </c>
      <c r="C1453" s="1" t="n">
        <v>45997</v>
      </c>
      <c r="D1453" t="inlineStr">
        <is>
          <t>VÄRMLANDS LÄN</t>
        </is>
      </c>
      <c r="E1453" t="inlineStr">
        <is>
          <t>TORSBY</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41232-2025</t>
        </is>
      </c>
      <c r="B1454" s="1" t="n">
        <v>45898</v>
      </c>
      <c r="C1454" s="1" t="n">
        <v>45997</v>
      </c>
      <c r="D1454" t="inlineStr">
        <is>
          <t>VÄRMLANDS LÄN</t>
        </is>
      </c>
      <c r="E1454" t="inlineStr">
        <is>
          <t>TORSBY</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24576-2025</t>
        </is>
      </c>
      <c r="B1455" s="1" t="n">
        <v>45798</v>
      </c>
      <c r="C1455" s="1" t="n">
        <v>45997</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41189-2025</t>
        </is>
      </c>
      <c r="B1456" s="1" t="n">
        <v>45898</v>
      </c>
      <c r="C1456" s="1" t="n">
        <v>45997</v>
      </c>
      <c r="D1456" t="inlineStr">
        <is>
          <t>VÄRMLANDS LÄN</t>
        </is>
      </c>
      <c r="E1456" t="inlineStr">
        <is>
          <t>TORSBY</t>
        </is>
      </c>
      <c r="F1456" t="inlineStr">
        <is>
          <t>Övriga Aktiebolag</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41194-2025</t>
        </is>
      </c>
      <c r="B1457" s="1" t="n">
        <v>45898.57028935185</v>
      </c>
      <c r="C1457" s="1" t="n">
        <v>45997</v>
      </c>
      <c r="D1457" t="inlineStr">
        <is>
          <t>VÄRMLANDS LÄN</t>
        </is>
      </c>
      <c r="E1457" t="inlineStr">
        <is>
          <t>TORSBY</t>
        </is>
      </c>
      <c r="F1457" t="inlineStr">
        <is>
          <t>Bergvik skog väst AB</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41124-2025</t>
        </is>
      </c>
      <c r="B1458" s="1" t="n">
        <v>45898.47166666666</v>
      </c>
      <c r="C1458" s="1" t="n">
        <v>45997</v>
      </c>
      <c r="D1458" t="inlineStr">
        <is>
          <t>VÄRMLANDS LÄN</t>
        </is>
      </c>
      <c r="E1458" t="inlineStr">
        <is>
          <t>TORSBY</t>
        </is>
      </c>
      <c r="F1458" t="inlineStr">
        <is>
          <t>Bergvik skog väst AB</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11672-2025</t>
        </is>
      </c>
      <c r="B1459" s="1" t="n">
        <v>45727</v>
      </c>
      <c r="C1459" s="1" t="n">
        <v>45997</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47624-2025</t>
        </is>
      </c>
      <c r="B1460" s="1" t="n">
        <v>45931.48381944445</v>
      </c>
      <c r="C1460" s="1" t="n">
        <v>45997</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24111-2025</t>
        </is>
      </c>
      <c r="B1461" s="1" t="n">
        <v>45796.60822916667</v>
      </c>
      <c r="C1461" s="1" t="n">
        <v>45997</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33149-2025</t>
        </is>
      </c>
      <c r="B1462" s="1" t="n">
        <v>45840.54246527778</v>
      </c>
      <c r="C1462" s="1" t="n">
        <v>45997</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56052-2025</t>
        </is>
      </c>
      <c r="B1463" s="1" t="n">
        <v>45973.63180555555</v>
      </c>
      <c r="C1463" s="1" t="n">
        <v>45997</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46166-2024</t>
        </is>
      </c>
      <c r="B1464" s="1" t="n">
        <v>45581</v>
      </c>
      <c r="C1464" s="1" t="n">
        <v>45997</v>
      </c>
      <c r="D1464" t="inlineStr">
        <is>
          <t>VÄRMLANDS LÄN</t>
        </is>
      </c>
      <c r="E1464" t="inlineStr">
        <is>
          <t>TORSBY</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56263-2025</t>
        </is>
      </c>
      <c r="B1465" s="1" t="n">
        <v>45974.57358796296</v>
      </c>
      <c r="C1465" s="1" t="n">
        <v>45997</v>
      </c>
      <c r="D1465" t="inlineStr">
        <is>
          <t>VÄRMLANDS LÄN</t>
        </is>
      </c>
      <c r="E1465" t="inlineStr">
        <is>
          <t>TORSBY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41471-2025</t>
        </is>
      </c>
      <c r="B1466" s="1" t="n">
        <v>45901.46770833333</v>
      </c>
      <c r="C1466" s="1" t="n">
        <v>45997</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62957-2023</t>
        </is>
      </c>
      <c r="B1467" s="1" t="n">
        <v>45271</v>
      </c>
      <c r="C1467" s="1" t="n">
        <v>45997</v>
      </c>
      <c r="D1467" t="inlineStr">
        <is>
          <t>VÄRMLANDS LÄN</t>
        </is>
      </c>
      <c r="E1467" t="inlineStr">
        <is>
          <t>TORSBY</t>
        </is>
      </c>
      <c r="F1467" t="inlineStr">
        <is>
          <t>Övriga statliga verk och myndigheter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41478-2025</t>
        </is>
      </c>
      <c r="B1468" s="1" t="n">
        <v>45901</v>
      </c>
      <c r="C1468" s="1" t="n">
        <v>45997</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40541-2024</t>
        </is>
      </c>
      <c r="B1469" s="1" t="n">
        <v>45555.62736111111</v>
      </c>
      <c r="C1469" s="1" t="n">
        <v>45997</v>
      </c>
      <c r="D1469" t="inlineStr">
        <is>
          <t>VÄRMLANDS LÄN</t>
        </is>
      </c>
      <c r="E1469" t="inlineStr">
        <is>
          <t>TORSBY</t>
        </is>
      </c>
      <c r="F1469" t="inlineStr">
        <is>
          <t>Bergvik skog väst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41416-2025</t>
        </is>
      </c>
      <c r="B1470" s="1" t="n">
        <v>45901</v>
      </c>
      <c r="C1470" s="1" t="n">
        <v>45997</v>
      </c>
      <c r="D1470" t="inlineStr">
        <is>
          <t>VÄRMLANDS LÄN</t>
        </is>
      </c>
      <c r="E1470" t="inlineStr">
        <is>
          <t>TORSBY</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41711-2025</t>
        </is>
      </c>
      <c r="B1471" s="1" t="n">
        <v>45902.43106481482</v>
      </c>
      <c r="C1471" s="1" t="n">
        <v>45997</v>
      </c>
      <c r="D1471" t="inlineStr">
        <is>
          <t>VÄRMLANDS LÄN</t>
        </is>
      </c>
      <c r="E1471" t="inlineStr">
        <is>
          <t>TORSBY</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41376-2025</t>
        </is>
      </c>
      <c r="B1472" s="1" t="n">
        <v>45900.84105324074</v>
      </c>
      <c r="C1472" s="1" t="n">
        <v>45997</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41634-2025</t>
        </is>
      </c>
      <c r="B1473" s="1" t="n">
        <v>45902</v>
      </c>
      <c r="C1473" s="1" t="n">
        <v>45997</v>
      </c>
      <c r="D1473" t="inlineStr">
        <is>
          <t>VÄRMLANDS LÄN</t>
        </is>
      </c>
      <c r="E1473" t="inlineStr">
        <is>
          <t>TORSBY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41740-2025</t>
        </is>
      </c>
      <c r="B1474" s="1" t="n">
        <v>45902</v>
      </c>
      <c r="C1474" s="1" t="n">
        <v>45997</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41746-2025</t>
        </is>
      </c>
      <c r="B1475" s="1" t="n">
        <v>45902.48660879629</v>
      </c>
      <c r="C1475" s="1" t="n">
        <v>45997</v>
      </c>
      <c r="D1475" t="inlineStr">
        <is>
          <t>VÄRMLANDS LÄN</t>
        </is>
      </c>
      <c r="E1475" t="inlineStr">
        <is>
          <t>TORSBY</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41744-2025</t>
        </is>
      </c>
      <c r="B1476" s="1" t="n">
        <v>45902</v>
      </c>
      <c r="C1476" s="1" t="n">
        <v>45997</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41627-2025</t>
        </is>
      </c>
      <c r="B1477" s="1" t="n">
        <v>45901.79328703704</v>
      </c>
      <c r="C1477" s="1" t="n">
        <v>45997</v>
      </c>
      <c r="D1477" t="inlineStr">
        <is>
          <t>VÄRMLANDS LÄN</t>
        </is>
      </c>
      <c r="E1477" t="inlineStr">
        <is>
          <t>TORSBY</t>
        </is>
      </c>
      <c r="F1477" t="inlineStr">
        <is>
          <t>Bergvik skog väst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42308-2025</t>
        </is>
      </c>
      <c r="B1478" s="1" t="n">
        <v>45904</v>
      </c>
      <c r="C1478" s="1" t="n">
        <v>45997</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42352-2025</t>
        </is>
      </c>
      <c r="B1479" s="1" t="n">
        <v>45904</v>
      </c>
      <c r="C1479" s="1" t="n">
        <v>45997</v>
      </c>
      <c r="D1479" t="inlineStr">
        <is>
          <t>VÄRMLANDS LÄN</t>
        </is>
      </c>
      <c r="E1479" t="inlineStr">
        <is>
          <t>TORSBY</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41895-2025</t>
        </is>
      </c>
      <c r="B1480" s="1" t="n">
        <v>45903.38645833333</v>
      </c>
      <c r="C1480" s="1" t="n">
        <v>45997</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42349-2025</t>
        </is>
      </c>
      <c r="B1481" s="1" t="n">
        <v>45904</v>
      </c>
      <c r="C1481" s="1" t="n">
        <v>45997</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42354-2025</t>
        </is>
      </c>
      <c r="B1482" s="1" t="n">
        <v>45904</v>
      </c>
      <c r="C1482" s="1" t="n">
        <v>45997</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42273-2025</t>
        </is>
      </c>
      <c r="B1483" s="1" t="n">
        <v>45904.60708333334</v>
      </c>
      <c r="C1483" s="1" t="n">
        <v>45997</v>
      </c>
      <c r="D1483" t="inlineStr">
        <is>
          <t>VÄRMLANDS LÄN</t>
        </is>
      </c>
      <c r="E1483" t="inlineStr">
        <is>
          <t>TORSBY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48499-2025</t>
        </is>
      </c>
      <c r="B1484" s="1" t="n">
        <v>45936.37533564815</v>
      </c>
      <c r="C1484" s="1" t="n">
        <v>45997</v>
      </c>
      <c r="D1484" t="inlineStr">
        <is>
          <t>VÄRMLANDS LÄN</t>
        </is>
      </c>
      <c r="E1484" t="inlineStr">
        <is>
          <t>TORSBY</t>
        </is>
      </c>
      <c r="F1484" t="inlineStr">
        <is>
          <t>Bergvik skog väst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42350-2025</t>
        </is>
      </c>
      <c r="B1485" s="1" t="n">
        <v>45904</v>
      </c>
      <c r="C1485" s="1" t="n">
        <v>45997</v>
      </c>
      <c r="D1485" t="inlineStr">
        <is>
          <t>VÄRMLANDS LÄN</t>
        </is>
      </c>
      <c r="E1485" t="inlineStr">
        <is>
          <t>TORSBY</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41958-2025</t>
        </is>
      </c>
      <c r="B1486" s="1" t="n">
        <v>45903.46856481482</v>
      </c>
      <c r="C1486" s="1" t="n">
        <v>45997</v>
      </c>
      <c r="D1486" t="inlineStr">
        <is>
          <t>VÄRMLANDS LÄN</t>
        </is>
      </c>
      <c r="E1486" t="inlineStr">
        <is>
          <t>TORSBY</t>
        </is>
      </c>
      <c r="F1486" t="inlineStr">
        <is>
          <t>Bergvik skog väst AB</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48375-2025</t>
        </is>
      </c>
      <c r="B1487" s="1" t="n">
        <v>45933.71201388889</v>
      </c>
      <c r="C1487" s="1" t="n">
        <v>45997</v>
      </c>
      <c r="D1487" t="inlineStr">
        <is>
          <t>VÄRMLANDS LÄN</t>
        </is>
      </c>
      <c r="E1487" t="inlineStr">
        <is>
          <t>TORSBY</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42152-2025</t>
        </is>
      </c>
      <c r="B1488" s="1" t="n">
        <v>45904.3884375</v>
      </c>
      <c r="C1488" s="1" t="n">
        <v>45997</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42108-2025</t>
        </is>
      </c>
      <c r="B1489" s="1" t="n">
        <v>45903</v>
      </c>
      <c r="C1489" s="1" t="n">
        <v>45997</v>
      </c>
      <c r="D1489" t="inlineStr">
        <is>
          <t>VÄRMLANDS LÄN</t>
        </is>
      </c>
      <c r="E1489" t="inlineStr">
        <is>
          <t>TORSBY</t>
        </is>
      </c>
      <c r="F1489" t="inlineStr">
        <is>
          <t>Bergvik skog väst AB</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55622-2025</t>
        </is>
      </c>
      <c r="B1490" s="1" t="n">
        <v>45971</v>
      </c>
      <c r="C1490" s="1" t="n">
        <v>45997</v>
      </c>
      <c r="D1490" t="inlineStr">
        <is>
          <t>VÄRMLANDS LÄN</t>
        </is>
      </c>
      <c r="E1490" t="inlineStr">
        <is>
          <t>TORSBY</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56848-2025</t>
        </is>
      </c>
      <c r="B1491" s="1" t="n">
        <v>45978.4887037037</v>
      </c>
      <c r="C1491" s="1" t="n">
        <v>45997</v>
      </c>
      <c r="D1491" t="inlineStr">
        <is>
          <t>VÄRMLANDS LÄN</t>
        </is>
      </c>
      <c r="E1491" t="inlineStr">
        <is>
          <t>TORSBY</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45997</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42296-2025</t>
        </is>
      </c>
      <c r="B1493" s="1" t="n">
        <v>45904.63361111111</v>
      </c>
      <c r="C1493" s="1" t="n">
        <v>45997</v>
      </c>
      <c r="D1493" t="inlineStr">
        <is>
          <t>VÄRMLANDS LÄN</t>
        </is>
      </c>
      <c r="E1493" t="inlineStr">
        <is>
          <t>TORSBY</t>
        </is>
      </c>
      <c r="F1493" t="inlineStr">
        <is>
          <t>Bergvik skog väst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42305-2025</t>
        </is>
      </c>
      <c r="B1494" s="1" t="n">
        <v>45904.64886574074</v>
      </c>
      <c r="C1494" s="1" t="n">
        <v>45997</v>
      </c>
      <c r="D1494" t="inlineStr">
        <is>
          <t>VÄRMLANDS LÄN</t>
        </is>
      </c>
      <c r="E1494" t="inlineStr">
        <is>
          <t>TORSBY</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41975-2025</t>
        </is>
      </c>
      <c r="B1495" s="1" t="n">
        <v>45903.49732638889</v>
      </c>
      <c r="C1495" s="1" t="n">
        <v>45997</v>
      </c>
      <c r="D1495" t="inlineStr">
        <is>
          <t>VÄRMLANDS LÄN</t>
        </is>
      </c>
      <c r="E1495" t="inlineStr">
        <is>
          <t>TORSBY</t>
        </is>
      </c>
      <c r="F1495" t="inlineStr">
        <is>
          <t>Bergvik skog väst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42304-2025</t>
        </is>
      </c>
      <c r="B1496" s="1" t="n">
        <v>45904</v>
      </c>
      <c r="C1496" s="1" t="n">
        <v>45997</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42149-2025</t>
        </is>
      </c>
      <c r="B1497" s="1" t="n">
        <v>45904.38109953704</v>
      </c>
      <c r="C1497" s="1" t="n">
        <v>45997</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56785-2025</t>
        </is>
      </c>
      <c r="B1498" s="1" t="n">
        <v>45978.42228009259</v>
      </c>
      <c r="C1498" s="1" t="n">
        <v>45997</v>
      </c>
      <c r="D1498" t="inlineStr">
        <is>
          <t>VÄRMLANDS LÄN</t>
        </is>
      </c>
      <c r="E1498" t="inlineStr">
        <is>
          <t>TORSBY</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56786-2025</t>
        </is>
      </c>
      <c r="B1499" s="1" t="n">
        <v>45978.4254050926</v>
      </c>
      <c r="C1499" s="1" t="n">
        <v>45997</v>
      </c>
      <c r="D1499" t="inlineStr">
        <is>
          <t>VÄRMLANDS LÄN</t>
        </is>
      </c>
      <c r="E1499" t="inlineStr">
        <is>
          <t>TORSBY</t>
        </is>
      </c>
      <c r="F1499" t="inlineStr">
        <is>
          <t>Bergvik skog väst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48202-2025</t>
        </is>
      </c>
      <c r="B1500" s="1" t="n">
        <v>45933.48121527778</v>
      </c>
      <c r="C1500" s="1" t="n">
        <v>45997</v>
      </c>
      <c r="D1500" t="inlineStr">
        <is>
          <t>VÄRMLANDS LÄN</t>
        </is>
      </c>
      <c r="E1500" t="inlineStr">
        <is>
          <t>TORSBY</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52689-2024</t>
        </is>
      </c>
      <c r="B1501" s="1" t="n">
        <v>45610.39621527777</v>
      </c>
      <c r="C1501" s="1" t="n">
        <v>45997</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34534-2024</t>
        </is>
      </c>
      <c r="B1502" s="1" t="n">
        <v>45525</v>
      </c>
      <c r="C1502" s="1" t="n">
        <v>45997</v>
      </c>
      <c r="D1502" t="inlineStr">
        <is>
          <t>VÄRMLANDS LÄN</t>
        </is>
      </c>
      <c r="E1502" t="inlineStr">
        <is>
          <t>TORSBY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40546-2024</t>
        </is>
      </c>
      <c r="B1503" s="1" t="n">
        <v>45555</v>
      </c>
      <c r="C1503" s="1" t="n">
        <v>45997</v>
      </c>
      <c r="D1503" t="inlineStr">
        <is>
          <t>VÄRMLANDS LÄN</t>
        </is>
      </c>
      <c r="E1503" t="inlineStr">
        <is>
          <t>TORSBY</t>
        </is>
      </c>
      <c r="F1503" t="inlineStr">
        <is>
          <t>Bergvik skog väst AB</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14575-2025</t>
        </is>
      </c>
      <c r="B1504" s="1" t="n">
        <v>45742.29048611111</v>
      </c>
      <c r="C1504" s="1" t="n">
        <v>45997</v>
      </c>
      <c r="D1504" t="inlineStr">
        <is>
          <t>VÄRMLANDS LÄN</t>
        </is>
      </c>
      <c r="E1504" t="inlineStr">
        <is>
          <t>TORSBY</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23455-2025</t>
        </is>
      </c>
      <c r="B1505" s="1" t="n">
        <v>45792.42520833333</v>
      </c>
      <c r="C1505" s="1" t="n">
        <v>45997</v>
      </c>
      <c r="D1505" t="inlineStr">
        <is>
          <t>VÄRMLANDS LÄN</t>
        </is>
      </c>
      <c r="E1505" t="inlineStr">
        <is>
          <t>TORSBY</t>
        </is>
      </c>
      <c r="F1505" t="inlineStr">
        <is>
          <t>Kyrkan</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55436-2022</t>
        </is>
      </c>
      <c r="B1506" s="1" t="n">
        <v>44887</v>
      </c>
      <c r="C1506" s="1" t="n">
        <v>45997</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48180-2025</t>
        </is>
      </c>
      <c r="B1507" s="1" t="n">
        <v>45933.45245370371</v>
      </c>
      <c r="C1507" s="1" t="n">
        <v>45997</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31945-2024</t>
        </is>
      </c>
      <c r="B1508" s="1" t="n">
        <v>45510</v>
      </c>
      <c r="C1508" s="1" t="n">
        <v>45997</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42403-2023</t>
        </is>
      </c>
      <c r="B1509" s="1" t="n">
        <v>45180.59174768518</v>
      </c>
      <c r="C1509" s="1" t="n">
        <v>45997</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12458-2023</t>
        </is>
      </c>
      <c r="B1510" s="1" t="n">
        <v>44999</v>
      </c>
      <c r="C1510" s="1" t="n">
        <v>45997</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42499-2025</t>
        </is>
      </c>
      <c r="B1511" s="1" t="n">
        <v>45905.5194675926</v>
      </c>
      <c r="C1511" s="1" t="n">
        <v>45997</v>
      </c>
      <c r="D1511" t="inlineStr">
        <is>
          <t>VÄRMLANDS LÄN</t>
        </is>
      </c>
      <c r="E1511" t="inlineStr">
        <is>
          <t>TORSBY</t>
        </is>
      </c>
      <c r="F1511" t="inlineStr">
        <is>
          <t>Bergvik skog väst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42720-2025</t>
        </is>
      </c>
      <c r="B1512" s="1" t="n">
        <v>45908.39427083333</v>
      </c>
      <c r="C1512" s="1" t="n">
        <v>45997</v>
      </c>
      <c r="D1512" t="inlineStr">
        <is>
          <t>VÄRMLANDS LÄN</t>
        </is>
      </c>
      <c r="E1512" t="inlineStr">
        <is>
          <t>TORSBY</t>
        </is>
      </c>
      <c r="F1512" t="inlineStr">
        <is>
          <t>Bergvik skog väst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13848-2024</t>
        </is>
      </c>
      <c r="B1513" s="1" t="n">
        <v>45390</v>
      </c>
      <c r="C1513" s="1" t="n">
        <v>45997</v>
      </c>
      <c r="D1513" t="inlineStr">
        <is>
          <t>VÄRMLANDS LÄN</t>
        </is>
      </c>
      <c r="E1513" t="inlineStr">
        <is>
          <t>TORSBY</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42886-2025</t>
        </is>
      </c>
      <c r="B1514" s="1" t="n">
        <v>45908.65288194444</v>
      </c>
      <c r="C1514" s="1" t="n">
        <v>45997</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59425-2021</t>
        </is>
      </c>
      <c r="B1515" s="1" t="n">
        <v>44491.43469907407</v>
      </c>
      <c r="C1515" s="1" t="n">
        <v>45997</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23280-2025</t>
        </is>
      </c>
      <c r="B1516" s="1" t="n">
        <v>45791.57217592592</v>
      </c>
      <c r="C1516" s="1" t="n">
        <v>45997</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58259-2024</t>
        </is>
      </c>
      <c r="B1517" s="1" t="n">
        <v>45632.56155092592</v>
      </c>
      <c r="C1517" s="1" t="n">
        <v>45997</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34568-2024</t>
        </is>
      </c>
      <c r="B1518" s="1" t="n">
        <v>45526</v>
      </c>
      <c r="C1518" s="1" t="n">
        <v>45997</v>
      </c>
      <c r="D1518" t="inlineStr">
        <is>
          <t>VÄRMLANDS LÄN</t>
        </is>
      </c>
      <c r="E1518" t="inlineStr">
        <is>
          <t>TORSBY</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23557-2025</t>
        </is>
      </c>
      <c r="B1519" s="1" t="n">
        <v>45792.58086805556</v>
      </c>
      <c r="C1519" s="1" t="n">
        <v>45997</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48214-2025</t>
        </is>
      </c>
      <c r="B1520" s="1" t="n">
        <v>45933.49465277778</v>
      </c>
      <c r="C1520" s="1" t="n">
        <v>45997</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55953-2025</t>
        </is>
      </c>
      <c r="B1521" s="1" t="n">
        <v>45973</v>
      </c>
      <c r="C1521" s="1" t="n">
        <v>45997</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55958-2025</t>
        </is>
      </c>
      <c r="B1522" s="1" t="n">
        <v>45973</v>
      </c>
      <c r="C1522" s="1" t="n">
        <v>45997</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42496-2025</t>
        </is>
      </c>
      <c r="B1523" s="1" t="n">
        <v>45905.50864583333</v>
      </c>
      <c r="C1523" s="1" t="n">
        <v>45997</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42529-2025</t>
        </is>
      </c>
      <c r="B1524" s="1" t="n">
        <v>45905.55716435185</v>
      </c>
      <c r="C1524" s="1" t="n">
        <v>45997</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42563-2025</t>
        </is>
      </c>
      <c r="B1525" s="1" t="n">
        <v>45905.60097222222</v>
      </c>
      <c r="C1525" s="1" t="n">
        <v>45997</v>
      </c>
      <c r="D1525" t="inlineStr">
        <is>
          <t>VÄRMLANDS LÄN</t>
        </is>
      </c>
      <c r="E1525" t="inlineStr">
        <is>
          <t>TORSBY</t>
        </is>
      </c>
      <c r="F1525" t="inlineStr">
        <is>
          <t>Bergvik skog väst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42705-2025</t>
        </is>
      </c>
      <c r="B1526" s="1" t="n">
        <v>45908.37063657407</v>
      </c>
      <c r="C1526" s="1" t="n">
        <v>45997</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43128-2021</t>
        </is>
      </c>
      <c r="B1527" s="1" t="n">
        <v>44431.65930555556</v>
      </c>
      <c r="C1527" s="1" t="n">
        <v>45997</v>
      </c>
      <c r="D1527" t="inlineStr">
        <is>
          <t>VÄRMLANDS LÄN</t>
        </is>
      </c>
      <c r="E1527" t="inlineStr">
        <is>
          <t>TORSBY</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23287-2025</t>
        </is>
      </c>
      <c r="B1528" s="1" t="n">
        <v>45791.5816087963</v>
      </c>
      <c r="C1528" s="1" t="n">
        <v>45997</v>
      </c>
      <c r="D1528" t="inlineStr">
        <is>
          <t>VÄRMLANDS LÄN</t>
        </is>
      </c>
      <c r="E1528" t="inlineStr">
        <is>
          <t>TORSBY</t>
        </is>
      </c>
      <c r="F1528" t="inlineStr">
        <is>
          <t>Bergvik skog väst AB</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42742-2025</t>
        </is>
      </c>
      <c r="B1529" s="1" t="n">
        <v>45908</v>
      </c>
      <c r="C1529" s="1" t="n">
        <v>45997</v>
      </c>
      <c r="D1529" t="inlineStr">
        <is>
          <t>VÄRMLANDS LÄN</t>
        </is>
      </c>
      <c r="E1529" t="inlineStr">
        <is>
          <t>TORSBY</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4078-2024</t>
        </is>
      </c>
      <c r="B1530" s="1" t="n">
        <v>45323</v>
      </c>
      <c r="C1530" s="1" t="n">
        <v>45997</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42656-2023</t>
        </is>
      </c>
      <c r="B1531" s="1" t="n">
        <v>45181.53928240741</v>
      </c>
      <c r="C1531" s="1" t="n">
        <v>45997</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18855-2024</t>
        </is>
      </c>
      <c r="B1532" s="1" t="n">
        <v>45426.73634259259</v>
      </c>
      <c r="C1532" s="1" t="n">
        <v>45997</v>
      </c>
      <c r="D1532" t="inlineStr">
        <is>
          <t>VÄRMLANDS LÄN</t>
        </is>
      </c>
      <c r="E1532" t="inlineStr">
        <is>
          <t>TORSBY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24069-2025</t>
        </is>
      </c>
      <c r="B1533" s="1" t="n">
        <v>45796.53997685185</v>
      </c>
      <c r="C1533" s="1" t="n">
        <v>45997</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24112-2025</t>
        </is>
      </c>
      <c r="B1534" s="1" t="n">
        <v>45796</v>
      </c>
      <c r="C1534" s="1" t="n">
        <v>45997</v>
      </c>
      <c r="D1534" t="inlineStr">
        <is>
          <t>VÄRMLANDS LÄN</t>
        </is>
      </c>
      <c r="E1534" t="inlineStr">
        <is>
          <t>TORSBY</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33146-2025</t>
        </is>
      </c>
      <c r="B1535" s="1" t="n">
        <v>45840.53549768519</v>
      </c>
      <c r="C1535" s="1" t="n">
        <v>45997</v>
      </c>
      <c r="D1535" t="inlineStr">
        <is>
          <t>VÄRMLANDS LÄN</t>
        </is>
      </c>
      <c r="E1535" t="inlineStr">
        <is>
          <t>TORSBY</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43304-2025</t>
        </is>
      </c>
      <c r="B1536" s="1" t="n">
        <v>45910.63630787037</v>
      </c>
      <c r="C1536" s="1" t="n">
        <v>45997</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17039-2025</t>
        </is>
      </c>
      <c r="B1537" s="1" t="n">
        <v>45754</v>
      </c>
      <c r="C1537" s="1" t="n">
        <v>45997</v>
      </c>
      <c r="D1537" t="inlineStr">
        <is>
          <t>VÄRMLANDS LÄN</t>
        </is>
      </c>
      <c r="E1537" t="inlineStr">
        <is>
          <t>TORSBY</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53945-2023</t>
        </is>
      </c>
      <c r="B1538" s="1" t="n">
        <v>45231.6009837963</v>
      </c>
      <c r="C1538" s="1" t="n">
        <v>45997</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43313-2025</t>
        </is>
      </c>
      <c r="B1539" s="1" t="n">
        <v>45910</v>
      </c>
      <c r="C1539" s="1" t="n">
        <v>45997</v>
      </c>
      <c r="D1539" t="inlineStr">
        <is>
          <t>VÄRMLANDS LÄN</t>
        </is>
      </c>
      <c r="E1539" t="inlineStr">
        <is>
          <t>TORSBY</t>
        </is>
      </c>
      <c r="F1539" t="inlineStr">
        <is>
          <t>Övriga Aktiebolag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58945-2024</t>
        </is>
      </c>
      <c r="B1540" s="1" t="n">
        <v>45636</v>
      </c>
      <c r="C1540" s="1" t="n">
        <v>45997</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37985-2022</t>
        </is>
      </c>
      <c r="B1541" s="1" t="n">
        <v>44811</v>
      </c>
      <c r="C1541" s="1" t="n">
        <v>45997</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11427-2025</t>
        </is>
      </c>
      <c r="B1542" s="1" t="n">
        <v>45726</v>
      </c>
      <c r="C1542" s="1" t="n">
        <v>45997</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56575-2025</t>
        </is>
      </c>
      <c r="B1543" s="1" t="n">
        <v>45975</v>
      </c>
      <c r="C1543" s="1" t="n">
        <v>45997</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42966-2025</t>
        </is>
      </c>
      <c r="B1544" s="1" t="n">
        <v>45909.38825231481</v>
      </c>
      <c r="C1544" s="1" t="n">
        <v>45997</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42932-2025</t>
        </is>
      </c>
      <c r="B1545" s="1" t="n">
        <v>45909</v>
      </c>
      <c r="C1545" s="1" t="n">
        <v>45997</v>
      </c>
      <c r="D1545" t="inlineStr">
        <is>
          <t>VÄRMLANDS LÄN</t>
        </is>
      </c>
      <c r="E1545" t="inlineStr">
        <is>
          <t>TORSBY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42931-2025</t>
        </is>
      </c>
      <c r="B1546" s="1" t="n">
        <v>45909</v>
      </c>
      <c r="C1546" s="1" t="n">
        <v>45997</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14624-2023</t>
        </is>
      </c>
      <c r="B1547" s="1" t="n">
        <v>45013</v>
      </c>
      <c r="C1547" s="1" t="n">
        <v>45997</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42961-2025</t>
        </is>
      </c>
      <c r="B1548" s="1" t="n">
        <v>45909.36737268518</v>
      </c>
      <c r="C1548" s="1" t="n">
        <v>45997</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43055-2025</t>
        </is>
      </c>
      <c r="B1549" s="1" t="n">
        <v>45909</v>
      </c>
      <c r="C1549" s="1" t="n">
        <v>45997</v>
      </c>
      <c r="D1549" t="inlineStr">
        <is>
          <t>VÄRMLANDS LÄN</t>
        </is>
      </c>
      <c r="E1549" t="inlineStr">
        <is>
          <t>TORSBY</t>
        </is>
      </c>
      <c r="F1549" t="inlineStr">
        <is>
          <t>Bergvik skog väst AB</t>
        </is>
      </c>
      <c r="G1549" t="n">
        <v>20.1</v>
      </c>
      <c r="H1549" t="n">
        <v>0</v>
      </c>
      <c r="I1549" t="n">
        <v>0</v>
      </c>
      <c r="J1549" t="n">
        <v>0</v>
      </c>
      <c r="K1549" t="n">
        <v>0</v>
      </c>
      <c r="L1549" t="n">
        <v>0</v>
      </c>
      <c r="M1549" t="n">
        <v>0</v>
      </c>
      <c r="N1549" t="n">
        <v>0</v>
      </c>
      <c r="O1549" t="n">
        <v>0</v>
      </c>
      <c r="P1549" t="n">
        <v>0</v>
      </c>
      <c r="Q1549" t="n">
        <v>0</v>
      </c>
      <c r="R1549" s="2" t="inlineStr"/>
    </row>
    <row r="1550" ht="15" customHeight="1">
      <c r="A1550" t="inlineStr">
        <is>
          <t>A 11868-2025</t>
        </is>
      </c>
      <c r="B1550" s="1" t="n">
        <v>45728.4225</v>
      </c>
      <c r="C1550" s="1" t="n">
        <v>45997</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23741-2025</t>
        </is>
      </c>
      <c r="B1551" s="1" t="n">
        <v>45793</v>
      </c>
      <c r="C1551" s="1" t="n">
        <v>45997</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24026-2025</t>
        </is>
      </c>
      <c r="B1552" s="1" t="n">
        <v>45796.46841435185</v>
      </c>
      <c r="C1552" s="1" t="n">
        <v>45997</v>
      </c>
      <c r="D1552" t="inlineStr">
        <is>
          <t>VÄRMLANDS LÄN</t>
        </is>
      </c>
      <c r="E1552" t="inlineStr">
        <is>
          <t>TORSBY</t>
        </is>
      </c>
      <c r="G1552" t="n">
        <v>11.9</v>
      </c>
      <c r="H1552" t="n">
        <v>0</v>
      </c>
      <c r="I1552" t="n">
        <v>0</v>
      </c>
      <c r="J1552" t="n">
        <v>0</v>
      </c>
      <c r="K1552" t="n">
        <v>0</v>
      </c>
      <c r="L1552" t="n">
        <v>0</v>
      </c>
      <c r="M1552" t="n">
        <v>0</v>
      </c>
      <c r="N1552" t="n">
        <v>0</v>
      </c>
      <c r="O1552" t="n">
        <v>0</v>
      </c>
      <c r="P1552" t="n">
        <v>0</v>
      </c>
      <c r="Q1552" t="n">
        <v>0</v>
      </c>
      <c r="R1552" s="2" t="inlineStr"/>
    </row>
    <row r="1553" ht="15" customHeight="1">
      <c r="A1553" t="inlineStr">
        <is>
          <t>A 33069-2022</t>
        </is>
      </c>
      <c r="B1553" s="1" t="n">
        <v>44785</v>
      </c>
      <c r="C1553" s="1" t="n">
        <v>45997</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51644-2025</t>
        </is>
      </c>
      <c r="B1554" s="1" t="n">
        <v>45951.44677083333</v>
      </c>
      <c r="C1554" s="1" t="n">
        <v>45997</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42965-2025</t>
        </is>
      </c>
      <c r="B1555" s="1" t="n">
        <v>45909.37575231482</v>
      </c>
      <c r="C1555" s="1" t="n">
        <v>45997</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23677-2025</t>
        </is>
      </c>
      <c r="B1556" s="1" t="n">
        <v>45793.31969907408</v>
      </c>
      <c r="C1556" s="1" t="n">
        <v>45997</v>
      </c>
      <c r="D1556" t="inlineStr">
        <is>
          <t>VÄRMLANDS LÄN</t>
        </is>
      </c>
      <c r="E1556" t="inlineStr">
        <is>
          <t>TORSBY</t>
        </is>
      </c>
      <c r="F1556" t="inlineStr">
        <is>
          <t>Kyrkan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52587-2025</t>
        </is>
      </c>
      <c r="B1557" s="1" t="n">
        <v>45954.63325231482</v>
      </c>
      <c r="C1557" s="1" t="n">
        <v>45997</v>
      </c>
      <c r="D1557" t="inlineStr">
        <is>
          <t>VÄRMLANDS LÄN</t>
        </is>
      </c>
      <c r="E1557" t="inlineStr">
        <is>
          <t>TORSBY</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24607-2025</t>
        </is>
      </c>
      <c r="B1558" s="1" t="n">
        <v>45798.57608796296</v>
      </c>
      <c r="C1558" s="1" t="n">
        <v>45997</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24425-2025</t>
        </is>
      </c>
      <c r="B1559" s="1" t="n">
        <v>45797</v>
      </c>
      <c r="C1559" s="1" t="n">
        <v>45997</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43669-2025</t>
        </is>
      </c>
      <c r="B1560" s="1" t="n">
        <v>45912.36299768519</v>
      </c>
      <c r="C1560" s="1" t="n">
        <v>45997</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56129-2025</t>
        </is>
      </c>
      <c r="B1561" s="1" t="n">
        <v>45973</v>
      </c>
      <c r="C1561" s="1" t="n">
        <v>45997</v>
      </c>
      <c r="D1561" t="inlineStr">
        <is>
          <t>VÄRMLANDS LÄN</t>
        </is>
      </c>
      <c r="E1561" t="inlineStr">
        <is>
          <t>TORSBY</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43614-2025</t>
        </is>
      </c>
      <c r="B1562" s="1" t="n">
        <v>45911.67766203704</v>
      </c>
      <c r="C1562" s="1" t="n">
        <v>45997</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43787-2025</t>
        </is>
      </c>
      <c r="B1563" s="1" t="n">
        <v>45912</v>
      </c>
      <c r="C1563" s="1" t="n">
        <v>45997</v>
      </c>
      <c r="D1563" t="inlineStr">
        <is>
          <t>VÄRMLANDS LÄN</t>
        </is>
      </c>
      <c r="E1563" t="inlineStr">
        <is>
          <t>TORSBY</t>
        </is>
      </c>
      <c r="G1563" t="n">
        <v>13.1</v>
      </c>
      <c r="H1563" t="n">
        <v>0</v>
      </c>
      <c r="I1563" t="n">
        <v>0</v>
      </c>
      <c r="J1563" t="n">
        <v>0</v>
      </c>
      <c r="K1563" t="n">
        <v>0</v>
      </c>
      <c r="L1563" t="n">
        <v>0</v>
      </c>
      <c r="M1563" t="n">
        <v>0</v>
      </c>
      <c r="N1563" t="n">
        <v>0</v>
      </c>
      <c r="O1563" t="n">
        <v>0</v>
      </c>
      <c r="P1563" t="n">
        <v>0</v>
      </c>
      <c r="Q1563" t="n">
        <v>0</v>
      </c>
      <c r="R1563" s="2" t="inlineStr"/>
    </row>
    <row r="1564" ht="15" customHeight="1">
      <c r="A1564" t="inlineStr">
        <is>
          <t>A 56784-2025</t>
        </is>
      </c>
      <c r="B1564" s="1" t="n">
        <v>45978.41734953703</v>
      </c>
      <c r="C1564" s="1" t="n">
        <v>45997</v>
      </c>
      <c r="D1564" t="inlineStr">
        <is>
          <t>VÄRMLANDS LÄN</t>
        </is>
      </c>
      <c r="E1564" t="inlineStr">
        <is>
          <t>TORSBY</t>
        </is>
      </c>
      <c r="F1564" t="inlineStr">
        <is>
          <t>Bergvik skog väst AB</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42473-2023</t>
        </is>
      </c>
      <c r="B1565" s="1" t="n">
        <v>45180</v>
      </c>
      <c r="C1565" s="1" t="n">
        <v>45997</v>
      </c>
      <c r="D1565" t="inlineStr">
        <is>
          <t>VÄRMLANDS LÄN</t>
        </is>
      </c>
      <c r="E1565" t="inlineStr">
        <is>
          <t>TORSBY</t>
        </is>
      </c>
      <c r="F1565" t="inlineStr">
        <is>
          <t>Bergvik skog väst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43608-2025</t>
        </is>
      </c>
      <c r="B1566" s="1" t="n">
        <v>45911.67491898148</v>
      </c>
      <c r="C1566" s="1" t="n">
        <v>45997</v>
      </c>
      <c r="D1566" t="inlineStr">
        <is>
          <t>VÄRMLANDS LÄN</t>
        </is>
      </c>
      <c r="E1566" t="inlineStr">
        <is>
          <t>TORSBY</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49159-2025</t>
        </is>
      </c>
      <c r="B1567" s="1" t="n">
        <v>45938.35060185185</v>
      </c>
      <c r="C1567" s="1" t="n">
        <v>45997</v>
      </c>
      <c r="D1567" t="inlineStr">
        <is>
          <t>VÄRMLANDS LÄN</t>
        </is>
      </c>
      <c r="E1567" t="inlineStr">
        <is>
          <t>TORSBY</t>
        </is>
      </c>
      <c r="F1567" t="inlineStr">
        <is>
          <t>Bergvik skog väst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24411-2025</t>
        </is>
      </c>
      <c r="B1568" s="1" t="n">
        <v>45797</v>
      </c>
      <c r="C1568" s="1" t="n">
        <v>45997</v>
      </c>
      <c r="D1568" t="inlineStr">
        <is>
          <t>VÄRMLANDS LÄN</t>
        </is>
      </c>
      <c r="E1568" t="inlineStr">
        <is>
          <t>TORSBY</t>
        </is>
      </c>
      <c r="F1568" t="inlineStr">
        <is>
          <t>Övriga statliga verk och myndigheter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24528-2025</t>
        </is>
      </c>
      <c r="B1569" s="1" t="n">
        <v>45798.42680555556</v>
      </c>
      <c r="C1569" s="1" t="n">
        <v>45997</v>
      </c>
      <c r="D1569" t="inlineStr">
        <is>
          <t>VÄRMLANDS LÄN</t>
        </is>
      </c>
      <c r="E1569" t="inlineStr">
        <is>
          <t>TORSBY</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43831-2025</t>
        </is>
      </c>
      <c r="B1570" s="1" t="n">
        <v>45912.62987268518</v>
      </c>
      <c r="C1570" s="1" t="n">
        <v>45997</v>
      </c>
      <c r="D1570" t="inlineStr">
        <is>
          <t>VÄRMLANDS LÄN</t>
        </is>
      </c>
      <c r="E1570" t="inlineStr">
        <is>
          <t>TORSBY</t>
        </is>
      </c>
      <c r="F1570" t="inlineStr">
        <is>
          <t>Bergvik skog väst AB</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24318-2025</t>
        </is>
      </c>
      <c r="B1571" s="1" t="n">
        <v>45797.54879629629</v>
      </c>
      <c r="C1571" s="1" t="n">
        <v>45997</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48991-2025</t>
        </is>
      </c>
      <c r="B1572" s="1" t="n">
        <v>45937.58141203703</v>
      </c>
      <c r="C1572" s="1" t="n">
        <v>45997</v>
      </c>
      <c r="D1572" t="inlineStr">
        <is>
          <t>VÄRMLANDS LÄN</t>
        </is>
      </c>
      <c r="E1572" t="inlineStr">
        <is>
          <t>TORSBY</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24251-2025</t>
        </is>
      </c>
      <c r="B1573" s="1" t="n">
        <v>45797</v>
      </c>
      <c r="C1573" s="1" t="n">
        <v>45997</v>
      </c>
      <c r="D1573" t="inlineStr">
        <is>
          <t>VÄRMLANDS LÄN</t>
        </is>
      </c>
      <c r="E1573" t="inlineStr">
        <is>
          <t>TORSBY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24597-2025</t>
        </is>
      </c>
      <c r="B1574" s="1" t="n">
        <v>45798</v>
      </c>
      <c r="C1574" s="1" t="n">
        <v>45997</v>
      </c>
      <c r="D1574" t="inlineStr">
        <is>
          <t>VÄRMLANDS LÄN</t>
        </is>
      </c>
      <c r="E1574" t="inlineStr">
        <is>
          <t>TORSBY</t>
        </is>
      </c>
      <c r="F1574" t="inlineStr">
        <is>
          <t>Övriga statliga verk och myndigheter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24599-2025</t>
        </is>
      </c>
      <c r="B1575" s="1" t="n">
        <v>45798.56230324074</v>
      </c>
      <c r="C1575" s="1" t="n">
        <v>45997</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24204-2025</t>
        </is>
      </c>
      <c r="B1576" s="1" t="n">
        <v>45797.31824074074</v>
      </c>
      <c r="C1576" s="1" t="n">
        <v>45997</v>
      </c>
      <c r="D1576" t="inlineStr">
        <is>
          <t>VÄRMLANDS LÄN</t>
        </is>
      </c>
      <c r="E1576" t="inlineStr">
        <is>
          <t>TORSBY</t>
        </is>
      </c>
      <c r="F1576" t="inlineStr">
        <is>
          <t>Bergvik skog väst AB</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24260-2025</t>
        </is>
      </c>
      <c r="B1577" s="1" t="n">
        <v>45797</v>
      </c>
      <c r="C1577" s="1" t="n">
        <v>45997</v>
      </c>
      <c r="D1577" t="inlineStr">
        <is>
          <t>VÄRMLANDS LÄN</t>
        </is>
      </c>
      <c r="E1577" t="inlineStr">
        <is>
          <t>TORSBY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52931-2025</t>
        </is>
      </c>
      <c r="B1578" s="1" t="n">
        <v>45957.62225694444</v>
      </c>
      <c r="C1578" s="1" t="n">
        <v>45997</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49203-2025</t>
        </is>
      </c>
      <c r="B1579" s="1" t="n">
        <v>45938</v>
      </c>
      <c r="C1579" s="1" t="n">
        <v>45997</v>
      </c>
      <c r="D1579" t="inlineStr">
        <is>
          <t>VÄRMLANDS LÄN</t>
        </is>
      </c>
      <c r="E1579" t="inlineStr">
        <is>
          <t>TORSBY</t>
        </is>
      </c>
      <c r="F1579" t="inlineStr">
        <is>
          <t>Bergvik skog väst AB</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52891-2025</t>
        </is>
      </c>
      <c r="B1580" s="1" t="n">
        <v>45957.57776620371</v>
      </c>
      <c r="C1580" s="1" t="n">
        <v>45997</v>
      </c>
      <c r="D1580" t="inlineStr">
        <is>
          <t>VÄRMLANDS LÄN</t>
        </is>
      </c>
      <c r="E1580" t="inlineStr">
        <is>
          <t>TORSBY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49344-2025</t>
        </is>
      </c>
      <c r="B1581" s="1" t="n">
        <v>45938.60028935185</v>
      </c>
      <c r="C1581" s="1" t="n">
        <v>45997</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44233-2025</t>
        </is>
      </c>
      <c r="B1582" s="1" t="n">
        <v>45915.65515046296</v>
      </c>
      <c r="C1582" s="1" t="n">
        <v>45997</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53014-2025</t>
        </is>
      </c>
      <c r="B1583" s="1" t="n">
        <v>45957.81865740741</v>
      </c>
      <c r="C1583" s="1" t="n">
        <v>45997</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52772-2025</t>
        </is>
      </c>
      <c r="B1584" s="1" t="n">
        <v>45957.41255787037</v>
      </c>
      <c r="C1584" s="1" t="n">
        <v>45997</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52774-2025</t>
        </is>
      </c>
      <c r="B1585" s="1" t="n">
        <v>45957.41480324074</v>
      </c>
      <c r="C1585" s="1" t="n">
        <v>45997</v>
      </c>
      <c r="D1585" t="inlineStr">
        <is>
          <t>VÄRMLANDS LÄN</t>
        </is>
      </c>
      <c r="E1585" t="inlineStr">
        <is>
          <t>TORSBY</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52847-2025</t>
        </is>
      </c>
      <c r="B1586" s="1" t="n">
        <v>45957.48972222222</v>
      </c>
      <c r="C1586" s="1" t="n">
        <v>45997</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52852-2025</t>
        </is>
      </c>
      <c r="B1587" s="1" t="n">
        <v>45957.49319444445</v>
      </c>
      <c r="C1587" s="1" t="n">
        <v>45997</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44141-2025</t>
        </is>
      </c>
      <c r="B1588" s="1" t="n">
        <v>45915</v>
      </c>
      <c r="C1588" s="1" t="n">
        <v>45997</v>
      </c>
      <c r="D1588" t="inlineStr">
        <is>
          <t>VÄRMLANDS LÄN</t>
        </is>
      </c>
      <c r="E1588" t="inlineStr">
        <is>
          <t>TORSBY</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53266-2025</t>
        </is>
      </c>
      <c r="B1589" s="1" t="n">
        <v>45958.6834837963</v>
      </c>
      <c r="C1589" s="1" t="n">
        <v>45997</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44507-2025</t>
        </is>
      </c>
      <c r="B1590" s="1" t="n">
        <v>45916</v>
      </c>
      <c r="C1590" s="1" t="n">
        <v>45997</v>
      </c>
      <c r="D1590" t="inlineStr">
        <is>
          <t>VÄRMLANDS LÄN</t>
        </is>
      </c>
      <c r="E1590" t="inlineStr">
        <is>
          <t>TORSBY</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25428-2025</t>
        </is>
      </c>
      <c r="B1591" s="1" t="n">
        <v>45800.71540509259</v>
      </c>
      <c r="C1591" s="1" t="n">
        <v>45997</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52747-2025</t>
        </is>
      </c>
      <c r="B1592" s="1" t="n">
        <v>45957.38515046296</v>
      </c>
      <c r="C1592" s="1" t="n">
        <v>45997</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25353-2025</t>
        </is>
      </c>
      <c r="B1593" s="1" t="n">
        <v>45800.61553240741</v>
      </c>
      <c r="C1593" s="1" t="n">
        <v>45997</v>
      </c>
      <c r="D1593" t="inlineStr">
        <is>
          <t>VÄRMLANDS LÄN</t>
        </is>
      </c>
      <c r="E1593" t="inlineStr">
        <is>
          <t>TORSBY</t>
        </is>
      </c>
      <c r="F1593" t="inlineStr">
        <is>
          <t>Bergvik skog väst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25186-2025</t>
        </is>
      </c>
      <c r="B1594" s="1" t="n">
        <v>45800.45247685185</v>
      </c>
      <c r="C1594" s="1" t="n">
        <v>45997</v>
      </c>
      <c r="D1594" t="inlineStr">
        <is>
          <t>VÄRMLANDS LÄN</t>
        </is>
      </c>
      <c r="E1594" t="inlineStr">
        <is>
          <t>TORSBY</t>
        </is>
      </c>
      <c r="F1594" t="inlineStr">
        <is>
          <t>Kyrkan</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24726-2025</t>
        </is>
      </c>
      <c r="B1595" s="1" t="n">
        <v>45799.32805555555</v>
      </c>
      <c r="C1595" s="1" t="n">
        <v>45997</v>
      </c>
      <c r="D1595" t="inlineStr">
        <is>
          <t>VÄRMLANDS LÄN</t>
        </is>
      </c>
      <c r="E1595" t="inlineStr">
        <is>
          <t>TORSBY</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25218-2025</t>
        </is>
      </c>
      <c r="B1596" s="1" t="n">
        <v>45800.4766087963</v>
      </c>
      <c r="C1596" s="1" t="n">
        <v>45997</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52918-2025</t>
        </is>
      </c>
      <c r="B1597" s="1" t="n">
        <v>45957.6122337963</v>
      </c>
      <c r="C1597" s="1" t="n">
        <v>45997</v>
      </c>
      <c r="D1597" t="inlineStr">
        <is>
          <t>VÄRMLANDS LÄN</t>
        </is>
      </c>
      <c r="E1597" t="inlineStr">
        <is>
          <t>TORSBY</t>
        </is>
      </c>
      <c r="F1597" t="inlineStr">
        <is>
          <t>Bergvik skog väst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24967-2025</t>
        </is>
      </c>
      <c r="B1598" s="1" t="n">
        <v>45799.58332175926</v>
      </c>
      <c r="C1598" s="1" t="n">
        <v>45997</v>
      </c>
      <c r="D1598" t="inlineStr">
        <is>
          <t>VÄRMLANDS LÄN</t>
        </is>
      </c>
      <c r="E1598" t="inlineStr">
        <is>
          <t>TORSBY</t>
        </is>
      </c>
      <c r="F1598" t="inlineStr">
        <is>
          <t>Bergvik skog väst AB</t>
        </is>
      </c>
      <c r="G1598" t="n">
        <v>17.6</v>
      </c>
      <c r="H1598" t="n">
        <v>0</v>
      </c>
      <c r="I1598" t="n">
        <v>0</v>
      </c>
      <c r="J1598" t="n">
        <v>0</v>
      </c>
      <c r="K1598" t="n">
        <v>0</v>
      </c>
      <c r="L1598" t="n">
        <v>0</v>
      </c>
      <c r="M1598" t="n">
        <v>0</v>
      </c>
      <c r="N1598" t="n">
        <v>0</v>
      </c>
      <c r="O1598" t="n">
        <v>0</v>
      </c>
      <c r="P1598" t="n">
        <v>0</v>
      </c>
      <c r="Q1598" t="n">
        <v>0</v>
      </c>
      <c r="R1598" s="2" t="inlineStr"/>
    </row>
    <row r="1599" ht="15" customHeight="1">
      <c r="A1599" t="inlineStr">
        <is>
          <t>A 53272-2025</t>
        </is>
      </c>
      <c r="B1599" s="1" t="n">
        <v>45958.71019675926</v>
      </c>
      <c r="C1599" s="1" t="n">
        <v>45997</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49107-2025</t>
        </is>
      </c>
      <c r="B1600" s="1" t="n">
        <v>45937.74091435185</v>
      </c>
      <c r="C1600" s="1" t="n">
        <v>45997</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49311-2025</t>
        </is>
      </c>
      <c r="B1601" s="1" t="n">
        <v>45938.56336805555</v>
      </c>
      <c r="C1601" s="1" t="n">
        <v>45997</v>
      </c>
      <c r="D1601" t="inlineStr">
        <is>
          <t>VÄRMLANDS LÄN</t>
        </is>
      </c>
      <c r="E1601" t="inlineStr">
        <is>
          <t>TORSBY</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52796-2025</t>
        </is>
      </c>
      <c r="B1602" s="1" t="n">
        <v>45957.43682870371</v>
      </c>
      <c r="C1602" s="1" t="n">
        <v>45997</v>
      </c>
      <c r="D1602" t="inlineStr">
        <is>
          <t>VÄRMLANDS LÄN</t>
        </is>
      </c>
      <c r="E1602" t="inlineStr">
        <is>
          <t>TORSBY</t>
        </is>
      </c>
      <c r="G1602" t="n">
        <v>17.7</v>
      </c>
      <c r="H1602" t="n">
        <v>0</v>
      </c>
      <c r="I1602" t="n">
        <v>0</v>
      </c>
      <c r="J1602" t="n">
        <v>0</v>
      </c>
      <c r="K1602" t="n">
        <v>0</v>
      </c>
      <c r="L1602" t="n">
        <v>0</v>
      </c>
      <c r="M1602" t="n">
        <v>0</v>
      </c>
      <c r="N1602" t="n">
        <v>0</v>
      </c>
      <c r="O1602" t="n">
        <v>0</v>
      </c>
      <c r="P1602" t="n">
        <v>0</v>
      </c>
      <c r="Q1602" t="n">
        <v>0</v>
      </c>
      <c r="R1602" s="2" t="inlineStr"/>
    </row>
    <row r="1603" ht="15" customHeight="1">
      <c r="A1603" t="inlineStr">
        <is>
          <t>A 52822-2025</t>
        </is>
      </c>
      <c r="B1603" s="1" t="n">
        <v>45957.45693287037</v>
      </c>
      <c r="C1603" s="1" t="n">
        <v>45997</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49313-2025</t>
        </is>
      </c>
      <c r="B1604" s="1" t="n">
        <v>45938.56460648148</v>
      </c>
      <c r="C1604" s="1" t="n">
        <v>45997</v>
      </c>
      <c r="D1604" t="inlineStr">
        <is>
          <t>VÄRMLANDS LÄN</t>
        </is>
      </c>
      <c r="E1604" t="inlineStr">
        <is>
          <t>TORSBY</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49167-2025</t>
        </is>
      </c>
      <c r="B1605" s="1" t="n">
        <v>45938</v>
      </c>
      <c r="C1605" s="1" t="n">
        <v>45997</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24757-2025</t>
        </is>
      </c>
      <c r="B1606" s="1" t="n">
        <v>45799</v>
      </c>
      <c r="C1606" s="1" t="n">
        <v>45997</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25369-2025</t>
        </is>
      </c>
      <c r="B1607" s="1" t="n">
        <v>45800.63046296296</v>
      </c>
      <c r="C1607" s="1" t="n">
        <v>45997</v>
      </c>
      <c r="D1607" t="inlineStr">
        <is>
          <t>VÄRMLANDS LÄN</t>
        </is>
      </c>
      <c r="E1607" t="inlineStr">
        <is>
          <t>TORSBY</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48947-2025</t>
        </is>
      </c>
      <c r="B1608" s="1" t="n">
        <v>45937.54157407407</v>
      </c>
      <c r="C1608" s="1" t="n">
        <v>45997</v>
      </c>
      <c r="D1608" t="inlineStr">
        <is>
          <t>VÄRMLANDS LÄN</t>
        </is>
      </c>
      <c r="E1608" t="inlineStr">
        <is>
          <t>TORSBY</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52762-2025</t>
        </is>
      </c>
      <c r="B1609" s="1" t="n">
        <v>45957.39813657408</v>
      </c>
      <c r="C1609" s="1" t="n">
        <v>45997</v>
      </c>
      <c r="D1609" t="inlineStr">
        <is>
          <t>VÄRMLANDS LÄN</t>
        </is>
      </c>
      <c r="E1609" t="inlineStr">
        <is>
          <t>TORSBY</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25328-2025</t>
        </is>
      </c>
      <c r="B1610" s="1" t="n">
        <v>45800</v>
      </c>
      <c r="C1610" s="1" t="n">
        <v>45997</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42457-2024</t>
        </is>
      </c>
      <c r="B1611" s="1" t="n">
        <v>45565.46346064815</v>
      </c>
      <c r="C1611" s="1" t="n">
        <v>45997</v>
      </c>
      <c r="D1611" t="inlineStr">
        <is>
          <t>VÄRMLANDS LÄN</t>
        </is>
      </c>
      <c r="E1611" t="inlineStr">
        <is>
          <t>TORSBY</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57370-2025</t>
        </is>
      </c>
      <c r="B1612" s="1" t="n">
        <v>45979</v>
      </c>
      <c r="C1612" s="1" t="n">
        <v>45997</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56130-2025</t>
        </is>
      </c>
      <c r="B1613" s="1" t="n">
        <v>45973</v>
      </c>
      <c r="C1613" s="1" t="n">
        <v>45997</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25050-2025</t>
        </is>
      </c>
      <c r="B1614" s="1" t="n">
        <v>45799</v>
      </c>
      <c r="C1614" s="1" t="n">
        <v>45997</v>
      </c>
      <c r="D1614" t="inlineStr">
        <is>
          <t>VÄRMLANDS LÄN</t>
        </is>
      </c>
      <c r="E1614" t="inlineStr">
        <is>
          <t>TORSBY</t>
        </is>
      </c>
      <c r="F1614" t="inlineStr">
        <is>
          <t>Bergvik skog väst AB</t>
        </is>
      </c>
      <c r="G1614" t="n">
        <v>39.7</v>
      </c>
      <c r="H1614" t="n">
        <v>0</v>
      </c>
      <c r="I1614" t="n">
        <v>0</v>
      </c>
      <c r="J1614" t="n">
        <v>0</v>
      </c>
      <c r="K1614" t="n">
        <v>0</v>
      </c>
      <c r="L1614" t="n">
        <v>0</v>
      </c>
      <c r="M1614" t="n">
        <v>0</v>
      </c>
      <c r="N1614" t="n">
        <v>0</v>
      </c>
      <c r="O1614" t="n">
        <v>0</v>
      </c>
      <c r="P1614" t="n">
        <v>0</v>
      </c>
      <c r="Q1614" t="n">
        <v>0</v>
      </c>
      <c r="R1614" s="2" t="inlineStr"/>
    </row>
    <row r="1615" ht="15" customHeight="1">
      <c r="A1615" t="inlineStr">
        <is>
          <t>A 52994-2025</t>
        </is>
      </c>
      <c r="B1615" s="1" t="n">
        <v>45957.72753472222</v>
      </c>
      <c r="C1615" s="1" t="n">
        <v>45997</v>
      </c>
      <c r="D1615" t="inlineStr">
        <is>
          <t>VÄRMLANDS LÄN</t>
        </is>
      </c>
      <c r="E1615" t="inlineStr">
        <is>
          <t>TORSBY</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49237-2025</t>
        </is>
      </c>
      <c r="B1616" s="1" t="n">
        <v>45938</v>
      </c>
      <c r="C1616" s="1" t="n">
        <v>45997</v>
      </c>
      <c r="D1616" t="inlineStr">
        <is>
          <t>VÄRMLANDS LÄN</t>
        </is>
      </c>
      <c r="E1616" t="inlineStr">
        <is>
          <t>TORSBY</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49250-2025</t>
        </is>
      </c>
      <c r="B1617" s="1" t="n">
        <v>45938</v>
      </c>
      <c r="C1617" s="1" t="n">
        <v>45997</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44273-2025</t>
        </is>
      </c>
      <c r="B1618" s="1" t="n">
        <v>45916</v>
      </c>
      <c r="C1618" s="1" t="n">
        <v>45997</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25959-2025</t>
        </is>
      </c>
      <c r="B1619" s="1" t="n">
        <v>45804.60914351852</v>
      </c>
      <c r="C1619" s="1" t="n">
        <v>45997</v>
      </c>
      <c r="D1619" t="inlineStr">
        <is>
          <t>VÄRMLANDS LÄN</t>
        </is>
      </c>
      <c r="E1619" t="inlineStr">
        <is>
          <t>TORSBY</t>
        </is>
      </c>
      <c r="F1619" t="inlineStr">
        <is>
          <t>Bergvik skog väst AB</t>
        </is>
      </c>
      <c r="G1619" t="n">
        <v>17.6</v>
      </c>
      <c r="H1619" t="n">
        <v>0</v>
      </c>
      <c r="I1619" t="n">
        <v>0</v>
      </c>
      <c r="J1619" t="n">
        <v>0</v>
      </c>
      <c r="K1619" t="n">
        <v>0</v>
      </c>
      <c r="L1619" t="n">
        <v>0</v>
      </c>
      <c r="M1619" t="n">
        <v>0</v>
      </c>
      <c r="N1619" t="n">
        <v>0</v>
      </c>
      <c r="O1619" t="n">
        <v>0</v>
      </c>
      <c r="P1619" t="n">
        <v>0</v>
      </c>
      <c r="Q1619" t="n">
        <v>0</v>
      </c>
      <c r="R1619" s="2" t="inlineStr"/>
    </row>
    <row r="1620" ht="15" customHeight="1">
      <c r="A1620" t="inlineStr">
        <is>
          <t>A 49108-2025</t>
        </is>
      </c>
      <c r="B1620" s="1" t="n">
        <v>45937.74528935185</v>
      </c>
      <c r="C1620" s="1" t="n">
        <v>45997</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49109-2025</t>
        </is>
      </c>
      <c r="B1621" s="1" t="n">
        <v>45937.74931712963</v>
      </c>
      <c r="C1621" s="1" t="n">
        <v>45997</v>
      </c>
      <c r="D1621" t="inlineStr">
        <is>
          <t>VÄRMLANDS LÄN</t>
        </is>
      </c>
      <c r="E1621" t="inlineStr">
        <is>
          <t>TORSBY</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49181-2025</t>
        </is>
      </c>
      <c r="B1622" s="1" t="n">
        <v>45938.38640046296</v>
      </c>
      <c r="C1622" s="1" t="n">
        <v>45997</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53107-2025</t>
        </is>
      </c>
      <c r="B1623" s="1" t="n">
        <v>45958.43576388889</v>
      </c>
      <c r="C1623" s="1" t="n">
        <v>45997</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44288-2025</t>
        </is>
      </c>
      <c r="B1624" s="1" t="n">
        <v>45916.3500462963</v>
      </c>
      <c r="C1624" s="1" t="n">
        <v>45997</v>
      </c>
      <c r="D1624" t="inlineStr">
        <is>
          <t>VÄRMLANDS LÄN</t>
        </is>
      </c>
      <c r="E1624" t="inlineStr">
        <is>
          <t>TORSBY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25807-2025</t>
        </is>
      </c>
      <c r="B1625" s="1" t="n">
        <v>45804.41055555556</v>
      </c>
      <c r="C1625" s="1" t="n">
        <v>45997</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53165-2025</t>
        </is>
      </c>
      <c r="B1626" s="1" t="n">
        <v>45958.50232638889</v>
      </c>
      <c r="C1626" s="1" t="n">
        <v>45997</v>
      </c>
      <c r="D1626" t="inlineStr">
        <is>
          <t>VÄRMLANDS LÄN</t>
        </is>
      </c>
      <c r="E1626" t="inlineStr">
        <is>
          <t>TORSBY</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49272-2025</t>
        </is>
      </c>
      <c r="B1627" s="1" t="n">
        <v>45938.50574074074</v>
      </c>
      <c r="C1627" s="1" t="n">
        <v>45997</v>
      </c>
      <c r="D1627" t="inlineStr">
        <is>
          <t>VÄRMLANDS LÄN</t>
        </is>
      </c>
      <c r="E1627" t="inlineStr">
        <is>
          <t>TORSBY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25653-2025</t>
        </is>
      </c>
      <c r="B1628" s="1" t="n">
        <v>45803.61072916666</v>
      </c>
      <c r="C1628" s="1" t="n">
        <v>45997</v>
      </c>
      <c r="D1628" t="inlineStr">
        <is>
          <t>VÄRMLANDS LÄN</t>
        </is>
      </c>
      <c r="E1628" t="inlineStr">
        <is>
          <t>TORSBY</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52787-2025</t>
        </is>
      </c>
      <c r="B1629" s="1" t="n">
        <v>45957.42736111111</v>
      </c>
      <c r="C1629" s="1" t="n">
        <v>45997</v>
      </c>
      <c r="D1629" t="inlineStr">
        <is>
          <t>VÄRMLANDS LÄN</t>
        </is>
      </c>
      <c r="E1629" t="inlineStr">
        <is>
          <t>TORSBY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57348-2025</t>
        </is>
      </c>
      <c r="B1630" s="1" t="n">
        <v>45980.35927083333</v>
      </c>
      <c r="C1630" s="1" t="n">
        <v>45997</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52754-2025</t>
        </is>
      </c>
      <c r="B1631" s="1" t="n">
        <v>45957.39010416667</v>
      </c>
      <c r="C1631" s="1" t="n">
        <v>45997</v>
      </c>
      <c r="D1631" t="inlineStr">
        <is>
          <t>VÄRMLANDS LÄN</t>
        </is>
      </c>
      <c r="E1631" t="inlineStr">
        <is>
          <t>TORSBY</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25881-2025</t>
        </is>
      </c>
      <c r="B1632" s="1" t="n">
        <v>45804.49729166667</v>
      </c>
      <c r="C1632" s="1" t="n">
        <v>45997</v>
      </c>
      <c r="D1632" t="inlineStr">
        <is>
          <t>VÄRMLANDS LÄN</t>
        </is>
      </c>
      <c r="E1632" t="inlineStr">
        <is>
          <t>TORSBY</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25917-2025</t>
        </is>
      </c>
      <c r="B1633" s="1" t="n">
        <v>45804.56704861111</v>
      </c>
      <c r="C1633" s="1" t="n">
        <v>45997</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44522-2025</t>
        </is>
      </c>
      <c r="B1634" s="1" t="n">
        <v>45916</v>
      </c>
      <c r="C1634" s="1" t="n">
        <v>45997</v>
      </c>
      <c r="D1634" t="inlineStr">
        <is>
          <t>VÄRMLANDS LÄN</t>
        </is>
      </c>
      <c r="E1634" t="inlineStr">
        <is>
          <t>TORSBY</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44055-2025</t>
        </is>
      </c>
      <c r="B1635" s="1" t="n">
        <v>45915.52358796296</v>
      </c>
      <c r="C1635" s="1" t="n">
        <v>45997</v>
      </c>
      <c r="D1635" t="inlineStr">
        <is>
          <t>VÄRMLANDS LÄN</t>
        </is>
      </c>
      <c r="E1635" t="inlineStr">
        <is>
          <t>TORSBY</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52737-2025</t>
        </is>
      </c>
      <c r="B1636" s="1" t="n">
        <v>45957.37336805555</v>
      </c>
      <c r="C1636" s="1" t="n">
        <v>45997</v>
      </c>
      <c r="D1636" t="inlineStr">
        <is>
          <t>VÄRMLANDS LÄN</t>
        </is>
      </c>
      <c r="E1636" t="inlineStr">
        <is>
          <t>TORSBY</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49681-2025</t>
        </is>
      </c>
      <c r="B1637" s="1" t="n">
        <v>45939</v>
      </c>
      <c r="C1637" s="1" t="n">
        <v>45997</v>
      </c>
      <c r="D1637" t="inlineStr">
        <is>
          <t>VÄRMLANDS LÄN</t>
        </is>
      </c>
      <c r="E1637" t="inlineStr">
        <is>
          <t>TORSBY</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25464-2025</t>
        </is>
      </c>
      <c r="B1638" s="1" t="n">
        <v>45802.46032407408</v>
      </c>
      <c r="C1638" s="1" t="n">
        <v>45997</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25465-2025</t>
        </is>
      </c>
      <c r="B1639" s="1" t="n">
        <v>45802.48196759259</v>
      </c>
      <c r="C1639" s="1" t="n">
        <v>45997</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44156-2025</t>
        </is>
      </c>
      <c r="B1640" s="1" t="n">
        <v>45915.59539351852</v>
      </c>
      <c r="C1640" s="1" t="n">
        <v>45997</v>
      </c>
      <c r="D1640" t="inlineStr">
        <is>
          <t>VÄRMLANDS LÄN</t>
        </is>
      </c>
      <c r="E1640" t="inlineStr">
        <is>
          <t>TORSBY</t>
        </is>
      </c>
      <c r="F1640" t="inlineStr">
        <is>
          <t>Kyrkan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53049-2025</t>
        </is>
      </c>
      <c r="B1641" s="1" t="n">
        <v>45958.36173611111</v>
      </c>
      <c r="C1641" s="1" t="n">
        <v>45997</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55386-2025</t>
        </is>
      </c>
      <c r="B1642" s="1" t="n">
        <v>45971</v>
      </c>
      <c r="C1642" s="1" t="n">
        <v>45997</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25443-2025</t>
        </is>
      </c>
      <c r="B1643" s="1" t="n">
        <v>45801.49258101852</v>
      </c>
      <c r="C1643" s="1" t="n">
        <v>45997</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44374-2025</t>
        </is>
      </c>
      <c r="B1644" s="1" t="n">
        <v>45916.47035879629</v>
      </c>
      <c r="C1644" s="1" t="n">
        <v>45997</v>
      </c>
      <c r="D1644" t="inlineStr">
        <is>
          <t>VÄRMLANDS LÄN</t>
        </is>
      </c>
      <c r="E1644" t="inlineStr">
        <is>
          <t>TORSBY</t>
        </is>
      </c>
      <c r="F1644" t="inlineStr">
        <is>
          <t>Bergvik skog väst AB</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25808-2025</t>
        </is>
      </c>
      <c r="B1645" s="1" t="n">
        <v>45804.41528935185</v>
      </c>
      <c r="C1645" s="1" t="n">
        <v>45997</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52741-2025</t>
        </is>
      </c>
      <c r="B1646" s="1" t="n">
        <v>45957.3778587963</v>
      </c>
      <c r="C1646" s="1" t="n">
        <v>45997</v>
      </c>
      <c r="D1646" t="inlineStr">
        <is>
          <t>VÄRMLANDS LÄN</t>
        </is>
      </c>
      <c r="E1646" t="inlineStr">
        <is>
          <t>TORSBY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52981-2025</t>
        </is>
      </c>
      <c r="B1647" s="1" t="n">
        <v>45957.68748842592</v>
      </c>
      <c r="C1647" s="1" t="n">
        <v>45997</v>
      </c>
      <c r="D1647" t="inlineStr">
        <is>
          <t>VÄRMLANDS LÄN</t>
        </is>
      </c>
      <c r="E1647" t="inlineStr">
        <is>
          <t>TORSBY</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52982-2025</t>
        </is>
      </c>
      <c r="B1648" s="1" t="n">
        <v>45957.69270833334</v>
      </c>
      <c r="C1648" s="1" t="n">
        <v>45997</v>
      </c>
      <c r="D1648" t="inlineStr">
        <is>
          <t>VÄRMLANDS LÄN</t>
        </is>
      </c>
      <c r="E1648" t="inlineStr">
        <is>
          <t>TORSBY</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25803-2025</t>
        </is>
      </c>
      <c r="B1649" s="1" t="n">
        <v>45804.40886574074</v>
      </c>
      <c r="C1649" s="1" t="n">
        <v>45997</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25915-2025</t>
        </is>
      </c>
      <c r="B1650" s="1" t="n">
        <v>45804.56549768519</v>
      </c>
      <c r="C1650" s="1" t="n">
        <v>45997</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52731-2025</t>
        </is>
      </c>
      <c r="B1651" s="1" t="n">
        <v>45957.36682870371</v>
      </c>
      <c r="C1651" s="1" t="n">
        <v>45997</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25859-2025</t>
        </is>
      </c>
      <c r="B1652" s="1" t="n">
        <v>45804.47244212963</v>
      </c>
      <c r="C1652" s="1" t="n">
        <v>45997</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25545-2025</t>
        </is>
      </c>
      <c r="B1653" s="1" t="n">
        <v>45803.43763888889</v>
      </c>
      <c r="C1653" s="1" t="n">
        <v>45997</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25508-2025</t>
        </is>
      </c>
      <c r="B1654" s="1" t="n">
        <v>45803.35520833333</v>
      </c>
      <c r="C1654" s="1" t="n">
        <v>45997</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53113-2025</t>
        </is>
      </c>
      <c r="B1655" s="1" t="n">
        <v>45958.44431712963</v>
      </c>
      <c r="C1655" s="1" t="n">
        <v>45997</v>
      </c>
      <c r="D1655" t="inlineStr">
        <is>
          <t>VÄRMLANDS LÄN</t>
        </is>
      </c>
      <c r="E1655" t="inlineStr">
        <is>
          <t>TORSBY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53123-2025</t>
        </is>
      </c>
      <c r="B1656" s="1" t="n">
        <v>45958.45204861111</v>
      </c>
      <c r="C1656" s="1" t="n">
        <v>45997</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44133-2025</t>
        </is>
      </c>
      <c r="B1657" s="1" t="n">
        <v>45915</v>
      </c>
      <c r="C1657" s="1" t="n">
        <v>45997</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44286-2025</t>
        </is>
      </c>
      <c r="B1658" s="1" t="n">
        <v>45916</v>
      </c>
      <c r="C1658" s="1" t="n">
        <v>45997</v>
      </c>
      <c r="D1658" t="inlineStr">
        <is>
          <t>VÄRMLANDS LÄN</t>
        </is>
      </c>
      <c r="E1658" t="inlineStr">
        <is>
          <t>TORSBY</t>
        </is>
      </c>
      <c r="F1658" t="inlineStr">
        <is>
          <t>Bergvik skog väst AB</t>
        </is>
      </c>
      <c r="G1658" t="n">
        <v>13.8</v>
      </c>
      <c r="H1658" t="n">
        <v>0</v>
      </c>
      <c r="I1658" t="n">
        <v>0</v>
      </c>
      <c r="J1658" t="n">
        <v>0</v>
      </c>
      <c r="K1658" t="n">
        <v>0</v>
      </c>
      <c r="L1658" t="n">
        <v>0</v>
      </c>
      <c r="M1658" t="n">
        <v>0</v>
      </c>
      <c r="N1658" t="n">
        <v>0</v>
      </c>
      <c r="O1658" t="n">
        <v>0</v>
      </c>
      <c r="P1658" t="n">
        <v>0</v>
      </c>
      <c r="Q1658" t="n">
        <v>0</v>
      </c>
      <c r="R1658" s="2" t="inlineStr"/>
    </row>
    <row r="1659" ht="15" customHeight="1">
      <c r="A1659" t="inlineStr">
        <is>
          <t>A 44290-2025</t>
        </is>
      </c>
      <c r="B1659" s="1" t="n">
        <v>45916.35228009259</v>
      </c>
      <c r="C1659" s="1" t="n">
        <v>45997</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44220-2025</t>
        </is>
      </c>
      <c r="B1660" s="1" t="n">
        <v>45915</v>
      </c>
      <c r="C1660" s="1" t="n">
        <v>45997</v>
      </c>
      <c r="D1660" t="inlineStr">
        <is>
          <t>VÄRMLANDS LÄN</t>
        </is>
      </c>
      <c r="E1660" t="inlineStr">
        <is>
          <t>TORSBY</t>
        </is>
      </c>
      <c r="F1660" t="inlineStr">
        <is>
          <t>Kommuner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44699-2025</t>
        </is>
      </c>
      <c r="B1661" s="1" t="n">
        <v>45917</v>
      </c>
      <c r="C1661" s="1" t="n">
        <v>45997</v>
      </c>
      <c r="D1661" t="inlineStr">
        <is>
          <t>VÄRMLANDS LÄN</t>
        </is>
      </c>
      <c r="E1661" t="inlineStr">
        <is>
          <t>TORSBY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49453-2025</t>
        </is>
      </c>
      <c r="B1662" s="1" t="n">
        <v>45939</v>
      </c>
      <c r="C1662" s="1" t="n">
        <v>45997</v>
      </c>
      <c r="D1662" t="inlineStr">
        <is>
          <t>VÄRMLANDS LÄN</t>
        </is>
      </c>
      <c r="E1662" t="inlineStr">
        <is>
          <t>TORSBY</t>
        </is>
      </c>
      <c r="F1662" t="inlineStr">
        <is>
          <t>Bergvik skog väst AB</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26158-2025</t>
        </is>
      </c>
      <c r="B1663" s="1" t="n">
        <v>45805</v>
      </c>
      <c r="C1663" s="1" t="n">
        <v>45997</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56889-2025</t>
        </is>
      </c>
      <c r="B1664" s="1" t="n">
        <v>45978</v>
      </c>
      <c r="C1664" s="1" t="n">
        <v>45997</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26061-2025</t>
        </is>
      </c>
      <c r="B1665" s="1" t="n">
        <v>45805.24886574074</v>
      </c>
      <c r="C1665" s="1" t="n">
        <v>45997</v>
      </c>
      <c r="D1665" t="inlineStr">
        <is>
          <t>VÄRMLANDS LÄN</t>
        </is>
      </c>
      <c r="E1665" t="inlineStr">
        <is>
          <t>TORSBY</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57695-2025</t>
        </is>
      </c>
      <c r="B1666" s="1" t="n">
        <v>45981.45201388889</v>
      </c>
      <c r="C1666" s="1" t="n">
        <v>45997</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26231-2025</t>
        </is>
      </c>
      <c r="B1667" s="1" t="n">
        <v>45805</v>
      </c>
      <c r="C1667" s="1" t="n">
        <v>45997</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26108-2025</t>
        </is>
      </c>
      <c r="B1668" s="1" t="n">
        <v>45805</v>
      </c>
      <c r="C1668" s="1" t="n">
        <v>45997</v>
      </c>
      <c r="D1668" t="inlineStr">
        <is>
          <t>VÄRMLANDS LÄN</t>
        </is>
      </c>
      <c r="E1668" t="inlineStr">
        <is>
          <t>TORSBY</t>
        </is>
      </c>
      <c r="F1668" t="inlineStr">
        <is>
          <t>Bergvik skog väst AB</t>
        </is>
      </c>
      <c r="G1668" t="n">
        <v>22.8</v>
      </c>
      <c r="H1668" t="n">
        <v>0</v>
      </c>
      <c r="I1668" t="n">
        <v>0</v>
      </c>
      <c r="J1668" t="n">
        <v>0</v>
      </c>
      <c r="K1668" t="n">
        <v>0</v>
      </c>
      <c r="L1668" t="n">
        <v>0</v>
      </c>
      <c r="M1668" t="n">
        <v>0</v>
      </c>
      <c r="N1668" t="n">
        <v>0</v>
      </c>
      <c r="O1668" t="n">
        <v>0</v>
      </c>
      <c r="P1668" t="n">
        <v>0</v>
      </c>
      <c r="Q1668" t="n">
        <v>0</v>
      </c>
      <c r="R1668" s="2" t="inlineStr"/>
    </row>
    <row r="1669" ht="15" customHeight="1">
      <c r="A1669" t="inlineStr">
        <is>
          <t>A 56299-2025</t>
        </is>
      </c>
      <c r="B1669" s="1" t="n">
        <v>45974</v>
      </c>
      <c r="C1669" s="1" t="n">
        <v>45997</v>
      </c>
      <c r="D1669" t="inlineStr">
        <is>
          <t>VÄRMLANDS LÄN</t>
        </is>
      </c>
      <c r="E1669" t="inlineStr">
        <is>
          <t>TORSBY</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44901-2025</t>
        </is>
      </c>
      <c r="B1670" s="1" t="n">
        <v>45918</v>
      </c>
      <c r="C1670" s="1" t="n">
        <v>45997</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53605-2025</t>
        </is>
      </c>
      <c r="B1671" s="1" t="n">
        <v>45960.46434027778</v>
      </c>
      <c r="C1671" s="1" t="n">
        <v>45997</v>
      </c>
      <c r="D1671" t="inlineStr">
        <is>
          <t>VÄRMLANDS LÄN</t>
        </is>
      </c>
      <c r="E1671" t="inlineStr">
        <is>
          <t>TORSBY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26342-2025</t>
        </is>
      </c>
      <c r="B1672" s="1" t="n">
        <v>45805.70604166666</v>
      </c>
      <c r="C1672" s="1" t="n">
        <v>45997</v>
      </c>
      <c r="D1672" t="inlineStr">
        <is>
          <t>VÄRMLANDS LÄN</t>
        </is>
      </c>
      <c r="E1672" t="inlineStr">
        <is>
          <t>TORSBY</t>
        </is>
      </c>
      <c r="F1672" t="inlineStr">
        <is>
          <t>Bergvik skog väst AB</t>
        </is>
      </c>
      <c r="G1672" t="n">
        <v>13.6</v>
      </c>
      <c r="H1672" t="n">
        <v>0</v>
      </c>
      <c r="I1672" t="n">
        <v>0</v>
      </c>
      <c r="J1672" t="n">
        <v>0</v>
      </c>
      <c r="K1672" t="n">
        <v>0</v>
      </c>
      <c r="L1672" t="n">
        <v>0</v>
      </c>
      <c r="M1672" t="n">
        <v>0</v>
      </c>
      <c r="N1672" t="n">
        <v>0</v>
      </c>
      <c r="O1672" t="n">
        <v>0</v>
      </c>
      <c r="P1672" t="n">
        <v>0</v>
      </c>
      <c r="Q1672" t="n">
        <v>0</v>
      </c>
      <c r="R1672" s="2" t="inlineStr"/>
    </row>
    <row r="1673" ht="15" customHeight="1">
      <c r="A1673" t="inlineStr">
        <is>
          <t>A 26487-2025</t>
        </is>
      </c>
      <c r="B1673" s="1" t="n">
        <v>45807.47644675926</v>
      </c>
      <c r="C1673" s="1" t="n">
        <v>45997</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44808-2025</t>
        </is>
      </c>
      <c r="B1674" s="1" t="n">
        <v>45918</v>
      </c>
      <c r="C1674" s="1" t="n">
        <v>45997</v>
      </c>
      <c r="D1674" t="inlineStr">
        <is>
          <t>VÄRMLANDS LÄN</t>
        </is>
      </c>
      <c r="E1674" t="inlineStr">
        <is>
          <t>TORSBY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30002-2024</t>
        </is>
      </c>
      <c r="B1675" s="1" t="n">
        <v>45488</v>
      </c>
      <c r="C1675" s="1" t="n">
        <v>45997</v>
      </c>
      <c r="D1675" t="inlineStr">
        <is>
          <t>VÄRMLANDS LÄN</t>
        </is>
      </c>
      <c r="E1675" t="inlineStr">
        <is>
          <t>TORSBY</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53677-2025</t>
        </is>
      </c>
      <c r="B1676" s="1" t="n">
        <v>45960.56180555555</v>
      </c>
      <c r="C1676" s="1" t="n">
        <v>45997</v>
      </c>
      <c r="D1676" t="inlineStr">
        <is>
          <t>VÄRMLANDS LÄN</t>
        </is>
      </c>
      <c r="E1676" t="inlineStr">
        <is>
          <t>TORSBY</t>
        </is>
      </c>
      <c r="F1676" t="inlineStr">
        <is>
          <t>Bergvik skog väst AB</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49854-2025</t>
        </is>
      </c>
      <c r="B1677" s="1" t="n">
        <v>45940.50342592593</v>
      </c>
      <c r="C1677" s="1" t="n">
        <v>45997</v>
      </c>
      <c r="D1677" t="inlineStr">
        <is>
          <t>VÄRMLANDS LÄN</t>
        </is>
      </c>
      <c r="E1677" t="inlineStr">
        <is>
          <t>TORSBY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53596-2025</t>
        </is>
      </c>
      <c r="B1678" s="1" t="n">
        <v>45960.44909722222</v>
      </c>
      <c r="C1678" s="1" t="n">
        <v>45997</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44590-2025</t>
        </is>
      </c>
      <c r="B1679" s="1" t="n">
        <v>45917.42607638889</v>
      </c>
      <c r="C1679" s="1" t="n">
        <v>45997</v>
      </c>
      <c r="D1679" t="inlineStr">
        <is>
          <t>VÄRMLANDS LÄN</t>
        </is>
      </c>
      <c r="E1679" t="inlineStr">
        <is>
          <t>TORSBY</t>
        </is>
      </c>
      <c r="F1679" t="inlineStr">
        <is>
          <t>Bergvik skog väst AB</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49504-2025</t>
        </is>
      </c>
      <c r="B1680" s="1" t="n">
        <v>45939</v>
      </c>
      <c r="C1680" s="1" t="n">
        <v>45997</v>
      </c>
      <c r="D1680" t="inlineStr">
        <is>
          <t>VÄRMLANDS LÄN</t>
        </is>
      </c>
      <c r="E1680" t="inlineStr">
        <is>
          <t>TORSBY</t>
        </is>
      </c>
      <c r="F1680" t="inlineStr">
        <is>
          <t>Bergvik skog väst AB</t>
        </is>
      </c>
      <c r="G1680" t="n">
        <v>35.8</v>
      </c>
      <c r="H1680" t="n">
        <v>0</v>
      </c>
      <c r="I1680" t="n">
        <v>0</v>
      </c>
      <c r="J1680" t="n">
        <v>0</v>
      </c>
      <c r="K1680" t="n">
        <v>0</v>
      </c>
      <c r="L1680" t="n">
        <v>0</v>
      </c>
      <c r="M1680" t="n">
        <v>0</v>
      </c>
      <c r="N1680" t="n">
        <v>0</v>
      </c>
      <c r="O1680" t="n">
        <v>0</v>
      </c>
      <c r="P1680" t="n">
        <v>0</v>
      </c>
      <c r="Q1680" t="n">
        <v>0</v>
      </c>
      <c r="R1680" s="2" t="inlineStr"/>
    </row>
    <row r="1681" ht="15" customHeight="1">
      <c r="A1681" t="inlineStr">
        <is>
          <t>A 28545-2024</t>
        </is>
      </c>
      <c r="B1681" s="1" t="n">
        <v>45478.3559375</v>
      </c>
      <c r="C1681" s="1" t="n">
        <v>45997</v>
      </c>
      <c r="D1681" t="inlineStr">
        <is>
          <t>VÄRMLANDS LÄN</t>
        </is>
      </c>
      <c r="E1681" t="inlineStr">
        <is>
          <t>TORSBY</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44710-2025</t>
        </is>
      </c>
      <c r="B1682" s="1" t="n">
        <v>45917.61743055555</v>
      </c>
      <c r="C1682" s="1" t="n">
        <v>45997</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11222-2024</t>
        </is>
      </c>
      <c r="B1683" s="1" t="n">
        <v>45371</v>
      </c>
      <c r="C1683" s="1" t="n">
        <v>45997</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49622-2025</t>
        </is>
      </c>
      <c r="B1684" s="1" t="n">
        <v>45939</v>
      </c>
      <c r="C1684" s="1" t="n">
        <v>45997</v>
      </c>
      <c r="D1684" t="inlineStr">
        <is>
          <t>VÄRMLANDS LÄN</t>
        </is>
      </c>
      <c r="E1684" t="inlineStr">
        <is>
          <t>TORSBY</t>
        </is>
      </c>
      <c r="F1684" t="inlineStr">
        <is>
          <t>Bergvik skog väst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44794-2025</t>
        </is>
      </c>
      <c r="B1685" s="1" t="n">
        <v>45918.34465277778</v>
      </c>
      <c r="C1685" s="1" t="n">
        <v>45997</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44817-2025</t>
        </is>
      </c>
      <c r="B1686" s="1" t="n">
        <v>45918</v>
      </c>
      <c r="C1686" s="1" t="n">
        <v>45997</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49636-2025</t>
        </is>
      </c>
      <c r="B1687" s="1" t="n">
        <v>45939</v>
      </c>
      <c r="C1687" s="1" t="n">
        <v>45997</v>
      </c>
      <c r="D1687" t="inlineStr">
        <is>
          <t>VÄRMLANDS LÄN</t>
        </is>
      </c>
      <c r="E1687" t="inlineStr">
        <is>
          <t>TORSBY</t>
        </is>
      </c>
      <c r="F1687" t="inlineStr">
        <is>
          <t>Bergvik skog väst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49638-2025</t>
        </is>
      </c>
      <c r="B1688" s="1" t="n">
        <v>45939.61236111111</v>
      </c>
      <c r="C1688" s="1" t="n">
        <v>45997</v>
      </c>
      <c r="D1688" t="inlineStr">
        <is>
          <t>VÄRMLANDS LÄN</t>
        </is>
      </c>
      <c r="E1688" t="inlineStr">
        <is>
          <t>TORSBY</t>
        </is>
      </c>
      <c r="F1688" t="inlineStr">
        <is>
          <t>Bergvik skog väst AB</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26876-2024</t>
        </is>
      </c>
      <c r="B1689" s="1" t="n">
        <v>45470.62181712963</v>
      </c>
      <c r="C1689" s="1" t="n">
        <v>45997</v>
      </c>
      <c r="D1689" t="inlineStr">
        <is>
          <t>VÄRMLANDS LÄN</t>
        </is>
      </c>
      <c r="E1689" t="inlineStr">
        <is>
          <t>TORSBY</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56724-2023</t>
        </is>
      </c>
      <c r="B1690" s="1" t="n">
        <v>45244.3393287037</v>
      </c>
      <c r="C1690" s="1" t="n">
        <v>45997</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57931-2025</t>
        </is>
      </c>
      <c r="B1691" s="1" t="n">
        <v>45981.90670138889</v>
      </c>
      <c r="C1691" s="1" t="n">
        <v>45997</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50400-2025</t>
        </is>
      </c>
      <c r="B1692" s="1" t="n">
        <v>45944.63516203704</v>
      </c>
      <c r="C1692" s="1" t="n">
        <v>45997</v>
      </c>
      <c r="D1692" t="inlineStr">
        <is>
          <t>VÄRMLANDS LÄN</t>
        </is>
      </c>
      <c r="E1692" t="inlineStr">
        <is>
          <t>TORSBY</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26607-2025</t>
        </is>
      </c>
      <c r="B1693" s="1" t="n">
        <v>45809.92239583333</v>
      </c>
      <c r="C1693" s="1" t="n">
        <v>45997</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26822-2025</t>
        </is>
      </c>
      <c r="B1694" s="1" t="n">
        <v>45810</v>
      </c>
      <c r="C1694" s="1" t="n">
        <v>45997</v>
      </c>
      <c r="D1694" t="inlineStr">
        <is>
          <t>VÄRMLANDS LÄN</t>
        </is>
      </c>
      <c r="E1694" t="inlineStr">
        <is>
          <t>TORSBY</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26418-2025</t>
        </is>
      </c>
      <c r="B1695" s="1" t="n">
        <v>45807.36436342593</v>
      </c>
      <c r="C1695" s="1" t="n">
        <v>45997</v>
      </c>
      <c r="D1695" t="inlineStr">
        <is>
          <t>VÄRMLANDS LÄN</t>
        </is>
      </c>
      <c r="E1695" t="inlineStr">
        <is>
          <t>TORSBY</t>
        </is>
      </c>
      <c r="F1695" t="inlineStr">
        <is>
          <t>Bergvik skog väst AB</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53383-2025</t>
        </is>
      </c>
      <c r="B1696" s="1" t="n">
        <v>45959.54097222222</v>
      </c>
      <c r="C1696" s="1" t="n">
        <v>45997</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26564-2025</t>
        </is>
      </c>
      <c r="B1697" s="1" t="n">
        <v>45807.66306712963</v>
      </c>
      <c r="C1697" s="1" t="n">
        <v>45997</v>
      </c>
      <c r="D1697" t="inlineStr">
        <is>
          <t>VÄRMLANDS LÄN</t>
        </is>
      </c>
      <c r="E1697" t="inlineStr">
        <is>
          <t>TORSBY</t>
        </is>
      </c>
      <c r="F1697" t="inlineStr">
        <is>
          <t>Bergvik skog väst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44976-2025</t>
        </is>
      </c>
      <c r="B1698" s="1" t="n">
        <v>45918</v>
      </c>
      <c r="C1698" s="1" t="n">
        <v>45997</v>
      </c>
      <c r="D1698" t="inlineStr">
        <is>
          <t>VÄRMLANDS LÄN</t>
        </is>
      </c>
      <c r="E1698" t="inlineStr">
        <is>
          <t>TORSBY</t>
        </is>
      </c>
      <c r="F1698" t="inlineStr">
        <is>
          <t>Bergvik skog väst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44995-2025</t>
        </is>
      </c>
      <c r="B1699" s="1" t="n">
        <v>45918</v>
      </c>
      <c r="C1699" s="1" t="n">
        <v>45997</v>
      </c>
      <c r="D1699" t="inlineStr">
        <is>
          <t>VÄRMLANDS LÄN</t>
        </is>
      </c>
      <c r="E1699" t="inlineStr">
        <is>
          <t>TORSBY</t>
        </is>
      </c>
      <c r="F1699" t="inlineStr">
        <is>
          <t>Bergvik skog väst AB</t>
        </is>
      </c>
      <c r="G1699" t="n">
        <v>18.7</v>
      </c>
      <c r="H1699" t="n">
        <v>0</v>
      </c>
      <c r="I1699" t="n">
        <v>0</v>
      </c>
      <c r="J1699" t="n">
        <v>0</v>
      </c>
      <c r="K1699" t="n">
        <v>0</v>
      </c>
      <c r="L1699" t="n">
        <v>0</v>
      </c>
      <c r="M1699" t="n">
        <v>0</v>
      </c>
      <c r="N1699" t="n">
        <v>0</v>
      </c>
      <c r="O1699" t="n">
        <v>0</v>
      </c>
      <c r="P1699" t="n">
        <v>0</v>
      </c>
      <c r="Q1699" t="n">
        <v>0</v>
      </c>
      <c r="R1699" s="2" t="inlineStr"/>
      <c r="U1699">
        <f>HYPERLINK("https://klasma.github.io/Logging_1737/knärot/A 44995-2025 karta knärot.png", "A 44995-2025")</f>
        <v/>
      </c>
      <c r="V1699">
        <f>HYPERLINK("https://klasma.github.io/Logging_1737/klagomål/A 44995-2025 FSC-klagomål.docx", "A 44995-2025")</f>
        <v/>
      </c>
      <c r="W1699">
        <f>HYPERLINK("https://klasma.github.io/Logging_1737/klagomålsmail/A 44995-2025 FSC-klagomål mail.docx", "A 44995-2025")</f>
        <v/>
      </c>
      <c r="X1699">
        <f>HYPERLINK("https://klasma.github.io/Logging_1737/tillsyn/A 44995-2025 tillsynsbegäran.docx", "A 44995-2025")</f>
        <v/>
      </c>
      <c r="Y1699">
        <f>HYPERLINK("https://klasma.github.io/Logging_1737/tillsynsmail/A 44995-2025 tillsynsbegäran mail.docx", "A 44995-2025")</f>
        <v/>
      </c>
    </row>
    <row r="1700" ht="15" customHeight="1">
      <c r="A1700" t="inlineStr">
        <is>
          <t>A 26479-2025</t>
        </is>
      </c>
      <c r="B1700" s="1" t="n">
        <v>45807.47021990741</v>
      </c>
      <c r="C1700" s="1" t="n">
        <v>45997</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26491-2025</t>
        </is>
      </c>
      <c r="B1701" s="1" t="n">
        <v>45807.48939814815</v>
      </c>
      <c r="C1701" s="1" t="n">
        <v>45997</v>
      </c>
      <c r="D1701" t="inlineStr">
        <is>
          <t>VÄRMLANDS LÄN</t>
        </is>
      </c>
      <c r="E1701" t="inlineStr">
        <is>
          <t>TORSBY</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26507-2025</t>
        </is>
      </c>
      <c r="B1702" s="1" t="n">
        <v>45807.52539351852</v>
      </c>
      <c r="C1702" s="1" t="n">
        <v>45997</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26533-2025</t>
        </is>
      </c>
      <c r="B1703" s="1" t="n">
        <v>45807.57259259259</v>
      </c>
      <c r="C1703" s="1" t="n">
        <v>45997</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43144-2024</t>
        </is>
      </c>
      <c r="B1704" s="1" t="n">
        <v>45567</v>
      </c>
      <c r="C1704" s="1" t="n">
        <v>45997</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44821-2025</t>
        </is>
      </c>
      <c r="B1705" s="1" t="n">
        <v>45918</v>
      </c>
      <c r="C1705" s="1" t="n">
        <v>45997</v>
      </c>
      <c r="D1705" t="inlineStr">
        <is>
          <t>VÄRMLANDS LÄN</t>
        </is>
      </c>
      <c r="E1705" t="inlineStr">
        <is>
          <t>TORSBY</t>
        </is>
      </c>
      <c r="F1705" t="inlineStr">
        <is>
          <t>Bergvik skog väst AB</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24087-2024</t>
        </is>
      </c>
      <c r="B1706" s="1" t="n">
        <v>45456</v>
      </c>
      <c r="C1706" s="1" t="n">
        <v>45997</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16380-2025</t>
        </is>
      </c>
      <c r="B1707" s="1" t="n">
        <v>45751</v>
      </c>
      <c r="C1707" s="1" t="n">
        <v>45997</v>
      </c>
      <c r="D1707" t="inlineStr">
        <is>
          <t>VÄRMLANDS LÄN</t>
        </is>
      </c>
      <c r="E1707" t="inlineStr">
        <is>
          <t>TORSBY</t>
        </is>
      </c>
      <c r="F1707" t="inlineStr">
        <is>
          <t>Bergvik skog väst AB</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25956-2025</t>
        </is>
      </c>
      <c r="B1708" s="1" t="n">
        <v>45804</v>
      </c>
      <c r="C1708" s="1" t="n">
        <v>45997</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53601-2025</t>
        </is>
      </c>
      <c r="B1709" s="1" t="n">
        <v>45960.45984953704</v>
      </c>
      <c r="C1709" s="1" t="n">
        <v>45997</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754-2025</t>
        </is>
      </c>
      <c r="B1710" s="1" t="n">
        <v>45665</v>
      </c>
      <c r="C1710" s="1" t="n">
        <v>45997</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44715-2025</t>
        </is>
      </c>
      <c r="B1711" s="1" t="n">
        <v>45917.62854166667</v>
      </c>
      <c r="C1711" s="1" t="n">
        <v>45997</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26504-2025</t>
        </is>
      </c>
      <c r="B1712" s="1" t="n">
        <v>45807.519375</v>
      </c>
      <c r="C1712" s="1" t="n">
        <v>45997</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26505-2025</t>
        </is>
      </c>
      <c r="B1713" s="1" t="n">
        <v>45807.52231481481</v>
      </c>
      <c r="C1713" s="1" t="n">
        <v>45997</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26511-2025</t>
        </is>
      </c>
      <c r="B1714" s="1" t="n">
        <v>45807.54571759259</v>
      </c>
      <c r="C1714" s="1" t="n">
        <v>45997</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53520-2025</t>
        </is>
      </c>
      <c r="B1715" s="1" t="n">
        <v>45960.35893518518</v>
      </c>
      <c r="C1715" s="1" t="n">
        <v>45997</v>
      </c>
      <c r="D1715" t="inlineStr">
        <is>
          <t>VÄRMLANDS LÄN</t>
        </is>
      </c>
      <c r="E1715" t="inlineStr">
        <is>
          <t>TORSBY</t>
        </is>
      </c>
      <c r="F1715" t="inlineStr">
        <is>
          <t>Bergvik skog väst AB</t>
        </is>
      </c>
      <c r="G1715" t="n">
        <v>16.5</v>
      </c>
      <c r="H1715" t="n">
        <v>0</v>
      </c>
      <c r="I1715" t="n">
        <v>0</v>
      </c>
      <c r="J1715" t="n">
        <v>0</v>
      </c>
      <c r="K1715" t="n">
        <v>0</v>
      </c>
      <c r="L1715" t="n">
        <v>0</v>
      </c>
      <c r="M1715" t="n">
        <v>0</v>
      </c>
      <c r="N1715" t="n">
        <v>0</v>
      </c>
      <c r="O1715" t="n">
        <v>0</v>
      </c>
      <c r="P1715" t="n">
        <v>0</v>
      </c>
      <c r="Q1715" t="n">
        <v>0</v>
      </c>
      <c r="R1715" s="2" t="inlineStr"/>
    </row>
    <row r="1716" ht="15" customHeight="1">
      <c r="A1716" t="inlineStr">
        <is>
          <t>A 26563-2025</t>
        </is>
      </c>
      <c r="B1716" s="1" t="n">
        <v>45807.65767361111</v>
      </c>
      <c r="C1716" s="1" t="n">
        <v>45997</v>
      </c>
      <c r="D1716" t="inlineStr">
        <is>
          <t>VÄRMLANDS LÄN</t>
        </is>
      </c>
      <c r="E1716" t="inlineStr">
        <is>
          <t>TORSBY</t>
        </is>
      </c>
      <c r="F1716" t="inlineStr">
        <is>
          <t>Bergvik skog väst AB</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26539-2025</t>
        </is>
      </c>
      <c r="B1717" s="1" t="n">
        <v>45807.58127314815</v>
      </c>
      <c r="C1717" s="1" t="n">
        <v>45997</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26890-2025</t>
        </is>
      </c>
      <c r="B1718" s="1" t="n">
        <v>45811</v>
      </c>
      <c r="C1718" s="1" t="n">
        <v>45997</v>
      </c>
      <c r="D1718" t="inlineStr">
        <is>
          <t>VÄRMLANDS LÄN</t>
        </is>
      </c>
      <c r="E1718" t="inlineStr">
        <is>
          <t>TORSBY</t>
        </is>
      </c>
      <c r="F1718" t="inlineStr">
        <is>
          <t>Bergvik skog väst AB</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53763-2025</t>
        </is>
      </c>
      <c r="B1719" s="1" t="n">
        <v>45960.67592592593</v>
      </c>
      <c r="C1719" s="1" t="n">
        <v>45997</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58678-2025</t>
        </is>
      </c>
      <c r="B1720" s="1" t="n">
        <v>45986.56342592592</v>
      </c>
      <c r="C1720" s="1" t="n">
        <v>45997</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45380-2025</t>
        </is>
      </c>
      <c r="B1721" s="1" t="n">
        <v>45922</v>
      </c>
      <c r="C1721" s="1" t="n">
        <v>45997</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45108-2025</t>
        </is>
      </c>
      <c r="B1722" s="1" t="n">
        <v>45919.41467592592</v>
      </c>
      <c r="C1722" s="1" t="n">
        <v>45997</v>
      </c>
      <c r="D1722" t="inlineStr">
        <is>
          <t>VÄRMLANDS LÄN</t>
        </is>
      </c>
      <c r="E1722" t="inlineStr">
        <is>
          <t>TORSBY</t>
        </is>
      </c>
      <c r="F1722" t="inlineStr">
        <is>
          <t>Bergvik skog väst AB</t>
        </is>
      </c>
      <c r="G1722" t="n">
        <v>24.4</v>
      </c>
      <c r="H1722" t="n">
        <v>0</v>
      </c>
      <c r="I1722" t="n">
        <v>0</v>
      </c>
      <c r="J1722" t="n">
        <v>0</v>
      </c>
      <c r="K1722" t="n">
        <v>0</v>
      </c>
      <c r="L1722" t="n">
        <v>0</v>
      </c>
      <c r="M1722" t="n">
        <v>0</v>
      </c>
      <c r="N1722" t="n">
        <v>0</v>
      </c>
      <c r="O1722" t="n">
        <v>0</v>
      </c>
      <c r="P1722" t="n">
        <v>0</v>
      </c>
      <c r="Q1722" t="n">
        <v>0</v>
      </c>
      <c r="R1722" s="2" t="inlineStr"/>
    </row>
    <row r="1723" ht="15" customHeight="1">
      <c r="A1723" t="inlineStr">
        <is>
          <t>A 50373-2025</t>
        </is>
      </c>
      <c r="B1723" s="1" t="n">
        <v>45944.59106481481</v>
      </c>
      <c r="C1723" s="1" t="n">
        <v>45997</v>
      </c>
      <c r="D1723" t="inlineStr">
        <is>
          <t>VÄRMLANDS LÄN</t>
        </is>
      </c>
      <c r="E1723" t="inlineStr">
        <is>
          <t>TORSBY</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53848-2025</t>
        </is>
      </c>
      <c r="B1724" s="1" t="n">
        <v>45961.36832175926</v>
      </c>
      <c r="C1724" s="1" t="n">
        <v>45997</v>
      </c>
      <c r="D1724" t="inlineStr">
        <is>
          <t>VÄRMLANDS LÄN</t>
        </is>
      </c>
      <c r="E1724" t="inlineStr">
        <is>
          <t>TORSBY</t>
        </is>
      </c>
      <c r="G1724" t="n">
        <v>19.1</v>
      </c>
      <c r="H1724" t="n">
        <v>0</v>
      </c>
      <c r="I1724" t="n">
        <v>0</v>
      </c>
      <c r="J1724" t="n">
        <v>0</v>
      </c>
      <c r="K1724" t="n">
        <v>0</v>
      </c>
      <c r="L1724" t="n">
        <v>0</v>
      </c>
      <c r="M1724" t="n">
        <v>0</v>
      </c>
      <c r="N1724" t="n">
        <v>0</v>
      </c>
      <c r="O1724" t="n">
        <v>0</v>
      </c>
      <c r="P1724" t="n">
        <v>0</v>
      </c>
      <c r="Q1724" t="n">
        <v>0</v>
      </c>
      <c r="R1724" s="2" t="inlineStr"/>
    </row>
    <row r="1725" ht="15" customHeight="1">
      <c r="A1725" t="inlineStr">
        <is>
          <t>A 45245-2025</t>
        </is>
      </c>
      <c r="B1725" s="1" t="n">
        <v>45919.60621527778</v>
      </c>
      <c r="C1725" s="1" t="n">
        <v>45997</v>
      </c>
      <c r="D1725" t="inlineStr">
        <is>
          <t>VÄRMLANDS LÄN</t>
        </is>
      </c>
      <c r="E1725" t="inlineStr">
        <is>
          <t>TORSBY</t>
        </is>
      </c>
      <c r="F1725" t="inlineStr">
        <is>
          <t>Kyrkan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45268-2025</t>
        </is>
      </c>
      <c r="B1726" s="1" t="n">
        <v>45919.66782407407</v>
      </c>
      <c r="C1726" s="1" t="n">
        <v>45997</v>
      </c>
      <c r="D1726" t="inlineStr">
        <is>
          <t>VÄRMLANDS LÄN</t>
        </is>
      </c>
      <c r="E1726" t="inlineStr">
        <is>
          <t>TORSBY</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45269-2025</t>
        </is>
      </c>
      <c r="B1727" s="1" t="n">
        <v>45919.67443287037</v>
      </c>
      <c r="C1727" s="1" t="n">
        <v>45997</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45043-2025</t>
        </is>
      </c>
      <c r="B1728" s="1" t="n">
        <v>45918.92902777778</v>
      </c>
      <c r="C1728" s="1" t="n">
        <v>45997</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54101-2025</t>
        </is>
      </c>
      <c r="B1729" s="1" t="n">
        <v>45964.42424768519</v>
      </c>
      <c r="C1729" s="1" t="n">
        <v>45997</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54144-2025</t>
        </is>
      </c>
      <c r="B1730" s="1" t="n">
        <v>45964.48305555555</v>
      </c>
      <c r="C1730" s="1" t="n">
        <v>45997</v>
      </c>
      <c r="D1730" t="inlineStr">
        <is>
          <t>VÄRMLANDS LÄN</t>
        </is>
      </c>
      <c r="E1730" t="inlineStr">
        <is>
          <t>TORSBY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26892-2025</t>
        </is>
      </c>
      <c r="B1731" s="1" t="n">
        <v>45811.3334837963</v>
      </c>
      <c r="C1731" s="1" t="n">
        <v>45997</v>
      </c>
      <c r="D1731" t="inlineStr">
        <is>
          <t>VÄRMLANDS LÄN</t>
        </is>
      </c>
      <c r="E1731" t="inlineStr">
        <is>
          <t>TORSBY</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26898-2025</t>
        </is>
      </c>
      <c r="B1732" s="1" t="n">
        <v>45811</v>
      </c>
      <c r="C1732" s="1" t="n">
        <v>45997</v>
      </c>
      <c r="D1732" t="inlineStr">
        <is>
          <t>VÄRMLANDS LÄN</t>
        </is>
      </c>
      <c r="E1732" t="inlineStr">
        <is>
          <t>TORSBY</t>
        </is>
      </c>
      <c r="F1732" t="inlineStr">
        <is>
          <t>Övriga Aktiebolag</t>
        </is>
      </c>
      <c r="G1732" t="n">
        <v>37.8</v>
      </c>
      <c r="H1732" t="n">
        <v>0</v>
      </c>
      <c r="I1732" t="n">
        <v>0</v>
      </c>
      <c r="J1732" t="n">
        <v>0</v>
      </c>
      <c r="K1732" t="n">
        <v>0</v>
      </c>
      <c r="L1732" t="n">
        <v>0</v>
      </c>
      <c r="M1732" t="n">
        <v>0</v>
      </c>
      <c r="N1732" t="n">
        <v>0</v>
      </c>
      <c r="O1732" t="n">
        <v>0</v>
      </c>
      <c r="P1732" t="n">
        <v>0</v>
      </c>
      <c r="Q1732" t="n">
        <v>0</v>
      </c>
      <c r="R1732" s="2" t="inlineStr"/>
    </row>
    <row r="1733" ht="15" customHeight="1">
      <c r="A1733" t="inlineStr">
        <is>
          <t>A 26960-2025</t>
        </is>
      </c>
      <c r="B1733" s="1" t="n">
        <v>45811.46167824074</v>
      </c>
      <c r="C1733" s="1" t="n">
        <v>45997</v>
      </c>
      <c r="D1733" t="inlineStr">
        <is>
          <t>VÄRMLANDS LÄN</t>
        </is>
      </c>
      <c r="E1733" t="inlineStr">
        <is>
          <t>TORSBY</t>
        </is>
      </c>
      <c r="F1733" t="inlineStr">
        <is>
          <t>Kyrkan</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27093-2025</t>
        </is>
      </c>
      <c r="B1734" s="1" t="n">
        <v>45811.67347222222</v>
      </c>
      <c r="C1734" s="1" t="n">
        <v>45997</v>
      </c>
      <c r="D1734" t="inlineStr">
        <is>
          <t>VÄRMLANDS LÄN</t>
        </is>
      </c>
      <c r="E1734" t="inlineStr">
        <is>
          <t>TORSBY</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27174-2025</t>
        </is>
      </c>
      <c r="B1735" s="1" t="n">
        <v>45812.34997685185</v>
      </c>
      <c r="C1735" s="1" t="n">
        <v>45997</v>
      </c>
      <c r="D1735" t="inlineStr">
        <is>
          <t>VÄRMLANDS LÄN</t>
        </is>
      </c>
      <c r="E1735" t="inlineStr">
        <is>
          <t>TORSBY</t>
        </is>
      </c>
      <c r="F1735" t="inlineStr">
        <is>
          <t>Kyrkan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27043-2025</t>
        </is>
      </c>
      <c r="B1736" s="1" t="n">
        <v>45811.61342592593</v>
      </c>
      <c r="C1736" s="1" t="n">
        <v>45997</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27291-2025</t>
        </is>
      </c>
      <c r="B1737" s="1" t="n">
        <v>45812.55769675926</v>
      </c>
      <c r="C1737" s="1" t="n">
        <v>45997</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42481-2025</t>
        </is>
      </c>
      <c r="B1738" s="1" t="n">
        <v>45904</v>
      </c>
      <c r="C1738" s="1" t="n">
        <v>45997</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27056-2025</t>
        </is>
      </c>
      <c r="B1739" s="1" t="n">
        <v>45811.63118055555</v>
      </c>
      <c r="C1739" s="1" t="n">
        <v>45997</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27094-2025</t>
        </is>
      </c>
      <c r="B1740" s="1" t="n">
        <v>45811.6766087963</v>
      </c>
      <c r="C1740" s="1" t="n">
        <v>45997</v>
      </c>
      <c r="D1740" t="inlineStr">
        <is>
          <t>VÄRMLANDS LÄN</t>
        </is>
      </c>
      <c r="E1740" t="inlineStr">
        <is>
          <t>TORSBY</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27149-2025</t>
        </is>
      </c>
      <c r="B1741" s="1" t="n">
        <v>45812.31924768518</v>
      </c>
      <c r="C1741" s="1" t="n">
        <v>45997</v>
      </c>
      <c r="D1741" t="inlineStr">
        <is>
          <t>VÄRMLANDS LÄN</t>
        </is>
      </c>
      <c r="E1741" t="inlineStr">
        <is>
          <t>TORSBY</t>
        </is>
      </c>
      <c r="F1741" t="inlineStr">
        <is>
          <t>Bergvik skog väst AB</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26897-2025</t>
        </is>
      </c>
      <c r="B1742" s="1" t="n">
        <v>45811.34108796297</v>
      </c>
      <c r="C1742" s="1" t="n">
        <v>45997</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54091-2025</t>
        </is>
      </c>
      <c r="B1743" s="1" t="n">
        <v>45964.39363425926</v>
      </c>
      <c r="C1743" s="1" t="n">
        <v>45997</v>
      </c>
      <c r="D1743" t="inlineStr">
        <is>
          <t>VÄRMLANDS LÄN</t>
        </is>
      </c>
      <c r="E1743" t="inlineStr">
        <is>
          <t>TORSBY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27116-2025</t>
        </is>
      </c>
      <c r="B1744" s="1" t="n">
        <v>45811.74233796296</v>
      </c>
      <c r="C1744" s="1" t="n">
        <v>45997</v>
      </c>
      <c r="D1744" t="inlineStr">
        <is>
          <t>VÄRMLANDS LÄN</t>
        </is>
      </c>
      <c r="E1744" t="inlineStr">
        <is>
          <t>TORSBY</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3397-2022</t>
        </is>
      </c>
      <c r="B1745" s="1" t="n">
        <v>44585</v>
      </c>
      <c r="C1745" s="1" t="n">
        <v>45997</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45093-2025</t>
        </is>
      </c>
      <c r="B1746" s="1" t="n">
        <v>45919.38398148148</v>
      </c>
      <c r="C1746" s="1" t="n">
        <v>45997</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45133-2025</t>
        </is>
      </c>
      <c r="B1747" s="1" t="n">
        <v>45919.4447337963</v>
      </c>
      <c r="C1747" s="1" t="n">
        <v>45997</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54071-2025</t>
        </is>
      </c>
      <c r="B1748" s="1" t="n">
        <v>45962</v>
      </c>
      <c r="C1748" s="1" t="n">
        <v>45997</v>
      </c>
      <c r="D1748" t="inlineStr">
        <is>
          <t>VÄRMLANDS LÄN</t>
        </is>
      </c>
      <c r="E1748" t="inlineStr">
        <is>
          <t>TORSBY</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45489-2025</t>
        </is>
      </c>
      <c r="B1749" s="1" t="n">
        <v>45921</v>
      </c>
      <c r="C1749" s="1" t="n">
        <v>45997</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54168-2025</t>
        </is>
      </c>
      <c r="B1750" s="1" t="n">
        <v>45964.52528935186</v>
      </c>
      <c r="C1750" s="1" t="n">
        <v>45997</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30735-2025</t>
        </is>
      </c>
      <c r="B1751" s="1" t="n">
        <v>45831.57479166667</v>
      </c>
      <c r="C1751" s="1" t="n">
        <v>45997</v>
      </c>
      <c r="D1751" t="inlineStr">
        <is>
          <t>VÄRMLANDS LÄN</t>
        </is>
      </c>
      <c r="E1751" t="inlineStr">
        <is>
          <t>TORSBY</t>
        </is>
      </c>
      <c r="F1751" t="inlineStr">
        <is>
          <t>Bergvik skog väst AB</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27728-2025</t>
        </is>
      </c>
      <c r="B1752" s="1" t="n">
        <v>45814</v>
      </c>
      <c r="C1752" s="1" t="n">
        <v>45997</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58625-2025</t>
        </is>
      </c>
      <c r="B1753" s="1" t="n">
        <v>45986.4740625</v>
      </c>
      <c r="C1753" s="1" t="n">
        <v>45997</v>
      </c>
      <c r="D1753" t="inlineStr">
        <is>
          <t>VÄRMLANDS LÄN</t>
        </is>
      </c>
      <c r="E1753" t="inlineStr">
        <is>
          <t>TORSBY</t>
        </is>
      </c>
      <c r="F1753" t="inlineStr">
        <is>
          <t>Kyrkan</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45425-2025</t>
        </is>
      </c>
      <c r="B1754" s="1" t="n">
        <v>45922.45195601852</v>
      </c>
      <c r="C1754" s="1" t="n">
        <v>45997</v>
      </c>
      <c r="D1754" t="inlineStr">
        <is>
          <t>VÄRMLANDS LÄN</t>
        </is>
      </c>
      <c r="E1754" t="inlineStr">
        <is>
          <t>TORSBY</t>
        </is>
      </c>
      <c r="F1754" t="inlineStr">
        <is>
          <t>Bergvik skog väst AB</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27450-2025</t>
        </is>
      </c>
      <c r="B1755" s="1" t="n">
        <v>45813.33738425926</v>
      </c>
      <c r="C1755" s="1" t="n">
        <v>45997</v>
      </c>
      <c r="D1755" t="inlineStr">
        <is>
          <t>VÄRMLANDS LÄN</t>
        </is>
      </c>
      <c r="E1755" t="inlineStr">
        <is>
          <t>TORSBY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27674-2025</t>
        </is>
      </c>
      <c r="B1756" s="1" t="n">
        <v>45813.62936342593</v>
      </c>
      <c r="C1756" s="1" t="n">
        <v>45997</v>
      </c>
      <c r="D1756" t="inlineStr">
        <is>
          <t>VÄRMLANDS LÄN</t>
        </is>
      </c>
      <c r="E1756" t="inlineStr">
        <is>
          <t>TORSBY</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45490-2025</t>
        </is>
      </c>
      <c r="B1757" s="1" t="n">
        <v>45921</v>
      </c>
      <c r="C1757" s="1" t="n">
        <v>45997</v>
      </c>
      <c r="D1757" t="inlineStr">
        <is>
          <t>VÄRMLANDS LÄN</t>
        </is>
      </c>
      <c r="E1757" t="inlineStr">
        <is>
          <t>TORSBY</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45508-2025</t>
        </is>
      </c>
      <c r="B1758" s="1" t="n">
        <v>45922</v>
      </c>
      <c r="C1758" s="1" t="n">
        <v>45997</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27730-2025</t>
        </is>
      </c>
      <c r="B1759" s="1" t="n">
        <v>45814</v>
      </c>
      <c r="C1759" s="1" t="n">
        <v>45997</v>
      </c>
      <c r="D1759" t="inlineStr">
        <is>
          <t>VÄRMLANDS LÄN</t>
        </is>
      </c>
      <c r="E1759" t="inlineStr">
        <is>
          <t>TORSBY</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58538-2025</t>
        </is>
      </c>
      <c r="B1760" s="1" t="n">
        <v>45985.89356481482</v>
      </c>
      <c r="C1760" s="1" t="n">
        <v>45997</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27467-2025</t>
        </is>
      </c>
      <c r="B1761" s="1" t="n">
        <v>45813.35497685185</v>
      </c>
      <c r="C1761" s="1" t="n">
        <v>45997</v>
      </c>
      <c r="D1761" t="inlineStr">
        <is>
          <t>VÄRMLANDS LÄN</t>
        </is>
      </c>
      <c r="E1761" t="inlineStr">
        <is>
          <t>TORSBY</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27667-2025</t>
        </is>
      </c>
      <c r="B1762" s="1" t="n">
        <v>45813.62092592593</v>
      </c>
      <c r="C1762" s="1" t="n">
        <v>45997</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45615-2025</t>
        </is>
      </c>
      <c r="B1763" s="1" t="n">
        <v>45921</v>
      </c>
      <c r="C1763" s="1" t="n">
        <v>45997</v>
      </c>
      <c r="D1763" t="inlineStr">
        <is>
          <t>VÄRMLANDS LÄN</t>
        </is>
      </c>
      <c r="E1763" t="inlineStr">
        <is>
          <t>TORSBY</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45357-2025</t>
        </is>
      </c>
      <c r="B1764" s="1" t="n">
        <v>45922.36716435185</v>
      </c>
      <c r="C1764" s="1" t="n">
        <v>45997</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27470-2025</t>
        </is>
      </c>
      <c r="B1765" s="1" t="n">
        <v>45813.36284722222</v>
      </c>
      <c r="C1765" s="1" t="n">
        <v>45997</v>
      </c>
      <c r="D1765" t="inlineStr">
        <is>
          <t>VÄRMLANDS LÄN</t>
        </is>
      </c>
      <c r="E1765" t="inlineStr">
        <is>
          <t>TORSBY</t>
        </is>
      </c>
      <c r="G1765" t="n">
        <v>17.9</v>
      </c>
      <c r="H1765" t="n">
        <v>0</v>
      </c>
      <c r="I1765" t="n">
        <v>0</v>
      </c>
      <c r="J1765" t="n">
        <v>0</v>
      </c>
      <c r="K1765" t="n">
        <v>0</v>
      </c>
      <c r="L1765" t="n">
        <v>0</v>
      </c>
      <c r="M1765" t="n">
        <v>0</v>
      </c>
      <c r="N1765" t="n">
        <v>0</v>
      </c>
      <c r="O1765" t="n">
        <v>0</v>
      </c>
      <c r="P1765" t="n">
        <v>0</v>
      </c>
      <c r="Q1765" t="n">
        <v>0</v>
      </c>
      <c r="R1765" s="2" t="inlineStr"/>
    </row>
    <row r="1766" ht="15" customHeight="1">
      <c r="A1766" t="inlineStr">
        <is>
          <t>A 44292-2025</t>
        </is>
      </c>
      <c r="B1766" s="1" t="n">
        <v>45915</v>
      </c>
      <c r="C1766" s="1" t="n">
        <v>45997</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45360-2025</t>
        </is>
      </c>
      <c r="B1767" s="1" t="n">
        <v>45922.37266203704</v>
      </c>
      <c r="C1767" s="1" t="n">
        <v>45997</v>
      </c>
      <c r="D1767" t="inlineStr">
        <is>
          <t>VÄRMLANDS LÄN</t>
        </is>
      </c>
      <c r="E1767" t="inlineStr">
        <is>
          <t>TORSBY</t>
        </is>
      </c>
      <c r="F1767" t="inlineStr">
        <is>
          <t>Kommuner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27968-2025</t>
        </is>
      </c>
      <c r="B1768" s="1" t="n">
        <v>45817.55846064815</v>
      </c>
      <c r="C1768" s="1" t="n">
        <v>45997</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27856-2025</t>
        </is>
      </c>
      <c r="B1769" s="1" t="n">
        <v>45817.41006944444</v>
      </c>
      <c r="C1769" s="1" t="n">
        <v>45997</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50750-2025</t>
        </is>
      </c>
      <c r="B1770" s="1" t="n">
        <v>45946.39091435185</v>
      </c>
      <c r="C1770" s="1" t="n">
        <v>45997</v>
      </c>
      <c r="D1770" t="inlineStr">
        <is>
          <t>VÄRMLANDS LÄN</t>
        </is>
      </c>
      <c r="E1770" t="inlineStr">
        <is>
          <t>TORSBY</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58396-2025</t>
        </is>
      </c>
      <c r="B1771" s="1" t="n">
        <v>45985</v>
      </c>
      <c r="C1771" s="1" t="n">
        <v>45997</v>
      </c>
      <c r="D1771" t="inlineStr">
        <is>
          <t>VÄRMLANDS LÄN</t>
        </is>
      </c>
      <c r="E1771" t="inlineStr">
        <is>
          <t>TORSBY</t>
        </is>
      </c>
      <c r="F1771" t="inlineStr">
        <is>
          <t>Bergvik skog väst AB</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50927-2025</t>
        </is>
      </c>
      <c r="B1772" s="1" t="n">
        <v>45946.67895833333</v>
      </c>
      <c r="C1772" s="1" t="n">
        <v>45997</v>
      </c>
      <c r="D1772" t="inlineStr">
        <is>
          <t>VÄRMLANDS LÄN</t>
        </is>
      </c>
      <c r="E1772" t="inlineStr">
        <is>
          <t>TORSBY</t>
        </is>
      </c>
      <c r="F1772" t="inlineStr">
        <is>
          <t>Kommuner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58836-2025</t>
        </is>
      </c>
      <c r="B1773" s="1" t="n">
        <v>45987.35586805556</v>
      </c>
      <c r="C1773" s="1" t="n">
        <v>45997</v>
      </c>
      <c r="D1773" t="inlineStr">
        <is>
          <t>VÄRMLANDS LÄN</t>
        </is>
      </c>
      <c r="E1773" t="inlineStr">
        <is>
          <t>TORSBY</t>
        </is>
      </c>
      <c r="F1773" t="inlineStr">
        <is>
          <t>Bergvik skog väst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54732-2025</t>
        </is>
      </c>
      <c r="B1774" s="1" t="n">
        <v>45966.56212962963</v>
      </c>
      <c r="C1774" s="1" t="n">
        <v>45997</v>
      </c>
      <c r="D1774" t="inlineStr">
        <is>
          <t>VÄRMLANDS LÄN</t>
        </is>
      </c>
      <c r="E1774" t="inlineStr">
        <is>
          <t>TORSBY</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54734-2025</t>
        </is>
      </c>
      <c r="B1775" s="1" t="n">
        <v>45966.56431712963</v>
      </c>
      <c r="C1775" s="1" t="n">
        <v>45997</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54784-2025</t>
        </is>
      </c>
      <c r="B1776" s="1" t="n">
        <v>45966.62114583333</v>
      </c>
      <c r="C1776" s="1" t="n">
        <v>45997</v>
      </c>
      <c r="D1776" t="inlineStr">
        <is>
          <t>VÄRMLANDS LÄN</t>
        </is>
      </c>
      <c r="E1776" t="inlineStr">
        <is>
          <t>TORSBY</t>
        </is>
      </c>
      <c r="F1776" t="inlineStr">
        <is>
          <t>Bergvik skog väst AB</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45967-2025</t>
        </is>
      </c>
      <c r="B1777" s="1" t="n">
        <v>45924</v>
      </c>
      <c r="C1777" s="1" t="n">
        <v>45997</v>
      </c>
      <c r="D1777" t="inlineStr">
        <is>
          <t>VÄRMLANDS LÄN</t>
        </is>
      </c>
      <c r="E1777" t="inlineStr">
        <is>
          <t>TORSBY</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58897-2025</t>
        </is>
      </c>
      <c r="B1778" s="1" t="n">
        <v>45987.49574074074</v>
      </c>
      <c r="C1778" s="1" t="n">
        <v>45997</v>
      </c>
      <c r="D1778" t="inlineStr">
        <is>
          <t>VÄRMLANDS LÄN</t>
        </is>
      </c>
      <c r="E1778" t="inlineStr">
        <is>
          <t>TORSBY</t>
        </is>
      </c>
      <c r="F1778" t="inlineStr">
        <is>
          <t>Bergvik skog väst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58864-2025</t>
        </is>
      </c>
      <c r="B1779" s="1" t="n">
        <v>45987.44736111111</v>
      </c>
      <c r="C1779" s="1" t="n">
        <v>45997</v>
      </c>
      <c r="D1779" t="inlineStr">
        <is>
          <t>VÄRMLANDS LÄN</t>
        </is>
      </c>
      <c r="E1779" t="inlineStr">
        <is>
          <t>TORSBY</t>
        </is>
      </c>
      <c r="F1779" t="inlineStr">
        <is>
          <t>Kyrkan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28116-2025</t>
        </is>
      </c>
      <c r="B1780" s="1" t="n">
        <v>45818.28697916667</v>
      </c>
      <c r="C1780" s="1" t="n">
        <v>45997</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28117-2025</t>
        </is>
      </c>
      <c r="B1781" s="1" t="n">
        <v>45818</v>
      </c>
      <c r="C1781" s="1" t="n">
        <v>45997</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28118-2025</t>
        </is>
      </c>
      <c r="B1782" s="1" t="n">
        <v>45818</v>
      </c>
      <c r="C1782" s="1" t="n">
        <v>45997</v>
      </c>
      <c r="D1782" t="inlineStr">
        <is>
          <t>VÄRMLANDS LÄN</t>
        </is>
      </c>
      <c r="E1782" t="inlineStr">
        <is>
          <t>TORSBY</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20255-2025</t>
        </is>
      </c>
      <c r="B1783" s="1" t="n">
        <v>45772.9009375</v>
      </c>
      <c r="C1783" s="1" t="n">
        <v>45997</v>
      </c>
      <c r="D1783" t="inlineStr">
        <is>
          <t>VÄRMLANDS LÄN</t>
        </is>
      </c>
      <c r="E1783" t="inlineStr">
        <is>
          <t>TORSBY</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45825-2025</t>
        </is>
      </c>
      <c r="B1784" s="1" t="n">
        <v>45923.59983796296</v>
      </c>
      <c r="C1784" s="1" t="n">
        <v>45997</v>
      </c>
      <c r="D1784" t="inlineStr">
        <is>
          <t>VÄRMLANDS LÄN</t>
        </is>
      </c>
      <c r="E1784" t="inlineStr">
        <is>
          <t>TORSBY</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28214-2025</t>
        </is>
      </c>
      <c r="B1785" s="1" t="n">
        <v>45818</v>
      </c>
      <c r="C1785" s="1" t="n">
        <v>45997</v>
      </c>
      <c r="D1785" t="inlineStr">
        <is>
          <t>VÄRMLANDS LÄN</t>
        </is>
      </c>
      <c r="E1785" t="inlineStr">
        <is>
          <t>TORSBY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50918-2025</t>
        </is>
      </c>
      <c r="B1786" s="1" t="n">
        <v>45946.66516203704</v>
      </c>
      <c r="C1786" s="1" t="n">
        <v>45997</v>
      </c>
      <c r="D1786" t="inlineStr">
        <is>
          <t>VÄRMLANDS LÄN</t>
        </is>
      </c>
      <c r="E1786" t="inlineStr">
        <is>
          <t>TORSBY</t>
        </is>
      </c>
      <c r="F1786" t="inlineStr">
        <is>
          <t>Kommuner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27906-2025</t>
        </is>
      </c>
      <c r="B1787" s="1" t="n">
        <v>45817.47108796296</v>
      </c>
      <c r="C1787" s="1" t="n">
        <v>45997</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58363-2025</t>
        </is>
      </c>
      <c r="B1788" s="1" t="n">
        <v>45985</v>
      </c>
      <c r="C1788" s="1" t="n">
        <v>45997</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50921-2025</t>
        </is>
      </c>
      <c r="B1789" s="1" t="n">
        <v>45946.67092592592</v>
      </c>
      <c r="C1789" s="1" t="n">
        <v>45997</v>
      </c>
      <c r="D1789" t="inlineStr">
        <is>
          <t>VÄRMLANDS LÄN</t>
        </is>
      </c>
      <c r="E1789" t="inlineStr">
        <is>
          <t>TORSBY</t>
        </is>
      </c>
      <c r="F1789" t="inlineStr">
        <is>
          <t>Kommuner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45966-2025</t>
        </is>
      </c>
      <c r="B1790" s="1" t="n">
        <v>45924</v>
      </c>
      <c r="C1790" s="1" t="n">
        <v>45997</v>
      </c>
      <c r="D1790" t="inlineStr">
        <is>
          <t>VÄRMLANDS LÄN</t>
        </is>
      </c>
      <c r="E1790" t="inlineStr">
        <is>
          <t>TORSBY</t>
        </is>
      </c>
      <c r="F1790" t="inlineStr">
        <is>
          <t>Övriga Aktiebolag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27759-2025</t>
        </is>
      </c>
      <c r="B1791" s="1" t="n">
        <v>45816.48986111111</v>
      </c>
      <c r="C1791" s="1" t="n">
        <v>45997</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45679-2025</t>
        </is>
      </c>
      <c r="B1792" s="1" t="n">
        <v>45923.36864583333</v>
      </c>
      <c r="C1792" s="1" t="n">
        <v>45997</v>
      </c>
      <c r="D1792" t="inlineStr">
        <is>
          <t>VÄRMLANDS LÄN</t>
        </is>
      </c>
      <c r="E1792" t="inlineStr">
        <is>
          <t>TORSBY</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27962-2025</t>
        </is>
      </c>
      <c r="B1793" s="1" t="n">
        <v>45817.54878472222</v>
      </c>
      <c r="C1793" s="1" t="n">
        <v>45997</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54817-2025</t>
        </is>
      </c>
      <c r="B1794" s="1" t="n">
        <v>45966.65671296296</v>
      </c>
      <c r="C1794" s="1" t="n">
        <v>45997</v>
      </c>
      <c r="D1794" t="inlineStr">
        <is>
          <t>VÄRMLANDS LÄN</t>
        </is>
      </c>
      <c r="E1794" t="inlineStr">
        <is>
          <t>TORSBY</t>
        </is>
      </c>
      <c r="F1794" t="inlineStr">
        <is>
          <t>Bergvik skog väst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27758-2025</t>
        </is>
      </c>
      <c r="B1795" s="1" t="n">
        <v>45816</v>
      </c>
      <c r="C1795" s="1" t="n">
        <v>45997</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27863-2025</t>
        </is>
      </c>
      <c r="B1796" s="1" t="n">
        <v>45817.42118055555</v>
      </c>
      <c r="C1796" s="1" t="n">
        <v>45997</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24493-2024</t>
        </is>
      </c>
      <c r="B1797" s="1" t="n">
        <v>45459.72136574074</v>
      </c>
      <c r="C1797" s="1" t="n">
        <v>45997</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46102-2025</t>
        </is>
      </c>
      <c r="B1798" s="1" t="n">
        <v>45924</v>
      </c>
      <c r="C1798" s="1" t="n">
        <v>45997</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46110-2025</t>
        </is>
      </c>
      <c r="B1799" s="1" t="n">
        <v>45924</v>
      </c>
      <c r="C1799" s="1" t="n">
        <v>45997</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52843-2025</t>
        </is>
      </c>
      <c r="B1800" s="1" t="n">
        <v>45957</v>
      </c>
      <c r="C1800" s="1" t="n">
        <v>45997</v>
      </c>
      <c r="D1800" t="inlineStr">
        <is>
          <t>VÄRMLANDS LÄN</t>
        </is>
      </c>
      <c r="E1800" t="inlineStr">
        <is>
          <t>TORSBY</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50906-2025</t>
        </is>
      </c>
      <c r="B1801" s="1" t="n">
        <v>45946.65119212963</v>
      </c>
      <c r="C1801" s="1" t="n">
        <v>45997</v>
      </c>
      <c r="D1801" t="inlineStr">
        <is>
          <t>VÄRMLANDS LÄN</t>
        </is>
      </c>
      <c r="E1801" t="inlineStr">
        <is>
          <t>TORSBY</t>
        </is>
      </c>
      <c r="F1801" t="inlineStr">
        <is>
          <t>Kommuner</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28612-2025</t>
        </is>
      </c>
      <c r="B1802" s="1" t="n">
        <v>45819</v>
      </c>
      <c r="C1802" s="1" t="n">
        <v>45997</v>
      </c>
      <c r="D1802" t="inlineStr">
        <is>
          <t>VÄRMLANDS LÄN</t>
        </is>
      </c>
      <c r="E1802" t="inlineStr">
        <is>
          <t>TORSBY</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58537-2025</t>
        </is>
      </c>
      <c r="B1803" s="1" t="n">
        <v>45985</v>
      </c>
      <c r="C1803" s="1" t="n">
        <v>45997</v>
      </c>
      <c r="D1803" t="inlineStr">
        <is>
          <t>VÄRMLANDS LÄN</t>
        </is>
      </c>
      <c r="E1803" t="inlineStr">
        <is>
          <t>TORSBY</t>
        </is>
      </c>
      <c r="F1803" t="inlineStr">
        <is>
          <t>Övriga statliga verk och myndigheter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54412-2025</t>
        </is>
      </c>
      <c r="B1804" s="1" t="n">
        <v>45965.46076388889</v>
      </c>
      <c r="C1804" s="1" t="n">
        <v>45997</v>
      </c>
      <c r="D1804" t="inlineStr">
        <is>
          <t>VÄRMLANDS LÄN</t>
        </is>
      </c>
      <c r="E1804" t="inlineStr">
        <is>
          <t>TORSBY</t>
        </is>
      </c>
      <c r="F1804" t="inlineStr">
        <is>
          <t>Bergvik skog väst AB</t>
        </is>
      </c>
      <c r="G1804" t="n">
        <v>37.8</v>
      </c>
      <c r="H1804" t="n">
        <v>0</v>
      </c>
      <c r="I1804" t="n">
        <v>0</v>
      </c>
      <c r="J1804" t="n">
        <v>0</v>
      </c>
      <c r="K1804" t="n">
        <v>0</v>
      </c>
      <c r="L1804" t="n">
        <v>0</v>
      </c>
      <c r="M1804" t="n">
        <v>0</v>
      </c>
      <c r="N1804" t="n">
        <v>0</v>
      </c>
      <c r="O1804" t="n">
        <v>0</v>
      </c>
      <c r="P1804" t="n">
        <v>0</v>
      </c>
      <c r="Q1804" t="n">
        <v>0</v>
      </c>
      <c r="R1804" s="2" t="inlineStr"/>
    </row>
    <row r="1805" ht="15" customHeight="1">
      <c r="A1805" t="inlineStr">
        <is>
          <t>A 50892-2025</t>
        </is>
      </c>
      <c r="B1805" s="1" t="n">
        <v>45946.63763888889</v>
      </c>
      <c r="C1805" s="1" t="n">
        <v>45997</v>
      </c>
      <c r="D1805" t="inlineStr">
        <is>
          <t>VÄRMLANDS LÄN</t>
        </is>
      </c>
      <c r="E1805" t="inlineStr">
        <is>
          <t>TORSBY</t>
        </is>
      </c>
      <c r="F1805" t="inlineStr">
        <is>
          <t>Kommuner</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28774-2025</t>
        </is>
      </c>
      <c r="B1806" s="1" t="n">
        <v>45820.4434375</v>
      </c>
      <c r="C1806" s="1" t="n">
        <v>45997</v>
      </c>
      <c r="D1806" t="inlineStr">
        <is>
          <t>VÄRMLANDS LÄN</t>
        </is>
      </c>
      <c r="E1806" t="inlineStr">
        <is>
          <t>TORSBY</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28939-2025</t>
        </is>
      </c>
      <c r="B1807" s="1" t="n">
        <v>45820.71350694444</v>
      </c>
      <c r="C1807" s="1" t="n">
        <v>45997</v>
      </c>
      <c r="D1807" t="inlineStr">
        <is>
          <t>VÄRMLANDS LÄN</t>
        </is>
      </c>
      <c r="E1807" t="inlineStr">
        <is>
          <t>TORSBY</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28380-2025</t>
        </is>
      </c>
      <c r="B1808" s="1" t="n">
        <v>45819.30581018519</v>
      </c>
      <c r="C1808" s="1" t="n">
        <v>45997</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54729-2025</t>
        </is>
      </c>
      <c r="B1809" s="1" t="n">
        <v>45966.55791666666</v>
      </c>
      <c r="C1809" s="1" t="n">
        <v>45997</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28761-2025</t>
        </is>
      </c>
      <c r="B1810" s="1" t="n">
        <v>45820.41648148148</v>
      </c>
      <c r="C1810" s="1" t="n">
        <v>45997</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56747-2025</t>
        </is>
      </c>
      <c r="B1811" s="1" t="n">
        <v>45978</v>
      </c>
      <c r="C1811" s="1" t="n">
        <v>45997</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28765-2025</t>
        </is>
      </c>
      <c r="B1812" s="1" t="n">
        <v>45820.41982638889</v>
      </c>
      <c r="C1812" s="1" t="n">
        <v>45997</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28898-2025</t>
        </is>
      </c>
      <c r="B1813" s="1" t="n">
        <v>45820.63644675926</v>
      </c>
      <c r="C1813" s="1" t="n">
        <v>45997</v>
      </c>
      <c r="D1813" t="inlineStr">
        <is>
          <t>VÄRMLANDS LÄN</t>
        </is>
      </c>
      <c r="E1813" t="inlineStr">
        <is>
          <t>TORSBY</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58840-2025</t>
        </is>
      </c>
      <c r="B1814" s="1" t="n">
        <v>45987.36246527778</v>
      </c>
      <c r="C1814" s="1" t="n">
        <v>45997</v>
      </c>
      <c r="D1814" t="inlineStr">
        <is>
          <t>VÄRMLANDS LÄN</t>
        </is>
      </c>
      <c r="E1814" t="inlineStr">
        <is>
          <t>TORSBY</t>
        </is>
      </c>
      <c r="F1814" t="inlineStr">
        <is>
          <t>Bergvik skog väst AB</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28784-2025</t>
        </is>
      </c>
      <c r="B1815" s="1" t="n">
        <v>45820</v>
      </c>
      <c r="C1815" s="1" t="n">
        <v>45997</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28511-2025</t>
        </is>
      </c>
      <c r="B1816" s="1" t="n">
        <v>45819</v>
      </c>
      <c r="C1816" s="1" t="n">
        <v>45997</v>
      </c>
      <c r="D1816" t="inlineStr">
        <is>
          <t>VÄRMLANDS LÄN</t>
        </is>
      </c>
      <c r="E1816" t="inlineStr">
        <is>
          <t>TORSBY</t>
        </is>
      </c>
      <c r="F1816" t="inlineStr">
        <is>
          <t>Bergvik skog väst AB</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57787-2025</t>
        </is>
      </c>
      <c r="B1817" s="1" t="n">
        <v>45981</v>
      </c>
      <c r="C1817" s="1" t="n">
        <v>45997</v>
      </c>
      <c r="D1817" t="inlineStr">
        <is>
          <t>VÄRMLANDS LÄN</t>
        </is>
      </c>
      <c r="E1817" t="inlineStr">
        <is>
          <t>TORSBY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28791-2025</t>
        </is>
      </c>
      <c r="B1818" s="1" t="n">
        <v>45820</v>
      </c>
      <c r="C1818" s="1" t="n">
        <v>45997</v>
      </c>
      <c r="D1818" t="inlineStr">
        <is>
          <t>VÄRMLANDS LÄN</t>
        </is>
      </c>
      <c r="E1818" t="inlineStr">
        <is>
          <t>TORSBY</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54505-2025</t>
        </is>
      </c>
      <c r="B1819" s="1" t="n">
        <v>45965.6169212963</v>
      </c>
      <c r="C1819" s="1" t="n">
        <v>45997</v>
      </c>
      <c r="D1819" t="inlineStr">
        <is>
          <t>VÄRMLANDS LÄN</t>
        </is>
      </c>
      <c r="E1819" t="inlineStr">
        <is>
          <t>TORSBY</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58901-2025</t>
        </is>
      </c>
      <c r="B1820" s="1" t="n">
        <v>45987.50243055556</v>
      </c>
      <c r="C1820" s="1" t="n">
        <v>45997</v>
      </c>
      <c r="D1820" t="inlineStr">
        <is>
          <t>VÄRMLANDS LÄN</t>
        </is>
      </c>
      <c r="E1820" t="inlineStr">
        <is>
          <t>TORSBY</t>
        </is>
      </c>
      <c r="F1820" t="inlineStr">
        <is>
          <t>Bergvik skog väst AB</t>
        </is>
      </c>
      <c r="G1820" t="n">
        <v>25.3</v>
      </c>
      <c r="H1820" t="n">
        <v>0</v>
      </c>
      <c r="I1820" t="n">
        <v>0</v>
      </c>
      <c r="J1820" t="n">
        <v>0</v>
      </c>
      <c r="K1820" t="n">
        <v>0</v>
      </c>
      <c r="L1820" t="n">
        <v>0</v>
      </c>
      <c r="M1820" t="n">
        <v>0</v>
      </c>
      <c r="N1820" t="n">
        <v>0</v>
      </c>
      <c r="O1820" t="n">
        <v>0</v>
      </c>
      <c r="P1820" t="n">
        <v>0</v>
      </c>
      <c r="Q1820" t="n">
        <v>0</v>
      </c>
      <c r="R1820" s="2" t="inlineStr"/>
    </row>
    <row r="1821" ht="15" customHeight="1">
      <c r="A1821" t="inlineStr">
        <is>
          <t>A 56772-2025</t>
        </is>
      </c>
      <c r="B1821" s="1" t="n">
        <v>45978</v>
      </c>
      <c r="C1821" s="1" t="n">
        <v>45997</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28757-2025</t>
        </is>
      </c>
      <c r="B1822" s="1" t="n">
        <v>45820</v>
      </c>
      <c r="C1822" s="1" t="n">
        <v>45997</v>
      </c>
      <c r="D1822" t="inlineStr">
        <is>
          <t>VÄRMLANDS LÄN</t>
        </is>
      </c>
      <c r="E1822" t="inlineStr">
        <is>
          <t>TORSBY</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56778-2025</t>
        </is>
      </c>
      <c r="B1823" s="1" t="n">
        <v>45978</v>
      </c>
      <c r="C1823" s="1" t="n">
        <v>45997</v>
      </c>
      <c r="D1823" t="inlineStr">
        <is>
          <t>VÄRMLANDS LÄN</t>
        </is>
      </c>
      <c r="E1823" t="inlineStr">
        <is>
          <t>TORSBY</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58903-2025</t>
        </is>
      </c>
      <c r="B1824" s="1" t="n">
        <v>45987.50533564815</v>
      </c>
      <c r="C1824" s="1" t="n">
        <v>45997</v>
      </c>
      <c r="D1824" t="inlineStr">
        <is>
          <t>VÄRMLANDS LÄN</t>
        </is>
      </c>
      <c r="E1824" t="inlineStr">
        <is>
          <t>TORSBY</t>
        </is>
      </c>
      <c r="F1824" t="inlineStr">
        <is>
          <t>Bergvik skog väst AB</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58899-2025</t>
        </is>
      </c>
      <c r="B1825" s="1" t="n">
        <v>45987.500625</v>
      </c>
      <c r="C1825" s="1" t="n">
        <v>45997</v>
      </c>
      <c r="D1825" t="inlineStr">
        <is>
          <t>VÄRMLANDS LÄN</t>
        </is>
      </c>
      <c r="E1825" t="inlineStr">
        <is>
          <t>TORSBY</t>
        </is>
      </c>
      <c r="F1825" t="inlineStr">
        <is>
          <t>Bergvik skog väst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58246-2025</t>
        </is>
      </c>
      <c r="B1826" s="1" t="n">
        <v>45981</v>
      </c>
      <c r="C1826" s="1" t="n">
        <v>45997</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29312-2025</t>
        </is>
      </c>
      <c r="B1827" s="1" t="n">
        <v>45824</v>
      </c>
      <c r="C1827" s="1" t="n">
        <v>45997</v>
      </c>
      <c r="D1827" t="inlineStr">
        <is>
          <t>VÄRMLANDS LÄN</t>
        </is>
      </c>
      <c r="E1827" t="inlineStr">
        <is>
          <t>TORSBY</t>
        </is>
      </c>
      <c r="F1827" t="inlineStr">
        <is>
          <t>Övriga Aktiebolag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54762-2025</t>
        </is>
      </c>
      <c r="B1828" s="1" t="n">
        <v>45966.60082175926</v>
      </c>
      <c r="C1828" s="1" t="n">
        <v>45997</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58928-2025</t>
        </is>
      </c>
      <c r="B1829" s="1" t="n">
        <v>45987</v>
      </c>
      <c r="C1829" s="1" t="n">
        <v>45997</v>
      </c>
      <c r="D1829" t="inlineStr">
        <is>
          <t>VÄRMLANDS LÄN</t>
        </is>
      </c>
      <c r="E1829" t="inlineStr">
        <is>
          <t>TORSBY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29071-2025</t>
        </is>
      </c>
      <c r="B1830" s="1" t="n">
        <v>45821</v>
      </c>
      <c r="C1830" s="1" t="n">
        <v>45997</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38699-2022</t>
        </is>
      </c>
      <c r="B1831" s="1" t="n">
        <v>44814.53259259259</v>
      </c>
      <c r="C1831" s="1" t="n">
        <v>45997</v>
      </c>
      <c r="D1831" t="inlineStr">
        <is>
          <t>VÄRMLANDS LÄN</t>
        </is>
      </c>
      <c r="E1831" t="inlineStr">
        <is>
          <t>TORSBY</t>
        </is>
      </c>
      <c r="F1831" t="inlineStr">
        <is>
          <t>Bergvik skog väst AB</t>
        </is>
      </c>
      <c r="G1831" t="n">
        <v>22.6</v>
      </c>
      <c r="H1831" t="n">
        <v>0</v>
      </c>
      <c r="I1831" t="n">
        <v>0</v>
      </c>
      <c r="J1831" t="n">
        <v>0</v>
      </c>
      <c r="K1831" t="n">
        <v>0</v>
      </c>
      <c r="L1831" t="n">
        <v>0</v>
      </c>
      <c r="M1831" t="n">
        <v>0</v>
      </c>
      <c r="N1831" t="n">
        <v>0</v>
      </c>
      <c r="O1831" t="n">
        <v>0</v>
      </c>
      <c r="P1831" t="n">
        <v>0</v>
      </c>
      <c r="Q1831" t="n">
        <v>0</v>
      </c>
      <c r="R1831" s="2" t="inlineStr"/>
    </row>
    <row r="1832" ht="15" customHeight="1">
      <c r="A1832" t="inlineStr">
        <is>
          <t>A 29403-2025</t>
        </is>
      </c>
      <c r="B1832" s="1" t="n">
        <v>45824.61469907407</v>
      </c>
      <c r="C1832" s="1" t="n">
        <v>45997</v>
      </c>
      <c r="D1832" t="inlineStr">
        <is>
          <t>VÄRMLANDS LÄN</t>
        </is>
      </c>
      <c r="E1832" t="inlineStr">
        <is>
          <t>TORSBY</t>
        </is>
      </c>
      <c r="F1832" t="inlineStr">
        <is>
          <t>Bergvik skog väst AB</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45997</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58919-2025</t>
        </is>
      </c>
      <c r="B1834" s="1" t="n">
        <v>45987</v>
      </c>
      <c r="C1834" s="1" t="n">
        <v>45997</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29251-2025</t>
        </is>
      </c>
      <c r="B1835" s="1" t="n">
        <v>45824</v>
      </c>
      <c r="C1835" s="1" t="n">
        <v>45997</v>
      </c>
      <c r="D1835" t="inlineStr">
        <is>
          <t>VÄRMLANDS LÄN</t>
        </is>
      </c>
      <c r="E1835" t="inlineStr">
        <is>
          <t>TORSBY</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29063-2025</t>
        </is>
      </c>
      <c r="B1836" s="1" t="n">
        <v>45821</v>
      </c>
      <c r="C1836" s="1" t="n">
        <v>45997</v>
      </c>
      <c r="D1836" t="inlineStr">
        <is>
          <t>VÄRMLANDS LÄN</t>
        </is>
      </c>
      <c r="E1836" t="inlineStr">
        <is>
          <t>TORSBY</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29307-2025</t>
        </is>
      </c>
      <c r="B1837" s="1" t="n">
        <v>45824</v>
      </c>
      <c r="C1837" s="1" t="n">
        <v>45997</v>
      </c>
      <c r="D1837" t="inlineStr">
        <is>
          <t>VÄRMLANDS LÄN</t>
        </is>
      </c>
      <c r="E1837" t="inlineStr">
        <is>
          <t>TORSBY</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51113-2025</t>
        </is>
      </c>
      <c r="B1838" s="1" t="n">
        <v>45947.51290509259</v>
      </c>
      <c r="C1838" s="1" t="n">
        <v>45997</v>
      </c>
      <c r="D1838" t="inlineStr">
        <is>
          <t>VÄRMLANDS LÄN</t>
        </is>
      </c>
      <c r="E1838" t="inlineStr">
        <is>
          <t>TORSBY</t>
        </is>
      </c>
      <c r="F1838" t="inlineStr">
        <is>
          <t>Kommuner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46658-2025</t>
        </is>
      </c>
      <c r="B1839" s="1" t="n">
        <v>45926.49914351852</v>
      </c>
      <c r="C1839" s="1" t="n">
        <v>45997</v>
      </c>
      <c r="D1839" t="inlineStr">
        <is>
          <t>VÄRMLANDS LÄN</t>
        </is>
      </c>
      <c r="E1839" t="inlineStr">
        <is>
          <t>TORSBY</t>
        </is>
      </c>
      <c r="F1839" t="inlineStr">
        <is>
          <t>Bergvik skog väst AB</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46503-2025</t>
        </is>
      </c>
      <c r="B1840" s="1" t="n">
        <v>45925</v>
      </c>
      <c r="C1840" s="1" t="n">
        <v>45997</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46702-2025</t>
        </is>
      </c>
      <c r="B1841" s="1" t="n">
        <v>45926</v>
      </c>
      <c r="C1841" s="1" t="n">
        <v>45997</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46243-2025</t>
        </is>
      </c>
      <c r="B1842" s="1" t="n">
        <v>45925.32122685185</v>
      </c>
      <c r="C1842" s="1" t="n">
        <v>45997</v>
      </c>
      <c r="D1842" t="inlineStr">
        <is>
          <t>VÄRMLANDS LÄN</t>
        </is>
      </c>
      <c r="E1842" t="inlineStr">
        <is>
          <t>TORSBY</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59030-2025</t>
        </is>
      </c>
      <c r="B1843" s="1" t="n">
        <v>45988</v>
      </c>
      <c r="C1843" s="1" t="n">
        <v>45997</v>
      </c>
      <c r="D1843" t="inlineStr">
        <is>
          <t>VÄRMLANDS LÄN</t>
        </is>
      </c>
      <c r="E1843" t="inlineStr">
        <is>
          <t>TORSBY</t>
        </is>
      </c>
      <c r="F1843" t="inlineStr">
        <is>
          <t>Kyrkan</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46493-2025</t>
        </is>
      </c>
      <c r="B1844" s="1" t="n">
        <v>45925</v>
      </c>
      <c r="C1844" s="1" t="n">
        <v>45997</v>
      </c>
      <c r="D1844" t="inlineStr">
        <is>
          <t>VÄRMLANDS LÄN</t>
        </is>
      </c>
      <c r="E1844" t="inlineStr">
        <is>
          <t>TORSBY</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46550-2025</t>
        </is>
      </c>
      <c r="B1845" s="1" t="n">
        <v>45926</v>
      </c>
      <c r="C1845" s="1" t="n">
        <v>45997</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53714-2025</t>
        </is>
      </c>
      <c r="B1846" s="1" t="n">
        <v>45960</v>
      </c>
      <c r="C1846" s="1" t="n">
        <v>45997</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29587-2025</t>
        </is>
      </c>
      <c r="B1847" s="1" t="n">
        <v>45825.39394675926</v>
      </c>
      <c r="C1847" s="1" t="n">
        <v>45997</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51215-2025</t>
        </is>
      </c>
      <c r="B1848" s="1" t="n">
        <v>45947.64357638889</v>
      </c>
      <c r="C1848" s="1" t="n">
        <v>45997</v>
      </c>
      <c r="D1848" t="inlineStr">
        <is>
          <t>VÄRMLANDS LÄN</t>
        </is>
      </c>
      <c r="E1848" t="inlineStr">
        <is>
          <t>TORSBY</t>
        </is>
      </c>
      <c r="F1848" t="inlineStr">
        <is>
          <t>Bergvik skog väst AB</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51219-2025</t>
        </is>
      </c>
      <c r="B1849" s="1" t="n">
        <v>45947.64710648148</v>
      </c>
      <c r="C1849" s="1" t="n">
        <v>45997</v>
      </c>
      <c r="D1849" t="inlineStr">
        <is>
          <t>VÄRMLANDS LÄN</t>
        </is>
      </c>
      <c r="E1849" t="inlineStr">
        <is>
          <t>TORSBY</t>
        </is>
      </c>
      <c r="F1849" t="inlineStr">
        <is>
          <t>Bergvik skog väst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29702-2025</t>
        </is>
      </c>
      <c r="B1850" s="1" t="n">
        <v>45825.55667824074</v>
      </c>
      <c r="C1850" s="1" t="n">
        <v>45997</v>
      </c>
      <c r="D1850" t="inlineStr">
        <is>
          <t>VÄRMLANDS LÄN</t>
        </is>
      </c>
      <c r="E1850" t="inlineStr">
        <is>
          <t>TORSBY</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57935-2025</t>
        </is>
      </c>
      <c r="B1851" s="1" t="n">
        <v>45981</v>
      </c>
      <c r="C1851" s="1" t="n">
        <v>45997</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29641-2025</t>
        </is>
      </c>
      <c r="B1852" s="1" t="n">
        <v>45825.46285879629</v>
      </c>
      <c r="C1852" s="1" t="n">
        <v>45997</v>
      </c>
      <c r="D1852" t="inlineStr">
        <is>
          <t>VÄRMLANDS LÄN</t>
        </is>
      </c>
      <c r="E1852" t="inlineStr">
        <is>
          <t>TORSBY</t>
        </is>
      </c>
      <c r="G1852" t="n">
        <v>23.4</v>
      </c>
      <c r="H1852" t="n">
        <v>0</v>
      </c>
      <c r="I1852" t="n">
        <v>0</v>
      </c>
      <c r="J1852" t="n">
        <v>0</v>
      </c>
      <c r="K1852" t="n">
        <v>0</v>
      </c>
      <c r="L1852" t="n">
        <v>0</v>
      </c>
      <c r="M1852" t="n">
        <v>0</v>
      </c>
      <c r="N1852" t="n">
        <v>0</v>
      </c>
      <c r="O1852" t="n">
        <v>0</v>
      </c>
      <c r="P1852" t="n">
        <v>0</v>
      </c>
      <c r="Q1852" t="n">
        <v>0</v>
      </c>
      <c r="R1852" s="2" t="inlineStr"/>
    </row>
    <row r="1853" ht="15" customHeight="1">
      <c r="A1853" t="inlineStr">
        <is>
          <t>A 30078-2025</t>
        </is>
      </c>
      <c r="B1853" s="1" t="n">
        <v>45826.64291666666</v>
      </c>
      <c r="C1853" s="1" t="n">
        <v>45997</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55071-2025</t>
        </is>
      </c>
      <c r="B1854" s="1" t="n">
        <v>45967</v>
      </c>
      <c r="C1854" s="1" t="n">
        <v>45997</v>
      </c>
      <c r="D1854" t="inlineStr">
        <is>
          <t>VÄRMLANDS LÄN</t>
        </is>
      </c>
      <c r="E1854" t="inlineStr">
        <is>
          <t>TORSBY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46695-2025</t>
        </is>
      </c>
      <c r="B1855" s="1" t="n">
        <v>45926</v>
      </c>
      <c r="C1855" s="1" t="n">
        <v>45997</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30026-2025</t>
        </is>
      </c>
      <c r="B1856" s="1" t="n">
        <v>45826.5637037037</v>
      </c>
      <c r="C1856" s="1" t="n">
        <v>45997</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59536-2025</t>
        </is>
      </c>
      <c r="B1857" s="1" t="n">
        <v>45989</v>
      </c>
      <c r="C1857" s="1" t="n">
        <v>45997</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54692-2025</t>
        </is>
      </c>
      <c r="B1858" s="1" t="n">
        <v>45966</v>
      </c>
      <c r="C1858" s="1" t="n">
        <v>45997</v>
      </c>
      <c r="D1858" t="inlineStr">
        <is>
          <t>VÄRMLANDS LÄN</t>
        </is>
      </c>
      <c r="E1858" t="inlineStr">
        <is>
          <t>TORSBY</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29512-2025</t>
        </is>
      </c>
      <c r="B1859" s="1" t="n">
        <v>45825.31002314815</v>
      </c>
      <c r="C1859" s="1" t="n">
        <v>45997</v>
      </c>
      <c r="D1859" t="inlineStr">
        <is>
          <t>VÄRMLANDS LÄN</t>
        </is>
      </c>
      <c r="E1859" t="inlineStr">
        <is>
          <t>TORSBY</t>
        </is>
      </c>
      <c r="F1859" t="inlineStr">
        <is>
          <t>Bergvik skog väst AB</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29650-2025</t>
        </is>
      </c>
      <c r="B1860" s="1" t="n">
        <v>45825.47546296296</v>
      </c>
      <c r="C1860" s="1" t="n">
        <v>45997</v>
      </c>
      <c r="D1860" t="inlineStr">
        <is>
          <t>VÄRMLANDS LÄN</t>
        </is>
      </c>
      <c r="E1860" t="inlineStr">
        <is>
          <t>TORSBY</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30074-2025</t>
        </is>
      </c>
      <c r="B1861" s="1" t="n">
        <v>45826.63672453703</v>
      </c>
      <c r="C1861" s="1" t="n">
        <v>45997</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46334-2025</t>
        </is>
      </c>
      <c r="B1862" s="1" t="n">
        <v>45925.45925925926</v>
      </c>
      <c r="C1862" s="1" t="n">
        <v>45997</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54780-2025</t>
        </is>
      </c>
      <c r="B1863" s="1" t="n">
        <v>45966</v>
      </c>
      <c r="C1863" s="1" t="n">
        <v>45997</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30214-2025</t>
        </is>
      </c>
      <c r="B1864" s="1" t="n">
        <v>45827</v>
      </c>
      <c r="C1864" s="1" t="n">
        <v>45997</v>
      </c>
      <c r="D1864" t="inlineStr">
        <is>
          <t>VÄRMLANDS LÄN</t>
        </is>
      </c>
      <c r="E1864" t="inlineStr">
        <is>
          <t>TORSBY</t>
        </is>
      </c>
      <c r="F1864" t="inlineStr">
        <is>
          <t>Bergvik skog väst AB</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46326-2025</t>
        </is>
      </c>
      <c r="B1865" s="1" t="n">
        <v>45925.45237268518</v>
      </c>
      <c r="C1865" s="1" t="n">
        <v>45997</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46578-2025</t>
        </is>
      </c>
      <c r="B1866" s="1" t="n">
        <v>45926.37353009259</v>
      </c>
      <c r="C1866" s="1" t="n">
        <v>45997</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46293-2025</t>
        </is>
      </c>
      <c r="B1867" s="1" t="n">
        <v>45925.39297453704</v>
      </c>
      <c r="C1867" s="1" t="n">
        <v>45997</v>
      </c>
      <c r="D1867" t="inlineStr">
        <is>
          <t>VÄRMLANDS LÄN</t>
        </is>
      </c>
      <c r="E1867" t="inlineStr">
        <is>
          <t>TORSBY</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30433-2025</t>
        </is>
      </c>
      <c r="B1868" s="1" t="n">
        <v>45827</v>
      </c>
      <c r="C1868" s="1" t="n">
        <v>45997</v>
      </c>
      <c r="D1868" t="inlineStr">
        <is>
          <t>VÄRMLANDS LÄN</t>
        </is>
      </c>
      <c r="E1868" t="inlineStr">
        <is>
          <t>TORSBY</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30199-2025</t>
        </is>
      </c>
      <c r="B1869" s="1" t="n">
        <v>45827</v>
      </c>
      <c r="C1869" s="1" t="n">
        <v>45997</v>
      </c>
      <c r="D1869" t="inlineStr">
        <is>
          <t>VÄRMLANDS LÄN</t>
        </is>
      </c>
      <c r="E1869" t="inlineStr">
        <is>
          <t>TORSBY</t>
        </is>
      </c>
      <c r="F1869" t="inlineStr">
        <is>
          <t>Bergvik skog väst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58540-2025</t>
        </is>
      </c>
      <c r="B1870" s="1" t="n">
        <v>45985</v>
      </c>
      <c r="C1870" s="1" t="n">
        <v>45997</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59864-2025</t>
        </is>
      </c>
      <c r="B1871" s="1" t="n">
        <v>45992.83108796296</v>
      </c>
      <c r="C1871" s="1" t="n">
        <v>45997</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30380-2025</t>
        </is>
      </c>
      <c r="B1872" s="1" t="n">
        <v>45827</v>
      </c>
      <c r="C1872" s="1" t="n">
        <v>45997</v>
      </c>
      <c r="D1872" t="inlineStr">
        <is>
          <t>VÄRMLANDS LÄN</t>
        </is>
      </c>
      <c r="E1872" t="inlineStr">
        <is>
          <t>TORSBY</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57071-2022</t>
        </is>
      </c>
      <c r="B1873" s="1" t="n">
        <v>44895.42334490741</v>
      </c>
      <c r="C1873" s="1" t="n">
        <v>45997</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30151-2025</t>
        </is>
      </c>
      <c r="B1874" s="1" t="n">
        <v>45827</v>
      </c>
      <c r="C1874" s="1" t="n">
        <v>45997</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30153-2025</t>
        </is>
      </c>
      <c r="B1875" s="1" t="n">
        <v>45827.31736111111</v>
      </c>
      <c r="C1875" s="1" t="n">
        <v>45997</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59685-2025</t>
        </is>
      </c>
      <c r="B1876" s="1" t="n">
        <v>45992.47407407407</v>
      </c>
      <c r="C1876" s="1" t="n">
        <v>45997</v>
      </c>
      <c r="D1876" t="inlineStr">
        <is>
          <t>VÄRMLANDS LÄN</t>
        </is>
      </c>
      <c r="E1876" t="inlineStr">
        <is>
          <t>TORSBY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51914-2025</t>
        </is>
      </c>
      <c r="B1877" s="1" t="n">
        <v>45952.47380787037</v>
      </c>
      <c r="C1877" s="1" t="n">
        <v>45997</v>
      </c>
      <c r="D1877" t="inlineStr">
        <is>
          <t>VÄRMLANDS LÄN</t>
        </is>
      </c>
      <c r="E1877" t="inlineStr">
        <is>
          <t>TORSBY</t>
        </is>
      </c>
      <c r="F1877" t="inlineStr">
        <is>
          <t>Kyrkan</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51927-2025</t>
        </is>
      </c>
      <c r="B1878" s="1" t="n">
        <v>45952.49587962963</v>
      </c>
      <c r="C1878" s="1" t="n">
        <v>45997</v>
      </c>
      <c r="D1878" t="inlineStr">
        <is>
          <t>VÄRMLANDS LÄN</t>
        </is>
      </c>
      <c r="E1878" t="inlineStr">
        <is>
          <t>TORSBY</t>
        </is>
      </c>
      <c r="F1878" t="inlineStr">
        <is>
          <t>Kyrkan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30333-2025</t>
        </is>
      </c>
      <c r="B1879" s="1" t="n">
        <v>45827</v>
      </c>
      <c r="C1879" s="1" t="n">
        <v>45997</v>
      </c>
      <c r="D1879" t="inlineStr">
        <is>
          <t>VÄRMLANDS LÄN</t>
        </is>
      </c>
      <c r="E1879" t="inlineStr">
        <is>
          <t>TORSBY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51754-2025</t>
        </is>
      </c>
      <c r="B1880" s="1" t="n">
        <v>45951.62231481481</v>
      </c>
      <c r="C1880" s="1" t="n">
        <v>45997</v>
      </c>
      <c r="D1880" t="inlineStr">
        <is>
          <t>VÄRMLANDS LÄN</t>
        </is>
      </c>
      <c r="E1880" t="inlineStr">
        <is>
          <t>TORSBY</t>
        </is>
      </c>
      <c r="F1880" t="inlineStr">
        <is>
          <t>Bergvik skog väst AB</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30377-2025</t>
        </is>
      </c>
      <c r="B1881" s="1" t="n">
        <v>45827</v>
      </c>
      <c r="C1881" s="1" t="n">
        <v>45997</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30388-2025</t>
        </is>
      </c>
      <c r="B1882" s="1" t="n">
        <v>45827.5734837963</v>
      </c>
      <c r="C1882" s="1" t="n">
        <v>45997</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51633-2025</t>
        </is>
      </c>
      <c r="B1883" s="1" t="n">
        <v>45951.42775462963</v>
      </c>
      <c r="C1883" s="1" t="n">
        <v>45997</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30974-2025</t>
        </is>
      </c>
      <c r="B1884" s="1" t="n">
        <v>45832.46305555556</v>
      </c>
      <c r="C1884" s="1" t="n">
        <v>45997</v>
      </c>
      <c r="D1884" t="inlineStr">
        <is>
          <t>VÄRMLANDS LÄN</t>
        </is>
      </c>
      <c r="E1884" t="inlineStr">
        <is>
          <t>TORSBY</t>
        </is>
      </c>
      <c r="G1884" t="n">
        <v>29.2</v>
      </c>
      <c r="H1884" t="n">
        <v>0</v>
      </c>
      <c r="I1884" t="n">
        <v>0</v>
      </c>
      <c r="J1884" t="n">
        <v>0</v>
      </c>
      <c r="K1884" t="n">
        <v>0</v>
      </c>
      <c r="L1884" t="n">
        <v>0</v>
      </c>
      <c r="M1884" t="n">
        <v>0</v>
      </c>
      <c r="N1884" t="n">
        <v>0</v>
      </c>
      <c r="O1884" t="n">
        <v>0</v>
      </c>
      <c r="P1884" t="n">
        <v>0</v>
      </c>
      <c r="Q1884" t="n">
        <v>0</v>
      </c>
      <c r="R1884" s="2" t="inlineStr"/>
    </row>
    <row r="1885" ht="15" customHeight="1">
      <c r="A1885" t="inlineStr">
        <is>
          <t>A 52261-2025</t>
        </is>
      </c>
      <c r="B1885" s="1" t="n">
        <v>45952</v>
      </c>
      <c r="C1885" s="1" t="n">
        <v>45997</v>
      </c>
      <c r="D1885" t="inlineStr">
        <is>
          <t>VÄRMLANDS LÄN</t>
        </is>
      </c>
      <c r="E1885" t="inlineStr">
        <is>
          <t>TORSBY</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52364-2025</t>
        </is>
      </c>
      <c r="B1886" s="1" t="n">
        <v>45952</v>
      </c>
      <c r="C1886" s="1" t="n">
        <v>45997</v>
      </c>
      <c r="D1886" t="inlineStr">
        <is>
          <t>VÄRMLANDS LÄN</t>
        </is>
      </c>
      <c r="E1886" t="inlineStr">
        <is>
          <t>TORSBY</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55178-2025</t>
        </is>
      </c>
      <c r="B1887" s="1" t="n">
        <v>45968</v>
      </c>
      <c r="C1887" s="1" t="n">
        <v>45997</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30738-2025</t>
        </is>
      </c>
      <c r="B1888" s="1" t="n">
        <v>45831.57583333334</v>
      </c>
      <c r="C1888" s="1" t="n">
        <v>45997</v>
      </c>
      <c r="D1888" t="inlineStr">
        <is>
          <t>VÄRMLANDS LÄN</t>
        </is>
      </c>
      <c r="E1888" t="inlineStr">
        <is>
          <t>TORSBY</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51659-2025</t>
        </is>
      </c>
      <c r="B1889" s="1" t="n">
        <v>45951.47482638889</v>
      </c>
      <c r="C1889" s="1" t="n">
        <v>45997</v>
      </c>
      <c r="D1889" t="inlineStr">
        <is>
          <t>VÄRMLANDS LÄN</t>
        </is>
      </c>
      <c r="E1889" t="inlineStr">
        <is>
          <t>TORSBY</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31101-2025</t>
        </is>
      </c>
      <c r="B1890" s="1" t="n">
        <v>45832</v>
      </c>
      <c r="C1890" s="1" t="n">
        <v>45997</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59649-2025</t>
        </is>
      </c>
      <c r="B1891" s="1" t="n">
        <v>45992</v>
      </c>
      <c r="C1891" s="1" t="n">
        <v>45997</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56098-2025</t>
        </is>
      </c>
      <c r="B1892" s="1" t="n">
        <v>45973</v>
      </c>
      <c r="C1892" s="1" t="n">
        <v>45997</v>
      </c>
      <c r="D1892" t="inlineStr">
        <is>
          <t>VÄRMLANDS LÄN</t>
        </is>
      </c>
      <c r="E1892" t="inlineStr">
        <is>
          <t>TORSBY</t>
        </is>
      </c>
      <c r="F1892" t="inlineStr">
        <is>
          <t>Kyrkan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58978-2025</t>
        </is>
      </c>
      <c r="B1893" s="1" t="n">
        <v>45987</v>
      </c>
      <c r="C1893" s="1" t="n">
        <v>45997</v>
      </c>
      <c r="D1893" t="inlineStr">
        <is>
          <t>VÄRMLANDS LÄN</t>
        </is>
      </c>
      <c r="E1893" t="inlineStr">
        <is>
          <t>TORSBY</t>
        </is>
      </c>
      <c r="F1893" t="inlineStr">
        <is>
          <t>Bergvik skog väst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51873-2025</t>
        </is>
      </c>
      <c r="B1894" s="1" t="n">
        <v>45952.39040509259</v>
      </c>
      <c r="C1894" s="1" t="n">
        <v>45997</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52358-2025</t>
        </is>
      </c>
      <c r="B1895" s="1" t="n">
        <v>45952</v>
      </c>
      <c r="C1895" s="1" t="n">
        <v>45997</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30560-2025</t>
        </is>
      </c>
      <c r="B1896" s="1" t="n">
        <v>45831.39497685185</v>
      </c>
      <c r="C1896" s="1" t="n">
        <v>45997</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55139-2025</t>
        </is>
      </c>
      <c r="B1897" s="1" t="n">
        <v>45968.42827546296</v>
      </c>
      <c r="C1897" s="1" t="n">
        <v>45997</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52026-2025</t>
        </is>
      </c>
      <c r="B1898" s="1" t="n">
        <v>45952</v>
      </c>
      <c r="C1898" s="1" t="n">
        <v>45997</v>
      </c>
      <c r="D1898" t="inlineStr">
        <is>
          <t>VÄRMLANDS LÄN</t>
        </is>
      </c>
      <c r="E1898" t="inlineStr">
        <is>
          <t>TORSBY</t>
        </is>
      </c>
      <c r="F1898" t="inlineStr">
        <is>
          <t>Bergvik skog väst AB</t>
        </is>
      </c>
      <c r="G1898" t="n">
        <v>15.7</v>
      </c>
      <c r="H1898" t="n">
        <v>0</v>
      </c>
      <c r="I1898" t="n">
        <v>0</v>
      </c>
      <c r="J1898" t="n">
        <v>0</v>
      </c>
      <c r="K1898" t="n">
        <v>0</v>
      </c>
      <c r="L1898" t="n">
        <v>0</v>
      </c>
      <c r="M1898" t="n">
        <v>0</v>
      </c>
      <c r="N1898" t="n">
        <v>0</v>
      </c>
      <c r="O1898" t="n">
        <v>0</v>
      </c>
      <c r="P1898" t="n">
        <v>0</v>
      </c>
      <c r="Q1898" t="n">
        <v>0</v>
      </c>
      <c r="R1898" s="2" t="inlineStr"/>
    </row>
    <row r="1899" ht="15" customHeight="1">
      <c r="A1899" t="inlineStr">
        <is>
          <t>A 51637-2025</t>
        </is>
      </c>
      <c r="B1899" s="1" t="n">
        <v>45951.43625</v>
      </c>
      <c r="C1899" s="1" t="n">
        <v>45997</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59729-2025</t>
        </is>
      </c>
      <c r="B1900" s="1" t="n">
        <v>45992</v>
      </c>
      <c r="C1900" s="1" t="n">
        <v>45997</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53493-2025</t>
        </is>
      </c>
      <c r="B1901" s="1" t="n">
        <v>45960</v>
      </c>
      <c r="C1901" s="1" t="n">
        <v>45997</v>
      </c>
      <c r="D1901" t="inlineStr">
        <is>
          <t>VÄRMLANDS LÄN</t>
        </is>
      </c>
      <c r="E1901" t="inlineStr">
        <is>
          <t>TORSBY</t>
        </is>
      </c>
      <c r="F1901" t="inlineStr">
        <is>
          <t>Bergvik skog väst AB</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57137-2025</t>
        </is>
      </c>
      <c r="B1902" s="1" t="n">
        <v>45979</v>
      </c>
      <c r="C1902" s="1" t="n">
        <v>45997</v>
      </c>
      <c r="D1902" t="inlineStr">
        <is>
          <t>VÄRMLANDS LÄN</t>
        </is>
      </c>
      <c r="E1902" t="inlineStr">
        <is>
          <t>TORSBY</t>
        </is>
      </c>
      <c r="F1902" t="inlineStr">
        <is>
          <t>Övriga statliga verk och myndigheter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30607-2025</t>
        </is>
      </c>
      <c r="B1903" s="1" t="n">
        <v>45831.4584375</v>
      </c>
      <c r="C1903" s="1" t="n">
        <v>45997</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51819-2025</t>
        </is>
      </c>
      <c r="B1904" s="1" t="n">
        <v>45951.88194444445</v>
      </c>
      <c r="C1904" s="1" t="n">
        <v>45997</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30717-2025</t>
        </is>
      </c>
      <c r="B1905" s="1" t="n">
        <v>45831.56103009259</v>
      </c>
      <c r="C1905" s="1" t="n">
        <v>45997</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52995-2025</t>
        </is>
      </c>
      <c r="B1906" s="1" t="n">
        <v>45957</v>
      </c>
      <c r="C1906" s="1" t="n">
        <v>45997</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51694-2025</t>
        </is>
      </c>
      <c r="B1907" s="1" t="n">
        <v>45951.54628472222</v>
      </c>
      <c r="C1907" s="1" t="n">
        <v>45997</v>
      </c>
      <c r="D1907" t="inlineStr">
        <is>
          <t>VÄRMLANDS LÄN</t>
        </is>
      </c>
      <c r="E1907" t="inlineStr">
        <is>
          <t>TORSBY</t>
        </is>
      </c>
      <c r="F1907" t="inlineStr">
        <is>
          <t>Bergvik skog väst AB</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31547-2025</t>
        </is>
      </c>
      <c r="B1908" s="1" t="n">
        <v>45833.63733796297</v>
      </c>
      <c r="C1908" s="1" t="n">
        <v>45997</v>
      </c>
      <c r="D1908" t="inlineStr">
        <is>
          <t>VÄRMLANDS LÄN</t>
        </is>
      </c>
      <c r="E1908" t="inlineStr">
        <is>
          <t>TORSBY</t>
        </is>
      </c>
      <c r="F1908" t="inlineStr">
        <is>
          <t>Bergvik skog väst AB</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52067-2025</t>
        </is>
      </c>
      <c r="B1909" s="1" t="n">
        <v>45952.64248842592</v>
      </c>
      <c r="C1909" s="1" t="n">
        <v>45997</v>
      </c>
      <c r="D1909" t="inlineStr">
        <is>
          <t>VÄRMLANDS LÄN</t>
        </is>
      </c>
      <c r="E1909" t="inlineStr">
        <is>
          <t>TORSBY</t>
        </is>
      </c>
      <c r="F1909" t="inlineStr">
        <is>
          <t>Bergvik skog väst AB</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52045-2025</t>
        </is>
      </c>
      <c r="B1910" s="1" t="n">
        <v>45952.61650462963</v>
      </c>
      <c r="C1910" s="1" t="n">
        <v>45997</v>
      </c>
      <c r="D1910" t="inlineStr">
        <is>
          <t>VÄRMLANDS LÄN</t>
        </is>
      </c>
      <c r="E1910" t="inlineStr">
        <is>
          <t>TORSBY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16488-2024</t>
        </is>
      </c>
      <c r="B1911" s="1" t="n">
        <v>45408.34597222223</v>
      </c>
      <c r="C1911" s="1" t="n">
        <v>45997</v>
      </c>
      <c r="D1911" t="inlineStr">
        <is>
          <t>VÄRMLANDS LÄN</t>
        </is>
      </c>
      <c r="E1911" t="inlineStr">
        <is>
          <t>TORSBY</t>
        </is>
      </c>
      <c r="F1911" t="inlineStr">
        <is>
          <t>Bergvik skog väst AB</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59744-2025</t>
        </is>
      </c>
      <c r="B1912" s="1" t="n">
        <v>45992</v>
      </c>
      <c r="C1912" s="1" t="n">
        <v>45997</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31850-2025</t>
        </is>
      </c>
      <c r="B1913" s="1" t="n">
        <v>45834</v>
      </c>
      <c r="C1913" s="1" t="n">
        <v>45997</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31630-2025</t>
        </is>
      </c>
      <c r="B1914" s="1" t="n">
        <v>45834.32670138889</v>
      </c>
      <c r="C1914" s="1" t="n">
        <v>45997</v>
      </c>
      <c r="D1914" t="inlineStr">
        <is>
          <t>VÄRMLANDS LÄN</t>
        </is>
      </c>
      <c r="E1914" t="inlineStr">
        <is>
          <t>TORSBY</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52089-2025</t>
        </is>
      </c>
      <c r="B1915" s="1" t="n">
        <v>45952.67644675926</v>
      </c>
      <c r="C1915" s="1" t="n">
        <v>45997</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31902-2025</t>
        </is>
      </c>
      <c r="B1916" s="1" t="n">
        <v>45834.68592592593</v>
      </c>
      <c r="C1916" s="1" t="n">
        <v>45997</v>
      </c>
      <c r="D1916" t="inlineStr">
        <is>
          <t>VÄRMLANDS LÄN</t>
        </is>
      </c>
      <c r="E1916" t="inlineStr">
        <is>
          <t>TORSBY</t>
        </is>
      </c>
      <c r="G1916" t="n">
        <v>27.1</v>
      </c>
      <c r="H1916" t="n">
        <v>0</v>
      </c>
      <c r="I1916" t="n">
        <v>0</v>
      </c>
      <c r="J1916" t="n">
        <v>0</v>
      </c>
      <c r="K1916" t="n">
        <v>0</v>
      </c>
      <c r="L1916" t="n">
        <v>0</v>
      </c>
      <c r="M1916" t="n">
        <v>0</v>
      </c>
      <c r="N1916" t="n">
        <v>0</v>
      </c>
      <c r="O1916" t="n">
        <v>0</v>
      </c>
      <c r="P1916" t="n">
        <v>0</v>
      </c>
      <c r="Q1916" t="n">
        <v>0</v>
      </c>
      <c r="R1916" s="2" t="inlineStr"/>
    </row>
    <row r="1917" ht="15" customHeight="1">
      <c r="A1917" t="inlineStr">
        <is>
          <t>A 31906-2025</t>
        </is>
      </c>
      <c r="B1917" s="1" t="n">
        <v>45834.69046296296</v>
      </c>
      <c r="C1917" s="1" t="n">
        <v>45997</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52359-2025</t>
        </is>
      </c>
      <c r="B1918" s="1" t="n">
        <v>45952</v>
      </c>
      <c r="C1918" s="1" t="n">
        <v>45997</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31335-2025</t>
        </is>
      </c>
      <c r="B1919" s="1" t="n">
        <v>45833.42608796297</v>
      </c>
      <c r="C1919" s="1" t="n">
        <v>45997</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51793-2025</t>
        </is>
      </c>
      <c r="B1920" s="1" t="n">
        <v>45951.71525462963</v>
      </c>
      <c r="C1920" s="1" t="n">
        <v>45997</v>
      </c>
      <c r="D1920" t="inlineStr">
        <is>
          <t>VÄRMLANDS LÄN</t>
        </is>
      </c>
      <c r="E1920" t="inlineStr">
        <is>
          <t>TORSBY</t>
        </is>
      </c>
      <c r="F1920" t="inlineStr">
        <is>
          <t>Bergvik skog väst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52357-2025</t>
        </is>
      </c>
      <c r="B1921" s="1" t="n">
        <v>45952</v>
      </c>
      <c r="C1921" s="1" t="n">
        <v>45997</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52362-2025</t>
        </is>
      </c>
      <c r="B1922" s="1" t="n">
        <v>45952</v>
      </c>
      <c r="C1922" s="1" t="n">
        <v>45997</v>
      </c>
      <c r="D1922" t="inlineStr">
        <is>
          <t>VÄRMLANDS LÄN</t>
        </is>
      </c>
      <c r="E1922" t="inlineStr">
        <is>
          <t>TORSBY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57446-2025</t>
        </is>
      </c>
      <c r="B1923" s="1" t="n">
        <v>45980</v>
      </c>
      <c r="C1923" s="1" t="n">
        <v>45997</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51944-2025</t>
        </is>
      </c>
      <c r="B1924" s="1" t="n">
        <v>45952.52608796296</v>
      </c>
      <c r="C1924" s="1" t="n">
        <v>45997</v>
      </c>
      <c r="D1924" t="inlineStr">
        <is>
          <t>VÄRMLANDS LÄN</t>
        </is>
      </c>
      <c r="E1924" t="inlineStr">
        <is>
          <t>TORSBY</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51587-2025</t>
        </is>
      </c>
      <c r="B1925" s="1" t="n">
        <v>45951.35355324074</v>
      </c>
      <c r="C1925" s="1" t="n">
        <v>45997</v>
      </c>
      <c r="D1925" t="inlineStr">
        <is>
          <t>VÄRMLANDS LÄN</t>
        </is>
      </c>
      <c r="E1925" t="inlineStr">
        <is>
          <t>TORSBY</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59913-2025</t>
        </is>
      </c>
      <c r="B1926" s="1" t="n">
        <v>45993.36527777778</v>
      </c>
      <c r="C1926" s="1" t="n">
        <v>45997</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60411-2025</t>
        </is>
      </c>
      <c r="B1927" s="1" t="n">
        <v>45995</v>
      </c>
      <c r="C1927" s="1" t="n">
        <v>45997</v>
      </c>
      <c r="D1927" t="inlineStr">
        <is>
          <t>VÄRMLANDS LÄN</t>
        </is>
      </c>
      <c r="E1927" t="inlineStr">
        <is>
          <t>TORSBY</t>
        </is>
      </c>
      <c r="F1927" t="inlineStr">
        <is>
          <t>Bergvik skog väst AB</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52609-2025</t>
        </is>
      </c>
      <c r="B1928" s="1" t="n">
        <v>45954.66649305556</v>
      </c>
      <c r="C1928" s="1" t="n">
        <v>45997</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31672-2025</t>
        </is>
      </c>
      <c r="B1929" s="1" t="n">
        <v>45834.36979166666</v>
      </c>
      <c r="C1929" s="1" t="n">
        <v>45997</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31416-2025</t>
        </is>
      </c>
      <c r="B1930" s="1" t="n">
        <v>45833.48278935185</v>
      </c>
      <c r="C1930" s="1" t="n">
        <v>45997</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32134-2025</t>
        </is>
      </c>
      <c r="B1931" s="1" t="n">
        <v>45835.5102662037</v>
      </c>
      <c r="C1931" s="1" t="n">
        <v>45997</v>
      </c>
      <c r="D1931" t="inlineStr">
        <is>
          <t>VÄRMLANDS LÄN</t>
        </is>
      </c>
      <c r="E1931" t="inlineStr">
        <is>
          <t>TORSBY</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52277-2025</t>
        </is>
      </c>
      <c r="B1932" s="1" t="n">
        <v>45953.55915509259</v>
      </c>
      <c r="C1932" s="1" t="n">
        <v>45997</v>
      </c>
      <c r="D1932" t="inlineStr">
        <is>
          <t>VÄRMLANDS LÄN</t>
        </is>
      </c>
      <c r="E1932" t="inlineStr">
        <is>
          <t>TORSBY</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57073-2025</t>
        </is>
      </c>
      <c r="B1933" s="1" t="n">
        <v>45979</v>
      </c>
      <c r="C1933" s="1" t="n">
        <v>45997</v>
      </c>
      <c r="D1933" t="inlineStr">
        <is>
          <t>VÄRMLANDS LÄN</t>
        </is>
      </c>
      <c r="E1933" t="inlineStr">
        <is>
          <t>TORSBY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60593-2025</t>
        </is>
      </c>
      <c r="B1934" s="1" t="n">
        <v>45996.34353009259</v>
      </c>
      <c r="C1934" s="1" t="n">
        <v>45997</v>
      </c>
      <c r="D1934" t="inlineStr">
        <is>
          <t>VÄRMLANDS LÄN</t>
        </is>
      </c>
      <c r="E1934" t="inlineStr">
        <is>
          <t>TORSBY</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60414-2025</t>
        </is>
      </c>
      <c r="B1935" s="1" t="n">
        <v>45995</v>
      </c>
      <c r="C1935" s="1" t="n">
        <v>45997</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32622-2025</t>
        </is>
      </c>
      <c r="B1936" s="1" t="n">
        <v>45838</v>
      </c>
      <c r="C1936" s="1" t="n">
        <v>45997</v>
      </c>
      <c r="D1936" t="inlineStr">
        <is>
          <t>VÄRMLANDS LÄN</t>
        </is>
      </c>
      <c r="E1936" t="inlineStr">
        <is>
          <t>TORSBY</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32618-2025</t>
        </is>
      </c>
      <c r="B1937" s="1" t="n">
        <v>45838.6435300926</v>
      </c>
      <c r="C1937" s="1" t="n">
        <v>45997</v>
      </c>
      <c r="D1937" t="inlineStr">
        <is>
          <t>VÄRMLANDS LÄN</t>
        </is>
      </c>
      <c r="E1937" t="inlineStr">
        <is>
          <t>TORSBY</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60459-2025</t>
        </is>
      </c>
      <c r="B1938" s="1" t="n">
        <v>45995.54590277778</v>
      </c>
      <c r="C1938" s="1" t="n">
        <v>45997</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42414-2024</t>
        </is>
      </c>
      <c r="B1939" s="1" t="n">
        <v>45565</v>
      </c>
      <c r="C1939" s="1" t="n">
        <v>45997</v>
      </c>
      <c r="D1939" t="inlineStr">
        <is>
          <t>VÄRMLANDS LÄN</t>
        </is>
      </c>
      <c r="E1939" t="inlineStr">
        <is>
          <t>TORSBY</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32298-2025</t>
        </is>
      </c>
      <c r="B1940" s="1" t="n">
        <v>45835.7144675926</v>
      </c>
      <c r="C1940" s="1" t="n">
        <v>45997</v>
      </c>
      <c r="D1940" t="inlineStr">
        <is>
          <t>VÄRMLANDS LÄN</t>
        </is>
      </c>
      <c r="E1940" t="inlineStr">
        <is>
          <t>TORSBY</t>
        </is>
      </c>
      <c r="G1940" t="n">
        <v>19.2</v>
      </c>
      <c r="H1940" t="n">
        <v>0</v>
      </c>
      <c r="I1940" t="n">
        <v>0</v>
      </c>
      <c r="J1940" t="n">
        <v>0</v>
      </c>
      <c r="K1940" t="n">
        <v>0</v>
      </c>
      <c r="L1940" t="n">
        <v>0</v>
      </c>
      <c r="M1940" t="n">
        <v>0</v>
      </c>
      <c r="N1940" t="n">
        <v>0</v>
      </c>
      <c r="O1940" t="n">
        <v>0</v>
      </c>
      <c r="P1940" t="n">
        <v>0</v>
      </c>
      <c r="Q1940" t="n">
        <v>0</v>
      </c>
      <c r="R1940" s="2" t="inlineStr"/>
    </row>
    <row r="1941" ht="15" customHeight="1">
      <c r="A1941" t="inlineStr">
        <is>
          <t>A 32343-2025</t>
        </is>
      </c>
      <c r="B1941" s="1" t="n">
        <v>45837.37171296297</v>
      </c>
      <c r="C1941" s="1" t="n">
        <v>45997</v>
      </c>
      <c r="D1941" t="inlineStr">
        <is>
          <t>VÄRMLANDS LÄN</t>
        </is>
      </c>
      <c r="E1941" t="inlineStr">
        <is>
          <t>TORSBY</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54079-2025</t>
        </is>
      </c>
      <c r="B1942" s="1" t="n">
        <v>45964</v>
      </c>
      <c r="C1942" s="1" t="n">
        <v>45997</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32084-2025</t>
        </is>
      </c>
      <c r="B1943" s="1" t="n">
        <v>45835.45379629629</v>
      </c>
      <c r="C1943" s="1" t="n">
        <v>45997</v>
      </c>
      <c r="D1943" t="inlineStr">
        <is>
          <t>VÄRMLANDS LÄN</t>
        </is>
      </c>
      <c r="E1943" t="inlineStr">
        <is>
          <t>TORSBY</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32433-2025</t>
        </is>
      </c>
      <c r="B1944" s="1" t="n">
        <v>45838.37252314815</v>
      </c>
      <c r="C1944" s="1" t="n">
        <v>45997</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32342-2025</t>
        </is>
      </c>
      <c r="B1945" s="1" t="n">
        <v>45837.34560185186</v>
      </c>
      <c r="C1945" s="1" t="n">
        <v>45997</v>
      </c>
      <c r="D1945" t="inlineStr">
        <is>
          <t>VÄRMLANDS LÄN</t>
        </is>
      </c>
      <c r="E1945" t="inlineStr">
        <is>
          <t>TORSBY</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52436-2025</t>
        </is>
      </c>
      <c r="B1946" s="1" t="n">
        <v>45954.39688657408</v>
      </c>
      <c r="C1946" s="1" t="n">
        <v>45997</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32331-2025</t>
        </is>
      </c>
      <c r="B1947" s="1" t="n">
        <v>45836.50674768518</v>
      </c>
      <c r="C1947" s="1" t="n">
        <v>45997</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60346-2025</t>
        </is>
      </c>
      <c r="B1948" s="1" t="n">
        <v>45995</v>
      </c>
      <c r="C1948" s="1" t="n">
        <v>45997</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60485-2025</t>
        </is>
      </c>
      <c r="B1949" s="1" t="n">
        <v>45995.59924768518</v>
      </c>
      <c r="C1949" s="1" t="n">
        <v>45997</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32191-2025</t>
        </is>
      </c>
      <c r="B1950" s="1" t="n">
        <v>45835.57099537037</v>
      </c>
      <c r="C1950" s="1" t="n">
        <v>45997</v>
      </c>
      <c r="D1950" t="inlineStr">
        <is>
          <t>VÄRMLANDS LÄN</t>
        </is>
      </c>
      <c r="E1950" t="inlineStr">
        <is>
          <t>TORSBY</t>
        </is>
      </c>
      <c r="F1950" t="inlineStr">
        <is>
          <t>Bergvik skog väst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59009-2025</t>
        </is>
      </c>
      <c r="B1951" s="1" t="n">
        <v>45987</v>
      </c>
      <c r="C1951" s="1" t="n">
        <v>45997</v>
      </c>
      <c r="D1951" t="inlineStr">
        <is>
          <t>VÄRMLANDS LÄN</t>
        </is>
      </c>
      <c r="E1951" t="inlineStr">
        <is>
          <t>TORSBY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52577-2025</t>
        </is>
      </c>
      <c r="B1952" s="1" t="n">
        <v>45954</v>
      </c>
      <c r="C1952" s="1" t="n">
        <v>45997</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60392-2025</t>
        </is>
      </c>
      <c r="B1953" s="1" t="n">
        <v>45995.38917824074</v>
      </c>
      <c r="C1953" s="1" t="n">
        <v>45997</v>
      </c>
      <c r="D1953" t="inlineStr">
        <is>
          <t>VÄRMLANDS LÄN</t>
        </is>
      </c>
      <c r="E1953" t="inlineStr">
        <is>
          <t>TORSBY</t>
        </is>
      </c>
      <c r="F1953" t="inlineStr">
        <is>
          <t>Bergvik skog väst AB</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55177-2025</t>
        </is>
      </c>
      <c r="B1954" s="1" t="n">
        <v>45968</v>
      </c>
      <c r="C1954" s="1" t="n">
        <v>45997</v>
      </c>
      <c r="D1954" t="inlineStr">
        <is>
          <t>VÄRMLANDS LÄN</t>
        </is>
      </c>
      <c r="E1954" t="inlineStr">
        <is>
          <t>TORSBY</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52489-2025</t>
        </is>
      </c>
      <c r="B1955" s="1" t="n">
        <v>45954.48056712963</v>
      </c>
      <c r="C1955" s="1" t="n">
        <v>45997</v>
      </c>
      <c r="D1955" t="inlineStr">
        <is>
          <t>VÄRMLANDS LÄN</t>
        </is>
      </c>
      <c r="E1955" t="inlineStr">
        <is>
          <t>TORSBY</t>
        </is>
      </c>
      <c r="F1955" t="inlineStr">
        <is>
          <t>Bergvik skog väst AB</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52512-2025</t>
        </is>
      </c>
      <c r="B1956" s="1" t="n">
        <v>45954.50771990741</v>
      </c>
      <c r="C1956" s="1" t="n">
        <v>45997</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52564-2025</t>
        </is>
      </c>
      <c r="B1957" s="1" t="n">
        <v>45954</v>
      </c>
      <c r="C1957" s="1" t="n">
        <v>45997</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32339-2025</t>
        </is>
      </c>
      <c r="B1958" s="1" t="n">
        <v>45836.68836805555</v>
      </c>
      <c r="C1958" s="1" t="n">
        <v>45997</v>
      </c>
      <c r="D1958" t="inlineStr">
        <is>
          <t>VÄRMLANDS LÄN</t>
        </is>
      </c>
      <c r="E1958" t="inlineStr">
        <is>
          <t>TORSBY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32345-2025</t>
        </is>
      </c>
      <c r="B1959" s="1" t="n">
        <v>45837.44293981481</v>
      </c>
      <c r="C1959" s="1" t="n">
        <v>45997</v>
      </c>
      <c r="D1959" t="inlineStr">
        <is>
          <t>VÄRMLANDS LÄN</t>
        </is>
      </c>
      <c r="E1959" t="inlineStr">
        <is>
          <t>TORSBY</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60592-2025</t>
        </is>
      </c>
      <c r="B1960" s="1" t="n">
        <v>45996</v>
      </c>
      <c r="C1960" s="1" t="n">
        <v>45997</v>
      </c>
      <c r="D1960" t="inlineStr">
        <is>
          <t>VÄRMLANDS LÄN</t>
        </is>
      </c>
      <c r="E1960" t="inlineStr">
        <is>
          <t>TORSBY</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32555-2025</t>
        </is>
      </c>
      <c r="B1961" s="1" t="n">
        <v>45838.56084490741</v>
      </c>
      <c r="C1961" s="1" t="n">
        <v>45997</v>
      </c>
      <c r="D1961" t="inlineStr">
        <is>
          <t>VÄRMLANDS LÄN</t>
        </is>
      </c>
      <c r="E1961" t="inlineStr">
        <is>
          <t>TORSBY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52509-2025</t>
        </is>
      </c>
      <c r="B1962" s="1" t="n">
        <v>45954.50586805555</v>
      </c>
      <c r="C1962" s="1" t="n">
        <v>45997</v>
      </c>
      <c r="D1962" t="inlineStr">
        <is>
          <t>VÄRMLANDS LÄN</t>
        </is>
      </c>
      <c r="E1962" t="inlineStr">
        <is>
          <t>TORSBY</t>
        </is>
      </c>
      <c r="F1962" t="inlineStr">
        <is>
          <t>Bergvik skog väst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32348-2025</t>
        </is>
      </c>
      <c r="B1963" s="1" t="n">
        <v>45837.47078703704</v>
      </c>
      <c r="C1963" s="1" t="n">
        <v>45997</v>
      </c>
      <c r="D1963" t="inlineStr">
        <is>
          <t>VÄRMLANDS LÄN</t>
        </is>
      </c>
      <c r="E1963" t="inlineStr">
        <is>
          <t>TORSBY</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52493-2025</t>
        </is>
      </c>
      <c r="B1964" s="1" t="n">
        <v>45954.48518518519</v>
      </c>
      <c r="C1964" s="1" t="n">
        <v>45997</v>
      </c>
      <c r="D1964" t="inlineStr">
        <is>
          <t>VÄRMLANDS LÄN</t>
        </is>
      </c>
      <c r="E1964" t="inlineStr">
        <is>
          <t>TORSBY</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32054-2025</t>
        </is>
      </c>
      <c r="B1965" s="1" t="n">
        <v>45835</v>
      </c>
      <c r="C1965" s="1" t="n">
        <v>45997</v>
      </c>
      <c r="D1965" t="inlineStr">
        <is>
          <t>VÄRMLANDS LÄN</t>
        </is>
      </c>
      <c r="E1965" t="inlineStr">
        <is>
          <t>TORSBY</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33221-2025</t>
        </is>
      </c>
      <c r="B1966" s="1" t="n">
        <v>45840.63471064815</v>
      </c>
      <c r="C1966" s="1" t="n">
        <v>45997</v>
      </c>
      <c r="D1966" t="inlineStr">
        <is>
          <t>VÄRMLANDS LÄN</t>
        </is>
      </c>
      <c r="E1966" t="inlineStr">
        <is>
          <t>TORSBY</t>
        </is>
      </c>
      <c r="F1966" t="inlineStr">
        <is>
          <t>Bergvik skog väst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60189-2025</t>
        </is>
      </c>
      <c r="B1967" s="1" t="n">
        <v>45994</v>
      </c>
      <c r="C1967" s="1" t="n">
        <v>45997</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60461-2025</t>
        </is>
      </c>
      <c r="B1968" s="1" t="n">
        <v>45995.54976851852</v>
      </c>
      <c r="C1968" s="1" t="n">
        <v>45997</v>
      </c>
      <c r="D1968" t="inlineStr">
        <is>
          <t>VÄRMLANDS LÄN</t>
        </is>
      </c>
      <c r="E1968" t="inlineStr">
        <is>
          <t>TORSBY</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60479-2025</t>
        </is>
      </c>
      <c r="B1969" s="1" t="n">
        <v>45995.59563657407</v>
      </c>
      <c r="C1969" s="1" t="n">
        <v>45997</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52947-2025</t>
        </is>
      </c>
      <c r="B1970" s="1" t="n">
        <v>45954</v>
      </c>
      <c r="C1970" s="1" t="n">
        <v>45997</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32983-2025</t>
        </is>
      </c>
      <c r="B1971" s="1" t="n">
        <v>45839.92967592592</v>
      </c>
      <c r="C1971" s="1" t="n">
        <v>45997</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60486-2025</t>
        </is>
      </c>
      <c r="B1972" s="1" t="n">
        <v>45995.60109953704</v>
      </c>
      <c r="C1972" s="1" t="n">
        <v>45997</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33196-2025</t>
        </is>
      </c>
      <c r="B1973" s="1" t="n">
        <v>45840.60381944444</v>
      </c>
      <c r="C1973" s="1" t="n">
        <v>45997</v>
      </c>
      <c r="D1973" t="inlineStr">
        <is>
          <t>VÄRMLANDS LÄN</t>
        </is>
      </c>
      <c r="E1973" t="inlineStr">
        <is>
          <t>TORSBY</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33189-2025</t>
        </is>
      </c>
      <c r="B1974" s="1" t="n">
        <v>45840.59884259259</v>
      </c>
      <c r="C1974" s="1" t="n">
        <v>45997</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33192-2025</t>
        </is>
      </c>
      <c r="B1975" s="1" t="n">
        <v>45840.60081018518</v>
      </c>
      <c r="C1975" s="1" t="n">
        <v>45997</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39771-2024</t>
        </is>
      </c>
      <c r="B1976" s="1" t="n">
        <v>45552</v>
      </c>
      <c r="C1976" s="1" t="n">
        <v>45997</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33161-2025</t>
        </is>
      </c>
      <c r="B1977" s="1" t="n">
        <v>45840.56846064814</v>
      </c>
      <c r="C1977" s="1" t="n">
        <v>45997</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36175-2024</t>
        </is>
      </c>
      <c r="B1978" s="1" t="n">
        <v>45534.40834490741</v>
      </c>
      <c r="C1978" s="1" t="n">
        <v>45997</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32995-2025</t>
        </is>
      </c>
      <c r="B1979" s="1" t="n">
        <v>45839</v>
      </c>
      <c r="C1979" s="1" t="n">
        <v>45997</v>
      </c>
      <c r="D1979" t="inlineStr">
        <is>
          <t>VÄRMLANDS LÄN</t>
        </is>
      </c>
      <c r="E1979" t="inlineStr">
        <is>
          <t>TORSBY</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61510-2022</t>
        </is>
      </c>
      <c r="B1980" s="1" t="n">
        <v>44916.49820601852</v>
      </c>
      <c r="C1980" s="1" t="n">
        <v>45997</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32710-2025</t>
        </is>
      </c>
      <c r="B1981" s="1" t="n">
        <v>45839.36722222222</v>
      </c>
      <c r="C1981" s="1" t="n">
        <v>45997</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12574-2025</t>
        </is>
      </c>
      <c r="B1982" s="1" t="n">
        <v>45732</v>
      </c>
      <c r="C1982" s="1" t="n">
        <v>45997</v>
      </c>
      <c r="D1982" t="inlineStr">
        <is>
          <t>VÄRMLANDS LÄN</t>
        </is>
      </c>
      <c r="E1982" t="inlineStr">
        <is>
          <t>TORSBY</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3536-2024</t>
        </is>
      </c>
      <c r="B1983" s="1" t="n">
        <v>45320</v>
      </c>
      <c r="C1983" s="1" t="n">
        <v>45997</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60737-2022</t>
        </is>
      </c>
      <c r="B1984" s="1" t="n">
        <v>44913.88537037037</v>
      </c>
      <c r="C1984" s="1" t="n">
        <v>45997</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41501-2024</t>
        </is>
      </c>
      <c r="B1985" s="1" t="n">
        <v>45560</v>
      </c>
      <c r="C1985" s="1" t="n">
        <v>45997</v>
      </c>
      <c r="D1985" t="inlineStr">
        <is>
          <t>VÄRMLANDS LÄN</t>
        </is>
      </c>
      <c r="E1985" t="inlineStr">
        <is>
          <t>TORSBY</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45997</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6656-2021</t>
        </is>
      </c>
      <c r="B1987" s="1" t="n">
        <v>44236</v>
      </c>
      <c r="C1987" s="1" t="n">
        <v>45997</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392-2025</t>
        </is>
      </c>
      <c r="B1988" s="1" t="n">
        <v>45663.35111111111</v>
      </c>
      <c r="C1988" s="1" t="n">
        <v>45997</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50147-2023</t>
        </is>
      </c>
      <c r="B1989" s="1" t="n">
        <v>45215</v>
      </c>
      <c r="C1989" s="1" t="n">
        <v>45997</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10579-2021</t>
        </is>
      </c>
      <c r="B1990" s="1" t="n">
        <v>44257</v>
      </c>
      <c r="C1990" s="1" t="n">
        <v>45997</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33712-2025</t>
        </is>
      </c>
      <c r="B1991" s="1" t="n">
        <v>45841</v>
      </c>
      <c r="C1991" s="1" t="n">
        <v>45997</v>
      </c>
      <c r="D1991" t="inlineStr">
        <is>
          <t>VÄRMLANDS LÄN</t>
        </is>
      </c>
      <c r="E1991" t="inlineStr">
        <is>
          <t>TORSBY</t>
        </is>
      </c>
      <c r="F1991" t="inlineStr">
        <is>
          <t>Bergvik skog väst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33078-2024</t>
        </is>
      </c>
      <c r="B1992" s="1" t="n">
        <v>45517</v>
      </c>
      <c r="C1992" s="1" t="n">
        <v>45997</v>
      </c>
      <c r="D1992" t="inlineStr">
        <is>
          <t>VÄRMLANDS LÄN</t>
        </is>
      </c>
      <c r="E1992" t="inlineStr">
        <is>
          <t>TORSBY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33897-2025</t>
        </is>
      </c>
      <c r="B1993" s="1" t="n">
        <v>45842</v>
      </c>
      <c r="C1993" s="1" t="n">
        <v>45997</v>
      </c>
      <c r="D1993" t="inlineStr">
        <is>
          <t>VÄRMLANDS LÄN</t>
        </is>
      </c>
      <c r="E1993" t="inlineStr">
        <is>
          <t>TORSBY</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31351-2024</t>
        </is>
      </c>
      <c r="B1994" s="1" t="n">
        <v>45505</v>
      </c>
      <c r="C1994" s="1" t="n">
        <v>45997</v>
      </c>
      <c r="D1994" t="inlineStr">
        <is>
          <t>VÄRMLANDS LÄN</t>
        </is>
      </c>
      <c r="E1994" t="inlineStr">
        <is>
          <t>TORSBY</t>
        </is>
      </c>
      <c r="F1994" t="inlineStr">
        <is>
          <t>Kyrkan</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13207-2022</t>
        </is>
      </c>
      <c r="B1995" s="1" t="n">
        <v>44644.56116898148</v>
      </c>
      <c r="C1995" s="1" t="n">
        <v>45997</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33567-2025</t>
        </is>
      </c>
      <c r="B1996" s="1" t="n">
        <v>45841.58232638889</v>
      </c>
      <c r="C1996" s="1" t="n">
        <v>45997</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8018-2025</t>
        </is>
      </c>
      <c r="B1997" s="1" t="n">
        <v>45707</v>
      </c>
      <c r="C1997" s="1" t="n">
        <v>45997</v>
      </c>
      <c r="D1997" t="inlineStr">
        <is>
          <t>VÄRMLANDS LÄN</t>
        </is>
      </c>
      <c r="E1997" t="inlineStr">
        <is>
          <t>TORSBY</t>
        </is>
      </c>
      <c r="G1997" t="n">
        <v>22.6</v>
      </c>
      <c r="H1997" t="n">
        <v>0</v>
      </c>
      <c r="I1997" t="n">
        <v>0</v>
      </c>
      <c r="J1997" t="n">
        <v>0</v>
      </c>
      <c r="K1997" t="n">
        <v>0</v>
      </c>
      <c r="L1997" t="n">
        <v>0</v>
      </c>
      <c r="M1997" t="n">
        <v>0</v>
      </c>
      <c r="N1997" t="n">
        <v>0</v>
      </c>
      <c r="O1997" t="n">
        <v>0</v>
      </c>
      <c r="P1997" t="n">
        <v>0</v>
      </c>
      <c r="Q1997" t="n">
        <v>0</v>
      </c>
      <c r="R1997" s="2" t="inlineStr"/>
    </row>
    <row r="1998" ht="15" customHeight="1">
      <c r="A1998" t="inlineStr">
        <is>
          <t>A 44424-2024</t>
        </is>
      </c>
      <c r="B1998" s="1" t="n">
        <v>45573</v>
      </c>
      <c r="C1998" s="1" t="n">
        <v>45997</v>
      </c>
      <c r="D1998" t="inlineStr">
        <is>
          <t>VÄRMLANDS LÄN</t>
        </is>
      </c>
      <c r="E1998" t="inlineStr">
        <is>
          <t>TORSBY</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47452-2024</t>
        </is>
      </c>
      <c r="B1999" s="1" t="n">
        <v>45587</v>
      </c>
      <c r="C1999" s="1" t="n">
        <v>45997</v>
      </c>
      <c r="D1999" t="inlineStr">
        <is>
          <t>VÄRMLANDS LÄN</t>
        </is>
      </c>
      <c r="E1999" t="inlineStr">
        <is>
          <t>TORSBY</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34355-2025</t>
        </is>
      </c>
      <c r="B2000" s="1" t="n">
        <v>45846.48114583334</v>
      </c>
      <c r="C2000" s="1" t="n">
        <v>45997</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34358-2025</t>
        </is>
      </c>
      <c r="B2001" s="1" t="n">
        <v>45846.48637731482</v>
      </c>
      <c r="C2001" s="1" t="n">
        <v>45997</v>
      </c>
      <c r="D2001" t="inlineStr">
        <is>
          <t>VÄRMLANDS LÄN</t>
        </is>
      </c>
      <c r="E2001" t="inlineStr">
        <is>
          <t>TORSBY</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34398-2025</t>
        </is>
      </c>
      <c r="B2002" s="1" t="n">
        <v>45846.60688657407</v>
      </c>
      <c r="C2002" s="1" t="n">
        <v>45997</v>
      </c>
      <c r="D2002" t="inlineStr">
        <is>
          <t>VÄRMLANDS LÄN</t>
        </is>
      </c>
      <c r="E2002" t="inlineStr">
        <is>
          <t>TORSBY</t>
        </is>
      </c>
      <c r="F2002" t="inlineStr">
        <is>
          <t>Bergvik skog väst AB</t>
        </is>
      </c>
      <c r="G2002" t="n">
        <v>22.3</v>
      </c>
      <c r="H2002" t="n">
        <v>0</v>
      </c>
      <c r="I2002" t="n">
        <v>0</v>
      </c>
      <c r="J2002" t="n">
        <v>0</v>
      </c>
      <c r="K2002" t="n">
        <v>0</v>
      </c>
      <c r="L2002" t="n">
        <v>0</v>
      </c>
      <c r="M2002" t="n">
        <v>0</v>
      </c>
      <c r="N2002" t="n">
        <v>0</v>
      </c>
      <c r="O2002" t="n">
        <v>0</v>
      </c>
      <c r="P2002" t="n">
        <v>0</v>
      </c>
      <c r="Q2002" t="n">
        <v>0</v>
      </c>
      <c r="R2002" s="2" t="inlineStr"/>
    </row>
    <row r="2003" ht="15" customHeight="1">
      <c r="A2003" t="inlineStr">
        <is>
          <t>A 8284-2023</t>
        </is>
      </c>
      <c r="B2003" s="1" t="n">
        <v>44974.64714120371</v>
      </c>
      <c r="C2003" s="1" t="n">
        <v>45997</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45812-2024</t>
        </is>
      </c>
      <c r="B2004" s="1" t="n">
        <v>45579</v>
      </c>
      <c r="C2004" s="1" t="n">
        <v>45997</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45849-2024</t>
        </is>
      </c>
      <c r="B2005" s="1" t="n">
        <v>45580</v>
      </c>
      <c r="C2005" s="1" t="n">
        <v>45997</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53297-2024</t>
        </is>
      </c>
      <c r="B2006" s="1" t="n">
        <v>45614.38802083334</v>
      </c>
      <c r="C2006" s="1" t="n">
        <v>45997</v>
      </c>
      <c r="D2006" t="inlineStr">
        <is>
          <t>VÄRMLANDS LÄN</t>
        </is>
      </c>
      <c r="E2006" t="inlineStr">
        <is>
          <t>TORSBY</t>
        </is>
      </c>
      <c r="F2006" t="inlineStr">
        <is>
          <t>Bergvik skog väst AB</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8016-2023</t>
        </is>
      </c>
      <c r="B2007" s="1" t="n">
        <v>44973</v>
      </c>
      <c r="C2007" s="1" t="n">
        <v>45997</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53368-2024</t>
        </is>
      </c>
      <c r="B2008" s="1" t="n">
        <v>45614</v>
      </c>
      <c r="C2008" s="1" t="n">
        <v>45997</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34961-2024</t>
        </is>
      </c>
      <c r="B2009" s="1" t="n">
        <v>45527.48923611111</v>
      </c>
      <c r="C2009" s="1" t="n">
        <v>45997</v>
      </c>
      <c r="D2009" t="inlineStr">
        <is>
          <t>VÄRMLANDS LÄN</t>
        </is>
      </c>
      <c r="E2009" t="inlineStr">
        <is>
          <t>TORSBY</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34372-2025</t>
        </is>
      </c>
      <c r="B2010" s="1" t="n">
        <v>45846.5134837963</v>
      </c>
      <c r="C2010" s="1" t="n">
        <v>45997</v>
      </c>
      <c r="D2010" t="inlineStr">
        <is>
          <t>VÄRMLANDS LÄN</t>
        </is>
      </c>
      <c r="E2010" t="inlineStr">
        <is>
          <t>TORSBY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20968-2024</t>
        </is>
      </c>
      <c r="B2011" s="1" t="n">
        <v>45439</v>
      </c>
      <c r="C2011" s="1" t="n">
        <v>45997</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34365-2025</t>
        </is>
      </c>
      <c r="B2012" s="1" t="n">
        <v>45846.49326388889</v>
      </c>
      <c r="C2012" s="1" t="n">
        <v>45997</v>
      </c>
      <c r="D2012" t="inlineStr">
        <is>
          <t>VÄRMLANDS LÄN</t>
        </is>
      </c>
      <c r="E2012" t="inlineStr">
        <is>
          <t>TORSBY</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41631-2024</t>
        </is>
      </c>
      <c r="B2013" s="1" t="n">
        <v>45560</v>
      </c>
      <c r="C2013" s="1" t="n">
        <v>45997</v>
      </c>
      <c r="D2013" t="inlineStr">
        <is>
          <t>VÄRMLANDS LÄN</t>
        </is>
      </c>
      <c r="E2013" t="inlineStr">
        <is>
          <t>TORSBY</t>
        </is>
      </c>
      <c r="F2013" t="inlineStr">
        <is>
          <t>Bergvik skog väst AB</t>
        </is>
      </c>
      <c r="G2013" t="n">
        <v>16.3</v>
      </c>
      <c r="H2013" t="n">
        <v>0</v>
      </c>
      <c r="I2013" t="n">
        <v>0</v>
      </c>
      <c r="J2013" t="n">
        <v>0</v>
      </c>
      <c r="K2013" t="n">
        <v>0</v>
      </c>
      <c r="L2013" t="n">
        <v>0</v>
      </c>
      <c r="M2013" t="n">
        <v>0</v>
      </c>
      <c r="N2013" t="n">
        <v>0</v>
      </c>
      <c r="O2013" t="n">
        <v>0</v>
      </c>
      <c r="P2013" t="n">
        <v>0</v>
      </c>
      <c r="Q2013" t="n">
        <v>0</v>
      </c>
      <c r="R2013" s="2" t="inlineStr"/>
    </row>
    <row r="2014" ht="15" customHeight="1">
      <c r="A2014" t="inlineStr">
        <is>
          <t>A 66459-2020</t>
        </is>
      </c>
      <c r="B2014" s="1" t="n">
        <v>44176</v>
      </c>
      <c r="C2014" s="1" t="n">
        <v>45997</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21542-2024</t>
        </is>
      </c>
      <c r="B2015" s="1" t="n">
        <v>45441</v>
      </c>
      <c r="C2015" s="1" t="n">
        <v>45997</v>
      </c>
      <c r="D2015" t="inlineStr">
        <is>
          <t>VÄRMLANDS LÄN</t>
        </is>
      </c>
      <c r="E2015" t="inlineStr">
        <is>
          <t>TORSBY</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34388-2025</t>
        </is>
      </c>
      <c r="B2016" s="1" t="n">
        <v>45846.57305555556</v>
      </c>
      <c r="C2016" s="1" t="n">
        <v>45997</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34140-2025</t>
        </is>
      </c>
      <c r="B2017" s="1" t="n">
        <v>45845.54896990741</v>
      </c>
      <c r="C2017" s="1" t="n">
        <v>45997</v>
      </c>
      <c r="D2017" t="inlineStr">
        <is>
          <t>VÄRMLANDS LÄN</t>
        </is>
      </c>
      <c r="E2017" t="inlineStr">
        <is>
          <t>TORSBY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34137-2025</t>
        </is>
      </c>
      <c r="B2018" s="1" t="n">
        <v>45845.54340277778</v>
      </c>
      <c r="C2018" s="1" t="n">
        <v>45997</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34138-2025</t>
        </is>
      </c>
      <c r="B2019" s="1" t="n">
        <v>45845.54486111111</v>
      </c>
      <c r="C2019" s="1" t="n">
        <v>45997</v>
      </c>
      <c r="D2019" t="inlineStr">
        <is>
          <t>VÄRMLANDS LÄN</t>
        </is>
      </c>
      <c r="E2019" t="inlineStr">
        <is>
          <t>TORSBY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34146-2025</t>
        </is>
      </c>
      <c r="B2020" s="1" t="n">
        <v>45845.56008101852</v>
      </c>
      <c r="C2020" s="1" t="n">
        <v>45997</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34363-2025</t>
        </is>
      </c>
      <c r="B2021" s="1" t="n">
        <v>45846.49144675926</v>
      </c>
      <c r="C2021" s="1" t="n">
        <v>45997</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34370-2025</t>
        </is>
      </c>
      <c r="B2022" s="1" t="n">
        <v>45846.51056712963</v>
      </c>
      <c r="C2022" s="1" t="n">
        <v>45997</v>
      </c>
      <c r="D2022" t="inlineStr">
        <is>
          <t>VÄRMLANDS LÄN</t>
        </is>
      </c>
      <c r="E2022" t="inlineStr">
        <is>
          <t>TORSBY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34046-2025</t>
        </is>
      </c>
      <c r="B2023" s="1" t="n">
        <v>45845.38671296297</v>
      </c>
      <c r="C2023" s="1" t="n">
        <v>45997</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34268-2025</t>
        </is>
      </c>
      <c r="B2024" s="1" t="n">
        <v>45845</v>
      </c>
      <c r="C2024" s="1" t="n">
        <v>45997</v>
      </c>
      <c r="D2024" t="inlineStr">
        <is>
          <t>VÄRMLANDS LÄN</t>
        </is>
      </c>
      <c r="E2024" t="inlineStr">
        <is>
          <t>TORSBY</t>
        </is>
      </c>
      <c r="F2024" t="inlineStr">
        <is>
          <t>Bergvik skog väst AB</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8281-2023</t>
        </is>
      </c>
      <c r="B2025" s="1" t="n">
        <v>44974</v>
      </c>
      <c r="C2025" s="1" t="n">
        <v>45997</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59080-2024</t>
        </is>
      </c>
      <c r="B2026" s="1" t="n">
        <v>45637</v>
      </c>
      <c r="C2026" s="1" t="n">
        <v>45997</v>
      </c>
      <c r="D2026" t="inlineStr">
        <is>
          <t>VÄRMLANDS LÄN</t>
        </is>
      </c>
      <c r="E2026" t="inlineStr">
        <is>
          <t>TORSBY</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5763-2023</t>
        </is>
      </c>
      <c r="B2027" s="1" t="n">
        <v>44963.36383101852</v>
      </c>
      <c r="C2027" s="1" t="n">
        <v>45997</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34136-2025</t>
        </is>
      </c>
      <c r="B2028" s="1" t="n">
        <v>45845.54184027778</v>
      </c>
      <c r="C2028" s="1" t="n">
        <v>45997</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34145-2025</t>
        </is>
      </c>
      <c r="B2029" s="1" t="n">
        <v>45845.55372685185</v>
      </c>
      <c r="C2029" s="1" t="n">
        <v>45997</v>
      </c>
      <c r="D2029" t="inlineStr">
        <is>
          <t>VÄRMLANDS LÄN</t>
        </is>
      </c>
      <c r="E2029" t="inlineStr">
        <is>
          <t>TORSBY</t>
        </is>
      </c>
      <c r="G2029" t="n">
        <v>19.2</v>
      </c>
      <c r="H2029" t="n">
        <v>0</v>
      </c>
      <c r="I2029" t="n">
        <v>0</v>
      </c>
      <c r="J2029" t="n">
        <v>0</v>
      </c>
      <c r="K2029" t="n">
        <v>0</v>
      </c>
      <c r="L2029" t="n">
        <v>0</v>
      </c>
      <c r="M2029" t="n">
        <v>0</v>
      </c>
      <c r="N2029" t="n">
        <v>0</v>
      </c>
      <c r="O2029" t="n">
        <v>0</v>
      </c>
      <c r="P2029" t="n">
        <v>0</v>
      </c>
      <c r="Q2029" t="n">
        <v>0</v>
      </c>
      <c r="R2029" s="2" t="inlineStr"/>
    </row>
    <row r="2030" ht="15" customHeight="1">
      <c r="A2030" t="inlineStr">
        <is>
          <t>A 34179-2025</t>
        </is>
      </c>
      <c r="B2030" s="1" t="n">
        <v>45845</v>
      </c>
      <c r="C2030" s="1" t="n">
        <v>45997</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34399-2025</t>
        </is>
      </c>
      <c r="B2031" s="1" t="n">
        <v>45846.610625</v>
      </c>
      <c r="C2031" s="1" t="n">
        <v>45997</v>
      </c>
      <c r="D2031" t="inlineStr">
        <is>
          <t>VÄRMLANDS LÄN</t>
        </is>
      </c>
      <c r="E2031" t="inlineStr">
        <is>
          <t>TORSBY</t>
        </is>
      </c>
      <c r="F2031" t="inlineStr">
        <is>
          <t>Bergvik skog väst AB</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68603-2020</t>
        </is>
      </c>
      <c r="B2032" s="1" t="n">
        <v>44186</v>
      </c>
      <c r="C2032" s="1" t="n">
        <v>45997</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54822-2023</t>
        </is>
      </c>
      <c r="B2033" s="1" t="n">
        <v>45229</v>
      </c>
      <c r="C2033" s="1" t="n">
        <v>45997</v>
      </c>
      <c r="D2033" t="inlineStr">
        <is>
          <t>VÄRMLANDS LÄN</t>
        </is>
      </c>
      <c r="E2033" t="inlineStr">
        <is>
          <t>TORSBY</t>
        </is>
      </c>
      <c r="F2033" t="inlineStr">
        <is>
          <t>Övriga Aktiebolag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34517-2025</t>
        </is>
      </c>
      <c r="B2034" s="1" t="n">
        <v>45847.46900462963</v>
      </c>
      <c r="C2034" s="1" t="n">
        <v>45997</v>
      </c>
      <c r="D2034" t="inlineStr">
        <is>
          <t>VÄRMLANDS LÄN</t>
        </is>
      </c>
      <c r="E2034" t="inlineStr">
        <is>
          <t>TORSBY</t>
        </is>
      </c>
      <c r="F2034" t="inlineStr">
        <is>
          <t>Övriga Aktiebolag</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40807-2024</t>
        </is>
      </c>
      <c r="B2035" s="1" t="n">
        <v>45558</v>
      </c>
      <c r="C2035" s="1" t="n">
        <v>45997</v>
      </c>
      <c r="D2035" t="inlineStr">
        <is>
          <t>VÄRMLANDS LÄN</t>
        </is>
      </c>
      <c r="E2035" t="inlineStr">
        <is>
          <t>TORSBY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34533-2025</t>
        </is>
      </c>
      <c r="B2036" s="1" t="n">
        <v>45847.50868055555</v>
      </c>
      <c r="C2036" s="1" t="n">
        <v>45997</v>
      </c>
      <c r="D2036" t="inlineStr">
        <is>
          <t>VÄRMLANDS LÄN</t>
        </is>
      </c>
      <c r="E2036" t="inlineStr">
        <is>
          <t>TORSBY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34480-2025</t>
        </is>
      </c>
      <c r="B2037" s="1" t="n">
        <v>45847.37582175926</v>
      </c>
      <c r="C2037" s="1" t="n">
        <v>45997</v>
      </c>
      <c r="D2037" t="inlineStr">
        <is>
          <t>VÄRMLANDS LÄN</t>
        </is>
      </c>
      <c r="E2037" t="inlineStr">
        <is>
          <t>TORSBY</t>
        </is>
      </c>
      <c r="F2037" t="inlineStr">
        <is>
          <t>Övriga Aktiebolag</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34495-2025</t>
        </is>
      </c>
      <c r="B2038" s="1" t="n">
        <v>45847.42686342593</v>
      </c>
      <c r="C2038" s="1" t="n">
        <v>45997</v>
      </c>
      <c r="D2038" t="inlineStr">
        <is>
          <t>VÄRMLANDS LÄN</t>
        </is>
      </c>
      <c r="E2038" t="inlineStr">
        <is>
          <t>TORSBY</t>
        </is>
      </c>
      <c r="F2038" t="inlineStr">
        <is>
          <t>Övriga Aktiebolag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15660-2025</t>
        </is>
      </c>
      <c r="B2039" s="1" t="n">
        <v>45748</v>
      </c>
      <c r="C2039" s="1" t="n">
        <v>45997</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34451-2025</t>
        </is>
      </c>
      <c r="B2040" s="1" t="n">
        <v>45846.85114583333</v>
      </c>
      <c r="C2040" s="1" t="n">
        <v>45997</v>
      </c>
      <c r="D2040" t="inlineStr">
        <is>
          <t>VÄRMLANDS LÄN</t>
        </is>
      </c>
      <c r="E2040" t="inlineStr">
        <is>
          <t>TORSBY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3223-2025</t>
        </is>
      </c>
      <c r="B2041" s="1" t="n">
        <v>45679</v>
      </c>
      <c r="C2041" s="1" t="n">
        <v>45997</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3226-2025</t>
        </is>
      </c>
      <c r="B2042" s="1" t="n">
        <v>45679.48003472222</v>
      </c>
      <c r="C2042" s="1" t="n">
        <v>45997</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31316-2025</t>
        </is>
      </c>
      <c r="B2043" s="1" t="n">
        <v>45833.40241898148</v>
      </c>
      <c r="C2043" s="1" t="n">
        <v>45997</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49936-2024</t>
        </is>
      </c>
      <c r="B2044" s="1" t="n">
        <v>45597</v>
      </c>
      <c r="C2044" s="1" t="n">
        <v>45997</v>
      </c>
      <c r="D2044" t="inlineStr">
        <is>
          <t>VÄRMLANDS LÄN</t>
        </is>
      </c>
      <c r="E2044" t="inlineStr">
        <is>
          <t>TORSBY</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34997-2025</t>
        </is>
      </c>
      <c r="B2045" s="1" t="n">
        <v>45849.87340277778</v>
      </c>
      <c r="C2045" s="1" t="n">
        <v>45997</v>
      </c>
      <c r="D2045" t="inlineStr">
        <is>
          <t>VÄRMLANDS LÄN</t>
        </is>
      </c>
      <c r="E2045" t="inlineStr">
        <is>
          <t>TORSBY</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47619-2024</t>
        </is>
      </c>
      <c r="B2046" s="1" t="n">
        <v>45588.32371527778</v>
      </c>
      <c r="C2046" s="1" t="n">
        <v>45997</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20985-2024</t>
        </is>
      </c>
      <c r="B2047" s="1" t="n">
        <v>45439</v>
      </c>
      <c r="C2047" s="1" t="n">
        <v>45997</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34846-2025</t>
        </is>
      </c>
      <c r="B2048" s="1" t="n">
        <v>45849.41454861111</v>
      </c>
      <c r="C2048" s="1" t="n">
        <v>45997</v>
      </c>
      <c r="D2048" t="inlineStr">
        <is>
          <t>VÄRMLANDS LÄN</t>
        </is>
      </c>
      <c r="E2048" t="inlineStr">
        <is>
          <t>TORSBY</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10218-2023</t>
        </is>
      </c>
      <c r="B2049" s="1" t="n">
        <v>44986.59697916666</v>
      </c>
      <c r="C2049" s="1" t="n">
        <v>45997</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2576-2021</t>
        </is>
      </c>
      <c r="B2050" s="1" t="n">
        <v>44214</v>
      </c>
      <c r="C2050" s="1" t="n">
        <v>45997</v>
      </c>
      <c r="D2050" t="inlineStr">
        <is>
          <t>VÄRMLANDS LÄN</t>
        </is>
      </c>
      <c r="E2050" t="inlineStr">
        <is>
          <t>TORSBY</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10589-2024</t>
        </is>
      </c>
      <c r="B2051" s="1" t="n">
        <v>45366</v>
      </c>
      <c r="C2051" s="1" t="n">
        <v>45997</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9057-2022</t>
        </is>
      </c>
      <c r="B2052" s="1" t="n">
        <v>44615</v>
      </c>
      <c r="C2052" s="1" t="n">
        <v>45997</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35191-2025</t>
        </is>
      </c>
      <c r="B2053" s="1" t="n">
        <v>45853.3469675926</v>
      </c>
      <c r="C2053" s="1" t="n">
        <v>45997</v>
      </c>
      <c r="D2053" t="inlineStr">
        <is>
          <t>VÄRMLANDS LÄN</t>
        </is>
      </c>
      <c r="E2053" t="inlineStr">
        <is>
          <t>TORSBY</t>
        </is>
      </c>
      <c r="F2053" t="inlineStr">
        <is>
          <t>Bergvik skog väst AB</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38084-2023</t>
        </is>
      </c>
      <c r="B2054" s="1" t="n">
        <v>45160</v>
      </c>
      <c r="C2054" s="1" t="n">
        <v>45997</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35185-2025</t>
        </is>
      </c>
      <c r="B2055" s="1" t="n">
        <v>45853.30383101852</v>
      </c>
      <c r="C2055" s="1" t="n">
        <v>45997</v>
      </c>
      <c r="D2055" t="inlineStr">
        <is>
          <t>VÄRMLANDS LÄN</t>
        </is>
      </c>
      <c r="E2055" t="inlineStr">
        <is>
          <t>TORSBY</t>
        </is>
      </c>
      <c r="F2055" t="inlineStr">
        <is>
          <t>Bergvik skog väst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35367-2025</t>
        </is>
      </c>
      <c r="B2056" s="1" t="n">
        <v>45854</v>
      </c>
      <c r="C2056" s="1" t="n">
        <v>45997</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35194-2025</t>
        </is>
      </c>
      <c r="B2057" s="1" t="n">
        <v>45853.35740740741</v>
      </c>
      <c r="C2057" s="1" t="n">
        <v>45997</v>
      </c>
      <c r="D2057" t="inlineStr">
        <is>
          <t>VÄRMLANDS LÄN</t>
        </is>
      </c>
      <c r="E2057" t="inlineStr">
        <is>
          <t>TORSBY</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35334-2025</t>
        </is>
      </c>
      <c r="B2058" s="1" t="n">
        <v>45854.57973379629</v>
      </c>
      <c r="C2058" s="1" t="n">
        <v>45997</v>
      </c>
      <c r="D2058" t="inlineStr">
        <is>
          <t>VÄRMLANDS LÄN</t>
        </is>
      </c>
      <c r="E2058" t="inlineStr">
        <is>
          <t>TORSBY</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48185-2024</t>
        </is>
      </c>
      <c r="B2059" s="1" t="n">
        <v>45589.90284722222</v>
      </c>
      <c r="C2059" s="1" t="n">
        <v>45997</v>
      </c>
      <c r="D2059" t="inlineStr">
        <is>
          <t>VÄRMLANDS LÄN</t>
        </is>
      </c>
      <c r="E2059" t="inlineStr">
        <is>
          <t>TORSBY</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22943-2023</t>
        </is>
      </c>
      <c r="B2060" s="1" t="n">
        <v>45072</v>
      </c>
      <c r="C2060" s="1" t="n">
        <v>45997</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22301-2023</t>
        </is>
      </c>
      <c r="B2061" s="1" t="n">
        <v>45070</v>
      </c>
      <c r="C2061" s="1" t="n">
        <v>45997</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17562-2024</t>
        </is>
      </c>
      <c r="B2062" s="1" t="n">
        <v>45415</v>
      </c>
      <c r="C2062" s="1" t="n">
        <v>45997</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24965-2023</t>
        </is>
      </c>
      <c r="B2063" s="1" t="n">
        <v>45085</v>
      </c>
      <c r="C2063" s="1" t="n">
        <v>45997</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24969-2023</t>
        </is>
      </c>
      <c r="B2064" s="1" t="n">
        <v>45085.61429398148</v>
      </c>
      <c r="C2064" s="1" t="n">
        <v>45997</v>
      </c>
      <c r="D2064" t="inlineStr">
        <is>
          <t>VÄRMLANDS LÄN</t>
        </is>
      </c>
      <c r="E2064" t="inlineStr">
        <is>
          <t>TORSBY</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15126-2024</t>
        </is>
      </c>
      <c r="B2065" s="1" t="n">
        <v>45399</v>
      </c>
      <c r="C2065" s="1" t="n">
        <v>45997</v>
      </c>
      <c r="D2065" t="inlineStr">
        <is>
          <t>VÄRMLANDS LÄN</t>
        </is>
      </c>
      <c r="E2065" t="inlineStr">
        <is>
          <t>TORSBY</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15127-2024</t>
        </is>
      </c>
      <c r="B2066" s="1" t="n">
        <v>45399.76815972223</v>
      </c>
      <c r="C2066" s="1" t="n">
        <v>45997</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35552-2025</t>
        </is>
      </c>
      <c r="B2067" s="1" t="n">
        <v>45856.49702546297</v>
      </c>
      <c r="C2067" s="1" t="n">
        <v>45997</v>
      </c>
      <c r="D2067" t="inlineStr">
        <is>
          <t>VÄRMLANDS LÄN</t>
        </is>
      </c>
      <c r="E2067" t="inlineStr">
        <is>
          <t>TORSBY</t>
        </is>
      </c>
      <c r="F2067" t="inlineStr">
        <is>
          <t>Bergvik skog väst AB</t>
        </is>
      </c>
      <c r="G2067" t="n">
        <v>12.3</v>
      </c>
      <c r="H2067" t="n">
        <v>0</v>
      </c>
      <c r="I2067" t="n">
        <v>0</v>
      </c>
      <c r="J2067" t="n">
        <v>0</v>
      </c>
      <c r="K2067" t="n">
        <v>0</v>
      </c>
      <c r="L2067" t="n">
        <v>0</v>
      </c>
      <c r="M2067" t="n">
        <v>0</v>
      </c>
      <c r="N2067" t="n">
        <v>0</v>
      </c>
      <c r="O2067" t="n">
        <v>0</v>
      </c>
      <c r="P2067" t="n">
        <v>0</v>
      </c>
      <c r="Q2067" t="n">
        <v>0</v>
      </c>
      <c r="R2067" s="2" t="inlineStr"/>
    </row>
    <row r="2068" ht="15" customHeight="1">
      <c r="A2068" t="inlineStr">
        <is>
          <t>A 35408-2025</t>
        </is>
      </c>
      <c r="B2068" s="1" t="n">
        <v>45855.37256944444</v>
      </c>
      <c r="C2068" s="1" t="n">
        <v>45997</v>
      </c>
      <c r="D2068" t="inlineStr">
        <is>
          <t>VÄRMLANDS LÄN</t>
        </is>
      </c>
      <c r="E2068" t="inlineStr">
        <is>
          <t>TORSBY</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5365-2021</t>
        </is>
      </c>
      <c r="B2069" s="1" t="n">
        <v>44229</v>
      </c>
      <c r="C2069" s="1" t="n">
        <v>45997</v>
      </c>
      <c r="D2069" t="inlineStr">
        <is>
          <t>VÄRMLANDS LÄN</t>
        </is>
      </c>
      <c r="E2069" t="inlineStr">
        <is>
          <t>TORSBY</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47651-2024</t>
        </is>
      </c>
      <c r="B2070" s="1" t="n">
        <v>45588</v>
      </c>
      <c r="C2070" s="1" t="n">
        <v>45997</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18682-2024</t>
        </is>
      </c>
      <c r="B2071" s="1" t="n">
        <v>45426.37251157407</v>
      </c>
      <c r="C2071" s="1" t="n">
        <v>45997</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39768-2024</t>
        </is>
      </c>
      <c r="B2072" s="1" t="n">
        <v>45552</v>
      </c>
      <c r="C2072" s="1" t="n">
        <v>45997</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51836-2024</t>
        </is>
      </c>
      <c r="B2073" s="1" t="n">
        <v>45607</v>
      </c>
      <c r="C2073" s="1" t="n">
        <v>45997</v>
      </c>
      <c r="D2073" t="inlineStr">
        <is>
          <t>VÄRMLANDS LÄN</t>
        </is>
      </c>
      <c r="E2073" t="inlineStr">
        <is>
          <t>TORSBY</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43538-2024</t>
        </is>
      </c>
      <c r="B2074" s="1" t="n">
        <v>45569.36136574074</v>
      </c>
      <c r="C2074" s="1" t="n">
        <v>45997</v>
      </c>
      <c r="D2074" t="inlineStr">
        <is>
          <t>VÄRMLANDS LÄN</t>
        </is>
      </c>
      <c r="E2074" t="inlineStr">
        <is>
          <t>TORSBY</t>
        </is>
      </c>
      <c r="F2074" t="inlineStr">
        <is>
          <t>Bergvik skog väst AB</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3672-2024</t>
        </is>
      </c>
      <c r="B2075" s="1" t="n">
        <v>45321.36465277777</v>
      </c>
      <c r="C2075" s="1" t="n">
        <v>45997</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48253-2024</t>
        </is>
      </c>
      <c r="B2076" s="1" t="n">
        <v>45590</v>
      </c>
      <c r="C2076" s="1" t="n">
        <v>45997</v>
      </c>
      <c r="D2076" t="inlineStr">
        <is>
          <t>VÄRMLANDS LÄN</t>
        </is>
      </c>
      <c r="E2076" t="inlineStr">
        <is>
          <t>TORSBY</t>
        </is>
      </c>
      <c r="F2076" t="inlineStr">
        <is>
          <t>Bergvik skog väst AB</t>
        </is>
      </c>
      <c r="G2076" t="n">
        <v>20.7</v>
      </c>
      <c r="H2076" t="n">
        <v>0</v>
      </c>
      <c r="I2076" t="n">
        <v>0</v>
      </c>
      <c r="J2076" t="n">
        <v>0</v>
      </c>
      <c r="K2076" t="n">
        <v>0</v>
      </c>
      <c r="L2076" t="n">
        <v>0</v>
      </c>
      <c r="M2076" t="n">
        <v>0</v>
      </c>
      <c r="N2076" t="n">
        <v>0</v>
      </c>
      <c r="O2076" t="n">
        <v>0</v>
      </c>
      <c r="P2076" t="n">
        <v>0</v>
      </c>
      <c r="Q2076" t="n">
        <v>0</v>
      </c>
      <c r="R2076" s="2" t="inlineStr"/>
    </row>
    <row r="2077" ht="15" customHeight="1">
      <c r="A2077" t="inlineStr">
        <is>
          <t>A 19575-2025</t>
        </is>
      </c>
      <c r="B2077" s="1" t="n">
        <v>45770.55957175926</v>
      </c>
      <c r="C2077" s="1" t="n">
        <v>45997</v>
      </c>
      <c r="D2077" t="inlineStr">
        <is>
          <t>VÄRMLANDS LÄN</t>
        </is>
      </c>
      <c r="E2077" t="inlineStr">
        <is>
          <t>TORSBY</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26979-2023</t>
        </is>
      </c>
      <c r="B2078" s="1" t="n">
        <v>45091</v>
      </c>
      <c r="C2078" s="1" t="n">
        <v>45997</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13924-2025</t>
        </is>
      </c>
      <c r="B2079" s="1" t="n">
        <v>45737</v>
      </c>
      <c r="C2079" s="1" t="n">
        <v>45997</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7907-2025</t>
        </is>
      </c>
      <c r="B2080" s="1" t="n">
        <v>45707</v>
      </c>
      <c r="C2080" s="1" t="n">
        <v>45997</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18897-2024</t>
        </is>
      </c>
      <c r="B2081" s="1" t="n">
        <v>45427.34046296297</v>
      </c>
      <c r="C2081" s="1" t="n">
        <v>45997</v>
      </c>
      <c r="D2081" t="inlineStr">
        <is>
          <t>VÄRMLANDS LÄN</t>
        </is>
      </c>
      <c r="E2081" t="inlineStr">
        <is>
          <t>TORSBY</t>
        </is>
      </c>
      <c r="F2081" t="inlineStr">
        <is>
          <t>Övriga statliga verk och myndigheter</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4585-2023</t>
        </is>
      </c>
      <c r="B2082" s="1" t="n">
        <v>44956.79790509259</v>
      </c>
      <c r="C2082" s="1" t="n">
        <v>45997</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20175-2022</t>
        </is>
      </c>
      <c r="B2083" s="1" t="n">
        <v>44698</v>
      </c>
      <c r="C2083" s="1" t="n">
        <v>45997</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64432-2023</t>
        </is>
      </c>
      <c r="B2084" s="1" t="n">
        <v>45280.67184027778</v>
      </c>
      <c r="C2084" s="1" t="n">
        <v>45997</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9900-2024</t>
        </is>
      </c>
      <c r="B2085" s="1" t="n">
        <v>45363</v>
      </c>
      <c r="C2085" s="1" t="n">
        <v>45997</v>
      </c>
      <c r="D2085" t="inlineStr">
        <is>
          <t>VÄRMLANDS LÄN</t>
        </is>
      </c>
      <c r="E2085" t="inlineStr">
        <is>
          <t>TORSBY</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18595-2025</t>
        </is>
      </c>
      <c r="B2086" s="1" t="n">
        <v>45763</v>
      </c>
      <c r="C2086" s="1" t="n">
        <v>45997</v>
      </c>
      <c r="D2086" t="inlineStr">
        <is>
          <t>VÄRMLANDS LÄN</t>
        </is>
      </c>
      <c r="E2086" t="inlineStr">
        <is>
          <t>TORSBY</t>
        </is>
      </c>
      <c r="F2086" t="inlineStr">
        <is>
          <t>Kyrkan</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63177-2023</t>
        </is>
      </c>
      <c r="B2087" s="1" t="n">
        <v>45272</v>
      </c>
      <c r="C2087" s="1" t="n">
        <v>45997</v>
      </c>
      <c r="D2087" t="inlineStr">
        <is>
          <t>VÄRMLANDS LÄN</t>
        </is>
      </c>
      <c r="E2087" t="inlineStr">
        <is>
          <t>TORSBY</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63266-2023</t>
        </is>
      </c>
      <c r="B2088" s="1" t="n">
        <v>45273.741875</v>
      </c>
      <c r="C2088" s="1" t="n">
        <v>45997</v>
      </c>
      <c r="D2088" t="inlineStr">
        <is>
          <t>VÄRMLANDS LÄN</t>
        </is>
      </c>
      <c r="E2088" t="inlineStr">
        <is>
          <t>TORSBY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1040-2024</t>
        </is>
      </c>
      <c r="B2089" s="1" t="n">
        <v>45301</v>
      </c>
      <c r="C2089" s="1" t="n">
        <v>45997</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56716-2023</t>
        </is>
      </c>
      <c r="B2090" s="1" t="n">
        <v>45238</v>
      </c>
      <c r="C2090" s="1" t="n">
        <v>45997</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31547-2023</t>
        </is>
      </c>
      <c r="B2091" s="1" t="n">
        <v>45117</v>
      </c>
      <c r="C2091" s="1" t="n">
        <v>45997</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14945-2023</t>
        </is>
      </c>
      <c r="B2092" s="1" t="n">
        <v>45014</v>
      </c>
      <c r="C2092" s="1" t="n">
        <v>45997</v>
      </c>
      <c r="D2092" t="inlineStr">
        <is>
          <t>VÄRMLANDS LÄN</t>
        </is>
      </c>
      <c r="E2092" t="inlineStr">
        <is>
          <t>TORSBY</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56107-2024</t>
        </is>
      </c>
      <c r="B2093" s="1" t="n">
        <v>45624.44055555556</v>
      </c>
      <c r="C2093" s="1" t="n">
        <v>45997</v>
      </c>
      <c r="D2093" t="inlineStr">
        <is>
          <t>VÄRMLANDS LÄN</t>
        </is>
      </c>
      <c r="E2093" t="inlineStr">
        <is>
          <t>TORSBY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55836-2024</t>
        </is>
      </c>
      <c r="B2094" s="1" t="n">
        <v>45623.49150462963</v>
      </c>
      <c r="C2094" s="1" t="n">
        <v>45997</v>
      </c>
      <c r="D2094" t="inlineStr">
        <is>
          <t>VÄRMLANDS LÄN</t>
        </is>
      </c>
      <c r="E2094" t="inlineStr">
        <is>
          <t>TORSBY</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13586-2023</t>
        </is>
      </c>
      <c r="B2095" s="1" t="n">
        <v>45006</v>
      </c>
      <c r="C2095" s="1" t="n">
        <v>45997</v>
      </c>
      <c r="D2095" t="inlineStr">
        <is>
          <t>VÄRMLANDS LÄN</t>
        </is>
      </c>
      <c r="E2095" t="inlineStr">
        <is>
          <t>TORSBY</t>
        </is>
      </c>
      <c r="F2095" t="inlineStr">
        <is>
          <t>Kommuner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33620-2024</t>
        </is>
      </c>
      <c r="B2096" s="1" t="n">
        <v>45520.41530092592</v>
      </c>
      <c r="C2096" s="1" t="n">
        <v>45997</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51199-2023</t>
        </is>
      </c>
      <c r="B2097" s="1" t="n">
        <v>45219.42247685185</v>
      </c>
      <c r="C2097" s="1" t="n">
        <v>45997</v>
      </c>
      <c r="D2097" t="inlineStr">
        <is>
          <t>VÄRMLANDS LÄN</t>
        </is>
      </c>
      <c r="E2097" t="inlineStr">
        <is>
          <t>TORSBY</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55811-2021</t>
        </is>
      </c>
      <c r="B2098" s="1" t="n">
        <v>44476</v>
      </c>
      <c r="C2098" s="1" t="n">
        <v>45997</v>
      </c>
      <c r="D2098" t="inlineStr">
        <is>
          <t>VÄRMLANDS LÄN</t>
        </is>
      </c>
      <c r="E2098" t="inlineStr">
        <is>
          <t>TORSBY</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52532-2023</t>
        </is>
      </c>
      <c r="B2099" s="1" t="n">
        <v>45225.54318287037</v>
      </c>
      <c r="C2099" s="1" t="n">
        <v>45997</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11364-2023</t>
        </is>
      </c>
      <c r="B2100" s="1" t="n">
        <v>44993.43150462963</v>
      </c>
      <c r="C2100" s="1" t="n">
        <v>45997</v>
      </c>
      <c r="D2100" t="inlineStr">
        <is>
          <t>VÄRMLANDS LÄN</t>
        </is>
      </c>
      <c r="E2100" t="inlineStr">
        <is>
          <t>TORSBY</t>
        </is>
      </c>
      <c r="G2100" t="n">
        <v>31.9</v>
      </c>
      <c r="H2100" t="n">
        <v>0</v>
      </c>
      <c r="I2100" t="n">
        <v>0</v>
      </c>
      <c r="J2100" t="n">
        <v>0</v>
      </c>
      <c r="K2100" t="n">
        <v>0</v>
      </c>
      <c r="L2100" t="n">
        <v>0</v>
      </c>
      <c r="M2100" t="n">
        <v>0</v>
      </c>
      <c r="N2100" t="n">
        <v>0</v>
      </c>
      <c r="O2100" t="n">
        <v>0</v>
      </c>
      <c r="P2100" t="n">
        <v>0</v>
      </c>
      <c r="Q2100" t="n">
        <v>0</v>
      </c>
      <c r="R2100" s="2" t="inlineStr"/>
    </row>
    <row r="2101" ht="15" customHeight="1">
      <c r="A2101" t="inlineStr">
        <is>
          <t>A 61073-2024</t>
        </is>
      </c>
      <c r="B2101" s="1" t="n">
        <v>45645.50665509259</v>
      </c>
      <c r="C2101" s="1" t="n">
        <v>45997</v>
      </c>
      <c r="D2101" t="inlineStr">
        <is>
          <t>VÄRMLANDS LÄN</t>
        </is>
      </c>
      <c r="E2101" t="inlineStr">
        <is>
          <t>TORSBY</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52801-2024</t>
        </is>
      </c>
      <c r="B2102" s="1" t="n">
        <v>45610.56784722222</v>
      </c>
      <c r="C2102" s="1" t="n">
        <v>45997</v>
      </c>
      <c r="D2102" t="inlineStr">
        <is>
          <t>VÄRMLANDS LÄN</t>
        </is>
      </c>
      <c r="E2102" t="inlineStr">
        <is>
          <t>TORSBY</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7283-2023</t>
        </is>
      </c>
      <c r="B2103" s="1" t="n">
        <v>44970</v>
      </c>
      <c r="C2103" s="1" t="n">
        <v>45997</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25537-2022</t>
        </is>
      </c>
      <c r="B2104" s="1" t="n">
        <v>44732</v>
      </c>
      <c r="C2104" s="1" t="n">
        <v>45997</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20725-2024</t>
        </is>
      </c>
      <c r="B2105" s="1" t="n">
        <v>45436.65284722222</v>
      </c>
      <c r="C2105" s="1" t="n">
        <v>45997</v>
      </c>
      <c r="D2105" t="inlineStr">
        <is>
          <t>VÄRMLANDS LÄN</t>
        </is>
      </c>
      <c r="E2105" t="inlineStr">
        <is>
          <t>TORSBY</t>
        </is>
      </c>
      <c r="F2105" t="inlineStr">
        <is>
          <t>Bergvik skog väst AB</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11259-2024</t>
        </is>
      </c>
      <c r="B2106" s="1" t="n">
        <v>45371</v>
      </c>
      <c r="C2106" s="1" t="n">
        <v>45997</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1161-2025</t>
        </is>
      </c>
      <c r="B2107" s="1" t="n">
        <v>45666</v>
      </c>
      <c r="C2107" s="1" t="n">
        <v>45997</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38252-2023</t>
        </is>
      </c>
      <c r="B2108" s="1" t="n">
        <v>45161</v>
      </c>
      <c r="C2108" s="1" t="n">
        <v>45997</v>
      </c>
      <c r="D2108" t="inlineStr">
        <is>
          <t>VÄRMLANDS LÄN</t>
        </is>
      </c>
      <c r="E2108" t="inlineStr">
        <is>
          <t>TORSBY</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46915-2024</t>
        </is>
      </c>
      <c r="B2109" s="1" t="n">
        <v>45583</v>
      </c>
      <c r="C2109" s="1" t="n">
        <v>45997</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8022-2025</t>
        </is>
      </c>
      <c r="B2110" s="1" t="n">
        <v>45707.57733796296</v>
      </c>
      <c r="C2110" s="1" t="n">
        <v>45997</v>
      </c>
      <c r="D2110" t="inlineStr">
        <is>
          <t>VÄRMLANDS LÄN</t>
        </is>
      </c>
      <c r="E2110" t="inlineStr">
        <is>
          <t>TORSBY</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39767-2024</t>
        </is>
      </c>
      <c r="B2111" s="1" t="n">
        <v>45552</v>
      </c>
      <c r="C2111" s="1" t="n">
        <v>45997</v>
      </c>
      <c r="D2111" t="inlineStr">
        <is>
          <t>VÄRMLANDS LÄN</t>
        </is>
      </c>
      <c r="E2111" t="inlineStr">
        <is>
          <t>TORSBY</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23804-2022</t>
        </is>
      </c>
      <c r="B2112" s="1" t="n">
        <v>44722</v>
      </c>
      <c r="C2112" s="1" t="n">
        <v>45997</v>
      </c>
      <c r="D2112" t="inlineStr">
        <is>
          <t>VÄRMLANDS LÄN</t>
        </is>
      </c>
      <c r="E2112" t="inlineStr">
        <is>
          <t>TORSBY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35724-2022</t>
        </is>
      </c>
      <c r="B2113" s="1" t="n">
        <v>44799</v>
      </c>
      <c r="C2113" s="1" t="n">
        <v>45997</v>
      </c>
      <c r="D2113" t="inlineStr">
        <is>
          <t>VÄRMLANDS LÄN</t>
        </is>
      </c>
      <c r="E2113" t="inlineStr">
        <is>
          <t>TORSBY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54006-2024</t>
        </is>
      </c>
      <c r="B2114" s="1" t="n">
        <v>45616.3717824074</v>
      </c>
      <c r="C2114" s="1" t="n">
        <v>45997</v>
      </c>
      <c r="D2114" t="inlineStr">
        <is>
          <t>VÄRMLANDS LÄN</t>
        </is>
      </c>
      <c r="E2114" t="inlineStr">
        <is>
          <t>TORSBY</t>
        </is>
      </c>
      <c r="F2114" t="inlineStr">
        <is>
          <t>Kommuner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21078-2023</t>
        </is>
      </c>
      <c r="B2115" s="1" t="n">
        <v>45061</v>
      </c>
      <c r="C2115" s="1" t="n">
        <v>45997</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10027-2023</t>
        </is>
      </c>
      <c r="B2116" s="1" t="n">
        <v>44979</v>
      </c>
      <c r="C2116" s="1" t="n">
        <v>45997</v>
      </c>
      <c r="D2116" t="inlineStr">
        <is>
          <t>VÄRMLANDS LÄN</t>
        </is>
      </c>
      <c r="E2116" t="inlineStr">
        <is>
          <t>TORSBY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48721-2024</t>
        </is>
      </c>
      <c r="B2117" s="1" t="n">
        <v>45593.54752314815</v>
      </c>
      <c r="C2117" s="1" t="n">
        <v>45997</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39746-2024</t>
        </is>
      </c>
      <c r="B2118" s="1" t="n">
        <v>45552</v>
      </c>
      <c r="C2118" s="1" t="n">
        <v>45997</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8188-2025</t>
        </is>
      </c>
      <c r="B2119" s="1" t="n">
        <v>45708.40246527778</v>
      </c>
      <c r="C2119" s="1" t="n">
        <v>45997</v>
      </c>
      <c r="D2119" t="inlineStr">
        <is>
          <t>VÄRMLANDS LÄN</t>
        </is>
      </c>
      <c r="E2119" t="inlineStr">
        <is>
          <t>TORSBY</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38991-2023</t>
        </is>
      </c>
      <c r="B2120" s="1" t="n">
        <v>45163.65929398148</v>
      </c>
      <c r="C2120" s="1" t="n">
        <v>45997</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906-2025</t>
        </is>
      </c>
      <c r="B2121" s="1" t="n">
        <v>45664</v>
      </c>
      <c r="C2121" s="1" t="n">
        <v>45997</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17053-2025</t>
        </is>
      </c>
      <c r="B2122" s="1" t="n">
        <v>45754</v>
      </c>
      <c r="C2122" s="1" t="n">
        <v>45997</v>
      </c>
      <c r="D2122" t="inlineStr">
        <is>
          <t>VÄRMLANDS LÄN</t>
        </is>
      </c>
      <c r="E2122" t="inlineStr">
        <is>
          <t>TORSBY</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26686-2022</t>
        </is>
      </c>
      <c r="B2123" s="1" t="n">
        <v>44739.67833333334</v>
      </c>
      <c r="C2123" s="1" t="n">
        <v>45997</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38076-2024</t>
        </is>
      </c>
      <c r="B2124" s="1" t="n">
        <v>45544</v>
      </c>
      <c r="C2124" s="1" t="n">
        <v>45997</v>
      </c>
      <c r="D2124" t="inlineStr">
        <is>
          <t>VÄRMLANDS LÄN</t>
        </is>
      </c>
      <c r="E2124" t="inlineStr">
        <is>
          <t>TORSBY</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1432-2025</t>
        </is>
      </c>
      <c r="B2125" s="1" t="n">
        <v>45669</v>
      </c>
      <c r="C2125" s="1" t="n">
        <v>45997</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1435-2025</t>
        </is>
      </c>
      <c r="B2126" s="1" t="n">
        <v>45669</v>
      </c>
      <c r="C2126" s="1" t="n">
        <v>45997</v>
      </c>
      <c r="D2126" t="inlineStr">
        <is>
          <t>VÄRMLANDS LÄN</t>
        </is>
      </c>
      <c r="E2126" t="inlineStr">
        <is>
          <t>TORSBY</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45997</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51987-2024</t>
        </is>
      </c>
      <c r="B2128" s="1" t="n">
        <v>45607</v>
      </c>
      <c r="C2128" s="1" t="n">
        <v>45997</v>
      </c>
      <c r="D2128" t="inlineStr">
        <is>
          <t>VÄRMLANDS LÄN</t>
        </is>
      </c>
      <c r="E2128" t="inlineStr">
        <is>
          <t>TORSBY</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46503-2024</t>
        </is>
      </c>
      <c r="B2129" s="1" t="n">
        <v>45582</v>
      </c>
      <c r="C2129" s="1" t="n">
        <v>45997</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21790-2023</t>
        </is>
      </c>
      <c r="B2130" s="1" t="n">
        <v>45067</v>
      </c>
      <c r="C2130" s="1" t="n">
        <v>45997</v>
      </c>
      <c r="D2130" t="inlineStr">
        <is>
          <t>VÄRMLANDS LÄN</t>
        </is>
      </c>
      <c r="E2130" t="inlineStr">
        <is>
          <t>TORSBY</t>
        </is>
      </c>
      <c r="F2130" t="inlineStr">
        <is>
          <t>Övriga statliga verk och myndigheter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43157-2021</t>
        </is>
      </c>
      <c r="B2131" s="1" t="n">
        <v>44431</v>
      </c>
      <c r="C2131" s="1" t="n">
        <v>45997</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43529-2023</t>
        </is>
      </c>
      <c r="B2132" s="1" t="n">
        <v>45181</v>
      </c>
      <c r="C2132" s="1" t="n">
        <v>45997</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68153-2021</t>
        </is>
      </c>
      <c r="B2133" s="1" t="n">
        <v>44526.43881944445</v>
      </c>
      <c r="C2133" s="1" t="n">
        <v>45997</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27115-2024</t>
        </is>
      </c>
      <c r="B2134" s="1" t="n">
        <v>45471</v>
      </c>
      <c r="C2134" s="1" t="n">
        <v>45997</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27144-2024</t>
        </is>
      </c>
      <c r="B2135" s="1" t="n">
        <v>45471.55459490741</v>
      </c>
      <c r="C2135" s="1" t="n">
        <v>45997</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25090-2023</t>
        </is>
      </c>
      <c r="B2136" s="1" t="n">
        <v>45086</v>
      </c>
      <c r="C2136" s="1" t="n">
        <v>45997</v>
      </c>
      <c r="D2136" t="inlineStr">
        <is>
          <t>VÄRMLANDS LÄN</t>
        </is>
      </c>
      <c r="E2136" t="inlineStr">
        <is>
          <t>TORSBY</t>
        </is>
      </c>
      <c r="F2136" t="inlineStr">
        <is>
          <t>Bergvik skog väst AB</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41253-2021</t>
        </is>
      </c>
      <c r="B2137" s="1" t="n">
        <v>44424</v>
      </c>
      <c r="C2137" s="1" t="n">
        <v>45997</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11569-2025</t>
        </is>
      </c>
      <c r="B2138" s="1" t="n">
        <v>45727.37971064815</v>
      </c>
      <c r="C2138" s="1" t="n">
        <v>45997</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53583-2024</t>
        </is>
      </c>
      <c r="B2139" s="1" t="n">
        <v>45614.66449074074</v>
      </c>
      <c r="C2139" s="1" t="n">
        <v>45997</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37913-2022</t>
        </is>
      </c>
      <c r="B2140" s="1" t="n">
        <v>44811</v>
      </c>
      <c r="C2140" s="1" t="n">
        <v>45997</v>
      </c>
      <c r="D2140" t="inlineStr">
        <is>
          <t>VÄRMLANDS LÄN</t>
        </is>
      </c>
      <c r="E2140" t="inlineStr">
        <is>
          <t>TORSBY</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52750-2024</t>
        </is>
      </c>
      <c r="B2141" s="1" t="n">
        <v>45610</v>
      </c>
      <c r="C2141" s="1" t="n">
        <v>45997</v>
      </c>
      <c r="D2141" t="inlineStr">
        <is>
          <t>VÄRMLANDS LÄN</t>
        </is>
      </c>
      <c r="E2141" t="inlineStr">
        <is>
          <t>TORSBY</t>
        </is>
      </c>
      <c r="F2141" t="inlineStr">
        <is>
          <t>Kyrkan</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364-2025</t>
        </is>
      </c>
      <c r="B2142" s="1" t="n">
        <v>45661</v>
      </c>
      <c r="C2142" s="1" t="n">
        <v>45997</v>
      </c>
      <c r="D2142" t="inlineStr">
        <is>
          <t>VÄRMLANDS LÄN</t>
        </is>
      </c>
      <c r="E2142" t="inlineStr">
        <is>
          <t>TORSBY</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51662-2024</t>
        </is>
      </c>
      <c r="B2143" s="1" t="n">
        <v>45606.75559027777</v>
      </c>
      <c r="C2143" s="1" t="n">
        <v>45997</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23264-2022</t>
        </is>
      </c>
      <c r="B2144" s="1" t="n">
        <v>44720.40818287037</v>
      </c>
      <c r="C2144" s="1" t="n">
        <v>45997</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47141-2022</t>
        </is>
      </c>
      <c r="B2145" s="1" t="n">
        <v>44852.56548611111</v>
      </c>
      <c r="C2145" s="1" t="n">
        <v>45997</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57809-2024</t>
        </is>
      </c>
      <c r="B2146" s="1" t="n">
        <v>45631</v>
      </c>
      <c r="C2146" s="1" t="n">
        <v>45997</v>
      </c>
      <c r="D2146" t="inlineStr">
        <is>
          <t>VÄRMLANDS LÄN</t>
        </is>
      </c>
      <c r="E2146" t="inlineStr">
        <is>
          <t>TORSBY</t>
        </is>
      </c>
      <c r="F2146" t="inlineStr">
        <is>
          <t>Bergvik skog väst AB</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31936-2023</t>
        </is>
      </c>
      <c r="B2147" s="1" t="n">
        <v>45107</v>
      </c>
      <c r="C2147" s="1" t="n">
        <v>45997</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61206-2024</t>
        </is>
      </c>
      <c r="B2148" s="1" t="n">
        <v>45645.64626157407</v>
      </c>
      <c r="C2148" s="1" t="n">
        <v>45997</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40036-2022</t>
        </is>
      </c>
      <c r="B2149" s="1" t="n">
        <v>44820.43179398148</v>
      </c>
      <c r="C2149" s="1" t="n">
        <v>45997</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17153-2025</t>
        </is>
      </c>
      <c r="B2150" s="1" t="n">
        <v>45756</v>
      </c>
      <c r="C2150" s="1" t="n">
        <v>45997</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375-2025</t>
        </is>
      </c>
      <c r="B2151" s="1" t="n">
        <v>45661</v>
      </c>
      <c r="C2151" s="1" t="n">
        <v>45997</v>
      </c>
      <c r="D2151" t="inlineStr">
        <is>
          <t>VÄRMLANDS LÄN</t>
        </is>
      </c>
      <c r="E2151" t="inlineStr">
        <is>
          <t>TORSBY</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47077-2023</t>
        </is>
      </c>
      <c r="B2152" s="1" t="n">
        <v>45201</v>
      </c>
      <c r="C2152" s="1" t="n">
        <v>45997</v>
      </c>
      <c r="D2152" t="inlineStr">
        <is>
          <t>VÄRMLANDS LÄN</t>
        </is>
      </c>
      <c r="E2152" t="inlineStr">
        <is>
          <t>TORSBY</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36318-2022</t>
        </is>
      </c>
      <c r="B2153" s="1" t="n">
        <v>44803</v>
      </c>
      <c r="C2153" s="1" t="n">
        <v>45997</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1092-2025</t>
        </is>
      </c>
      <c r="B2154" s="1" t="n">
        <v>45666.6333912037</v>
      </c>
      <c r="C2154" s="1" t="n">
        <v>45997</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42347-2021</t>
        </is>
      </c>
      <c r="B2155" s="1" t="n">
        <v>44427</v>
      </c>
      <c r="C2155" s="1" t="n">
        <v>45997</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29908-2022</t>
        </is>
      </c>
      <c r="B2156" s="1" t="n">
        <v>44756</v>
      </c>
      <c r="C2156" s="1" t="n">
        <v>45997</v>
      </c>
      <c r="D2156" t="inlineStr">
        <is>
          <t>VÄRMLANDS LÄN</t>
        </is>
      </c>
      <c r="E2156" t="inlineStr">
        <is>
          <t>TORSBY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17184-2023</t>
        </is>
      </c>
      <c r="B2157" s="1" t="n">
        <v>45034.69127314815</v>
      </c>
      <c r="C2157" s="1" t="n">
        <v>45997</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17065-2025</t>
        </is>
      </c>
      <c r="B2158" s="1" t="n">
        <v>45754</v>
      </c>
      <c r="C2158" s="1" t="n">
        <v>45997</v>
      </c>
      <c r="D2158" t="inlineStr">
        <is>
          <t>VÄRMLANDS LÄN</t>
        </is>
      </c>
      <c r="E2158" t="inlineStr">
        <is>
          <t>TORSBY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14801-2025</t>
        </is>
      </c>
      <c r="B2159" s="1" t="n">
        <v>45743</v>
      </c>
      <c r="C2159" s="1" t="n">
        <v>45997</v>
      </c>
      <c r="D2159" t="inlineStr">
        <is>
          <t>VÄRMLANDS LÄN</t>
        </is>
      </c>
      <c r="E2159" t="inlineStr">
        <is>
          <t>TORSBY</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6968-2025</t>
        </is>
      </c>
      <c r="B2160" s="1" t="n">
        <v>45701.53253472222</v>
      </c>
      <c r="C2160" s="1" t="n">
        <v>45997</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16309-2023</t>
        </is>
      </c>
      <c r="B2161" s="1" t="n">
        <v>45028.58873842593</v>
      </c>
      <c r="C2161" s="1" t="n">
        <v>45997</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30011-2024</t>
        </is>
      </c>
      <c r="B2162" s="1" t="n">
        <v>45488</v>
      </c>
      <c r="C2162" s="1" t="n">
        <v>45997</v>
      </c>
      <c r="D2162" t="inlineStr">
        <is>
          <t>VÄRMLANDS LÄN</t>
        </is>
      </c>
      <c r="E2162" t="inlineStr">
        <is>
          <t>TORSBY</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10329-2025</t>
        </is>
      </c>
      <c r="B2163" s="1" t="n">
        <v>45720</v>
      </c>
      <c r="C2163" s="1" t="n">
        <v>45997</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10343-2025</t>
        </is>
      </c>
      <c r="B2164" s="1" t="n">
        <v>45720</v>
      </c>
      <c r="C2164" s="1" t="n">
        <v>45997</v>
      </c>
      <c r="D2164" t="inlineStr">
        <is>
          <t>VÄRMLANDS LÄN</t>
        </is>
      </c>
      <c r="E2164" t="inlineStr">
        <is>
          <t>TORSBY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37279-2022</t>
        </is>
      </c>
      <c r="B2165" s="1" t="n">
        <v>44807</v>
      </c>
      <c r="C2165" s="1" t="n">
        <v>45997</v>
      </c>
      <c r="D2165" t="inlineStr">
        <is>
          <t>VÄRMLANDS LÄN</t>
        </is>
      </c>
      <c r="E2165" t="inlineStr">
        <is>
          <t>TORSBY</t>
        </is>
      </c>
      <c r="G2165" t="n">
        <v>18.2</v>
      </c>
      <c r="H2165" t="n">
        <v>0</v>
      </c>
      <c r="I2165" t="n">
        <v>0</v>
      </c>
      <c r="J2165" t="n">
        <v>0</v>
      </c>
      <c r="K2165" t="n">
        <v>0</v>
      </c>
      <c r="L2165" t="n">
        <v>0</v>
      </c>
      <c r="M2165" t="n">
        <v>0</v>
      </c>
      <c r="N2165" t="n">
        <v>0</v>
      </c>
      <c r="O2165" t="n">
        <v>0</v>
      </c>
      <c r="P2165" t="n">
        <v>0</v>
      </c>
      <c r="Q2165" t="n">
        <v>0</v>
      </c>
      <c r="R2165" s="2" t="inlineStr"/>
    </row>
    <row r="2166" ht="15" customHeight="1">
      <c r="A2166" t="inlineStr">
        <is>
          <t>A 56571-2024</t>
        </is>
      </c>
      <c r="B2166" s="1" t="n">
        <v>45625</v>
      </c>
      <c r="C2166" s="1" t="n">
        <v>45997</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41377-2021</t>
        </is>
      </c>
      <c r="B2167" s="1" t="n">
        <v>44424.65148148148</v>
      </c>
      <c r="C2167" s="1" t="n">
        <v>45997</v>
      </c>
      <c r="D2167" t="inlineStr">
        <is>
          <t>VÄRMLANDS LÄN</t>
        </is>
      </c>
      <c r="E2167" t="inlineStr">
        <is>
          <t>TORSBY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18544-2023</t>
        </is>
      </c>
      <c r="B2168" s="1" t="n">
        <v>45041</v>
      </c>
      <c r="C2168" s="1" t="n">
        <v>45997</v>
      </c>
      <c r="D2168" t="inlineStr">
        <is>
          <t>VÄRMLANDS LÄN</t>
        </is>
      </c>
      <c r="E2168" t="inlineStr">
        <is>
          <t>TORSBY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67457-2021</t>
        </is>
      </c>
      <c r="B2169" s="1" t="n">
        <v>44524</v>
      </c>
      <c r="C2169" s="1" t="n">
        <v>45997</v>
      </c>
      <c r="D2169" t="inlineStr">
        <is>
          <t>VÄRMLANDS LÄN</t>
        </is>
      </c>
      <c r="E2169" t="inlineStr">
        <is>
          <t>TORSBY</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33853-2021</t>
        </is>
      </c>
      <c r="B2170" s="1" t="n">
        <v>44378.61460648148</v>
      </c>
      <c r="C2170" s="1" t="n">
        <v>45997</v>
      </c>
      <c r="D2170" t="inlineStr">
        <is>
          <t>VÄRMLANDS LÄN</t>
        </is>
      </c>
      <c r="E2170" t="inlineStr">
        <is>
          <t>TORSBY</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38184-2024</t>
        </is>
      </c>
      <c r="B2171" s="1" t="n">
        <v>45545</v>
      </c>
      <c r="C2171" s="1" t="n">
        <v>45997</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61546-2024</t>
        </is>
      </c>
      <c r="B2172" s="1" t="n">
        <v>45645</v>
      </c>
      <c r="C2172" s="1" t="n">
        <v>45997</v>
      </c>
      <c r="D2172" t="inlineStr">
        <is>
          <t>VÄRMLANDS LÄN</t>
        </is>
      </c>
      <c r="E2172" t="inlineStr">
        <is>
          <t>TORSBY</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33782-2023</t>
        </is>
      </c>
      <c r="B2173" s="1" t="n">
        <v>45120</v>
      </c>
      <c r="C2173" s="1" t="n">
        <v>45997</v>
      </c>
      <c r="D2173" t="inlineStr">
        <is>
          <t>VÄRMLANDS LÄN</t>
        </is>
      </c>
      <c r="E2173" t="inlineStr">
        <is>
          <t>TORSBY</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34568-2022</t>
        </is>
      </c>
      <c r="B2174" s="1" t="n">
        <v>44795.28277777778</v>
      </c>
      <c r="C2174" s="1" t="n">
        <v>45997</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18684-2025</t>
        </is>
      </c>
      <c r="B2175" s="1" t="n">
        <v>45763.61064814815</v>
      </c>
      <c r="C2175" s="1" t="n">
        <v>45997</v>
      </c>
      <c r="D2175" t="inlineStr">
        <is>
          <t>VÄRMLANDS LÄN</t>
        </is>
      </c>
      <c r="E2175" t="inlineStr">
        <is>
          <t>TORSBY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57172-2022</t>
        </is>
      </c>
      <c r="B2176" s="1" t="n">
        <v>44895</v>
      </c>
      <c r="C2176" s="1" t="n">
        <v>45997</v>
      </c>
      <c r="D2176" t="inlineStr">
        <is>
          <t>VÄRMLANDS LÄN</t>
        </is>
      </c>
      <c r="E2176" t="inlineStr">
        <is>
          <t>TORSBY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41843-2023</t>
        </is>
      </c>
      <c r="B2177" s="1" t="n">
        <v>45176.60533564815</v>
      </c>
      <c r="C2177" s="1" t="n">
        <v>45997</v>
      </c>
      <c r="D2177" t="inlineStr">
        <is>
          <t>VÄRMLANDS LÄN</t>
        </is>
      </c>
      <c r="E2177" t="inlineStr">
        <is>
          <t>TORSBY</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19527-2023</t>
        </is>
      </c>
      <c r="B2178" s="1" t="n">
        <v>45050</v>
      </c>
      <c r="C2178" s="1" t="n">
        <v>45997</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18244-2023</t>
        </is>
      </c>
      <c r="B2179" s="1" t="n">
        <v>45041</v>
      </c>
      <c r="C2179" s="1" t="n">
        <v>45997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43111-2022</t>
        </is>
      </c>
      <c r="B2180" s="1" t="n">
        <v>44833</v>
      </c>
      <c r="C2180" s="1" t="n">
        <v>45997</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45056-2022</t>
        </is>
      </c>
      <c r="B2181" s="1" t="n">
        <v>44841.72731481482</v>
      </c>
      <c r="C2181" s="1" t="n">
        <v>45997</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69250-2020</t>
        </is>
      </c>
      <c r="B2182" s="1" t="n">
        <v>44192</v>
      </c>
      <c r="C2182" s="1" t="n">
        <v>45997</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20060-2025</t>
        </is>
      </c>
      <c r="B2183" s="1" t="n">
        <v>45772.41831018519</v>
      </c>
      <c r="C2183" s="1" t="n">
        <v>45997</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c r="A2184" t="inlineStr">
        <is>
          <t>A 2803-2025</t>
        </is>
      </c>
      <c r="B2184" s="1" t="n">
        <v>45677</v>
      </c>
      <c r="C2184" s="1" t="n">
        <v>45997</v>
      </c>
      <c r="D2184" t="inlineStr">
        <is>
          <t>VÄRMLANDS LÄN</t>
        </is>
      </c>
      <c r="E2184" t="inlineStr">
        <is>
          <t>TORSBY</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2025-12-06T10:26:40Z</dcterms:created>
  <dcterms:modified xmlns:dcterms="http://purl.org/dc/terms/" xmlns:xsi="http://www.w3.org/2001/XMLSchema-instance" xsi:type="dcterms:W3CDTF">2025-12-06T10:26:42Z</dcterms:modified>
</cp:coreProperties>
</file>