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45880</v>
      </c>
      <c r="D10" t="inlineStr">
        <is>
          <t>VÄRMLANDS LÄN</t>
        </is>
      </c>
      <c r="E10" t="inlineStr">
        <is>
          <t>TORSBY</t>
        </is>
      </c>
      <c r="F10" t="inlineStr">
        <is>
          <t>Bergvik skog väst AB</t>
        </is>
      </c>
      <c r="G10" t="n">
        <v>15.4</v>
      </c>
      <c r="H10" t="n">
        <v>1</v>
      </c>
      <c r="I10" t="n">
        <v>10</v>
      </c>
      <c r="J10" t="n">
        <v>1</v>
      </c>
      <c r="K10" t="n">
        <v>0</v>
      </c>
      <c r="L10" t="n">
        <v>1</v>
      </c>
      <c r="M10" t="n">
        <v>0</v>
      </c>
      <c r="N10" t="n">
        <v>0</v>
      </c>
      <c r="O10" t="n">
        <v>2</v>
      </c>
      <c r="P10" t="n">
        <v>1</v>
      </c>
      <c r="Q10" t="n">
        <v>13</v>
      </c>
      <c r="R10" s="2" t="inlineStr">
        <is>
          <t>Ask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row>
    <row r="11" ht="15" customHeight="1">
      <c r="A11" t="inlineStr">
        <is>
          <t>A 31895-2025</t>
        </is>
      </c>
      <c r="B11" s="1" t="n">
        <v>45834.67231481482</v>
      </c>
      <c r="C11" s="1" t="n">
        <v>45880</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45880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45880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45880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45880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45880</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45880</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45880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45880</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45880</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45880</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45880</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45880</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45880</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45880</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49109-2021</t>
        </is>
      </c>
      <c r="B33" s="1" t="n">
        <v>44453</v>
      </c>
      <c r="C33" s="1" t="n">
        <v>45880</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45880</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45880</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45880</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4555-2021</t>
        </is>
      </c>
      <c r="B37" s="1" t="n">
        <v>44224</v>
      </c>
      <c r="C37" s="1" t="n">
        <v>45880</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9573-2023</t>
        </is>
      </c>
      <c r="B38" s="1" t="n">
        <v>44982</v>
      </c>
      <c r="C38" s="1" t="n">
        <v>45880</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22604-2025</t>
        </is>
      </c>
      <c r="B39" s="1" t="n">
        <v>45789.41592592592</v>
      </c>
      <c r="C39" s="1" t="n">
        <v>45880</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45880</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45880</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45880</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2938-2025</t>
        </is>
      </c>
      <c r="B43" s="1" t="n">
        <v>45678</v>
      </c>
      <c r="C43" s="1" t="n">
        <v>45880</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15086-2025</t>
        </is>
      </c>
      <c r="B44" s="1" t="n">
        <v>45743</v>
      </c>
      <c r="C44" s="1" t="n">
        <v>45880</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173-2021</t>
        </is>
      </c>
      <c r="B45" s="1" t="n">
        <v>44200</v>
      </c>
      <c r="C45" s="1" t="n">
        <v>45880</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45880</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25899-2024</t>
        </is>
      </c>
      <c r="B47" s="1" t="n">
        <v>45467</v>
      </c>
      <c r="C47" s="1" t="n">
        <v>45880</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20763-2025</t>
        </is>
      </c>
      <c r="B48" s="1" t="n">
        <v>45776.57929398148</v>
      </c>
      <c r="C48" s="1" t="n">
        <v>45880</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45880</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45880</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45880</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8514-2022</t>
        </is>
      </c>
      <c r="B52" s="1" t="n">
        <v>44613.43620370371</v>
      </c>
      <c r="C52" s="1" t="n">
        <v>45880</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45880</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45880</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45880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18306-2024</t>
        </is>
      </c>
      <c r="B56" s="1" t="n">
        <v>45422</v>
      </c>
      <c r="C56" s="1" t="n">
        <v>45880</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3099-2024</t>
        </is>
      </c>
      <c r="B57" s="1" t="n">
        <v>45316</v>
      </c>
      <c r="C57" s="1" t="n">
        <v>45880</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46200-2020</t>
        </is>
      </c>
      <c r="B58" s="1" t="n">
        <v>44092</v>
      </c>
      <c r="C58" s="1" t="n">
        <v>45880</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57190-2024</t>
        </is>
      </c>
      <c r="B59" s="1" t="n">
        <v>45629</v>
      </c>
      <c r="C59" s="1" t="n">
        <v>45880</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17740-2025</t>
        </is>
      </c>
      <c r="B60" s="1" t="n">
        <v>45758</v>
      </c>
      <c r="C60" s="1" t="n">
        <v>45880</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31835-2024</t>
        </is>
      </c>
      <c r="B61" s="1" t="n">
        <v>45509</v>
      </c>
      <c r="C61" s="1" t="n">
        <v>45880</v>
      </c>
      <c r="D61" t="inlineStr">
        <is>
          <t>VÄRMLANDS LÄN</t>
        </is>
      </c>
      <c r="E61" t="inlineStr">
        <is>
          <t>TORSBY</t>
        </is>
      </c>
      <c r="G61" t="n">
        <v>27.3</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31835-2024 artfynd.xlsx", "A 31835-2024")</f>
        <v/>
      </c>
      <c r="T61">
        <f>HYPERLINK("https://klasma.github.io/Logging_1737/kartor/A 31835-2024 karta.png", "A 31835-2024")</f>
        <v/>
      </c>
      <c r="V61">
        <f>HYPERLINK("https://klasma.github.io/Logging_1737/klagomål/A 31835-2024 FSC-klagomål.docx", "A 31835-2024")</f>
        <v/>
      </c>
      <c r="W61">
        <f>HYPERLINK("https://klasma.github.io/Logging_1737/klagomålsmail/A 31835-2024 FSC-klagomål mail.docx", "A 31835-2024")</f>
        <v/>
      </c>
      <c r="X61">
        <f>HYPERLINK("https://klasma.github.io/Logging_1737/tillsyn/A 31835-2024 tillsynsbegäran.docx", "A 31835-2024")</f>
        <v/>
      </c>
      <c r="Y61">
        <f>HYPERLINK("https://klasma.github.io/Logging_1737/tillsynsmail/A 31835-2024 tillsynsbegäran mail.docx", "A 31835-2024")</f>
        <v/>
      </c>
    </row>
    <row r="62" ht="15" customHeight="1">
      <c r="A62" t="inlineStr">
        <is>
          <t>A 16545-2021</t>
        </is>
      </c>
      <c r="B62" s="1" t="n">
        <v>44293</v>
      </c>
      <c r="C62" s="1" t="n">
        <v>45880</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42590-2023</t>
        </is>
      </c>
      <c r="B63" s="1" t="n">
        <v>45181</v>
      </c>
      <c r="C63" s="1" t="n">
        <v>45880</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23576-2022</t>
        </is>
      </c>
      <c r="B64" s="1" t="n">
        <v>44721</v>
      </c>
      <c r="C64" s="1" t="n">
        <v>45880</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15044-2025</t>
        </is>
      </c>
      <c r="B65" s="1" t="n">
        <v>45743</v>
      </c>
      <c r="C65" s="1" t="n">
        <v>45880</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19030-2025</t>
        </is>
      </c>
      <c r="B66" s="1" t="n">
        <v>45764.65658564815</v>
      </c>
      <c r="C66" s="1" t="n">
        <v>45880</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59789-2024</t>
        </is>
      </c>
      <c r="B67" s="1" t="n">
        <v>45639</v>
      </c>
      <c r="C67" s="1" t="n">
        <v>45880</v>
      </c>
      <c r="D67" t="inlineStr">
        <is>
          <t>VÄRMLANDS LÄN</t>
        </is>
      </c>
      <c r="E67" t="inlineStr">
        <is>
          <t>TORSBY</t>
        </is>
      </c>
      <c r="G67" t="n">
        <v>4.8</v>
      </c>
      <c r="H67" t="n">
        <v>0</v>
      </c>
      <c r="I67" t="n">
        <v>0</v>
      </c>
      <c r="J67" t="n">
        <v>3</v>
      </c>
      <c r="K67" t="n">
        <v>0</v>
      </c>
      <c r="L67" t="n">
        <v>0</v>
      </c>
      <c r="M67" t="n">
        <v>0</v>
      </c>
      <c r="N67" t="n">
        <v>0</v>
      </c>
      <c r="O67" t="n">
        <v>3</v>
      </c>
      <c r="P67" t="n">
        <v>0</v>
      </c>
      <c r="Q67" t="n">
        <v>3</v>
      </c>
      <c r="R67" s="2" t="inlineStr">
        <is>
          <t>Garnlav
Vedskivlav
Violettgrå tagellav</t>
        </is>
      </c>
      <c r="S67">
        <f>HYPERLINK("https://klasma.github.io/Logging_1737/artfynd/A 59789-2024 artfynd.xlsx", "A 59789-2024")</f>
        <v/>
      </c>
      <c r="T67">
        <f>HYPERLINK("https://klasma.github.io/Logging_1737/kartor/A 59789-2024 karta.png", "A 59789-2024")</f>
        <v/>
      </c>
      <c r="V67">
        <f>HYPERLINK("https://klasma.github.io/Logging_1737/klagomål/A 59789-2024 FSC-klagomål.docx", "A 59789-2024")</f>
        <v/>
      </c>
      <c r="W67">
        <f>HYPERLINK("https://klasma.github.io/Logging_1737/klagomålsmail/A 59789-2024 FSC-klagomål mail.docx", "A 59789-2024")</f>
        <v/>
      </c>
      <c r="X67">
        <f>HYPERLINK("https://klasma.github.io/Logging_1737/tillsyn/A 59789-2024 tillsynsbegäran.docx", "A 59789-2024")</f>
        <v/>
      </c>
      <c r="Y67">
        <f>HYPERLINK("https://klasma.github.io/Logging_1737/tillsynsmail/A 59789-2024 tillsynsbegäran mail.docx", "A 59789-2024")</f>
        <v/>
      </c>
    </row>
    <row r="68" ht="15" customHeight="1">
      <c r="A68" t="inlineStr">
        <is>
          <t>A 67528-2021</t>
        </is>
      </c>
      <c r="B68" s="1" t="n">
        <v>44524</v>
      </c>
      <c r="C68" s="1" t="n">
        <v>45880</v>
      </c>
      <c r="D68" t="inlineStr">
        <is>
          <t>VÄRMLANDS LÄN</t>
        </is>
      </c>
      <c r="E68" t="inlineStr">
        <is>
          <t>TORSBY</t>
        </is>
      </c>
      <c r="G68" t="n">
        <v>47</v>
      </c>
      <c r="H68" t="n">
        <v>1</v>
      </c>
      <c r="I68" t="n">
        <v>1</v>
      </c>
      <c r="J68" t="n">
        <v>1</v>
      </c>
      <c r="K68" t="n">
        <v>0</v>
      </c>
      <c r="L68" t="n">
        <v>0</v>
      </c>
      <c r="M68" t="n">
        <v>0</v>
      </c>
      <c r="N68" t="n">
        <v>0</v>
      </c>
      <c r="O68" t="n">
        <v>1</v>
      </c>
      <c r="P68" t="n">
        <v>0</v>
      </c>
      <c r="Q68" t="n">
        <v>3</v>
      </c>
      <c r="R68" s="2" t="inlineStr">
        <is>
          <t>Garnlav
Vedticka
Tjäder</t>
        </is>
      </c>
      <c r="S68">
        <f>HYPERLINK("https://klasma.github.io/Logging_1737/artfynd/A 67528-2021 artfynd.xlsx", "A 67528-2021")</f>
        <v/>
      </c>
      <c r="T68">
        <f>HYPERLINK("https://klasma.github.io/Logging_1737/kartor/A 67528-2021 karta.png", "A 67528-2021")</f>
        <v/>
      </c>
      <c r="V68">
        <f>HYPERLINK("https://klasma.github.io/Logging_1737/klagomål/A 67528-2021 FSC-klagomål.docx", "A 67528-2021")</f>
        <v/>
      </c>
      <c r="W68">
        <f>HYPERLINK("https://klasma.github.io/Logging_1737/klagomålsmail/A 67528-2021 FSC-klagomål mail.docx", "A 67528-2021")</f>
        <v/>
      </c>
      <c r="X68">
        <f>HYPERLINK("https://klasma.github.io/Logging_1737/tillsyn/A 67528-2021 tillsynsbegäran.docx", "A 67528-2021")</f>
        <v/>
      </c>
      <c r="Y68">
        <f>HYPERLINK("https://klasma.github.io/Logging_1737/tillsynsmail/A 67528-2021 tillsynsbegäran mail.docx", "A 67528-2021")</f>
        <v/>
      </c>
      <c r="Z68">
        <f>HYPERLINK("https://klasma.github.io/Logging_1737/fåglar/A 67528-2021 prioriterade fågelarter.docx", "A 67528-2021")</f>
        <v/>
      </c>
    </row>
    <row r="69" ht="15" customHeight="1">
      <c r="A69" t="inlineStr">
        <is>
          <t>A 46016-2023</t>
        </is>
      </c>
      <c r="B69" s="1" t="n">
        <v>45196</v>
      </c>
      <c r="C69" s="1" t="n">
        <v>45880</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53198-2020</t>
        </is>
      </c>
      <c r="B70" s="1" t="n">
        <v>44122</v>
      </c>
      <c r="C70" s="1" t="n">
        <v>45880</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45880</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45880</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16011-2025</t>
        </is>
      </c>
      <c r="B73" s="1" t="n">
        <v>45749</v>
      </c>
      <c r="C73" s="1" t="n">
        <v>45880</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23091-2024</t>
        </is>
      </c>
      <c r="B74" s="1" t="n">
        <v>45450</v>
      </c>
      <c r="C74" s="1" t="n">
        <v>45880</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34930-2022</t>
        </is>
      </c>
      <c r="B75" s="1" t="n">
        <v>44796</v>
      </c>
      <c r="C75" s="1" t="n">
        <v>45880</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16442-2023</t>
        </is>
      </c>
      <c r="B76" s="1" t="n">
        <v>45026</v>
      </c>
      <c r="C76" s="1" t="n">
        <v>45880</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2000-2023</t>
        </is>
      </c>
      <c r="B77" s="1" t="n">
        <v>44939</v>
      </c>
      <c r="C77" s="1" t="n">
        <v>45880</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62955-2023</t>
        </is>
      </c>
      <c r="B78" s="1" t="n">
        <v>45271</v>
      </c>
      <c r="C78" s="1" t="n">
        <v>45880</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16414-2023</t>
        </is>
      </c>
      <c r="B79" s="1" t="n">
        <v>45022</v>
      </c>
      <c r="C79" s="1" t="n">
        <v>45880</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17747-2025</t>
        </is>
      </c>
      <c r="B80" s="1" t="n">
        <v>45758</v>
      </c>
      <c r="C80" s="1" t="n">
        <v>45880</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Garnlav
Vedtrappmossa</t>
        </is>
      </c>
      <c r="S80">
        <f>HYPERLINK("https://klasma.github.io/Logging_1737/artfynd/A 17747-2025 artfynd.xlsx", "A 17747-2025")</f>
        <v/>
      </c>
      <c r="T80">
        <f>HYPERLINK("https://klasma.github.io/Logging_1737/kartor/A 17747-2025 karta.png", "A 17747-2025")</f>
        <v/>
      </c>
      <c r="V80">
        <f>HYPERLINK("https://klasma.github.io/Logging_1737/klagomål/A 17747-2025 FSC-klagomål.docx", "A 17747-2025")</f>
        <v/>
      </c>
      <c r="W80">
        <f>HYPERLINK("https://klasma.github.io/Logging_1737/klagomålsmail/A 17747-2025 FSC-klagomål mail.docx", "A 17747-2025")</f>
        <v/>
      </c>
      <c r="X80">
        <f>HYPERLINK("https://klasma.github.io/Logging_1737/tillsyn/A 17747-2025 tillsynsbegäran.docx", "A 17747-2025")</f>
        <v/>
      </c>
      <c r="Y80">
        <f>HYPERLINK("https://klasma.github.io/Logging_1737/tillsynsmail/A 17747-2025 tillsynsbegäran mail.docx", "A 17747-2025")</f>
        <v/>
      </c>
    </row>
    <row r="81" ht="15" customHeight="1">
      <c r="A81" t="inlineStr">
        <is>
          <t>A 33906-2025</t>
        </is>
      </c>
      <c r="B81" s="1" t="n">
        <v>45842.59878472222</v>
      </c>
      <c r="C81" s="1" t="n">
        <v>45880</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25212-2025</t>
        </is>
      </c>
      <c r="B82" s="1" t="n">
        <v>45800</v>
      </c>
      <c r="C82" s="1" t="n">
        <v>45880</v>
      </c>
      <c r="D82" t="inlineStr">
        <is>
          <t>VÄRMLANDS LÄN</t>
        </is>
      </c>
      <c r="E82" t="inlineStr">
        <is>
          <t>TORSBY</t>
        </is>
      </c>
      <c r="F82" t="inlineStr">
        <is>
          <t>Bergvik skog väst AB</t>
        </is>
      </c>
      <c r="G82" t="n">
        <v>6.4</v>
      </c>
      <c r="H82" t="n">
        <v>1</v>
      </c>
      <c r="I82" t="n">
        <v>1</v>
      </c>
      <c r="J82" t="n">
        <v>0</v>
      </c>
      <c r="K82" t="n">
        <v>1</v>
      </c>
      <c r="L82" t="n">
        <v>0</v>
      </c>
      <c r="M82" t="n">
        <v>0</v>
      </c>
      <c r="N82" t="n">
        <v>0</v>
      </c>
      <c r="O82" t="n">
        <v>1</v>
      </c>
      <c r="P82" t="n">
        <v>1</v>
      </c>
      <c r="Q82" t="n">
        <v>2</v>
      </c>
      <c r="R82" s="2" t="inlineStr">
        <is>
          <t>Bombmurkla
Vedticka</t>
        </is>
      </c>
      <c r="S82">
        <f>HYPERLINK("https://klasma.github.io/Logging_1737/artfynd/A 25212-2025 artfynd.xlsx", "A 25212-2025")</f>
        <v/>
      </c>
      <c r="T82">
        <f>HYPERLINK("https://klasma.github.io/Logging_1737/kartor/A 25212-2025 karta.png", "A 25212-2025")</f>
        <v/>
      </c>
      <c r="V82">
        <f>HYPERLINK("https://klasma.github.io/Logging_1737/klagomål/A 25212-2025 FSC-klagomål.docx", "A 25212-2025")</f>
        <v/>
      </c>
      <c r="W82">
        <f>HYPERLINK("https://klasma.github.io/Logging_1737/klagomålsmail/A 25212-2025 FSC-klagomål mail.docx", "A 25212-2025")</f>
        <v/>
      </c>
      <c r="X82">
        <f>HYPERLINK("https://klasma.github.io/Logging_1737/tillsyn/A 25212-2025 tillsynsbegäran.docx", "A 25212-2025")</f>
        <v/>
      </c>
      <c r="Y82">
        <f>HYPERLINK("https://klasma.github.io/Logging_1737/tillsynsmail/A 25212-2025 tillsynsbegäran mail.docx", "A 25212-2025")</f>
        <v/>
      </c>
    </row>
    <row r="83" ht="15" customHeight="1">
      <c r="A83" t="inlineStr">
        <is>
          <t>A 42610-2023</t>
        </is>
      </c>
      <c r="B83" s="1" t="n">
        <v>45181</v>
      </c>
      <c r="C83" s="1" t="n">
        <v>45880</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48292-2023</t>
        </is>
      </c>
      <c r="B84" s="1" t="n">
        <v>45205</v>
      </c>
      <c r="C84" s="1" t="n">
        <v>45880</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12372-2022</t>
        </is>
      </c>
      <c r="B85" s="1" t="n">
        <v>44637</v>
      </c>
      <c r="C85" s="1" t="n">
        <v>45880</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12375-2022</t>
        </is>
      </c>
      <c r="B86" s="1" t="n">
        <v>44637</v>
      </c>
      <c r="C86" s="1" t="n">
        <v>45880</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4718-2023</t>
        </is>
      </c>
      <c r="B87" s="1" t="n">
        <v>44957</v>
      </c>
      <c r="C87" s="1" t="n">
        <v>45880</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28156-2022</t>
        </is>
      </c>
      <c r="B88" s="1" t="n">
        <v>44746</v>
      </c>
      <c r="C88" s="1" t="n">
        <v>45880</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61950-2024</t>
        </is>
      </c>
      <c r="B89" s="1" t="n">
        <v>45653</v>
      </c>
      <c r="C89" s="1" t="n">
        <v>45880</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34853-2021</t>
        </is>
      </c>
      <c r="B90" s="1" t="n">
        <v>44383</v>
      </c>
      <c r="C90" s="1" t="n">
        <v>45880</v>
      </c>
      <c r="D90" t="inlineStr">
        <is>
          <t>VÄRMLANDS LÄN</t>
        </is>
      </c>
      <c r="E90" t="inlineStr">
        <is>
          <t>TORSBY</t>
        </is>
      </c>
      <c r="G90" t="n">
        <v>14.8</v>
      </c>
      <c r="H90" t="n">
        <v>1</v>
      </c>
      <c r="I90" t="n">
        <v>0</v>
      </c>
      <c r="J90" t="n">
        <v>1</v>
      </c>
      <c r="K90" t="n">
        <v>0</v>
      </c>
      <c r="L90" t="n">
        <v>0</v>
      </c>
      <c r="M90" t="n">
        <v>0</v>
      </c>
      <c r="N90" t="n">
        <v>0</v>
      </c>
      <c r="O90" t="n">
        <v>1</v>
      </c>
      <c r="P90" t="n">
        <v>0</v>
      </c>
      <c r="Q90" t="n">
        <v>1</v>
      </c>
      <c r="R90" s="2" t="inlineStr">
        <is>
          <t>Talltita</t>
        </is>
      </c>
      <c r="S90">
        <f>HYPERLINK("https://klasma.github.io/Logging_1737/artfynd/A 34853-2021 artfynd.xlsx", "A 34853-2021")</f>
        <v/>
      </c>
      <c r="T90">
        <f>HYPERLINK("https://klasma.github.io/Logging_1737/kartor/A 34853-2021 karta.png", "A 34853-2021")</f>
        <v/>
      </c>
      <c r="V90">
        <f>HYPERLINK("https://klasma.github.io/Logging_1737/klagomål/A 34853-2021 FSC-klagomål.docx", "A 34853-2021")</f>
        <v/>
      </c>
      <c r="W90">
        <f>HYPERLINK("https://klasma.github.io/Logging_1737/klagomålsmail/A 34853-2021 FSC-klagomål mail.docx", "A 34853-2021")</f>
        <v/>
      </c>
      <c r="X90">
        <f>HYPERLINK("https://klasma.github.io/Logging_1737/tillsyn/A 34853-2021 tillsynsbegäran.docx", "A 34853-2021")</f>
        <v/>
      </c>
      <c r="Y90">
        <f>HYPERLINK("https://klasma.github.io/Logging_1737/tillsynsmail/A 34853-2021 tillsynsbegäran mail.docx", "A 34853-2021")</f>
        <v/>
      </c>
      <c r="Z90">
        <f>HYPERLINK("https://klasma.github.io/Logging_1737/fåglar/A 34853-2021 prioriterade fågelarter.docx", "A 34853-2021")</f>
        <v/>
      </c>
    </row>
    <row r="91" ht="15" customHeight="1">
      <c r="A91" t="inlineStr">
        <is>
          <t>A 50854-2020</t>
        </is>
      </c>
      <c r="B91" s="1" t="n">
        <v>44105</v>
      </c>
      <c r="C91" s="1" t="n">
        <v>45880</v>
      </c>
      <c r="D91" t="inlineStr">
        <is>
          <t>VÄRMLANDS LÄN</t>
        </is>
      </c>
      <c r="E91" t="inlineStr">
        <is>
          <t>TORSBY</t>
        </is>
      </c>
      <c r="G91" t="n">
        <v>6.5</v>
      </c>
      <c r="H91" t="n">
        <v>1</v>
      </c>
      <c r="I91" t="n">
        <v>0</v>
      </c>
      <c r="J91" t="n">
        <v>0</v>
      </c>
      <c r="K91" t="n">
        <v>1</v>
      </c>
      <c r="L91" t="n">
        <v>0</v>
      </c>
      <c r="M91" t="n">
        <v>0</v>
      </c>
      <c r="N91" t="n">
        <v>0</v>
      </c>
      <c r="O91" t="n">
        <v>1</v>
      </c>
      <c r="P91" t="n">
        <v>1</v>
      </c>
      <c r="Q91" t="n">
        <v>1</v>
      </c>
      <c r="R91" s="2" t="inlineStr">
        <is>
          <t>Knärot</t>
        </is>
      </c>
      <c r="S91">
        <f>HYPERLINK("https://klasma.github.io/Logging_1737/artfynd/A 50854-2020 artfynd.xlsx", "A 50854-2020")</f>
        <v/>
      </c>
      <c r="T91">
        <f>HYPERLINK("https://klasma.github.io/Logging_1737/kartor/A 50854-2020 karta.png", "A 50854-2020")</f>
        <v/>
      </c>
      <c r="U91">
        <f>HYPERLINK("https://klasma.github.io/Logging_1737/knärot/A 50854-2020 karta knärot.png", "A 50854-2020")</f>
        <v/>
      </c>
      <c r="V91">
        <f>HYPERLINK("https://klasma.github.io/Logging_1737/klagomål/A 50854-2020 FSC-klagomål.docx", "A 50854-2020")</f>
        <v/>
      </c>
      <c r="W91">
        <f>HYPERLINK("https://klasma.github.io/Logging_1737/klagomålsmail/A 50854-2020 FSC-klagomål mail.docx", "A 50854-2020")</f>
        <v/>
      </c>
      <c r="X91">
        <f>HYPERLINK("https://klasma.github.io/Logging_1737/tillsyn/A 50854-2020 tillsynsbegäran.docx", "A 50854-2020")</f>
        <v/>
      </c>
      <c r="Y91">
        <f>HYPERLINK("https://klasma.github.io/Logging_1737/tillsynsmail/A 50854-2020 tillsynsbegäran mail.docx", "A 50854-2020")</f>
        <v/>
      </c>
    </row>
    <row r="92" ht="15" customHeight="1">
      <c r="A92" t="inlineStr">
        <is>
          <t>A 3404-2022</t>
        </is>
      </c>
      <c r="B92" s="1" t="n">
        <v>44585</v>
      </c>
      <c r="C92" s="1" t="n">
        <v>45880</v>
      </c>
      <c r="D92" t="inlineStr">
        <is>
          <t>VÄRMLANDS LÄN</t>
        </is>
      </c>
      <c r="E92" t="inlineStr">
        <is>
          <t>TORSBY</t>
        </is>
      </c>
      <c r="G92" t="n">
        <v>1</v>
      </c>
      <c r="H92" t="n">
        <v>0</v>
      </c>
      <c r="I92" t="n">
        <v>0</v>
      </c>
      <c r="J92" t="n">
        <v>1</v>
      </c>
      <c r="K92" t="n">
        <v>0</v>
      </c>
      <c r="L92" t="n">
        <v>0</v>
      </c>
      <c r="M92" t="n">
        <v>0</v>
      </c>
      <c r="N92" t="n">
        <v>0</v>
      </c>
      <c r="O92" t="n">
        <v>1</v>
      </c>
      <c r="P92" t="n">
        <v>0</v>
      </c>
      <c r="Q92" t="n">
        <v>1</v>
      </c>
      <c r="R92" s="2" t="inlineStr">
        <is>
          <t>Vedtrappmossa</t>
        </is>
      </c>
      <c r="S92">
        <f>HYPERLINK("https://klasma.github.io/Logging_1737/artfynd/A 3404-2022 artfynd.xlsx", "A 3404-2022")</f>
        <v/>
      </c>
      <c r="T92">
        <f>HYPERLINK("https://klasma.github.io/Logging_1737/kartor/A 3404-2022 karta.png", "A 3404-2022")</f>
        <v/>
      </c>
      <c r="V92">
        <f>HYPERLINK("https://klasma.github.io/Logging_1737/klagomål/A 3404-2022 FSC-klagomål.docx", "A 3404-2022")</f>
        <v/>
      </c>
      <c r="W92">
        <f>HYPERLINK("https://klasma.github.io/Logging_1737/klagomålsmail/A 3404-2022 FSC-klagomål mail.docx", "A 3404-2022")</f>
        <v/>
      </c>
      <c r="X92">
        <f>HYPERLINK("https://klasma.github.io/Logging_1737/tillsyn/A 3404-2022 tillsynsbegäran.docx", "A 3404-2022")</f>
        <v/>
      </c>
      <c r="Y92">
        <f>HYPERLINK("https://klasma.github.io/Logging_1737/tillsynsmail/A 3404-2022 tillsynsbegäran mail.docx", "A 3404-2022")</f>
        <v/>
      </c>
    </row>
    <row r="93" ht="15" customHeight="1">
      <c r="A93" t="inlineStr">
        <is>
          <t>A 50089-2020</t>
        </is>
      </c>
      <c r="B93" s="1" t="n">
        <v>44109</v>
      </c>
      <c r="C93" s="1" t="n">
        <v>45880</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71594-2021</t>
        </is>
      </c>
      <c r="B94" s="1" t="n">
        <v>44541</v>
      </c>
      <c r="C94" s="1" t="n">
        <v>45880</v>
      </c>
      <c r="D94" t="inlineStr">
        <is>
          <t>VÄRMLANDS LÄN</t>
        </is>
      </c>
      <c r="E94" t="inlineStr">
        <is>
          <t>TORSBY</t>
        </is>
      </c>
      <c r="G94" t="n">
        <v>13.1</v>
      </c>
      <c r="H94" t="n">
        <v>0</v>
      </c>
      <c r="I94" t="n">
        <v>0</v>
      </c>
      <c r="J94" t="n">
        <v>1</v>
      </c>
      <c r="K94" t="n">
        <v>0</v>
      </c>
      <c r="L94" t="n">
        <v>0</v>
      </c>
      <c r="M94" t="n">
        <v>0</v>
      </c>
      <c r="N94" t="n">
        <v>0</v>
      </c>
      <c r="O94" t="n">
        <v>1</v>
      </c>
      <c r="P94" t="n">
        <v>0</v>
      </c>
      <c r="Q94" t="n">
        <v>1</v>
      </c>
      <c r="R94" s="2" t="inlineStr">
        <is>
          <t>Garnlav</t>
        </is>
      </c>
      <c r="S94">
        <f>HYPERLINK("https://klasma.github.io/Logging_1737/artfynd/A 71594-2021 artfynd.xlsx", "A 71594-2021")</f>
        <v/>
      </c>
      <c r="T94">
        <f>HYPERLINK("https://klasma.github.io/Logging_1737/kartor/A 71594-2021 karta.png", "A 71594-2021")</f>
        <v/>
      </c>
      <c r="V94">
        <f>HYPERLINK("https://klasma.github.io/Logging_1737/klagomål/A 71594-2021 FSC-klagomål.docx", "A 71594-2021")</f>
        <v/>
      </c>
      <c r="W94">
        <f>HYPERLINK("https://klasma.github.io/Logging_1737/klagomålsmail/A 71594-2021 FSC-klagomål mail.docx", "A 71594-2021")</f>
        <v/>
      </c>
      <c r="X94">
        <f>HYPERLINK("https://klasma.github.io/Logging_1737/tillsyn/A 71594-2021 tillsynsbegäran.docx", "A 71594-2021")</f>
        <v/>
      </c>
      <c r="Y94">
        <f>HYPERLINK("https://klasma.github.io/Logging_1737/tillsynsmail/A 71594-2021 tillsynsbegäran mail.docx", "A 71594-2021")</f>
        <v/>
      </c>
    </row>
    <row r="95" ht="15" customHeight="1">
      <c r="A95" t="inlineStr">
        <is>
          <t>A 34876-2021</t>
        </is>
      </c>
      <c r="B95" s="1" t="n">
        <v>44383</v>
      </c>
      <c r="C95" s="1" t="n">
        <v>45880</v>
      </c>
      <c r="D95" t="inlineStr">
        <is>
          <t>VÄRMLANDS LÄN</t>
        </is>
      </c>
      <c r="E95" t="inlineStr">
        <is>
          <t>TORSBY</t>
        </is>
      </c>
      <c r="G95" t="n">
        <v>4.7</v>
      </c>
      <c r="H95" t="n">
        <v>0</v>
      </c>
      <c r="I95" t="n">
        <v>0</v>
      </c>
      <c r="J95" t="n">
        <v>1</v>
      </c>
      <c r="K95" t="n">
        <v>0</v>
      </c>
      <c r="L95" t="n">
        <v>0</v>
      </c>
      <c r="M95" t="n">
        <v>0</v>
      </c>
      <c r="N95" t="n">
        <v>0</v>
      </c>
      <c r="O95" t="n">
        <v>1</v>
      </c>
      <c r="P95" t="n">
        <v>0</v>
      </c>
      <c r="Q95" t="n">
        <v>1</v>
      </c>
      <c r="R95" s="2" t="inlineStr">
        <is>
          <t>Doftskinn</t>
        </is>
      </c>
      <c r="S95">
        <f>HYPERLINK("https://klasma.github.io/Logging_1737/artfynd/A 34876-2021 artfynd.xlsx", "A 34876-2021")</f>
        <v/>
      </c>
      <c r="T95">
        <f>HYPERLINK("https://klasma.github.io/Logging_1737/kartor/A 34876-2021 karta.png", "A 34876-2021")</f>
        <v/>
      </c>
      <c r="V95">
        <f>HYPERLINK("https://klasma.github.io/Logging_1737/klagomål/A 34876-2021 FSC-klagomål.docx", "A 34876-2021")</f>
        <v/>
      </c>
      <c r="W95">
        <f>HYPERLINK("https://klasma.github.io/Logging_1737/klagomålsmail/A 34876-2021 FSC-klagomål mail.docx", "A 34876-2021")</f>
        <v/>
      </c>
      <c r="X95">
        <f>HYPERLINK("https://klasma.github.io/Logging_1737/tillsyn/A 34876-2021 tillsynsbegäran.docx", "A 34876-2021")</f>
        <v/>
      </c>
      <c r="Y95">
        <f>HYPERLINK("https://klasma.github.io/Logging_1737/tillsynsmail/A 34876-2021 tillsynsbegäran mail.docx", "A 34876-2021")</f>
        <v/>
      </c>
    </row>
    <row r="96" ht="15" customHeight="1">
      <c r="A96" t="inlineStr">
        <is>
          <t>A 53491-2020</t>
        </is>
      </c>
      <c r="B96" s="1" t="n">
        <v>44123</v>
      </c>
      <c r="C96" s="1" t="n">
        <v>45880</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37035-2020</t>
        </is>
      </c>
      <c r="B97" s="1" t="n">
        <v>44054</v>
      </c>
      <c r="C97" s="1" t="n">
        <v>45880</v>
      </c>
      <c r="D97" t="inlineStr">
        <is>
          <t>VÄRMLANDS LÄN</t>
        </is>
      </c>
      <c r="E97" t="inlineStr">
        <is>
          <t>TORSBY</t>
        </is>
      </c>
      <c r="G97" t="n">
        <v>2.7</v>
      </c>
      <c r="H97" t="n">
        <v>0</v>
      </c>
      <c r="I97" t="n">
        <v>0</v>
      </c>
      <c r="J97" t="n">
        <v>0</v>
      </c>
      <c r="K97" t="n">
        <v>1</v>
      </c>
      <c r="L97" t="n">
        <v>0</v>
      </c>
      <c r="M97" t="n">
        <v>0</v>
      </c>
      <c r="N97" t="n">
        <v>0</v>
      </c>
      <c r="O97" t="n">
        <v>1</v>
      </c>
      <c r="P97" t="n">
        <v>1</v>
      </c>
      <c r="Q97" t="n">
        <v>1</v>
      </c>
      <c r="R97" s="2" t="inlineStr">
        <is>
          <t>Raggbock</t>
        </is>
      </c>
      <c r="S97">
        <f>HYPERLINK("https://klasma.github.io/Logging_1737/artfynd/A 37035-2020 artfynd.xlsx", "A 37035-2020")</f>
        <v/>
      </c>
      <c r="T97">
        <f>HYPERLINK("https://klasma.github.io/Logging_1737/kartor/A 37035-2020 karta.png", "A 37035-2020")</f>
        <v/>
      </c>
      <c r="V97">
        <f>HYPERLINK("https://klasma.github.io/Logging_1737/klagomål/A 37035-2020 FSC-klagomål.docx", "A 37035-2020")</f>
        <v/>
      </c>
      <c r="W97">
        <f>HYPERLINK("https://klasma.github.io/Logging_1737/klagomålsmail/A 37035-2020 FSC-klagomål mail.docx", "A 37035-2020")</f>
        <v/>
      </c>
      <c r="X97">
        <f>HYPERLINK("https://klasma.github.io/Logging_1737/tillsyn/A 37035-2020 tillsynsbegäran.docx", "A 37035-2020")</f>
        <v/>
      </c>
      <c r="Y97">
        <f>HYPERLINK("https://klasma.github.io/Logging_1737/tillsynsmail/A 37035-2020 tillsynsbegäran mail.docx", "A 37035-2020")</f>
        <v/>
      </c>
    </row>
    <row r="98" ht="15" customHeight="1">
      <c r="A98" t="inlineStr">
        <is>
          <t>A 14212-2025</t>
        </is>
      </c>
      <c r="B98" s="1" t="n">
        <v>45740</v>
      </c>
      <c r="C98" s="1" t="n">
        <v>45880</v>
      </c>
      <c r="D98" t="inlineStr">
        <is>
          <t>VÄRMLANDS LÄN</t>
        </is>
      </c>
      <c r="E98" t="inlineStr">
        <is>
          <t>TORSBY</t>
        </is>
      </c>
      <c r="F98" t="inlineStr">
        <is>
          <t>Övriga statliga verk och myndigheter</t>
        </is>
      </c>
      <c r="G98" t="n">
        <v>2</v>
      </c>
      <c r="H98" t="n">
        <v>0</v>
      </c>
      <c r="I98" t="n">
        <v>0</v>
      </c>
      <c r="J98" t="n">
        <v>0</v>
      </c>
      <c r="K98" t="n">
        <v>1</v>
      </c>
      <c r="L98" t="n">
        <v>0</v>
      </c>
      <c r="M98" t="n">
        <v>0</v>
      </c>
      <c r="N98" t="n">
        <v>0</v>
      </c>
      <c r="O98" t="n">
        <v>1</v>
      </c>
      <c r="P98" t="n">
        <v>1</v>
      </c>
      <c r="Q98" t="n">
        <v>1</v>
      </c>
      <c r="R98" s="2" t="inlineStr">
        <is>
          <t>Raggbock</t>
        </is>
      </c>
      <c r="S98">
        <f>HYPERLINK("https://klasma.github.io/Logging_1737/artfynd/A 14212-2025 artfynd.xlsx", "A 14212-2025")</f>
        <v/>
      </c>
      <c r="T98">
        <f>HYPERLINK("https://klasma.github.io/Logging_1737/kartor/A 14212-2025 karta.png", "A 14212-2025")</f>
        <v/>
      </c>
      <c r="V98">
        <f>HYPERLINK("https://klasma.github.io/Logging_1737/klagomål/A 14212-2025 FSC-klagomål.docx", "A 14212-2025")</f>
        <v/>
      </c>
      <c r="W98">
        <f>HYPERLINK("https://klasma.github.io/Logging_1737/klagomålsmail/A 14212-2025 FSC-klagomål mail.docx", "A 14212-2025")</f>
        <v/>
      </c>
      <c r="X98">
        <f>HYPERLINK("https://klasma.github.io/Logging_1737/tillsyn/A 14212-2025 tillsynsbegäran.docx", "A 14212-2025")</f>
        <v/>
      </c>
      <c r="Y98">
        <f>HYPERLINK("https://klasma.github.io/Logging_1737/tillsynsmail/A 14212-2025 tillsynsbegäran mail.docx", "A 14212-2025")</f>
        <v/>
      </c>
    </row>
    <row r="99" ht="15" customHeight="1">
      <c r="A99" t="inlineStr">
        <is>
          <t>A 16164-2025</t>
        </is>
      </c>
      <c r="B99" s="1" t="n">
        <v>45750</v>
      </c>
      <c r="C99" s="1" t="n">
        <v>45880</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Tallriska</t>
        </is>
      </c>
      <c r="S99">
        <f>HYPERLINK("https://klasma.github.io/Logging_1737/artfynd/A 16164-2025 artfynd.xlsx", "A 16164-2025")</f>
        <v/>
      </c>
      <c r="T99">
        <f>HYPERLINK("https://klasma.github.io/Logging_1737/kartor/A 16164-2025 karta.png", "A 16164-2025")</f>
        <v/>
      </c>
      <c r="V99">
        <f>HYPERLINK("https://klasma.github.io/Logging_1737/klagomål/A 16164-2025 FSC-klagomål.docx", "A 16164-2025")</f>
        <v/>
      </c>
      <c r="W99">
        <f>HYPERLINK("https://klasma.github.io/Logging_1737/klagomålsmail/A 16164-2025 FSC-klagomål mail.docx", "A 16164-2025")</f>
        <v/>
      </c>
      <c r="X99">
        <f>HYPERLINK("https://klasma.github.io/Logging_1737/tillsyn/A 16164-2025 tillsynsbegäran.docx", "A 16164-2025")</f>
        <v/>
      </c>
      <c r="Y99">
        <f>HYPERLINK("https://klasma.github.io/Logging_1737/tillsynsmail/A 16164-2025 tillsynsbegäran mail.docx", "A 16164-2025")</f>
        <v/>
      </c>
    </row>
    <row r="100" ht="15" customHeight="1">
      <c r="A100" t="inlineStr">
        <is>
          <t>A 40033-2024</t>
        </is>
      </c>
      <c r="B100" s="1" t="n">
        <v>45553</v>
      </c>
      <c r="C100" s="1" t="n">
        <v>45880</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42500-2022</t>
        </is>
      </c>
      <c r="B101" s="1" t="n">
        <v>44831</v>
      </c>
      <c r="C101" s="1" t="n">
        <v>45880</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45880</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54982-2021</t>
        </is>
      </c>
      <c r="B103" s="1" t="n">
        <v>44469</v>
      </c>
      <c r="C103" s="1" t="n">
        <v>45880</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16572-2022</t>
        </is>
      </c>
      <c r="B104" s="1" t="n">
        <v>44672</v>
      </c>
      <c r="C104" s="1" t="n">
        <v>45880</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39681-2023</t>
        </is>
      </c>
      <c r="B105" s="1" t="n">
        <v>45167</v>
      </c>
      <c r="C105" s="1" t="n">
        <v>45880</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45880</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45880</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54009-2024</t>
        </is>
      </c>
      <c r="B108" s="1" t="n">
        <v>45616</v>
      </c>
      <c r="C108" s="1" t="n">
        <v>45880</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51288-2022</t>
        </is>
      </c>
      <c r="B109" s="1" t="n">
        <v>44868</v>
      </c>
      <c r="C109" s="1" t="n">
        <v>45880</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26747-2023</t>
        </is>
      </c>
      <c r="B110" s="1" t="n">
        <v>45090</v>
      </c>
      <c r="C110" s="1" t="n">
        <v>45880</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54029-2024</t>
        </is>
      </c>
      <c r="B111" s="1" t="n">
        <v>45616</v>
      </c>
      <c r="C111" s="1" t="n">
        <v>45880</v>
      </c>
      <c r="D111" t="inlineStr">
        <is>
          <t>VÄRMLANDS LÄN</t>
        </is>
      </c>
      <c r="E111" t="inlineStr">
        <is>
          <t>TORSBY</t>
        </is>
      </c>
      <c r="G111" t="n">
        <v>10.2</v>
      </c>
      <c r="H111" t="n">
        <v>0</v>
      </c>
      <c r="I111" t="n">
        <v>1</v>
      </c>
      <c r="J111" t="n">
        <v>0</v>
      </c>
      <c r="K111" t="n">
        <v>0</v>
      </c>
      <c r="L111" t="n">
        <v>0</v>
      </c>
      <c r="M111" t="n">
        <v>0</v>
      </c>
      <c r="N111" t="n">
        <v>0</v>
      </c>
      <c r="O111" t="n">
        <v>0</v>
      </c>
      <c r="P111" t="n">
        <v>0</v>
      </c>
      <c r="Q111" t="n">
        <v>1</v>
      </c>
      <c r="R111" s="2" t="inlineStr">
        <is>
          <t>Vedticka</t>
        </is>
      </c>
      <c r="S111">
        <f>HYPERLINK("https://klasma.github.io/Logging_1737/artfynd/A 54029-2024 artfynd.xlsx", "A 54029-2024")</f>
        <v/>
      </c>
      <c r="T111">
        <f>HYPERLINK("https://klasma.github.io/Logging_1737/kartor/A 54029-2024 karta.png", "A 54029-2024")</f>
        <v/>
      </c>
      <c r="V111">
        <f>HYPERLINK("https://klasma.github.io/Logging_1737/klagomål/A 54029-2024 FSC-klagomål.docx", "A 54029-2024")</f>
        <v/>
      </c>
      <c r="W111">
        <f>HYPERLINK("https://klasma.github.io/Logging_1737/klagomålsmail/A 54029-2024 FSC-klagomål mail.docx", "A 54029-2024")</f>
        <v/>
      </c>
      <c r="X111">
        <f>HYPERLINK("https://klasma.github.io/Logging_1737/tillsyn/A 54029-2024 tillsynsbegäran.docx", "A 54029-2024")</f>
        <v/>
      </c>
      <c r="Y111">
        <f>HYPERLINK("https://klasma.github.io/Logging_1737/tillsynsmail/A 54029-2024 tillsynsbegäran mail.docx", "A 54029-2024")</f>
        <v/>
      </c>
    </row>
    <row r="112" ht="15" customHeight="1">
      <c r="A112" t="inlineStr">
        <is>
          <t>A 58470-2021</t>
        </is>
      </c>
      <c r="B112" s="1" t="n">
        <v>44488</v>
      </c>
      <c r="C112" s="1" t="n">
        <v>45880</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46099-2023</t>
        </is>
      </c>
      <c r="B113" s="1" t="n">
        <v>45196</v>
      </c>
      <c r="C113" s="1" t="n">
        <v>45880</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40934-2024</t>
        </is>
      </c>
      <c r="B114" s="1" t="n">
        <v>45558</v>
      </c>
      <c r="C114" s="1" t="n">
        <v>45880</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Lunglav</t>
        </is>
      </c>
      <c r="S114">
        <f>HYPERLINK("https://klasma.github.io/Logging_1737/artfynd/A 40934-2024 artfynd.xlsx", "A 40934-2024")</f>
        <v/>
      </c>
      <c r="T114">
        <f>HYPERLINK("https://klasma.github.io/Logging_1737/kartor/A 40934-2024 karta.png", "A 40934-2024")</f>
        <v/>
      </c>
      <c r="V114">
        <f>HYPERLINK("https://klasma.github.io/Logging_1737/klagomål/A 40934-2024 FSC-klagomål.docx", "A 40934-2024")</f>
        <v/>
      </c>
      <c r="W114">
        <f>HYPERLINK("https://klasma.github.io/Logging_1737/klagomålsmail/A 40934-2024 FSC-klagomål mail.docx", "A 40934-2024")</f>
        <v/>
      </c>
      <c r="X114">
        <f>HYPERLINK("https://klasma.github.io/Logging_1737/tillsyn/A 40934-2024 tillsynsbegäran.docx", "A 40934-2024")</f>
        <v/>
      </c>
      <c r="Y114">
        <f>HYPERLINK("https://klasma.github.io/Logging_1737/tillsynsmail/A 40934-2024 tillsynsbegäran mail.docx", "A 40934-2024")</f>
        <v/>
      </c>
    </row>
    <row r="115" ht="15" customHeight="1">
      <c r="A115" t="inlineStr">
        <is>
          <t>A 49724-2023</t>
        </is>
      </c>
      <c r="B115" s="1" t="n">
        <v>45208</v>
      </c>
      <c r="C115" s="1" t="n">
        <v>45880</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1811-2024</t>
        </is>
      </c>
      <c r="B116" s="1" t="n">
        <v>45307</v>
      </c>
      <c r="C116" s="1" t="n">
        <v>45880</v>
      </c>
      <c r="D116" t="inlineStr">
        <is>
          <t>VÄRMLANDS LÄN</t>
        </is>
      </c>
      <c r="E116" t="inlineStr">
        <is>
          <t>TORSBY</t>
        </is>
      </c>
      <c r="G116" t="n">
        <v>12.1</v>
      </c>
      <c r="H116" t="n">
        <v>1</v>
      </c>
      <c r="I116" t="n">
        <v>0</v>
      </c>
      <c r="J116" t="n">
        <v>0</v>
      </c>
      <c r="K116" t="n">
        <v>0</v>
      </c>
      <c r="L116" t="n">
        <v>0</v>
      </c>
      <c r="M116" t="n">
        <v>0</v>
      </c>
      <c r="N116" t="n">
        <v>0</v>
      </c>
      <c r="O116" t="n">
        <v>0</v>
      </c>
      <c r="P116" t="n">
        <v>0</v>
      </c>
      <c r="Q116" t="n">
        <v>1</v>
      </c>
      <c r="R116" s="2" t="inlineStr">
        <is>
          <t>Revlummer</t>
        </is>
      </c>
      <c r="S116">
        <f>HYPERLINK("https://klasma.github.io/Logging_1737/artfynd/A 1811-2024 artfynd.xlsx", "A 1811-2024")</f>
        <v/>
      </c>
      <c r="T116">
        <f>HYPERLINK("https://klasma.github.io/Logging_1737/kartor/A 1811-2024 karta.png", "A 1811-2024")</f>
        <v/>
      </c>
      <c r="V116">
        <f>HYPERLINK("https://klasma.github.io/Logging_1737/klagomål/A 1811-2024 FSC-klagomål.docx", "A 1811-2024")</f>
        <v/>
      </c>
      <c r="W116">
        <f>HYPERLINK("https://klasma.github.io/Logging_1737/klagomålsmail/A 1811-2024 FSC-klagomål mail.docx", "A 1811-2024")</f>
        <v/>
      </c>
      <c r="X116">
        <f>HYPERLINK("https://klasma.github.io/Logging_1737/tillsyn/A 1811-2024 tillsynsbegäran.docx", "A 1811-2024")</f>
        <v/>
      </c>
      <c r="Y116">
        <f>HYPERLINK("https://klasma.github.io/Logging_1737/tillsynsmail/A 1811-2024 tillsynsbegäran mail.docx", "A 1811-2024")</f>
        <v/>
      </c>
    </row>
    <row r="117" ht="15" customHeight="1">
      <c r="A117" t="inlineStr">
        <is>
          <t>A 32328-2025</t>
        </is>
      </c>
      <c r="B117" s="1" t="n">
        <v>45836.46289351852</v>
      </c>
      <c r="C117" s="1" t="n">
        <v>45880</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50318-2024</t>
        </is>
      </c>
      <c r="B118" s="1" t="n">
        <v>45600</v>
      </c>
      <c r="C118" s="1" t="n">
        <v>45880</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8747-2021</t>
        </is>
      </c>
      <c r="B119" s="1" t="n">
        <v>44246</v>
      </c>
      <c r="C119" s="1" t="n">
        <v>45880</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45880</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25217-2025</t>
        </is>
      </c>
      <c r="B121" s="1" t="n">
        <v>45800.4756712963</v>
      </c>
      <c r="C121" s="1" t="n">
        <v>45880</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25276-2025</t>
        </is>
      </c>
      <c r="B122" s="1" t="n">
        <v>45800.55424768518</v>
      </c>
      <c r="C122" s="1" t="n">
        <v>45880</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41477-2024</t>
        </is>
      </c>
      <c r="B123" s="1" t="n">
        <v>45560</v>
      </c>
      <c r="C123" s="1" t="n">
        <v>45880</v>
      </c>
      <c r="D123" t="inlineStr">
        <is>
          <t>VÄRMLANDS LÄN</t>
        </is>
      </c>
      <c r="E123" t="inlineStr">
        <is>
          <t>TORSBY</t>
        </is>
      </c>
      <c r="G123" t="n">
        <v>6.7</v>
      </c>
      <c r="H123" t="n">
        <v>0</v>
      </c>
      <c r="I123" t="n">
        <v>0</v>
      </c>
      <c r="J123" t="n">
        <v>1</v>
      </c>
      <c r="K123" t="n">
        <v>0</v>
      </c>
      <c r="L123" t="n">
        <v>0</v>
      </c>
      <c r="M123" t="n">
        <v>0</v>
      </c>
      <c r="N123" t="n">
        <v>0</v>
      </c>
      <c r="O123" t="n">
        <v>1</v>
      </c>
      <c r="P123" t="n">
        <v>0</v>
      </c>
      <c r="Q123" t="n">
        <v>1</v>
      </c>
      <c r="R123" s="2" t="inlineStr">
        <is>
          <t>Garnlav</t>
        </is>
      </c>
      <c r="S123">
        <f>HYPERLINK("https://klasma.github.io/Logging_1737/artfynd/A 41477-2024 artfynd.xlsx", "A 41477-2024")</f>
        <v/>
      </c>
      <c r="T123">
        <f>HYPERLINK("https://klasma.github.io/Logging_1737/kartor/A 41477-2024 karta.png", "A 41477-2024")</f>
        <v/>
      </c>
      <c r="V123">
        <f>HYPERLINK("https://klasma.github.io/Logging_1737/klagomål/A 41477-2024 FSC-klagomål.docx", "A 41477-2024")</f>
        <v/>
      </c>
      <c r="W123">
        <f>HYPERLINK("https://klasma.github.io/Logging_1737/klagomålsmail/A 41477-2024 FSC-klagomål mail.docx", "A 41477-2024")</f>
        <v/>
      </c>
      <c r="X123">
        <f>HYPERLINK("https://klasma.github.io/Logging_1737/tillsyn/A 41477-2024 tillsynsbegäran.docx", "A 41477-2024")</f>
        <v/>
      </c>
      <c r="Y123">
        <f>HYPERLINK("https://klasma.github.io/Logging_1737/tillsynsmail/A 41477-2024 tillsynsbegäran mail.docx", "A 41477-2024")</f>
        <v/>
      </c>
    </row>
    <row r="124" ht="15" customHeight="1">
      <c r="A124" t="inlineStr">
        <is>
          <t>A 13359-2023</t>
        </is>
      </c>
      <c r="B124" s="1" t="n">
        <v>45005.46405092593</v>
      </c>
      <c r="C124" s="1" t="n">
        <v>45880</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45880</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45880</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25802-2025</t>
        </is>
      </c>
      <c r="B127" s="1" t="n">
        <v>45804.40766203704</v>
      </c>
      <c r="C127" s="1" t="n">
        <v>45880</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Tallticka</t>
        </is>
      </c>
      <c r="S127">
        <f>HYPERLINK("https://klasma.github.io/Logging_1737/artfynd/A 25802-2025 artfynd.xlsx", "A 25802-2025")</f>
        <v/>
      </c>
      <c r="T127">
        <f>HYPERLINK("https://klasma.github.io/Logging_1737/kartor/A 25802-2025 karta.png", "A 25802-2025")</f>
        <v/>
      </c>
      <c r="V127">
        <f>HYPERLINK("https://klasma.github.io/Logging_1737/klagomål/A 25802-2025 FSC-klagomål.docx", "A 25802-2025")</f>
        <v/>
      </c>
      <c r="W127">
        <f>HYPERLINK("https://klasma.github.io/Logging_1737/klagomålsmail/A 25802-2025 FSC-klagomål mail.docx", "A 25802-2025")</f>
        <v/>
      </c>
      <c r="X127">
        <f>HYPERLINK("https://klasma.github.io/Logging_1737/tillsyn/A 25802-2025 tillsynsbegäran.docx", "A 25802-2025")</f>
        <v/>
      </c>
      <c r="Y127">
        <f>HYPERLINK("https://klasma.github.io/Logging_1737/tillsynsmail/A 25802-2025 tillsynsbegäran mail.docx", "A 25802-2025")</f>
        <v/>
      </c>
    </row>
    <row r="128" ht="15" customHeight="1">
      <c r="A128" t="inlineStr">
        <is>
          <t>A 54786-2024</t>
        </is>
      </c>
      <c r="B128" s="1" t="n">
        <v>45618</v>
      </c>
      <c r="C128" s="1" t="n">
        <v>45880</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45880</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45880</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27301-2025</t>
        </is>
      </c>
      <c r="B131" s="1" t="n">
        <v>45812.57186342592</v>
      </c>
      <c r="C131" s="1" t="n">
        <v>45880</v>
      </c>
      <c r="D131" t="inlineStr">
        <is>
          <t>VÄRMLANDS LÄN</t>
        </is>
      </c>
      <c r="E131" t="inlineStr">
        <is>
          <t>TORSBY</t>
        </is>
      </c>
      <c r="G131" t="n">
        <v>2.7</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27301-2025 artfynd.xlsx", "A 27301-2025")</f>
        <v/>
      </c>
      <c r="T131">
        <f>HYPERLINK("https://klasma.github.io/Logging_1737/kartor/A 27301-2025 karta.png", "A 27301-2025")</f>
        <v/>
      </c>
      <c r="V131">
        <f>HYPERLINK("https://klasma.github.io/Logging_1737/klagomål/A 27301-2025 FSC-klagomål.docx", "A 27301-2025")</f>
        <v/>
      </c>
      <c r="W131">
        <f>HYPERLINK("https://klasma.github.io/Logging_1737/klagomålsmail/A 27301-2025 FSC-klagomål mail.docx", "A 27301-2025")</f>
        <v/>
      </c>
      <c r="X131">
        <f>HYPERLINK("https://klasma.github.io/Logging_1737/tillsyn/A 27301-2025 tillsynsbegäran.docx", "A 27301-2025")</f>
        <v/>
      </c>
      <c r="Y131">
        <f>HYPERLINK("https://klasma.github.io/Logging_1737/tillsynsmail/A 27301-2025 tillsynsbegäran mail.docx", "A 27301-2025")</f>
        <v/>
      </c>
    </row>
    <row r="132" ht="15" customHeight="1">
      <c r="A132" t="inlineStr">
        <is>
          <t>A 27108-2025</t>
        </is>
      </c>
      <c r="B132" s="1" t="n">
        <v>45811.72777777778</v>
      </c>
      <c r="C132" s="1" t="n">
        <v>45880</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15548-2023</t>
        </is>
      </c>
      <c r="B133" s="1" t="n">
        <v>45020</v>
      </c>
      <c r="C133" s="1" t="n">
        <v>45880</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15872-2025</t>
        </is>
      </c>
      <c r="B134" s="1" t="n">
        <v>45749</v>
      </c>
      <c r="C134" s="1" t="n">
        <v>45880</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29756-2025</t>
        </is>
      </c>
      <c r="B135" s="1" t="n">
        <v>45825.61525462963</v>
      </c>
      <c r="C135" s="1" t="n">
        <v>45880</v>
      </c>
      <c r="D135" t="inlineStr">
        <is>
          <t>VÄRMLANDS LÄN</t>
        </is>
      </c>
      <c r="E135" t="inlineStr">
        <is>
          <t>TORSBY</t>
        </is>
      </c>
      <c r="G135" t="n">
        <v>6.9</v>
      </c>
      <c r="H135" t="n">
        <v>0</v>
      </c>
      <c r="I135" t="n">
        <v>0</v>
      </c>
      <c r="J135" t="n">
        <v>1</v>
      </c>
      <c r="K135" t="n">
        <v>0</v>
      </c>
      <c r="L135" t="n">
        <v>0</v>
      </c>
      <c r="M135" t="n">
        <v>0</v>
      </c>
      <c r="N135" t="n">
        <v>0</v>
      </c>
      <c r="O135" t="n">
        <v>1</v>
      </c>
      <c r="P135" t="n">
        <v>0</v>
      </c>
      <c r="Q135" t="n">
        <v>1</v>
      </c>
      <c r="R135" s="2" t="inlineStr">
        <is>
          <t>Garnlav</t>
        </is>
      </c>
      <c r="S135">
        <f>HYPERLINK("https://klasma.github.io/Logging_1737/artfynd/A 29756-2025 artfynd.xlsx", "A 29756-2025")</f>
        <v/>
      </c>
      <c r="T135">
        <f>HYPERLINK("https://klasma.github.io/Logging_1737/kartor/A 29756-2025 karta.png", "A 29756-2025")</f>
        <v/>
      </c>
      <c r="V135">
        <f>HYPERLINK("https://klasma.github.io/Logging_1737/klagomål/A 29756-2025 FSC-klagomål.docx", "A 29756-2025")</f>
        <v/>
      </c>
      <c r="W135">
        <f>HYPERLINK("https://klasma.github.io/Logging_1737/klagomålsmail/A 29756-2025 FSC-klagomål mail.docx", "A 29756-2025")</f>
        <v/>
      </c>
      <c r="X135">
        <f>HYPERLINK("https://klasma.github.io/Logging_1737/tillsyn/A 29756-2025 tillsynsbegäran.docx", "A 29756-2025")</f>
        <v/>
      </c>
      <c r="Y135">
        <f>HYPERLINK("https://klasma.github.io/Logging_1737/tillsynsmail/A 29756-2025 tillsynsbegäran mail.docx", "A 29756-2025")</f>
        <v/>
      </c>
    </row>
    <row r="136" ht="15" customHeight="1">
      <c r="A136" t="inlineStr">
        <is>
          <t>A 37327-2025</t>
        </is>
      </c>
      <c r="B136" s="1" t="n">
        <v>45876.64902777778</v>
      </c>
      <c r="C136" s="1" t="n">
        <v>45880</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Garnlav</t>
        </is>
      </c>
      <c r="S136">
        <f>HYPERLINK("https://klasma.github.io/Logging_1737/artfynd/A 37327-2025 artfynd.xlsx", "A 37327-2025")</f>
        <v/>
      </c>
      <c r="T136">
        <f>HYPERLINK("https://klasma.github.io/Logging_1737/kartor/A 37327-2025 karta.png", "A 37327-2025")</f>
        <v/>
      </c>
      <c r="V136">
        <f>HYPERLINK("https://klasma.github.io/Logging_1737/klagomål/A 37327-2025 FSC-klagomål.docx", "A 37327-2025")</f>
        <v/>
      </c>
      <c r="W136">
        <f>HYPERLINK("https://klasma.github.io/Logging_1737/klagomålsmail/A 37327-2025 FSC-klagomål mail.docx", "A 37327-2025")</f>
        <v/>
      </c>
      <c r="X136">
        <f>HYPERLINK("https://klasma.github.io/Logging_1737/tillsyn/A 37327-2025 tillsynsbegäran.docx", "A 37327-2025")</f>
        <v/>
      </c>
      <c r="Y136">
        <f>HYPERLINK("https://klasma.github.io/Logging_1737/tillsynsmail/A 37327-2025 tillsynsbegäran mail.docx", "A 37327-2025")</f>
        <v/>
      </c>
    </row>
    <row r="137" ht="15" customHeight="1">
      <c r="A137" t="inlineStr">
        <is>
          <t>A 37292-2024</t>
        </is>
      </c>
      <c r="B137" s="1" t="n">
        <v>45540</v>
      </c>
      <c r="C137" s="1" t="n">
        <v>45880</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1526-2021</t>
        </is>
      </c>
      <c r="B138" s="1" t="n">
        <v>44209</v>
      </c>
      <c r="C138" s="1" t="n">
        <v>45880</v>
      </c>
      <c r="D138" t="inlineStr">
        <is>
          <t>VÄRMLANDS LÄN</t>
        </is>
      </c>
      <c r="E138" t="inlineStr">
        <is>
          <t>TORSBY</t>
        </is>
      </c>
      <c r="G138" t="n">
        <v>0.7</v>
      </c>
      <c r="H138" t="n">
        <v>0</v>
      </c>
      <c r="I138" t="n">
        <v>0</v>
      </c>
      <c r="J138" t="n">
        <v>0</v>
      </c>
      <c r="K138" t="n">
        <v>0</v>
      </c>
      <c r="L138" t="n">
        <v>0</v>
      </c>
      <c r="M138" t="n">
        <v>0</v>
      </c>
      <c r="N138" t="n">
        <v>0</v>
      </c>
      <c r="O138" t="n">
        <v>0</v>
      </c>
      <c r="P138" t="n">
        <v>0</v>
      </c>
      <c r="Q138" t="n">
        <v>0</v>
      </c>
      <c r="R138" s="2" t="inlineStr"/>
    </row>
    <row r="139" ht="15" customHeight="1">
      <c r="A139" t="inlineStr">
        <is>
          <t>A 59800-2020</t>
        </is>
      </c>
      <c r="B139" s="1" t="n">
        <v>44151</v>
      </c>
      <c r="C139" s="1" t="n">
        <v>45880</v>
      </c>
      <c r="D139" t="inlineStr">
        <is>
          <t>VÄRMLANDS LÄN</t>
        </is>
      </c>
      <c r="E139" t="inlineStr">
        <is>
          <t>TORSBY</t>
        </is>
      </c>
      <c r="G139" t="n">
        <v>1.1</v>
      </c>
      <c r="H139" t="n">
        <v>0</v>
      </c>
      <c r="I139" t="n">
        <v>0</v>
      </c>
      <c r="J139" t="n">
        <v>0</v>
      </c>
      <c r="K139" t="n">
        <v>0</v>
      </c>
      <c r="L139" t="n">
        <v>0</v>
      </c>
      <c r="M139" t="n">
        <v>0</v>
      </c>
      <c r="N139" t="n">
        <v>0</v>
      </c>
      <c r="O139" t="n">
        <v>0</v>
      </c>
      <c r="P139" t="n">
        <v>0</v>
      </c>
      <c r="Q139" t="n">
        <v>0</v>
      </c>
      <c r="R139" s="2" t="inlineStr"/>
    </row>
    <row r="140" ht="15" customHeight="1">
      <c r="A140" t="inlineStr">
        <is>
          <t>A 45898-2020</t>
        </is>
      </c>
      <c r="B140" s="1" t="n">
        <v>44091</v>
      </c>
      <c r="C140" s="1" t="n">
        <v>45880</v>
      </c>
      <c r="D140" t="inlineStr">
        <is>
          <t>VÄRMLANDS LÄN</t>
        </is>
      </c>
      <c r="E140" t="inlineStr">
        <is>
          <t>TORSBY</t>
        </is>
      </c>
      <c r="G140" t="n">
        <v>1.5</v>
      </c>
      <c r="H140" t="n">
        <v>0</v>
      </c>
      <c r="I140" t="n">
        <v>0</v>
      </c>
      <c r="J140" t="n">
        <v>0</v>
      </c>
      <c r="K140" t="n">
        <v>0</v>
      </c>
      <c r="L140" t="n">
        <v>0</v>
      </c>
      <c r="M140" t="n">
        <v>0</v>
      </c>
      <c r="N140" t="n">
        <v>0</v>
      </c>
      <c r="O140" t="n">
        <v>0</v>
      </c>
      <c r="P140" t="n">
        <v>0</v>
      </c>
      <c r="Q140" t="n">
        <v>0</v>
      </c>
      <c r="R140" s="2" t="inlineStr"/>
    </row>
    <row r="141" ht="15" customHeight="1">
      <c r="A141" t="inlineStr">
        <is>
          <t>A 45404-2020</t>
        </is>
      </c>
      <c r="B141" s="1" t="n">
        <v>44089</v>
      </c>
      <c r="C141" s="1" t="n">
        <v>45880</v>
      </c>
      <c r="D141" t="inlineStr">
        <is>
          <t>VÄRMLANDS LÄN</t>
        </is>
      </c>
      <c r="E141" t="inlineStr">
        <is>
          <t>TORSBY</t>
        </is>
      </c>
      <c r="G141" t="n">
        <v>3.2</v>
      </c>
      <c r="H141" t="n">
        <v>0</v>
      </c>
      <c r="I141" t="n">
        <v>0</v>
      </c>
      <c r="J141" t="n">
        <v>0</v>
      </c>
      <c r="K141" t="n">
        <v>0</v>
      </c>
      <c r="L141" t="n">
        <v>0</v>
      </c>
      <c r="M141" t="n">
        <v>0</v>
      </c>
      <c r="N141" t="n">
        <v>0</v>
      </c>
      <c r="O141" t="n">
        <v>0</v>
      </c>
      <c r="P141" t="n">
        <v>0</v>
      </c>
      <c r="Q141" t="n">
        <v>0</v>
      </c>
      <c r="R141" s="2" t="inlineStr"/>
    </row>
    <row r="142" ht="15" customHeight="1">
      <c r="A142" t="inlineStr">
        <is>
          <t>A 19974-2021</t>
        </is>
      </c>
      <c r="B142" s="1" t="n">
        <v>44313.66451388889</v>
      </c>
      <c r="C142" s="1" t="n">
        <v>45880</v>
      </c>
      <c r="D142" t="inlineStr">
        <is>
          <t>VÄRMLANDS LÄN</t>
        </is>
      </c>
      <c r="E142" t="inlineStr">
        <is>
          <t>TORSBY</t>
        </is>
      </c>
      <c r="G142" t="n">
        <v>0.4</v>
      </c>
      <c r="H142" t="n">
        <v>0</v>
      </c>
      <c r="I142" t="n">
        <v>0</v>
      </c>
      <c r="J142" t="n">
        <v>0</v>
      </c>
      <c r="K142" t="n">
        <v>0</v>
      </c>
      <c r="L142" t="n">
        <v>0</v>
      </c>
      <c r="M142" t="n">
        <v>0</v>
      </c>
      <c r="N142" t="n">
        <v>0</v>
      </c>
      <c r="O142" t="n">
        <v>0</v>
      </c>
      <c r="P142" t="n">
        <v>0</v>
      </c>
      <c r="Q142" t="n">
        <v>0</v>
      </c>
      <c r="R142" s="2" t="inlineStr"/>
    </row>
    <row r="143" ht="15" customHeight="1">
      <c r="A143" t="inlineStr">
        <is>
          <t>A 54331-2020</t>
        </is>
      </c>
      <c r="B143" s="1" t="n">
        <v>44124</v>
      </c>
      <c r="C143" s="1" t="n">
        <v>45880</v>
      </c>
      <c r="D143" t="inlineStr">
        <is>
          <t>VÄRMLANDS LÄN</t>
        </is>
      </c>
      <c r="E143" t="inlineStr">
        <is>
          <t>TORSBY</t>
        </is>
      </c>
      <c r="G143" t="n">
        <v>1.9</v>
      </c>
      <c r="H143" t="n">
        <v>0</v>
      </c>
      <c r="I143" t="n">
        <v>0</v>
      </c>
      <c r="J143" t="n">
        <v>0</v>
      </c>
      <c r="K143" t="n">
        <v>0</v>
      </c>
      <c r="L143" t="n">
        <v>0</v>
      </c>
      <c r="M143" t="n">
        <v>0</v>
      </c>
      <c r="N143" t="n">
        <v>0</v>
      </c>
      <c r="O143" t="n">
        <v>0</v>
      </c>
      <c r="P143" t="n">
        <v>0</v>
      </c>
      <c r="Q143" t="n">
        <v>0</v>
      </c>
      <c r="R143" s="2" t="inlineStr"/>
    </row>
    <row r="144" ht="15" customHeight="1">
      <c r="A144" t="inlineStr">
        <is>
          <t>A 60941-2020</t>
        </is>
      </c>
      <c r="B144" s="1" t="n">
        <v>44154</v>
      </c>
      <c r="C144" s="1" t="n">
        <v>45880</v>
      </c>
      <c r="D144" t="inlineStr">
        <is>
          <t>VÄRMLANDS LÄN</t>
        </is>
      </c>
      <c r="E144" t="inlineStr">
        <is>
          <t>TORSBY</t>
        </is>
      </c>
      <c r="G144" t="n">
        <v>4.1</v>
      </c>
      <c r="H144" t="n">
        <v>0</v>
      </c>
      <c r="I144" t="n">
        <v>0</v>
      </c>
      <c r="J144" t="n">
        <v>0</v>
      </c>
      <c r="K144" t="n">
        <v>0</v>
      </c>
      <c r="L144" t="n">
        <v>0</v>
      </c>
      <c r="M144" t="n">
        <v>0</v>
      </c>
      <c r="N144" t="n">
        <v>0</v>
      </c>
      <c r="O144" t="n">
        <v>0</v>
      </c>
      <c r="P144" t="n">
        <v>0</v>
      </c>
      <c r="Q144" t="n">
        <v>0</v>
      </c>
      <c r="R144" s="2" t="inlineStr"/>
    </row>
    <row r="145" ht="15" customHeight="1">
      <c r="A145" t="inlineStr">
        <is>
          <t>A 50103-2020</t>
        </is>
      </c>
      <c r="B145" s="1" t="n">
        <v>44109</v>
      </c>
      <c r="C145" s="1" t="n">
        <v>45880</v>
      </c>
      <c r="D145" t="inlineStr">
        <is>
          <t>VÄRMLANDS LÄN</t>
        </is>
      </c>
      <c r="E145" t="inlineStr">
        <is>
          <t>TORSBY</t>
        </is>
      </c>
      <c r="G145" t="n">
        <v>1.6</v>
      </c>
      <c r="H145" t="n">
        <v>0</v>
      </c>
      <c r="I145" t="n">
        <v>0</v>
      </c>
      <c r="J145" t="n">
        <v>0</v>
      </c>
      <c r="K145" t="n">
        <v>0</v>
      </c>
      <c r="L145" t="n">
        <v>0</v>
      </c>
      <c r="M145" t="n">
        <v>0</v>
      </c>
      <c r="N145" t="n">
        <v>0</v>
      </c>
      <c r="O145" t="n">
        <v>0</v>
      </c>
      <c r="P145" t="n">
        <v>0</v>
      </c>
      <c r="Q145" t="n">
        <v>0</v>
      </c>
      <c r="R145" s="2" t="inlineStr"/>
    </row>
    <row r="146" ht="15" customHeight="1">
      <c r="A146" t="inlineStr">
        <is>
          <t>A 15854-2021</t>
        </is>
      </c>
      <c r="B146" s="1" t="n">
        <v>44286</v>
      </c>
      <c r="C146" s="1" t="n">
        <v>45880</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21206-2021</t>
        </is>
      </c>
      <c r="B147" s="1" t="n">
        <v>44320.49087962963</v>
      </c>
      <c r="C147" s="1" t="n">
        <v>45880</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18033-2021</t>
        </is>
      </c>
      <c r="B148" s="1" t="n">
        <v>44302</v>
      </c>
      <c r="C148" s="1" t="n">
        <v>45880</v>
      </c>
      <c r="D148" t="inlineStr">
        <is>
          <t>VÄRMLANDS LÄN</t>
        </is>
      </c>
      <c r="E148" t="inlineStr">
        <is>
          <t>TORSBY</t>
        </is>
      </c>
      <c r="G148" t="n">
        <v>0.8</v>
      </c>
      <c r="H148" t="n">
        <v>0</v>
      </c>
      <c r="I148" t="n">
        <v>0</v>
      </c>
      <c r="J148" t="n">
        <v>0</v>
      </c>
      <c r="K148" t="n">
        <v>0</v>
      </c>
      <c r="L148" t="n">
        <v>0</v>
      </c>
      <c r="M148" t="n">
        <v>0</v>
      </c>
      <c r="N148" t="n">
        <v>0</v>
      </c>
      <c r="O148" t="n">
        <v>0</v>
      </c>
      <c r="P148" t="n">
        <v>0</v>
      </c>
      <c r="Q148" t="n">
        <v>0</v>
      </c>
      <c r="R148" s="2" t="inlineStr"/>
    </row>
    <row r="149" ht="15" customHeight="1">
      <c r="A149" t="inlineStr">
        <is>
          <t>A 48324-2021</t>
        </is>
      </c>
      <c r="B149" s="1" t="n">
        <v>44450.85431712963</v>
      </c>
      <c r="C149" s="1" t="n">
        <v>45880</v>
      </c>
      <c r="D149" t="inlineStr">
        <is>
          <t>VÄRMLANDS LÄN</t>
        </is>
      </c>
      <c r="E149" t="inlineStr">
        <is>
          <t>TORSBY</t>
        </is>
      </c>
      <c r="G149" t="n">
        <v>1.3</v>
      </c>
      <c r="H149" t="n">
        <v>0</v>
      </c>
      <c r="I149" t="n">
        <v>0</v>
      </c>
      <c r="J149" t="n">
        <v>0</v>
      </c>
      <c r="K149" t="n">
        <v>0</v>
      </c>
      <c r="L149" t="n">
        <v>0</v>
      </c>
      <c r="M149" t="n">
        <v>0</v>
      </c>
      <c r="N149" t="n">
        <v>0</v>
      </c>
      <c r="O149" t="n">
        <v>0</v>
      </c>
      <c r="P149" t="n">
        <v>0</v>
      </c>
      <c r="Q149" t="n">
        <v>0</v>
      </c>
      <c r="R149" s="2" t="inlineStr"/>
    </row>
    <row r="150" ht="15" customHeight="1">
      <c r="A150" t="inlineStr">
        <is>
          <t>A 49900-2021</t>
        </is>
      </c>
      <c r="B150" s="1" t="n">
        <v>44455</v>
      </c>
      <c r="C150" s="1" t="n">
        <v>45880</v>
      </c>
      <c r="D150" t="inlineStr">
        <is>
          <t>VÄRMLANDS LÄN</t>
        </is>
      </c>
      <c r="E150" t="inlineStr">
        <is>
          <t>TORSBY</t>
        </is>
      </c>
      <c r="G150" t="n">
        <v>4.1</v>
      </c>
      <c r="H150" t="n">
        <v>0</v>
      </c>
      <c r="I150" t="n">
        <v>0</v>
      </c>
      <c r="J150" t="n">
        <v>0</v>
      </c>
      <c r="K150" t="n">
        <v>0</v>
      </c>
      <c r="L150" t="n">
        <v>0</v>
      </c>
      <c r="M150" t="n">
        <v>0</v>
      </c>
      <c r="N150" t="n">
        <v>0</v>
      </c>
      <c r="O150" t="n">
        <v>0</v>
      </c>
      <c r="P150" t="n">
        <v>0</v>
      </c>
      <c r="Q150" t="n">
        <v>0</v>
      </c>
      <c r="R150" s="2" t="inlineStr"/>
    </row>
    <row r="151" ht="15" customHeight="1">
      <c r="A151" t="inlineStr">
        <is>
          <t>A 36189-2021</t>
        </is>
      </c>
      <c r="B151" s="1" t="n">
        <v>44389.64690972222</v>
      </c>
      <c r="C151" s="1" t="n">
        <v>45880</v>
      </c>
      <c r="D151" t="inlineStr">
        <is>
          <t>VÄRMLANDS LÄN</t>
        </is>
      </c>
      <c r="E151" t="inlineStr">
        <is>
          <t>TORSBY</t>
        </is>
      </c>
      <c r="G151" t="n">
        <v>0.5</v>
      </c>
      <c r="H151" t="n">
        <v>0</v>
      </c>
      <c r="I151" t="n">
        <v>0</v>
      </c>
      <c r="J151" t="n">
        <v>0</v>
      </c>
      <c r="K151" t="n">
        <v>0</v>
      </c>
      <c r="L151" t="n">
        <v>0</v>
      </c>
      <c r="M151" t="n">
        <v>0</v>
      </c>
      <c r="N151" t="n">
        <v>0</v>
      </c>
      <c r="O151" t="n">
        <v>0</v>
      </c>
      <c r="P151" t="n">
        <v>0</v>
      </c>
      <c r="Q151" t="n">
        <v>0</v>
      </c>
      <c r="R151" s="2" t="inlineStr"/>
    </row>
    <row r="152" ht="15" customHeight="1">
      <c r="A152" t="inlineStr">
        <is>
          <t>A 44149-2022</t>
        </is>
      </c>
      <c r="B152" s="1" t="n">
        <v>44839</v>
      </c>
      <c r="C152" s="1" t="n">
        <v>45880</v>
      </c>
      <c r="D152" t="inlineStr">
        <is>
          <t>VÄRMLANDS LÄN</t>
        </is>
      </c>
      <c r="E152" t="inlineStr">
        <is>
          <t>TORSBY</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1544-2021</t>
        </is>
      </c>
      <c r="B153" s="1" t="n">
        <v>44209</v>
      </c>
      <c r="C153" s="1" t="n">
        <v>45880</v>
      </c>
      <c r="D153" t="inlineStr">
        <is>
          <t>VÄRMLANDS LÄN</t>
        </is>
      </c>
      <c r="E153" t="inlineStr">
        <is>
          <t>TORSBY</t>
        </is>
      </c>
      <c r="G153" t="n">
        <v>0.9</v>
      </c>
      <c r="H153" t="n">
        <v>0</v>
      </c>
      <c r="I153" t="n">
        <v>0</v>
      </c>
      <c r="J153" t="n">
        <v>0</v>
      </c>
      <c r="K153" t="n">
        <v>0</v>
      </c>
      <c r="L153" t="n">
        <v>0</v>
      </c>
      <c r="M153" t="n">
        <v>0</v>
      </c>
      <c r="N153" t="n">
        <v>0</v>
      </c>
      <c r="O153" t="n">
        <v>0</v>
      </c>
      <c r="P153" t="n">
        <v>0</v>
      </c>
      <c r="Q153" t="n">
        <v>0</v>
      </c>
      <c r="R153" s="2" t="inlineStr"/>
    </row>
    <row r="154" ht="15" customHeight="1">
      <c r="A154" t="inlineStr">
        <is>
          <t>A 43022-2022</t>
        </is>
      </c>
      <c r="B154" s="1" t="n">
        <v>44833.56670138889</v>
      </c>
      <c r="C154" s="1" t="n">
        <v>45880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3397-2022</t>
        </is>
      </c>
      <c r="B155" s="1" t="n">
        <v>44585</v>
      </c>
      <c r="C155" s="1" t="n">
        <v>45880</v>
      </c>
      <c r="D155" t="inlineStr">
        <is>
          <t>VÄRMLANDS LÄN</t>
        </is>
      </c>
      <c r="E155" t="inlineStr">
        <is>
          <t>TORSBY</t>
        </is>
      </c>
      <c r="G155" t="n">
        <v>2</v>
      </c>
      <c r="H155" t="n">
        <v>0</v>
      </c>
      <c r="I155" t="n">
        <v>0</v>
      </c>
      <c r="J155" t="n">
        <v>0</v>
      </c>
      <c r="K155" t="n">
        <v>0</v>
      </c>
      <c r="L155" t="n">
        <v>0</v>
      </c>
      <c r="M155" t="n">
        <v>0</v>
      </c>
      <c r="N155" t="n">
        <v>0</v>
      </c>
      <c r="O155" t="n">
        <v>0</v>
      </c>
      <c r="P155" t="n">
        <v>0</v>
      </c>
      <c r="Q155" t="n">
        <v>0</v>
      </c>
      <c r="R155" s="2" t="inlineStr"/>
    </row>
    <row r="156" ht="15" customHeight="1">
      <c r="A156" t="inlineStr">
        <is>
          <t>A 38506-2020</t>
        </is>
      </c>
      <c r="B156" s="1" t="n">
        <v>44061</v>
      </c>
      <c r="C156" s="1" t="n">
        <v>45880</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40594-2020</t>
        </is>
      </c>
      <c r="B157" s="1" t="n">
        <v>44069</v>
      </c>
      <c r="C157" s="1" t="n">
        <v>45880</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45880</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45880</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45880</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45880</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61970-2020</t>
        </is>
      </c>
      <c r="B162" s="1" t="n">
        <v>44155</v>
      </c>
      <c r="C162" s="1" t="n">
        <v>45880</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56979-2020</t>
        </is>
      </c>
      <c r="B163" s="1" t="n">
        <v>44138</v>
      </c>
      <c r="C163" s="1" t="n">
        <v>45880</v>
      </c>
      <c r="D163" t="inlineStr">
        <is>
          <t>VÄRMLANDS LÄN</t>
        </is>
      </c>
      <c r="E163" t="inlineStr">
        <is>
          <t>TORSBY</t>
        </is>
      </c>
      <c r="G163" t="n">
        <v>3.2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45880</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45880</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45880</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45880</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45880</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45880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45880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36847-2020</t>
        </is>
      </c>
      <c r="B171" s="1" t="n">
        <v>44053</v>
      </c>
      <c r="C171" s="1" t="n">
        <v>45880</v>
      </c>
      <c r="D171" t="inlineStr">
        <is>
          <t>VÄRMLANDS LÄN</t>
        </is>
      </c>
      <c r="E171" t="inlineStr">
        <is>
          <t>TORSBY</t>
        </is>
      </c>
      <c r="G171" t="n">
        <v>1.4</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45880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45880</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45880</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45880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45880</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45880</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45880</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45880</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45880</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45880</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45880</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45880</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45880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45880</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45880</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45880</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45880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45880</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45880</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45880</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45880</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45880</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38978-2020</t>
        </is>
      </c>
      <c r="B194" s="1" t="n">
        <v>44062</v>
      </c>
      <c r="C194" s="1" t="n">
        <v>45880</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45880</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45880</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45880</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45880</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45880</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45880</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45880</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45880</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45880</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45880</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45880</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45880</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45880</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45880</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45880</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45880</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45880</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45880</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45880</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45880</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45880</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45880</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45880</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45880</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45880</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45880</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45880</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42701-2022</t>
        </is>
      </c>
      <c r="B222" s="1" t="n">
        <v>44832</v>
      </c>
      <c r="C222" s="1" t="n">
        <v>45880</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45880</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45880</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45880</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18779-2022</t>
        </is>
      </c>
      <c r="B226" s="1" t="n">
        <v>44689</v>
      </c>
      <c r="C226" s="1" t="n">
        <v>45880</v>
      </c>
      <c r="D226" t="inlineStr">
        <is>
          <t>VÄRMLANDS LÄN</t>
        </is>
      </c>
      <c r="E226" t="inlineStr">
        <is>
          <t>TORSBY</t>
        </is>
      </c>
      <c r="G226" t="n">
        <v>5.1</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45880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49582-2020</t>
        </is>
      </c>
      <c r="B228" s="1" t="n">
        <v>44106</v>
      </c>
      <c r="C228" s="1" t="n">
        <v>45880</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45880</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45880</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69245-2020</t>
        </is>
      </c>
      <c r="B231" s="1" t="n">
        <v>44192</v>
      </c>
      <c r="C231" s="1" t="n">
        <v>45880</v>
      </c>
      <c r="D231" t="inlineStr">
        <is>
          <t>VÄRMLANDS LÄN</t>
        </is>
      </c>
      <c r="E231" t="inlineStr">
        <is>
          <t>TORSBY</t>
        </is>
      </c>
      <c r="G231" t="n">
        <v>0.2</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45880</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45880</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45880</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3369-2022</t>
        </is>
      </c>
      <c r="B235" s="1" t="n">
        <v>44585</v>
      </c>
      <c r="C235" s="1" t="n">
        <v>45880</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45880</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45880</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45880</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45880</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45880</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45880</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45880</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2421-2022</t>
        </is>
      </c>
      <c r="B243" s="1" t="n">
        <v>44579.50670138889</v>
      </c>
      <c r="C243" s="1" t="n">
        <v>45880</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40601-2020</t>
        </is>
      </c>
      <c r="B244" s="1" t="n">
        <v>44069</v>
      </c>
      <c r="C244" s="1" t="n">
        <v>45880</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45880</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27932-2021</t>
        </is>
      </c>
      <c r="B246" s="1" t="n">
        <v>44354</v>
      </c>
      <c r="C246" s="1" t="n">
        <v>45880</v>
      </c>
      <c r="D246" t="inlineStr">
        <is>
          <t>VÄRMLANDS LÄN</t>
        </is>
      </c>
      <c r="E246" t="inlineStr">
        <is>
          <t>TORSBY</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68220-2020</t>
        </is>
      </c>
      <c r="B247" s="1" t="n">
        <v>44183</v>
      </c>
      <c r="C247" s="1" t="n">
        <v>45880</v>
      </c>
      <c r="D247" t="inlineStr">
        <is>
          <t>VÄRMLANDS LÄN</t>
        </is>
      </c>
      <c r="E247" t="inlineStr">
        <is>
          <t>TORSBY</t>
        </is>
      </c>
      <c r="G247" t="n">
        <v>1.4</v>
      </c>
      <c r="H247" t="n">
        <v>0</v>
      </c>
      <c r="I247" t="n">
        <v>0</v>
      </c>
      <c r="J247" t="n">
        <v>0</v>
      </c>
      <c r="K247" t="n">
        <v>0</v>
      </c>
      <c r="L247" t="n">
        <v>0</v>
      </c>
      <c r="M247" t="n">
        <v>0</v>
      </c>
      <c r="N247" t="n">
        <v>0</v>
      </c>
      <c r="O247" t="n">
        <v>0</v>
      </c>
      <c r="P247" t="n">
        <v>0</v>
      </c>
      <c r="Q247" t="n">
        <v>0</v>
      </c>
      <c r="R247" s="2" t="inlineStr"/>
    </row>
    <row r="248" ht="15" customHeight="1">
      <c r="A248" t="inlineStr">
        <is>
          <t>A 65678-2020</t>
        </is>
      </c>
      <c r="B248" s="1" t="n">
        <v>44172</v>
      </c>
      <c r="C248" s="1" t="n">
        <v>45880</v>
      </c>
      <c r="D248" t="inlineStr">
        <is>
          <t>VÄRMLANDS LÄN</t>
        </is>
      </c>
      <c r="E248" t="inlineStr">
        <is>
          <t>TORSBY</t>
        </is>
      </c>
      <c r="G248" t="n">
        <v>3.5</v>
      </c>
      <c r="H248" t="n">
        <v>0</v>
      </c>
      <c r="I248" t="n">
        <v>0</v>
      </c>
      <c r="J248" t="n">
        <v>0</v>
      </c>
      <c r="K248" t="n">
        <v>0</v>
      </c>
      <c r="L248" t="n">
        <v>0</v>
      </c>
      <c r="M248" t="n">
        <v>0</v>
      </c>
      <c r="N248" t="n">
        <v>0</v>
      </c>
      <c r="O248" t="n">
        <v>0</v>
      </c>
      <c r="P248" t="n">
        <v>0</v>
      </c>
      <c r="Q248" t="n">
        <v>0</v>
      </c>
      <c r="R248" s="2" t="inlineStr"/>
    </row>
    <row r="249" ht="15" customHeight="1">
      <c r="A249" t="inlineStr">
        <is>
          <t>A 63565-2020</t>
        </is>
      </c>
      <c r="B249" s="1" t="n">
        <v>44165</v>
      </c>
      <c r="C249" s="1" t="n">
        <v>45880</v>
      </c>
      <c r="D249" t="inlineStr">
        <is>
          <t>VÄRMLANDS LÄN</t>
        </is>
      </c>
      <c r="E249" t="inlineStr">
        <is>
          <t>TORSBY</t>
        </is>
      </c>
      <c r="G249" t="n">
        <v>10.3</v>
      </c>
      <c r="H249" t="n">
        <v>0</v>
      </c>
      <c r="I249" t="n">
        <v>0</v>
      </c>
      <c r="J249" t="n">
        <v>0</v>
      </c>
      <c r="K249" t="n">
        <v>0</v>
      </c>
      <c r="L249" t="n">
        <v>0</v>
      </c>
      <c r="M249" t="n">
        <v>0</v>
      </c>
      <c r="N249" t="n">
        <v>0</v>
      </c>
      <c r="O249" t="n">
        <v>0</v>
      </c>
      <c r="P249" t="n">
        <v>0</v>
      </c>
      <c r="Q249" t="n">
        <v>0</v>
      </c>
      <c r="R249" s="2" t="inlineStr"/>
    </row>
    <row r="250" ht="15" customHeight="1">
      <c r="A250" t="inlineStr">
        <is>
          <t>A 8034-2021</t>
        </is>
      </c>
      <c r="B250" s="1" t="n">
        <v>44243</v>
      </c>
      <c r="C250" s="1" t="n">
        <v>45880</v>
      </c>
      <c r="D250" t="inlineStr">
        <is>
          <t>VÄRMLANDS LÄN</t>
        </is>
      </c>
      <c r="E250" t="inlineStr">
        <is>
          <t>TORSBY</t>
        </is>
      </c>
      <c r="G250" t="n">
        <v>15.4</v>
      </c>
      <c r="H250" t="n">
        <v>0</v>
      </c>
      <c r="I250" t="n">
        <v>0</v>
      </c>
      <c r="J250" t="n">
        <v>0</v>
      </c>
      <c r="K250" t="n">
        <v>0</v>
      </c>
      <c r="L250" t="n">
        <v>0</v>
      </c>
      <c r="M250" t="n">
        <v>0</v>
      </c>
      <c r="N250" t="n">
        <v>0</v>
      </c>
      <c r="O250" t="n">
        <v>0</v>
      </c>
      <c r="P250" t="n">
        <v>0</v>
      </c>
      <c r="Q250" t="n">
        <v>0</v>
      </c>
      <c r="R250" s="2" t="inlineStr"/>
    </row>
    <row r="251" ht="15" customHeight="1">
      <c r="A251" t="inlineStr">
        <is>
          <t>A 28940-2021</t>
        </is>
      </c>
      <c r="B251" s="1" t="n">
        <v>44358</v>
      </c>
      <c r="C251" s="1" t="n">
        <v>45880</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31511-2021</t>
        </is>
      </c>
      <c r="B252" s="1" t="n">
        <v>44369.45956018518</v>
      </c>
      <c r="C252" s="1" t="n">
        <v>45880</v>
      </c>
      <c r="D252" t="inlineStr">
        <is>
          <t>VÄRMLANDS LÄN</t>
        </is>
      </c>
      <c r="E252" t="inlineStr">
        <is>
          <t>TORSBY</t>
        </is>
      </c>
      <c r="G252" t="n">
        <v>1.1</v>
      </c>
      <c r="H252" t="n">
        <v>0</v>
      </c>
      <c r="I252" t="n">
        <v>0</v>
      </c>
      <c r="J252" t="n">
        <v>0</v>
      </c>
      <c r="K252" t="n">
        <v>0</v>
      </c>
      <c r="L252" t="n">
        <v>0</v>
      </c>
      <c r="M252" t="n">
        <v>0</v>
      </c>
      <c r="N252" t="n">
        <v>0</v>
      </c>
      <c r="O252" t="n">
        <v>0</v>
      </c>
      <c r="P252" t="n">
        <v>0</v>
      </c>
      <c r="Q252" t="n">
        <v>0</v>
      </c>
      <c r="R252" s="2" t="inlineStr"/>
    </row>
    <row r="253" ht="15" customHeight="1">
      <c r="A253" t="inlineStr">
        <is>
          <t>A 40987-2020</t>
        </is>
      </c>
      <c r="B253" s="1" t="n">
        <v>44070</v>
      </c>
      <c r="C253" s="1" t="n">
        <v>45880</v>
      </c>
      <c r="D253" t="inlineStr">
        <is>
          <t>VÄRMLANDS LÄN</t>
        </is>
      </c>
      <c r="E253" t="inlineStr">
        <is>
          <t>TORSBY</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58599-2020</t>
        </is>
      </c>
      <c r="B254" s="1" t="n">
        <v>44145.65825231482</v>
      </c>
      <c r="C254" s="1" t="n">
        <v>45880</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41678-2021</t>
        </is>
      </c>
      <c r="B255" s="1" t="n">
        <v>44425</v>
      </c>
      <c r="C255" s="1" t="n">
        <v>45880</v>
      </c>
      <c r="D255" t="inlineStr">
        <is>
          <t>VÄRMLANDS LÄN</t>
        </is>
      </c>
      <c r="E255" t="inlineStr">
        <is>
          <t>TORSBY</t>
        </is>
      </c>
      <c r="G255" t="n">
        <v>4.3</v>
      </c>
      <c r="H255" t="n">
        <v>0</v>
      </c>
      <c r="I255" t="n">
        <v>0</v>
      </c>
      <c r="J255" t="n">
        <v>0</v>
      </c>
      <c r="K255" t="n">
        <v>0</v>
      </c>
      <c r="L255" t="n">
        <v>0</v>
      </c>
      <c r="M255" t="n">
        <v>0</v>
      </c>
      <c r="N255" t="n">
        <v>0</v>
      </c>
      <c r="O255" t="n">
        <v>0</v>
      </c>
      <c r="P255" t="n">
        <v>0</v>
      </c>
      <c r="Q255" t="n">
        <v>0</v>
      </c>
      <c r="R255" s="2" t="inlineStr"/>
    </row>
    <row r="256" ht="15" customHeight="1">
      <c r="A256" t="inlineStr">
        <is>
          <t>A 10118-2021</t>
        </is>
      </c>
      <c r="B256" s="1" t="n">
        <v>44256</v>
      </c>
      <c r="C256" s="1" t="n">
        <v>45880</v>
      </c>
      <c r="D256" t="inlineStr">
        <is>
          <t>VÄRMLANDS LÄN</t>
        </is>
      </c>
      <c r="E256" t="inlineStr">
        <is>
          <t>TORSBY</t>
        </is>
      </c>
      <c r="G256" t="n">
        <v>12.5</v>
      </c>
      <c r="H256" t="n">
        <v>0</v>
      </c>
      <c r="I256" t="n">
        <v>0</v>
      </c>
      <c r="J256" t="n">
        <v>0</v>
      </c>
      <c r="K256" t="n">
        <v>0</v>
      </c>
      <c r="L256" t="n">
        <v>0</v>
      </c>
      <c r="M256" t="n">
        <v>0</v>
      </c>
      <c r="N256" t="n">
        <v>0</v>
      </c>
      <c r="O256" t="n">
        <v>0</v>
      </c>
      <c r="P256" t="n">
        <v>0</v>
      </c>
      <c r="Q256" t="n">
        <v>0</v>
      </c>
      <c r="R256" s="2" t="inlineStr"/>
    </row>
    <row r="257" ht="15" customHeight="1">
      <c r="A257" t="inlineStr">
        <is>
          <t>A 13857-2021</t>
        </is>
      </c>
      <c r="B257" s="1" t="n">
        <v>44277</v>
      </c>
      <c r="C257" s="1" t="n">
        <v>45880</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54811-2022</t>
        </is>
      </c>
      <c r="B258" s="1" t="n">
        <v>44883.7496875</v>
      </c>
      <c r="C258" s="1" t="n">
        <v>45880</v>
      </c>
      <c r="D258" t="inlineStr">
        <is>
          <t>VÄRMLANDS LÄN</t>
        </is>
      </c>
      <c r="E258" t="inlineStr">
        <is>
          <t>TORSBY</t>
        </is>
      </c>
      <c r="G258" t="n">
        <v>2.5</v>
      </c>
      <c r="H258" t="n">
        <v>0</v>
      </c>
      <c r="I258" t="n">
        <v>0</v>
      </c>
      <c r="J258" t="n">
        <v>0</v>
      </c>
      <c r="K258" t="n">
        <v>0</v>
      </c>
      <c r="L258" t="n">
        <v>0</v>
      </c>
      <c r="M258" t="n">
        <v>0</v>
      </c>
      <c r="N258" t="n">
        <v>0</v>
      </c>
      <c r="O258" t="n">
        <v>0</v>
      </c>
      <c r="P258" t="n">
        <v>0</v>
      </c>
      <c r="Q258" t="n">
        <v>0</v>
      </c>
      <c r="R258" s="2" t="inlineStr"/>
    </row>
    <row r="259" ht="15" customHeight="1">
      <c r="A259" t="inlineStr">
        <is>
          <t>A 18174-2021</t>
        </is>
      </c>
      <c r="B259" s="1" t="n">
        <v>44302.63314814815</v>
      </c>
      <c r="C259" s="1" t="n">
        <v>45880</v>
      </c>
      <c r="D259" t="inlineStr">
        <is>
          <t>VÄRMLANDS LÄN</t>
        </is>
      </c>
      <c r="E259" t="inlineStr">
        <is>
          <t>TORSBY</t>
        </is>
      </c>
      <c r="G259" t="n">
        <v>4.5</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45880</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45880</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45880</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44923-2021</t>
        </is>
      </c>
      <c r="B263" s="1" t="n">
        <v>44438.6662037037</v>
      </c>
      <c r="C263" s="1" t="n">
        <v>45880</v>
      </c>
      <c r="D263" t="inlineStr">
        <is>
          <t>VÄRMLANDS LÄN</t>
        </is>
      </c>
      <c r="E263" t="inlineStr">
        <is>
          <t>TORSBY</t>
        </is>
      </c>
      <c r="G263" t="n">
        <v>1.9</v>
      </c>
      <c r="H263" t="n">
        <v>0</v>
      </c>
      <c r="I263" t="n">
        <v>0</v>
      </c>
      <c r="J263" t="n">
        <v>0</v>
      </c>
      <c r="K263" t="n">
        <v>0</v>
      </c>
      <c r="L263" t="n">
        <v>0</v>
      </c>
      <c r="M263" t="n">
        <v>0</v>
      </c>
      <c r="N263" t="n">
        <v>0</v>
      </c>
      <c r="O263" t="n">
        <v>0</v>
      </c>
      <c r="P263" t="n">
        <v>0</v>
      </c>
      <c r="Q263" t="n">
        <v>0</v>
      </c>
      <c r="R263" s="2" t="inlineStr"/>
    </row>
    <row r="264" ht="15" customHeight="1">
      <c r="A264" t="inlineStr">
        <is>
          <t>A 33145-2021</t>
        </is>
      </c>
      <c r="B264" s="1" t="n">
        <v>44376.67375</v>
      </c>
      <c r="C264" s="1" t="n">
        <v>45880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23803-2022</t>
        </is>
      </c>
      <c r="B265" s="1" t="n">
        <v>44720</v>
      </c>
      <c r="C265" s="1" t="n">
        <v>45880</v>
      </c>
      <c r="D265" t="inlineStr">
        <is>
          <t>VÄRMLANDS LÄN</t>
        </is>
      </c>
      <c r="E265" t="inlineStr">
        <is>
          <t>TORSBY</t>
        </is>
      </c>
      <c r="G265" t="n">
        <v>3</v>
      </c>
      <c r="H265" t="n">
        <v>0</v>
      </c>
      <c r="I265" t="n">
        <v>0</v>
      </c>
      <c r="J265" t="n">
        <v>0</v>
      </c>
      <c r="K265" t="n">
        <v>0</v>
      </c>
      <c r="L265" t="n">
        <v>0</v>
      </c>
      <c r="M265" t="n">
        <v>0</v>
      </c>
      <c r="N265" t="n">
        <v>0</v>
      </c>
      <c r="O265" t="n">
        <v>0</v>
      </c>
      <c r="P265" t="n">
        <v>0</v>
      </c>
      <c r="Q265" t="n">
        <v>0</v>
      </c>
      <c r="R265" s="2" t="inlineStr"/>
    </row>
    <row r="266" ht="15" customHeight="1">
      <c r="A266" t="inlineStr">
        <is>
          <t>A 30802-2021</t>
        </is>
      </c>
      <c r="B266" s="1" t="n">
        <v>44365.52390046296</v>
      </c>
      <c r="C266" s="1" t="n">
        <v>45880</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45880</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45880</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45880</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45880</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45880</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31494-2021</t>
        </is>
      </c>
      <c r="B272" s="1" t="n">
        <v>44369</v>
      </c>
      <c r="C272" s="1" t="n">
        <v>45880</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65827-2020</t>
        </is>
      </c>
      <c r="B273" s="1" t="n">
        <v>44173</v>
      </c>
      <c r="C273" s="1" t="n">
        <v>45880</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45880</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45880</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28172-2022</t>
        </is>
      </c>
      <c r="B276" s="1" t="n">
        <v>44746</v>
      </c>
      <c r="C276" s="1" t="n">
        <v>45880</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37225-2021</t>
        </is>
      </c>
      <c r="B277" s="1" t="n">
        <v>44396</v>
      </c>
      <c r="C277" s="1" t="n">
        <v>45880</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44018-2021</t>
        </is>
      </c>
      <c r="B278" s="1" t="n">
        <v>44434</v>
      </c>
      <c r="C278" s="1" t="n">
        <v>45880</v>
      </c>
      <c r="D278" t="inlineStr">
        <is>
          <t>VÄRMLANDS LÄN</t>
        </is>
      </c>
      <c r="E278" t="inlineStr">
        <is>
          <t>TORSBY</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34626-2021</t>
        </is>
      </c>
      <c r="B279" s="1" t="n">
        <v>44382</v>
      </c>
      <c r="C279" s="1" t="n">
        <v>45880</v>
      </c>
      <c r="D279" t="inlineStr">
        <is>
          <t>VÄRMLANDS LÄN</t>
        </is>
      </c>
      <c r="E279" t="inlineStr">
        <is>
          <t>TORSBY</t>
        </is>
      </c>
      <c r="G279" t="n">
        <v>2.1</v>
      </c>
      <c r="H279" t="n">
        <v>0</v>
      </c>
      <c r="I279" t="n">
        <v>0</v>
      </c>
      <c r="J279" t="n">
        <v>0</v>
      </c>
      <c r="K279" t="n">
        <v>0</v>
      </c>
      <c r="L279" t="n">
        <v>0</v>
      </c>
      <c r="M279" t="n">
        <v>0</v>
      </c>
      <c r="N279" t="n">
        <v>0</v>
      </c>
      <c r="O279" t="n">
        <v>0</v>
      </c>
      <c r="P279" t="n">
        <v>0</v>
      </c>
      <c r="Q279" t="n">
        <v>0</v>
      </c>
      <c r="R279" s="2" t="inlineStr"/>
    </row>
    <row r="280" ht="15" customHeight="1">
      <c r="A280" t="inlineStr">
        <is>
          <t>A 51381-2020</t>
        </is>
      </c>
      <c r="B280" s="1" t="n">
        <v>44113</v>
      </c>
      <c r="C280" s="1" t="n">
        <v>45880</v>
      </c>
      <c r="D280" t="inlineStr">
        <is>
          <t>VÄRMLANDS LÄN</t>
        </is>
      </c>
      <c r="E280" t="inlineStr">
        <is>
          <t>TORSBY</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34885-2021</t>
        </is>
      </c>
      <c r="B281" s="1" t="n">
        <v>44383</v>
      </c>
      <c r="C281" s="1" t="n">
        <v>45880</v>
      </c>
      <c r="D281" t="inlineStr">
        <is>
          <t>VÄRMLANDS LÄN</t>
        </is>
      </c>
      <c r="E281" t="inlineStr">
        <is>
          <t>TORSBY</t>
        </is>
      </c>
      <c r="G281" t="n">
        <v>8.9</v>
      </c>
      <c r="H281" t="n">
        <v>0</v>
      </c>
      <c r="I281" t="n">
        <v>0</v>
      </c>
      <c r="J281" t="n">
        <v>0</v>
      </c>
      <c r="K281" t="n">
        <v>0</v>
      </c>
      <c r="L281" t="n">
        <v>0</v>
      </c>
      <c r="M281" t="n">
        <v>0</v>
      </c>
      <c r="N281" t="n">
        <v>0</v>
      </c>
      <c r="O281" t="n">
        <v>0</v>
      </c>
      <c r="P281" t="n">
        <v>0</v>
      </c>
      <c r="Q281" t="n">
        <v>0</v>
      </c>
      <c r="R281" s="2" t="inlineStr"/>
    </row>
    <row r="282" ht="15" customHeight="1">
      <c r="A282" t="inlineStr">
        <is>
          <t>A 65959-2021</t>
        </is>
      </c>
      <c r="B282" s="1" t="n">
        <v>44517</v>
      </c>
      <c r="C282" s="1" t="n">
        <v>45880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69265-2021</t>
        </is>
      </c>
      <c r="B283" s="1" t="n">
        <v>44526</v>
      </c>
      <c r="C283" s="1" t="n">
        <v>45880</v>
      </c>
      <c r="D283" t="inlineStr">
        <is>
          <t>VÄRMLANDS LÄN</t>
        </is>
      </c>
      <c r="E283" t="inlineStr">
        <is>
          <t>TORSBY</t>
        </is>
      </c>
      <c r="G283" t="n">
        <v>11.1</v>
      </c>
      <c r="H283" t="n">
        <v>0</v>
      </c>
      <c r="I283" t="n">
        <v>0</v>
      </c>
      <c r="J283" t="n">
        <v>0</v>
      </c>
      <c r="K283" t="n">
        <v>0</v>
      </c>
      <c r="L283" t="n">
        <v>0</v>
      </c>
      <c r="M283" t="n">
        <v>0</v>
      </c>
      <c r="N283" t="n">
        <v>0</v>
      </c>
      <c r="O283" t="n">
        <v>0</v>
      </c>
      <c r="P283" t="n">
        <v>0</v>
      </c>
      <c r="Q283" t="n">
        <v>0</v>
      </c>
      <c r="R283" s="2" t="inlineStr"/>
    </row>
    <row r="284" ht="15" customHeight="1">
      <c r="A284" t="inlineStr">
        <is>
          <t>A 19877-2021</t>
        </is>
      </c>
      <c r="B284" s="1" t="n">
        <v>44313</v>
      </c>
      <c r="C284" s="1" t="n">
        <v>45880</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54033-2021</t>
        </is>
      </c>
      <c r="B285" s="1" t="n">
        <v>44470.38454861111</v>
      </c>
      <c r="C285" s="1" t="n">
        <v>45880</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62576-2021</t>
        </is>
      </c>
      <c r="B286" s="1" t="n">
        <v>44502</v>
      </c>
      <c r="C286" s="1" t="n">
        <v>45880</v>
      </c>
      <c r="D286" t="inlineStr">
        <is>
          <t>VÄRMLANDS LÄN</t>
        </is>
      </c>
      <c r="E286" t="inlineStr">
        <is>
          <t>TORSBY</t>
        </is>
      </c>
      <c r="G286" t="n">
        <v>3.3</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45880</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50549-2021</t>
        </is>
      </c>
      <c r="B288" s="1" t="n">
        <v>44459</v>
      </c>
      <c r="C288" s="1" t="n">
        <v>45880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37303-2020</t>
        </is>
      </c>
      <c r="B289" s="1" t="n">
        <v>44055</v>
      </c>
      <c r="C289" s="1" t="n">
        <v>45880</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37305-2020</t>
        </is>
      </c>
      <c r="B290" s="1" t="n">
        <v>44055</v>
      </c>
      <c r="C290" s="1" t="n">
        <v>45880</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20199-2021</t>
        </is>
      </c>
      <c r="B291" s="1" t="n">
        <v>44312</v>
      </c>
      <c r="C291" s="1" t="n">
        <v>45880</v>
      </c>
      <c r="D291" t="inlineStr">
        <is>
          <t>VÄRMLANDS LÄN</t>
        </is>
      </c>
      <c r="E291" t="inlineStr">
        <is>
          <t>TORSBY</t>
        </is>
      </c>
      <c r="G291" t="n">
        <v>11.4</v>
      </c>
      <c r="H291" t="n">
        <v>0</v>
      </c>
      <c r="I291" t="n">
        <v>0</v>
      </c>
      <c r="J291" t="n">
        <v>0</v>
      </c>
      <c r="K291" t="n">
        <v>0</v>
      </c>
      <c r="L291" t="n">
        <v>0</v>
      </c>
      <c r="M291" t="n">
        <v>0</v>
      </c>
      <c r="N291" t="n">
        <v>0</v>
      </c>
      <c r="O291" t="n">
        <v>0</v>
      </c>
      <c r="P291" t="n">
        <v>0</v>
      </c>
      <c r="Q291" t="n">
        <v>0</v>
      </c>
      <c r="R291" s="2" t="inlineStr"/>
    </row>
    <row r="292" ht="15" customHeight="1">
      <c r="A292" t="inlineStr">
        <is>
          <t>A 4967-2022</t>
        </is>
      </c>
      <c r="B292" s="1" t="n">
        <v>44593</v>
      </c>
      <c r="C292" s="1" t="n">
        <v>45880</v>
      </c>
      <c r="D292" t="inlineStr">
        <is>
          <t>VÄRMLANDS LÄN</t>
        </is>
      </c>
      <c r="E292" t="inlineStr">
        <is>
          <t>TORSBY</t>
        </is>
      </c>
      <c r="G292" t="n">
        <v>1.6</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45880</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45880</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35545-2021</t>
        </is>
      </c>
      <c r="B295" s="1" t="n">
        <v>44385</v>
      </c>
      <c r="C295" s="1" t="n">
        <v>45880</v>
      </c>
      <c r="D295" t="inlineStr">
        <is>
          <t>VÄRMLANDS LÄN</t>
        </is>
      </c>
      <c r="E295" t="inlineStr">
        <is>
          <t>TORSBY</t>
        </is>
      </c>
      <c r="G295" t="n">
        <v>6</v>
      </c>
      <c r="H295" t="n">
        <v>0</v>
      </c>
      <c r="I295" t="n">
        <v>0</v>
      </c>
      <c r="J295" t="n">
        <v>0</v>
      </c>
      <c r="K295" t="n">
        <v>0</v>
      </c>
      <c r="L295" t="n">
        <v>0</v>
      </c>
      <c r="M295" t="n">
        <v>0</v>
      </c>
      <c r="N295" t="n">
        <v>0</v>
      </c>
      <c r="O295" t="n">
        <v>0</v>
      </c>
      <c r="P295" t="n">
        <v>0</v>
      </c>
      <c r="Q295" t="n">
        <v>0</v>
      </c>
      <c r="R295" s="2" t="inlineStr"/>
    </row>
    <row r="296" ht="15" customHeight="1">
      <c r="A296" t="inlineStr">
        <is>
          <t>A 25247-2021</t>
        </is>
      </c>
      <c r="B296" s="1" t="n">
        <v>44342</v>
      </c>
      <c r="C296" s="1" t="n">
        <v>45880</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23524-2021</t>
        </is>
      </c>
      <c r="B297" s="1" t="n">
        <v>44301</v>
      </c>
      <c r="C297" s="1" t="n">
        <v>45880</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45880</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45880</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45880</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65998-2021</t>
        </is>
      </c>
      <c r="B301" s="1" t="n">
        <v>44517</v>
      </c>
      <c r="C301" s="1" t="n">
        <v>45880</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65398-2020</t>
        </is>
      </c>
      <c r="B302" s="1" t="n">
        <v>44169</v>
      </c>
      <c r="C302" s="1" t="n">
        <v>45880</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20819-2022</t>
        </is>
      </c>
      <c r="B303" s="1" t="n">
        <v>44699</v>
      </c>
      <c r="C303" s="1" t="n">
        <v>45880</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45880</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45880</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45880</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45880</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45880</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45880</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45880</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45880</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45880</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45880</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45880</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46934-2021</t>
        </is>
      </c>
      <c r="B315" s="1" t="n">
        <v>44446.49893518518</v>
      </c>
      <c r="C315" s="1" t="n">
        <v>45880</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44517-2022</t>
        </is>
      </c>
      <c r="B316" s="1" t="n">
        <v>44840.43184027778</v>
      </c>
      <c r="C316" s="1" t="n">
        <v>45880</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8739-2022</t>
        </is>
      </c>
      <c r="B317" s="1" t="n">
        <v>44615</v>
      </c>
      <c r="C317" s="1" t="n">
        <v>45880</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18628-2022</t>
        </is>
      </c>
      <c r="B318" s="1" t="n">
        <v>44687</v>
      </c>
      <c r="C318" s="1" t="n">
        <v>45880</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45880</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45880</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54072-2020</t>
        </is>
      </c>
      <c r="B321" s="1" t="n">
        <v>44125</v>
      </c>
      <c r="C321" s="1" t="n">
        <v>45880</v>
      </c>
      <c r="D321" t="inlineStr">
        <is>
          <t>VÄRMLANDS LÄN</t>
        </is>
      </c>
      <c r="E321" t="inlineStr">
        <is>
          <t>TORSBY</t>
        </is>
      </c>
      <c r="G321" t="n">
        <v>5</v>
      </c>
      <c r="H321" t="n">
        <v>0</v>
      </c>
      <c r="I321" t="n">
        <v>0</v>
      </c>
      <c r="J321" t="n">
        <v>0</v>
      </c>
      <c r="K321" t="n">
        <v>0</v>
      </c>
      <c r="L321" t="n">
        <v>0</v>
      </c>
      <c r="M321" t="n">
        <v>0</v>
      </c>
      <c r="N321" t="n">
        <v>0</v>
      </c>
      <c r="O321" t="n">
        <v>0</v>
      </c>
      <c r="P321" t="n">
        <v>0</v>
      </c>
      <c r="Q321" t="n">
        <v>0</v>
      </c>
      <c r="R321" s="2" t="inlineStr"/>
    </row>
    <row r="322" ht="15" customHeight="1">
      <c r="A322" t="inlineStr">
        <is>
          <t>A 38179-2022</t>
        </is>
      </c>
      <c r="B322" s="1" t="n">
        <v>44812</v>
      </c>
      <c r="C322" s="1" t="n">
        <v>45880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37917-2022</t>
        </is>
      </c>
      <c r="B323" s="1" t="n">
        <v>44811.44335648148</v>
      </c>
      <c r="C323" s="1" t="n">
        <v>45880</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52386-2022</t>
        </is>
      </c>
      <c r="B324" s="1" t="n">
        <v>44874.3750462963</v>
      </c>
      <c r="C324" s="1" t="n">
        <v>45880</v>
      </c>
      <c r="D324" t="inlineStr">
        <is>
          <t>VÄRMLANDS LÄN</t>
        </is>
      </c>
      <c r="E324" t="inlineStr">
        <is>
          <t>TORSBY</t>
        </is>
      </c>
      <c r="G324" t="n">
        <v>6.7</v>
      </c>
      <c r="H324" t="n">
        <v>0</v>
      </c>
      <c r="I324" t="n">
        <v>0</v>
      </c>
      <c r="J324" t="n">
        <v>0</v>
      </c>
      <c r="K324" t="n">
        <v>0</v>
      </c>
      <c r="L324" t="n">
        <v>0</v>
      </c>
      <c r="M324" t="n">
        <v>0</v>
      </c>
      <c r="N324" t="n">
        <v>0</v>
      </c>
      <c r="O324" t="n">
        <v>0</v>
      </c>
      <c r="P324" t="n">
        <v>0</v>
      </c>
      <c r="Q324" t="n">
        <v>0</v>
      </c>
      <c r="R324" s="2" t="inlineStr"/>
    </row>
    <row r="325" ht="15" customHeight="1">
      <c r="A325" t="inlineStr">
        <is>
          <t>A 14145-2022</t>
        </is>
      </c>
      <c r="B325" s="1" t="n">
        <v>44651</v>
      </c>
      <c r="C325" s="1" t="n">
        <v>45880</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30162-2021</t>
        </is>
      </c>
      <c r="B326" s="1" t="n">
        <v>44363</v>
      </c>
      <c r="C326" s="1" t="n">
        <v>45880</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51838-2020</t>
        </is>
      </c>
      <c r="B327" s="1" t="n">
        <v>44116</v>
      </c>
      <c r="C327" s="1" t="n">
        <v>45880</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44327-2022</t>
        </is>
      </c>
      <c r="B328" s="1" t="n">
        <v>44839</v>
      </c>
      <c r="C328" s="1" t="n">
        <v>45880</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47466-2022</t>
        </is>
      </c>
      <c r="B329" s="1" t="n">
        <v>44852</v>
      </c>
      <c r="C329" s="1" t="n">
        <v>45880</v>
      </c>
      <c r="D329" t="inlineStr">
        <is>
          <t>VÄRMLANDS LÄN</t>
        </is>
      </c>
      <c r="E329" t="inlineStr">
        <is>
          <t>TORSBY</t>
        </is>
      </c>
      <c r="G329" t="n">
        <v>3</v>
      </c>
      <c r="H329" t="n">
        <v>0</v>
      </c>
      <c r="I329" t="n">
        <v>0</v>
      </c>
      <c r="J329" t="n">
        <v>0</v>
      </c>
      <c r="K329" t="n">
        <v>0</v>
      </c>
      <c r="L329" t="n">
        <v>0</v>
      </c>
      <c r="M329" t="n">
        <v>0</v>
      </c>
      <c r="N329" t="n">
        <v>0</v>
      </c>
      <c r="O329" t="n">
        <v>0</v>
      </c>
      <c r="P329" t="n">
        <v>0</v>
      </c>
      <c r="Q329" t="n">
        <v>0</v>
      </c>
      <c r="R329" s="2" t="inlineStr"/>
    </row>
    <row r="330" ht="15" customHeight="1">
      <c r="A330" t="inlineStr">
        <is>
          <t>A 48712-2022</t>
        </is>
      </c>
      <c r="B330" s="1" t="n">
        <v>44859.49574074074</v>
      </c>
      <c r="C330" s="1" t="n">
        <v>45880</v>
      </c>
      <c r="D330" t="inlineStr">
        <is>
          <t>VÄRMLANDS LÄN</t>
        </is>
      </c>
      <c r="E330" t="inlineStr">
        <is>
          <t>TORSBY</t>
        </is>
      </c>
      <c r="F330" t="inlineStr">
        <is>
          <t>Bergvik skog väst AB</t>
        </is>
      </c>
      <c r="G330" t="n">
        <v>22.7</v>
      </c>
      <c r="H330" t="n">
        <v>0</v>
      </c>
      <c r="I330" t="n">
        <v>0</v>
      </c>
      <c r="J330" t="n">
        <v>0</v>
      </c>
      <c r="K330" t="n">
        <v>0</v>
      </c>
      <c r="L330" t="n">
        <v>0</v>
      </c>
      <c r="M330" t="n">
        <v>0</v>
      </c>
      <c r="N330" t="n">
        <v>0</v>
      </c>
      <c r="O330" t="n">
        <v>0</v>
      </c>
      <c r="P330" t="n">
        <v>0</v>
      </c>
      <c r="Q330" t="n">
        <v>0</v>
      </c>
      <c r="R330" s="2" t="inlineStr"/>
    </row>
    <row r="331" ht="15" customHeight="1">
      <c r="A331" t="inlineStr">
        <is>
          <t>A 30384-2021</t>
        </is>
      </c>
      <c r="B331" s="1" t="n">
        <v>44364.4903587963</v>
      </c>
      <c r="C331" s="1" t="n">
        <v>45880</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47206-2022</t>
        </is>
      </c>
      <c r="B332" s="1" t="n">
        <v>44852.67550925926</v>
      </c>
      <c r="C332" s="1" t="n">
        <v>45880</v>
      </c>
      <c r="D332" t="inlineStr">
        <is>
          <t>VÄRMLANDS LÄN</t>
        </is>
      </c>
      <c r="E332" t="inlineStr">
        <is>
          <t>TORSBY</t>
        </is>
      </c>
      <c r="G332" t="n">
        <v>8.5</v>
      </c>
      <c r="H332" t="n">
        <v>0</v>
      </c>
      <c r="I332" t="n">
        <v>0</v>
      </c>
      <c r="J332" t="n">
        <v>0</v>
      </c>
      <c r="K332" t="n">
        <v>0</v>
      </c>
      <c r="L332" t="n">
        <v>0</v>
      </c>
      <c r="M332" t="n">
        <v>0</v>
      </c>
      <c r="N332" t="n">
        <v>0</v>
      </c>
      <c r="O332" t="n">
        <v>0</v>
      </c>
      <c r="P332" t="n">
        <v>0</v>
      </c>
      <c r="Q332" t="n">
        <v>0</v>
      </c>
      <c r="R332" s="2" t="inlineStr"/>
    </row>
    <row r="333" ht="15" customHeight="1">
      <c r="A333" t="inlineStr">
        <is>
          <t>A 37307-2020</t>
        </is>
      </c>
      <c r="B333" s="1" t="n">
        <v>44055</v>
      </c>
      <c r="C333" s="1" t="n">
        <v>45880</v>
      </c>
      <c r="D333" t="inlineStr">
        <is>
          <t>VÄRMLANDS LÄN</t>
        </is>
      </c>
      <c r="E333" t="inlineStr">
        <is>
          <t>TORSBY</t>
        </is>
      </c>
      <c r="G333" t="n">
        <v>1.2</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45880</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21516-2022</t>
        </is>
      </c>
      <c r="B335" s="1" t="n">
        <v>44706</v>
      </c>
      <c r="C335" s="1" t="n">
        <v>45880</v>
      </c>
      <c r="D335" t="inlineStr">
        <is>
          <t>VÄRMLANDS LÄN</t>
        </is>
      </c>
      <c r="E335" t="inlineStr">
        <is>
          <t>TORSBY</t>
        </is>
      </c>
      <c r="G335" t="n">
        <v>2.2</v>
      </c>
      <c r="H335" t="n">
        <v>0</v>
      </c>
      <c r="I335" t="n">
        <v>0</v>
      </c>
      <c r="J335" t="n">
        <v>0</v>
      </c>
      <c r="K335" t="n">
        <v>0</v>
      </c>
      <c r="L335" t="n">
        <v>0</v>
      </c>
      <c r="M335" t="n">
        <v>0</v>
      </c>
      <c r="N335" t="n">
        <v>0</v>
      </c>
      <c r="O335" t="n">
        <v>0</v>
      </c>
      <c r="P335" t="n">
        <v>0</v>
      </c>
      <c r="Q335" t="n">
        <v>0</v>
      </c>
      <c r="R335" s="2" t="inlineStr"/>
    </row>
    <row r="336" ht="15" customHeight="1">
      <c r="A336" t="inlineStr">
        <is>
          <t>A 51380-2020</t>
        </is>
      </c>
      <c r="B336" s="1" t="n">
        <v>44113</v>
      </c>
      <c r="C336" s="1" t="n">
        <v>45880</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44666-2020</t>
        </is>
      </c>
      <c r="B337" s="1" t="n">
        <v>44085</v>
      </c>
      <c r="C337" s="1" t="n">
        <v>45880</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51382-2020</t>
        </is>
      </c>
      <c r="B338" s="1" t="n">
        <v>44113</v>
      </c>
      <c r="C338" s="1" t="n">
        <v>45880</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19375-2021</t>
        </is>
      </c>
      <c r="B339" s="1" t="n">
        <v>44309.6765625</v>
      </c>
      <c r="C339" s="1" t="n">
        <v>45880</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52799-2020</t>
        </is>
      </c>
      <c r="B340" s="1" t="n">
        <v>44119.5903125</v>
      </c>
      <c r="C340" s="1" t="n">
        <v>45880</v>
      </c>
      <c r="D340" t="inlineStr">
        <is>
          <t>VÄRMLANDS LÄN</t>
        </is>
      </c>
      <c r="E340" t="inlineStr">
        <is>
          <t>TORSBY</t>
        </is>
      </c>
      <c r="G340" t="n">
        <v>6.2</v>
      </c>
      <c r="H340" t="n">
        <v>0</v>
      </c>
      <c r="I340" t="n">
        <v>0</v>
      </c>
      <c r="J340" t="n">
        <v>0</v>
      </c>
      <c r="K340" t="n">
        <v>0</v>
      </c>
      <c r="L340" t="n">
        <v>0</v>
      </c>
      <c r="M340" t="n">
        <v>0</v>
      </c>
      <c r="N340" t="n">
        <v>0</v>
      </c>
      <c r="O340" t="n">
        <v>0</v>
      </c>
      <c r="P340" t="n">
        <v>0</v>
      </c>
      <c r="Q340" t="n">
        <v>0</v>
      </c>
      <c r="R340" s="2" t="inlineStr"/>
    </row>
    <row r="341" ht="15" customHeight="1">
      <c r="A341" t="inlineStr">
        <is>
          <t>A 60167-2020</t>
        </is>
      </c>
      <c r="B341" s="1" t="n">
        <v>44152</v>
      </c>
      <c r="C341" s="1" t="n">
        <v>45880</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58078-2020</t>
        </is>
      </c>
      <c r="B342" s="1" t="n">
        <v>44144</v>
      </c>
      <c r="C342" s="1" t="n">
        <v>45880</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61998-2020</t>
        </is>
      </c>
      <c r="B343" s="1" t="n">
        <v>44158</v>
      </c>
      <c r="C343" s="1" t="n">
        <v>45880</v>
      </c>
      <c r="D343" t="inlineStr">
        <is>
          <t>VÄRMLANDS LÄN</t>
        </is>
      </c>
      <c r="E343" t="inlineStr">
        <is>
          <t>TORSBY</t>
        </is>
      </c>
      <c r="G343" t="n">
        <v>2.7</v>
      </c>
      <c r="H343" t="n">
        <v>0</v>
      </c>
      <c r="I343" t="n">
        <v>0</v>
      </c>
      <c r="J343" t="n">
        <v>0</v>
      </c>
      <c r="K343" t="n">
        <v>0</v>
      </c>
      <c r="L343" t="n">
        <v>0</v>
      </c>
      <c r="M343" t="n">
        <v>0</v>
      </c>
      <c r="N343" t="n">
        <v>0</v>
      </c>
      <c r="O343" t="n">
        <v>0</v>
      </c>
      <c r="P343" t="n">
        <v>0</v>
      </c>
      <c r="Q343" t="n">
        <v>0</v>
      </c>
      <c r="R343" s="2" t="inlineStr"/>
    </row>
    <row r="344" ht="15" customHeight="1">
      <c r="A344" t="inlineStr">
        <is>
          <t>A 16375-2021</t>
        </is>
      </c>
      <c r="B344" s="1" t="n">
        <v>44292</v>
      </c>
      <c r="C344" s="1" t="n">
        <v>45880</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24960-2022</t>
        </is>
      </c>
      <c r="B345" s="1" t="n">
        <v>44728</v>
      </c>
      <c r="C345" s="1" t="n">
        <v>45880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35221-2021</t>
        </is>
      </c>
      <c r="B346" s="1" t="n">
        <v>44384</v>
      </c>
      <c r="C346" s="1" t="n">
        <v>45880</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34694-2021</t>
        </is>
      </c>
      <c r="B347" s="1" t="n">
        <v>44382.61398148148</v>
      </c>
      <c r="C347" s="1" t="n">
        <v>45880</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32438-2022</t>
        </is>
      </c>
      <c r="B348" s="1" t="n">
        <v>44782</v>
      </c>
      <c r="C348" s="1" t="n">
        <v>45880</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47083-2021</t>
        </is>
      </c>
      <c r="B349" s="1" t="n">
        <v>44446.66114583334</v>
      </c>
      <c r="C349" s="1" t="n">
        <v>45880</v>
      </c>
      <c r="D349" t="inlineStr">
        <is>
          <t>VÄRMLANDS LÄN</t>
        </is>
      </c>
      <c r="E349" t="inlineStr">
        <is>
          <t>TORSBY</t>
        </is>
      </c>
      <c r="G349" t="n">
        <v>1.8</v>
      </c>
      <c r="H349" t="n">
        <v>0</v>
      </c>
      <c r="I349" t="n">
        <v>0</v>
      </c>
      <c r="J349" t="n">
        <v>0</v>
      </c>
      <c r="K349" t="n">
        <v>0</v>
      </c>
      <c r="L349" t="n">
        <v>0</v>
      </c>
      <c r="M349" t="n">
        <v>0</v>
      </c>
      <c r="N349" t="n">
        <v>0</v>
      </c>
      <c r="O349" t="n">
        <v>0</v>
      </c>
      <c r="P349" t="n">
        <v>0</v>
      </c>
      <c r="Q349" t="n">
        <v>0</v>
      </c>
      <c r="R349" s="2" t="inlineStr"/>
    </row>
    <row r="350" ht="15" customHeight="1">
      <c r="A350" t="inlineStr">
        <is>
          <t>A 47098-2021</t>
        </is>
      </c>
      <c r="B350" s="1" t="n">
        <v>44446.67429398148</v>
      </c>
      <c r="C350" s="1" t="n">
        <v>45880</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22113-2021</t>
        </is>
      </c>
      <c r="B351" s="1" t="n">
        <v>44323</v>
      </c>
      <c r="C351" s="1" t="n">
        <v>45880</v>
      </c>
      <c r="D351" t="inlineStr">
        <is>
          <t>VÄRMLANDS LÄN</t>
        </is>
      </c>
      <c r="E351" t="inlineStr">
        <is>
          <t>TORSBY</t>
        </is>
      </c>
      <c r="G351" t="n">
        <v>1.7</v>
      </c>
      <c r="H351" t="n">
        <v>0</v>
      </c>
      <c r="I351" t="n">
        <v>0</v>
      </c>
      <c r="J351" t="n">
        <v>0</v>
      </c>
      <c r="K351" t="n">
        <v>0</v>
      </c>
      <c r="L351" t="n">
        <v>0</v>
      </c>
      <c r="M351" t="n">
        <v>0</v>
      </c>
      <c r="N351" t="n">
        <v>0</v>
      </c>
      <c r="O351" t="n">
        <v>0</v>
      </c>
      <c r="P351" t="n">
        <v>0</v>
      </c>
      <c r="Q351" t="n">
        <v>0</v>
      </c>
      <c r="R351" s="2" t="inlineStr"/>
    </row>
    <row r="352" ht="15" customHeight="1">
      <c r="A352" t="inlineStr">
        <is>
          <t>A 69281-2021</t>
        </is>
      </c>
      <c r="B352" s="1" t="n">
        <v>44526</v>
      </c>
      <c r="C352" s="1" t="n">
        <v>45880</v>
      </c>
      <c r="D352" t="inlineStr">
        <is>
          <t>VÄRMLANDS LÄN</t>
        </is>
      </c>
      <c r="E352" t="inlineStr">
        <is>
          <t>TORSBY</t>
        </is>
      </c>
      <c r="G352" t="n">
        <v>7.5</v>
      </c>
      <c r="H352" t="n">
        <v>0</v>
      </c>
      <c r="I352" t="n">
        <v>0</v>
      </c>
      <c r="J352" t="n">
        <v>0</v>
      </c>
      <c r="K352" t="n">
        <v>0</v>
      </c>
      <c r="L352" t="n">
        <v>0</v>
      </c>
      <c r="M352" t="n">
        <v>0</v>
      </c>
      <c r="N352" t="n">
        <v>0</v>
      </c>
      <c r="O352" t="n">
        <v>0</v>
      </c>
      <c r="P352" t="n">
        <v>0</v>
      </c>
      <c r="Q352" t="n">
        <v>0</v>
      </c>
      <c r="R352" s="2" t="inlineStr"/>
    </row>
    <row r="353" ht="15" customHeight="1">
      <c r="A353" t="inlineStr">
        <is>
          <t>A 33182-2021</t>
        </is>
      </c>
      <c r="B353" s="1" t="n">
        <v>44376</v>
      </c>
      <c r="C353" s="1" t="n">
        <v>45880</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45880</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45880</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29495-2021</t>
        </is>
      </c>
      <c r="B356" s="1" t="n">
        <v>44361</v>
      </c>
      <c r="C356" s="1" t="n">
        <v>45880</v>
      </c>
      <c r="D356" t="inlineStr">
        <is>
          <t>VÄRMLANDS LÄN</t>
        </is>
      </c>
      <c r="E356" t="inlineStr">
        <is>
          <t>TORSBY</t>
        </is>
      </c>
      <c r="F356" t="inlineStr">
        <is>
          <t>Övriga Aktiebolag</t>
        </is>
      </c>
      <c r="G356" t="n">
        <v>38.2</v>
      </c>
      <c r="H356" t="n">
        <v>0</v>
      </c>
      <c r="I356" t="n">
        <v>0</v>
      </c>
      <c r="J356" t="n">
        <v>0</v>
      </c>
      <c r="K356" t="n">
        <v>0</v>
      </c>
      <c r="L356" t="n">
        <v>0</v>
      </c>
      <c r="M356" t="n">
        <v>0</v>
      </c>
      <c r="N356" t="n">
        <v>0</v>
      </c>
      <c r="O356" t="n">
        <v>0</v>
      </c>
      <c r="P356" t="n">
        <v>0</v>
      </c>
      <c r="Q356" t="n">
        <v>0</v>
      </c>
      <c r="R356" s="2" t="inlineStr"/>
    </row>
    <row r="357" ht="15" customHeight="1">
      <c r="A357" t="inlineStr">
        <is>
          <t>A 27686-2022</t>
        </is>
      </c>
      <c r="B357" s="1" t="n">
        <v>44743.43273148148</v>
      </c>
      <c r="C357" s="1" t="n">
        <v>45880</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29142-2022</t>
        </is>
      </c>
      <c r="B358" s="1" t="n">
        <v>44750</v>
      </c>
      <c r="C358" s="1" t="n">
        <v>45880</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70775-2021</t>
        </is>
      </c>
      <c r="B359" s="1" t="n">
        <v>44537</v>
      </c>
      <c r="C359" s="1" t="n">
        <v>45880</v>
      </c>
      <c r="D359" t="inlineStr">
        <is>
          <t>VÄRMLANDS LÄN</t>
        </is>
      </c>
      <c r="E359" t="inlineStr">
        <is>
          <t>TORSBY</t>
        </is>
      </c>
      <c r="G359" t="n">
        <v>0.3</v>
      </c>
      <c r="H359" t="n">
        <v>0</v>
      </c>
      <c r="I359" t="n">
        <v>0</v>
      </c>
      <c r="J359" t="n">
        <v>0</v>
      </c>
      <c r="K359" t="n">
        <v>0</v>
      </c>
      <c r="L359" t="n">
        <v>0</v>
      </c>
      <c r="M359" t="n">
        <v>0</v>
      </c>
      <c r="N359" t="n">
        <v>0</v>
      </c>
      <c r="O359" t="n">
        <v>0</v>
      </c>
      <c r="P359" t="n">
        <v>0</v>
      </c>
      <c r="Q359" t="n">
        <v>0</v>
      </c>
      <c r="R359" s="2" t="inlineStr"/>
    </row>
    <row r="360" ht="15" customHeight="1">
      <c r="A360" t="inlineStr">
        <is>
          <t>A 43128-2021</t>
        </is>
      </c>
      <c r="B360" s="1" t="n">
        <v>44431.65930555556</v>
      </c>
      <c r="C360" s="1" t="n">
        <v>45880</v>
      </c>
      <c r="D360" t="inlineStr">
        <is>
          <t>VÄRMLANDS LÄN</t>
        </is>
      </c>
      <c r="E360" t="inlineStr">
        <is>
          <t>TORSBY</t>
        </is>
      </c>
      <c r="G360" t="n">
        <v>10.9</v>
      </c>
      <c r="H360" t="n">
        <v>0</v>
      </c>
      <c r="I360" t="n">
        <v>0</v>
      </c>
      <c r="J360" t="n">
        <v>0</v>
      </c>
      <c r="K360" t="n">
        <v>0</v>
      </c>
      <c r="L360" t="n">
        <v>0</v>
      </c>
      <c r="M360" t="n">
        <v>0</v>
      </c>
      <c r="N360" t="n">
        <v>0</v>
      </c>
      <c r="O360" t="n">
        <v>0</v>
      </c>
      <c r="P360" t="n">
        <v>0</v>
      </c>
      <c r="Q360" t="n">
        <v>0</v>
      </c>
      <c r="R360" s="2" t="inlineStr"/>
    </row>
    <row r="361" ht="15" customHeight="1">
      <c r="A361" t="inlineStr">
        <is>
          <t>A 43169-2021</t>
        </is>
      </c>
      <c r="B361" s="1" t="n">
        <v>44431</v>
      </c>
      <c r="C361" s="1" t="n">
        <v>45880</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41995-2022</t>
        </is>
      </c>
      <c r="B362" s="1" t="n">
        <v>44830</v>
      </c>
      <c r="C362" s="1" t="n">
        <v>45880</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45880</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35909-2021</t>
        </is>
      </c>
      <c r="B364" s="1" t="n">
        <v>44387</v>
      </c>
      <c r="C364" s="1" t="n">
        <v>45880</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61594-2020</t>
        </is>
      </c>
      <c r="B365" s="1" t="n">
        <v>44154</v>
      </c>
      <c r="C365" s="1" t="n">
        <v>45880</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60428-2021</t>
        </is>
      </c>
      <c r="B366" s="1" t="n">
        <v>44496.42145833333</v>
      </c>
      <c r="C366" s="1" t="n">
        <v>45880</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45872-2020</t>
        </is>
      </c>
      <c r="B367" s="1" t="n">
        <v>44091</v>
      </c>
      <c r="C367" s="1" t="n">
        <v>45880</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73442-2021</t>
        </is>
      </c>
      <c r="B368" s="1" t="n">
        <v>44551.55063657407</v>
      </c>
      <c r="C368" s="1" t="n">
        <v>45880</v>
      </c>
      <c r="D368" t="inlineStr">
        <is>
          <t>VÄRMLANDS LÄN</t>
        </is>
      </c>
      <c r="E368" t="inlineStr">
        <is>
          <t>TORSBY</t>
        </is>
      </c>
      <c r="F368" t="inlineStr">
        <is>
          <t>Bergvik skog väst AB</t>
        </is>
      </c>
      <c r="G368" t="n">
        <v>4.1</v>
      </c>
      <c r="H368" t="n">
        <v>0</v>
      </c>
      <c r="I368" t="n">
        <v>0</v>
      </c>
      <c r="J368" t="n">
        <v>0</v>
      </c>
      <c r="K368" t="n">
        <v>0</v>
      </c>
      <c r="L368" t="n">
        <v>0</v>
      </c>
      <c r="M368" t="n">
        <v>0</v>
      </c>
      <c r="N368" t="n">
        <v>0</v>
      </c>
      <c r="O368" t="n">
        <v>0</v>
      </c>
      <c r="P368" t="n">
        <v>0</v>
      </c>
      <c r="Q368" t="n">
        <v>0</v>
      </c>
      <c r="R368" s="2" t="inlineStr"/>
    </row>
    <row r="369" ht="15" customHeight="1">
      <c r="A369" t="inlineStr">
        <is>
          <t>A 23011-2022</t>
        </is>
      </c>
      <c r="B369" s="1" t="n">
        <v>44719.35471064815</v>
      </c>
      <c r="C369" s="1" t="n">
        <v>45880</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34581-2022</t>
        </is>
      </c>
      <c r="B370" s="1" t="n">
        <v>44792</v>
      </c>
      <c r="C370" s="1" t="n">
        <v>45880</v>
      </c>
      <c r="D370" t="inlineStr">
        <is>
          <t>VÄRMLANDS LÄN</t>
        </is>
      </c>
      <c r="E370" t="inlineStr">
        <is>
          <t>TORSBY</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37754-2022</t>
        </is>
      </c>
      <c r="B371" s="1" t="n">
        <v>44810</v>
      </c>
      <c r="C371" s="1" t="n">
        <v>45880</v>
      </c>
      <c r="D371" t="inlineStr">
        <is>
          <t>VÄRMLANDS LÄN</t>
        </is>
      </c>
      <c r="E371" t="inlineStr">
        <is>
          <t>TORSBY</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1516-2021</t>
        </is>
      </c>
      <c r="B372" s="1" t="n">
        <v>44209</v>
      </c>
      <c r="C372" s="1" t="n">
        <v>45880</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40221-2022</t>
        </is>
      </c>
      <c r="B373" s="1" t="n">
        <v>44820.6512037037</v>
      </c>
      <c r="C373" s="1" t="n">
        <v>45880</v>
      </c>
      <c r="D373" t="inlineStr">
        <is>
          <t>VÄRMLANDS LÄN</t>
        </is>
      </c>
      <c r="E373" t="inlineStr">
        <is>
          <t>TORSBY</t>
        </is>
      </c>
      <c r="G373" t="n">
        <v>2.1</v>
      </c>
      <c r="H373" t="n">
        <v>0</v>
      </c>
      <c r="I373" t="n">
        <v>0</v>
      </c>
      <c r="J373" t="n">
        <v>0</v>
      </c>
      <c r="K373" t="n">
        <v>0</v>
      </c>
      <c r="L373" t="n">
        <v>0</v>
      </c>
      <c r="M373" t="n">
        <v>0</v>
      </c>
      <c r="N373" t="n">
        <v>0</v>
      </c>
      <c r="O373" t="n">
        <v>0</v>
      </c>
      <c r="P373" t="n">
        <v>0</v>
      </c>
      <c r="Q373" t="n">
        <v>0</v>
      </c>
      <c r="R373" s="2" t="inlineStr"/>
    </row>
    <row r="374" ht="15" customHeight="1">
      <c r="A374" t="inlineStr">
        <is>
          <t>A 23823-2022</t>
        </is>
      </c>
      <c r="B374" s="1" t="n">
        <v>44722</v>
      </c>
      <c r="C374" s="1" t="n">
        <v>45880</v>
      </c>
      <c r="D374" t="inlineStr">
        <is>
          <t>VÄRMLANDS LÄN</t>
        </is>
      </c>
      <c r="E374" t="inlineStr">
        <is>
          <t>TORSBY</t>
        </is>
      </c>
      <c r="G374" t="n">
        <v>2.4</v>
      </c>
      <c r="H374" t="n">
        <v>0</v>
      </c>
      <c r="I374" t="n">
        <v>0</v>
      </c>
      <c r="J374" t="n">
        <v>0</v>
      </c>
      <c r="K374" t="n">
        <v>0</v>
      </c>
      <c r="L374" t="n">
        <v>0</v>
      </c>
      <c r="M374" t="n">
        <v>0</v>
      </c>
      <c r="N374" t="n">
        <v>0</v>
      </c>
      <c r="O374" t="n">
        <v>0</v>
      </c>
      <c r="P374" t="n">
        <v>0</v>
      </c>
      <c r="Q374" t="n">
        <v>0</v>
      </c>
      <c r="R374" s="2" t="inlineStr"/>
    </row>
    <row r="375" ht="15" customHeight="1">
      <c r="A375" t="inlineStr">
        <is>
          <t>A 32003-2022</t>
        </is>
      </c>
      <c r="B375" s="1" t="n">
        <v>44778</v>
      </c>
      <c r="C375" s="1" t="n">
        <v>45880</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23194-2021</t>
        </is>
      </c>
      <c r="B376" s="1" t="n">
        <v>44328</v>
      </c>
      <c r="C376" s="1" t="n">
        <v>45880</v>
      </c>
      <c r="D376" t="inlineStr">
        <is>
          <t>VÄRMLANDS LÄN</t>
        </is>
      </c>
      <c r="E376" t="inlineStr">
        <is>
          <t>TORSBY</t>
        </is>
      </c>
      <c r="G376" t="n">
        <v>4.3</v>
      </c>
      <c r="H376" t="n">
        <v>0</v>
      </c>
      <c r="I376" t="n">
        <v>0</v>
      </c>
      <c r="J376" t="n">
        <v>0</v>
      </c>
      <c r="K376" t="n">
        <v>0</v>
      </c>
      <c r="L376" t="n">
        <v>0</v>
      </c>
      <c r="M376" t="n">
        <v>0</v>
      </c>
      <c r="N376" t="n">
        <v>0</v>
      </c>
      <c r="O376" t="n">
        <v>0</v>
      </c>
      <c r="P376" t="n">
        <v>0</v>
      </c>
      <c r="Q376" t="n">
        <v>0</v>
      </c>
      <c r="R376" s="2" t="inlineStr"/>
    </row>
    <row r="377" ht="15" customHeight="1">
      <c r="A377" t="inlineStr">
        <is>
          <t>A 70253-2021</t>
        </is>
      </c>
      <c r="B377" s="1" t="n">
        <v>44536</v>
      </c>
      <c r="C377" s="1" t="n">
        <v>45880</v>
      </c>
      <c r="D377" t="inlineStr">
        <is>
          <t>VÄRMLANDS LÄN</t>
        </is>
      </c>
      <c r="E377" t="inlineStr">
        <is>
          <t>TORSBY</t>
        </is>
      </c>
      <c r="G377" t="n">
        <v>4.3</v>
      </c>
      <c r="H377" t="n">
        <v>0</v>
      </c>
      <c r="I377" t="n">
        <v>0</v>
      </c>
      <c r="J377" t="n">
        <v>0</v>
      </c>
      <c r="K377" t="n">
        <v>0</v>
      </c>
      <c r="L377" t="n">
        <v>0</v>
      </c>
      <c r="M377" t="n">
        <v>0</v>
      </c>
      <c r="N377" t="n">
        <v>0</v>
      </c>
      <c r="O377" t="n">
        <v>0</v>
      </c>
      <c r="P377" t="n">
        <v>0</v>
      </c>
      <c r="Q377" t="n">
        <v>0</v>
      </c>
      <c r="R377" s="2" t="inlineStr"/>
    </row>
    <row r="378" ht="15" customHeight="1">
      <c r="A378" t="inlineStr">
        <is>
          <t>A 54924-2020</t>
        </is>
      </c>
      <c r="B378" s="1" t="n">
        <v>44127</v>
      </c>
      <c r="C378" s="1" t="n">
        <v>45880</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36527-2022</t>
        </is>
      </c>
      <c r="B379" s="1" t="n">
        <v>44804</v>
      </c>
      <c r="C379" s="1" t="n">
        <v>45880</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36572-2022</t>
        </is>
      </c>
      <c r="B380" s="1" t="n">
        <v>44804.60271990741</v>
      </c>
      <c r="C380" s="1" t="n">
        <v>45880</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33181-2022</t>
        </is>
      </c>
      <c r="B381" s="1" t="n">
        <v>44785</v>
      </c>
      <c r="C381" s="1" t="n">
        <v>45880</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42982-2020</t>
        </is>
      </c>
      <c r="B382" s="1" t="n">
        <v>44078</v>
      </c>
      <c r="C382" s="1" t="n">
        <v>45880</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39186-2022</t>
        </is>
      </c>
      <c r="B383" s="1" t="n">
        <v>44817.51549768518</v>
      </c>
      <c r="C383" s="1" t="n">
        <v>45880</v>
      </c>
      <c r="D383" t="inlineStr">
        <is>
          <t>VÄRMLANDS LÄN</t>
        </is>
      </c>
      <c r="E383" t="inlineStr">
        <is>
          <t>TORSBY</t>
        </is>
      </c>
      <c r="F383" t="inlineStr">
        <is>
          <t>Bergvik skog väst AB</t>
        </is>
      </c>
      <c r="G383" t="n">
        <v>20.3</v>
      </c>
      <c r="H383" t="n">
        <v>0</v>
      </c>
      <c r="I383" t="n">
        <v>0</v>
      </c>
      <c r="J383" t="n">
        <v>0</v>
      </c>
      <c r="K383" t="n">
        <v>0</v>
      </c>
      <c r="L383" t="n">
        <v>0</v>
      </c>
      <c r="M383" t="n">
        <v>0</v>
      </c>
      <c r="N383" t="n">
        <v>0</v>
      </c>
      <c r="O383" t="n">
        <v>0</v>
      </c>
      <c r="P383" t="n">
        <v>0</v>
      </c>
      <c r="Q383" t="n">
        <v>0</v>
      </c>
      <c r="R383" s="2" t="inlineStr"/>
    </row>
    <row r="384" ht="15" customHeight="1">
      <c r="A384" t="inlineStr">
        <is>
          <t>A 40278-2021</t>
        </is>
      </c>
      <c r="B384" s="1" t="n">
        <v>44419</v>
      </c>
      <c r="C384" s="1" t="n">
        <v>45880</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57119-2020</t>
        </is>
      </c>
      <c r="B385" s="1" t="n">
        <v>44139</v>
      </c>
      <c r="C385" s="1" t="n">
        <v>45880</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35851-2022</t>
        </is>
      </c>
      <c r="B386" s="1" t="n">
        <v>44802</v>
      </c>
      <c r="C386" s="1" t="n">
        <v>45880</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11664-2022</t>
        </is>
      </c>
      <c r="B387" s="1" t="n">
        <v>44632.86525462963</v>
      </c>
      <c r="C387" s="1" t="n">
        <v>45880</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46795-2021</t>
        </is>
      </c>
      <c r="B388" s="1" t="n">
        <v>44446</v>
      </c>
      <c r="C388" s="1" t="n">
        <v>45880</v>
      </c>
      <c r="D388" t="inlineStr">
        <is>
          <t>VÄRMLANDS LÄN</t>
        </is>
      </c>
      <c r="E388" t="inlineStr">
        <is>
          <t>TORSBY</t>
        </is>
      </c>
      <c r="G388" t="n">
        <v>6</v>
      </c>
      <c r="H388" t="n">
        <v>0</v>
      </c>
      <c r="I388" t="n">
        <v>0</v>
      </c>
      <c r="J388" t="n">
        <v>0</v>
      </c>
      <c r="K388" t="n">
        <v>0</v>
      </c>
      <c r="L388" t="n">
        <v>0</v>
      </c>
      <c r="M388" t="n">
        <v>0</v>
      </c>
      <c r="N388" t="n">
        <v>0</v>
      </c>
      <c r="O388" t="n">
        <v>0</v>
      </c>
      <c r="P388" t="n">
        <v>0</v>
      </c>
      <c r="Q388" t="n">
        <v>0</v>
      </c>
      <c r="R388" s="2" t="inlineStr"/>
    </row>
    <row r="389" ht="15" customHeight="1">
      <c r="A389" t="inlineStr">
        <is>
          <t>A 53044-2022</t>
        </is>
      </c>
      <c r="B389" s="1" t="n">
        <v>44876</v>
      </c>
      <c r="C389" s="1" t="n">
        <v>45880</v>
      </c>
      <c r="D389" t="inlineStr">
        <is>
          <t>VÄRMLANDS LÄN</t>
        </is>
      </c>
      <c r="E389" t="inlineStr">
        <is>
          <t>TORSBY</t>
        </is>
      </c>
      <c r="G389" t="n">
        <v>0.2</v>
      </c>
      <c r="H389" t="n">
        <v>0</v>
      </c>
      <c r="I389" t="n">
        <v>0</v>
      </c>
      <c r="J389" t="n">
        <v>0</v>
      </c>
      <c r="K389" t="n">
        <v>0</v>
      </c>
      <c r="L389" t="n">
        <v>0</v>
      </c>
      <c r="M389" t="n">
        <v>0</v>
      </c>
      <c r="N389" t="n">
        <v>0</v>
      </c>
      <c r="O389" t="n">
        <v>0</v>
      </c>
      <c r="P389" t="n">
        <v>0</v>
      </c>
      <c r="Q389" t="n">
        <v>0</v>
      </c>
      <c r="R389" s="2" t="inlineStr"/>
    </row>
    <row r="390" ht="15" customHeight="1">
      <c r="A390" t="inlineStr">
        <is>
          <t>A 33937-2021</t>
        </is>
      </c>
      <c r="B390" s="1" t="n">
        <v>44378.79297453703</v>
      </c>
      <c r="C390" s="1" t="n">
        <v>45880</v>
      </c>
      <c r="D390" t="inlineStr">
        <is>
          <t>VÄRMLANDS LÄN</t>
        </is>
      </c>
      <c r="E390" t="inlineStr">
        <is>
          <t>TORSBY</t>
        </is>
      </c>
      <c r="G390" t="n">
        <v>3.1</v>
      </c>
      <c r="H390" t="n">
        <v>0</v>
      </c>
      <c r="I390" t="n">
        <v>0</v>
      </c>
      <c r="J390" t="n">
        <v>0</v>
      </c>
      <c r="K390" t="n">
        <v>0</v>
      </c>
      <c r="L390" t="n">
        <v>0</v>
      </c>
      <c r="M390" t="n">
        <v>0</v>
      </c>
      <c r="N390" t="n">
        <v>0</v>
      </c>
      <c r="O390" t="n">
        <v>0</v>
      </c>
      <c r="P390" t="n">
        <v>0</v>
      </c>
      <c r="Q390" t="n">
        <v>0</v>
      </c>
      <c r="R390" s="2" t="inlineStr"/>
    </row>
    <row r="391" ht="15" customHeight="1">
      <c r="A391" t="inlineStr">
        <is>
          <t>A 53076-2022</t>
        </is>
      </c>
      <c r="B391" s="1" t="n">
        <v>44876.38284722222</v>
      </c>
      <c r="C391" s="1" t="n">
        <v>45880</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23735-2022</t>
        </is>
      </c>
      <c r="B392" s="1" t="n">
        <v>44722.35103009259</v>
      </c>
      <c r="C392" s="1" t="n">
        <v>45880</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55217-2020</t>
        </is>
      </c>
      <c r="B393" s="1" t="n">
        <v>44130</v>
      </c>
      <c r="C393" s="1" t="n">
        <v>45880</v>
      </c>
      <c r="D393" t="inlineStr">
        <is>
          <t>VÄRMLANDS LÄN</t>
        </is>
      </c>
      <c r="E393" t="inlineStr">
        <is>
          <t>TORSBY</t>
        </is>
      </c>
      <c r="G393" t="n">
        <v>4.2</v>
      </c>
      <c r="H393" t="n">
        <v>0</v>
      </c>
      <c r="I393" t="n">
        <v>0</v>
      </c>
      <c r="J393" t="n">
        <v>0</v>
      </c>
      <c r="K393" t="n">
        <v>0</v>
      </c>
      <c r="L393" t="n">
        <v>0</v>
      </c>
      <c r="M393" t="n">
        <v>0</v>
      </c>
      <c r="N393" t="n">
        <v>0</v>
      </c>
      <c r="O393" t="n">
        <v>0</v>
      </c>
      <c r="P393" t="n">
        <v>0</v>
      </c>
      <c r="Q393" t="n">
        <v>0</v>
      </c>
      <c r="R393" s="2" t="inlineStr"/>
    </row>
    <row r="394" ht="15" customHeight="1">
      <c r="A394" t="inlineStr">
        <is>
          <t>A 45445-2021</t>
        </is>
      </c>
      <c r="B394" s="1" t="n">
        <v>44440</v>
      </c>
      <c r="C394" s="1" t="n">
        <v>45880</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53557-2020</t>
        </is>
      </c>
      <c r="B395" s="1" t="n">
        <v>44104</v>
      </c>
      <c r="C395" s="1" t="n">
        <v>45880</v>
      </c>
      <c r="D395" t="inlineStr">
        <is>
          <t>VÄRMLANDS LÄN</t>
        </is>
      </c>
      <c r="E395" t="inlineStr">
        <is>
          <t>TORSBY</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43052-2021</t>
        </is>
      </c>
      <c r="B396" s="1" t="n">
        <v>44431</v>
      </c>
      <c r="C396" s="1" t="n">
        <v>45880</v>
      </c>
      <c r="D396" t="inlineStr">
        <is>
          <t>VÄRMLANDS LÄN</t>
        </is>
      </c>
      <c r="E396" t="inlineStr">
        <is>
          <t>TORSBY</t>
        </is>
      </c>
      <c r="G396" t="n">
        <v>25.1</v>
      </c>
      <c r="H396" t="n">
        <v>0</v>
      </c>
      <c r="I396" t="n">
        <v>0</v>
      </c>
      <c r="J396" t="n">
        <v>0</v>
      </c>
      <c r="K396" t="n">
        <v>0</v>
      </c>
      <c r="L396" t="n">
        <v>0</v>
      </c>
      <c r="M396" t="n">
        <v>0</v>
      </c>
      <c r="N396" t="n">
        <v>0</v>
      </c>
      <c r="O396" t="n">
        <v>0</v>
      </c>
      <c r="P396" t="n">
        <v>0</v>
      </c>
      <c r="Q396" t="n">
        <v>0</v>
      </c>
      <c r="R396" s="2" t="inlineStr"/>
    </row>
    <row r="397" ht="15" customHeight="1">
      <c r="A397" t="inlineStr">
        <is>
          <t>A 48159-2021</t>
        </is>
      </c>
      <c r="B397" s="1" t="n">
        <v>44449.51302083334</v>
      </c>
      <c r="C397" s="1" t="n">
        <v>45880</v>
      </c>
      <c r="D397" t="inlineStr">
        <is>
          <t>VÄRMLANDS LÄN</t>
        </is>
      </c>
      <c r="E397" t="inlineStr">
        <is>
          <t>TORSBY</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57287-2021</t>
        </is>
      </c>
      <c r="B398" s="1" t="n">
        <v>44482</v>
      </c>
      <c r="C398" s="1" t="n">
        <v>45880</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22671-2021</t>
        </is>
      </c>
      <c r="B399" s="1" t="n">
        <v>44327</v>
      </c>
      <c r="C399" s="1" t="n">
        <v>45880</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36587-2022</t>
        </is>
      </c>
      <c r="B400" s="1" t="n">
        <v>44804.62511574074</v>
      </c>
      <c r="C400" s="1" t="n">
        <v>45880</v>
      </c>
      <c r="D400" t="inlineStr">
        <is>
          <t>VÄRMLANDS LÄN</t>
        </is>
      </c>
      <c r="E400" t="inlineStr">
        <is>
          <t>TORSBY</t>
        </is>
      </c>
      <c r="G400" t="n">
        <v>4.4</v>
      </c>
      <c r="H400" t="n">
        <v>0</v>
      </c>
      <c r="I400" t="n">
        <v>0</v>
      </c>
      <c r="J400" t="n">
        <v>0</v>
      </c>
      <c r="K400" t="n">
        <v>0</v>
      </c>
      <c r="L400" t="n">
        <v>0</v>
      </c>
      <c r="M400" t="n">
        <v>0</v>
      </c>
      <c r="N400" t="n">
        <v>0</v>
      </c>
      <c r="O400" t="n">
        <v>0</v>
      </c>
      <c r="P400" t="n">
        <v>0</v>
      </c>
      <c r="Q400" t="n">
        <v>0</v>
      </c>
      <c r="R400" s="2" t="inlineStr"/>
    </row>
    <row r="401" ht="15" customHeight="1">
      <c r="A401" t="inlineStr">
        <is>
          <t>A 33958-2022</t>
        </is>
      </c>
      <c r="B401" s="1" t="n">
        <v>44790.67916666667</v>
      </c>
      <c r="C401" s="1" t="n">
        <v>45880</v>
      </c>
      <c r="D401" t="inlineStr">
        <is>
          <t>VÄRMLANDS LÄN</t>
        </is>
      </c>
      <c r="E401" t="inlineStr">
        <is>
          <t>TORSBY</t>
        </is>
      </c>
      <c r="G401" t="n">
        <v>13.2</v>
      </c>
      <c r="H401" t="n">
        <v>0</v>
      </c>
      <c r="I401" t="n">
        <v>0</v>
      </c>
      <c r="J401" t="n">
        <v>0</v>
      </c>
      <c r="K401" t="n">
        <v>0</v>
      </c>
      <c r="L401" t="n">
        <v>0</v>
      </c>
      <c r="M401" t="n">
        <v>0</v>
      </c>
      <c r="N401" t="n">
        <v>0</v>
      </c>
      <c r="O401" t="n">
        <v>0</v>
      </c>
      <c r="P401" t="n">
        <v>0</v>
      </c>
      <c r="Q401" t="n">
        <v>0</v>
      </c>
      <c r="R401" s="2" t="inlineStr"/>
    </row>
    <row r="402" ht="15" customHeight="1">
      <c r="A402" t="inlineStr">
        <is>
          <t>A 54029-2021</t>
        </is>
      </c>
      <c r="B402" s="1" t="n">
        <v>44470.37834490741</v>
      </c>
      <c r="C402" s="1" t="n">
        <v>45880</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52141-2020</t>
        </is>
      </c>
      <c r="B403" s="1" t="n">
        <v>44117</v>
      </c>
      <c r="C403" s="1" t="n">
        <v>45880</v>
      </c>
      <c r="D403" t="inlineStr">
        <is>
          <t>VÄRMLANDS LÄN</t>
        </is>
      </c>
      <c r="E403" t="inlineStr">
        <is>
          <t>TORSBY</t>
        </is>
      </c>
      <c r="G403" t="n">
        <v>4.1</v>
      </c>
      <c r="H403" t="n">
        <v>0</v>
      </c>
      <c r="I403" t="n">
        <v>0</v>
      </c>
      <c r="J403" t="n">
        <v>0</v>
      </c>
      <c r="K403" t="n">
        <v>0</v>
      </c>
      <c r="L403" t="n">
        <v>0</v>
      </c>
      <c r="M403" t="n">
        <v>0</v>
      </c>
      <c r="N403" t="n">
        <v>0</v>
      </c>
      <c r="O403" t="n">
        <v>0</v>
      </c>
      <c r="P403" t="n">
        <v>0</v>
      </c>
      <c r="Q403" t="n">
        <v>0</v>
      </c>
      <c r="R403" s="2" t="inlineStr"/>
    </row>
    <row r="404" ht="15" customHeight="1">
      <c r="A404" t="inlineStr">
        <is>
          <t>A 67084-2020</t>
        </is>
      </c>
      <c r="B404" s="1" t="n">
        <v>44179</v>
      </c>
      <c r="C404" s="1" t="n">
        <v>45880</v>
      </c>
      <c r="D404" t="inlineStr">
        <is>
          <t>VÄRMLANDS LÄN</t>
        </is>
      </c>
      <c r="E404" t="inlineStr">
        <is>
          <t>TORSBY</t>
        </is>
      </c>
      <c r="G404" t="n">
        <v>1.9</v>
      </c>
      <c r="H404" t="n">
        <v>0</v>
      </c>
      <c r="I404" t="n">
        <v>0</v>
      </c>
      <c r="J404" t="n">
        <v>0</v>
      </c>
      <c r="K404" t="n">
        <v>0</v>
      </c>
      <c r="L404" t="n">
        <v>0</v>
      </c>
      <c r="M404" t="n">
        <v>0</v>
      </c>
      <c r="N404" t="n">
        <v>0</v>
      </c>
      <c r="O404" t="n">
        <v>0</v>
      </c>
      <c r="P404" t="n">
        <v>0</v>
      </c>
      <c r="Q404" t="n">
        <v>0</v>
      </c>
      <c r="R404" s="2" t="inlineStr"/>
    </row>
    <row r="405" ht="15" customHeight="1">
      <c r="A405" t="inlineStr">
        <is>
          <t>A 64434-2020</t>
        </is>
      </c>
      <c r="B405" s="1" t="n">
        <v>44168</v>
      </c>
      <c r="C405" s="1" t="n">
        <v>45880</v>
      </c>
      <c r="D405" t="inlineStr">
        <is>
          <t>VÄRMLANDS LÄN</t>
        </is>
      </c>
      <c r="E405" t="inlineStr">
        <is>
          <t>TORSBY</t>
        </is>
      </c>
      <c r="G405" t="n">
        <v>7.7</v>
      </c>
      <c r="H405" t="n">
        <v>0</v>
      </c>
      <c r="I405" t="n">
        <v>0</v>
      </c>
      <c r="J405" t="n">
        <v>0</v>
      </c>
      <c r="K405" t="n">
        <v>0</v>
      </c>
      <c r="L405" t="n">
        <v>0</v>
      </c>
      <c r="M405" t="n">
        <v>0</v>
      </c>
      <c r="N405" t="n">
        <v>0</v>
      </c>
      <c r="O405" t="n">
        <v>0</v>
      </c>
      <c r="P405" t="n">
        <v>0</v>
      </c>
      <c r="Q405" t="n">
        <v>0</v>
      </c>
      <c r="R405" s="2" t="inlineStr"/>
    </row>
    <row r="406" ht="15" customHeight="1">
      <c r="A406" t="inlineStr">
        <is>
          <t>A 20182-2021</t>
        </is>
      </c>
      <c r="B406" s="1" t="n">
        <v>44312</v>
      </c>
      <c r="C406" s="1" t="n">
        <v>45880</v>
      </c>
      <c r="D406" t="inlineStr">
        <is>
          <t>VÄRMLANDS LÄN</t>
        </is>
      </c>
      <c r="E406" t="inlineStr">
        <is>
          <t>TORSBY</t>
        </is>
      </c>
      <c r="G406" t="n">
        <v>14.4</v>
      </c>
      <c r="H406" t="n">
        <v>0</v>
      </c>
      <c r="I406" t="n">
        <v>0</v>
      </c>
      <c r="J406" t="n">
        <v>0</v>
      </c>
      <c r="K406" t="n">
        <v>0</v>
      </c>
      <c r="L406" t="n">
        <v>0</v>
      </c>
      <c r="M406" t="n">
        <v>0</v>
      </c>
      <c r="N406" t="n">
        <v>0</v>
      </c>
      <c r="O406" t="n">
        <v>0</v>
      </c>
      <c r="P406" t="n">
        <v>0</v>
      </c>
      <c r="Q406" t="n">
        <v>0</v>
      </c>
      <c r="R406" s="2" t="inlineStr"/>
    </row>
    <row r="407" ht="15" customHeight="1">
      <c r="A407" t="inlineStr">
        <is>
          <t>A 997-2022</t>
        </is>
      </c>
      <c r="B407" s="1" t="n">
        <v>44571</v>
      </c>
      <c r="C407" s="1" t="n">
        <v>45880</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49983-2022</t>
        </is>
      </c>
      <c r="B408" s="1" t="n">
        <v>44865</v>
      </c>
      <c r="C408" s="1" t="n">
        <v>45880</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26558-2021</t>
        </is>
      </c>
      <c r="B409" s="1" t="n">
        <v>44348</v>
      </c>
      <c r="C409" s="1" t="n">
        <v>45880</v>
      </c>
      <c r="D409" t="inlineStr">
        <is>
          <t>VÄRMLANDS LÄN</t>
        </is>
      </c>
      <c r="E409" t="inlineStr">
        <is>
          <t>TORSBY</t>
        </is>
      </c>
      <c r="G409" t="n">
        <v>19.7</v>
      </c>
      <c r="H409" t="n">
        <v>0</v>
      </c>
      <c r="I409" t="n">
        <v>0</v>
      </c>
      <c r="J409" t="n">
        <v>0</v>
      </c>
      <c r="K409" t="n">
        <v>0</v>
      </c>
      <c r="L409" t="n">
        <v>0</v>
      </c>
      <c r="M409" t="n">
        <v>0</v>
      </c>
      <c r="N409" t="n">
        <v>0</v>
      </c>
      <c r="O409" t="n">
        <v>0</v>
      </c>
      <c r="P409" t="n">
        <v>0</v>
      </c>
      <c r="Q409" t="n">
        <v>0</v>
      </c>
      <c r="R409" s="2" t="inlineStr"/>
    </row>
    <row r="410" ht="15" customHeight="1">
      <c r="A410" t="inlineStr">
        <is>
          <t>A 36901-2020</t>
        </is>
      </c>
      <c r="B410" s="1" t="n">
        <v>44053</v>
      </c>
      <c r="C410" s="1" t="n">
        <v>45880</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40218-2020</t>
        </is>
      </c>
      <c r="B411" s="1" t="n">
        <v>44064</v>
      </c>
      <c r="C411" s="1" t="n">
        <v>45880</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38699-2022</t>
        </is>
      </c>
      <c r="B412" s="1" t="n">
        <v>44814.53259259259</v>
      </c>
      <c r="C412" s="1" t="n">
        <v>45880</v>
      </c>
      <c r="D412" t="inlineStr">
        <is>
          <t>VÄRMLANDS LÄN</t>
        </is>
      </c>
      <c r="E412" t="inlineStr">
        <is>
          <t>TORSBY</t>
        </is>
      </c>
      <c r="F412" t="inlineStr">
        <is>
          <t>Bergvik skog väst AB</t>
        </is>
      </c>
      <c r="G412" t="n">
        <v>22.6</v>
      </c>
      <c r="H412" t="n">
        <v>0</v>
      </c>
      <c r="I412" t="n">
        <v>0</v>
      </c>
      <c r="J412" t="n">
        <v>0</v>
      </c>
      <c r="K412" t="n">
        <v>0</v>
      </c>
      <c r="L412" t="n">
        <v>0</v>
      </c>
      <c r="M412" t="n">
        <v>0</v>
      </c>
      <c r="N412" t="n">
        <v>0</v>
      </c>
      <c r="O412" t="n">
        <v>0</v>
      </c>
      <c r="P412" t="n">
        <v>0</v>
      </c>
      <c r="Q412" t="n">
        <v>0</v>
      </c>
      <c r="R412" s="2" t="inlineStr"/>
    </row>
    <row r="413" ht="15" customHeight="1">
      <c r="A413" t="inlineStr">
        <is>
          <t>A 55401-2020</t>
        </is>
      </c>
      <c r="B413" s="1" t="n">
        <v>44131</v>
      </c>
      <c r="C413" s="1" t="n">
        <v>45880</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45880</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41808-2021</t>
        </is>
      </c>
      <c r="B415" s="1" t="n">
        <v>44425</v>
      </c>
      <c r="C415" s="1" t="n">
        <v>45880</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9775-2021</t>
        </is>
      </c>
      <c r="B416" s="1" t="n">
        <v>44252</v>
      </c>
      <c r="C416" s="1" t="n">
        <v>45880</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37302-2020</t>
        </is>
      </c>
      <c r="B417" s="1" t="n">
        <v>44055</v>
      </c>
      <c r="C417" s="1" t="n">
        <v>45880</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65369-2020</t>
        </is>
      </c>
      <c r="B418" s="1" t="n">
        <v>44169</v>
      </c>
      <c r="C418" s="1" t="n">
        <v>45880</v>
      </c>
      <c r="D418" t="inlineStr">
        <is>
          <t>VÄRMLANDS LÄN</t>
        </is>
      </c>
      <c r="E418" t="inlineStr">
        <is>
          <t>TORSBY</t>
        </is>
      </c>
      <c r="G418" t="n">
        <v>32.5</v>
      </c>
      <c r="H418" t="n">
        <v>0</v>
      </c>
      <c r="I418" t="n">
        <v>0</v>
      </c>
      <c r="J418" t="n">
        <v>0</v>
      </c>
      <c r="K418" t="n">
        <v>0</v>
      </c>
      <c r="L418" t="n">
        <v>0</v>
      </c>
      <c r="M418" t="n">
        <v>0</v>
      </c>
      <c r="N418" t="n">
        <v>0</v>
      </c>
      <c r="O418" t="n">
        <v>0</v>
      </c>
      <c r="P418" t="n">
        <v>0</v>
      </c>
      <c r="Q418" t="n">
        <v>0</v>
      </c>
      <c r="R418" s="2" t="inlineStr"/>
    </row>
    <row r="419" ht="15" customHeight="1">
      <c r="A419" t="inlineStr">
        <is>
          <t>A 52900-2021</t>
        </is>
      </c>
      <c r="B419" s="1" t="n">
        <v>44467</v>
      </c>
      <c r="C419" s="1" t="n">
        <v>45880</v>
      </c>
      <c r="D419" t="inlineStr">
        <is>
          <t>VÄRMLANDS LÄN</t>
        </is>
      </c>
      <c r="E419" t="inlineStr">
        <is>
          <t>TORSBY</t>
        </is>
      </c>
      <c r="G419" t="n">
        <v>3.8</v>
      </c>
      <c r="H419" t="n">
        <v>0</v>
      </c>
      <c r="I419" t="n">
        <v>0</v>
      </c>
      <c r="J419" t="n">
        <v>0</v>
      </c>
      <c r="K419" t="n">
        <v>0</v>
      </c>
      <c r="L419" t="n">
        <v>0</v>
      </c>
      <c r="M419" t="n">
        <v>0</v>
      </c>
      <c r="N419" t="n">
        <v>0</v>
      </c>
      <c r="O419" t="n">
        <v>0</v>
      </c>
      <c r="P419" t="n">
        <v>0</v>
      </c>
      <c r="Q419" t="n">
        <v>0</v>
      </c>
      <c r="R419" s="2" t="inlineStr"/>
    </row>
    <row r="420" ht="15" customHeight="1">
      <c r="A420" t="inlineStr">
        <is>
          <t>A 67734-2020</t>
        </is>
      </c>
      <c r="B420" s="1" t="n">
        <v>44182</v>
      </c>
      <c r="C420" s="1" t="n">
        <v>45880</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7898-2021</t>
        </is>
      </c>
      <c r="B421" s="1" t="n">
        <v>44243</v>
      </c>
      <c r="C421" s="1" t="n">
        <v>45880</v>
      </c>
      <c r="D421" t="inlineStr">
        <is>
          <t>VÄRMLANDS LÄN</t>
        </is>
      </c>
      <c r="E421" t="inlineStr">
        <is>
          <t>TORSBY</t>
        </is>
      </c>
      <c r="G421" t="n">
        <v>1.7</v>
      </c>
      <c r="H421" t="n">
        <v>0</v>
      </c>
      <c r="I421" t="n">
        <v>0</v>
      </c>
      <c r="J421" t="n">
        <v>0</v>
      </c>
      <c r="K421" t="n">
        <v>0</v>
      </c>
      <c r="L421" t="n">
        <v>0</v>
      </c>
      <c r="M421" t="n">
        <v>0</v>
      </c>
      <c r="N421" t="n">
        <v>0</v>
      </c>
      <c r="O421" t="n">
        <v>0</v>
      </c>
      <c r="P421" t="n">
        <v>0</v>
      </c>
      <c r="Q421" t="n">
        <v>0</v>
      </c>
      <c r="R421" s="2" t="inlineStr"/>
    </row>
    <row r="422" ht="15" customHeight="1">
      <c r="A422" t="inlineStr">
        <is>
          <t>A 29509-2022</t>
        </is>
      </c>
      <c r="B422" s="1" t="n">
        <v>44753</v>
      </c>
      <c r="C422" s="1" t="n">
        <v>45880</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36589-2021</t>
        </is>
      </c>
      <c r="B423" s="1" t="n">
        <v>44391</v>
      </c>
      <c r="C423" s="1" t="n">
        <v>45880</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67913-2021</t>
        </is>
      </c>
      <c r="B424" s="1" t="n">
        <v>44525.60017361111</v>
      </c>
      <c r="C424" s="1" t="n">
        <v>45880</v>
      </c>
      <c r="D424" t="inlineStr">
        <is>
          <t>VÄRMLANDS LÄN</t>
        </is>
      </c>
      <c r="E424" t="inlineStr">
        <is>
          <t>TORSBY</t>
        </is>
      </c>
      <c r="F424" t="inlineStr">
        <is>
          <t>Bergvik skog väst AB</t>
        </is>
      </c>
      <c r="G424" t="n">
        <v>8</v>
      </c>
      <c r="H424" t="n">
        <v>0</v>
      </c>
      <c r="I424" t="n">
        <v>0</v>
      </c>
      <c r="J424" t="n">
        <v>0</v>
      </c>
      <c r="K424" t="n">
        <v>0</v>
      </c>
      <c r="L424" t="n">
        <v>0</v>
      </c>
      <c r="M424" t="n">
        <v>0</v>
      </c>
      <c r="N424" t="n">
        <v>0</v>
      </c>
      <c r="O424" t="n">
        <v>0</v>
      </c>
      <c r="P424" t="n">
        <v>0</v>
      </c>
      <c r="Q424" t="n">
        <v>0</v>
      </c>
      <c r="R424" s="2" t="inlineStr"/>
    </row>
    <row r="425" ht="15" customHeight="1">
      <c r="A425" t="inlineStr">
        <is>
          <t>A 39217-2022</t>
        </is>
      </c>
      <c r="B425" s="1" t="n">
        <v>44817.57174768519</v>
      </c>
      <c r="C425" s="1" t="n">
        <v>45880</v>
      </c>
      <c r="D425" t="inlineStr">
        <is>
          <t>VÄRMLANDS LÄN</t>
        </is>
      </c>
      <c r="E425" t="inlineStr">
        <is>
          <t>TORSBY</t>
        </is>
      </c>
      <c r="G425" t="n">
        <v>4.6</v>
      </c>
      <c r="H425" t="n">
        <v>0</v>
      </c>
      <c r="I425" t="n">
        <v>0</v>
      </c>
      <c r="J425" t="n">
        <v>0</v>
      </c>
      <c r="K425" t="n">
        <v>0</v>
      </c>
      <c r="L425" t="n">
        <v>0</v>
      </c>
      <c r="M425" t="n">
        <v>0</v>
      </c>
      <c r="N425" t="n">
        <v>0</v>
      </c>
      <c r="O425" t="n">
        <v>0</v>
      </c>
      <c r="P425" t="n">
        <v>0</v>
      </c>
      <c r="Q425" t="n">
        <v>0</v>
      </c>
      <c r="R425" s="2" t="inlineStr"/>
    </row>
    <row r="426" ht="15" customHeight="1">
      <c r="A426" t="inlineStr">
        <is>
          <t>A 39221-2022</t>
        </is>
      </c>
      <c r="B426" s="1" t="n">
        <v>44817.57484953704</v>
      </c>
      <c r="C426" s="1" t="n">
        <v>45880</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20907-2022</t>
        </is>
      </c>
      <c r="B427" s="1" t="n">
        <v>44701.60076388889</v>
      </c>
      <c r="C427" s="1" t="n">
        <v>45880</v>
      </c>
      <c r="D427" t="inlineStr">
        <is>
          <t>VÄRMLANDS LÄN</t>
        </is>
      </c>
      <c r="E427" t="inlineStr">
        <is>
          <t>TORSBY</t>
        </is>
      </c>
      <c r="G427" t="n">
        <v>2.3</v>
      </c>
      <c r="H427" t="n">
        <v>0</v>
      </c>
      <c r="I427" t="n">
        <v>0</v>
      </c>
      <c r="J427" t="n">
        <v>0</v>
      </c>
      <c r="K427" t="n">
        <v>0</v>
      </c>
      <c r="L427" t="n">
        <v>0</v>
      </c>
      <c r="M427" t="n">
        <v>0</v>
      </c>
      <c r="N427" t="n">
        <v>0</v>
      </c>
      <c r="O427" t="n">
        <v>0</v>
      </c>
      <c r="P427" t="n">
        <v>0</v>
      </c>
      <c r="Q427" t="n">
        <v>0</v>
      </c>
      <c r="R427" s="2" t="inlineStr"/>
    </row>
    <row r="428" ht="15" customHeight="1">
      <c r="A428" t="inlineStr">
        <is>
          <t>A 5050-2021</t>
        </is>
      </c>
      <c r="B428" s="1" t="n">
        <v>44228.5018287037</v>
      </c>
      <c r="C428" s="1" t="n">
        <v>45880</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40994-2020</t>
        </is>
      </c>
      <c r="B429" s="1" t="n">
        <v>44070</v>
      </c>
      <c r="C429" s="1" t="n">
        <v>45880</v>
      </c>
      <c r="D429" t="inlineStr">
        <is>
          <t>VÄRMLANDS LÄN</t>
        </is>
      </c>
      <c r="E429" t="inlineStr">
        <is>
          <t>TORSBY</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67147-2021</t>
        </is>
      </c>
      <c r="B430" s="1" t="n">
        <v>44523</v>
      </c>
      <c r="C430" s="1" t="n">
        <v>45880</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63251-2021</t>
        </is>
      </c>
      <c r="B431" s="1" t="n">
        <v>44508.37935185185</v>
      </c>
      <c r="C431" s="1" t="n">
        <v>45880</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7543-2022</t>
        </is>
      </c>
      <c r="B432" s="1" t="n">
        <v>44607</v>
      </c>
      <c r="C432" s="1" t="n">
        <v>45880</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62039-2021</t>
        </is>
      </c>
      <c r="B433" s="1" t="n">
        <v>44502</v>
      </c>
      <c r="C433" s="1" t="n">
        <v>45880</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24150-2021</t>
        </is>
      </c>
      <c r="B434" s="1" t="n">
        <v>44336</v>
      </c>
      <c r="C434" s="1" t="n">
        <v>45880</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54916-2020</t>
        </is>
      </c>
      <c r="B435" s="1" t="n">
        <v>44127</v>
      </c>
      <c r="C435" s="1" t="n">
        <v>45880</v>
      </c>
      <c r="D435" t="inlineStr">
        <is>
          <t>VÄRMLANDS LÄN</t>
        </is>
      </c>
      <c r="E435" t="inlineStr">
        <is>
          <t>TORSBY</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4960-2022</t>
        </is>
      </c>
      <c r="B436" s="1" t="n">
        <v>44593</v>
      </c>
      <c r="C436" s="1" t="n">
        <v>45880</v>
      </c>
      <c r="D436" t="inlineStr">
        <is>
          <t>VÄRMLANDS LÄN</t>
        </is>
      </c>
      <c r="E436" t="inlineStr">
        <is>
          <t>TORSBY</t>
        </is>
      </c>
      <c r="G436" t="n">
        <v>4.8</v>
      </c>
      <c r="H436" t="n">
        <v>0</v>
      </c>
      <c r="I436" t="n">
        <v>0</v>
      </c>
      <c r="J436" t="n">
        <v>0</v>
      </c>
      <c r="K436" t="n">
        <v>0</v>
      </c>
      <c r="L436" t="n">
        <v>0</v>
      </c>
      <c r="M436" t="n">
        <v>0</v>
      </c>
      <c r="N436" t="n">
        <v>0</v>
      </c>
      <c r="O436" t="n">
        <v>0</v>
      </c>
      <c r="P436" t="n">
        <v>0</v>
      </c>
      <c r="Q436" t="n">
        <v>0</v>
      </c>
      <c r="R436" s="2" t="inlineStr"/>
    </row>
    <row r="437" ht="15" customHeight="1">
      <c r="A437" t="inlineStr">
        <is>
          <t>A 40015-2020</t>
        </is>
      </c>
      <c r="B437" s="1" t="n">
        <v>44067</v>
      </c>
      <c r="C437" s="1" t="n">
        <v>45880</v>
      </c>
      <c r="D437" t="inlineStr">
        <is>
          <t>VÄRMLANDS LÄN</t>
        </is>
      </c>
      <c r="E437" t="inlineStr">
        <is>
          <t>TORSBY</t>
        </is>
      </c>
      <c r="G437" t="n">
        <v>5.7</v>
      </c>
      <c r="H437" t="n">
        <v>0</v>
      </c>
      <c r="I437" t="n">
        <v>0</v>
      </c>
      <c r="J437" t="n">
        <v>0</v>
      </c>
      <c r="K437" t="n">
        <v>0</v>
      </c>
      <c r="L437" t="n">
        <v>0</v>
      </c>
      <c r="M437" t="n">
        <v>0</v>
      </c>
      <c r="N437" t="n">
        <v>0</v>
      </c>
      <c r="O437" t="n">
        <v>0</v>
      </c>
      <c r="P437" t="n">
        <v>0</v>
      </c>
      <c r="Q437" t="n">
        <v>0</v>
      </c>
      <c r="R437" s="2" t="inlineStr"/>
    </row>
    <row r="438" ht="15" customHeight="1">
      <c r="A438" t="inlineStr">
        <is>
          <t>A 66103-2021</t>
        </is>
      </c>
      <c r="B438" s="1" t="n">
        <v>44517</v>
      </c>
      <c r="C438" s="1" t="n">
        <v>45880</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13698-2022</t>
        </is>
      </c>
      <c r="B439" s="1" t="n">
        <v>44648</v>
      </c>
      <c r="C439" s="1" t="n">
        <v>45880</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51490-2022</t>
        </is>
      </c>
      <c r="B440" s="1" t="n">
        <v>44869.59972222222</v>
      </c>
      <c r="C440" s="1" t="n">
        <v>45880</v>
      </c>
      <c r="D440" t="inlineStr">
        <is>
          <t>VÄRMLANDS LÄN</t>
        </is>
      </c>
      <c r="E440" t="inlineStr">
        <is>
          <t>TORSBY</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71084-2021</t>
        </is>
      </c>
      <c r="B441" s="1" t="n">
        <v>44538.96543981481</v>
      </c>
      <c r="C441" s="1" t="n">
        <v>45880</v>
      </c>
      <c r="D441" t="inlineStr">
        <is>
          <t>VÄRMLANDS LÄN</t>
        </is>
      </c>
      <c r="E441" t="inlineStr">
        <is>
          <t>TORSBY</t>
        </is>
      </c>
      <c r="G441" t="n">
        <v>1.8</v>
      </c>
      <c r="H441" t="n">
        <v>0</v>
      </c>
      <c r="I441" t="n">
        <v>0</v>
      </c>
      <c r="J441" t="n">
        <v>0</v>
      </c>
      <c r="K441" t="n">
        <v>0</v>
      </c>
      <c r="L441" t="n">
        <v>0</v>
      </c>
      <c r="M441" t="n">
        <v>0</v>
      </c>
      <c r="N441" t="n">
        <v>0</v>
      </c>
      <c r="O441" t="n">
        <v>0</v>
      </c>
      <c r="P441" t="n">
        <v>0</v>
      </c>
      <c r="Q441" t="n">
        <v>0</v>
      </c>
      <c r="R441" s="2" t="inlineStr"/>
    </row>
    <row r="442" ht="15" customHeight="1">
      <c r="A442" t="inlineStr">
        <is>
          <t>A 8910-2021</t>
        </is>
      </c>
      <c r="B442" s="1" t="n">
        <v>44246</v>
      </c>
      <c r="C442" s="1" t="n">
        <v>45880</v>
      </c>
      <c r="D442" t="inlineStr">
        <is>
          <t>VÄRMLANDS LÄN</t>
        </is>
      </c>
      <c r="E442" t="inlineStr">
        <is>
          <t>TORSBY</t>
        </is>
      </c>
      <c r="G442" t="n">
        <v>3.7</v>
      </c>
      <c r="H442" t="n">
        <v>0</v>
      </c>
      <c r="I442" t="n">
        <v>0</v>
      </c>
      <c r="J442" t="n">
        <v>0</v>
      </c>
      <c r="K442" t="n">
        <v>0</v>
      </c>
      <c r="L442" t="n">
        <v>0</v>
      </c>
      <c r="M442" t="n">
        <v>0</v>
      </c>
      <c r="N442" t="n">
        <v>0</v>
      </c>
      <c r="O442" t="n">
        <v>0</v>
      </c>
      <c r="P442" t="n">
        <v>0</v>
      </c>
      <c r="Q442" t="n">
        <v>0</v>
      </c>
      <c r="R442" s="2" t="inlineStr"/>
    </row>
    <row r="443" ht="15" customHeight="1">
      <c r="A443" t="inlineStr">
        <is>
          <t>A 3387-2025</t>
        </is>
      </c>
      <c r="B443" s="1" t="n">
        <v>45680</v>
      </c>
      <c r="C443" s="1" t="n">
        <v>45880</v>
      </c>
      <c r="D443" t="inlineStr">
        <is>
          <t>VÄRMLANDS LÄN</t>
        </is>
      </c>
      <c r="E443" t="inlineStr">
        <is>
          <t>TORSBY</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46221-2023</t>
        </is>
      </c>
      <c r="B444" s="1" t="n">
        <v>45196.66636574074</v>
      </c>
      <c r="C444" s="1" t="n">
        <v>45880</v>
      </c>
      <c r="D444" t="inlineStr">
        <is>
          <t>VÄRMLANDS LÄN</t>
        </is>
      </c>
      <c r="E444" t="inlineStr">
        <is>
          <t>TORSBY</t>
        </is>
      </c>
      <c r="G444" t="n">
        <v>6.5</v>
      </c>
      <c r="H444" t="n">
        <v>0</v>
      </c>
      <c r="I444" t="n">
        <v>0</v>
      </c>
      <c r="J444" t="n">
        <v>0</v>
      </c>
      <c r="K444" t="n">
        <v>0</v>
      </c>
      <c r="L444" t="n">
        <v>0</v>
      </c>
      <c r="M444" t="n">
        <v>0</v>
      </c>
      <c r="N444" t="n">
        <v>0</v>
      </c>
      <c r="O444" t="n">
        <v>0</v>
      </c>
      <c r="P444" t="n">
        <v>0</v>
      </c>
      <c r="Q444" t="n">
        <v>0</v>
      </c>
      <c r="R444" s="2" t="inlineStr"/>
    </row>
    <row r="445" ht="15" customHeight="1">
      <c r="A445" t="inlineStr">
        <is>
          <t>A 73165-2021</t>
        </is>
      </c>
      <c r="B445" s="1" t="n">
        <v>44550</v>
      </c>
      <c r="C445" s="1" t="n">
        <v>45880</v>
      </c>
      <c r="D445" t="inlineStr">
        <is>
          <t>VÄRMLANDS LÄN</t>
        </is>
      </c>
      <c r="E445" t="inlineStr">
        <is>
          <t>TORSBY</t>
        </is>
      </c>
      <c r="G445" t="n">
        <v>1.8</v>
      </c>
      <c r="H445" t="n">
        <v>0</v>
      </c>
      <c r="I445" t="n">
        <v>0</v>
      </c>
      <c r="J445" t="n">
        <v>0</v>
      </c>
      <c r="K445" t="n">
        <v>0</v>
      </c>
      <c r="L445" t="n">
        <v>0</v>
      </c>
      <c r="M445" t="n">
        <v>0</v>
      </c>
      <c r="N445" t="n">
        <v>0</v>
      </c>
      <c r="O445" t="n">
        <v>0</v>
      </c>
      <c r="P445" t="n">
        <v>0</v>
      </c>
      <c r="Q445" t="n">
        <v>0</v>
      </c>
      <c r="R445" s="2" t="inlineStr"/>
    </row>
    <row r="446" ht="15" customHeight="1">
      <c r="A446" t="inlineStr">
        <is>
          <t>A 12440-2025</t>
        </is>
      </c>
      <c r="B446" s="1" t="n">
        <v>45730</v>
      </c>
      <c r="C446" s="1" t="n">
        <v>45880</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56021-2023</t>
        </is>
      </c>
      <c r="B447" s="1" t="n">
        <v>45240</v>
      </c>
      <c r="C447" s="1" t="n">
        <v>45880</v>
      </c>
      <c r="D447" t="inlineStr">
        <is>
          <t>VÄRMLANDS LÄN</t>
        </is>
      </c>
      <c r="E447" t="inlineStr">
        <is>
          <t>TORSBY</t>
        </is>
      </c>
      <c r="G447" t="n">
        <v>2.1</v>
      </c>
      <c r="H447" t="n">
        <v>0</v>
      </c>
      <c r="I447" t="n">
        <v>0</v>
      </c>
      <c r="J447" t="n">
        <v>0</v>
      </c>
      <c r="K447" t="n">
        <v>0</v>
      </c>
      <c r="L447" t="n">
        <v>0</v>
      </c>
      <c r="M447" t="n">
        <v>0</v>
      </c>
      <c r="N447" t="n">
        <v>0</v>
      </c>
      <c r="O447" t="n">
        <v>0</v>
      </c>
      <c r="P447" t="n">
        <v>0</v>
      </c>
      <c r="Q447" t="n">
        <v>0</v>
      </c>
      <c r="R447" s="2" t="inlineStr"/>
    </row>
    <row r="448" ht="15" customHeight="1">
      <c r="A448" t="inlineStr">
        <is>
          <t>A 37081-2023</t>
        </is>
      </c>
      <c r="B448" s="1" t="n">
        <v>45155</v>
      </c>
      <c r="C448" s="1" t="n">
        <v>45880</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47707-2020</t>
        </is>
      </c>
      <c r="B449" s="1" t="n">
        <v>44096</v>
      </c>
      <c r="C449" s="1" t="n">
        <v>45880</v>
      </c>
      <c r="D449" t="inlineStr">
        <is>
          <t>VÄRMLANDS LÄN</t>
        </is>
      </c>
      <c r="E449" t="inlineStr">
        <is>
          <t>TORSBY</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47709-2020</t>
        </is>
      </c>
      <c r="B450" s="1" t="n">
        <v>44096</v>
      </c>
      <c r="C450" s="1" t="n">
        <v>45880</v>
      </c>
      <c r="D450" t="inlineStr">
        <is>
          <t>VÄRMLANDS LÄN</t>
        </is>
      </c>
      <c r="E450" t="inlineStr">
        <is>
          <t>TORSBY</t>
        </is>
      </c>
      <c r="F450" t="inlineStr">
        <is>
          <t>Kyrkan</t>
        </is>
      </c>
      <c r="G450" t="n">
        <v>1.8</v>
      </c>
      <c r="H450" t="n">
        <v>0</v>
      </c>
      <c r="I450" t="n">
        <v>0</v>
      </c>
      <c r="J450" t="n">
        <v>0</v>
      </c>
      <c r="K450" t="n">
        <v>0</v>
      </c>
      <c r="L450" t="n">
        <v>0</v>
      </c>
      <c r="M450" t="n">
        <v>0</v>
      </c>
      <c r="N450" t="n">
        <v>0</v>
      </c>
      <c r="O450" t="n">
        <v>0</v>
      </c>
      <c r="P450" t="n">
        <v>0</v>
      </c>
      <c r="Q450" t="n">
        <v>0</v>
      </c>
      <c r="R450" s="2" t="inlineStr"/>
    </row>
    <row r="451" ht="15" customHeight="1">
      <c r="A451" t="inlineStr">
        <is>
          <t>A 57980-2023</t>
        </is>
      </c>
      <c r="B451" s="1" t="n">
        <v>45247.59328703704</v>
      </c>
      <c r="C451" s="1" t="n">
        <v>45880</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14613-2025</t>
        </is>
      </c>
      <c r="B452" s="1" t="n">
        <v>45742.39615740741</v>
      </c>
      <c r="C452" s="1" t="n">
        <v>45880</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19662-2025</t>
        </is>
      </c>
      <c r="B453" s="1" t="n">
        <v>45770</v>
      </c>
      <c r="C453" s="1" t="n">
        <v>45880</v>
      </c>
      <c r="D453" t="inlineStr">
        <is>
          <t>VÄRMLANDS LÄN</t>
        </is>
      </c>
      <c r="E453" t="inlineStr">
        <is>
          <t>TORSBY</t>
        </is>
      </c>
      <c r="F453" t="inlineStr">
        <is>
          <t>Bergvik skog väst AB</t>
        </is>
      </c>
      <c r="G453" t="n">
        <v>11.6</v>
      </c>
      <c r="H453" t="n">
        <v>0</v>
      </c>
      <c r="I453" t="n">
        <v>0</v>
      </c>
      <c r="J453" t="n">
        <v>0</v>
      </c>
      <c r="K453" t="n">
        <v>0</v>
      </c>
      <c r="L453" t="n">
        <v>0</v>
      </c>
      <c r="M453" t="n">
        <v>0</v>
      </c>
      <c r="N453" t="n">
        <v>0</v>
      </c>
      <c r="O453" t="n">
        <v>0</v>
      </c>
      <c r="P453" t="n">
        <v>0</v>
      </c>
      <c r="Q453" t="n">
        <v>0</v>
      </c>
      <c r="R453" s="2" t="inlineStr"/>
    </row>
    <row r="454" ht="15" customHeight="1">
      <c r="A454" t="inlineStr">
        <is>
          <t>A 19763-2025</t>
        </is>
      </c>
      <c r="B454" s="1" t="n">
        <v>45771.40707175926</v>
      </c>
      <c r="C454" s="1" t="n">
        <v>45880</v>
      </c>
      <c r="D454" t="inlineStr">
        <is>
          <t>VÄRMLANDS LÄN</t>
        </is>
      </c>
      <c r="E454" t="inlineStr">
        <is>
          <t>TORSBY</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19159-2025</t>
        </is>
      </c>
      <c r="B455" s="1" t="n">
        <v>45769</v>
      </c>
      <c r="C455" s="1" t="n">
        <v>45880</v>
      </c>
      <c r="D455" t="inlineStr">
        <is>
          <t>VÄRMLANDS LÄN</t>
        </is>
      </c>
      <c r="E455" t="inlineStr">
        <is>
          <t>TORSBY</t>
        </is>
      </c>
      <c r="F455" t="inlineStr">
        <is>
          <t>Bergvik skog väst AB</t>
        </is>
      </c>
      <c r="G455" t="n">
        <v>10.2</v>
      </c>
      <c r="H455" t="n">
        <v>0</v>
      </c>
      <c r="I455" t="n">
        <v>0</v>
      </c>
      <c r="J455" t="n">
        <v>0</v>
      </c>
      <c r="K455" t="n">
        <v>0</v>
      </c>
      <c r="L455" t="n">
        <v>0</v>
      </c>
      <c r="M455" t="n">
        <v>0</v>
      </c>
      <c r="N455" t="n">
        <v>0</v>
      </c>
      <c r="O455" t="n">
        <v>0</v>
      </c>
      <c r="P455" t="n">
        <v>0</v>
      </c>
      <c r="Q455" t="n">
        <v>0</v>
      </c>
      <c r="R455" s="2" t="inlineStr"/>
    </row>
    <row r="456" ht="15" customHeight="1">
      <c r="A456" t="inlineStr">
        <is>
          <t>A 2390-2025</t>
        </is>
      </c>
      <c r="B456" s="1" t="n">
        <v>45674.32071759259</v>
      </c>
      <c r="C456" s="1" t="n">
        <v>45880</v>
      </c>
      <c r="D456" t="inlineStr">
        <is>
          <t>VÄRMLANDS LÄN</t>
        </is>
      </c>
      <c r="E456" t="inlineStr">
        <is>
          <t>TORSBY</t>
        </is>
      </c>
      <c r="G456" t="n">
        <v>4.6</v>
      </c>
      <c r="H456" t="n">
        <v>0</v>
      </c>
      <c r="I456" t="n">
        <v>0</v>
      </c>
      <c r="J456" t="n">
        <v>0</v>
      </c>
      <c r="K456" t="n">
        <v>0</v>
      </c>
      <c r="L456" t="n">
        <v>0</v>
      </c>
      <c r="M456" t="n">
        <v>0</v>
      </c>
      <c r="N456" t="n">
        <v>0</v>
      </c>
      <c r="O456" t="n">
        <v>0</v>
      </c>
      <c r="P456" t="n">
        <v>0</v>
      </c>
      <c r="Q456" t="n">
        <v>0</v>
      </c>
      <c r="R456" s="2" t="inlineStr"/>
    </row>
    <row r="457" ht="15" customHeight="1">
      <c r="A457" t="inlineStr">
        <is>
          <t>A 40180-2024</t>
        </is>
      </c>
      <c r="B457" s="1" t="n">
        <v>45554.55413194445</v>
      </c>
      <c r="C457" s="1" t="n">
        <v>45880</v>
      </c>
      <c r="D457" t="inlineStr">
        <is>
          <t>VÄRMLANDS LÄN</t>
        </is>
      </c>
      <c r="E457" t="inlineStr">
        <is>
          <t>TORSBY</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68136-2021</t>
        </is>
      </c>
      <c r="B458" s="1" t="n">
        <v>44526.40984953703</v>
      </c>
      <c r="C458" s="1" t="n">
        <v>45880</v>
      </c>
      <c r="D458" t="inlineStr">
        <is>
          <t>VÄRMLANDS LÄN</t>
        </is>
      </c>
      <c r="E458" t="inlineStr">
        <is>
          <t>TORSBY</t>
        </is>
      </c>
      <c r="G458" t="n">
        <v>2.9</v>
      </c>
      <c r="H458" t="n">
        <v>0</v>
      </c>
      <c r="I458" t="n">
        <v>0</v>
      </c>
      <c r="J458" t="n">
        <v>0</v>
      </c>
      <c r="K458" t="n">
        <v>0</v>
      </c>
      <c r="L458" t="n">
        <v>0</v>
      </c>
      <c r="M458" t="n">
        <v>0</v>
      </c>
      <c r="N458" t="n">
        <v>0</v>
      </c>
      <c r="O458" t="n">
        <v>0</v>
      </c>
      <c r="P458" t="n">
        <v>0</v>
      </c>
      <c r="Q458" t="n">
        <v>0</v>
      </c>
      <c r="R458" s="2" t="inlineStr"/>
    </row>
    <row r="459" ht="15" customHeight="1">
      <c r="A459" t="inlineStr">
        <is>
          <t>A 8428-2025</t>
        </is>
      </c>
      <c r="B459" s="1" t="n">
        <v>45709.41995370371</v>
      </c>
      <c r="C459" s="1" t="n">
        <v>45880</v>
      </c>
      <c r="D459" t="inlineStr">
        <is>
          <t>VÄRMLANDS LÄN</t>
        </is>
      </c>
      <c r="E459" t="inlineStr">
        <is>
          <t>TORSBY</t>
        </is>
      </c>
      <c r="G459" t="n">
        <v>1.1</v>
      </c>
      <c r="H459" t="n">
        <v>0</v>
      </c>
      <c r="I459" t="n">
        <v>0</v>
      </c>
      <c r="J459" t="n">
        <v>0</v>
      </c>
      <c r="K459" t="n">
        <v>0</v>
      </c>
      <c r="L459" t="n">
        <v>0</v>
      </c>
      <c r="M459" t="n">
        <v>0</v>
      </c>
      <c r="N459" t="n">
        <v>0</v>
      </c>
      <c r="O459" t="n">
        <v>0</v>
      </c>
      <c r="P459" t="n">
        <v>0</v>
      </c>
      <c r="Q459" t="n">
        <v>0</v>
      </c>
      <c r="R459" s="2" t="inlineStr"/>
    </row>
    <row r="460" ht="15" customHeight="1">
      <c r="A460" t="inlineStr">
        <is>
          <t>A 27292-2024</t>
        </is>
      </c>
      <c r="B460" s="1" t="n">
        <v>45471.93378472222</v>
      </c>
      <c r="C460" s="1" t="n">
        <v>45880</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20461-2025</t>
        </is>
      </c>
      <c r="B461" s="1" t="n">
        <v>45775.53158564815</v>
      </c>
      <c r="C461" s="1" t="n">
        <v>45880</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11214-2024</t>
        </is>
      </c>
      <c r="B462" s="1" t="n">
        <v>45371</v>
      </c>
      <c r="C462" s="1" t="n">
        <v>45880</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3951-2025</t>
        </is>
      </c>
      <c r="B463" s="1" t="n">
        <v>45684.49333333333</v>
      </c>
      <c r="C463" s="1" t="n">
        <v>45880</v>
      </c>
      <c r="D463" t="inlineStr">
        <is>
          <t>VÄRMLANDS LÄN</t>
        </is>
      </c>
      <c r="E463" t="inlineStr">
        <is>
          <t>TORSBY</t>
        </is>
      </c>
      <c r="F463" t="inlineStr">
        <is>
          <t>Bergvik skog väst AB</t>
        </is>
      </c>
      <c r="G463" t="n">
        <v>2.3</v>
      </c>
      <c r="H463" t="n">
        <v>0</v>
      </c>
      <c r="I463" t="n">
        <v>0</v>
      </c>
      <c r="J463" t="n">
        <v>0</v>
      </c>
      <c r="K463" t="n">
        <v>0</v>
      </c>
      <c r="L463" t="n">
        <v>0</v>
      </c>
      <c r="M463" t="n">
        <v>0</v>
      </c>
      <c r="N463" t="n">
        <v>0</v>
      </c>
      <c r="O463" t="n">
        <v>0</v>
      </c>
      <c r="P463" t="n">
        <v>0</v>
      </c>
      <c r="Q463" t="n">
        <v>0</v>
      </c>
      <c r="R463" s="2" t="inlineStr"/>
    </row>
    <row r="464" ht="15" customHeight="1">
      <c r="A464" t="inlineStr">
        <is>
          <t>A 7221-2024</t>
        </is>
      </c>
      <c r="B464" s="1" t="n">
        <v>45344.63927083334</v>
      </c>
      <c r="C464" s="1" t="n">
        <v>45880</v>
      </c>
      <c r="D464" t="inlineStr">
        <is>
          <t>VÄRMLANDS LÄN</t>
        </is>
      </c>
      <c r="E464" t="inlineStr">
        <is>
          <t>TORSBY</t>
        </is>
      </c>
      <c r="G464" t="n">
        <v>8.1</v>
      </c>
      <c r="H464" t="n">
        <v>0</v>
      </c>
      <c r="I464" t="n">
        <v>0</v>
      </c>
      <c r="J464" t="n">
        <v>0</v>
      </c>
      <c r="K464" t="n">
        <v>0</v>
      </c>
      <c r="L464" t="n">
        <v>0</v>
      </c>
      <c r="M464" t="n">
        <v>0</v>
      </c>
      <c r="N464" t="n">
        <v>0</v>
      </c>
      <c r="O464" t="n">
        <v>0</v>
      </c>
      <c r="P464" t="n">
        <v>0</v>
      </c>
      <c r="Q464" t="n">
        <v>0</v>
      </c>
      <c r="R464" s="2" t="inlineStr"/>
    </row>
    <row r="465" ht="15" customHeight="1">
      <c r="A465" t="inlineStr">
        <is>
          <t>A 34430-2023</t>
        </is>
      </c>
      <c r="B465" s="1" t="n">
        <v>45139.62216435185</v>
      </c>
      <c r="C465" s="1" t="n">
        <v>45880</v>
      </c>
      <c r="D465" t="inlineStr">
        <is>
          <t>VÄRMLANDS LÄN</t>
        </is>
      </c>
      <c r="E465" t="inlineStr">
        <is>
          <t>TORSBY</t>
        </is>
      </c>
      <c r="G465" t="n">
        <v>3.3</v>
      </c>
      <c r="H465" t="n">
        <v>0</v>
      </c>
      <c r="I465" t="n">
        <v>0</v>
      </c>
      <c r="J465" t="n">
        <v>0</v>
      </c>
      <c r="K465" t="n">
        <v>0</v>
      </c>
      <c r="L465" t="n">
        <v>0</v>
      </c>
      <c r="M465" t="n">
        <v>0</v>
      </c>
      <c r="N465" t="n">
        <v>0</v>
      </c>
      <c r="O465" t="n">
        <v>0</v>
      </c>
      <c r="P465" t="n">
        <v>0</v>
      </c>
      <c r="Q465" t="n">
        <v>0</v>
      </c>
      <c r="R465" s="2" t="inlineStr"/>
    </row>
    <row r="466" ht="15" customHeight="1">
      <c r="A466" t="inlineStr">
        <is>
          <t>A 34093-2024</t>
        </is>
      </c>
      <c r="B466" s="1" t="n">
        <v>45523</v>
      </c>
      <c r="C466" s="1" t="n">
        <v>45880</v>
      </c>
      <c r="D466" t="inlineStr">
        <is>
          <t>VÄRMLANDS LÄN</t>
        </is>
      </c>
      <c r="E466" t="inlineStr">
        <is>
          <t>TORSBY</t>
        </is>
      </c>
      <c r="F466" t="inlineStr">
        <is>
          <t>Bergvik skog väst AB</t>
        </is>
      </c>
      <c r="G466" t="n">
        <v>5.9</v>
      </c>
      <c r="H466" t="n">
        <v>0</v>
      </c>
      <c r="I466" t="n">
        <v>0</v>
      </c>
      <c r="J466" t="n">
        <v>0</v>
      </c>
      <c r="K466" t="n">
        <v>0</v>
      </c>
      <c r="L466" t="n">
        <v>0</v>
      </c>
      <c r="M466" t="n">
        <v>0</v>
      </c>
      <c r="N466" t="n">
        <v>0</v>
      </c>
      <c r="O466" t="n">
        <v>0</v>
      </c>
      <c r="P466" t="n">
        <v>0</v>
      </c>
      <c r="Q466" t="n">
        <v>0</v>
      </c>
      <c r="R466" s="2" t="inlineStr"/>
    </row>
    <row r="467" ht="15" customHeight="1">
      <c r="A467" t="inlineStr">
        <is>
          <t>A 3269-2025</t>
        </is>
      </c>
      <c r="B467" s="1" t="n">
        <v>45679.58148148148</v>
      </c>
      <c r="C467" s="1" t="n">
        <v>45880</v>
      </c>
      <c r="D467" t="inlineStr">
        <is>
          <t>VÄRMLANDS LÄN</t>
        </is>
      </c>
      <c r="E467" t="inlineStr">
        <is>
          <t>TORSBY</t>
        </is>
      </c>
      <c r="G467" t="n">
        <v>6.9</v>
      </c>
      <c r="H467" t="n">
        <v>0</v>
      </c>
      <c r="I467" t="n">
        <v>0</v>
      </c>
      <c r="J467" t="n">
        <v>0</v>
      </c>
      <c r="K467" t="n">
        <v>0</v>
      </c>
      <c r="L467" t="n">
        <v>0</v>
      </c>
      <c r="M467" t="n">
        <v>0</v>
      </c>
      <c r="N467" t="n">
        <v>0</v>
      </c>
      <c r="O467" t="n">
        <v>0</v>
      </c>
      <c r="P467" t="n">
        <v>0</v>
      </c>
      <c r="Q467" t="n">
        <v>0</v>
      </c>
      <c r="R467" s="2" t="inlineStr"/>
    </row>
    <row r="468" ht="15" customHeight="1">
      <c r="A468" t="inlineStr">
        <is>
          <t>A 44710-2023</t>
        </is>
      </c>
      <c r="B468" s="1" t="n">
        <v>45190</v>
      </c>
      <c r="C468" s="1" t="n">
        <v>45880</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36327-2021</t>
        </is>
      </c>
      <c r="B469" s="1" t="n">
        <v>44390</v>
      </c>
      <c r="C469" s="1" t="n">
        <v>45880</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52483-2022</t>
        </is>
      </c>
      <c r="B470" s="1" t="n">
        <v>44874.48637731482</v>
      </c>
      <c r="C470" s="1" t="n">
        <v>45880</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49073-2022</t>
        </is>
      </c>
      <c r="B471" s="1" t="n">
        <v>44860</v>
      </c>
      <c r="C471" s="1" t="n">
        <v>45880</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54452-2022</t>
        </is>
      </c>
      <c r="B472" s="1" t="n">
        <v>44880</v>
      </c>
      <c r="C472" s="1" t="n">
        <v>45880</v>
      </c>
      <c r="D472" t="inlineStr">
        <is>
          <t>VÄRMLANDS LÄN</t>
        </is>
      </c>
      <c r="E472" t="inlineStr">
        <is>
          <t>TORSBY</t>
        </is>
      </c>
      <c r="F472" t="inlineStr">
        <is>
          <t>Kyrkan</t>
        </is>
      </c>
      <c r="G472" t="n">
        <v>10.6</v>
      </c>
      <c r="H472" t="n">
        <v>0</v>
      </c>
      <c r="I472" t="n">
        <v>0</v>
      </c>
      <c r="J472" t="n">
        <v>0</v>
      </c>
      <c r="K472" t="n">
        <v>0</v>
      </c>
      <c r="L472" t="n">
        <v>0</v>
      </c>
      <c r="M472" t="n">
        <v>0</v>
      </c>
      <c r="N472" t="n">
        <v>0</v>
      </c>
      <c r="O472" t="n">
        <v>0</v>
      </c>
      <c r="P472" t="n">
        <v>0</v>
      </c>
      <c r="Q472" t="n">
        <v>0</v>
      </c>
      <c r="R472" s="2" t="inlineStr"/>
    </row>
    <row r="473" ht="15" customHeight="1">
      <c r="A473" t="inlineStr">
        <is>
          <t>A 54556-2023</t>
        </is>
      </c>
      <c r="B473" s="1" t="n">
        <v>45233.63445601852</v>
      </c>
      <c r="C473" s="1" t="n">
        <v>45880</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34405-2023</t>
        </is>
      </c>
      <c r="B474" s="1" t="n">
        <v>45139.55131944444</v>
      </c>
      <c r="C474" s="1" t="n">
        <v>45880</v>
      </c>
      <c r="D474" t="inlineStr">
        <is>
          <t>VÄRMLANDS LÄN</t>
        </is>
      </c>
      <c r="E474" t="inlineStr">
        <is>
          <t>TORSBY</t>
        </is>
      </c>
      <c r="G474" t="n">
        <v>4.6</v>
      </c>
      <c r="H474" t="n">
        <v>0</v>
      </c>
      <c r="I474" t="n">
        <v>0</v>
      </c>
      <c r="J474" t="n">
        <v>0</v>
      </c>
      <c r="K474" t="n">
        <v>0</v>
      </c>
      <c r="L474" t="n">
        <v>0</v>
      </c>
      <c r="M474" t="n">
        <v>0</v>
      </c>
      <c r="N474" t="n">
        <v>0</v>
      </c>
      <c r="O474" t="n">
        <v>0</v>
      </c>
      <c r="P474" t="n">
        <v>0</v>
      </c>
      <c r="Q474" t="n">
        <v>0</v>
      </c>
      <c r="R474" s="2" t="inlineStr"/>
    </row>
    <row r="475" ht="15" customHeight="1">
      <c r="A475" t="inlineStr">
        <is>
          <t>A 37608-2021</t>
        </is>
      </c>
      <c r="B475" s="1" t="n">
        <v>44399</v>
      </c>
      <c r="C475" s="1" t="n">
        <v>45880</v>
      </c>
      <c r="D475" t="inlineStr">
        <is>
          <t>VÄRMLANDS LÄN</t>
        </is>
      </c>
      <c r="E475" t="inlineStr">
        <is>
          <t>TORSBY</t>
        </is>
      </c>
      <c r="G475" t="n">
        <v>1.7</v>
      </c>
      <c r="H475" t="n">
        <v>0</v>
      </c>
      <c r="I475" t="n">
        <v>0</v>
      </c>
      <c r="J475" t="n">
        <v>0</v>
      </c>
      <c r="K475" t="n">
        <v>0</v>
      </c>
      <c r="L475" t="n">
        <v>0</v>
      </c>
      <c r="M475" t="n">
        <v>0</v>
      </c>
      <c r="N475" t="n">
        <v>0</v>
      </c>
      <c r="O475" t="n">
        <v>0</v>
      </c>
      <c r="P475" t="n">
        <v>0</v>
      </c>
      <c r="Q475" t="n">
        <v>0</v>
      </c>
      <c r="R475" s="2" t="inlineStr"/>
    </row>
    <row r="476" ht="15" customHeight="1">
      <c r="A476" t="inlineStr">
        <is>
          <t>A 44340-2022</t>
        </is>
      </c>
      <c r="B476" s="1" t="n">
        <v>44838</v>
      </c>
      <c r="C476" s="1" t="n">
        <v>45880</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6317-2025</t>
        </is>
      </c>
      <c r="B477" s="1" t="n">
        <v>45698.74826388889</v>
      </c>
      <c r="C477" s="1" t="n">
        <v>45880</v>
      </c>
      <c r="D477" t="inlineStr">
        <is>
          <t>VÄRMLANDS LÄN</t>
        </is>
      </c>
      <c r="E477" t="inlineStr">
        <is>
          <t>TORSBY</t>
        </is>
      </c>
      <c r="G477" t="n">
        <v>5.8</v>
      </c>
      <c r="H477" t="n">
        <v>0</v>
      </c>
      <c r="I477" t="n">
        <v>0</v>
      </c>
      <c r="J477" t="n">
        <v>0</v>
      </c>
      <c r="K477" t="n">
        <v>0</v>
      </c>
      <c r="L477" t="n">
        <v>0</v>
      </c>
      <c r="M477" t="n">
        <v>0</v>
      </c>
      <c r="N477" t="n">
        <v>0</v>
      </c>
      <c r="O477" t="n">
        <v>0</v>
      </c>
      <c r="P477" t="n">
        <v>0</v>
      </c>
      <c r="Q477" t="n">
        <v>0</v>
      </c>
      <c r="R477" s="2" t="inlineStr"/>
    </row>
    <row r="478" ht="15" customHeight="1">
      <c r="A478" t="inlineStr">
        <is>
          <t>A 39781-2022</t>
        </is>
      </c>
      <c r="B478" s="1" t="n">
        <v>44819</v>
      </c>
      <c r="C478" s="1" t="n">
        <v>45880</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9942-2025</t>
        </is>
      </c>
      <c r="B479" s="1" t="n">
        <v>45719</v>
      </c>
      <c r="C479" s="1" t="n">
        <v>45880</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30104-2023</t>
        </is>
      </c>
      <c r="B480" s="1" t="n">
        <v>45110</v>
      </c>
      <c r="C480" s="1" t="n">
        <v>45880</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11143-2024</t>
        </is>
      </c>
      <c r="B481" s="1" t="n">
        <v>45371</v>
      </c>
      <c r="C481" s="1" t="n">
        <v>45880</v>
      </c>
      <c r="D481" t="inlineStr">
        <is>
          <t>VÄRMLANDS LÄN</t>
        </is>
      </c>
      <c r="E481" t="inlineStr">
        <is>
          <t>TORSBY</t>
        </is>
      </c>
      <c r="G481" t="n">
        <v>2</v>
      </c>
      <c r="H481" t="n">
        <v>0</v>
      </c>
      <c r="I481" t="n">
        <v>0</v>
      </c>
      <c r="J481" t="n">
        <v>0</v>
      </c>
      <c r="K481" t="n">
        <v>0</v>
      </c>
      <c r="L481" t="n">
        <v>0</v>
      </c>
      <c r="M481" t="n">
        <v>0</v>
      </c>
      <c r="N481" t="n">
        <v>0</v>
      </c>
      <c r="O481" t="n">
        <v>0</v>
      </c>
      <c r="P481" t="n">
        <v>0</v>
      </c>
      <c r="Q481" t="n">
        <v>0</v>
      </c>
      <c r="R481" s="2" t="inlineStr"/>
    </row>
    <row r="482" ht="15" customHeight="1">
      <c r="A482" t="inlineStr">
        <is>
          <t>A 61565-2024</t>
        </is>
      </c>
      <c r="B482" s="1" t="n">
        <v>45646</v>
      </c>
      <c r="C482" s="1" t="n">
        <v>45880</v>
      </c>
      <c r="D482" t="inlineStr">
        <is>
          <t>VÄRMLANDS LÄN</t>
        </is>
      </c>
      <c r="E482" t="inlineStr">
        <is>
          <t>TORSBY</t>
        </is>
      </c>
      <c r="F482" t="inlineStr">
        <is>
          <t>Bergvik skog väst AB</t>
        </is>
      </c>
      <c r="G482" t="n">
        <v>14.1</v>
      </c>
      <c r="H482" t="n">
        <v>0</v>
      </c>
      <c r="I482" t="n">
        <v>0</v>
      </c>
      <c r="J482" t="n">
        <v>0</v>
      </c>
      <c r="K482" t="n">
        <v>0</v>
      </c>
      <c r="L482" t="n">
        <v>0</v>
      </c>
      <c r="M482" t="n">
        <v>0</v>
      </c>
      <c r="N482" t="n">
        <v>0</v>
      </c>
      <c r="O482" t="n">
        <v>0</v>
      </c>
      <c r="P482" t="n">
        <v>0</v>
      </c>
      <c r="Q482" t="n">
        <v>0</v>
      </c>
      <c r="R482" s="2" t="inlineStr"/>
    </row>
    <row r="483" ht="15" customHeight="1">
      <c r="A483" t="inlineStr">
        <is>
          <t>A 52239-2024</t>
        </is>
      </c>
      <c r="B483" s="1" t="n">
        <v>45608.61837962963</v>
      </c>
      <c r="C483" s="1" t="n">
        <v>45880</v>
      </c>
      <c r="D483" t="inlineStr">
        <is>
          <t>VÄRMLANDS LÄN</t>
        </is>
      </c>
      <c r="E483" t="inlineStr">
        <is>
          <t>TORSBY</t>
        </is>
      </c>
      <c r="F483" t="inlineStr">
        <is>
          <t>Bergvik skog väst AB</t>
        </is>
      </c>
      <c r="G483" t="n">
        <v>3.4</v>
      </c>
      <c r="H483" t="n">
        <v>0</v>
      </c>
      <c r="I483" t="n">
        <v>0</v>
      </c>
      <c r="J483" t="n">
        <v>0</v>
      </c>
      <c r="K483" t="n">
        <v>0</v>
      </c>
      <c r="L483" t="n">
        <v>0</v>
      </c>
      <c r="M483" t="n">
        <v>0</v>
      </c>
      <c r="N483" t="n">
        <v>0</v>
      </c>
      <c r="O483" t="n">
        <v>0</v>
      </c>
      <c r="P483" t="n">
        <v>0</v>
      </c>
      <c r="Q483" t="n">
        <v>0</v>
      </c>
      <c r="R483" s="2" t="inlineStr"/>
    </row>
    <row r="484" ht="15" customHeight="1">
      <c r="A484" t="inlineStr">
        <is>
          <t>A 29720-2022</t>
        </is>
      </c>
      <c r="B484" s="1" t="n">
        <v>44755</v>
      </c>
      <c r="C484" s="1" t="n">
        <v>45880</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38298-2021</t>
        </is>
      </c>
      <c r="B485" s="1" t="n">
        <v>44406</v>
      </c>
      <c r="C485" s="1" t="n">
        <v>45880</v>
      </c>
      <c r="D485" t="inlineStr">
        <is>
          <t>VÄRMLANDS LÄN</t>
        </is>
      </c>
      <c r="E485" t="inlineStr">
        <is>
          <t>TORSBY</t>
        </is>
      </c>
      <c r="G485" t="n">
        <v>3.3</v>
      </c>
      <c r="H485" t="n">
        <v>0</v>
      </c>
      <c r="I485" t="n">
        <v>0</v>
      </c>
      <c r="J485" t="n">
        <v>0</v>
      </c>
      <c r="K485" t="n">
        <v>0</v>
      </c>
      <c r="L485" t="n">
        <v>0</v>
      </c>
      <c r="M485" t="n">
        <v>0</v>
      </c>
      <c r="N485" t="n">
        <v>0</v>
      </c>
      <c r="O485" t="n">
        <v>0</v>
      </c>
      <c r="P485" t="n">
        <v>0</v>
      </c>
      <c r="Q485" t="n">
        <v>0</v>
      </c>
      <c r="R485" s="2" t="inlineStr"/>
    </row>
    <row r="486" ht="15" customHeight="1">
      <c r="A486" t="inlineStr">
        <is>
          <t>A 13285-2025</t>
        </is>
      </c>
      <c r="B486" s="1" t="n">
        <v>45735</v>
      </c>
      <c r="C486" s="1" t="n">
        <v>45880</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56473-2022</t>
        </is>
      </c>
      <c r="B487" s="1" t="n">
        <v>44893</v>
      </c>
      <c r="C487" s="1" t="n">
        <v>45880</v>
      </c>
      <c r="D487" t="inlineStr">
        <is>
          <t>VÄRMLANDS LÄN</t>
        </is>
      </c>
      <c r="E487" t="inlineStr">
        <is>
          <t>TORSBY</t>
        </is>
      </c>
      <c r="G487" t="n">
        <v>5.4</v>
      </c>
      <c r="H487" t="n">
        <v>0</v>
      </c>
      <c r="I487" t="n">
        <v>0</v>
      </c>
      <c r="J487" t="n">
        <v>0</v>
      </c>
      <c r="K487" t="n">
        <v>0</v>
      </c>
      <c r="L487" t="n">
        <v>0</v>
      </c>
      <c r="M487" t="n">
        <v>0</v>
      </c>
      <c r="N487" t="n">
        <v>0</v>
      </c>
      <c r="O487" t="n">
        <v>0</v>
      </c>
      <c r="P487" t="n">
        <v>0</v>
      </c>
      <c r="Q487" t="n">
        <v>0</v>
      </c>
      <c r="R487" s="2" t="inlineStr"/>
    </row>
    <row r="488" ht="15" customHeight="1">
      <c r="A488" t="inlineStr">
        <is>
          <t>A 34434-2022</t>
        </is>
      </c>
      <c r="B488" s="1" t="n">
        <v>44792</v>
      </c>
      <c r="C488" s="1" t="n">
        <v>45880</v>
      </c>
      <c r="D488" t="inlineStr">
        <is>
          <t>VÄRMLANDS LÄN</t>
        </is>
      </c>
      <c r="E488" t="inlineStr">
        <is>
          <t>TORSBY</t>
        </is>
      </c>
      <c r="G488" t="n">
        <v>4.6</v>
      </c>
      <c r="H488" t="n">
        <v>0</v>
      </c>
      <c r="I488" t="n">
        <v>0</v>
      </c>
      <c r="J488" t="n">
        <v>0</v>
      </c>
      <c r="K488" t="n">
        <v>0</v>
      </c>
      <c r="L488" t="n">
        <v>0</v>
      </c>
      <c r="M488" t="n">
        <v>0</v>
      </c>
      <c r="N488" t="n">
        <v>0</v>
      </c>
      <c r="O488" t="n">
        <v>0</v>
      </c>
      <c r="P488" t="n">
        <v>0</v>
      </c>
      <c r="Q488" t="n">
        <v>0</v>
      </c>
      <c r="R488" s="2" t="inlineStr"/>
    </row>
    <row r="489" ht="15" customHeight="1">
      <c r="A489" t="inlineStr">
        <is>
          <t>A 45328-2022</t>
        </is>
      </c>
      <c r="B489" s="1" t="n">
        <v>44844</v>
      </c>
      <c r="C489" s="1" t="n">
        <v>45880</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31830-2024</t>
        </is>
      </c>
      <c r="B490" s="1" t="n">
        <v>45509</v>
      </c>
      <c r="C490" s="1" t="n">
        <v>45880</v>
      </c>
      <c r="D490" t="inlineStr">
        <is>
          <t>VÄRMLANDS LÄN</t>
        </is>
      </c>
      <c r="E490" t="inlineStr">
        <is>
          <t>TORSBY</t>
        </is>
      </c>
      <c r="G490" t="n">
        <v>2.6</v>
      </c>
      <c r="H490" t="n">
        <v>0</v>
      </c>
      <c r="I490" t="n">
        <v>0</v>
      </c>
      <c r="J490" t="n">
        <v>0</v>
      </c>
      <c r="K490" t="n">
        <v>0</v>
      </c>
      <c r="L490" t="n">
        <v>0</v>
      </c>
      <c r="M490" t="n">
        <v>0</v>
      </c>
      <c r="N490" t="n">
        <v>0</v>
      </c>
      <c r="O490" t="n">
        <v>0</v>
      </c>
      <c r="P490" t="n">
        <v>0</v>
      </c>
      <c r="Q490" t="n">
        <v>0</v>
      </c>
      <c r="R490" s="2" t="inlineStr"/>
    </row>
    <row r="491" ht="15" customHeight="1">
      <c r="A491" t="inlineStr">
        <is>
          <t>A 54885-2022</t>
        </is>
      </c>
      <c r="B491" s="1" t="n">
        <v>44886</v>
      </c>
      <c r="C491" s="1" t="n">
        <v>45880</v>
      </c>
      <c r="D491" t="inlineStr">
        <is>
          <t>VÄRMLANDS LÄN</t>
        </is>
      </c>
      <c r="E491" t="inlineStr">
        <is>
          <t>TORSBY</t>
        </is>
      </c>
      <c r="G491" t="n">
        <v>2.1</v>
      </c>
      <c r="H491" t="n">
        <v>0</v>
      </c>
      <c r="I491" t="n">
        <v>0</v>
      </c>
      <c r="J491" t="n">
        <v>0</v>
      </c>
      <c r="K491" t="n">
        <v>0</v>
      </c>
      <c r="L491" t="n">
        <v>0</v>
      </c>
      <c r="M491" t="n">
        <v>0</v>
      </c>
      <c r="N491" t="n">
        <v>0</v>
      </c>
      <c r="O491" t="n">
        <v>0</v>
      </c>
      <c r="P491" t="n">
        <v>0</v>
      </c>
      <c r="Q491" t="n">
        <v>0</v>
      </c>
      <c r="R491" s="2" t="inlineStr"/>
    </row>
    <row r="492" ht="15" customHeight="1">
      <c r="A492" t="inlineStr">
        <is>
          <t>A 43536-2023</t>
        </is>
      </c>
      <c r="B492" s="1" t="n">
        <v>45181</v>
      </c>
      <c r="C492" s="1" t="n">
        <v>45880</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63158-2023</t>
        </is>
      </c>
      <c r="B493" s="1" t="n">
        <v>45273.51715277778</v>
      </c>
      <c r="C493" s="1" t="n">
        <v>45880</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62507-2023</t>
        </is>
      </c>
      <c r="B494" s="1" t="n">
        <v>45267</v>
      </c>
      <c r="C494" s="1" t="n">
        <v>45880</v>
      </c>
      <c r="D494" t="inlineStr">
        <is>
          <t>VÄRMLANDS LÄN</t>
        </is>
      </c>
      <c r="E494" t="inlineStr">
        <is>
          <t>TORSBY</t>
        </is>
      </c>
      <c r="G494" t="n">
        <v>3.3</v>
      </c>
      <c r="H494" t="n">
        <v>0</v>
      </c>
      <c r="I494" t="n">
        <v>0</v>
      </c>
      <c r="J494" t="n">
        <v>0</v>
      </c>
      <c r="K494" t="n">
        <v>0</v>
      </c>
      <c r="L494" t="n">
        <v>0</v>
      </c>
      <c r="M494" t="n">
        <v>0</v>
      </c>
      <c r="N494" t="n">
        <v>0</v>
      </c>
      <c r="O494" t="n">
        <v>0</v>
      </c>
      <c r="P494" t="n">
        <v>0</v>
      </c>
      <c r="Q494" t="n">
        <v>0</v>
      </c>
      <c r="R494" s="2" t="inlineStr"/>
    </row>
    <row r="495" ht="15" customHeight="1">
      <c r="A495" t="inlineStr">
        <is>
          <t>A 40550-2020</t>
        </is>
      </c>
      <c r="B495" s="1" t="n">
        <v>44069</v>
      </c>
      <c r="C495" s="1" t="n">
        <v>45880</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25355-2024</t>
        </is>
      </c>
      <c r="B496" s="1" t="n">
        <v>45462.92868055555</v>
      </c>
      <c r="C496" s="1" t="n">
        <v>45880</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23073-2023</t>
        </is>
      </c>
      <c r="B497" s="1" t="n">
        <v>45070</v>
      </c>
      <c r="C497" s="1" t="n">
        <v>45880</v>
      </c>
      <c r="D497" t="inlineStr">
        <is>
          <t>VÄRMLANDS LÄN</t>
        </is>
      </c>
      <c r="E497" t="inlineStr">
        <is>
          <t>TORSBY</t>
        </is>
      </c>
      <c r="G497" t="n">
        <v>15.1</v>
      </c>
      <c r="H497" t="n">
        <v>0</v>
      </c>
      <c r="I497" t="n">
        <v>0</v>
      </c>
      <c r="J497" t="n">
        <v>0</v>
      </c>
      <c r="K497" t="n">
        <v>0</v>
      </c>
      <c r="L497" t="n">
        <v>0</v>
      </c>
      <c r="M497" t="n">
        <v>0</v>
      </c>
      <c r="N497" t="n">
        <v>0</v>
      </c>
      <c r="O497" t="n">
        <v>0</v>
      </c>
      <c r="P497" t="n">
        <v>0</v>
      </c>
      <c r="Q497" t="n">
        <v>0</v>
      </c>
      <c r="R497" s="2" t="inlineStr"/>
    </row>
    <row r="498" ht="15" customHeight="1">
      <c r="A498" t="inlineStr">
        <is>
          <t>A 34534-2024</t>
        </is>
      </c>
      <c r="B498" s="1" t="n">
        <v>45525</v>
      </c>
      <c r="C498" s="1" t="n">
        <v>45880</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41065-2022</t>
        </is>
      </c>
      <c r="B499" s="1" t="n">
        <v>44825.59258101852</v>
      </c>
      <c r="C499" s="1" t="n">
        <v>45880</v>
      </c>
      <c r="D499" t="inlineStr">
        <is>
          <t>VÄRMLANDS LÄN</t>
        </is>
      </c>
      <c r="E499" t="inlineStr">
        <is>
          <t>TORSBY</t>
        </is>
      </c>
      <c r="F499" t="inlineStr">
        <is>
          <t>Kommuner</t>
        </is>
      </c>
      <c r="G499" t="n">
        <v>1.8</v>
      </c>
      <c r="H499" t="n">
        <v>0</v>
      </c>
      <c r="I499" t="n">
        <v>0</v>
      </c>
      <c r="J499" t="n">
        <v>0</v>
      </c>
      <c r="K499" t="n">
        <v>0</v>
      </c>
      <c r="L499" t="n">
        <v>0</v>
      </c>
      <c r="M499" t="n">
        <v>0</v>
      </c>
      <c r="N499" t="n">
        <v>0</v>
      </c>
      <c r="O499" t="n">
        <v>0</v>
      </c>
      <c r="P499" t="n">
        <v>0</v>
      </c>
      <c r="Q499" t="n">
        <v>0</v>
      </c>
      <c r="R499" s="2" t="inlineStr"/>
    </row>
    <row r="500" ht="15" customHeight="1">
      <c r="A500" t="inlineStr">
        <is>
          <t>A 30074-2024</t>
        </is>
      </c>
      <c r="B500" s="1" t="n">
        <v>45489</v>
      </c>
      <c r="C500" s="1" t="n">
        <v>45880</v>
      </c>
      <c r="D500" t="inlineStr">
        <is>
          <t>VÄRMLANDS LÄN</t>
        </is>
      </c>
      <c r="E500" t="inlineStr">
        <is>
          <t>TORSBY</t>
        </is>
      </c>
      <c r="F500" t="inlineStr">
        <is>
          <t>Kyrkan</t>
        </is>
      </c>
      <c r="G500" t="n">
        <v>6.5</v>
      </c>
      <c r="H500" t="n">
        <v>0</v>
      </c>
      <c r="I500" t="n">
        <v>0</v>
      </c>
      <c r="J500" t="n">
        <v>0</v>
      </c>
      <c r="K500" t="n">
        <v>0</v>
      </c>
      <c r="L500" t="n">
        <v>0</v>
      </c>
      <c r="M500" t="n">
        <v>0</v>
      </c>
      <c r="N500" t="n">
        <v>0</v>
      </c>
      <c r="O500" t="n">
        <v>0</v>
      </c>
      <c r="P500" t="n">
        <v>0</v>
      </c>
      <c r="Q500" t="n">
        <v>0</v>
      </c>
      <c r="R500" s="2" t="inlineStr"/>
    </row>
    <row r="501" ht="15" customHeight="1">
      <c r="A501" t="inlineStr">
        <is>
          <t>A 4516-2025</t>
        </is>
      </c>
      <c r="B501" s="1" t="n">
        <v>45686.88212962963</v>
      </c>
      <c r="C501" s="1" t="n">
        <v>45880</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4517-2025</t>
        </is>
      </c>
      <c r="B502" s="1" t="n">
        <v>45686</v>
      </c>
      <c r="C502" s="1" t="n">
        <v>45880</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11872-2025</t>
        </is>
      </c>
      <c r="B503" s="1" t="n">
        <v>45728.43021990741</v>
      </c>
      <c r="C503" s="1" t="n">
        <v>45880</v>
      </c>
      <c r="D503" t="inlineStr">
        <is>
          <t>VÄRMLANDS LÄN</t>
        </is>
      </c>
      <c r="E503" t="inlineStr">
        <is>
          <t>TORSBY</t>
        </is>
      </c>
      <c r="G503" t="n">
        <v>7.4</v>
      </c>
      <c r="H503" t="n">
        <v>0</v>
      </c>
      <c r="I503" t="n">
        <v>0</v>
      </c>
      <c r="J503" t="n">
        <v>0</v>
      </c>
      <c r="K503" t="n">
        <v>0</v>
      </c>
      <c r="L503" t="n">
        <v>0</v>
      </c>
      <c r="M503" t="n">
        <v>0</v>
      </c>
      <c r="N503" t="n">
        <v>0</v>
      </c>
      <c r="O503" t="n">
        <v>0</v>
      </c>
      <c r="P503" t="n">
        <v>0</v>
      </c>
      <c r="Q503" t="n">
        <v>0</v>
      </c>
      <c r="R503" s="2" t="inlineStr"/>
    </row>
    <row r="504" ht="15" customHeight="1">
      <c r="A504" t="inlineStr">
        <is>
          <t>A 41270-2023</t>
        </is>
      </c>
      <c r="B504" s="1" t="n">
        <v>45174.54952546296</v>
      </c>
      <c r="C504" s="1" t="n">
        <v>45880</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24244-2023</t>
        </is>
      </c>
      <c r="B505" s="1" t="n">
        <v>45079.61969907407</v>
      </c>
      <c r="C505" s="1" t="n">
        <v>45880</v>
      </c>
      <c r="D505" t="inlineStr">
        <is>
          <t>VÄRMLANDS LÄN</t>
        </is>
      </c>
      <c r="E505" t="inlineStr">
        <is>
          <t>TORSBY</t>
        </is>
      </c>
      <c r="G505" t="n">
        <v>3</v>
      </c>
      <c r="H505" t="n">
        <v>0</v>
      </c>
      <c r="I505" t="n">
        <v>0</v>
      </c>
      <c r="J505" t="n">
        <v>0</v>
      </c>
      <c r="K505" t="n">
        <v>0</v>
      </c>
      <c r="L505" t="n">
        <v>0</v>
      </c>
      <c r="M505" t="n">
        <v>0</v>
      </c>
      <c r="N505" t="n">
        <v>0</v>
      </c>
      <c r="O505" t="n">
        <v>0</v>
      </c>
      <c r="P505" t="n">
        <v>0</v>
      </c>
      <c r="Q505" t="n">
        <v>0</v>
      </c>
      <c r="R505" s="2" t="inlineStr"/>
    </row>
    <row r="506" ht="15" customHeight="1">
      <c r="A506" t="inlineStr">
        <is>
          <t>A 1839-2022</t>
        </is>
      </c>
      <c r="B506" s="1" t="n">
        <v>44574</v>
      </c>
      <c r="C506" s="1" t="n">
        <v>45880</v>
      </c>
      <c r="D506" t="inlineStr">
        <is>
          <t>VÄRMLANDS LÄN</t>
        </is>
      </c>
      <c r="E506" t="inlineStr">
        <is>
          <t>TORSBY</t>
        </is>
      </c>
      <c r="G506" t="n">
        <v>5.3</v>
      </c>
      <c r="H506" t="n">
        <v>0</v>
      </c>
      <c r="I506" t="n">
        <v>0</v>
      </c>
      <c r="J506" t="n">
        <v>0</v>
      </c>
      <c r="K506" t="n">
        <v>0</v>
      </c>
      <c r="L506" t="n">
        <v>0</v>
      </c>
      <c r="M506" t="n">
        <v>0</v>
      </c>
      <c r="N506" t="n">
        <v>0</v>
      </c>
      <c r="O506" t="n">
        <v>0</v>
      </c>
      <c r="P506" t="n">
        <v>0</v>
      </c>
      <c r="Q506" t="n">
        <v>0</v>
      </c>
      <c r="R506" s="2" t="inlineStr"/>
    </row>
    <row r="507" ht="15" customHeight="1">
      <c r="A507" t="inlineStr">
        <is>
          <t>A 47602-2021</t>
        </is>
      </c>
      <c r="B507" s="1" t="n">
        <v>44448</v>
      </c>
      <c r="C507" s="1" t="n">
        <v>45880</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21258-2023</t>
        </is>
      </c>
      <c r="B508" s="1" t="n">
        <v>45058</v>
      </c>
      <c r="C508" s="1" t="n">
        <v>45880</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6711-2023</t>
        </is>
      </c>
      <c r="B509" s="1" t="n">
        <v>44960</v>
      </c>
      <c r="C509" s="1" t="n">
        <v>45880</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6715-2023</t>
        </is>
      </c>
      <c r="B510" s="1" t="n">
        <v>44960</v>
      </c>
      <c r="C510" s="1" t="n">
        <v>45880</v>
      </c>
      <c r="D510" t="inlineStr">
        <is>
          <t>VÄRMLANDS LÄN</t>
        </is>
      </c>
      <c r="E510" t="inlineStr">
        <is>
          <t>TORSBY</t>
        </is>
      </c>
      <c r="G510" t="n">
        <v>4.8</v>
      </c>
      <c r="H510" t="n">
        <v>0</v>
      </c>
      <c r="I510" t="n">
        <v>0</v>
      </c>
      <c r="J510" t="n">
        <v>0</v>
      </c>
      <c r="K510" t="n">
        <v>0</v>
      </c>
      <c r="L510" t="n">
        <v>0</v>
      </c>
      <c r="M510" t="n">
        <v>0</v>
      </c>
      <c r="N510" t="n">
        <v>0</v>
      </c>
      <c r="O510" t="n">
        <v>0</v>
      </c>
      <c r="P510" t="n">
        <v>0</v>
      </c>
      <c r="Q510" t="n">
        <v>0</v>
      </c>
      <c r="R510" s="2" t="inlineStr"/>
    </row>
    <row r="511" ht="15" customHeight="1">
      <c r="A511" t="inlineStr">
        <is>
          <t>A 62250-2023</t>
        </is>
      </c>
      <c r="B511" s="1" t="n">
        <v>45266</v>
      </c>
      <c r="C511" s="1" t="n">
        <v>45880</v>
      </c>
      <c r="D511" t="inlineStr">
        <is>
          <t>VÄRMLANDS LÄN</t>
        </is>
      </c>
      <c r="E511" t="inlineStr">
        <is>
          <t>TORSBY</t>
        </is>
      </c>
      <c r="G511" t="n">
        <v>4.7</v>
      </c>
      <c r="H511" t="n">
        <v>0</v>
      </c>
      <c r="I511" t="n">
        <v>0</v>
      </c>
      <c r="J511" t="n">
        <v>0</v>
      </c>
      <c r="K511" t="n">
        <v>0</v>
      </c>
      <c r="L511" t="n">
        <v>0</v>
      </c>
      <c r="M511" t="n">
        <v>0</v>
      </c>
      <c r="N511" t="n">
        <v>0</v>
      </c>
      <c r="O511" t="n">
        <v>0</v>
      </c>
      <c r="P511" t="n">
        <v>0</v>
      </c>
      <c r="Q511" t="n">
        <v>0</v>
      </c>
      <c r="R511" s="2" t="inlineStr"/>
    </row>
    <row r="512" ht="15" customHeight="1">
      <c r="A512" t="inlineStr">
        <is>
          <t>A 32340-2024</t>
        </is>
      </c>
      <c r="B512" s="1" t="n">
        <v>45512.50826388889</v>
      </c>
      <c r="C512" s="1" t="n">
        <v>45880</v>
      </c>
      <c r="D512" t="inlineStr">
        <is>
          <t>VÄRMLANDS LÄN</t>
        </is>
      </c>
      <c r="E512" t="inlineStr">
        <is>
          <t>TORSBY</t>
        </is>
      </c>
      <c r="G512" t="n">
        <v>9.9</v>
      </c>
      <c r="H512" t="n">
        <v>0</v>
      </c>
      <c r="I512" t="n">
        <v>0</v>
      </c>
      <c r="J512" t="n">
        <v>0</v>
      </c>
      <c r="K512" t="n">
        <v>0</v>
      </c>
      <c r="L512" t="n">
        <v>0</v>
      </c>
      <c r="M512" t="n">
        <v>0</v>
      </c>
      <c r="N512" t="n">
        <v>0</v>
      </c>
      <c r="O512" t="n">
        <v>0</v>
      </c>
      <c r="P512" t="n">
        <v>0</v>
      </c>
      <c r="Q512" t="n">
        <v>0</v>
      </c>
      <c r="R512" s="2" t="inlineStr"/>
    </row>
    <row r="513" ht="15" customHeight="1">
      <c r="A513" t="inlineStr">
        <is>
          <t>A 24696-2023</t>
        </is>
      </c>
      <c r="B513" s="1" t="n">
        <v>45084</v>
      </c>
      <c r="C513" s="1" t="n">
        <v>45880</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53460-2024</t>
        </is>
      </c>
      <c r="B514" s="1" t="n">
        <v>45611</v>
      </c>
      <c r="C514" s="1" t="n">
        <v>45880</v>
      </c>
      <c r="D514" t="inlineStr">
        <is>
          <t>VÄRMLANDS LÄN</t>
        </is>
      </c>
      <c r="E514" t="inlineStr">
        <is>
          <t>TORSBY</t>
        </is>
      </c>
      <c r="G514" t="n">
        <v>12.7</v>
      </c>
      <c r="H514" t="n">
        <v>0</v>
      </c>
      <c r="I514" t="n">
        <v>0</v>
      </c>
      <c r="J514" t="n">
        <v>0</v>
      </c>
      <c r="K514" t="n">
        <v>0</v>
      </c>
      <c r="L514" t="n">
        <v>0</v>
      </c>
      <c r="M514" t="n">
        <v>0</v>
      </c>
      <c r="N514" t="n">
        <v>0</v>
      </c>
      <c r="O514" t="n">
        <v>0</v>
      </c>
      <c r="P514" t="n">
        <v>0</v>
      </c>
      <c r="Q514" t="n">
        <v>0</v>
      </c>
      <c r="R514" s="2" t="inlineStr"/>
    </row>
    <row r="515" ht="15" customHeight="1">
      <c r="A515" t="inlineStr">
        <is>
          <t>A 19743-2025</t>
        </is>
      </c>
      <c r="B515" s="1" t="n">
        <v>45771.37554398148</v>
      </c>
      <c r="C515" s="1" t="n">
        <v>45880</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38086-2023</t>
        </is>
      </c>
      <c r="B516" s="1" t="n">
        <v>45160</v>
      </c>
      <c r="C516" s="1" t="n">
        <v>45880</v>
      </c>
      <c r="D516" t="inlineStr">
        <is>
          <t>VÄRMLANDS LÄN</t>
        </is>
      </c>
      <c r="E516" t="inlineStr">
        <is>
          <t>TORSBY</t>
        </is>
      </c>
      <c r="G516" t="n">
        <v>6.2</v>
      </c>
      <c r="H516" t="n">
        <v>0</v>
      </c>
      <c r="I516" t="n">
        <v>0</v>
      </c>
      <c r="J516" t="n">
        <v>0</v>
      </c>
      <c r="K516" t="n">
        <v>0</v>
      </c>
      <c r="L516" t="n">
        <v>0</v>
      </c>
      <c r="M516" t="n">
        <v>0</v>
      </c>
      <c r="N516" t="n">
        <v>0</v>
      </c>
      <c r="O516" t="n">
        <v>0</v>
      </c>
      <c r="P516" t="n">
        <v>0</v>
      </c>
      <c r="Q516" t="n">
        <v>0</v>
      </c>
      <c r="R516" s="2" t="inlineStr"/>
    </row>
    <row r="517" ht="15" customHeight="1">
      <c r="A517" t="inlineStr">
        <is>
          <t>A 48629-2024</t>
        </is>
      </c>
      <c r="B517" s="1" t="n">
        <v>45593.46605324074</v>
      </c>
      <c r="C517" s="1" t="n">
        <v>45880</v>
      </c>
      <c r="D517" t="inlineStr">
        <is>
          <t>VÄRMLANDS LÄN</t>
        </is>
      </c>
      <c r="E517" t="inlineStr">
        <is>
          <t>TORSBY</t>
        </is>
      </c>
      <c r="G517" t="n">
        <v>2.6</v>
      </c>
      <c r="H517" t="n">
        <v>0</v>
      </c>
      <c r="I517" t="n">
        <v>0</v>
      </c>
      <c r="J517" t="n">
        <v>0</v>
      </c>
      <c r="K517" t="n">
        <v>0</v>
      </c>
      <c r="L517" t="n">
        <v>0</v>
      </c>
      <c r="M517" t="n">
        <v>0</v>
      </c>
      <c r="N517" t="n">
        <v>0</v>
      </c>
      <c r="O517" t="n">
        <v>0</v>
      </c>
      <c r="P517" t="n">
        <v>0</v>
      </c>
      <c r="Q517" t="n">
        <v>0</v>
      </c>
      <c r="R517" s="2" t="inlineStr"/>
    </row>
    <row r="518" ht="15" customHeight="1">
      <c r="A518" t="inlineStr">
        <is>
          <t>A 20721-2023</t>
        </is>
      </c>
      <c r="B518" s="1" t="n">
        <v>45058</v>
      </c>
      <c r="C518" s="1" t="n">
        <v>45880</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20298-2023</t>
        </is>
      </c>
      <c r="B519" s="1" t="n">
        <v>45056</v>
      </c>
      <c r="C519" s="1" t="n">
        <v>45880</v>
      </c>
      <c r="D519" t="inlineStr">
        <is>
          <t>VÄRMLANDS LÄN</t>
        </is>
      </c>
      <c r="E519" t="inlineStr">
        <is>
          <t>TORSBY</t>
        </is>
      </c>
      <c r="F519" t="inlineStr">
        <is>
          <t>Kyrkan</t>
        </is>
      </c>
      <c r="G519" t="n">
        <v>2</v>
      </c>
      <c r="H519" t="n">
        <v>0</v>
      </c>
      <c r="I519" t="n">
        <v>0</v>
      </c>
      <c r="J519" t="n">
        <v>0</v>
      </c>
      <c r="K519" t="n">
        <v>0</v>
      </c>
      <c r="L519" t="n">
        <v>0</v>
      </c>
      <c r="M519" t="n">
        <v>0</v>
      </c>
      <c r="N519" t="n">
        <v>0</v>
      </c>
      <c r="O519" t="n">
        <v>0</v>
      </c>
      <c r="P519" t="n">
        <v>0</v>
      </c>
      <c r="Q519" t="n">
        <v>0</v>
      </c>
      <c r="R519" s="2" t="inlineStr"/>
    </row>
    <row r="520" ht="15" customHeight="1">
      <c r="A520" t="inlineStr">
        <is>
          <t>A 70658-2021</t>
        </is>
      </c>
      <c r="B520" s="1" t="n">
        <v>44537.52368055555</v>
      </c>
      <c r="C520" s="1" t="n">
        <v>45880</v>
      </c>
      <c r="D520" t="inlineStr">
        <is>
          <t>VÄRMLANDS LÄN</t>
        </is>
      </c>
      <c r="E520" t="inlineStr">
        <is>
          <t>TORSBY</t>
        </is>
      </c>
      <c r="G520" t="n">
        <v>1.9</v>
      </c>
      <c r="H520" t="n">
        <v>0</v>
      </c>
      <c r="I520" t="n">
        <v>0</v>
      </c>
      <c r="J520" t="n">
        <v>0</v>
      </c>
      <c r="K520" t="n">
        <v>0</v>
      </c>
      <c r="L520" t="n">
        <v>0</v>
      </c>
      <c r="M520" t="n">
        <v>0</v>
      </c>
      <c r="N520" t="n">
        <v>0</v>
      </c>
      <c r="O520" t="n">
        <v>0</v>
      </c>
      <c r="P520" t="n">
        <v>0</v>
      </c>
      <c r="Q520" t="n">
        <v>0</v>
      </c>
      <c r="R520" s="2" t="inlineStr"/>
    </row>
    <row r="521" ht="15" customHeight="1">
      <c r="A521" t="inlineStr">
        <is>
          <t>A 22030-2023</t>
        </is>
      </c>
      <c r="B521" s="1" t="n">
        <v>45069</v>
      </c>
      <c r="C521" s="1" t="n">
        <v>45880</v>
      </c>
      <c r="D521" t="inlineStr">
        <is>
          <t>VÄRMLANDS LÄN</t>
        </is>
      </c>
      <c r="E521" t="inlineStr">
        <is>
          <t>TORSBY</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37929-2022</t>
        </is>
      </c>
      <c r="B522" s="1" t="n">
        <v>44811.45628472222</v>
      </c>
      <c r="C522" s="1" t="n">
        <v>45880</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37401-2022</t>
        </is>
      </c>
      <c r="B523" s="1" t="n">
        <v>44809</v>
      </c>
      <c r="C523" s="1" t="n">
        <v>45880</v>
      </c>
      <c r="D523" t="inlineStr">
        <is>
          <t>VÄRMLANDS LÄN</t>
        </is>
      </c>
      <c r="E523" t="inlineStr">
        <is>
          <t>TORSBY</t>
        </is>
      </c>
      <c r="G523" t="n">
        <v>1.2</v>
      </c>
      <c r="H523" t="n">
        <v>0</v>
      </c>
      <c r="I523" t="n">
        <v>0</v>
      </c>
      <c r="J523" t="n">
        <v>0</v>
      </c>
      <c r="K523" t="n">
        <v>0</v>
      </c>
      <c r="L523" t="n">
        <v>0</v>
      </c>
      <c r="M523" t="n">
        <v>0</v>
      </c>
      <c r="N523" t="n">
        <v>0</v>
      </c>
      <c r="O523" t="n">
        <v>0</v>
      </c>
      <c r="P523" t="n">
        <v>0</v>
      </c>
      <c r="Q523" t="n">
        <v>0</v>
      </c>
      <c r="R523" s="2" t="inlineStr"/>
    </row>
    <row r="524" ht="15" customHeight="1">
      <c r="A524" t="inlineStr">
        <is>
          <t>A 6653-2025</t>
        </is>
      </c>
      <c r="B524" s="1" t="n">
        <v>45700.42601851852</v>
      </c>
      <c r="C524" s="1" t="n">
        <v>45880</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27273-2024</t>
        </is>
      </c>
      <c r="B525" s="1" t="n">
        <v>45471.84013888889</v>
      </c>
      <c r="C525" s="1" t="n">
        <v>45880</v>
      </c>
      <c r="D525" t="inlineStr">
        <is>
          <t>VÄRMLANDS LÄN</t>
        </is>
      </c>
      <c r="E525" t="inlineStr">
        <is>
          <t>TORSBY</t>
        </is>
      </c>
      <c r="G525" t="n">
        <v>4.1</v>
      </c>
      <c r="H525" t="n">
        <v>0</v>
      </c>
      <c r="I525" t="n">
        <v>0</v>
      </c>
      <c r="J525" t="n">
        <v>0</v>
      </c>
      <c r="K525" t="n">
        <v>0</v>
      </c>
      <c r="L525" t="n">
        <v>0</v>
      </c>
      <c r="M525" t="n">
        <v>0</v>
      </c>
      <c r="N525" t="n">
        <v>0</v>
      </c>
      <c r="O525" t="n">
        <v>0</v>
      </c>
      <c r="P525" t="n">
        <v>0</v>
      </c>
      <c r="Q525" t="n">
        <v>0</v>
      </c>
      <c r="R525" s="2" t="inlineStr"/>
    </row>
    <row r="526" ht="15" customHeight="1">
      <c r="A526" t="inlineStr">
        <is>
          <t>A 27275-2024</t>
        </is>
      </c>
      <c r="B526" s="1" t="n">
        <v>45471.85645833334</v>
      </c>
      <c r="C526" s="1" t="n">
        <v>45880</v>
      </c>
      <c r="D526" t="inlineStr">
        <is>
          <t>VÄRMLANDS LÄN</t>
        </is>
      </c>
      <c r="E526" t="inlineStr">
        <is>
          <t>TORSBY</t>
        </is>
      </c>
      <c r="G526" t="n">
        <v>0.6</v>
      </c>
      <c r="H526" t="n">
        <v>0</v>
      </c>
      <c r="I526" t="n">
        <v>0</v>
      </c>
      <c r="J526" t="n">
        <v>0</v>
      </c>
      <c r="K526" t="n">
        <v>0</v>
      </c>
      <c r="L526" t="n">
        <v>0</v>
      </c>
      <c r="M526" t="n">
        <v>0</v>
      </c>
      <c r="N526" t="n">
        <v>0</v>
      </c>
      <c r="O526" t="n">
        <v>0</v>
      </c>
      <c r="P526" t="n">
        <v>0</v>
      </c>
      <c r="Q526" t="n">
        <v>0</v>
      </c>
      <c r="R526" s="2" t="inlineStr"/>
    </row>
    <row r="527" ht="15" customHeight="1">
      <c r="A527" t="inlineStr">
        <is>
          <t>A 54204-2023</t>
        </is>
      </c>
      <c r="B527" s="1" t="n">
        <v>45232.56141203704</v>
      </c>
      <c r="C527" s="1" t="n">
        <v>45880</v>
      </c>
      <c r="D527" t="inlineStr">
        <is>
          <t>VÄRMLANDS LÄN</t>
        </is>
      </c>
      <c r="E527" t="inlineStr">
        <is>
          <t>TORSBY</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48305-2024</t>
        </is>
      </c>
      <c r="B528" s="1" t="n">
        <v>45590</v>
      </c>
      <c r="C528" s="1" t="n">
        <v>45880</v>
      </c>
      <c r="D528" t="inlineStr">
        <is>
          <t>VÄRMLANDS LÄN</t>
        </is>
      </c>
      <c r="E528" t="inlineStr">
        <is>
          <t>TORSBY</t>
        </is>
      </c>
      <c r="F528" t="inlineStr">
        <is>
          <t>Bergvik skog väst AB</t>
        </is>
      </c>
      <c r="G528" t="n">
        <v>5.9</v>
      </c>
      <c r="H528" t="n">
        <v>0</v>
      </c>
      <c r="I528" t="n">
        <v>0</v>
      </c>
      <c r="J528" t="n">
        <v>0</v>
      </c>
      <c r="K528" t="n">
        <v>0</v>
      </c>
      <c r="L528" t="n">
        <v>0</v>
      </c>
      <c r="M528" t="n">
        <v>0</v>
      </c>
      <c r="N528" t="n">
        <v>0</v>
      </c>
      <c r="O528" t="n">
        <v>0</v>
      </c>
      <c r="P528" t="n">
        <v>0</v>
      </c>
      <c r="Q528" t="n">
        <v>0</v>
      </c>
      <c r="R528" s="2" t="inlineStr"/>
    </row>
    <row r="529" ht="15" customHeight="1">
      <c r="A529" t="inlineStr">
        <is>
          <t>A 18314-2025</t>
        </is>
      </c>
      <c r="B529" s="1" t="n">
        <v>45762.44986111111</v>
      </c>
      <c r="C529" s="1" t="n">
        <v>45880</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235-2024</t>
        </is>
      </c>
      <c r="B530" s="1" t="n">
        <v>45294.85100694445</v>
      </c>
      <c r="C530" s="1" t="n">
        <v>45880</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25579-2023</t>
        </is>
      </c>
      <c r="B531" s="1" t="n">
        <v>45089.62266203704</v>
      </c>
      <c r="C531" s="1" t="n">
        <v>45880</v>
      </c>
      <c r="D531" t="inlineStr">
        <is>
          <t>VÄRMLANDS LÄN</t>
        </is>
      </c>
      <c r="E531" t="inlineStr">
        <is>
          <t>TORSBY</t>
        </is>
      </c>
      <c r="G531" t="n">
        <v>1.2</v>
      </c>
      <c r="H531" t="n">
        <v>0</v>
      </c>
      <c r="I531" t="n">
        <v>0</v>
      </c>
      <c r="J531" t="n">
        <v>0</v>
      </c>
      <c r="K531" t="n">
        <v>0</v>
      </c>
      <c r="L531" t="n">
        <v>0</v>
      </c>
      <c r="M531" t="n">
        <v>0</v>
      </c>
      <c r="N531" t="n">
        <v>0</v>
      </c>
      <c r="O531" t="n">
        <v>0</v>
      </c>
      <c r="P531" t="n">
        <v>0</v>
      </c>
      <c r="Q531" t="n">
        <v>0</v>
      </c>
      <c r="R531" s="2" t="inlineStr"/>
    </row>
    <row r="532" ht="15" customHeight="1">
      <c r="A532" t="inlineStr">
        <is>
          <t>A 18308-2024</t>
        </is>
      </c>
      <c r="B532" s="1" t="n">
        <v>45422</v>
      </c>
      <c r="C532" s="1" t="n">
        <v>45880</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23823-2021</t>
        </is>
      </c>
      <c r="B533" s="1" t="n">
        <v>44335</v>
      </c>
      <c r="C533" s="1" t="n">
        <v>45880</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39770-2024</t>
        </is>
      </c>
      <c r="B534" s="1" t="n">
        <v>45552</v>
      </c>
      <c r="C534" s="1" t="n">
        <v>45880</v>
      </c>
      <c r="D534" t="inlineStr">
        <is>
          <t>VÄRMLANDS LÄN</t>
        </is>
      </c>
      <c r="E534" t="inlineStr">
        <is>
          <t>TORSBY</t>
        </is>
      </c>
      <c r="G534" t="n">
        <v>1.5</v>
      </c>
      <c r="H534" t="n">
        <v>0</v>
      </c>
      <c r="I534" t="n">
        <v>0</v>
      </c>
      <c r="J534" t="n">
        <v>0</v>
      </c>
      <c r="K534" t="n">
        <v>0</v>
      </c>
      <c r="L534" t="n">
        <v>0</v>
      </c>
      <c r="M534" t="n">
        <v>0</v>
      </c>
      <c r="N534" t="n">
        <v>0</v>
      </c>
      <c r="O534" t="n">
        <v>0</v>
      </c>
      <c r="P534" t="n">
        <v>0</v>
      </c>
      <c r="Q534" t="n">
        <v>0</v>
      </c>
      <c r="R534" s="2" t="inlineStr"/>
    </row>
    <row r="535" ht="15" customHeight="1">
      <c r="A535" t="inlineStr">
        <is>
          <t>A 46195-2023</t>
        </is>
      </c>
      <c r="B535" s="1" t="n">
        <v>45196</v>
      </c>
      <c r="C535" s="1" t="n">
        <v>45880</v>
      </c>
      <c r="D535" t="inlineStr">
        <is>
          <t>VÄRMLANDS LÄN</t>
        </is>
      </c>
      <c r="E535" t="inlineStr">
        <is>
          <t>TORSBY</t>
        </is>
      </c>
      <c r="G535" t="n">
        <v>2.3</v>
      </c>
      <c r="H535" t="n">
        <v>0</v>
      </c>
      <c r="I535" t="n">
        <v>0</v>
      </c>
      <c r="J535" t="n">
        <v>0</v>
      </c>
      <c r="K535" t="n">
        <v>0</v>
      </c>
      <c r="L535" t="n">
        <v>0</v>
      </c>
      <c r="M535" t="n">
        <v>0</v>
      </c>
      <c r="N535" t="n">
        <v>0</v>
      </c>
      <c r="O535" t="n">
        <v>0</v>
      </c>
      <c r="P535" t="n">
        <v>0</v>
      </c>
      <c r="Q535" t="n">
        <v>0</v>
      </c>
      <c r="R535" s="2" t="inlineStr"/>
    </row>
    <row r="536" ht="15" customHeight="1">
      <c r="A536" t="inlineStr">
        <is>
          <t>A 34105-2023</t>
        </is>
      </c>
      <c r="B536" s="1" t="n">
        <v>45126</v>
      </c>
      <c r="C536" s="1" t="n">
        <v>45880</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7178-2025</t>
        </is>
      </c>
      <c r="B537" s="1" t="n">
        <v>45702.42493055556</v>
      </c>
      <c r="C537" s="1" t="n">
        <v>45880</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55100-2023</t>
        </is>
      </c>
      <c r="B538" s="1" t="n">
        <v>45237.45715277778</v>
      </c>
      <c r="C538" s="1" t="n">
        <v>45880</v>
      </c>
      <c r="D538" t="inlineStr">
        <is>
          <t>VÄRMLANDS LÄN</t>
        </is>
      </c>
      <c r="E538" t="inlineStr">
        <is>
          <t>TORSBY</t>
        </is>
      </c>
      <c r="G538" t="n">
        <v>0.9</v>
      </c>
      <c r="H538" t="n">
        <v>0</v>
      </c>
      <c r="I538" t="n">
        <v>0</v>
      </c>
      <c r="J538" t="n">
        <v>0</v>
      </c>
      <c r="K538" t="n">
        <v>0</v>
      </c>
      <c r="L538" t="n">
        <v>0</v>
      </c>
      <c r="M538" t="n">
        <v>0</v>
      </c>
      <c r="N538" t="n">
        <v>0</v>
      </c>
      <c r="O538" t="n">
        <v>0</v>
      </c>
      <c r="P538" t="n">
        <v>0</v>
      </c>
      <c r="Q538" t="n">
        <v>0</v>
      </c>
      <c r="R538" s="2" t="inlineStr"/>
    </row>
    <row r="539" ht="15" customHeight="1">
      <c r="A539" t="inlineStr">
        <is>
          <t>A 58707-2024</t>
        </is>
      </c>
      <c r="B539" s="1" t="n">
        <v>45635</v>
      </c>
      <c r="C539" s="1" t="n">
        <v>45880</v>
      </c>
      <c r="D539" t="inlineStr">
        <is>
          <t>VÄRMLANDS LÄN</t>
        </is>
      </c>
      <c r="E539" t="inlineStr">
        <is>
          <t>TORSBY</t>
        </is>
      </c>
      <c r="G539" t="n">
        <v>0.9</v>
      </c>
      <c r="H539" t="n">
        <v>0</v>
      </c>
      <c r="I539" t="n">
        <v>0</v>
      </c>
      <c r="J539" t="n">
        <v>0</v>
      </c>
      <c r="K539" t="n">
        <v>0</v>
      </c>
      <c r="L539" t="n">
        <v>0</v>
      </c>
      <c r="M539" t="n">
        <v>0</v>
      </c>
      <c r="N539" t="n">
        <v>0</v>
      </c>
      <c r="O539" t="n">
        <v>0</v>
      </c>
      <c r="P539" t="n">
        <v>0</v>
      </c>
      <c r="Q539" t="n">
        <v>0</v>
      </c>
      <c r="R539" s="2" t="inlineStr"/>
    </row>
    <row r="540" ht="15" customHeight="1">
      <c r="A540" t="inlineStr">
        <is>
          <t>A 56634-2024</t>
        </is>
      </c>
      <c r="B540" s="1" t="n">
        <v>45625.68491898148</v>
      </c>
      <c r="C540" s="1" t="n">
        <v>45880</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49717-2023</t>
        </is>
      </c>
      <c r="B541" s="1" t="n">
        <v>45208</v>
      </c>
      <c r="C541" s="1" t="n">
        <v>45880</v>
      </c>
      <c r="D541" t="inlineStr">
        <is>
          <t>VÄRMLANDS LÄN</t>
        </is>
      </c>
      <c r="E541" t="inlineStr">
        <is>
          <t>TORSBY</t>
        </is>
      </c>
      <c r="G541" t="n">
        <v>5.9</v>
      </c>
      <c r="H541" t="n">
        <v>0</v>
      </c>
      <c r="I541" t="n">
        <v>0</v>
      </c>
      <c r="J541" t="n">
        <v>0</v>
      </c>
      <c r="K541" t="n">
        <v>0</v>
      </c>
      <c r="L541" t="n">
        <v>0</v>
      </c>
      <c r="M541" t="n">
        <v>0</v>
      </c>
      <c r="N541" t="n">
        <v>0</v>
      </c>
      <c r="O541" t="n">
        <v>0</v>
      </c>
      <c r="P541" t="n">
        <v>0</v>
      </c>
      <c r="Q541" t="n">
        <v>0</v>
      </c>
      <c r="R541" s="2" t="inlineStr"/>
    </row>
    <row r="542" ht="15" customHeight="1">
      <c r="A542" t="inlineStr">
        <is>
          <t>A 54011-2024</t>
        </is>
      </c>
      <c r="B542" s="1" t="n">
        <v>45616.37576388889</v>
      </c>
      <c r="C542" s="1" t="n">
        <v>45880</v>
      </c>
      <c r="D542" t="inlineStr">
        <is>
          <t>VÄRMLANDS LÄN</t>
        </is>
      </c>
      <c r="E542" t="inlineStr">
        <is>
          <t>TORSBY</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54026-2024</t>
        </is>
      </c>
      <c r="B543" s="1" t="n">
        <v>45616</v>
      </c>
      <c r="C543" s="1" t="n">
        <v>45880</v>
      </c>
      <c r="D543" t="inlineStr">
        <is>
          <t>VÄRMLANDS LÄN</t>
        </is>
      </c>
      <c r="E543" t="inlineStr">
        <is>
          <t>TORSBY</t>
        </is>
      </c>
      <c r="G543" t="n">
        <v>8.4</v>
      </c>
      <c r="H543" t="n">
        <v>0</v>
      </c>
      <c r="I543" t="n">
        <v>0</v>
      </c>
      <c r="J543" t="n">
        <v>0</v>
      </c>
      <c r="K543" t="n">
        <v>0</v>
      </c>
      <c r="L543" t="n">
        <v>0</v>
      </c>
      <c r="M543" t="n">
        <v>0</v>
      </c>
      <c r="N543" t="n">
        <v>0</v>
      </c>
      <c r="O543" t="n">
        <v>0</v>
      </c>
      <c r="P543" t="n">
        <v>0</v>
      </c>
      <c r="Q543" t="n">
        <v>0</v>
      </c>
      <c r="R543" s="2" t="inlineStr"/>
    </row>
    <row r="544" ht="15" customHeight="1">
      <c r="A544" t="inlineStr">
        <is>
          <t>A 61251-2024</t>
        </is>
      </c>
      <c r="B544" s="1" t="n">
        <v>45645</v>
      </c>
      <c r="C544" s="1" t="n">
        <v>45880</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61259-2024</t>
        </is>
      </c>
      <c r="B545" s="1" t="n">
        <v>45645.71188657408</v>
      </c>
      <c r="C545" s="1" t="n">
        <v>45880</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9729-2025</t>
        </is>
      </c>
      <c r="B546" s="1" t="n">
        <v>45715</v>
      </c>
      <c r="C546" s="1" t="n">
        <v>45880</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22826-2022</t>
        </is>
      </c>
      <c r="B547" s="1" t="n">
        <v>44714</v>
      </c>
      <c r="C547" s="1" t="n">
        <v>45880</v>
      </c>
      <c r="D547" t="inlineStr">
        <is>
          <t>VÄRMLANDS LÄN</t>
        </is>
      </c>
      <c r="E547" t="inlineStr">
        <is>
          <t>TORSBY</t>
        </is>
      </c>
      <c r="G547" t="n">
        <v>6.2</v>
      </c>
      <c r="H547" t="n">
        <v>0</v>
      </c>
      <c r="I547" t="n">
        <v>0</v>
      </c>
      <c r="J547" t="n">
        <v>0</v>
      </c>
      <c r="K547" t="n">
        <v>0</v>
      </c>
      <c r="L547" t="n">
        <v>0</v>
      </c>
      <c r="M547" t="n">
        <v>0</v>
      </c>
      <c r="N547" t="n">
        <v>0</v>
      </c>
      <c r="O547" t="n">
        <v>0</v>
      </c>
      <c r="P547" t="n">
        <v>0</v>
      </c>
      <c r="Q547" t="n">
        <v>0</v>
      </c>
      <c r="R547" s="2" t="inlineStr"/>
    </row>
    <row r="548" ht="15" customHeight="1">
      <c r="A548" t="inlineStr">
        <is>
          <t>A 2616-2025</t>
        </is>
      </c>
      <c r="B548" s="1" t="n">
        <v>45675</v>
      </c>
      <c r="C548" s="1" t="n">
        <v>45880</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20528-2023</t>
        </is>
      </c>
      <c r="B549" s="1" t="n">
        <v>45057</v>
      </c>
      <c r="C549" s="1" t="n">
        <v>45880</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43060-2021</t>
        </is>
      </c>
      <c r="B550" s="1" t="n">
        <v>44431</v>
      </c>
      <c r="C550" s="1" t="n">
        <v>45880</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22687-2023</t>
        </is>
      </c>
      <c r="B551" s="1" t="n">
        <v>45071</v>
      </c>
      <c r="C551" s="1" t="n">
        <v>45880</v>
      </c>
      <c r="D551" t="inlineStr">
        <is>
          <t>VÄRMLANDS LÄN</t>
        </is>
      </c>
      <c r="E551" t="inlineStr">
        <is>
          <t>TORSBY</t>
        </is>
      </c>
      <c r="F551" t="inlineStr">
        <is>
          <t>Bergvik skog väst AB</t>
        </is>
      </c>
      <c r="G551" t="n">
        <v>5.8</v>
      </c>
      <c r="H551" t="n">
        <v>0</v>
      </c>
      <c r="I551" t="n">
        <v>0</v>
      </c>
      <c r="J551" t="n">
        <v>0</v>
      </c>
      <c r="K551" t="n">
        <v>0</v>
      </c>
      <c r="L551" t="n">
        <v>0</v>
      </c>
      <c r="M551" t="n">
        <v>0</v>
      </c>
      <c r="N551" t="n">
        <v>0</v>
      </c>
      <c r="O551" t="n">
        <v>0</v>
      </c>
      <c r="P551" t="n">
        <v>0</v>
      </c>
      <c r="Q551" t="n">
        <v>0</v>
      </c>
      <c r="R551" s="2" t="inlineStr"/>
    </row>
    <row r="552" ht="15" customHeight="1">
      <c r="A552" t="inlineStr">
        <is>
          <t>A 50486-2020</t>
        </is>
      </c>
      <c r="B552" s="1" t="n">
        <v>44110</v>
      </c>
      <c r="C552" s="1" t="n">
        <v>45880</v>
      </c>
      <c r="D552" t="inlineStr">
        <is>
          <t>VÄRMLANDS LÄN</t>
        </is>
      </c>
      <c r="E552" t="inlineStr">
        <is>
          <t>TORSBY</t>
        </is>
      </c>
      <c r="G552" t="n">
        <v>2.2</v>
      </c>
      <c r="H552" t="n">
        <v>0</v>
      </c>
      <c r="I552" t="n">
        <v>0</v>
      </c>
      <c r="J552" t="n">
        <v>0</v>
      </c>
      <c r="K552" t="n">
        <v>0</v>
      </c>
      <c r="L552" t="n">
        <v>0</v>
      </c>
      <c r="M552" t="n">
        <v>0</v>
      </c>
      <c r="N552" t="n">
        <v>0</v>
      </c>
      <c r="O552" t="n">
        <v>0</v>
      </c>
      <c r="P552" t="n">
        <v>0</v>
      </c>
      <c r="Q552" t="n">
        <v>0</v>
      </c>
      <c r="R552" s="2" t="inlineStr"/>
    </row>
    <row r="553" ht="15" customHeight="1">
      <c r="A553" t="inlineStr">
        <is>
          <t>A 23572-2023</t>
        </is>
      </c>
      <c r="B553" s="1" t="n">
        <v>45077</v>
      </c>
      <c r="C553" s="1" t="n">
        <v>45880</v>
      </c>
      <c r="D553" t="inlineStr">
        <is>
          <t>VÄRMLANDS LÄN</t>
        </is>
      </c>
      <c r="E553" t="inlineStr">
        <is>
          <t>TORSBY</t>
        </is>
      </c>
      <c r="G553" t="n">
        <v>4.4</v>
      </c>
      <c r="H553" t="n">
        <v>0</v>
      </c>
      <c r="I553" t="n">
        <v>0</v>
      </c>
      <c r="J553" t="n">
        <v>0</v>
      </c>
      <c r="K553" t="n">
        <v>0</v>
      </c>
      <c r="L553" t="n">
        <v>0</v>
      </c>
      <c r="M553" t="n">
        <v>0</v>
      </c>
      <c r="N553" t="n">
        <v>0</v>
      </c>
      <c r="O553" t="n">
        <v>0</v>
      </c>
      <c r="P553" t="n">
        <v>0</v>
      </c>
      <c r="Q553" t="n">
        <v>0</v>
      </c>
      <c r="R553" s="2" t="inlineStr"/>
    </row>
    <row r="554" ht="15" customHeight="1">
      <c r="A554" t="inlineStr">
        <is>
          <t>A 20149-2025</t>
        </is>
      </c>
      <c r="B554" s="1" t="n">
        <v>45772</v>
      </c>
      <c r="C554" s="1" t="n">
        <v>45880</v>
      </c>
      <c r="D554" t="inlineStr">
        <is>
          <t>VÄRMLANDS LÄN</t>
        </is>
      </c>
      <c r="E554" t="inlineStr">
        <is>
          <t>TORSBY</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17018-2025</t>
        </is>
      </c>
      <c r="B555" s="1" t="n">
        <v>45755</v>
      </c>
      <c r="C555" s="1" t="n">
        <v>45880</v>
      </c>
      <c r="D555" t="inlineStr">
        <is>
          <t>VÄRMLANDS LÄN</t>
        </is>
      </c>
      <c r="E555" t="inlineStr">
        <is>
          <t>TORSBY</t>
        </is>
      </c>
      <c r="G555" t="n">
        <v>2.8</v>
      </c>
      <c r="H555" t="n">
        <v>0</v>
      </c>
      <c r="I555" t="n">
        <v>0</v>
      </c>
      <c r="J555" t="n">
        <v>0</v>
      </c>
      <c r="K555" t="n">
        <v>0</v>
      </c>
      <c r="L555" t="n">
        <v>0</v>
      </c>
      <c r="M555" t="n">
        <v>0</v>
      </c>
      <c r="N555" t="n">
        <v>0</v>
      </c>
      <c r="O555" t="n">
        <v>0</v>
      </c>
      <c r="P555" t="n">
        <v>0</v>
      </c>
      <c r="Q555" t="n">
        <v>0</v>
      </c>
      <c r="R555" s="2" t="inlineStr"/>
    </row>
    <row r="556" ht="15" customHeight="1">
      <c r="A556" t="inlineStr">
        <is>
          <t>A 54777-2023</t>
        </is>
      </c>
      <c r="B556" s="1" t="n">
        <v>45236</v>
      </c>
      <c r="C556" s="1" t="n">
        <v>45880</v>
      </c>
      <c r="D556" t="inlineStr">
        <is>
          <t>VÄRMLANDS LÄN</t>
        </is>
      </c>
      <c r="E556" t="inlineStr">
        <is>
          <t>TORSBY</t>
        </is>
      </c>
      <c r="F556" t="inlineStr">
        <is>
          <t>Bergvik skog väst AB</t>
        </is>
      </c>
      <c r="G556" t="n">
        <v>7.9</v>
      </c>
      <c r="H556" t="n">
        <v>0</v>
      </c>
      <c r="I556" t="n">
        <v>0</v>
      </c>
      <c r="J556" t="n">
        <v>0</v>
      </c>
      <c r="K556" t="n">
        <v>0</v>
      </c>
      <c r="L556" t="n">
        <v>0</v>
      </c>
      <c r="M556" t="n">
        <v>0</v>
      </c>
      <c r="N556" t="n">
        <v>0</v>
      </c>
      <c r="O556" t="n">
        <v>0</v>
      </c>
      <c r="P556" t="n">
        <v>0</v>
      </c>
      <c r="Q556" t="n">
        <v>0</v>
      </c>
      <c r="R556" s="2" t="inlineStr"/>
    </row>
    <row r="557" ht="15" customHeight="1">
      <c r="A557" t="inlineStr">
        <is>
          <t>A 11187-2024</t>
        </is>
      </c>
      <c r="B557" s="1" t="n">
        <v>45371</v>
      </c>
      <c r="C557" s="1" t="n">
        <v>45880</v>
      </c>
      <c r="D557" t="inlineStr">
        <is>
          <t>VÄRMLANDS LÄN</t>
        </is>
      </c>
      <c r="E557" t="inlineStr">
        <is>
          <t>TORSBY</t>
        </is>
      </c>
      <c r="G557" t="n">
        <v>8</v>
      </c>
      <c r="H557" t="n">
        <v>0</v>
      </c>
      <c r="I557" t="n">
        <v>0</v>
      </c>
      <c r="J557" t="n">
        <v>0</v>
      </c>
      <c r="K557" t="n">
        <v>0</v>
      </c>
      <c r="L557" t="n">
        <v>0</v>
      </c>
      <c r="M557" t="n">
        <v>0</v>
      </c>
      <c r="N557" t="n">
        <v>0</v>
      </c>
      <c r="O557" t="n">
        <v>0</v>
      </c>
      <c r="P557" t="n">
        <v>0</v>
      </c>
      <c r="Q557" t="n">
        <v>0</v>
      </c>
      <c r="R557" s="2" t="inlineStr"/>
    </row>
    <row r="558" ht="15" customHeight="1">
      <c r="A558" t="inlineStr">
        <is>
          <t>A 48106-2023</t>
        </is>
      </c>
      <c r="B558" s="1" t="n">
        <v>45205.3434837963</v>
      </c>
      <c r="C558" s="1" t="n">
        <v>45880</v>
      </c>
      <c r="D558" t="inlineStr">
        <is>
          <t>VÄRMLANDS LÄN</t>
        </is>
      </c>
      <c r="E558" t="inlineStr">
        <is>
          <t>TORSBY</t>
        </is>
      </c>
      <c r="G558" t="n">
        <v>3.9</v>
      </c>
      <c r="H558" t="n">
        <v>0</v>
      </c>
      <c r="I558" t="n">
        <v>0</v>
      </c>
      <c r="J558" t="n">
        <v>0</v>
      </c>
      <c r="K558" t="n">
        <v>0</v>
      </c>
      <c r="L558" t="n">
        <v>0</v>
      </c>
      <c r="M558" t="n">
        <v>0</v>
      </c>
      <c r="N558" t="n">
        <v>0</v>
      </c>
      <c r="O558" t="n">
        <v>0</v>
      </c>
      <c r="P558" t="n">
        <v>0</v>
      </c>
      <c r="Q558" t="n">
        <v>0</v>
      </c>
      <c r="R558" s="2" t="inlineStr"/>
    </row>
    <row r="559" ht="15" customHeight="1">
      <c r="A559" t="inlineStr">
        <is>
          <t>A 54162-2023</t>
        </is>
      </c>
      <c r="B559" s="1" t="n">
        <v>45232.47539351852</v>
      </c>
      <c r="C559" s="1" t="n">
        <v>45880</v>
      </c>
      <c r="D559" t="inlineStr">
        <is>
          <t>VÄRMLANDS LÄN</t>
        </is>
      </c>
      <c r="E559" t="inlineStr">
        <is>
          <t>TORSBY</t>
        </is>
      </c>
      <c r="F559" t="inlineStr">
        <is>
          <t>Bergvik skog väst AB</t>
        </is>
      </c>
      <c r="G559" t="n">
        <v>8.4</v>
      </c>
      <c r="H559" t="n">
        <v>0</v>
      </c>
      <c r="I559" t="n">
        <v>0</v>
      </c>
      <c r="J559" t="n">
        <v>0</v>
      </c>
      <c r="K559" t="n">
        <v>0</v>
      </c>
      <c r="L559" t="n">
        <v>0</v>
      </c>
      <c r="M559" t="n">
        <v>0</v>
      </c>
      <c r="N559" t="n">
        <v>0</v>
      </c>
      <c r="O559" t="n">
        <v>0</v>
      </c>
      <c r="P559" t="n">
        <v>0</v>
      </c>
      <c r="Q559" t="n">
        <v>0</v>
      </c>
      <c r="R559" s="2" t="inlineStr"/>
    </row>
    <row r="560" ht="15" customHeight="1">
      <c r="A560" t="inlineStr">
        <is>
          <t>A 54191-2023</t>
        </is>
      </c>
      <c r="B560" s="1" t="n">
        <v>45232</v>
      </c>
      <c r="C560" s="1" t="n">
        <v>45880</v>
      </c>
      <c r="D560" t="inlineStr">
        <is>
          <t>VÄRMLANDS LÄN</t>
        </is>
      </c>
      <c r="E560" t="inlineStr">
        <is>
          <t>TORSBY</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16789-2024</t>
        </is>
      </c>
      <c r="B561" s="1" t="n">
        <v>45411</v>
      </c>
      <c r="C561" s="1" t="n">
        <v>45880</v>
      </c>
      <c r="D561" t="inlineStr">
        <is>
          <t>VÄRMLANDS LÄN</t>
        </is>
      </c>
      <c r="E561" t="inlineStr">
        <is>
          <t>TORSBY</t>
        </is>
      </c>
      <c r="G561" t="n">
        <v>2.4</v>
      </c>
      <c r="H561" t="n">
        <v>0</v>
      </c>
      <c r="I561" t="n">
        <v>0</v>
      </c>
      <c r="J561" t="n">
        <v>0</v>
      </c>
      <c r="K561" t="n">
        <v>0</v>
      </c>
      <c r="L561" t="n">
        <v>0</v>
      </c>
      <c r="M561" t="n">
        <v>0</v>
      </c>
      <c r="N561" t="n">
        <v>0</v>
      </c>
      <c r="O561" t="n">
        <v>0</v>
      </c>
      <c r="P561" t="n">
        <v>0</v>
      </c>
      <c r="Q561" t="n">
        <v>0</v>
      </c>
      <c r="R561" s="2" t="inlineStr"/>
    </row>
    <row r="562" ht="15" customHeight="1">
      <c r="A562" t="inlineStr">
        <is>
          <t>A 22635-2022</t>
        </is>
      </c>
      <c r="B562" s="1" t="n">
        <v>44714</v>
      </c>
      <c r="C562" s="1" t="n">
        <v>45880</v>
      </c>
      <c r="D562" t="inlineStr">
        <is>
          <t>VÄRMLANDS LÄN</t>
        </is>
      </c>
      <c r="E562" t="inlineStr">
        <is>
          <t>TORSBY</t>
        </is>
      </c>
      <c r="G562" t="n">
        <v>0.4</v>
      </c>
      <c r="H562" t="n">
        <v>0</v>
      </c>
      <c r="I562" t="n">
        <v>0</v>
      </c>
      <c r="J562" t="n">
        <v>0</v>
      </c>
      <c r="K562" t="n">
        <v>0</v>
      </c>
      <c r="L562" t="n">
        <v>0</v>
      </c>
      <c r="M562" t="n">
        <v>0</v>
      </c>
      <c r="N562" t="n">
        <v>0</v>
      </c>
      <c r="O562" t="n">
        <v>0</v>
      </c>
      <c r="P562" t="n">
        <v>0</v>
      </c>
      <c r="Q562" t="n">
        <v>0</v>
      </c>
      <c r="R562" s="2" t="inlineStr"/>
    </row>
    <row r="563" ht="15" customHeight="1">
      <c r="A563" t="inlineStr">
        <is>
          <t>A 3904-2025</t>
        </is>
      </c>
      <c r="B563" s="1" t="n">
        <v>45684</v>
      </c>
      <c r="C563" s="1" t="n">
        <v>45880</v>
      </c>
      <c r="D563" t="inlineStr">
        <is>
          <t>VÄRMLANDS LÄN</t>
        </is>
      </c>
      <c r="E563" t="inlineStr">
        <is>
          <t>TORSBY</t>
        </is>
      </c>
      <c r="F563" t="inlineStr">
        <is>
          <t>Övriga statliga verk och myndigheter</t>
        </is>
      </c>
      <c r="G563" t="n">
        <v>0.7</v>
      </c>
      <c r="H563" t="n">
        <v>0</v>
      </c>
      <c r="I563" t="n">
        <v>0</v>
      </c>
      <c r="J563" t="n">
        <v>0</v>
      </c>
      <c r="K563" t="n">
        <v>0</v>
      </c>
      <c r="L563" t="n">
        <v>0</v>
      </c>
      <c r="M563" t="n">
        <v>0</v>
      </c>
      <c r="N563" t="n">
        <v>0</v>
      </c>
      <c r="O563" t="n">
        <v>0</v>
      </c>
      <c r="P563" t="n">
        <v>0</v>
      </c>
      <c r="Q563" t="n">
        <v>0</v>
      </c>
      <c r="R563" s="2" t="inlineStr"/>
    </row>
    <row r="564" ht="15" customHeight="1">
      <c r="A564" t="inlineStr">
        <is>
          <t>A 56098-2024</t>
        </is>
      </c>
      <c r="B564" s="1" t="n">
        <v>45624.42371527778</v>
      </c>
      <c r="C564" s="1" t="n">
        <v>45880</v>
      </c>
      <c r="D564" t="inlineStr">
        <is>
          <t>VÄRMLANDS LÄN</t>
        </is>
      </c>
      <c r="E564" t="inlineStr">
        <is>
          <t>TORSBY</t>
        </is>
      </c>
      <c r="G564" t="n">
        <v>2.4</v>
      </c>
      <c r="H564" t="n">
        <v>0</v>
      </c>
      <c r="I564" t="n">
        <v>0</v>
      </c>
      <c r="J564" t="n">
        <v>0</v>
      </c>
      <c r="K564" t="n">
        <v>0</v>
      </c>
      <c r="L564" t="n">
        <v>0</v>
      </c>
      <c r="M564" t="n">
        <v>0</v>
      </c>
      <c r="N564" t="n">
        <v>0</v>
      </c>
      <c r="O564" t="n">
        <v>0</v>
      </c>
      <c r="P564" t="n">
        <v>0</v>
      </c>
      <c r="Q564" t="n">
        <v>0</v>
      </c>
      <c r="R564" s="2" t="inlineStr"/>
    </row>
    <row r="565" ht="15" customHeight="1">
      <c r="A565" t="inlineStr">
        <is>
          <t>A 49814-2022</t>
        </is>
      </c>
      <c r="B565" s="1" t="n">
        <v>44859</v>
      </c>
      <c r="C565" s="1" t="n">
        <v>45880</v>
      </c>
      <c r="D565" t="inlineStr">
        <is>
          <t>VÄRMLANDS LÄN</t>
        </is>
      </c>
      <c r="E565" t="inlineStr">
        <is>
          <t>TORSBY</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41130-2022</t>
        </is>
      </c>
      <c r="B566" s="1" t="n">
        <v>44825</v>
      </c>
      <c r="C566" s="1" t="n">
        <v>45880</v>
      </c>
      <c r="D566" t="inlineStr">
        <is>
          <t>VÄRMLANDS LÄN</t>
        </is>
      </c>
      <c r="E566" t="inlineStr">
        <is>
          <t>TORSBY</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43256-2024</t>
        </is>
      </c>
      <c r="B567" s="1" t="n">
        <v>45568</v>
      </c>
      <c r="C567" s="1" t="n">
        <v>45880</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20745-2023</t>
        </is>
      </c>
      <c r="B568" s="1" t="n">
        <v>45058</v>
      </c>
      <c r="C568" s="1" t="n">
        <v>45880</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14301-2025</t>
        </is>
      </c>
      <c r="B569" s="1" t="n">
        <v>45740</v>
      </c>
      <c r="C569" s="1" t="n">
        <v>45880</v>
      </c>
      <c r="D569" t="inlineStr">
        <is>
          <t>VÄRMLANDS LÄN</t>
        </is>
      </c>
      <c r="E569" t="inlineStr">
        <is>
          <t>TORSBY</t>
        </is>
      </c>
      <c r="G569" t="n">
        <v>7.9</v>
      </c>
      <c r="H569" t="n">
        <v>0</v>
      </c>
      <c r="I569" t="n">
        <v>0</v>
      </c>
      <c r="J569" t="n">
        <v>0</v>
      </c>
      <c r="K569" t="n">
        <v>0</v>
      </c>
      <c r="L569" t="n">
        <v>0</v>
      </c>
      <c r="M569" t="n">
        <v>0</v>
      </c>
      <c r="N569" t="n">
        <v>0</v>
      </c>
      <c r="O569" t="n">
        <v>0</v>
      </c>
      <c r="P569" t="n">
        <v>0</v>
      </c>
      <c r="Q569" t="n">
        <v>0</v>
      </c>
      <c r="R569" s="2" t="inlineStr"/>
    </row>
    <row r="570" ht="15" customHeight="1">
      <c r="A570" t="inlineStr">
        <is>
          <t>A 7214-2025</t>
        </is>
      </c>
      <c r="B570" s="1" t="n">
        <v>45702</v>
      </c>
      <c r="C570" s="1" t="n">
        <v>45880</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53771-2020</t>
        </is>
      </c>
      <c r="B571" s="1" t="n">
        <v>44124</v>
      </c>
      <c r="C571" s="1" t="n">
        <v>45880</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21988-2023</t>
        </is>
      </c>
      <c r="B572" s="1" t="n">
        <v>45068</v>
      </c>
      <c r="C572" s="1" t="n">
        <v>45880</v>
      </c>
      <c r="D572" t="inlineStr">
        <is>
          <t>VÄRMLANDS LÄN</t>
        </is>
      </c>
      <c r="E572" t="inlineStr">
        <is>
          <t>TORSBY</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36850-2024</t>
        </is>
      </c>
      <c r="B573" s="1" t="n">
        <v>45538</v>
      </c>
      <c r="C573" s="1" t="n">
        <v>45880</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19787-2025</t>
        </is>
      </c>
      <c r="B574" s="1" t="n">
        <v>45771.4408912037</v>
      </c>
      <c r="C574" s="1" t="n">
        <v>45880</v>
      </c>
      <c r="D574" t="inlineStr">
        <is>
          <t>VÄRMLANDS LÄN</t>
        </is>
      </c>
      <c r="E574" t="inlineStr">
        <is>
          <t>TORSBY</t>
        </is>
      </c>
      <c r="F574" t="inlineStr">
        <is>
          <t>Bergvik skog väst AB</t>
        </is>
      </c>
      <c r="G574" t="n">
        <v>1.3</v>
      </c>
      <c r="H574" t="n">
        <v>0</v>
      </c>
      <c r="I574" t="n">
        <v>0</v>
      </c>
      <c r="J574" t="n">
        <v>0</v>
      </c>
      <c r="K574" t="n">
        <v>0</v>
      </c>
      <c r="L574" t="n">
        <v>0</v>
      </c>
      <c r="M574" t="n">
        <v>0</v>
      </c>
      <c r="N574" t="n">
        <v>0</v>
      </c>
      <c r="O574" t="n">
        <v>0</v>
      </c>
      <c r="P574" t="n">
        <v>0</v>
      </c>
      <c r="Q574" t="n">
        <v>0</v>
      </c>
      <c r="R574" s="2" t="inlineStr"/>
    </row>
    <row r="575" ht="15" customHeight="1">
      <c r="A575" t="inlineStr">
        <is>
          <t>A 17931-2024</t>
        </is>
      </c>
      <c r="B575" s="1" t="n">
        <v>45419</v>
      </c>
      <c r="C575" s="1" t="n">
        <v>45880</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15450-2023</t>
        </is>
      </c>
      <c r="B576" s="1" t="n">
        <v>45020</v>
      </c>
      <c r="C576" s="1" t="n">
        <v>45880</v>
      </c>
      <c r="D576" t="inlineStr">
        <is>
          <t>VÄRMLANDS LÄN</t>
        </is>
      </c>
      <c r="E576" t="inlineStr">
        <is>
          <t>TORSBY</t>
        </is>
      </c>
      <c r="G576" t="n">
        <v>3.8</v>
      </c>
      <c r="H576" t="n">
        <v>0</v>
      </c>
      <c r="I576" t="n">
        <v>0</v>
      </c>
      <c r="J576" t="n">
        <v>0</v>
      </c>
      <c r="K576" t="n">
        <v>0</v>
      </c>
      <c r="L576" t="n">
        <v>0</v>
      </c>
      <c r="M576" t="n">
        <v>0</v>
      </c>
      <c r="N576" t="n">
        <v>0</v>
      </c>
      <c r="O576" t="n">
        <v>0</v>
      </c>
      <c r="P576" t="n">
        <v>0</v>
      </c>
      <c r="Q576" t="n">
        <v>0</v>
      </c>
      <c r="R576" s="2" t="inlineStr"/>
    </row>
    <row r="577" ht="15" customHeight="1">
      <c r="A577" t="inlineStr">
        <is>
          <t>A 19113-2025</t>
        </is>
      </c>
      <c r="B577" s="1" t="n">
        <v>45768.67631944444</v>
      </c>
      <c r="C577" s="1" t="n">
        <v>45880</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6529-2025</t>
        </is>
      </c>
      <c r="B578" s="1" t="n">
        <v>45699</v>
      </c>
      <c r="C578" s="1" t="n">
        <v>45880</v>
      </c>
      <c r="D578" t="inlineStr">
        <is>
          <t>VÄRMLANDS LÄN</t>
        </is>
      </c>
      <c r="E578" t="inlineStr">
        <is>
          <t>TORSBY</t>
        </is>
      </c>
      <c r="F578" t="inlineStr">
        <is>
          <t>Kommuner</t>
        </is>
      </c>
      <c r="G578" t="n">
        <v>0.2</v>
      </c>
      <c r="H578" t="n">
        <v>0</v>
      </c>
      <c r="I578" t="n">
        <v>0</v>
      </c>
      <c r="J578" t="n">
        <v>0</v>
      </c>
      <c r="K578" t="n">
        <v>0</v>
      </c>
      <c r="L578" t="n">
        <v>0</v>
      </c>
      <c r="M578" t="n">
        <v>0</v>
      </c>
      <c r="N578" t="n">
        <v>0</v>
      </c>
      <c r="O578" t="n">
        <v>0</v>
      </c>
      <c r="P578" t="n">
        <v>0</v>
      </c>
      <c r="Q578" t="n">
        <v>0</v>
      </c>
      <c r="R578" s="2" t="inlineStr"/>
    </row>
    <row r="579" ht="15" customHeight="1">
      <c r="A579" t="inlineStr">
        <is>
          <t>A 6532-2025</t>
        </is>
      </c>
      <c r="B579" s="1" t="n">
        <v>45699</v>
      </c>
      <c r="C579" s="1" t="n">
        <v>45880</v>
      </c>
      <c r="D579" t="inlineStr">
        <is>
          <t>VÄRMLANDS LÄN</t>
        </is>
      </c>
      <c r="E579" t="inlineStr">
        <is>
          <t>TORSBY</t>
        </is>
      </c>
      <c r="F579" t="inlineStr">
        <is>
          <t>Kommuner</t>
        </is>
      </c>
      <c r="G579" t="n">
        <v>0.3</v>
      </c>
      <c r="H579" t="n">
        <v>0</v>
      </c>
      <c r="I579" t="n">
        <v>0</v>
      </c>
      <c r="J579" t="n">
        <v>0</v>
      </c>
      <c r="K579" t="n">
        <v>0</v>
      </c>
      <c r="L579" t="n">
        <v>0</v>
      </c>
      <c r="M579" t="n">
        <v>0</v>
      </c>
      <c r="N579" t="n">
        <v>0</v>
      </c>
      <c r="O579" t="n">
        <v>0</v>
      </c>
      <c r="P579" t="n">
        <v>0</v>
      </c>
      <c r="Q579" t="n">
        <v>0</v>
      </c>
      <c r="R579" s="2" t="inlineStr"/>
    </row>
    <row r="580" ht="15" customHeight="1">
      <c r="A580" t="inlineStr">
        <is>
          <t>A 38497-2024</t>
        </is>
      </c>
      <c r="B580" s="1" t="n">
        <v>45546.51869212963</v>
      </c>
      <c r="C580" s="1" t="n">
        <v>45880</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55475-2022</t>
        </is>
      </c>
      <c r="B581" s="1" t="n">
        <v>44887.66210648148</v>
      </c>
      <c r="C581" s="1" t="n">
        <v>45880</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6863-2023</t>
        </is>
      </c>
      <c r="B582" s="1" t="n">
        <v>44964</v>
      </c>
      <c r="C582" s="1" t="n">
        <v>45880</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51505-2021</t>
        </is>
      </c>
      <c r="B583" s="1" t="n">
        <v>44460</v>
      </c>
      <c r="C583" s="1" t="n">
        <v>45880</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27458-2023</t>
        </is>
      </c>
      <c r="B584" s="1" t="n">
        <v>45097</v>
      </c>
      <c r="C584" s="1" t="n">
        <v>45880</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50372-2024</t>
        </is>
      </c>
      <c r="B585" s="1" t="n">
        <v>45601.25935185186</v>
      </c>
      <c r="C585" s="1" t="n">
        <v>45880</v>
      </c>
      <c r="D585" t="inlineStr">
        <is>
          <t>VÄRMLANDS LÄN</t>
        </is>
      </c>
      <c r="E585" t="inlineStr">
        <is>
          <t>TORSBY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14369-2025</t>
        </is>
      </c>
      <c r="B586" s="1" t="n">
        <v>45741</v>
      </c>
      <c r="C586" s="1" t="n">
        <v>45880</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14413-2025</t>
        </is>
      </c>
      <c r="B587" s="1" t="n">
        <v>45741</v>
      </c>
      <c r="C587" s="1" t="n">
        <v>45880</v>
      </c>
      <c r="D587" t="inlineStr">
        <is>
          <t>VÄRMLANDS LÄN</t>
        </is>
      </c>
      <c r="E587" t="inlineStr">
        <is>
          <t>TORSBY</t>
        </is>
      </c>
      <c r="G587" t="n">
        <v>4.1</v>
      </c>
      <c r="H587" t="n">
        <v>0</v>
      </c>
      <c r="I587" t="n">
        <v>0</v>
      </c>
      <c r="J587" t="n">
        <v>0</v>
      </c>
      <c r="K587" t="n">
        <v>0</v>
      </c>
      <c r="L587" t="n">
        <v>0</v>
      </c>
      <c r="M587" t="n">
        <v>0</v>
      </c>
      <c r="N587" t="n">
        <v>0</v>
      </c>
      <c r="O587" t="n">
        <v>0</v>
      </c>
      <c r="P587" t="n">
        <v>0</v>
      </c>
      <c r="Q587" t="n">
        <v>0</v>
      </c>
      <c r="R587" s="2" t="inlineStr"/>
    </row>
    <row r="588" ht="15" customHeight="1">
      <c r="A588" t="inlineStr">
        <is>
          <t>A 3326-2024</t>
        </is>
      </c>
      <c r="B588" s="1" t="n">
        <v>45317</v>
      </c>
      <c r="C588" s="1" t="n">
        <v>45880</v>
      </c>
      <c r="D588" t="inlineStr">
        <is>
          <t>VÄRMLANDS LÄN</t>
        </is>
      </c>
      <c r="E588" t="inlineStr">
        <is>
          <t>TORSBY</t>
        </is>
      </c>
      <c r="G588" t="n">
        <v>3.1</v>
      </c>
      <c r="H588" t="n">
        <v>0</v>
      </c>
      <c r="I588" t="n">
        <v>0</v>
      </c>
      <c r="J588" t="n">
        <v>0</v>
      </c>
      <c r="K588" t="n">
        <v>0</v>
      </c>
      <c r="L588" t="n">
        <v>0</v>
      </c>
      <c r="M588" t="n">
        <v>0</v>
      </c>
      <c r="N588" t="n">
        <v>0</v>
      </c>
      <c r="O588" t="n">
        <v>0</v>
      </c>
      <c r="P588" t="n">
        <v>0</v>
      </c>
      <c r="Q588" t="n">
        <v>0</v>
      </c>
      <c r="R588" s="2" t="inlineStr"/>
    </row>
    <row r="589" ht="15" customHeight="1">
      <c r="A589" t="inlineStr">
        <is>
          <t>A 53492-2022</t>
        </is>
      </c>
      <c r="B589" s="1" t="n">
        <v>44879.56734953704</v>
      </c>
      <c r="C589" s="1" t="n">
        <v>45880</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1512-2025</t>
        </is>
      </c>
      <c r="B590" s="1" t="n">
        <v>45670.45255787037</v>
      </c>
      <c r="C590" s="1" t="n">
        <v>45880</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9902-2024</t>
        </is>
      </c>
      <c r="B591" s="1" t="n">
        <v>45363</v>
      </c>
      <c r="C591" s="1" t="n">
        <v>45880</v>
      </c>
      <c r="D591" t="inlineStr">
        <is>
          <t>VÄRMLANDS LÄN</t>
        </is>
      </c>
      <c r="E591" t="inlineStr">
        <is>
          <t>TORSBY</t>
        </is>
      </c>
      <c r="G591" t="n">
        <v>4.4</v>
      </c>
      <c r="H591" t="n">
        <v>0</v>
      </c>
      <c r="I591" t="n">
        <v>0</v>
      </c>
      <c r="J591" t="n">
        <v>0</v>
      </c>
      <c r="K591" t="n">
        <v>0</v>
      </c>
      <c r="L591" t="n">
        <v>0</v>
      </c>
      <c r="M591" t="n">
        <v>0</v>
      </c>
      <c r="N591" t="n">
        <v>0</v>
      </c>
      <c r="O591" t="n">
        <v>0</v>
      </c>
      <c r="P591" t="n">
        <v>0</v>
      </c>
      <c r="Q591" t="n">
        <v>0</v>
      </c>
      <c r="R591" s="2" t="inlineStr"/>
    </row>
    <row r="592" ht="15" customHeight="1">
      <c r="A592" t="inlineStr">
        <is>
          <t>A 55808-2024</t>
        </is>
      </c>
      <c r="B592" s="1" t="n">
        <v>45622</v>
      </c>
      <c r="C592" s="1" t="n">
        <v>45880</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17562-2024</t>
        </is>
      </c>
      <c r="B593" s="1" t="n">
        <v>45415</v>
      </c>
      <c r="C593" s="1" t="n">
        <v>45880</v>
      </c>
      <c r="D593" t="inlineStr">
        <is>
          <t>VÄRMLANDS LÄN</t>
        </is>
      </c>
      <c r="E593" t="inlineStr">
        <is>
          <t>TORSBY</t>
        </is>
      </c>
      <c r="G593" t="n">
        <v>2.5</v>
      </c>
      <c r="H593" t="n">
        <v>0</v>
      </c>
      <c r="I593" t="n">
        <v>0</v>
      </c>
      <c r="J593" t="n">
        <v>0</v>
      </c>
      <c r="K593" t="n">
        <v>0</v>
      </c>
      <c r="L593" t="n">
        <v>0</v>
      </c>
      <c r="M593" t="n">
        <v>0</v>
      </c>
      <c r="N593" t="n">
        <v>0</v>
      </c>
      <c r="O593" t="n">
        <v>0</v>
      </c>
      <c r="P593" t="n">
        <v>0</v>
      </c>
      <c r="Q593" t="n">
        <v>0</v>
      </c>
      <c r="R593" s="2" t="inlineStr"/>
    </row>
    <row r="594" ht="15" customHeight="1">
      <c r="A594" t="inlineStr">
        <is>
          <t>A 18330-2024</t>
        </is>
      </c>
      <c r="B594" s="1" t="n">
        <v>45422</v>
      </c>
      <c r="C594" s="1" t="n">
        <v>45880</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24896-2023</t>
        </is>
      </c>
      <c r="B595" s="1" t="n">
        <v>45085</v>
      </c>
      <c r="C595" s="1" t="n">
        <v>45880</v>
      </c>
      <c r="D595" t="inlineStr">
        <is>
          <t>VÄRMLANDS LÄN</t>
        </is>
      </c>
      <c r="E595" t="inlineStr">
        <is>
          <t>TORSBY</t>
        </is>
      </c>
      <c r="F595" t="inlineStr">
        <is>
          <t>Bergvik skog väst AB</t>
        </is>
      </c>
      <c r="G595" t="n">
        <v>4.7</v>
      </c>
      <c r="H595" t="n">
        <v>0</v>
      </c>
      <c r="I595" t="n">
        <v>0</v>
      </c>
      <c r="J595" t="n">
        <v>0</v>
      </c>
      <c r="K595" t="n">
        <v>0</v>
      </c>
      <c r="L595" t="n">
        <v>0</v>
      </c>
      <c r="M595" t="n">
        <v>0</v>
      </c>
      <c r="N595" t="n">
        <v>0</v>
      </c>
      <c r="O595" t="n">
        <v>0</v>
      </c>
      <c r="P595" t="n">
        <v>0</v>
      </c>
      <c r="Q595" t="n">
        <v>0</v>
      </c>
      <c r="R595" s="2" t="inlineStr"/>
    </row>
    <row r="596" ht="15" customHeight="1">
      <c r="A596" t="inlineStr">
        <is>
          <t>A 46698-2024</t>
        </is>
      </c>
      <c r="B596" s="1" t="n">
        <v>45583.43209490741</v>
      </c>
      <c r="C596" s="1" t="n">
        <v>45880</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18339-2024</t>
        </is>
      </c>
      <c r="B597" s="1" t="n">
        <v>45422.58119212963</v>
      </c>
      <c r="C597" s="1" t="n">
        <v>45880</v>
      </c>
      <c r="D597" t="inlineStr">
        <is>
          <t>VÄRMLANDS LÄN</t>
        </is>
      </c>
      <c r="E597" t="inlineStr">
        <is>
          <t>TORSBY</t>
        </is>
      </c>
      <c r="G597" t="n">
        <v>0.6</v>
      </c>
      <c r="H597" t="n">
        <v>0</v>
      </c>
      <c r="I597" t="n">
        <v>0</v>
      </c>
      <c r="J597" t="n">
        <v>0</v>
      </c>
      <c r="K597" t="n">
        <v>0</v>
      </c>
      <c r="L597" t="n">
        <v>0</v>
      </c>
      <c r="M597" t="n">
        <v>0</v>
      </c>
      <c r="N597" t="n">
        <v>0</v>
      </c>
      <c r="O597" t="n">
        <v>0</v>
      </c>
      <c r="P597" t="n">
        <v>0</v>
      </c>
      <c r="Q597" t="n">
        <v>0</v>
      </c>
      <c r="R597" s="2" t="inlineStr"/>
    </row>
    <row r="598" ht="15" customHeight="1">
      <c r="A598" t="inlineStr">
        <is>
          <t>A 27446-2021</t>
        </is>
      </c>
      <c r="B598" s="1" t="n">
        <v>44351</v>
      </c>
      <c r="C598" s="1" t="n">
        <v>45880</v>
      </c>
      <c r="D598" t="inlineStr">
        <is>
          <t>VÄRMLANDS LÄN</t>
        </is>
      </c>
      <c r="E598" t="inlineStr">
        <is>
          <t>TORSBY</t>
        </is>
      </c>
      <c r="G598" t="n">
        <v>7.6</v>
      </c>
      <c r="H598" t="n">
        <v>0</v>
      </c>
      <c r="I598" t="n">
        <v>0</v>
      </c>
      <c r="J598" t="n">
        <v>0</v>
      </c>
      <c r="K598" t="n">
        <v>0</v>
      </c>
      <c r="L598" t="n">
        <v>0</v>
      </c>
      <c r="M598" t="n">
        <v>0</v>
      </c>
      <c r="N598" t="n">
        <v>0</v>
      </c>
      <c r="O598" t="n">
        <v>0</v>
      </c>
      <c r="P598" t="n">
        <v>0</v>
      </c>
      <c r="Q598" t="n">
        <v>0</v>
      </c>
      <c r="R598" s="2" t="inlineStr"/>
    </row>
    <row r="599" ht="15" customHeight="1">
      <c r="A599" t="inlineStr">
        <is>
          <t>A 39567-2024</t>
        </is>
      </c>
      <c r="B599" s="1" t="n">
        <v>45552.3584375</v>
      </c>
      <c r="C599" s="1" t="n">
        <v>45880</v>
      </c>
      <c r="D599" t="inlineStr">
        <is>
          <t>VÄRMLANDS LÄN</t>
        </is>
      </c>
      <c r="E599" t="inlineStr">
        <is>
          <t>TORSBY</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18564-2025</t>
        </is>
      </c>
      <c r="B600" s="1" t="n">
        <v>45763.45047453704</v>
      </c>
      <c r="C600" s="1" t="n">
        <v>45880</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18344-2021</t>
        </is>
      </c>
      <c r="B601" s="1" t="n">
        <v>44305</v>
      </c>
      <c r="C601" s="1" t="n">
        <v>45880</v>
      </c>
      <c r="D601" t="inlineStr">
        <is>
          <t>VÄRMLANDS LÄN</t>
        </is>
      </c>
      <c r="E601" t="inlineStr">
        <is>
          <t>TORSBY</t>
        </is>
      </c>
      <c r="F601" t="inlineStr">
        <is>
          <t>Kommuner</t>
        </is>
      </c>
      <c r="G601" t="n">
        <v>4.3</v>
      </c>
      <c r="H601" t="n">
        <v>0</v>
      </c>
      <c r="I601" t="n">
        <v>0</v>
      </c>
      <c r="J601" t="n">
        <v>0</v>
      </c>
      <c r="K601" t="n">
        <v>0</v>
      </c>
      <c r="L601" t="n">
        <v>0</v>
      </c>
      <c r="M601" t="n">
        <v>0</v>
      </c>
      <c r="N601" t="n">
        <v>0</v>
      </c>
      <c r="O601" t="n">
        <v>0</v>
      </c>
      <c r="P601" t="n">
        <v>0</v>
      </c>
      <c r="Q601" t="n">
        <v>0</v>
      </c>
      <c r="R601" s="2" t="inlineStr"/>
    </row>
    <row r="602" ht="15" customHeight="1">
      <c r="A602" t="inlineStr">
        <is>
          <t>A 54306-2024</t>
        </is>
      </c>
      <c r="B602" s="1" t="n">
        <v>45617</v>
      </c>
      <c r="C602" s="1" t="n">
        <v>45880</v>
      </c>
      <c r="D602" t="inlineStr">
        <is>
          <t>VÄRMLANDS LÄN</t>
        </is>
      </c>
      <c r="E602" t="inlineStr">
        <is>
          <t>TORSBY</t>
        </is>
      </c>
      <c r="F602" t="inlineStr">
        <is>
          <t>Bergvik skog väst AB</t>
        </is>
      </c>
      <c r="G602" t="n">
        <v>5.7</v>
      </c>
      <c r="H602" t="n">
        <v>0</v>
      </c>
      <c r="I602" t="n">
        <v>0</v>
      </c>
      <c r="J602" t="n">
        <v>0</v>
      </c>
      <c r="K602" t="n">
        <v>0</v>
      </c>
      <c r="L602" t="n">
        <v>0</v>
      </c>
      <c r="M602" t="n">
        <v>0</v>
      </c>
      <c r="N602" t="n">
        <v>0</v>
      </c>
      <c r="O602" t="n">
        <v>0</v>
      </c>
      <c r="P602" t="n">
        <v>0</v>
      </c>
      <c r="Q602" t="n">
        <v>0</v>
      </c>
      <c r="R602" s="2" t="inlineStr"/>
    </row>
    <row r="603" ht="15" customHeight="1">
      <c r="A603" t="inlineStr">
        <is>
          <t>A 44722-2020</t>
        </is>
      </c>
      <c r="B603" s="1" t="n">
        <v>44078</v>
      </c>
      <c r="C603" s="1" t="n">
        <v>45880</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11695-2021</t>
        </is>
      </c>
      <c r="B604" s="1" t="n">
        <v>44264.87736111111</v>
      </c>
      <c r="C604" s="1" t="n">
        <v>45880</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21587-2024</t>
        </is>
      </c>
      <c r="B605" s="1" t="n">
        <v>45441</v>
      </c>
      <c r="C605" s="1" t="n">
        <v>45880</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9578-2023</t>
        </is>
      </c>
      <c r="B606" s="1" t="n">
        <v>44982.69790509259</v>
      </c>
      <c r="C606" s="1" t="n">
        <v>45880</v>
      </c>
      <c r="D606" t="inlineStr">
        <is>
          <t>VÄRMLANDS LÄN</t>
        </is>
      </c>
      <c r="E606" t="inlineStr">
        <is>
          <t>TORSBY</t>
        </is>
      </c>
      <c r="G606" t="n">
        <v>5.7</v>
      </c>
      <c r="H606" t="n">
        <v>0</v>
      </c>
      <c r="I606" t="n">
        <v>0</v>
      </c>
      <c r="J606" t="n">
        <v>0</v>
      </c>
      <c r="K606" t="n">
        <v>0</v>
      </c>
      <c r="L606" t="n">
        <v>0</v>
      </c>
      <c r="M606" t="n">
        <v>0</v>
      </c>
      <c r="N606" t="n">
        <v>0</v>
      </c>
      <c r="O606" t="n">
        <v>0</v>
      </c>
      <c r="P606" t="n">
        <v>0</v>
      </c>
      <c r="Q606" t="n">
        <v>0</v>
      </c>
      <c r="R606" s="2" t="inlineStr"/>
    </row>
    <row r="607" ht="15" customHeight="1">
      <c r="A607" t="inlineStr">
        <is>
          <t>A 15101-2024</t>
        </is>
      </c>
      <c r="B607" s="1" t="n">
        <v>45399.66148148148</v>
      </c>
      <c r="C607" s="1" t="n">
        <v>45880</v>
      </c>
      <c r="D607" t="inlineStr">
        <is>
          <t>VÄRMLANDS LÄN</t>
        </is>
      </c>
      <c r="E607" t="inlineStr">
        <is>
          <t>TORSBY</t>
        </is>
      </c>
      <c r="G607" t="n">
        <v>1.9</v>
      </c>
      <c r="H607" t="n">
        <v>0</v>
      </c>
      <c r="I607" t="n">
        <v>0</v>
      </c>
      <c r="J607" t="n">
        <v>0</v>
      </c>
      <c r="K607" t="n">
        <v>0</v>
      </c>
      <c r="L607" t="n">
        <v>0</v>
      </c>
      <c r="M607" t="n">
        <v>0</v>
      </c>
      <c r="N607" t="n">
        <v>0</v>
      </c>
      <c r="O607" t="n">
        <v>0</v>
      </c>
      <c r="P607" t="n">
        <v>0</v>
      </c>
      <c r="Q607" t="n">
        <v>0</v>
      </c>
      <c r="R607" s="2" t="inlineStr"/>
    </row>
    <row r="608" ht="15" customHeight="1">
      <c r="A608" t="inlineStr">
        <is>
          <t>A 16192-2025</t>
        </is>
      </c>
      <c r="B608" s="1" t="n">
        <v>45750.59760416667</v>
      </c>
      <c r="C608" s="1" t="n">
        <v>45880</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20120-2023</t>
        </is>
      </c>
      <c r="B609" s="1" t="n">
        <v>45055</v>
      </c>
      <c r="C609" s="1" t="n">
        <v>45880</v>
      </c>
      <c r="D609" t="inlineStr">
        <is>
          <t>VÄRMLANDS LÄN</t>
        </is>
      </c>
      <c r="E609" t="inlineStr">
        <is>
          <t>TORSBY</t>
        </is>
      </c>
      <c r="G609" t="n">
        <v>7.7</v>
      </c>
      <c r="H609" t="n">
        <v>0</v>
      </c>
      <c r="I609" t="n">
        <v>0</v>
      </c>
      <c r="J609" t="n">
        <v>0</v>
      </c>
      <c r="K609" t="n">
        <v>0</v>
      </c>
      <c r="L609" t="n">
        <v>0</v>
      </c>
      <c r="M609" t="n">
        <v>0</v>
      </c>
      <c r="N609" t="n">
        <v>0</v>
      </c>
      <c r="O609" t="n">
        <v>0</v>
      </c>
      <c r="P609" t="n">
        <v>0</v>
      </c>
      <c r="Q609" t="n">
        <v>0</v>
      </c>
      <c r="R609" s="2" t="inlineStr"/>
    </row>
    <row r="610" ht="15" customHeight="1">
      <c r="A610" t="inlineStr">
        <is>
          <t>A 24170-2023</t>
        </is>
      </c>
      <c r="B610" s="1" t="n">
        <v>45079</v>
      </c>
      <c r="C610" s="1" t="n">
        <v>45880</v>
      </c>
      <c r="D610" t="inlineStr">
        <is>
          <t>VÄRMLANDS LÄN</t>
        </is>
      </c>
      <c r="E610" t="inlineStr">
        <is>
          <t>TORSBY</t>
        </is>
      </c>
      <c r="F610" t="inlineStr">
        <is>
          <t>Bergvik skog väst AB</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50608-2023</t>
        </is>
      </c>
      <c r="B611" s="1" t="n">
        <v>45217</v>
      </c>
      <c r="C611" s="1" t="n">
        <v>45880</v>
      </c>
      <c r="D611" t="inlineStr">
        <is>
          <t>VÄRMLANDS LÄN</t>
        </is>
      </c>
      <c r="E611" t="inlineStr">
        <is>
          <t>TORSBY</t>
        </is>
      </c>
      <c r="G611" t="n">
        <v>2.9</v>
      </c>
      <c r="H611" t="n">
        <v>0</v>
      </c>
      <c r="I611" t="n">
        <v>0</v>
      </c>
      <c r="J611" t="n">
        <v>0</v>
      </c>
      <c r="K611" t="n">
        <v>0</v>
      </c>
      <c r="L611" t="n">
        <v>0</v>
      </c>
      <c r="M611" t="n">
        <v>0</v>
      </c>
      <c r="N611" t="n">
        <v>0</v>
      </c>
      <c r="O611" t="n">
        <v>0</v>
      </c>
      <c r="P611" t="n">
        <v>0</v>
      </c>
      <c r="Q611" t="n">
        <v>0</v>
      </c>
      <c r="R611" s="2" t="inlineStr"/>
    </row>
    <row r="612" ht="15" customHeight="1">
      <c r="A612" t="inlineStr">
        <is>
          <t>A 41315-2022</t>
        </is>
      </c>
      <c r="B612" s="1" t="n">
        <v>44826</v>
      </c>
      <c r="C612" s="1" t="n">
        <v>45880</v>
      </c>
      <c r="D612" t="inlineStr">
        <is>
          <t>VÄRMLANDS LÄN</t>
        </is>
      </c>
      <c r="E612" t="inlineStr">
        <is>
          <t>TORSBY</t>
        </is>
      </c>
      <c r="G612" t="n">
        <v>5.5</v>
      </c>
      <c r="H612" t="n">
        <v>0</v>
      </c>
      <c r="I612" t="n">
        <v>0</v>
      </c>
      <c r="J612" t="n">
        <v>0</v>
      </c>
      <c r="K612" t="n">
        <v>0</v>
      </c>
      <c r="L612" t="n">
        <v>0</v>
      </c>
      <c r="M612" t="n">
        <v>0</v>
      </c>
      <c r="N612" t="n">
        <v>0</v>
      </c>
      <c r="O612" t="n">
        <v>0</v>
      </c>
      <c r="P612" t="n">
        <v>0</v>
      </c>
      <c r="Q612" t="n">
        <v>0</v>
      </c>
      <c r="R612" s="2" t="inlineStr"/>
    </row>
    <row r="613" ht="15" customHeight="1">
      <c r="A613" t="inlineStr">
        <is>
          <t>A 54265-2024</t>
        </is>
      </c>
      <c r="B613" s="1" t="n">
        <v>45616</v>
      </c>
      <c r="C613" s="1" t="n">
        <v>45880</v>
      </c>
      <c r="D613" t="inlineStr">
        <is>
          <t>VÄRMLANDS LÄN</t>
        </is>
      </c>
      <c r="E613" t="inlineStr">
        <is>
          <t>TORSBY</t>
        </is>
      </c>
      <c r="F613" t="inlineStr">
        <is>
          <t>Kommuner</t>
        </is>
      </c>
      <c r="G613" t="n">
        <v>0.4</v>
      </c>
      <c r="H613" t="n">
        <v>0</v>
      </c>
      <c r="I613" t="n">
        <v>0</v>
      </c>
      <c r="J613" t="n">
        <v>0</v>
      </c>
      <c r="K613" t="n">
        <v>0</v>
      </c>
      <c r="L613" t="n">
        <v>0</v>
      </c>
      <c r="M613" t="n">
        <v>0</v>
      </c>
      <c r="N613" t="n">
        <v>0</v>
      </c>
      <c r="O613" t="n">
        <v>0</v>
      </c>
      <c r="P613" t="n">
        <v>0</v>
      </c>
      <c r="Q613" t="n">
        <v>0</v>
      </c>
      <c r="R613" s="2" t="inlineStr"/>
    </row>
    <row r="614" ht="15" customHeight="1">
      <c r="A614" t="inlineStr">
        <is>
          <t>A 6534-2025</t>
        </is>
      </c>
      <c r="B614" s="1" t="n">
        <v>45699</v>
      </c>
      <c r="C614" s="1" t="n">
        <v>45880</v>
      </c>
      <c r="D614" t="inlineStr">
        <is>
          <t>VÄRMLANDS LÄN</t>
        </is>
      </c>
      <c r="E614" t="inlineStr">
        <is>
          <t>TORSBY</t>
        </is>
      </c>
      <c r="F614" t="inlineStr">
        <is>
          <t>Kommuner</t>
        </is>
      </c>
      <c r="G614" t="n">
        <v>0.1</v>
      </c>
      <c r="H614" t="n">
        <v>0</v>
      </c>
      <c r="I614" t="n">
        <v>0</v>
      </c>
      <c r="J614" t="n">
        <v>0</v>
      </c>
      <c r="K614" t="n">
        <v>0</v>
      </c>
      <c r="L614" t="n">
        <v>0</v>
      </c>
      <c r="M614" t="n">
        <v>0</v>
      </c>
      <c r="N614" t="n">
        <v>0</v>
      </c>
      <c r="O614" t="n">
        <v>0</v>
      </c>
      <c r="P614" t="n">
        <v>0</v>
      </c>
      <c r="Q614" t="n">
        <v>0</v>
      </c>
      <c r="R614" s="2" t="inlineStr"/>
    </row>
    <row r="615" ht="15" customHeight="1">
      <c r="A615" t="inlineStr">
        <is>
          <t>A 16003-2025</t>
        </is>
      </c>
      <c r="B615" s="1" t="n">
        <v>45749</v>
      </c>
      <c r="C615" s="1" t="n">
        <v>45880</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16425-2022</t>
        </is>
      </c>
      <c r="B616" s="1" t="n">
        <v>44671</v>
      </c>
      <c r="C616" s="1" t="n">
        <v>45880</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21255-2023</t>
        </is>
      </c>
      <c r="B617" s="1" t="n">
        <v>45058</v>
      </c>
      <c r="C617" s="1" t="n">
        <v>45880</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12701-2024</t>
        </is>
      </c>
      <c r="B618" s="1" t="n">
        <v>45384</v>
      </c>
      <c r="C618" s="1" t="n">
        <v>45880</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56902-2023</t>
        </is>
      </c>
      <c r="B619" s="1" t="n">
        <v>45244</v>
      </c>
      <c r="C619" s="1" t="n">
        <v>45880</v>
      </c>
      <c r="D619" t="inlineStr">
        <is>
          <t>VÄRMLANDS LÄN</t>
        </is>
      </c>
      <c r="E619" t="inlineStr">
        <is>
          <t>TORSBY</t>
        </is>
      </c>
      <c r="G619" t="n">
        <v>17.4</v>
      </c>
      <c r="H619" t="n">
        <v>0</v>
      </c>
      <c r="I619" t="n">
        <v>0</v>
      </c>
      <c r="J619" t="n">
        <v>0</v>
      </c>
      <c r="K619" t="n">
        <v>0</v>
      </c>
      <c r="L619" t="n">
        <v>0</v>
      </c>
      <c r="M619" t="n">
        <v>0</v>
      </c>
      <c r="N619" t="n">
        <v>0</v>
      </c>
      <c r="O619" t="n">
        <v>0</v>
      </c>
      <c r="P619" t="n">
        <v>0</v>
      </c>
      <c r="Q619" t="n">
        <v>0</v>
      </c>
      <c r="R619" s="2" t="inlineStr"/>
    </row>
    <row r="620" ht="15" customHeight="1">
      <c r="A620" t="inlineStr">
        <is>
          <t>A 20321-2023</t>
        </is>
      </c>
      <c r="B620" s="1" t="n">
        <v>45056.45232638889</v>
      </c>
      <c r="C620" s="1" t="n">
        <v>45880</v>
      </c>
      <c r="D620" t="inlineStr">
        <is>
          <t>VÄRMLANDS LÄN</t>
        </is>
      </c>
      <c r="E620" t="inlineStr">
        <is>
          <t>TORSBY</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17944-2021</t>
        </is>
      </c>
      <c r="B621" s="1" t="n">
        <v>44301</v>
      </c>
      <c r="C621" s="1" t="n">
        <v>45880</v>
      </c>
      <c r="D621" t="inlineStr">
        <is>
          <t>VÄRMLANDS LÄN</t>
        </is>
      </c>
      <c r="E621" t="inlineStr">
        <is>
          <t>TORSBY</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26223-2021</t>
        </is>
      </c>
      <c r="B622" s="1" t="n">
        <v>44347</v>
      </c>
      <c r="C622" s="1" t="n">
        <v>45880</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57642-2023</t>
        </is>
      </c>
      <c r="B623" s="1" t="n">
        <v>45246.5915625</v>
      </c>
      <c r="C623" s="1" t="n">
        <v>45880</v>
      </c>
      <c r="D623" t="inlineStr">
        <is>
          <t>VÄRMLANDS LÄN</t>
        </is>
      </c>
      <c r="E623" t="inlineStr">
        <is>
          <t>TORSBY</t>
        </is>
      </c>
      <c r="G623" t="n">
        <v>1.9</v>
      </c>
      <c r="H623" t="n">
        <v>0</v>
      </c>
      <c r="I623" t="n">
        <v>0</v>
      </c>
      <c r="J623" t="n">
        <v>0</v>
      </c>
      <c r="K623" t="n">
        <v>0</v>
      </c>
      <c r="L623" t="n">
        <v>0</v>
      </c>
      <c r="M623" t="n">
        <v>0</v>
      </c>
      <c r="N623" t="n">
        <v>0</v>
      </c>
      <c r="O623" t="n">
        <v>0</v>
      </c>
      <c r="P623" t="n">
        <v>0</v>
      </c>
      <c r="Q623" t="n">
        <v>0</v>
      </c>
      <c r="R623" s="2" t="inlineStr"/>
    </row>
    <row r="624" ht="15" customHeight="1">
      <c r="A624" t="inlineStr">
        <is>
          <t>A 52982-2023</t>
        </is>
      </c>
      <c r="B624" s="1" t="n">
        <v>45226.61299768519</v>
      </c>
      <c r="C624" s="1" t="n">
        <v>45880</v>
      </c>
      <c r="D624" t="inlineStr">
        <is>
          <t>VÄRMLANDS LÄN</t>
        </is>
      </c>
      <c r="E624" t="inlineStr">
        <is>
          <t>TORSBY</t>
        </is>
      </c>
      <c r="G624" t="n">
        <v>35.5</v>
      </c>
      <c r="H624" t="n">
        <v>0</v>
      </c>
      <c r="I624" t="n">
        <v>0</v>
      </c>
      <c r="J624" t="n">
        <v>0</v>
      </c>
      <c r="K624" t="n">
        <v>0</v>
      </c>
      <c r="L624" t="n">
        <v>0</v>
      </c>
      <c r="M624" t="n">
        <v>0</v>
      </c>
      <c r="N624" t="n">
        <v>0</v>
      </c>
      <c r="O624" t="n">
        <v>0</v>
      </c>
      <c r="P624" t="n">
        <v>0</v>
      </c>
      <c r="Q624" t="n">
        <v>0</v>
      </c>
      <c r="R624" s="2" t="inlineStr"/>
    </row>
    <row r="625" ht="15" customHeight="1">
      <c r="A625" t="inlineStr">
        <is>
          <t>A 8033-2022</t>
        </is>
      </c>
      <c r="B625" s="1" t="n">
        <v>44609.43644675926</v>
      </c>
      <c r="C625" s="1" t="n">
        <v>45880</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22973-2024</t>
        </is>
      </c>
      <c r="B626" s="1" t="n">
        <v>45449</v>
      </c>
      <c r="C626" s="1" t="n">
        <v>45880</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18105-2022</t>
        </is>
      </c>
      <c r="B627" s="1" t="n">
        <v>44684</v>
      </c>
      <c r="C627" s="1" t="n">
        <v>45880</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53705-2021</t>
        </is>
      </c>
      <c r="B628" s="1" t="n">
        <v>44469</v>
      </c>
      <c r="C628" s="1" t="n">
        <v>45880</v>
      </c>
      <c r="D628" t="inlineStr">
        <is>
          <t>VÄRMLANDS LÄN</t>
        </is>
      </c>
      <c r="E628" t="inlineStr">
        <is>
          <t>TORSBY</t>
        </is>
      </c>
      <c r="F628" t="inlineStr">
        <is>
          <t>Kyrkan</t>
        </is>
      </c>
      <c r="G628" t="n">
        <v>12.4</v>
      </c>
      <c r="H628" t="n">
        <v>0</v>
      </c>
      <c r="I628" t="n">
        <v>0</v>
      </c>
      <c r="J628" t="n">
        <v>0</v>
      </c>
      <c r="K628" t="n">
        <v>0</v>
      </c>
      <c r="L628" t="n">
        <v>0</v>
      </c>
      <c r="M628" t="n">
        <v>0</v>
      </c>
      <c r="N628" t="n">
        <v>0</v>
      </c>
      <c r="O628" t="n">
        <v>0</v>
      </c>
      <c r="P628" t="n">
        <v>0</v>
      </c>
      <c r="Q628" t="n">
        <v>0</v>
      </c>
      <c r="R628" s="2" t="inlineStr"/>
    </row>
    <row r="629" ht="15" customHeight="1">
      <c r="A629" t="inlineStr">
        <is>
          <t>A 34378-2022</t>
        </is>
      </c>
      <c r="B629" s="1" t="n">
        <v>44792.48787037037</v>
      </c>
      <c r="C629" s="1" t="n">
        <v>45880</v>
      </c>
      <c r="D629" t="inlineStr">
        <is>
          <t>VÄRMLANDS LÄN</t>
        </is>
      </c>
      <c r="E629" t="inlineStr">
        <is>
          <t>TORSBY</t>
        </is>
      </c>
      <c r="G629" t="n">
        <v>0.9</v>
      </c>
      <c r="H629" t="n">
        <v>0</v>
      </c>
      <c r="I629" t="n">
        <v>0</v>
      </c>
      <c r="J629" t="n">
        <v>0</v>
      </c>
      <c r="K629" t="n">
        <v>0</v>
      </c>
      <c r="L629" t="n">
        <v>0</v>
      </c>
      <c r="M629" t="n">
        <v>0</v>
      </c>
      <c r="N629" t="n">
        <v>0</v>
      </c>
      <c r="O629" t="n">
        <v>0</v>
      </c>
      <c r="P629" t="n">
        <v>0</v>
      </c>
      <c r="Q629" t="n">
        <v>0</v>
      </c>
      <c r="R629" s="2" t="inlineStr"/>
    </row>
    <row r="630" ht="15" customHeight="1">
      <c r="A630" t="inlineStr">
        <is>
          <t>A 16329-2025</t>
        </is>
      </c>
      <c r="B630" s="1" t="n">
        <v>45751</v>
      </c>
      <c r="C630" s="1" t="n">
        <v>45880</v>
      </c>
      <c r="D630" t="inlineStr">
        <is>
          <t>VÄRMLANDS LÄN</t>
        </is>
      </c>
      <c r="E630" t="inlineStr">
        <is>
          <t>TORSBY</t>
        </is>
      </c>
      <c r="F630" t="inlineStr">
        <is>
          <t>Bergvik skog väst AB</t>
        </is>
      </c>
      <c r="G630" t="n">
        <v>4.8</v>
      </c>
      <c r="H630" t="n">
        <v>0</v>
      </c>
      <c r="I630" t="n">
        <v>0</v>
      </c>
      <c r="J630" t="n">
        <v>0</v>
      </c>
      <c r="K630" t="n">
        <v>0</v>
      </c>
      <c r="L630" t="n">
        <v>0</v>
      </c>
      <c r="M630" t="n">
        <v>0</v>
      </c>
      <c r="N630" t="n">
        <v>0</v>
      </c>
      <c r="O630" t="n">
        <v>0</v>
      </c>
      <c r="P630" t="n">
        <v>0</v>
      </c>
      <c r="Q630" t="n">
        <v>0</v>
      </c>
      <c r="R630" s="2" t="inlineStr"/>
    </row>
    <row r="631" ht="15" customHeight="1">
      <c r="A631" t="inlineStr">
        <is>
          <t>A 17024-2024</t>
        </is>
      </c>
      <c r="B631" s="1" t="n">
        <v>45412.38322916667</v>
      </c>
      <c r="C631" s="1" t="n">
        <v>45880</v>
      </c>
      <c r="D631" t="inlineStr">
        <is>
          <t>VÄRMLANDS LÄN</t>
        </is>
      </c>
      <c r="E631" t="inlineStr">
        <is>
          <t>TORSBY</t>
        </is>
      </c>
      <c r="G631" t="n">
        <v>0.6</v>
      </c>
      <c r="H631" t="n">
        <v>0</v>
      </c>
      <c r="I631" t="n">
        <v>0</v>
      </c>
      <c r="J631" t="n">
        <v>0</v>
      </c>
      <c r="K631" t="n">
        <v>0</v>
      </c>
      <c r="L631" t="n">
        <v>0</v>
      </c>
      <c r="M631" t="n">
        <v>0</v>
      </c>
      <c r="N631" t="n">
        <v>0</v>
      </c>
      <c r="O631" t="n">
        <v>0</v>
      </c>
      <c r="P631" t="n">
        <v>0</v>
      </c>
      <c r="Q631" t="n">
        <v>0</v>
      </c>
      <c r="R631" s="2" t="inlineStr"/>
    </row>
    <row r="632" ht="15" customHeight="1">
      <c r="A632" t="inlineStr">
        <is>
          <t>A 15052-2024</t>
        </is>
      </c>
      <c r="B632" s="1" t="n">
        <v>45399.52613425926</v>
      </c>
      <c r="C632" s="1" t="n">
        <v>45880</v>
      </c>
      <c r="D632" t="inlineStr">
        <is>
          <t>VÄRMLANDS LÄN</t>
        </is>
      </c>
      <c r="E632" t="inlineStr">
        <is>
          <t>TORSBY</t>
        </is>
      </c>
      <c r="G632" t="n">
        <v>1.9</v>
      </c>
      <c r="H632" t="n">
        <v>0</v>
      </c>
      <c r="I632" t="n">
        <v>0</v>
      </c>
      <c r="J632" t="n">
        <v>0</v>
      </c>
      <c r="K632" t="n">
        <v>0</v>
      </c>
      <c r="L632" t="n">
        <v>0</v>
      </c>
      <c r="M632" t="n">
        <v>0</v>
      </c>
      <c r="N632" t="n">
        <v>0</v>
      </c>
      <c r="O632" t="n">
        <v>0</v>
      </c>
      <c r="P632" t="n">
        <v>0</v>
      </c>
      <c r="Q632" t="n">
        <v>0</v>
      </c>
      <c r="R632" s="2" t="inlineStr"/>
    </row>
    <row r="633" ht="15" customHeight="1">
      <c r="A633" t="inlineStr">
        <is>
          <t>A 51823-2024</t>
        </is>
      </c>
      <c r="B633" s="1" t="n">
        <v>45607</v>
      </c>
      <c r="C633" s="1" t="n">
        <v>45880</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12365-2022</t>
        </is>
      </c>
      <c r="B634" s="1" t="n">
        <v>44637.70670138889</v>
      </c>
      <c r="C634" s="1" t="n">
        <v>45880</v>
      </c>
      <c r="D634" t="inlineStr">
        <is>
          <t>VÄRMLANDS LÄN</t>
        </is>
      </c>
      <c r="E634" t="inlineStr">
        <is>
          <t>TORSBY</t>
        </is>
      </c>
      <c r="G634" t="n">
        <v>3.5</v>
      </c>
      <c r="H634" t="n">
        <v>0</v>
      </c>
      <c r="I634" t="n">
        <v>0</v>
      </c>
      <c r="J634" t="n">
        <v>0</v>
      </c>
      <c r="K634" t="n">
        <v>0</v>
      </c>
      <c r="L634" t="n">
        <v>0</v>
      </c>
      <c r="M634" t="n">
        <v>0</v>
      </c>
      <c r="N634" t="n">
        <v>0</v>
      </c>
      <c r="O634" t="n">
        <v>0</v>
      </c>
      <c r="P634" t="n">
        <v>0</v>
      </c>
      <c r="Q634" t="n">
        <v>0</v>
      </c>
      <c r="R634" s="2" t="inlineStr"/>
    </row>
    <row r="635" ht="15" customHeight="1">
      <c r="A635" t="inlineStr">
        <is>
          <t>A 38286-2023</t>
        </is>
      </c>
      <c r="B635" s="1" t="n">
        <v>45161.63807870371</v>
      </c>
      <c r="C635" s="1" t="n">
        <v>45880</v>
      </c>
      <c r="D635" t="inlineStr">
        <is>
          <t>VÄRMLANDS LÄN</t>
        </is>
      </c>
      <c r="E635" t="inlineStr">
        <is>
          <t>TORSBY</t>
        </is>
      </c>
      <c r="F635" t="inlineStr">
        <is>
          <t>Kyrkan</t>
        </is>
      </c>
      <c r="G635" t="n">
        <v>6.5</v>
      </c>
      <c r="H635" t="n">
        <v>0</v>
      </c>
      <c r="I635" t="n">
        <v>0</v>
      </c>
      <c r="J635" t="n">
        <v>0</v>
      </c>
      <c r="K635" t="n">
        <v>0</v>
      </c>
      <c r="L635" t="n">
        <v>0</v>
      </c>
      <c r="M635" t="n">
        <v>0</v>
      </c>
      <c r="N635" t="n">
        <v>0</v>
      </c>
      <c r="O635" t="n">
        <v>0</v>
      </c>
      <c r="P635" t="n">
        <v>0</v>
      </c>
      <c r="Q635" t="n">
        <v>0</v>
      </c>
      <c r="R635" s="2" t="inlineStr"/>
    </row>
    <row r="636" ht="15" customHeight="1">
      <c r="A636" t="inlineStr">
        <is>
          <t>A 29042-2023</t>
        </is>
      </c>
      <c r="B636" s="1" t="n">
        <v>45104</v>
      </c>
      <c r="C636" s="1" t="n">
        <v>45880</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38467-2021</t>
        </is>
      </c>
      <c r="B637" s="1" t="n">
        <v>44405</v>
      </c>
      <c r="C637" s="1" t="n">
        <v>45880</v>
      </c>
      <c r="D637" t="inlineStr">
        <is>
          <t>VÄRMLANDS LÄN</t>
        </is>
      </c>
      <c r="E637" t="inlineStr">
        <is>
          <t>TORSBY</t>
        </is>
      </c>
      <c r="G637" t="n">
        <v>2.8</v>
      </c>
      <c r="H637" t="n">
        <v>0</v>
      </c>
      <c r="I637" t="n">
        <v>0</v>
      </c>
      <c r="J637" t="n">
        <v>0</v>
      </c>
      <c r="K637" t="n">
        <v>0</v>
      </c>
      <c r="L637" t="n">
        <v>0</v>
      </c>
      <c r="M637" t="n">
        <v>0</v>
      </c>
      <c r="N637" t="n">
        <v>0</v>
      </c>
      <c r="O637" t="n">
        <v>0</v>
      </c>
      <c r="P637" t="n">
        <v>0</v>
      </c>
      <c r="Q637" t="n">
        <v>0</v>
      </c>
      <c r="R637" s="2" t="inlineStr"/>
    </row>
    <row r="638" ht="15" customHeight="1">
      <c r="A638" t="inlineStr">
        <is>
          <t>A 37752-2022</t>
        </is>
      </c>
      <c r="B638" s="1" t="n">
        <v>44810</v>
      </c>
      <c r="C638" s="1" t="n">
        <v>45880</v>
      </c>
      <c r="D638" t="inlineStr">
        <is>
          <t>VÄRMLANDS LÄN</t>
        </is>
      </c>
      <c r="E638" t="inlineStr">
        <is>
          <t>TORSBY</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20191-2025</t>
        </is>
      </c>
      <c r="B639" s="1" t="n">
        <v>45772</v>
      </c>
      <c r="C639" s="1" t="n">
        <v>45880</v>
      </c>
      <c r="D639" t="inlineStr">
        <is>
          <t>VÄRMLANDS LÄN</t>
        </is>
      </c>
      <c r="E639" t="inlineStr">
        <is>
          <t>TORSBY</t>
        </is>
      </c>
      <c r="F639" t="inlineStr">
        <is>
          <t>Bergvik skog väst AB</t>
        </is>
      </c>
      <c r="G639" t="n">
        <v>1.4</v>
      </c>
      <c r="H639" t="n">
        <v>0</v>
      </c>
      <c r="I639" t="n">
        <v>0</v>
      </c>
      <c r="J639" t="n">
        <v>0</v>
      </c>
      <c r="K639" t="n">
        <v>0</v>
      </c>
      <c r="L639" t="n">
        <v>0</v>
      </c>
      <c r="M639" t="n">
        <v>0</v>
      </c>
      <c r="N639" t="n">
        <v>0</v>
      </c>
      <c r="O639" t="n">
        <v>0</v>
      </c>
      <c r="P639" t="n">
        <v>0</v>
      </c>
      <c r="Q639" t="n">
        <v>0</v>
      </c>
      <c r="R639" s="2" t="inlineStr"/>
    </row>
    <row r="640" ht="15" customHeight="1">
      <c r="A640" t="inlineStr">
        <is>
          <t>A 19878-2025</t>
        </is>
      </c>
      <c r="B640" s="1" t="n">
        <v>45771.55361111111</v>
      </c>
      <c r="C640" s="1" t="n">
        <v>45880</v>
      </c>
      <c r="D640" t="inlineStr">
        <is>
          <t>VÄRMLANDS LÄN</t>
        </is>
      </c>
      <c r="E640" t="inlineStr">
        <is>
          <t>TORSBY</t>
        </is>
      </c>
      <c r="G640" t="n">
        <v>4.2</v>
      </c>
      <c r="H640" t="n">
        <v>0</v>
      </c>
      <c r="I640" t="n">
        <v>0</v>
      </c>
      <c r="J640" t="n">
        <v>0</v>
      </c>
      <c r="K640" t="n">
        <v>0</v>
      </c>
      <c r="L640" t="n">
        <v>0</v>
      </c>
      <c r="M640" t="n">
        <v>0</v>
      </c>
      <c r="N640" t="n">
        <v>0</v>
      </c>
      <c r="O640" t="n">
        <v>0</v>
      </c>
      <c r="P640" t="n">
        <v>0</v>
      </c>
      <c r="Q640" t="n">
        <v>0</v>
      </c>
      <c r="R640" s="2" t="inlineStr"/>
    </row>
    <row r="641" ht="15" customHeight="1">
      <c r="A641" t="inlineStr">
        <is>
          <t>A 44879-2022</t>
        </is>
      </c>
      <c r="B641" s="1" t="n">
        <v>44839</v>
      </c>
      <c r="C641" s="1" t="n">
        <v>45880</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59256-2023</t>
        </is>
      </c>
      <c r="B642" s="1" t="n">
        <v>45251</v>
      </c>
      <c r="C642" s="1" t="n">
        <v>45880</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26343-2023</t>
        </is>
      </c>
      <c r="B643" s="1" t="n">
        <v>45091</v>
      </c>
      <c r="C643" s="1" t="n">
        <v>45880</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11135-2024</t>
        </is>
      </c>
      <c r="B644" s="1" t="n">
        <v>45371</v>
      </c>
      <c r="C644" s="1" t="n">
        <v>45880</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23423-2024</t>
        </is>
      </c>
      <c r="B645" s="1" t="n">
        <v>45453.60787037037</v>
      </c>
      <c r="C645" s="1" t="n">
        <v>45880</v>
      </c>
      <c r="D645" t="inlineStr">
        <is>
          <t>VÄRMLANDS LÄN</t>
        </is>
      </c>
      <c r="E645" t="inlineStr">
        <is>
          <t>TORSBY</t>
        </is>
      </c>
      <c r="G645" t="n">
        <v>3.1</v>
      </c>
      <c r="H645" t="n">
        <v>0</v>
      </c>
      <c r="I645" t="n">
        <v>0</v>
      </c>
      <c r="J645" t="n">
        <v>0</v>
      </c>
      <c r="K645" t="n">
        <v>0</v>
      </c>
      <c r="L645" t="n">
        <v>0</v>
      </c>
      <c r="M645" t="n">
        <v>0</v>
      </c>
      <c r="N645" t="n">
        <v>0</v>
      </c>
      <c r="O645" t="n">
        <v>0</v>
      </c>
      <c r="P645" t="n">
        <v>0</v>
      </c>
      <c r="Q645" t="n">
        <v>0</v>
      </c>
      <c r="R645" s="2" t="inlineStr"/>
    </row>
    <row r="646" ht="15" customHeight="1">
      <c r="A646" t="inlineStr">
        <is>
          <t>A 18365-2025</t>
        </is>
      </c>
      <c r="B646" s="1" t="n">
        <v>45762</v>
      </c>
      <c r="C646" s="1" t="n">
        <v>45880</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17879-2024</t>
        </is>
      </c>
      <c r="B647" s="1" t="n">
        <v>45419</v>
      </c>
      <c r="C647" s="1" t="n">
        <v>45880</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12574-2025</t>
        </is>
      </c>
      <c r="B648" s="1" t="n">
        <v>45732</v>
      </c>
      <c r="C648" s="1" t="n">
        <v>45880</v>
      </c>
      <c r="D648" t="inlineStr">
        <is>
          <t>VÄRMLANDS LÄN</t>
        </is>
      </c>
      <c r="E648" t="inlineStr">
        <is>
          <t>TORSBY</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27363-2024</t>
        </is>
      </c>
      <c r="B649" s="1" t="n">
        <v>45473</v>
      </c>
      <c r="C649" s="1" t="n">
        <v>45880</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14525-2025</t>
        </is>
      </c>
      <c r="B650" s="1" t="n">
        <v>45741</v>
      </c>
      <c r="C650" s="1" t="n">
        <v>45880</v>
      </c>
      <c r="D650" t="inlineStr">
        <is>
          <t>VÄRMLANDS LÄN</t>
        </is>
      </c>
      <c r="E650" t="inlineStr">
        <is>
          <t>TORSBY</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40997-2022</t>
        </is>
      </c>
      <c r="B651" s="1" t="n">
        <v>44825.50576388889</v>
      </c>
      <c r="C651" s="1" t="n">
        <v>45880</v>
      </c>
      <c r="D651" t="inlineStr">
        <is>
          <t>VÄRMLANDS LÄN</t>
        </is>
      </c>
      <c r="E651" t="inlineStr">
        <is>
          <t>TORSBY</t>
        </is>
      </c>
      <c r="G651" t="n">
        <v>2.3</v>
      </c>
      <c r="H651" t="n">
        <v>0</v>
      </c>
      <c r="I651" t="n">
        <v>0</v>
      </c>
      <c r="J651" t="n">
        <v>0</v>
      </c>
      <c r="K651" t="n">
        <v>0</v>
      </c>
      <c r="L651" t="n">
        <v>0</v>
      </c>
      <c r="M651" t="n">
        <v>0</v>
      </c>
      <c r="N651" t="n">
        <v>0</v>
      </c>
      <c r="O651" t="n">
        <v>0</v>
      </c>
      <c r="P651" t="n">
        <v>0</v>
      </c>
      <c r="Q651" t="n">
        <v>0</v>
      </c>
      <c r="R651" s="2" t="inlineStr"/>
    </row>
    <row r="652" ht="15" customHeight="1">
      <c r="A652" t="inlineStr">
        <is>
          <t>A 4172-2022</t>
        </is>
      </c>
      <c r="B652" s="1" t="n">
        <v>44588</v>
      </c>
      <c r="C652" s="1" t="n">
        <v>45880</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21825-2024</t>
        </is>
      </c>
      <c r="B653" s="1" t="n">
        <v>45442</v>
      </c>
      <c r="C653" s="1" t="n">
        <v>45880</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44170-2022</t>
        </is>
      </c>
      <c r="B654" s="1" t="n">
        <v>44838</v>
      </c>
      <c r="C654" s="1" t="n">
        <v>45880</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57071-2022</t>
        </is>
      </c>
      <c r="B655" s="1" t="n">
        <v>44895.42334490741</v>
      </c>
      <c r="C655" s="1" t="n">
        <v>45880</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15019-2025</t>
        </is>
      </c>
      <c r="B656" s="1" t="n">
        <v>45743.63811342593</v>
      </c>
      <c r="C656" s="1" t="n">
        <v>45880</v>
      </c>
      <c r="D656" t="inlineStr">
        <is>
          <t>VÄRMLANDS LÄN</t>
        </is>
      </c>
      <c r="E656" t="inlineStr">
        <is>
          <t>TORSBY</t>
        </is>
      </c>
      <c r="F656" t="inlineStr">
        <is>
          <t>Övriga statliga verk och myndigheter</t>
        </is>
      </c>
      <c r="G656" t="n">
        <v>2.6</v>
      </c>
      <c r="H656" t="n">
        <v>0</v>
      </c>
      <c r="I656" t="n">
        <v>0</v>
      </c>
      <c r="J656" t="n">
        <v>0</v>
      </c>
      <c r="K656" t="n">
        <v>0</v>
      </c>
      <c r="L656" t="n">
        <v>0</v>
      </c>
      <c r="M656" t="n">
        <v>0</v>
      </c>
      <c r="N656" t="n">
        <v>0</v>
      </c>
      <c r="O656" t="n">
        <v>0</v>
      </c>
      <c r="P656" t="n">
        <v>0</v>
      </c>
      <c r="Q656" t="n">
        <v>0</v>
      </c>
      <c r="R656" s="2" t="inlineStr"/>
    </row>
    <row r="657" ht="15" customHeight="1">
      <c r="A657" t="inlineStr">
        <is>
          <t>A 7127-2023</t>
        </is>
      </c>
      <c r="B657" s="1" t="n">
        <v>44970.41383101852</v>
      </c>
      <c r="C657" s="1" t="n">
        <v>45880</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39003-2021</t>
        </is>
      </c>
      <c r="B658" s="1" t="n">
        <v>44412</v>
      </c>
      <c r="C658" s="1" t="n">
        <v>45880</v>
      </c>
      <c r="D658" t="inlineStr">
        <is>
          <t>VÄRMLANDS LÄN</t>
        </is>
      </c>
      <c r="E658" t="inlineStr">
        <is>
          <t>TORSBY</t>
        </is>
      </c>
      <c r="F658" t="inlineStr">
        <is>
          <t>Bergvik skog väst AB</t>
        </is>
      </c>
      <c r="G658" t="n">
        <v>3.1</v>
      </c>
      <c r="H658" t="n">
        <v>0</v>
      </c>
      <c r="I658" t="n">
        <v>0</v>
      </c>
      <c r="J658" t="n">
        <v>0</v>
      </c>
      <c r="K658" t="n">
        <v>0</v>
      </c>
      <c r="L658" t="n">
        <v>0</v>
      </c>
      <c r="M658" t="n">
        <v>0</v>
      </c>
      <c r="N658" t="n">
        <v>0</v>
      </c>
      <c r="O658" t="n">
        <v>0</v>
      </c>
      <c r="P658" t="n">
        <v>0</v>
      </c>
      <c r="Q658" t="n">
        <v>0</v>
      </c>
      <c r="R658" s="2" t="inlineStr"/>
    </row>
    <row r="659" ht="15" customHeight="1">
      <c r="A659" t="inlineStr">
        <is>
          <t>A 39260-2021</t>
        </is>
      </c>
      <c r="B659" s="1" t="n">
        <v>44413</v>
      </c>
      <c r="C659" s="1" t="n">
        <v>45880</v>
      </c>
      <c r="D659" t="inlineStr">
        <is>
          <t>VÄRMLANDS LÄN</t>
        </is>
      </c>
      <c r="E659" t="inlineStr">
        <is>
          <t>TORSBY</t>
        </is>
      </c>
      <c r="G659" t="n">
        <v>4.7</v>
      </c>
      <c r="H659" t="n">
        <v>0</v>
      </c>
      <c r="I659" t="n">
        <v>0</v>
      </c>
      <c r="J659" t="n">
        <v>0</v>
      </c>
      <c r="K659" t="n">
        <v>0</v>
      </c>
      <c r="L659" t="n">
        <v>0</v>
      </c>
      <c r="M659" t="n">
        <v>0</v>
      </c>
      <c r="N659" t="n">
        <v>0</v>
      </c>
      <c r="O659" t="n">
        <v>0</v>
      </c>
      <c r="P659" t="n">
        <v>0</v>
      </c>
      <c r="Q659" t="n">
        <v>0</v>
      </c>
      <c r="R659" s="2" t="inlineStr"/>
    </row>
    <row r="660" ht="15" customHeight="1">
      <c r="A660" t="inlineStr">
        <is>
          <t>A 57536-2024</t>
        </is>
      </c>
      <c r="B660" s="1" t="n">
        <v>45630.43023148148</v>
      </c>
      <c r="C660" s="1" t="n">
        <v>45880</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40858-2023</t>
        </is>
      </c>
      <c r="B661" s="1" t="n">
        <v>45173.34709490741</v>
      </c>
      <c r="C661" s="1" t="n">
        <v>45880</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24580-2025</t>
        </is>
      </c>
      <c r="B662" s="1" t="n">
        <v>45798.49059027778</v>
      </c>
      <c r="C662" s="1" t="n">
        <v>45880</v>
      </c>
      <c r="D662" t="inlineStr">
        <is>
          <t>VÄRMLANDS LÄN</t>
        </is>
      </c>
      <c r="E662" t="inlineStr">
        <is>
          <t>TORSBY</t>
        </is>
      </c>
      <c r="G662" t="n">
        <v>12.2</v>
      </c>
      <c r="H662" t="n">
        <v>0</v>
      </c>
      <c r="I662" t="n">
        <v>0</v>
      </c>
      <c r="J662" t="n">
        <v>0</v>
      </c>
      <c r="K662" t="n">
        <v>0</v>
      </c>
      <c r="L662" t="n">
        <v>0</v>
      </c>
      <c r="M662" t="n">
        <v>0</v>
      </c>
      <c r="N662" t="n">
        <v>0</v>
      </c>
      <c r="O662" t="n">
        <v>0</v>
      </c>
      <c r="P662" t="n">
        <v>0</v>
      </c>
      <c r="Q662" t="n">
        <v>0</v>
      </c>
      <c r="R662" s="2" t="inlineStr"/>
    </row>
    <row r="663" ht="15" customHeight="1">
      <c r="A663" t="inlineStr">
        <is>
          <t>A 15170-2025</t>
        </is>
      </c>
      <c r="B663" s="1" t="n">
        <v>45743</v>
      </c>
      <c r="C663" s="1" t="n">
        <v>45880</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21076-2023</t>
        </is>
      </c>
      <c r="B664" s="1" t="n">
        <v>45061</v>
      </c>
      <c r="C664" s="1" t="n">
        <v>45880</v>
      </c>
      <c r="D664" t="inlineStr">
        <is>
          <t>VÄRMLANDS LÄN</t>
        </is>
      </c>
      <c r="E664" t="inlineStr">
        <is>
          <t>TORSBY</t>
        </is>
      </c>
      <c r="G664" t="n">
        <v>0.4</v>
      </c>
      <c r="H664" t="n">
        <v>0</v>
      </c>
      <c r="I664" t="n">
        <v>0</v>
      </c>
      <c r="J664" t="n">
        <v>0</v>
      </c>
      <c r="K664" t="n">
        <v>0</v>
      </c>
      <c r="L664" t="n">
        <v>0</v>
      </c>
      <c r="M664" t="n">
        <v>0</v>
      </c>
      <c r="N664" t="n">
        <v>0</v>
      </c>
      <c r="O664" t="n">
        <v>0</v>
      </c>
      <c r="P664" t="n">
        <v>0</v>
      </c>
      <c r="Q664" t="n">
        <v>0</v>
      </c>
      <c r="R664" s="2" t="inlineStr"/>
    </row>
    <row r="665" ht="15" customHeight="1">
      <c r="A665" t="inlineStr">
        <is>
          <t>A 16073-2024</t>
        </is>
      </c>
      <c r="B665" s="1" t="n">
        <v>45406</v>
      </c>
      <c r="C665" s="1" t="n">
        <v>45880</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58956-2022</t>
        </is>
      </c>
      <c r="B666" s="1" t="n">
        <v>44903.65895833333</v>
      </c>
      <c r="C666" s="1" t="n">
        <v>45880</v>
      </c>
      <c r="D666" t="inlineStr">
        <is>
          <t>VÄRMLANDS LÄN</t>
        </is>
      </c>
      <c r="E666" t="inlineStr">
        <is>
          <t>TORSBY</t>
        </is>
      </c>
      <c r="G666" t="n">
        <v>3.5</v>
      </c>
      <c r="H666" t="n">
        <v>0</v>
      </c>
      <c r="I666" t="n">
        <v>0</v>
      </c>
      <c r="J666" t="n">
        <v>0</v>
      </c>
      <c r="K666" t="n">
        <v>0</v>
      </c>
      <c r="L666" t="n">
        <v>0</v>
      </c>
      <c r="M666" t="n">
        <v>0</v>
      </c>
      <c r="N666" t="n">
        <v>0</v>
      </c>
      <c r="O666" t="n">
        <v>0</v>
      </c>
      <c r="P666" t="n">
        <v>0</v>
      </c>
      <c r="Q666" t="n">
        <v>0</v>
      </c>
      <c r="R666" s="2" t="inlineStr"/>
    </row>
    <row r="667" ht="15" customHeight="1">
      <c r="A667" t="inlineStr">
        <is>
          <t>A 36050-2023</t>
        </is>
      </c>
      <c r="B667" s="1" t="n">
        <v>45149</v>
      </c>
      <c r="C667" s="1" t="n">
        <v>45880</v>
      </c>
      <c r="D667" t="inlineStr">
        <is>
          <t>VÄRMLANDS LÄN</t>
        </is>
      </c>
      <c r="E667" t="inlineStr">
        <is>
          <t>TORSBY</t>
        </is>
      </c>
      <c r="F667" t="inlineStr">
        <is>
          <t>Kommuner</t>
        </is>
      </c>
      <c r="G667" t="n">
        <v>0.7</v>
      </c>
      <c r="H667" t="n">
        <v>0</v>
      </c>
      <c r="I667" t="n">
        <v>0</v>
      </c>
      <c r="J667" t="n">
        <v>0</v>
      </c>
      <c r="K667" t="n">
        <v>0</v>
      </c>
      <c r="L667" t="n">
        <v>0</v>
      </c>
      <c r="M667" t="n">
        <v>0</v>
      </c>
      <c r="N667" t="n">
        <v>0</v>
      </c>
      <c r="O667" t="n">
        <v>0</v>
      </c>
      <c r="P667" t="n">
        <v>0</v>
      </c>
      <c r="Q667" t="n">
        <v>0</v>
      </c>
      <c r="R667" s="2" t="inlineStr"/>
    </row>
    <row r="668" ht="15" customHeight="1">
      <c r="A668" t="inlineStr">
        <is>
          <t>A 18115-2025</t>
        </is>
      </c>
      <c r="B668" s="1" t="n">
        <v>45761</v>
      </c>
      <c r="C668" s="1" t="n">
        <v>45880</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34966-2024</t>
        </is>
      </c>
      <c r="B669" s="1" t="n">
        <v>45527.49600694444</v>
      </c>
      <c r="C669" s="1" t="n">
        <v>45880</v>
      </c>
      <c r="D669" t="inlineStr">
        <is>
          <t>VÄRMLANDS LÄN</t>
        </is>
      </c>
      <c r="E669" t="inlineStr">
        <is>
          <t>TORSBY</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11235-2024</t>
        </is>
      </c>
      <c r="B670" s="1" t="n">
        <v>45371</v>
      </c>
      <c r="C670" s="1" t="n">
        <v>45880</v>
      </c>
      <c r="D670" t="inlineStr">
        <is>
          <t>VÄRMLANDS LÄN</t>
        </is>
      </c>
      <c r="E670" t="inlineStr">
        <is>
          <t>TORSBY</t>
        </is>
      </c>
      <c r="G670" t="n">
        <v>0.6</v>
      </c>
      <c r="H670" t="n">
        <v>0</v>
      </c>
      <c r="I670" t="n">
        <v>0</v>
      </c>
      <c r="J670" t="n">
        <v>0</v>
      </c>
      <c r="K670" t="n">
        <v>0</v>
      </c>
      <c r="L670" t="n">
        <v>0</v>
      </c>
      <c r="M670" t="n">
        <v>0</v>
      </c>
      <c r="N670" t="n">
        <v>0</v>
      </c>
      <c r="O670" t="n">
        <v>0</v>
      </c>
      <c r="P670" t="n">
        <v>0</v>
      </c>
      <c r="Q670" t="n">
        <v>0</v>
      </c>
      <c r="R670" s="2" t="inlineStr"/>
    </row>
    <row r="671" ht="15" customHeight="1">
      <c r="A671" t="inlineStr">
        <is>
          <t>A 11253-2024</t>
        </is>
      </c>
      <c r="B671" s="1" t="n">
        <v>45371</v>
      </c>
      <c r="C671" s="1" t="n">
        <v>45880</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47241-2023</t>
        </is>
      </c>
      <c r="B672" s="1" t="n">
        <v>45202.39821759259</v>
      </c>
      <c r="C672" s="1" t="n">
        <v>45880</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11211-2024</t>
        </is>
      </c>
      <c r="B673" s="1" t="n">
        <v>45371</v>
      </c>
      <c r="C673" s="1" t="n">
        <v>45880</v>
      </c>
      <c r="D673" t="inlineStr">
        <is>
          <t>VÄRMLANDS LÄN</t>
        </is>
      </c>
      <c r="E673" t="inlineStr">
        <is>
          <t>TORSBY</t>
        </is>
      </c>
      <c r="G673" t="n">
        <v>0.2</v>
      </c>
      <c r="H673" t="n">
        <v>0</v>
      </c>
      <c r="I673" t="n">
        <v>0</v>
      </c>
      <c r="J673" t="n">
        <v>0</v>
      </c>
      <c r="K673" t="n">
        <v>0</v>
      </c>
      <c r="L673" t="n">
        <v>0</v>
      </c>
      <c r="M673" t="n">
        <v>0</v>
      </c>
      <c r="N673" t="n">
        <v>0</v>
      </c>
      <c r="O673" t="n">
        <v>0</v>
      </c>
      <c r="P673" t="n">
        <v>0</v>
      </c>
      <c r="Q673" t="n">
        <v>0</v>
      </c>
      <c r="R673" s="2" t="inlineStr"/>
    </row>
    <row r="674" ht="15" customHeight="1">
      <c r="A674" t="inlineStr">
        <is>
          <t>A 5830-2023</t>
        </is>
      </c>
      <c r="B674" s="1" t="n">
        <v>44963</v>
      </c>
      <c r="C674" s="1" t="n">
        <v>45880</v>
      </c>
      <c r="D674" t="inlineStr">
        <is>
          <t>VÄRMLANDS LÄN</t>
        </is>
      </c>
      <c r="E674" t="inlineStr">
        <is>
          <t>TORSBY</t>
        </is>
      </c>
      <c r="G674" t="n">
        <v>2.2</v>
      </c>
      <c r="H674" t="n">
        <v>0</v>
      </c>
      <c r="I674" t="n">
        <v>0</v>
      </c>
      <c r="J674" t="n">
        <v>0</v>
      </c>
      <c r="K674" t="n">
        <v>0</v>
      </c>
      <c r="L674" t="n">
        <v>0</v>
      </c>
      <c r="M674" t="n">
        <v>0</v>
      </c>
      <c r="N674" t="n">
        <v>0</v>
      </c>
      <c r="O674" t="n">
        <v>0</v>
      </c>
      <c r="P674" t="n">
        <v>0</v>
      </c>
      <c r="Q674" t="n">
        <v>0</v>
      </c>
      <c r="R674" s="2" t="inlineStr"/>
    </row>
    <row r="675" ht="15" customHeight="1">
      <c r="A675" t="inlineStr">
        <is>
          <t>A 57721-2022</t>
        </is>
      </c>
      <c r="B675" s="1" t="n">
        <v>44897.55278935185</v>
      </c>
      <c r="C675" s="1" t="n">
        <v>45880</v>
      </c>
      <c r="D675" t="inlineStr">
        <is>
          <t>VÄRMLANDS LÄN</t>
        </is>
      </c>
      <c r="E675" t="inlineStr">
        <is>
          <t>TORSBY</t>
        </is>
      </c>
      <c r="G675" t="n">
        <v>3.3</v>
      </c>
      <c r="H675" t="n">
        <v>0</v>
      </c>
      <c r="I675" t="n">
        <v>0</v>
      </c>
      <c r="J675" t="n">
        <v>0</v>
      </c>
      <c r="K675" t="n">
        <v>0</v>
      </c>
      <c r="L675" t="n">
        <v>0</v>
      </c>
      <c r="M675" t="n">
        <v>0</v>
      </c>
      <c r="N675" t="n">
        <v>0</v>
      </c>
      <c r="O675" t="n">
        <v>0</v>
      </c>
      <c r="P675" t="n">
        <v>0</v>
      </c>
      <c r="Q675" t="n">
        <v>0</v>
      </c>
      <c r="R675" s="2" t="inlineStr"/>
    </row>
    <row r="676" ht="15" customHeight="1">
      <c r="A676" t="inlineStr">
        <is>
          <t>A 19887-2024</t>
        </is>
      </c>
      <c r="B676" s="1" t="n">
        <v>45433</v>
      </c>
      <c r="C676" s="1" t="n">
        <v>45880</v>
      </c>
      <c r="D676" t="inlineStr">
        <is>
          <t>VÄRMLANDS LÄN</t>
        </is>
      </c>
      <c r="E676" t="inlineStr">
        <is>
          <t>TORSBY</t>
        </is>
      </c>
      <c r="G676" t="n">
        <v>10.1</v>
      </c>
      <c r="H676" t="n">
        <v>0</v>
      </c>
      <c r="I676" t="n">
        <v>0</v>
      </c>
      <c r="J676" t="n">
        <v>0</v>
      </c>
      <c r="K676" t="n">
        <v>0</v>
      </c>
      <c r="L676" t="n">
        <v>0</v>
      </c>
      <c r="M676" t="n">
        <v>0</v>
      </c>
      <c r="N676" t="n">
        <v>0</v>
      </c>
      <c r="O676" t="n">
        <v>0</v>
      </c>
      <c r="P676" t="n">
        <v>0</v>
      </c>
      <c r="Q676" t="n">
        <v>0</v>
      </c>
      <c r="R676" s="2" t="inlineStr"/>
    </row>
    <row r="677" ht="15" customHeight="1">
      <c r="A677" t="inlineStr">
        <is>
          <t>A 15175-2024</t>
        </is>
      </c>
      <c r="B677" s="1" t="n">
        <v>45400</v>
      </c>
      <c r="C677" s="1" t="n">
        <v>45880</v>
      </c>
      <c r="D677" t="inlineStr">
        <is>
          <t>VÄRMLANDS LÄN</t>
        </is>
      </c>
      <c r="E677" t="inlineStr">
        <is>
          <t>TORSBY</t>
        </is>
      </c>
      <c r="G677" t="n">
        <v>1</v>
      </c>
      <c r="H677" t="n">
        <v>0</v>
      </c>
      <c r="I677" t="n">
        <v>0</v>
      </c>
      <c r="J677" t="n">
        <v>0</v>
      </c>
      <c r="K677" t="n">
        <v>0</v>
      </c>
      <c r="L677" t="n">
        <v>0</v>
      </c>
      <c r="M677" t="n">
        <v>0</v>
      </c>
      <c r="N677" t="n">
        <v>0</v>
      </c>
      <c r="O677" t="n">
        <v>0</v>
      </c>
      <c r="P677" t="n">
        <v>0</v>
      </c>
      <c r="Q677" t="n">
        <v>0</v>
      </c>
      <c r="R677" s="2" t="inlineStr"/>
    </row>
    <row r="678" ht="15" customHeight="1">
      <c r="A678" t="inlineStr">
        <is>
          <t>A 21308-2024</t>
        </is>
      </c>
      <c r="B678" s="1" t="n">
        <v>45440</v>
      </c>
      <c r="C678" s="1" t="n">
        <v>45880</v>
      </c>
      <c r="D678" t="inlineStr">
        <is>
          <t>VÄRMLANDS LÄN</t>
        </is>
      </c>
      <c r="E678" t="inlineStr">
        <is>
          <t>TORSBY</t>
        </is>
      </c>
      <c r="G678" t="n">
        <v>18.9</v>
      </c>
      <c r="H678" t="n">
        <v>0</v>
      </c>
      <c r="I678" t="n">
        <v>0</v>
      </c>
      <c r="J678" t="n">
        <v>0</v>
      </c>
      <c r="K678" t="n">
        <v>0</v>
      </c>
      <c r="L678" t="n">
        <v>0</v>
      </c>
      <c r="M678" t="n">
        <v>0</v>
      </c>
      <c r="N678" t="n">
        <v>0</v>
      </c>
      <c r="O678" t="n">
        <v>0</v>
      </c>
      <c r="P678" t="n">
        <v>0</v>
      </c>
      <c r="Q678" t="n">
        <v>0</v>
      </c>
      <c r="R678" s="2" t="inlineStr"/>
    </row>
    <row r="679" ht="15" customHeight="1">
      <c r="A679" t="inlineStr">
        <is>
          <t>A 69628-2020</t>
        </is>
      </c>
      <c r="B679" s="1" t="n">
        <v>44195</v>
      </c>
      <c r="C679" s="1" t="n">
        <v>45880</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14162-2025</t>
        </is>
      </c>
      <c r="B680" s="1" t="n">
        <v>45740</v>
      </c>
      <c r="C680" s="1" t="n">
        <v>45880</v>
      </c>
      <c r="D680" t="inlineStr">
        <is>
          <t>VÄRMLANDS LÄN</t>
        </is>
      </c>
      <c r="E680" t="inlineStr">
        <is>
          <t>TORSBY</t>
        </is>
      </c>
      <c r="G680" t="n">
        <v>2</v>
      </c>
      <c r="H680" t="n">
        <v>0</v>
      </c>
      <c r="I680" t="n">
        <v>0</v>
      </c>
      <c r="J680" t="n">
        <v>0</v>
      </c>
      <c r="K680" t="n">
        <v>0</v>
      </c>
      <c r="L680" t="n">
        <v>0</v>
      </c>
      <c r="M680" t="n">
        <v>0</v>
      </c>
      <c r="N680" t="n">
        <v>0</v>
      </c>
      <c r="O680" t="n">
        <v>0</v>
      </c>
      <c r="P680" t="n">
        <v>0</v>
      </c>
      <c r="Q680" t="n">
        <v>0</v>
      </c>
      <c r="R680" s="2" t="inlineStr"/>
    </row>
    <row r="681" ht="15" customHeight="1">
      <c r="A681" t="inlineStr">
        <is>
          <t>A 22565-2024</t>
        </is>
      </c>
      <c r="B681" s="1" t="n">
        <v>45447</v>
      </c>
      <c r="C681" s="1" t="n">
        <v>45880</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4640-2022</t>
        </is>
      </c>
      <c r="B682" s="1" t="n">
        <v>44592</v>
      </c>
      <c r="C682" s="1" t="n">
        <v>45880</v>
      </c>
      <c r="D682" t="inlineStr">
        <is>
          <t>VÄRMLANDS LÄN</t>
        </is>
      </c>
      <c r="E682" t="inlineStr">
        <is>
          <t>TORSBY</t>
        </is>
      </c>
      <c r="G682" t="n">
        <v>9</v>
      </c>
      <c r="H682" t="n">
        <v>0</v>
      </c>
      <c r="I682" t="n">
        <v>0</v>
      </c>
      <c r="J682" t="n">
        <v>0</v>
      </c>
      <c r="K682" t="n">
        <v>0</v>
      </c>
      <c r="L682" t="n">
        <v>0</v>
      </c>
      <c r="M682" t="n">
        <v>0</v>
      </c>
      <c r="N682" t="n">
        <v>0</v>
      </c>
      <c r="O682" t="n">
        <v>0</v>
      </c>
      <c r="P682" t="n">
        <v>0</v>
      </c>
      <c r="Q682" t="n">
        <v>0</v>
      </c>
      <c r="R682" s="2" t="inlineStr"/>
    </row>
    <row r="683" ht="15" customHeight="1">
      <c r="A683" t="inlineStr">
        <is>
          <t>A 25163-2023</t>
        </is>
      </c>
      <c r="B683" s="1" t="n">
        <v>45086</v>
      </c>
      <c r="C683" s="1" t="n">
        <v>45880</v>
      </c>
      <c r="D683" t="inlineStr">
        <is>
          <t>VÄRMLANDS LÄN</t>
        </is>
      </c>
      <c r="E683" t="inlineStr">
        <is>
          <t>TORSBY</t>
        </is>
      </c>
      <c r="G683" t="n">
        <v>5.2</v>
      </c>
      <c r="H683" t="n">
        <v>0</v>
      </c>
      <c r="I683" t="n">
        <v>0</v>
      </c>
      <c r="J683" t="n">
        <v>0</v>
      </c>
      <c r="K683" t="n">
        <v>0</v>
      </c>
      <c r="L683" t="n">
        <v>0</v>
      </c>
      <c r="M683" t="n">
        <v>0</v>
      </c>
      <c r="N683" t="n">
        <v>0</v>
      </c>
      <c r="O683" t="n">
        <v>0</v>
      </c>
      <c r="P683" t="n">
        <v>0</v>
      </c>
      <c r="Q683" t="n">
        <v>0</v>
      </c>
      <c r="R683" s="2" t="inlineStr"/>
    </row>
    <row r="684" ht="15" customHeight="1">
      <c r="A684" t="inlineStr">
        <is>
          <t>A 41264-2022</t>
        </is>
      </c>
      <c r="B684" s="1" t="n">
        <v>44823</v>
      </c>
      <c r="C684" s="1" t="n">
        <v>45880</v>
      </c>
      <c r="D684" t="inlineStr">
        <is>
          <t>VÄRMLANDS LÄN</t>
        </is>
      </c>
      <c r="E684" t="inlineStr">
        <is>
          <t>TORSBY</t>
        </is>
      </c>
      <c r="G684" t="n">
        <v>6.5</v>
      </c>
      <c r="H684" t="n">
        <v>0</v>
      </c>
      <c r="I684" t="n">
        <v>0</v>
      </c>
      <c r="J684" t="n">
        <v>0</v>
      </c>
      <c r="K684" t="n">
        <v>0</v>
      </c>
      <c r="L684" t="n">
        <v>0</v>
      </c>
      <c r="M684" t="n">
        <v>0</v>
      </c>
      <c r="N684" t="n">
        <v>0</v>
      </c>
      <c r="O684" t="n">
        <v>0</v>
      </c>
      <c r="P684" t="n">
        <v>0</v>
      </c>
      <c r="Q684" t="n">
        <v>0</v>
      </c>
      <c r="R684" s="2" t="inlineStr"/>
    </row>
    <row r="685" ht="15" customHeight="1">
      <c r="A685" t="inlineStr">
        <is>
          <t>A 49206-2022</t>
        </is>
      </c>
      <c r="B685" s="1" t="n">
        <v>44860.95984953704</v>
      </c>
      <c r="C685" s="1" t="n">
        <v>45880</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18876-2023</t>
        </is>
      </c>
      <c r="B686" s="1" t="n">
        <v>45044.50101851852</v>
      </c>
      <c r="C686" s="1" t="n">
        <v>45880</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9908-2024</t>
        </is>
      </c>
      <c r="B687" s="1" t="n">
        <v>45363</v>
      </c>
      <c r="C687" s="1" t="n">
        <v>45880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27347-2024</t>
        </is>
      </c>
      <c r="B688" s="1" t="n">
        <v>45473.59798611111</v>
      </c>
      <c r="C688" s="1" t="n">
        <v>45880</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11670-2025</t>
        </is>
      </c>
      <c r="B689" s="1" t="n">
        <v>45727</v>
      </c>
      <c r="C689" s="1" t="n">
        <v>45880</v>
      </c>
      <c r="D689" t="inlineStr">
        <is>
          <t>VÄRMLANDS LÄN</t>
        </is>
      </c>
      <c r="E689" t="inlineStr">
        <is>
          <t>TORSBY</t>
        </is>
      </c>
      <c r="G689" t="n">
        <v>10.9</v>
      </c>
      <c r="H689" t="n">
        <v>0</v>
      </c>
      <c r="I689" t="n">
        <v>0</v>
      </c>
      <c r="J689" t="n">
        <v>0</v>
      </c>
      <c r="K689" t="n">
        <v>0</v>
      </c>
      <c r="L689" t="n">
        <v>0</v>
      </c>
      <c r="M689" t="n">
        <v>0</v>
      </c>
      <c r="N689" t="n">
        <v>0</v>
      </c>
      <c r="O689" t="n">
        <v>0</v>
      </c>
      <c r="P689" t="n">
        <v>0</v>
      </c>
      <c r="Q689" t="n">
        <v>0</v>
      </c>
      <c r="R689" s="2" t="inlineStr"/>
    </row>
    <row r="690" ht="15" customHeight="1">
      <c r="A690" t="inlineStr">
        <is>
          <t>A 11672-2025</t>
        </is>
      </c>
      <c r="B690" s="1" t="n">
        <v>45727</v>
      </c>
      <c r="C690" s="1" t="n">
        <v>45880</v>
      </c>
      <c r="D690" t="inlineStr">
        <is>
          <t>VÄRMLANDS LÄN</t>
        </is>
      </c>
      <c r="E690" t="inlineStr">
        <is>
          <t>TORSBY</t>
        </is>
      </c>
      <c r="G690" t="n">
        <v>4.3</v>
      </c>
      <c r="H690" t="n">
        <v>0</v>
      </c>
      <c r="I690" t="n">
        <v>0</v>
      </c>
      <c r="J690" t="n">
        <v>0</v>
      </c>
      <c r="K690" t="n">
        <v>0</v>
      </c>
      <c r="L690" t="n">
        <v>0</v>
      </c>
      <c r="M690" t="n">
        <v>0</v>
      </c>
      <c r="N690" t="n">
        <v>0</v>
      </c>
      <c r="O690" t="n">
        <v>0</v>
      </c>
      <c r="P690" t="n">
        <v>0</v>
      </c>
      <c r="Q690" t="n">
        <v>0</v>
      </c>
      <c r="R690" s="2" t="inlineStr"/>
    </row>
    <row r="691" ht="15" customHeight="1">
      <c r="A691" t="inlineStr">
        <is>
          <t>A 40590-2021</t>
        </is>
      </c>
      <c r="B691" s="1" t="n">
        <v>44420</v>
      </c>
      <c r="C691" s="1" t="n">
        <v>45880</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16210-2025</t>
        </is>
      </c>
      <c r="B692" s="1" t="n">
        <v>45750</v>
      </c>
      <c r="C692" s="1" t="n">
        <v>45880</v>
      </c>
      <c r="D692" t="inlineStr">
        <is>
          <t>VÄRMLANDS LÄN</t>
        </is>
      </c>
      <c r="E692" t="inlineStr">
        <is>
          <t>TORSBY</t>
        </is>
      </c>
      <c r="F692" t="inlineStr">
        <is>
          <t>Bergvik skog väst AB</t>
        </is>
      </c>
      <c r="G692" t="n">
        <v>10.7</v>
      </c>
      <c r="H692" t="n">
        <v>0</v>
      </c>
      <c r="I692" t="n">
        <v>0</v>
      </c>
      <c r="J692" t="n">
        <v>0</v>
      </c>
      <c r="K692" t="n">
        <v>0</v>
      </c>
      <c r="L692" t="n">
        <v>0</v>
      </c>
      <c r="M692" t="n">
        <v>0</v>
      </c>
      <c r="N692" t="n">
        <v>0</v>
      </c>
      <c r="O692" t="n">
        <v>0</v>
      </c>
      <c r="P692" t="n">
        <v>0</v>
      </c>
      <c r="Q692" t="n">
        <v>0</v>
      </c>
      <c r="R692" s="2" t="inlineStr"/>
    </row>
    <row r="693" ht="15" customHeight="1">
      <c r="A693" t="inlineStr">
        <is>
          <t>A 36184-2024</t>
        </is>
      </c>
      <c r="B693" s="1" t="n">
        <v>45534.4178125</v>
      </c>
      <c r="C693" s="1" t="n">
        <v>45880</v>
      </c>
      <c r="D693" t="inlineStr">
        <is>
          <t>VÄRMLANDS LÄN</t>
        </is>
      </c>
      <c r="E693" t="inlineStr">
        <is>
          <t>TORSBY</t>
        </is>
      </c>
      <c r="G693" t="n">
        <v>2.2</v>
      </c>
      <c r="H693" t="n">
        <v>0</v>
      </c>
      <c r="I693" t="n">
        <v>0</v>
      </c>
      <c r="J693" t="n">
        <v>0</v>
      </c>
      <c r="K693" t="n">
        <v>0</v>
      </c>
      <c r="L693" t="n">
        <v>0</v>
      </c>
      <c r="M693" t="n">
        <v>0</v>
      </c>
      <c r="N693" t="n">
        <v>0</v>
      </c>
      <c r="O693" t="n">
        <v>0</v>
      </c>
      <c r="P693" t="n">
        <v>0</v>
      </c>
      <c r="Q693" t="n">
        <v>0</v>
      </c>
      <c r="R693" s="2" t="inlineStr"/>
    </row>
    <row r="694" ht="15" customHeight="1">
      <c r="A694" t="inlineStr">
        <is>
          <t>A 20393-2023</t>
        </is>
      </c>
      <c r="B694" s="1" t="n">
        <v>45056</v>
      </c>
      <c r="C694" s="1" t="n">
        <v>45880</v>
      </c>
      <c r="D694" t="inlineStr">
        <is>
          <t>VÄRMLANDS LÄN</t>
        </is>
      </c>
      <c r="E694" t="inlineStr">
        <is>
          <t>TORSBY</t>
        </is>
      </c>
      <c r="G694" t="n">
        <v>4.2</v>
      </c>
      <c r="H694" t="n">
        <v>0</v>
      </c>
      <c r="I694" t="n">
        <v>0</v>
      </c>
      <c r="J694" t="n">
        <v>0</v>
      </c>
      <c r="K694" t="n">
        <v>0</v>
      </c>
      <c r="L694" t="n">
        <v>0</v>
      </c>
      <c r="M694" t="n">
        <v>0</v>
      </c>
      <c r="N694" t="n">
        <v>0</v>
      </c>
      <c r="O694" t="n">
        <v>0</v>
      </c>
      <c r="P694" t="n">
        <v>0</v>
      </c>
      <c r="Q694" t="n">
        <v>0</v>
      </c>
      <c r="R694" s="2" t="inlineStr"/>
    </row>
    <row r="695" ht="15" customHeight="1">
      <c r="A695" t="inlineStr">
        <is>
          <t>A 9056-2023</t>
        </is>
      </c>
      <c r="B695" s="1" t="n">
        <v>44979</v>
      </c>
      <c r="C695" s="1" t="n">
        <v>45880</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58869-2022</t>
        </is>
      </c>
      <c r="B696" s="1" t="n">
        <v>44903</v>
      </c>
      <c r="C696" s="1" t="n">
        <v>45880</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44532-2022</t>
        </is>
      </c>
      <c r="B697" s="1" t="n">
        <v>44840</v>
      </c>
      <c r="C697" s="1" t="n">
        <v>45880</v>
      </c>
      <c r="D697" t="inlineStr">
        <is>
          <t>VÄRMLANDS LÄN</t>
        </is>
      </c>
      <c r="E697" t="inlineStr">
        <is>
          <t>TORSBY</t>
        </is>
      </c>
      <c r="G697" t="n">
        <v>12.3</v>
      </c>
      <c r="H697" t="n">
        <v>0</v>
      </c>
      <c r="I697" t="n">
        <v>0</v>
      </c>
      <c r="J697" t="n">
        <v>0</v>
      </c>
      <c r="K697" t="n">
        <v>0</v>
      </c>
      <c r="L697" t="n">
        <v>0</v>
      </c>
      <c r="M697" t="n">
        <v>0</v>
      </c>
      <c r="N697" t="n">
        <v>0</v>
      </c>
      <c r="O697" t="n">
        <v>0</v>
      </c>
      <c r="P697" t="n">
        <v>0</v>
      </c>
      <c r="Q697" t="n">
        <v>0</v>
      </c>
      <c r="R697" s="2" t="inlineStr"/>
    </row>
    <row r="698" ht="15" customHeight="1">
      <c r="A698" t="inlineStr">
        <is>
          <t>A 1275-2024</t>
        </is>
      </c>
      <c r="B698" s="1" t="n">
        <v>45302</v>
      </c>
      <c r="C698" s="1" t="n">
        <v>45880</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41529-2024</t>
        </is>
      </c>
      <c r="B699" s="1" t="n">
        <v>45560.48552083333</v>
      </c>
      <c r="C699" s="1" t="n">
        <v>45880</v>
      </c>
      <c r="D699" t="inlineStr">
        <is>
          <t>VÄRMLANDS LÄN</t>
        </is>
      </c>
      <c r="E699" t="inlineStr">
        <is>
          <t>TORSBY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44838-2024</t>
        </is>
      </c>
      <c r="B700" s="1" t="n">
        <v>45574.7069675926</v>
      </c>
      <c r="C700" s="1" t="n">
        <v>45880</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24717-2024</t>
        </is>
      </c>
      <c r="B701" s="1" t="n">
        <v>45460</v>
      </c>
      <c r="C701" s="1" t="n">
        <v>45880</v>
      </c>
      <c r="D701" t="inlineStr">
        <is>
          <t>VÄRMLANDS LÄN</t>
        </is>
      </c>
      <c r="E701" t="inlineStr">
        <is>
          <t>TORSBY</t>
        </is>
      </c>
      <c r="F701" t="inlineStr">
        <is>
          <t>Övriga statliga verk och myndigheter</t>
        </is>
      </c>
      <c r="G701" t="n">
        <v>2.1</v>
      </c>
      <c r="H701" t="n">
        <v>0</v>
      </c>
      <c r="I701" t="n">
        <v>0</v>
      </c>
      <c r="J701" t="n">
        <v>0</v>
      </c>
      <c r="K701" t="n">
        <v>0</v>
      </c>
      <c r="L701" t="n">
        <v>0</v>
      </c>
      <c r="M701" t="n">
        <v>0</v>
      </c>
      <c r="N701" t="n">
        <v>0</v>
      </c>
      <c r="O701" t="n">
        <v>0</v>
      </c>
      <c r="P701" t="n">
        <v>0</v>
      </c>
      <c r="Q701" t="n">
        <v>0</v>
      </c>
      <c r="R701" s="2" t="inlineStr"/>
    </row>
    <row r="702" ht="15" customHeight="1">
      <c r="A702" t="inlineStr">
        <is>
          <t>A 53921-2023</t>
        </is>
      </c>
      <c r="B702" s="1" t="n">
        <v>45231</v>
      </c>
      <c r="C702" s="1" t="n">
        <v>45880</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41156-2023</t>
        </is>
      </c>
      <c r="B703" s="1" t="n">
        <v>45174</v>
      </c>
      <c r="C703" s="1" t="n">
        <v>45880</v>
      </c>
      <c r="D703" t="inlineStr">
        <is>
          <t>VÄRMLANDS LÄN</t>
        </is>
      </c>
      <c r="E703" t="inlineStr">
        <is>
          <t>TORSBY</t>
        </is>
      </c>
      <c r="F703" t="inlineStr">
        <is>
          <t>Kyrkan</t>
        </is>
      </c>
      <c r="G703" t="n">
        <v>3.1</v>
      </c>
      <c r="H703" t="n">
        <v>0</v>
      </c>
      <c r="I703" t="n">
        <v>0</v>
      </c>
      <c r="J703" t="n">
        <v>0</v>
      </c>
      <c r="K703" t="n">
        <v>0</v>
      </c>
      <c r="L703" t="n">
        <v>0</v>
      </c>
      <c r="M703" t="n">
        <v>0</v>
      </c>
      <c r="N703" t="n">
        <v>0</v>
      </c>
      <c r="O703" t="n">
        <v>0</v>
      </c>
      <c r="P703" t="n">
        <v>0</v>
      </c>
      <c r="Q703" t="n">
        <v>0</v>
      </c>
      <c r="R703" s="2" t="inlineStr"/>
    </row>
    <row r="704" ht="15" customHeight="1">
      <c r="A704" t="inlineStr">
        <is>
          <t>A 60796-2024</t>
        </is>
      </c>
      <c r="B704" s="1" t="n">
        <v>45642</v>
      </c>
      <c r="C704" s="1" t="n">
        <v>45880</v>
      </c>
      <c r="D704" t="inlineStr">
        <is>
          <t>VÄRMLANDS LÄN</t>
        </is>
      </c>
      <c r="E704" t="inlineStr">
        <is>
          <t>TORSBY</t>
        </is>
      </c>
      <c r="G704" t="n">
        <v>3.9</v>
      </c>
      <c r="H704" t="n">
        <v>0</v>
      </c>
      <c r="I704" t="n">
        <v>0</v>
      </c>
      <c r="J704" t="n">
        <v>0</v>
      </c>
      <c r="K704" t="n">
        <v>0</v>
      </c>
      <c r="L704" t="n">
        <v>0</v>
      </c>
      <c r="M704" t="n">
        <v>0</v>
      </c>
      <c r="N704" t="n">
        <v>0</v>
      </c>
      <c r="O704" t="n">
        <v>0</v>
      </c>
      <c r="P704" t="n">
        <v>0</v>
      </c>
      <c r="Q704" t="n">
        <v>0</v>
      </c>
      <c r="R704" s="2" t="inlineStr"/>
    </row>
    <row r="705" ht="15" customHeight="1">
      <c r="A705" t="inlineStr">
        <is>
          <t>A 2155-2024</t>
        </is>
      </c>
      <c r="B705" s="1" t="n">
        <v>45309</v>
      </c>
      <c r="C705" s="1" t="n">
        <v>45880</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43420-2024</t>
        </is>
      </c>
      <c r="B706" s="1" t="n">
        <v>45568</v>
      </c>
      <c r="C706" s="1" t="n">
        <v>45880</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59097-2022</t>
        </is>
      </c>
      <c r="B707" s="1" t="n">
        <v>44904</v>
      </c>
      <c r="C707" s="1" t="n">
        <v>45880</v>
      </c>
      <c r="D707" t="inlineStr">
        <is>
          <t>VÄRMLANDS LÄN</t>
        </is>
      </c>
      <c r="E707" t="inlineStr">
        <is>
          <t>TORSBY</t>
        </is>
      </c>
      <c r="G707" t="n">
        <v>6.6</v>
      </c>
      <c r="H707" t="n">
        <v>0</v>
      </c>
      <c r="I707" t="n">
        <v>0</v>
      </c>
      <c r="J707" t="n">
        <v>0</v>
      </c>
      <c r="K707" t="n">
        <v>0</v>
      </c>
      <c r="L707" t="n">
        <v>0</v>
      </c>
      <c r="M707" t="n">
        <v>0</v>
      </c>
      <c r="N707" t="n">
        <v>0</v>
      </c>
      <c r="O707" t="n">
        <v>0</v>
      </c>
      <c r="P707" t="n">
        <v>0</v>
      </c>
      <c r="Q707" t="n">
        <v>0</v>
      </c>
      <c r="R707" s="2" t="inlineStr"/>
    </row>
    <row r="708" ht="15" customHeight="1">
      <c r="A708" t="inlineStr">
        <is>
          <t>A 9381-2024</t>
        </is>
      </c>
      <c r="B708" s="1" t="n">
        <v>45359</v>
      </c>
      <c r="C708" s="1" t="n">
        <v>45880</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9904-2024</t>
        </is>
      </c>
      <c r="B709" s="1" t="n">
        <v>45363</v>
      </c>
      <c r="C709" s="1" t="n">
        <v>45880</v>
      </c>
      <c r="D709" t="inlineStr">
        <is>
          <t>VÄRMLANDS LÄN</t>
        </is>
      </c>
      <c r="E709" t="inlineStr">
        <is>
          <t>TORSBY</t>
        </is>
      </c>
      <c r="G709" t="n">
        <v>3.2</v>
      </c>
      <c r="H709" t="n">
        <v>0</v>
      </c>
      <c r="I709" t="n">
        <v>0</v>
      </c>
      <c r="J709" t="n">
        <v>0</v>
      </c>
      <c r="K709" t="n">
        <v>0</v>
      </c>
      <c r="L709" t="n">
        <v>0</v>
      </c>
      <c r="M709" t="n">
        <v>0</v>
      </c>
      <c r="N709" t="n">
        <v>0</v>
      </c>
      <c r="O709" t="n">
        <v>0</v>
      </c>
      <c r="P709" t="n">
        <v>0</v>
      </c>
      <c r="Q709" t="n">
        <v>0</v>
      </c>
      <c r="R709" s="2" t="inlineStr"/>
    </row>
    <row r="710" ht="15" customHeight="1">
      <c r="A710" t="inlineStr">
        <is>
          <t>A 11575-2024</t>
        </is>
      </c>
      <c r="B710" s="1" t="n">
        <v>45373</v>
      </c>
      <c r="C710" s="1" t="n">
        <v>45880</v>
      </c>
      <c r="D710" t="inlineStr">
        <is>
          <t>VÄRMLANDS LÄN</t>
        </is>
      </c>
      <c r="E710" t="inlineStr">
        <is>
          <t>TORSBY</t>
        </is>
      </c>
      <c r="G710" t="n">
        <v>14.2</v>
      </c>
      <c r="H710" t="n">
        <v>0</v>
      </c>
      <c r="I710" t="n">
        <v>0</v>
      </c>
      <c r="J710" t="n">
        <v>0</v>
      </c>
      <c r="K710" t="n">
        <v>0</v>
      </c>
      <c r="L710" t="n">
        <v>0</v>
      </c>
      <c r="M710" t="n">
        <v>0</v>
      </c>
      <c r="N710" t="n">
        <v>0</v>
      </c>
      <c r="O710" t="n">
        <v>0</v>
      </c>
      <c r="P710" t="n">
        <v>0</v>
      </c>
      <c r="Q710" t="n">
        <v>0</v>
      </c>
      <c r="R710" s="2" t="inlineStr"/>
    </row>
    <row r="711" ht="15" customHeight="1">
      <c r="A711" t="inlineStr">
        <is>
          <t>A 44325-2024</t>
        </is>
      </c>
      <c r="B711" s="1" t="n">
        <v>45573</v>
      </c>
      <c r="C711" s="1" t="n">
        <v>45880</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57726-2022</t>
        </is>
      </c>
      <c r="B712" s="1" t="n">
        <v>44897.56420138889</v>
      </c>
      <c r="C712" s="1" t="n">
        <v>45880</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276-2024</t>
        </is>
      </c>
      <c r="B713" s="1" t="n">
        <v>45295</v>
      </c>
      <c r="C713" s="1" t="n">
        <v>45880</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36879-2024</t>
        </is>
      </c>
      <c r="B714" s="1" t="n">
        <v>45538</v>
      </c>
      <c r="C714" s="1" t="n">
        <v>45880</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14730-2024</t>
        </is>
      </c>
      <c r="B715" s="1" t="n">
        <v>45397.58518518518</v>
      </c>
      <c r="C715" s="1" t="n">
        <v>45880</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51386-2023</t>
        </is>
      </c>
      <c r="B716" s="1" t="n">
        <v>45219.65394675926</v>
      </c>
      <c r="C716" s="1" t="n">
        <v>45880</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38914-2022</t>
        </is>
      </c>
      <c r="B717" s="1" t="n">
        <v>44816.61194444444</v>
      </c>
      <c r="C717" s="1" t="n">
        <v>45880</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28598-2023</t>
        </is>
      </c>
      <c r="B718" s="1" t="n">
        <v>45103.57421296297</v>
      </c>
      <c r="C718" s="1" t="n">
        <v>45880</v>
      </c>
      <c r="D718" t="inlineStr">
        <is>
          <t>VÄRMLANDS LÄN</t>
        </is>
      </c>
      <c r="E718" t="inlineStr">
        <is>
          <t>TORSBY</t>
        </is>
      </c>
      <c r="G718" t="n">
        <v>1.9</v>
      </c>
      <c r="H718" t="n">
        <v>0</v>
      </c>
      <c r="I718" t="n">
        <v>0</v>
      </c>
      <c r="J718" t="n">
        <v>0</v>
      </c>
      <c r="K718" t="n">
        <v>0</v>
      </c>
      <c r="L718" t="n">
        <v>0</v>
      </c>
      <c r="M718" t="n">
        <v>0</v>
      </c>
      <c r="N718" t="n">
        <v>0</v>
      </c>
      <c r="O718" t="n">
        <v>0</v>
      </c>
      <c r="P718" t="n">
        <v>0</v>
      </c>
      <c r="Q718" t="n">
        <v>0</v>
      </c>
      <c r="R718" s="2" t="inlineStr"/>
    </row>
    <row r="719" ht="15" customHeight="1">
      <c r="A719" t="inlineStr">
        <is>
          <t>A 33268-2023</t>
        </is>
      </c>
      <c r="B719" s="1" t="n">
        <v>45127.58094907407</v>
      </c>
      <c r="C719" s="1" t="n">
        <v>45880</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18501-2025</t>
        </is>
      </c>
      <c r="B720" s="1" t="n">
        <v>45763</v>
      </c>
      <c r="C720" s="1" t="n">
        <v>45880</v>
      </c>
      <c r="D720" t="inlineStr">
        <is>
          <t>VÄRMLANDS LÄN</t>
        </is>
      </c>
      <c r="E720" t="inlineStr">
        <is>
          <t>TORSBY</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32988-2024</t>
        </is>
      </c>
      <c r="B721" s="1" t="n">
        <v>45517.46616898148</v>
      </c>
      <c r="C721" s="1" t="n">
        <v>45880</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1997-2025</t>
        </is>
      </c>
      <c r="B722" s="1" t="n">
        <v>45672.44431712963</v>
      </c>
      <c r="C722" s="1" t="n">
        <v>45880</v>
      </c>
      <c r="D722" t="inlineStr">
        <is>
          <t>VÄRMLANDS LÄN</t>
        </is>
      </c>
      <c r="E722" t="inlineStr">
        <is>
          <t>TORSBY</t>
        </is>
      </c>
      <c r="G722" t="n">
        <v>20.1</v>
      </c>
      <c r="H722" t="n">
        <v>0</v>
      </c>
      <c r="I722" t="n">
        <v>0</v>
      </c>
      <c r="J722" t="n">
        <v>0</v>
      </c>
      <c r="K722" t="n">
        <v>0</v>
      </c>
      <c r="L722" t="n">
        <v>0</v>
      </c>
      <c r="M722" t="n">
        <v>0</v>
      </c>
      <c r="N722" t="n">
        <v>0</v>
      </c>
      <c r="O722" t="n">
        <v>0</v>
      </c>
      <c r="P722" t="n">
        <v>0</v>
      </c>
      <c r="Q722" t="n">
        <v>0</v>
      </c>
      <c r="R722" s="2" t="inlineStr"/>
    </row>
    <row r="723" ht="15" customHeight="1">
      <c r="A723" t="inlineStr">
        <is>
          <t>A 25932-2024</t>
        </is>
      </c>
      <c r="B723" s="1" t="n">
        <v>45467.62097222222</v>
      </c>
      <c r="C723" s="1" t="n">
        <v>45880</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39780-2022</t>
        </is>
      </c>
      <c r="B724" s="1" t="n">
        <v>44819.46672453704</v>
      </c>
      <c r="C724" s="1" t="n">
        <v>45880</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58255-2024</t>
        </is>
      </c>
      <c r="B725" s="1" t="n">
        <v>45632.55993055556</v>
      </c>
      <c r="C725" s="1" t="n">
        <v>45880</v>
      </c>
      <c r="D725" t="inlineStr">
        <is>
          <t>VÄRMLANDS LÄN</t>
        </is>
      </c>
      <c r="E725" t="inlineStr">
        <is>
          <t>TORSBY</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1947-2023</t>
        </is>
      </c>
      <c r="B726" s="1" t="n">
        <v>44939</v>
      </c>
      <c r="C726" s="1" t="n">
        <v>45880</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14026-2025</t>
        </is>
      </c>
      <c r="B727" s="1" t="n">
        <v>45740.35003472222</v>
      </c>
      <c r="C727" s="1" t="n">
        <v>45880</v>
      </c>
      <c r="D727" t="inlineStr">
        <is>
          <t>VÄRMLANDS LÄN</t>
        </is>
      </c>
      <c r="E727" t="inlineStr">
        <is>
          <t>TORSBY</t>
        </is>
      </c>
      <c r="G727" t="n">
        <v>5.7</v>
      </c>
      <c r="H727" t="n">
        <v>0</v>
      </c>
      <c r="I727" t="n">
        <v>0</v>
      </c>
      <c r="J727" t="n">
        <v>0</v>
      </c>
      <c r="K727" t="n">
        <v>0</v>
      </c>
      <c r="L727" t="n">
        <v>0</v>
      </c>
      <c r="M727" t="n">
        <v>0</v>
      </c>
      <c r="N727" t="n">
        <v>0</v>
      </c>
      <c r="O727" t="n">
        <v>0</v>
      </c>
      <c r="P727" t="n">
        <v>0</v>
      </c>
      <c r="Q727" t="n">
        <v>0</v>
      </c>
      <c r="R727" s="2" t="inlineStr"/>
    </row>
    <row r="728" ht="15" customHeight="1">
      <c r="A728" t="inlineStr">
        <is>
          <t>A 42615-2021</t>
        </is>
      </c>
      <c r="B728" s="1" t="n">
        <v>44428</v>
      </c>
      <c r="C728" s="1" t="n">
        <v>45880</v>
      </c>
      <c r="D728" t="inlineStr">
        <is>
          <t>VÄRMLANDS LÄN</t>
        </is>
      </c>
      <c r="E728" t="inlineStr">
        <is>
          <t>TORSBY</t>
        </is>
      </c>
      <c r="F728" t="inlineStr">
        <is>
          <t>Bergvik skog väst AB</t>
        </is>
      </c>
      <c r="G728" t="n">
        <v>37.2</v>
      </c>
      <c r="H728" t="n">
        <v>0</v>
      </c>
      <c r="I728" t="n">
        <v>0</v>
      </c>
      <c r="J728" t="n">
        <v>0</v>
      </c>
      <c r="K728" t="n">
        <v>0</v>
      </c>
      <c r="L728" t="n">
        <v>0</v>
      </c>
      <c r="M728" t="n">
        <v>0</v>
      </c>
      <c r="N728" t="n">
        <v>0</v>
      </c>
      <c r="O728" t="n">
        <v>0</v>
      </c>
      <c r="P728" t="n">
        <v>0</v>
      </c>
      <c r="Q728" t="n">
        <v>0</v>
      </c>
      <c r="R728" s="2" t="inlineStr"/>
    </row>
    <row r="729" ht="15" customHeight="1">
      <c r="A729" t="inlineStr">
        <is>
          <t>A 54489-2024</t>
        </is>
      </c>
      <c r="B729" s="1" t="n">
        <v>45617.56674768519</v>
      </c>
      <c r="C729" s="1" t="n">
        <v>45880</v>
      </c>
      <c r="D729" t="inlineStr">
        <is>
          <t>VÄRMLANDS LÄN</t>
        </is>
      </c>
      <c r="E729" t="inlineStr">
        <is>
          <t>TORSBY</t>
        </is>
      </c>
      <c r="F729" t="inlineStr">
        <is>
          <t>Bergvik skog väst AB</t>
        </is>
      </c>
      <c r="G729" t="n">
        <v>6.7</v>
      </c>
      <c r="H729" t="n">
        <v>0</v>
      </c>
      <c r="I729" t="n">
        <v>0</v>
      </c>
      <c r="J729" t="n">
        <v>0</v>
      </c>
      <c r="K729" t="n">
        <v>0</v>
      </c>
      <c r="L729" t="n">
        <v>0</v>
      </c>
      <c r="M729" t="n">
        <v>0</v>
      </c>
      <c r="N729" t="n">
        <v>0</v>
      </c>
      <c r="O729" t="n">
        <v>0</v>
      </c>
      <c r="P729" t="n">
        <v>0</v>
      </c>
      <c r="Q729" t="n">
        <v>0</v>
      </c>
      <c r="R729" s="2" t="inlineStr"/>
    </row>
    <row r="730" ht="15" customHeight="1">
      <c r="A730" t="inlineStr">
        <is>
          <t>A 24261-2024</t>
        </is>
      </c>
      <c r="B730" s="1" t="n">
        <v>45457</v>
      </c>
      <c r="C730" s="1" t="n">
        <v>45880</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60058-2023</t>
        </is>
      </c>
      <c r="B731" s="1" t="n">
        <v>45258.37978009259</v>
      </c>
      <c r="C731" s="1" t="n">
        <v>45880</v>
      </c>
      <c r="D731" t="inlineStr">
        <is>
          <t>VÄRMLANDS LÄN</t>
        </is>
      </c>
      <c r="E731" t="inlineStr">
        <is>
          <t>TORSBY</t>
        </is>
      </c>
      <c r="G731" t="n">
        <v>5</v>
      </c>
      <c r="H731" t="n">
        <v>0</v>
      </c>
      <c r="I731" t="n">
        <v>0</v>
      </c>
      <c r="J731" t="n">
        <v>0</v>
      </c>
      <c r="K731" t="n">
        <v>0</v>
      </c>
      <c r="L731" t="n">
        <v>0</v>
      </c>
      <c r="M731" t="n">
        <v>0</v>
      </c>
      <c r="N731" t="n">
        <v>0</v>
      </c>
      <c r="O731" t="n">
        <v>0</v>
      </c>
      <c r="P731" t="n">
        <v>0</v>
      </c>
      <c r="Q731" t="n">
        <v>0</v>
      </c>
      <c r="R731" s="2" t="inlineStr"/>
    </row>
    <row r="732" ht="15" customHeight="1">
      <c r="A732" t="inlineStr">
        <is>
          <t>A 44670-2023</t>
        </is>
      </c>
      <c r="B732" s="1" t="n">
        <v>45189</v>
      </c>
      <c r="C732" s="1" t="n">
        <v>45880</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4578-2025</t>
        </is>
      </c>
      <c r="B733" s="1" t="n">
        <v>45687</v>
      </c>
      <c r="C733" s="1" t="n">
        <v>45880</v>
      </c>
      <c r="D733" t="inlineStr">
        <is>
          <t>VÄRMLANDS LÄN</t>
        </is>
      </c>
      <c r="E733" t="inlineStr">
        <is>
          <t>TORSBY</t>
        </is>
      </c>
      <c r="G733" t="n">
        <v>1.6</v>
      </c>
      <c r="H733" t="n">
        <v>0</v>
      </c>
      <c r="I733" t="n">
        <v>0</v>
      </c>
      <c r="J733" t="n">
        <v>0</v>
      </c>
      <c r="K733" t="n">
        <v>0</v>
      </c>
      <c r="L733" t="n">
        <v>0</v>
      </c>
      <c r="M733" t="n">
        <v>0</v>
      </c>
      <c r="N733" t="n">
        <v>0</v>
      </c>
      <c r="O733" t="n">
        <v>0</v>
      </c>
      <c r="P733" t="n">
        <v>0</v>
      </c>
      <c r="Q733" t="n">
        <v>0</v>
      </c>
      <c r="R733" s="2" t="inlineStr"/>
    </row>
    <row r="734" ht="15" customHeight="1">
      <c r="A734" t="inlineStr">
        <is>
          <t>A 3666-2023</t>
        </is>
      </c>
      <c r="B734" s="1" t="n">
        <v>44950</v>
      </c>
      <c r="C734" s="1" t="n">
        <v>45880</v>
      </c>
      <c r="D734" t="inlineStr">
        <is>
          <t>VÄRMLANDS LÄN</t>
        </is>
      </c>
      <c r="E734" t="inlineStr">
        <is>
          <t>TORSBY</t>
        </is>
      </c>
      <c r="G734" t="n">
        <v>6.8</v>
      </c>
      <c r="H734" t="n">
        <v>0</v>
      </c>
      <c r="I734" t="n">
        <v>0</v>
      </c>
      <c r="J734" t="n">
        <v>0</v>
      </c>
      <c r="K734" t="n">
        <v>0</v>
      </c>
      <c r="L734" t="n">
        <v>0</v>
      </c>
      <c r="M734" t="n">
        <v>0</v>
      </c>
      <c r="N734" t="n">
        <v>0</v>
      </c>
      <c r="O734" t="n">
        <v>0</v>
      </c>
      <c r="P734" t="n">
        <v>0</v>
      </c>
      <c r="Q734" t="n">
        <v>0</v>
      </c>
      <c r="R734" s="2" t="inlineStr"/>
    </row>
    <row r="735" ht="15" customHeight="1">
      <c r="A735" t="inlineStr">
        <is>
          <t>A 3670-2023</t>
        </is>
      </c>
      <c r="B735" s="1" t="n">
        <v>44950</v>
      </c>
      <c r="C735" s="1" t="n">
        <v>45880</v>
      </c>
      <c r="D735" t="inlineStr">
        <is>
          <t>VÄRMLANDS LÄN</t>
        </is>
      </c>
      <c r="E735" t="inlineStr">
        <is>
          <t>TORSBY</t>
        </is>
      </c>
      <c r="G735" t="n">
        <v>15.4</v>
      </c>
      <c r="H735" t="n">
        <v>0</v>
      </c>
      <c r="I735" t="n">
        <v>0</v>
      </c>
      <c r="J735" t="n">
        <v>0</v>
      </c>
      <c r="K735" t="n">
        <v>0</v>
      </c>
      <c r="L735" t="n">
        <v>0</v>
      </c>
      <c r="M735" t="n">
        <v>0</v>
      </c>
      <c r="N735" t="n">
        <v>0</v>
      </c>
      <c r="O735" t="n">
        <v>0</v>
      </c>
      <c r="P735" t="n">
        <v>0</v>
      </c>
      <c r="Q735" t="n">
        <v>0</v>
      </c>
      <c r="R735" s="2" t="inlineStr"/>
    </row>
    <row r="736" ht="15" customHeight="1">
      <c r="A736" t="inlineStr">
        <is>
          <t>A 53652-2023</t>
        </is>
      </c>
      <c r="B736" s="1" t="n">
        <v>45224</v>
      </c>
      <c r="C736" s="1" t="n">
        <v>45880</v>
      </c>
      <c r="D736" t="inlineStr">
        <is>
          <t>VÄRMLANDS LÄN</t>
        </is>
      </c>
      <c r="E736" t="inlineStr">
        <is>
          <t>TORSBY</t>
        </is>
      </c>
      <c r="F736" t="inlineStr">
        <is>
          <t>Övriga statliga verk och myndigheter</t>
        </is>
      </c>
      <c r="G736" t="n">
        <v>0.8</v>
      </c>
      <c r="H736" t="n">
        <v>0</v>
      </c>
      <c r="I736" t="n">
        <v>0</v>
      </c>
      <c r="J736" t="n">
        <v>0</v>
      </c>
      <c r="K736" t="n">
        <v>0</v>
      </c>
      <c r="L736" t="n">
        <v>0</v>
      </c>
      <c r="M736" t="n">
        <v>0</v>
      </c>
      <c r="N736" t="n">
        <v>0</v>
      </c>
      <c r="O736" t="n">
        <v>0</v>
      </c>
      <c r="P736" t="n">
        <v>0</v>
      </c>
      <c r="Q736" t="n">
        <v>0</v>
      </c>
      <c r="R736" s="2" t="inlineStr"/>
    </row>
    <row r="737" ht="15" customHeight="1">
      <c r="A737" t="inlineStr">
        <is>
          <t>A 39642-2021</t>
        </is>
      </c>
      <c r="B737" s="1" t="n">
        <v>44417</v>
      </c>
      <c r="C737" s="1" t="n">
        <v>45880</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3590-2024</t>
        </is>
      </c>
      <c r="B738" s="1" t="n">
        <v>45320</v>
      </c>
      <c r="C738" s="1" t="n">
        <v>45880</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22421-2024</t>
        </is>
      </c>
      <c r="B739" s="1" t="n">
        <v>45446.70890046296</v>
      </c>
      <c r="C739" s="1" t="n">
        <v>45880</v>
      </c>
      <c r="D739" t="inlineStr">
        <is>
          <t>VÄRMLANDS LÄN</t>
        </is>
      </c>
      <c r="E739" t="inlineStr">
        <is>
          <t>TORSBY</t>
        </is>
      </c>
      <c r="G739" t="n">
        <v>8.9</v>
      </c>
      <c r="H739" t="n">
        <v>0</v>
      </c>
      <c r="I739" t="n">
        <v>0</v>
      </c>
      <c r="J739" t="n">
        <v>0</v>
      </c>
      <c r="K739" t="n">
        <v>0</v>
      </c>
      <c r="L739" t="n">
        <v>0</v>
      </c>
      <c r="M739" t="n">
        <v>0</v>
      </c>
      <c r="N739" t="n">
        <v>0</v>
      </c>
      <c r="O739" t="n">
        <v>0</v>
      </c>
      <c r="P739" t="n">
        <v>0</v>
      </c>
      <c r="Q739" t="n">
        <v>0</v>
      </c>
      <c r="R739" s="2" t="inlineStr"/>
    </row>
    <row r="740" ht="15" customHeight="1">
      <c r="A740" t="inlineStr">
        <is>
          <t>A 27677-2024</t>
        </is>
      </c>
      <c r="B740" s="1" t="n">
        <v>45475</v>
      </c>
      <c r="C740" s="1" t="n">
        <v>45880</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27678-2024</t>
        </is>
      </c>
      <c r="B741" s="1" t="n">
        <v>45475</v>
      </c>
      <c r="C741" s="1" t="n">
        <v>45880</v>
      </c>
      <c r="D741" t="inlineStr">
        <is>
          <t>VÄRMLANDS LÄN</t>
        </is>
      </c>
      <c r="E741" t="inlineStr">
        <is>
          <t>TORSBY</t>
        </is>
      </c>
      <c r="G741" t="n">
        <v>0.5</v>
      </c>
      <c r="H741" t="n">
        <v>0</v>
      </c>
      <c r="I741" t="n">
        <v>0</v>
      </c>
      <c r="J741" t="n">
        <v>0</v>
      </c>
      <c r="K741" t="n">
        <v>0</v>
      </c>
      <c r="L741" t="n">
        <v>0</v>
      </c>
      <c r="M741" t="n">
        <v>0</v>
      </c>
      <c r="N741" t="n">
        <v>0</v>
      </c>
      <c r="O741" t="n">
        <v>0</v>
      </c>
      <c r="P741" t="n">
        <v>0</v>
      </c>
      <c r="Q741" t="n">
        <v>0</v>
      </c>
      <c r="R741" s="2" t="inlineStr"/>
    </row>
    <row r="742" ht="15" customHeight="1">
      <c r="A742" t="inlineStr">
        <is>
          <t>A 14304-2023</t>
        </is>
      </c>
      <c r="B742" s="1" t="n">
        <v>45011.76541666667</v>
      </c>
      <c r="C742" s="1" t="n">
        <v>45880</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40971-2023</t>
        </is>
      </c>
      <c r="B743" s="1" t="n">
        <v>45173</v>
      </c>
      <c r="C743" s="1" t="n">
        <v>45880</v>
      </c>
      <c r="D743" t="inlineStr">
        <is>
          <t>VÄRMLANDS LÄN</t>
        </is>
      </c>
      <c r="E743" t="inlineStr">
        <is>
          <t>TORSBY</t>
        </is>
      </c>
      <c r="G743" t="n">
        <v>6.1</v>
      </c>
      <c r="H743" t="n">
        <v>0</v>
      </c>
      <c r="I743" t="n">
        <v>0</v>
      </c>
      <c r="J743" t="n">
        <v>0</v>
      </c>
      <c r="K743" t="n">
        <v>0</v>
      </c>
      <c r="L743" t="n">
        <v>0</v>
      </c>
      <c r="M743" t="n">
        <v>0</v>
      </c>
      <c r="N743" t="n">
        <v>0</v>
      </c>
      <c r="O743" t="n">
        <v>0</v>
      </c>
      <c r="P743" t="n">
        <v>0</v>
      </c>
      <c r="Q743" t="n">
        <v>0</v>
      </c>
      <c r="R743" s="2" t="inlineStr"/>
    </row>
    <row r="744" ht="15" customHeight="1">
      <c r="A744" t="inlineStr">
        <is>
          <t>A 46471-2024</t>
        </is>
      </c>
      <c r="B744" s="1" t="n">
        <v>45582.5517824074</v>
      </c>
      <c r="C744" s="1" t="n">
        <v>45880</v>
      </c>
      <c r="D744" t="inlineStr">
        <is>
          <t>VÄRMLANDS LÄN</t>
        </is>
      </c>
      <c r="E744" t="inlineStr">
        <is>
          <t>TORSBY</t>
        </is>
      </c>
      <c r="G744" t="n">
        <v>2.1</v>
      </c>
      <c r="H744" t="n">
        <v>0</v>
      </c>
      <c r="I744" t="n">
        <v>0</v>
      </c>
      <c r="J744" t="n">
        <v>0</v>
      </c>
      <c r="K744" t="n">
        <v>0</v>
      </c>
      <c r="L744" t="n">
        <v>0</v>
      </c>
      <c r="M744" t="n">
        <v>0</v>
      </c>
      <c r="N744" t="n">
        <v>0</v>
      </c>
      <c r="O744" t="n">
        <v>0</v>
      </c>
      <c r="P744" t="n">
        <v>0</v>
      </c>
      <c r="Q744" t="n">
        <v>0</v>
      </c>
      <c r="R744" s="2" t="inlineStr"/>
    </row>
    <row r="745" ht="15" customHeight="1">
      <c r="A745" t="inlineStr">
        <is>
          <t>A 8728-2024</t>
        </is>
      </c>
      <c r="B745" s="1" t="n">
        <v>45356.42799768518</v>
      </c>
      <c r="C745" s="1" t="n">
        <v>45880</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32332-2023</t>
        </is>
      </c>
      <c r="B746" s="1" t="n">
        <v>45110</v>
      </c>
      <c r="C746" s="1" t="n">
        <v>45880</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15085-2023</t>
        </is>
      </c>
      <c r="B747" s="1" t="n">
        <v>45016</v>
      </c>
      <c r="C747" s="1" t="n">
        <v>45880</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71679-2021</t>
        </is>
      </c>
      <c r="B748" s="1" t="n">
        <v>44543</v>
      </c>
      <c r="C748" s="1" t="n">
        <v>45880</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9704-2025</t>
        </is>
      </c>
      <c r="B749" s="1" t="n">
        <v>45716.38378472222</v>
      </c>
      <c r="C749" s="1" t="n">
        <v>45880</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40470-2023</t>
        </is>
      </c>
      <c r="B750" s="1" t="n">
        <v>45170</v>
      </c>
      <c r="C750" s="1" t="n">
        <v>45880</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60477-2024</t>
        </is>
      </c>
      <c r="B751" s="1" t="n">
        <v>45643</v>
      </c>
      <c r="C751" s="1" t="n">
        <v>45880</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1123-2023</t>
        </is>
      </c>
      <c r="B752" s="1" t="n">
        <v>44935</v>
      </c>
      <c r="C752" s="1" t="n">
        <v>45880</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36700-2021</t>
        </is>
      </c>
      <c r="B753" s="1" t="n">
        <v>44392</v>
      </c>
      <c r="C753" s="1" t="n">
        <v>45880</v>
      </c>
      <c r="D753" t="inlineStr">
        <is>
          <t>VÄRMLANDS LÄN</t>
        </is>
      </c>
      <c r="E753" t="inlineStr">
        <is>
          <t>TORSBY</t>
        </is>
      </c>
      <c r="F753" t="inlineStr">
        <is>
          <t>Bergvik skog väst AB</t>
        </is>
      </c>
      <c r="G753" t="n">
        <v>9.9</v>
      </c>
      <c r="H753" t="n">
        <v>0</v>
      </c>
      <c r="I753" t="n">
        <v>0</v>
      </c>
      <c r="J753" t="n">
        <v>0</v>
      </c>
      <c r="K753" t="n">
        <v>0</v>
      </c>
      <c r="L753" t="n">
        <v>0</v>
      </c>
      <c r="M753" t="n">
        <v>0</v>
      </c>
      <c r="N753" t="n">
        <v>0</v>
      </c>
      <c r="O753" t="n">
        <v>0</v>
      </c>
      <c r="P753" t="n">
        <v>0</v>
      </c>
      <c r="Q753" t="n">
        <v>0</v>
      </c>
      <c r="R753" s="2" t="inlineStr"/>
    </row>
    <row r="754" ht="15" customHeight="1">
      <c r="A754" t="inlineStr">
        <is>
          <t>A 70785-2021</t>
        </is>
      </c>
      <c r="B754" s="1" t="n">
        <v>44537</v>
      </c>
      <c r="C754" s="1" t="n">
        <v>45880</v>
      </c>
      <c r="D754" t="inlineStr">
        <is>
          <t>VÄRMLANDS LÄN</t>
        </is>
      </c>
      <c r="E754" t="inlineStr">
        <is>
          <t>TORSBY</t>
        </is>
      </c>
      <c r="G754" t="n">
        <v>2.9</v>
      </c>
      <c r="H754" t="n">
        <v>0</v>
      </c>
      <c r="I754" t="n">
        <v>0</v>
      </c>
      <c r="J754" t="n">
        <v>0</v>
      </c>
      <c r="K754" t="n">
        <v>0</v>
      </c>
      <c r="L754" t="n">
        <v>0</v>
      </c>
      <c r="M754" t="n">
        <v>0</v>
      </c>
      <c r="N754" t="n">
        <v>0</v>
      </c>
      <c r="O754" t="n">
        <v>0</v>
      </c>
      <c r="P754" t="n">
        <v>0</v>
      </c>
      <c r="Q754" t="n">
        <v>0</v>
      </c>
      <c r="R754" s="2" t="inlineStr"/>
    </row>
    <row r="755" ht="15" customHeight="1">
      <c r="A755" t="inlineStr">
        <is>
          <t>A 58727-2021</t>
        </is>
      </c>
      <c r="B755" s="1" t="n">
        <v>44489.49052083334</v>
      </c>
      <c r="C755" s="1" t="n">
        <v>45880</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43248-2022</t>
        </is>
      </c>
      <c r="B756" s="1" t="n">
        <v>44834</v>
      </c>
      <c r="C756" s="1" t="n">
        <v>45880</v>
      </c>
      <c r="D756" t="inlineStr">
        <is>
          <t>VÄRMLANDS LÄN</t>
        </is>
      </c>
      <c r="E756" t="inlineStr">
        <is>
          <t>TORSBY</t>
        </is>
      </c>
      <c r="G756" t="n">
        <v>2.9</v>
      </c>
      <c r="H756" t="n">
        <v>0</v>
      </c>
      <c r="I756" t="n">
        <v>0</v>
      </c>
      <c r="J756" t="n">
        <v>0</v>
      </c>
      <c r="K756" t="n">
        <v>0</v>
      </c>
      <c r="L756" t="n">
        <v>0</v>
      </c>
      <c r="M756" t="n">
        <v>0</v>
      </c>
      <c r="N756" t="n">
        <v>0</v>
      </c>
      <c r="O756" t="n">
        <v>0</v>
      </c>
      <c r="P756" t="n">
        <v>0</v>
      </c>
      <c r="Q756" t="n">
        <v>0</v>
      </c>
      <c r="R756" s="2" t="inlineStr"/>
    </row>
    <row r="757" ht="15" customHeight="1">
      <c r="A757" t="inlineStr">
        <is>
          <t>A 43289-2022</t>
        </is>
      </c>
      <c r="B757" s="1" t="n">
        <v>44834.51623842592</v>
      </c>
      <c r="C757" s="1" t="n">
        <v>45880</v>
      </c>
      <c r="D757" t="inlineStr">
        <is>
          <t>VÄRMLANDS LÄN</t>
        </is>
      </c>
      <c r="E757" t="inlineStr">
        <is>
          <t>TORSBY</t>
        </is>
      </c>
      <c r="G757" t="n">
        <v>11.2</v>
      </c>
      <c r="H757" t="n">
        <v>0</v>
      </c>
      <c r="I757" t="n">
        <v>0</v>
      </c>
      <c r="J757" t="n">
        <v>0</v>
      </c>
      <c r="K757" t="n">
        <v>0</v>
      </c>
      <c r="L757" t="n">
        <v>0</v>
      </c>
      <c r="M757" t="n">
        <v>0</v>
      </c>
      <c r="N757" t="n">
        <v>0</v>
      </c>
      <c r="O757" t="n">
        <v>0</v>
      </c>
      <c r="P757" t="n">
        <v>0</v>
      </c>
      <c r="Q757" t="n">
        <v>0</v>
      </c>
      <c r="R757" s="2" t="inlineStr"/>
    </row>
    <row r="758" ht="15" customHeight="1">
      <c r="A758" t="inlineStr">
        <is>
          <t>A 26086-2024</t>
        </is>
      </c>
      <c r="B758" s="1" t="n">
        <v>45468</v>
      </c>
      <c r="C758" s="1" t="n">
        <v>45880</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9286-2025</t>
        </is>
      </c>
      <c r="B759" s="1" t="n">
        <v>45714</v>
      </c>
      <c r="C759" s="1" t="n">
        <v>45880</v>
      </c>
      <c r="D759" t="inlineStr">
        <is>
          <t>VÄRMLANDS LÄN</t>
        </is>
      </c>
      <c r="E759" t="inlineStr">
        <is>
          <t>TORSBY</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13785-2023</t>
        </is>
      </c>
      <c r="B760" s="1" t="n">
        <v>45007</v>
      </c>
      <c r="C760" s="1" t="n">
        <v>45880</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62574-2022</t>
        </is>
      </c>
      <c r="B761" s="1" t="n">
        <v>44924.85943287037</v>
      </c>
      <c r="C761" s="1" t="n">
        <v>45880</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3542-2023</t>
        </is>
      </c>
      <c r="B762" s="1" t="n">
        <v>44950</v>
      </c>
      <c r="C762" s="1" t="n">
        <v>45880</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3678-2024</t>
        </is>
      </c>
      <c r="B763" s="1" t="n">
        <v>45321.37844907407</v>
      </c>
      <c r="C763" s="1" t="n">
        <v>45880</v>
      </c>
      <c r="D763" t="inlineStr">
        <is>
          <t>VÄRMLANDS LÄN</t>
        </is>
      </c>
      <c r="E763" t="inlineStr">
        <is>
          <t>TORSBY</t>
        </is>
      </c>
      <c r="G763" t="n">
        <v>24.6</v>
      </c>
      <c r="H763" t="n">
        <v>0</v>
      </c>
      <c r="I763" t="n">
        <v>0</v>
      </c>
      <c r="J763" t="n">
        <v>0</v>
      </c>
      <c r="K763" t="n">
        <v>0</v>
      </c>
      <c r="L763" t="n">
        <v>0</v>
      </c>
      <c r="M763" t="n">
        <v>0</v>
      </c>
      <c r="N763" t="n">
        <v>0</v>
      </c>
      <c r="O763" t="n">
        <v>0</v>
      </c>
      <c r="P763" t="n">
        <v>0</v>
      </c>
      <c r="Q763" t="n">
        <v>0</v>
      </c>
      <c r="R763" s="2" t="inlineStr"/>
    </row>
    <row r="764" ht="15" customHeight="1">
      <c r="A764" t="inlineStr">
        <is>
          <t>A 59781-2023</t>
        </is>
      </c>
      <c r="B764" s="1" t="n">
        <v>45257.44043981482</v>
      </c>
      <c r="C764" s="1" t="n">
        <v>45880</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49840-2024</t>
        </is>
      </c>
      <c r="B765" s="1" t="n">
        <v>45597</v>
      </c>
      <c r="C765" s="1" t="n">
        <v>45880</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54160-2022</t>
        </is>
      </c>
      <c r="B766" s="1" t="n">
        <v>44881</v>
      </c>
      <c r="C766" s="1" t="n">
        <v>45880</v>
      </c>
      <c r="D766" t="inlineStr">
        <is>
          <t>VÄRMLANDS LÄN</t>
        </is>
      </c>
      <c r="E766" t="inlineStr">
        <is>
          <t>TORSBY</t>
        </is>
      </c>
      <c r="G766" t="n">
        <v>1.3</v>
      </c>
      <c r="H766" t="n">
        <v>0</v>
      </c>
      <c r="I766" t="n">
        <v>0</v>
      </c>
      <c r="J766" t="n">
        <v>0</v>
      </c>
      <c r="K766" t="n">
        <v>0</v>
      </c>
      <c r="L766" t="n">
        <v>0</v>
      </c>
      <c r="M766" t="n">
        <v>0</v>
      </c>
      <c r="N766" t="n">
        <v>0</v>
      </c>
      <c r="O766" t="n">
        <v>0</v>
      </c>
      <c r="P766" t="n">
        <v>0</v>
      </c>
      <c r="Q766" t="n">
        <v>0</v>
      </c>
      <c r="R766" s="2" t="inlineStr"/>
    </row>
    <row r="767" ht="15" customHeight="1">
      <c r="A767" t="inlineStr">
        <is>
          <t>A 44423-2024</t>
        </is>
      </c>
      <c r="B767" s="1" t="n">
        <v>45573</v>
      </c>
      <c r="C767" s="1" t="n">
        <v>45880</v>
      </c>
      <c r="D767" t="inlineStr">
        <is>
          <t>VÄRMLANDS LÄN</t>
        </is>
      </c>
      <c r="E767" t="inlineStr">
        <is>
          <t>TORSBY</t>
        </is>
      </c>
      <c r="G767" t="n">
        <v>34.1</v>
      </c>
      <c r="H767" t="n">
        <v>0</v>
      </c>
      <c r="I767" t="n">
        <v>0</v>
      </c>
      <c r="J767" t="n">
        <v>0</v>
      </c>
      <c r="K767" t="n">
        <v>0</v>
      </c>
      <c r="L767" t="n">
        <v>0</v>
      </c>
      <c r="M767" t="n">
        <v>0</v>
      </c>
      <c r="N767" t="n">
        <v>0</v>
      </c>
      <c r="O767" t="n">
        <v>0</v>
      </c>
      <c r="P767" t="n">
        <v>0</v>
      </c>
      <c r="Q767" t="n">
        <v>0</v>
      </c>
      <c r="R767" s="2" t="inlineStr"/>
    </row>
    <row r="768" ht="15" customHeight="1">
      <c r="A768" t="inlineStr">
        <is>
          <t>A 54528-2023</t>
        </is>
      </c>
      <c r="B768" s="1" t="n">
        <v>45233.59122685185</v>
      </c>
      <c r="C768" s="1" t="n">
        <v>45880</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15154-2025</t>
        </is>
      </c>
      <c r="B769" s="1" t="n">
        <v>45744.46157407408</v>
      </c>
      <c r="C769" s="1" t="n">
        <v>45880</v>
      </c>
      <c r="D769" t="inlineStr">
        <is>
          <t>VÄRMLANDS LÄN</t>
        </is>
      </c>
      <c r="E769" t="inlineStr">
        <is>
          <t>TORSBY</t>
        </is>
      </c>
      <c r="G769" t="n">
        <v>0.4</v>
      </c>
      <c r="H769" t="n">
        <v>0</v>
      </c>
      <c r="I769" t="n">
        <v>0</v>
      </c>
      <c r="J769" t="n">
        <v>0</v>
      </c>
      <c r="K769" t="n">
        <v>0</v>
      </c>
      <c r="L769" t="n">
        <v>0</v>
      </c>
      <c r="M769" t="n">
        <v>0</v>
      </c>
      <c r="N769" t="n">
        <v>0</v>
      </c>
      <c r="O769" t="n">
        <v>0</v>
      </c>
      <c r="P769" t="n">
        <v>0</v>
      </c>
      <c r="Q769" t="n">
        <v>0</v>
      </c>
      <c r="R769" s="2" t="inlineStr"/>
    </row>
    <row r="770" ht="15" customHeight="1">
      <c r="A770" t="inlineStr">
        <is>
          <t>A 25629-2024</t>
        </is>
      </c>
      <c r="B770" s="1" t="n">
        <v>45463</v>
      </c>
      <c r="C770" s="1" t="n">
        <v>45880</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35777-2024</t>
        </is>
      </c>
      <c r="B771" s="1" t="n">
        <v>45532</v>
      </c>
      <c r="C771" s="1" t="n">
        <v>45880</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6828-2024</t>
        </is>
      </c>
      <c r="B772" s="1" t="n">
        <v>45342</v>
      </c>
      <c r="C772" s="1" t="n">
        <v>45880</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3071-2022</t>
        </is>
      </c>
      <c r="B773" s="1" t="n">
        <v>44582.42109953704</v>
      </c>
      <c r="C773" s="1" t="n">
        <v>45880</v>
      </c>
      <c r="D773" t="inlineStr">
        <is>
          <t>VÄRMLANDS LÄN</t>
        </is>
      </c>
      <c r="E773" t="inlineStr">
        <is>
          <t>TORSBY</t>
        </is>
      </c>
      <c r="G773" t="n">
        <v>7.9</v>
      </c>
      <c r="H773" t="n">
        <v>0</v>
      </c>
      <c r="I773" t="n">
        <v>0</v>
      </c>
      <c r="J773" t="n">
        <v>0</v>
      </c>
      <c r="K773" t="n">
        <v>0</v>
      </c>
      <c r="L773" t="n">
        <v>0</v>
      </c>
      <c r="M773" t="n">
        <v>0</v>
      </c>
      <c r="N773" t="n">
        <v>0</v>
      </c>
      <c r="O773" t="n">
        <v>0</v>
      </c>
      <c r="P773" t="n">
        <v>0</v>
      </c>
      <c r="Q773" t="n">
        <v>0</v>
      </c>
      <c r="R773" s="2" t="inlineStr"/>
    </row>
    <row r="774" ht="15" customHeight="1">
      <c r="A774" t="inlineStr">
        <is>
          <t>A 55794-2021</t>
        </is>
      </c>
      <c r="B774" s="1" t="n">
        <v>44476</v>
      </c>
      <c r="C774" s="1" t="n">
        <v>45880</v>
      </c>
      <c r="D774" t="inlineStr">
        <is>
          <t>VÄRMLANDS LÄN</t>
        </is>
      </c>
      <c r="E774" t="inlineStr">
        <is>
          <t>TORSBY</t>
        </is>
      </c>
      <c r="G774" t="n">
        <v>2.2</v>
      </c>
      <c r="H774" t="n">
        <v>0</v>
      </c>
      <c r="I774" t="n">
        <v>0</v>
      </c>
      <c r="J774" t="n">
        <v>0</v>
      </c>
      <c r="K774" t="n">
        <v>0</v>
      </c>
      <c r="L774" t="n">
        <v>0</v>
      </c>
      <c r="M774" t="n">
        <v>0</v>
      </c>
      <c r="N774" t="n">
        <v>0</v>
      </c>
      <c r="O774" t="n">
        <v>0</v>
      </c>
      <c r="P774" t="n">
        <v>0</v>
      </c>
      <c r="Q774" t="n">
        <v>0</v>
      </c>
      <c r="R774" s="2" t="inlineStr"/>
    </row>
    <row r="775" ht="15" customHeight="1">
      <c r="A775" t="inlineStr">
        <is>
          <t>A 35553-2023</t>
        </is>
      </c>
      <c r="B775" s="1" t="n">
        <v>45147</v>
      </c>
      <c r="C775" s="1" t="n">
        <v>45880</v>
      </c>
      <c r="D775" t="inlineStr">
        <is>
          <t>VÄRMLANDS LÄN</t>
        </is>
      </c>
      <c r="E775" t="inlineStr">
        <is>
          <t>TORSBY</t>
        </is>
      </c>
      <c r="G775" t="n">
        <v>6.2</v>
      </c>
      <c r="H775" t="n">
        <v>0</v>
      </c>
      <c r="I775" t="n">
        <v>0</v>
      </c>
      <c r="J775" t="n">
        <v>0</v>
      </c>
      <c r="K775" t="n">
        <v>0</v>
      </c>
      <c r="L775" t="n">
        <v>0</v>
      </c>
      <c r="M775" t="n">
        <v>0</v>
      </c>
      <c r="N775" t="n">
        <v>0</v>
      </c>
      <c r="O775" t="n">
        <v>0</v>
      </c>
      <c r="P775" t="n">
        <v>0</v>
      </c>
      <c r="Q775" t="n">
        <v>0</v>
      </c>
      <c r="R775" s="2" t="inlineStr"/>
    </row>
    <row r="776" ht="15" customHeight="1">
      <c r="A776" t="inlineStr">
        <is>
          <t>A 20647-2024</t>
        </is>
      </c>
      <c r="B776" s="1" t="n">
        <v>45436</v>
      </c>
      <c r="C776" s="1" t="n">
        <v>45880</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38084-2023</t>
        </is>
      </c>
      <c r="B777" s="1" t="n">
        <v>45160</v>
      </c>
      <c r="C777" s="1" t="n">
        <v>45880</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8979-2025</t>
        </is>
      </c>
      <c r="B778" s="1" t="n">
        <v>45713</v>
      </c>
      <c r="C778" s="1" t="n">
        <v>45880</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12933-2023</t>
        </is>
      </c>
      <c r="B779" s="1" t="n">
        <v>45001</v>
      </c>
      <c r="C779" s="1" t="n">
        <v>45880</v>
      </c>
      <c r="D779" t="inlineStr">
        <is>
          <t>VÄRMLANDS LÄN</t>
        </is>
      </c>
      <c r="E779" t="inlineStr">
        <is>
          <t>TORSBY</t>
        </is>
      </c>
      <c r="G779" t="n">
        <v>7.1</v>
      </c>
      <c r="H779" t="n">
        <v>0</v>
      </c>
      <c r="I779" t="n">
        <v>0</v>
      </c>
      <c r="J779" t="n">
        <v>0</v>
      </c>
      <c r="K779" t="n">
        <v>0</v>
      </c>
      <c r="L779" t="n">
        <v>0</v>
      </c>
      <c r="M779" t="n">
        <v>0</v>
      </c>
      <c r="N779" t="n">
        <v>0</v>
      </c>
      <c r="O779" t="n">
        <v>0</v>
      </c>
      <c r="P779" t="n">
        <v>0</v>
      </c>
      <c r="Q779" t="n">
        <v>0</v>
      </c>
      <c r="R779" s="2" t="inlineStr"/>
    </row>
    <row r="780" ht="15" customHeight="1">
      <c r="A780" t="inlineStr">
        <is>
          <t>A 50380-2024</t>
        </is>
      </c>
      <c r="B780" s="1" t="n">
        <v>45601.30582175926</v>
      </c>
      <c r="C780" s="1" t="n">
        <v>45880</v>
      </c>
      <c r="D780" t="inlineStr">
        <is>
          <t>VÄRMLANDS LÄN</t>
        </is>
      </c>
      <c r="E780" t="inlineStr">
        <is>
          <t>TORSBY</t>
        </is>
      </c>
      <c r="F780" t="inlineStr">
        <is>
          <t>Bergvik skog väst AB</t>
        </is>
      </c>
      <c r="G780" t="n">
        <v>7.9</v>
      </c>
      <c r="H780" t="n">
        <v>0</v>
      </c>
      <c r="I780" t="n">
        <v>0</v>
      </c>
      <c r="J780" t="n">
        <v>0</v>
      </c>
      <c r="K780" t="n">
        <v>0</v>
      </c>
      <c r="L780" t="n">
        <v>0</v>
      </c>
      <c r="M780" t="n">
        <v>0</v>
      </c>
      <c r="N780" t="n">
        <v>0</v>
      </c>
      <c r="O780" t="n">
        <v>0</v>
      </c>
      <c r="P780" t="n">
        <v>0</v>
      </c>
      <c r="Q780" t="n">
        <v>0</v>
      </c>
      <c r="R780" s="2" t="inlineStr"/>
    </row>
    <row r="781" ht="15" customHeight="1">
      <c r="A781" t="inlineStr">
        <is>
          <t>A 63083-2023</t>
        </is>
      </c>
      <c r="B781" s="1" t="n">
        <v>45273.348125</v>
      </c>
      <c r="C781" s="1" t="n">
        <v>45880</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62210-2023</t>
        </is>
      </c>
      <c r="B782" s="1" t="n">
        <v>45267.49430555556</v>
      </c>
      <c r="C782" s="1" t="n">
        <v>45880</v>
      </c>
      <c r="D782" t="inlineStr">
        <is>
          <t>VÄRMLANDS LÄN</t>
        </is>
      </c>
      <c r="E782" t="inlineStr">
        <is>
          <t>TORSBY</t>
        </is>
      </c>
      <c r="G782" t="n">
        <v>3</v>
      </c>
      <c r="H782" t="n">
        <v>0</v>
      </c>
      <c r="I782" t="n">
        <v>0</v>
      </c>
      <c r="J782" t="n">
        <v>0</v>
      </c>
      <c r="K782" t="n">
        <v>0</v>
      </c>
      <c r="L782" t="n">
        <v>0</v>
      </c>
      <c r="M782" t="n">
        <v>0</v>
      </c>
      <c r="N782" t="n">
        <v>0</v>
      </c>
      <c r="O782" t="n">
        <v>0</v>
      </c>
      <c r="P782" t="n">
        <v>0</v>
      </c>
      <c r="Q782" t="n">
        <v>0</v>
      </c>
      <c r="R782" s="2" t="inlineStr"/>
    </row>
    <row r="783" ht="15" customHeight="1">
      <c r="A783" t="inlineStr">
        <is>
          <t>A 56811-2023</t>
        </is>
      </c>
      <c r="B783" s="1" t="n">
        <v>45244</v>
      </c>
      <c r="C783" s="1" t="n">
        <v>45880</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16949-2025</t>
        </is>
      </c>
      <c r="B784" s="1" t="n">
        <v>45755</v>
      </c>
      <c r="C784" s="1" t="n">
        <v>45880</v>
      </c>
      <c r="D784" t="inlineStr">
        <is>
          <t>VÄRMLANDS LÄN</t>
        </is>
      </c>
      <c r="E784" t="inlineStr">
        <is>
          <t>TORSBY</t>
        </is>
      </c>
      <c r="F784" t="inlineStr">
        <is>
          <t>Bergvik skog väst AB</t>
        </is>
      </c>
      <c r="G784" t="n">
        <v>3.7</v>
      </c>
      <c r="H784" t="n">
        <v>0</v>
      </c>
      <c r="I784" t="n">
        <v>0</v>
      </c>
      <c r="J784" t="n">
        <v>0</v>
      </c>
      <c r="K784" t="n">
        <v>0</v>
      </c>
      <c r="L784" t="n">
        <v>0</v>
      </c>
      <c r="M784" t="n">
        <v>0</v>
      </c>
      <c r="N784" t="n">
        <v>0</v>
      </c>
      <c r="O784" t="n">
        <v>0</v>
      </c>
      <c r="P784" t="n">
        <v>0</v>
      </c>
      <c r="Q784" t="n">
        <v>0</v>
      </c>
      <c r="R784" s="2" t="inlineStr"/>
    </row>
    <row r="785" ht="15" customHeight="1">
      <c r="A785" t="inlineStr">
        <is>
          <t>A 48231-2020</t>
        </is>
      </c>
      <c r="B785" s="1" t="n">
        <v>44102</v>
      </c>
      <c r="C785" s="1" t="n">
        <v>45880</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27346-2024</t>
        </is>
      </c>
      <c r="B786" s="1" t="n">
        <v>45473.58984953703</v>
      </c>
      <c r="C786" s="1" t="n">
        <v>45880</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27349-2024</t>
        </is>
      </c>
      <c r="B787" s="1" t="n">
        <v>45473.65679398148</v>
      </c>
      <c r="C787" s="1" t="n">
        <v>45880</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55092-2022</t>
        </is>
      </c>
      <c r="B788" s="1" t="n">
        <v>44886.61493055556</v>
      </c>
      <c r="C788" s="1" t="n">
        <v>45880</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45548-2024</t>
        </is>
      </c>
      <c r="B789" s="1" t="n">
        <v>45579</v>
      </c>
      <c r="C789" s="1" t="n">
        <v>45880</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61253-2024</t>
        </is>
      </c>
      <c r="B790" s="1" t="n">
        <v>45645</v>
      </c>
      <c r="C790" s="1" t="n">
        <v>45880</v>
      </c>
      <c r="D790" t="inlineStr">
        <is>
          <t>VÄRMLANDS LÄN</t>
        </is>
      </c>
      <c r="E790" t="inlineStr">
        <is>
          <t>TORSBY</t>
        </is>
      </c>
      <c r="G790" t="n">
        <v>13.4</v>
      </c>
      <c r="H790" t="n">
        <v>0</v>
      </c>
      <c r="I790" t="n">
        <v>0</v>
      </c>
      <c r="J790" t="n">
        <v>0</v>
      </c>
      <c r="K790" t="n">
        <v>0</v>
      </c>
      <c r="L790" t="n">
        <v>0</v>
      </c>
      <c r="M790" t="n">
        <v>0</v>
      </c>
      <c r="N790" t="n">
        <v>0</v>
      </c>
      <c r="O790" t="n">
        <v>0</v>
      </c>
      <c r="P790" t="n">
        <v>0</v>
      </c>
      <c r="Q790" t="n">
        <v>0</v>
      </c>
      <c r="R790" s="2" t="inlineStr"/>
    </row>
    <row r="791" ht="15" customHeight="1">
      <c r="A791" t="inlineStr">
        <is>
          <t>A 17554-2023</t>
        </is>
      </c>
      <c r="B791" s="1" t="n">
        <v>45034</v>
      </c>
      <c r="C791" s="1" t="n">
        <v>45880</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58430-2023</t>
        </is>
      </c>
      <c r="B792" s="1" t="n">
        <v>45250.80646990741</v>
      </c>
      <c r="C792" s="1" t="n">
        <v>45880</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44715-2020</t>
        </is>
      </c>
      <c r="B793" s="1" t="n">
        <v>44078</v>
      </c>
      <c r="C793" s="1" t="n">
        <v>45880</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29043-2023</t>
        </is>
      </c>
      <c r="B794" s="1" t="n">
        <v>45104</v>
      </c>
      <c r="C794" s="1" t="n">
        <v>45880</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13262-2024</t>
        </is>
      </c>
      <c r="B795" s="1" t="n">
        <v>45386.59236111111</v>
      </c>
      <c r="C795" s="1" t="n">
        <v>45880</v>
      </c>
      <c r="D795" t="inlineStr">
        <is>
          <t>VÄRMLANDS LÄN</t>
        </is>
      </c>
      <c r="E795" t="inlineStr">
        <is>
          <t>TORSBY</t>
        </is>
      </c>
      <c r="G795" t="n">
        <v>4.8</v>
      </c>
      <c r="H795" t="n">
        <v>0</v>
      </c>
      <c r="I795" t="n">
        <v>0</v>
      </c>
      <c r="J795" t="n">
        <v>0</v>
      </c>
      <c r="K795" t="n">
        <v>0</v>
      </c>
      <c r="L795" t="n">
        <v>0</v>
      </c>
      <c r="M795" t="n">
        <v>0</v>
      </c>
      <c r="N795" t="n">
        <v>0</v>
      </c>
      <c r="O795" t="n">
        <v>0</v>
      </c>
      <c r="P795" t="n">
        <v>0</v>
      </c>
      <c r="Q795" t="n">
        <v>0</v>
      </c>
      <c r="R795" s="2" t="inlineStr"/>
    </row>
    <row r="796" ht="15" customHeight="1">
      <c r="A796" t="inlineStr">
        <is>
          <t>A 33072-2023</t>
        </is>
      </c>
      <c r="B796" s="1" t="n">
        <v>45126</v>
      </c>
      <c r="C796" s="1" t="n">
        <v>45880</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9793-2024</t>
        </is>
      </c>
      <c r="B797" s="1" t="n">
        <v>45362.71013888889</v>
      </c>
      <c r="C797" s="1" t="n">
        <v>45880</v>
      </c>
      <c r="D797" t="inlineStr">
        <is>
          <t>VÄRMLANDS LÄN</t>
        </is>
      </c>
      <c r="E797" t="inlineStr">
        <is>
          <t>TORSBY</t>
        </is>
      </c>
      <c r="G797" t="n">
        <v>6</v>
      </c>
      <c r="H797" t="n">
        <v>0</v>
      </c>
      <c r="I797" t="n">
        <v>0</v>
      </c>
      <c r="J797" t="n">
        <v>0</v>
      </c>
      <c r="K797" t="n">
        <v>0</v>
      </c>
      <c r="L797" t="n">
        <v>0</v>
      </c>
      <c r="M797" t="n">
        <v>0</v>
      </c>
      <c r="N797" t="n">
        <v>0</v>
      </c>
      <c r="O797" t="n">
        <v>0</v>
      </c>
      <c r="P797" t="n">
        <v>0</v>
      </c>
      <c r="Q797" t="n">
        <v>0</v>
      </c>
      <c r="R797" s="2" t="inlineStr"/>
    </row>
    <row r="798" ht="15" customHeight="1">
      <c r="A798" t="inlineStr">
        <is>
          <t>A 65134-2023</t>
        </is>
      </c>
      <c r="B798" s="1" t="n">
        <v>45288.52010416667</v>
      </c>
      <c r="C798" s="1" t="n">
        <v>45880</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48320-2022</t>
        </is>
      </c>
      <c r="B799" s="1" t="n">
        <v>44853</v>
      </c>
      <c r="C799" s="1" t="n">
        <v>45880</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200-2025</t>
        </is>
      </c>
      <c r="B800" s="1" t="n">
        <v>45659.93418981481</v>
      </c>
      <c r="C800" s="1" t="n">
        <v>45880</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58185-2023</t>
        </is>
      </c>
      <c r="B801" s="1" t="n">
        <v>45250.41873842593</v>
      </c>
      <c r="C801" s="1" t="n">
        <v>45880</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32343-2024</t>
        </is>
      </c>
      <c r="B802" s="1" t="n">
        <v>45512.520625</v>
      </c>
      <c r="C802" s="1" t="n">
        <v>45880</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32932-2024</t>
        </is>
      </c>
      <c r="B803" s="1" t="n">
        <v>45517.31537037037</v>
      </c>
      <c r="C803" s="1" t="n">
        <v>45880</v>
      </c>
      <c r="D803" t="inlineStr">
        <is>
          <t>VÄRMLANDS LÄN</t>
        </is>
      </c>
      <c r="E803" t="inlineStr">
        <is>
          <t>TORSBY</t>
        </is>
      </c>
      <c r="G803" t="n">
        <v>6.3</v>
      </c>
      <c r="H803" t="n">
        <v>0</v>
      </c>
      <c r="I803" t="n">
        <v>0</v>
      </c>
      <c r="J803" t="n">
        <v>0</v>
      </c>
      <c r="K803" t="n">
        <v>0</v>
      </c>
      <c r="L803" t="n">
        <v>0</v>
      </c>
      <c r="M803" t="n">
        <v>0</v>
      </c>
      <c r="N803" t="n">
        <v>0</v>
      </c>
      <c r="O803" t="n">
        <v>0</v>
      </c>
      <c r="P803" t="n">
        <v>0</v>
      </c>
      <c r="Q803" t="n">
        <v>0</v>
      </c>
      <c r="R803" s="2" t="inlineStr"/>
    </row>
    <row r="804" ht="15" customHeight="1">
      <c r="A804" t="inlineStr">
        <is>
          <t>A 61367-2022</t>
        </is>
      </c>
      <c r="B804" s="1" t="n">
        <v>44915.82997685186</v>
      </c>
      <c r="C804" s="1" t="n">
        <v>45880</v>
      </c>
      <c r="D804" t="inlineStr">
        <is>
          <t>VÄRMLANDS LÄN</t>
        </is>
      </c>
      <c r="E804" t="inlineStr">
        <is>
          <t>TORSBY</t>
        </is>
      </c>
      <c r="G804" t="n">
        <v>2.6</v>
      </c>
      <c r="H804" t="n">
        <v>0</v>
      </c>
      <c r="I804" t="n">
        <v>0</v>
      </c>
      <c r="J804" t="n">
        <v>0</v>
      </c>
      <c r="K804" t="n">
        <v>0</v>
      </c>
      <c r="L804" t="n">
        <v>0</v>
      </c>
      <c r="M804" t="n">
        <v>0</v>
      </c>
      <c r="N804" t="n">
        <v>0</v>
      </c>
      <c r="O804" t="n">
        <v>0</v>
      </c>
      <c r="P804" t="n">
        <v>0</v>
      </c>
      <c r="Q804" t="n">
        <v>0</v>
      </c>
      <c r="R804" s="2" t="inlineStr"/>
    </row>
    <row r="805" ht="15" customHeight="1">
      <c r="A805" t="inlineStr">
        <is>
          <t>A 6068-2021</t>
        </is>
      </c>
      <c r="B805" s="1" t="n">
        <v>44232</v>
      </c>
      <c r="C805" s="1" t="n">
        <v>45880</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2308-2024</t>
        </is>
      </c>
      <c r="B806" s="1" t="n">
        <v>45310</v>
      </c>
      <c r="C806" s="1" t="n">
        <v>45880</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2009-2025</t>
        </is>
      </c>
      <c r="B807" s="1" t="n">
        <v>45672</v>
      </c>
      <c r="C807" s="1" t="n">
        <v>45880</v>
      </c>
      <c r="D807" t="inlineStr">
        <is>
          <t>VÄRMLANDS LÄN</t>
        </is>
      </c>
      <c r="E807" t="inlineStr">
        <is>
          <t>TORSBY</t>
        </is>
      </c>
      <c r="G807" t="n">
        <v>3.3</v>
      </c>
      <c r="H807" t="n">
        <v>0</v>
      </c>
      <c r="I807" t="n">
        <v>0</v>
      </c>
      <c r="J807" t="n">
        <v>0</v>
      </c>
      <c r="K807" t="n">
        <v>0</v>
      </c>
      <c r="L807" t="n">
        <v>0</v>
      </c>
      <c r="M807" t="n">
        <v>0</v>
      </c>
      <c r="N807" t="n">
        <v>0</v>
      </c>
      <c r="O807" t="n">
        <v>0</v>
      </c>
      <c r="P807" t="n">
        <v>0</v>
      </c>
      <c r="Q807" t="n">
        <v>0</v>
      </c>
      <c r="R807" s="2" t="inlineStr"/>
    </row>
    <row r="808" ht="15" customHeight="1">
      <c r="A808" t="inlineStr">
        <is>
          <t>A 17488-2023</t>
        </is>
      </c>
      <c r="B808" s="1" t="n">
        <v>45036</v>
      </c>
      <c r="C808" s="1" t="n">
        <v>45880</v>
      </c>
      <c r="D808" t="inlineStr">
        <is>
          <t>VÄRMLANDS LÄN</t>
        </is>
      </c>
      <c r="E808" t="inlineStr">
        <is>
          <t>TORSBY</t>
        </is>
      </c>
      <c r="G808" t="n">
        <v>15.6</v>
      </c>
      <c r="H808" t="n">
        <v>0</v>
      </c>
      <c r="I808" t="n">
        <v>0</v>
      </c>
      <c r="J808" t="n">
        <v>0</v>
      </c>
      <c r="K808" t="n">
        <v>0</v>
      </c>
      <c r="L808" t="n">
        <v>0</v>
      </c>
      <c r="M808" t="n">
        <v>0</v>
      </c>
      <c r="N808" t="n">
        <v>0</v>
      </c>
      <c r="O808" t="n">
        <v>0</v>
      </c>
      <c r="P808" t="n">
        <v>0</v>
      </c>
      <c r="Q808" t="n">
        <v>0</v>
      </c>
      <c r="R808" s="2" t="inlineStr"/>
    </row>
    <row r="809" ht="15" customHeight="1">
      <c r="A809" t="inlineStr">
        <is>
          <t>A 53396-2024</t>
        </is>
      </c>
      <c r="B809" s="1" t="n">
        <v>45614</v>
      </c>
      <c r="C809" s="1" t="n">
        <v>45880</v>
      </c>
      <c r="D809" t="inlineStr">
        <is>
          <t>VÄRMLANDS LÄN</t>
        </is>
      </c>
      <c r="E809" t="inlineStr">
        <is>
          <t>TORSBY</t>
        </is>
      </c>
      <c r="F809" t="inlineStr">
        <is>
          <t>Bergvik skog väst AB</t>
        </is>
      </c>
      <c r="G809" t="n">
        <v>10.1</v>
      </c>
      <c r="H809" t="n">
        <v>0</v>
      </c>
      <c r="I809" t="n">
        <v>0</v>
      </c>
      <c r="J809" t="n">
        <v>0</v>
      </c>
      <c r="K809" t="n">
        <v>0</v>
      </c>
      <c r="L809" t="n">
        <v>0</v>
      </c>
      <c r="M809" t="n">
        <v>0</v>
      </c>
      <c r="N809" t="n">
        <v>0</v>
      </c>
      <c r="O809" t="n">
        <v>0</v>
      </c>
      <c r="P809" t="n">
        <v>0</v>
      </c>
      <c r="Q809" t="n">
        <v>0</v>
      </c>
      <c r="R809" s="2" t="inlineStr"/>
    </row>
    <row r="810" ht="15" customHeight="1">
      <c r="A810" t="inlineStr">
        <is>
          <t>A 13191-2025</t>
        </is>
      </c>
      <c r="B810" s="1" t="n">
        <v>45735.40501157408</v>
      </c>
      <c r="C810" s="1" t="n">
        <v>45880</v>
      </c>
      <c r="D810" t="inlineStr">
        <is>
          <t>VÄRMLANDS LÄN</t>
        </is>
      </c>
      <c r="E810" t="inlineStr">
        <is>
          <t>TORSBY</t>
        </is>
      </c>
      <c r="G810" t="n">
        <v>10.6</v>
      </c>
      <c r="H810" t="n">
        <v>0</v>
      </c>
      <c r="I810" t="n">
        <v>0</v>
      </c>
      <c r="J810" t="n">
        <v>0</v>
      </c>
      <c r="K810" t="n">
        <v>0</v>
      </c>
      <c r="L810" t="n">
        <v>0</v>
      </c>
      <c r="M810" t="n">
        <v>0</v>
      </c>
      <c r="N810" t="n">
        <v>0</v>
      </c>
      <c r="O810" t="n">
        <v>0</v>
      </c>
      <c r="P810" t="n">
        <v>0</v>
      </c>
      <c r="Q810" t="n">
        <v>0</v>
      </c>
      <c r="R810" s="2" t="inlineStr"/>
    </row>
    <row r="811" ht="15" customHeight="1">
      <c r="A811" t="inlineStr">
        <is>
          <t>A 14917-2023</t>
        </is>
      </c>
      <c r="B811" s="1" t="n">
        <v>45015.39938657408</v>
      </c>
      <c r="C811" s="1" t="n">
        <v>45880</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38100-2024</t>
        </is>
      </c>
      <c r="B812" s="1" t="n">
        <v>45545</v>
      </c>
      <c r="C812" s="1" t="n">
        <v>45880</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4231-2024</t>
        </is>
      </c>
      <c r="B813" s="1" t="n">
        <v>45324.42771990741</v>
      </c>
      <c r="C813" s="1" t="n">
        <v>45880</v>
      </c>
      <c r="D813" t="inlineStr">
        <is>
          <t>VÄRMLANDS LÄN</t>
        </is>
      </c>
      <c r="E813" t="inlineStr">
        <is>
          <t>TORSBY</t>
        </is>
      </c>
      <c r="G813" t="n">
        <v>3.6</v>
      </c>
      <c r="H813" t="n">
        <v>0</v>
      </c>
      <c r="I813" t="n">
        <v>0</v>
      </c>
      <c r="J813" t="n">
        <v>0</v>
      </c>
      <c r="K813" t="n">
        <v>0</v>
      </c>
      <c r="L813" t="n">
        <v>0</v>
      </c>
      <c r="M813" t="n">
        <v>0</v>
      </c>
      <c r="N813" t="n">
        <v>0</v>
      </c>
      <c r="O813" t="n">
        <v>0</v>
      </c>
      <c r="P813" t="n">
        <v>0</v>
      </c>
      <c r="Q813" t="n">
        <v>0</v>
      </c>
      <c r="R813" s="2" t="inlineStr"/>
    </row>
    <row r="814" ht="15" customHeight="1">
      <c r="A814" t="inlineStr">
        <is>
          <t>A 11242-2024</t>
        </is>
      </c>
      <c r="B814" s="1" t="n">
        <v>45371</v>
      </c>
      <c r="C814" s="1" t="n">
        <v>45880</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57072-2022</t>
        </is>
      </c>
      <c r="B815" s="1" t="n">
        <v>44895.4252662037</v>
      </c>
      <c r="C815" s="1" t="n">
        <v>45880</v>
      </c>
      <c r="D815" t="inlineStr">
        <is>
          <t>VÄRMLANDS LÄN</t>
        </is>
      </c>
      <c r="E815" t="inlineStr">
        <is>
          <t>TORSBY</t>
        </is>
      </c>
      <c r="F815" t="inlineStr">
        <is>
          <t>Övriga statliga verk och myndigheter</t>
        </is>
      </c>
      <c r="G815" t="n">
        <v>7.8</v>
      </c>
      <c r="H815" t="n">
        <v>0</v>
      </c>
      <c r="I815" t="n">
        <v>0</v>
      </c>
      <c r="J815" t="n">
        <v>0</v>
      </c>
      <c r="K815" t="n">
        <v>0</v>
      </c>
      <c r="L815" t="n">
        <v>0</v>
      </c>
      <c r="M815" t="n">
        <v>0</v>
      </c>
      <c r="N815" t="n">
        <v>0</v>
      </c>
      <c r="O815" t="n">
        <v>0</v>
      </c>
      <c r="P815" t="n">
        <v>0</v>
      </c>
      <c r="Q815" t="n">
        <v>0</v>
      </c>
      <c r="R815" s="2" t="inlineStr"/>
    </row>
    <row r="816" ht="15" customHeight="1">
      <c r="A816" t="inlineStr">
        <is>
          <t>A 73521-2021</t>
        </is>
      </c>
      <c r="B816" s="1" t="n">
        <v>44551</v>
      </c>
      <c r="C816" s="1" t="n">
        <v>45880</v>
      </c>
      <c r="D816" t="inlineStr">
        <is>
          <t>VÄRMLANDS LÄN</t>
        </is>
      </c>
      <c r="E816" t="inlineStr">
        <is>
          <t>TORSBY</t>
        </is>
      </c>
      <c r="G816" t="n">
        <v>2.3</v>
      </c>
      <c r="H816" t="n">
        <v>0</v>
      </c>
      <c r="I816" t="n">
        <v>0</v>
      </c>
      <c r="J816" t="n">
        <v>0</v>
      </c>
      <c r="K816" t="n">
        <v>0</v>
      </c>
      <c r="L816" t="n">
        <v>0</v>
      </c>
      <c r="M816" t="n">
        <v>0</v>
      </c>
      <c r="N816" t="n">
        <v>0</v>
      </c>
      <c r="O816" t="n">
        <v>0</v>
      </c>
      <c r="P816" t="n">
        <v>0</v>
      </c>
      <c r="Q816" t="n">
        <v>0</v>
      </c>
      <c r="R816" s="2" t="inlineStr"/>
    </row>
    <row r="817" ht="15" customHeight="1">
      <c r="A817" t="inlineStr">
        <is>
          <t>A 35107-2024</t>
        </is>
      </c>
      <c r="B817" s="1" t="n">
        <v>45529.5588425926</v>
      </c>
      <c r="C817" s="1" t="n">
        <v>45880</v>
      </c>
      <c r="D817" t="inlineStr">
        <is>
          <t>VÄRMLANDS LÄN</t>
        </is>
      </c>
      <c r="E817" t="inlineStr">
        <is>
          <t>TORSBY</t>
        </is>
      </c>
      <c r="G817" t="n">
        <v>5.1</v>
      </c>
      <c r="H817" t="n">
        <v>0</v>
      </c>
      <c r="I817" t="n">
        <v>0</v>
      </c>
      <c r="J817" t="n">
        <v>0</v>
      </c>
      <c r="K817" t="n">
        <v>0</v>
      </c>
      <c r="L817" t="n">
        <v>0</v>
      </c>
      <c r="M817" t="n">
        <v>0</v>
      </c>
      <c r="N817" t="n">
        <v>0</v>
      </c>
      <c r="O817" t="n">
        <v>0</v>
      </c>
      <c r="P817" t="n">
        <v>0</v>
      </c>
      <c r="Q817" t="n">
        <v>0</v>
      </c>
      <c r="R817" s="2" t="inlineStr"/>
    </row>
    <row r="818" ht="15" customHeight="1">
      <c r="A818" t="inlineStr">
        <is>
          <t>A 18883-2024</t>
        </is>
      </c>
      <c r="B818" s="1" t="n">
        <v>45426</v>
      </c>
      <c r="C818" s="1" t="n">
        <v>45880</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7643-2025</t>
        </is>
      </c>
      <c r="B819" s="1" t="n">
        <v>45705.78703703704</v>
      </c>
      <c r="C819" s="1" t="n">
        <v>45880</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11776-2024</t>
        </is>
      </c>
      <c r="B820" s="1" t="n">
        <v>45374</v>
      </c>
      <c r="C820" s="1" t="n">
        <v>45880</v>
      </c>
      <c r="D820" t="inlineStr">
        <is>
          <t>VÄRMLANDS LÄN</t>
        </is>
      </c>
      <c r="E820" t="inlineStr">
        <is>
          <t>TORSBY</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54865-2022</t>
        </is>
      </c>
      <c r="B821" s="1" t="n">
        <v>44884</v>
      </c>
      <c r="C821" s="1" t="n">
        <v>45880</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27270-2024</t>
        </is>
      </c>
      <c r="B822" s="1" t="n">
        <v>45471.81967592592</v>
      </c>
      <c r="C822" s="1" t="n">
        <v>45880</v>
      </c>
      <c r="D822" t="inlineStr">
        <is>
          <t>VÄRMLANDS LÄN</t>
        </is>
      </c>
      <c r="E822" t="inlineStr">
        <is>
          <t>TORSBY</t>
        </is>
      </c>
      <c r="G822" t="n">
        <v>6.9</v>
      </c>
      <c r="H822" t="n">
        <v>0</v>
      </c>
      <c r="I822" t="n">
        <v>0</v>
      </c>
      <c r="J822" t="n">
        <v>0</v>
      </c>
      <c r="K822" t="n">
        <v>0</v>
      </c>
      <c r="L822" t="n">
        <v>0</v>
      </c>
      <c r="M822" t="n">
        <v>0</v>
      </c>
      <c r="N822" t="n">
        <v>0</v>
      </c>
      <c r="O822" t="n">
        <v>0</v>
      </c>
      <c r="P822" t="n">
        <v>0</v>
      </c>
      <c r="Q822" t="n">
        <v>0</v>
      </c>
      <c r="R822" s="2" t="inlineStr"/>
    </row>
    <row r="823" ht="15" customHeight="1">
      <c r="A823" t="inlineStr">
        <is>
          <t>A 53331-2024</t>
        </is>
      </c>
      <c r="B823" s="1" t="n">
        <v>45614</v>
      </c>
      <c r="C823" s="1" t="n">
        <v>45880</v>
      </c>
      <c r="D823" t="inlineStr">
        <is>
          <t>VÄRMLANDS LÄN</t>
        </is>
      </c>
      <c r="E823" t="inlineStr">
        <is>
          <t>TORSBY</t>
        </is>
      </c>
      <c r="F823" t="inlineStr">
        <is>
          <t>Bergvik skog väst AB</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27358-2024</t>
        </is>
      </c>
      <c r="B824" s="1" t="n">
        <v>45473.71635416667</v>
      </c>
      <c r="C824" s="1" t="n">
        <v>45880</v>
      </c>
      <c r="D824" t="inlineStr">
        <is>
          <t>VÄRMLANDS LÄN</t>
        </is>
      </c>
      <c r="E824" t="inlineStr">
        <is>
          <t>TORSBY</t>
        </is>
      </c>
      <c r="G824" t="n">
        <v>4.2</v>
      </c>
      <c r="H824" t="n">
        <v>0</v>
      </c>
      <c r="I824" t="n">
        <v>0</v>
      </c>
      <c r="J824" t="n">
        <v>0</v>
      </c>
      <c r="K824" t="n">
        <v>0</v>
      </c>
      <c r="L824" t="n">
        <v>0</v>
      </c>
      <c r="M824" t="n">
        <v>0</v>
      </c>
      <c r="N824" t="n">
        <v>0</v>
      </c>
      <c r="O824" t="n">
        <v>0</v>
      </c>
      <c r="P824" t="n">
        <v>0</v>
      </c>
      <c r="Q824" t="n">
        <v>0</v>
      </c>
      <c r="R824" s="2" t="inlineStr"/>
    </row>
    <row r="825" ht="15" customHeight="1">
      <c r="A825" t="inlineStr">
        <is>
          <t>A 27360-2024</t>
        </is>
      </c>
      <c r="B825" s="1" t="n">
        <v>45473</v>
      </c>
      <c r="C825" s="1" t="n">
        <v>45880</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35762-2024</t>
        </is>
      </c>
      <c r="B826" s="1" t="n">
        <v>45532.57373842593</v>
      </c>
      <c r="C826" s="1" t="n">
        <v>45880</v>
      </c>
      <c r="D826" t="inlineStr">
        <is>
          <t>VÄRMLANDS LÄN</t>
        </is>
      </c>
      <c r="E826" t="inlineStr">
        <is>
          <t>TORSBY</t>
        </is>
      </c>
      <c r="G826" t="n">
        <v>11.8</v>
      </c>
      <c r="H826" t="n">
        <v>0</v>
      </c>
      <c r="I826" t="n">
        <v>0</v>
      </c>
      <c r="J826" t="n">
        <v>0</v>
      </c>
      <c r="K826" t="n">
        <v>0</v>
      </c>
      <c r="L826" t="n">
        <v>0</v>
      </c>
      <c r="M826" t="n">
        <v>0</v>
      </c>
      <c r="N826" t="n">
        <v>0</v>
      </c>
      <c r="O826" t="n">
        <v>0</v>
      </c>
      <c r="P826" t="n">
        <v>0</v>
      </c>
      <c r="Q826" t="n">
        <v>0</v>
      </c>
      <c r="R826" s="2" t="inlineStr"/>
    </row>
    <row r="827" ht="15" customHeight="1">
      <c r="A827" t="inlineStr">
        <is>
          <t>A 18480-2025</t>
        </is>
      </c>
      <c r="B827" s="1" t="n">
        <v>45762.9171412037</v>
      </c>
      <c r="C827" s="1" t="n">
        <v>45880</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35609-2024</t>
        </is>
      </c>
      <c r="B828" s="1" t="n">
        <v>45531.68758101852</v>
      </c>
      <c r="C828" s="1" t="n">
        <v>45880</v>
      </c>
      <c r="D828" t="inlineStr">
        <is>
          <t>VÄRMLANDS LÄN</t>
        </is>
      </c>
      <c r="E828" t="inlineStr">
        <is>
          <t>TORSBY</t>
        </is>
      </c>
      <c r="G828" t="n">
        <v>38.3</v>
      </c>
      <c r="H828" t="n">
        <v>0</v>
      </c>
      <c r="I828" t="n">
        <v>0</v>
      </c>
      <c r="J828" t="n">
        <v>0</v>
      </c>
      <c r="K828" t="n">
        <v>0</v>
      </c>
      <c r="L828" t="n">
        <v>0</v>
      </c>
      <c r="M828" t="n">
        <v>0</v>
      </c>
      <c r="N828" t="n">
        <v>0</v>
      </c>
      <c r="O828" t="n">
        <v>0</v>
      </c>
      <c r="P828" t="n">
        <v>0</v>
      </c>
      <c r="Q828" t="n">
        <v>0</v>
      </c>
      <c r="R828" s="2" t="inlineStr"/>
    </row>
    <row r="829" ht="15" customHeight="1">
      <c r="A829" t="inlineStr">
        <is>
          <t>A 31052-2023</t>
        </is>
      </c>
      <c r="B829" s="1" t="n">
        <v>45113</v>
      </c>
      <c r="C829" s="1" t="n">
        <v>45880</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13561-2023</t>
        </is>
      </c>
      <c r="B830" s="1" t="n">
        <v>45006.47429398148</v>
      </c>
      <c r="C830" s="1" t="n">
        <v>45880</v>
      </c>
      <c r="D830" t="inlineStr">
        <is>
          <t>VÄRMLANDS LÄN</t>
        </is>
      </c>
      <c r="E830" t="inlineStr">
        <is>
          <t>TORSBY</t>
        </is>
      </c>
      <c r="G830" t="n">
        <v>4.2</v>
      </c>
      <c r="H830" t="n">
        <v>0</v>
      </c>
      <c r="I830" t="n">
        <v>0</v>
      </c>
      <c r="J830" t="n">
        <v>0</v>
      </c>
      <c r="K830" t="n">
        <v>0</v>
      </c>
      <c r="L830" t="n">
        <v>0</v>
      </c>
      <c r="M830" t="n">
        <v>0</v>
      </c>
      <c r="N830" t="n">
        <v>0</v>
      </c>
      <c r="O830" t="n">
        <v>0</v>
      </c>
      <c r="P830" t="n">
        <v>0</v>
      </c>
      <c r="Q830" t="n">
        <v>0</v>
      </c>
      <c r="R830" s="2" t="inlineStr"/>
    </row>
    <row r="831" ht="15" customHeight="1">
      <c r="A831" t="inlineStr">
        <is>
          <t>A 28005-2024</t>
        </is>
      </c>
      <c r="B831" s="1" t="n">
        <v>45476</v>
      </c>
      <c r="C831" s="1" t="n">
        <v>45880</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492-2025</t>
        </is>
      </c>
      <c r="B832" s="1" t="n">
        <v>45664.46337962963</v>
      </c>
      <c r="C832" s="1" t="n">
        <v>45880</v>
      </c>
      <c r="D832" t="inlineStr">
        <is>
          <t>VÄRMLANDS LÄN</t>
        </is>
      </c>
      <c r="E832" t="inlineStr">
        <is>
          <t>TORSBY</t>
        </is>
      </c>
      <c r="G832" t="n">
        <v>6.9</v>
      </c>
      <c r="H832" t="n">
        <v>0</v>
      </c>
      <c r="I832" t="n">
        <v>0</v>
      </c>
      <c r="J832" t="n">
        <v>0</v>
      </c>
      <c r="K832" t="n">
        <v>0</v>
      </c>
      <c r="L832" t="n">
        <v>0</v>
      </c>
      <c r="M832" t="n">
        <v>0</v>
      </c>
      <c r="N832" t="n">
        <v>0</v>
      </c>
      <c r="O832" t="n">
        <v>0</v>
      </c>
      <c r="P832" t="n">
        <v>0</v>
      </c>
      <c r="Q832" t="n">
        <v>0</v>
      </c>
      <c r="R832" s="2" t="inlineStr"/>
    </row>
    <row r="833" ht="15" customHeight="1">
      <c r="A833" t="inlineStr">
        <is>
          <t>A 60133-2023</t>
        </is>
      </c>
      <c r="B833" s="1" t="n">
        <v>45258</v>
      </c>
      <c r="C833" s="1" t="n">
        <v>45880</v>
      </c>
      <c r="D833" t="inlineStr">
        <is>
          <t>VÄRMLANDS LÄN</t>
        </is>
      </c>
      <c r="E833" t="inlineStr">
        <is>
          <t>TORSBY</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53099-2024</t>
        </is>
      </c>
      <c r="B834" s="1" t="n">
        <v>45611.54206018519</v>
      </c>
      <c r="C834" s="1" t="n">
        <v>45880</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54714-2023</t>
        </is>
      </c>
      <c r="B835" s="1" t="n">
        <v>45236.3515162037</v>
      </c>
      <c r="C835" s="1" t="n">
        <v>45880</v>
      </c>
      <c r="D835" t="inlineStr">
        <is>
          <t>VÄRMLANDS LÄN</t>
        </is>
      </c>
      <c r="E835" t="inlineStr">
        <is>
          <t>TORSBY</t>
        </is>
      </c>
      <c r="G835" t="n">
        <v>2.7</v>
      </c>
      <c r="H835" t="n">
        <v>0</v>
      </c>
      <c r="I835" t="n">
        <v>0</v>
      </c>
      <c r="J835" t="n">
        <v>0</v>
      </c>
      <c r="K835" t="n">
        <v>0</v>
      </c>
      <c r="L835" t="n">
        <v>0</v>
      </c>
      <c r="M835" t="n">
        <v>0</v>
      </c>
      <c r="N835" t="n">
        <v>0</v>
      </c>
      <c r="O835" t="n">
        <v>0</v>
      </c>
      <c r="P835" t="n">
        <v>0</v>
      </c>
      <c r="Q835" t="n">
        <v>0</v>
      </c>
      <c r="R835" s="2" t="inlineStr"/>
    </row>
    <row r="836" ht="15" customHeight="1">
      <c r="A836" t="inlineStr">
        <is>
          <t>A 18959-2024</t>
        </is>
      </c>
      <c r="B836" s="1" t="n">
        <v>45427.53032407408</v>
      </c>
      <c r="C836" s="1" t="n">
        <v>45880</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2130-2024</t>
        </is>
      </c>
      <c r="B837" s="1" t="n">
        <v>45309.51518518518</v>
      </c>
      <c r="C837" s="1" t="n">
        <v>45880</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41022-2023</t>
        </is>
      </c>
      <c r="B838" s="1" t="n">
        <v>45173</v>
      </c>
      <c r="C838" s="1" t="n">
        <v>45880</v>
      </c>
      <c r="D838" t="inlineStr">
        <is>
          <t>VÄRMLANDS LÄN</t>
        </is>
      </c>
      <c r="E838" t="inlineStr">
        <is>
          <t>TORSBY</t>
        </is>
      </c>
      <c r="G838" t="n">
        <v>3.8</v>
      </c>
      <c r="H838" t="n">
        <v>0</v>
      </c>
      <c r="I838" t="n">
        <v>0</v>
      </c>
      <c r="J838" t="n">
        <v>0</v>
      </c>
      <c r="K838" t="n">
        <v>0</v>
      </c>
      <c r="L838" t="n">
        <v>0</v>
      </c>
      <c r="M838" t="n">
        <v>0</v>
      </c>
      <c r="N838" t="n">
        <v>0</v>
      </c>
      <c r="O838" t="n">
        <v>0</v>
      </c>
      <c r="P838" t="n">
        <v>0</v>
      </c>
      <c r="Q838" t="n">
        <v>0</v>
      </c>
      <c r="R838" s="2" t="inlineStr"/>
    </row>
    <row r="839" ht="15" customHeight="1">
      <c r="A839" t="inlineStr">
        <is>
          <t>A 234-2024</t>
        </is>
      </c>
      <c r="B839" s="1" t="n">
        <v>45294.8253587963</v>
      </c>
      <c r="C839" s="1" t="n">
        <v>45880</v>
      </c>
      <c r="D839" t="inlineStr">
        <is>
          <t>VÄRMLANDS LÄN</t>
        </is>
      </c>
      <c r="E839" t="inlineStr">
        <is>
          <t>TORSBY</t>
        </is>
      </c>
      <c r="G839" t="n">
        <v>3.2</v>
      </c>
      <c r="H839" t="n">
        <v>0</v>
      </c>
      <c r="I839" t="n">
        <v>0</v>
      </c>
      <c r="J839" t="n">
        <v>0</v>
      </c>
      <c r="K839" t="n">
        <v>0</v>
      </c>
      <c r="L839" t="n">
        <v>0</v>
      </c>
      <c r="M839" t="n">
        <v>0</v>
      </c>
      <c r="N839" t="n">
        <v>0</v>
      </c>
      <c r="O839" t="n">
        <v>0</v>
      </c>
      <c r="P839" t="n">
        <v>0</v>
      </c>
      <c r="Q839" t="n">
        <v>0</v>
      </c>
      <c r="R839" s="2" t="inlineStr"/>
    </row>
    <row r="840" ht="15" customHeight="1">
      <c r="A840" t="inlineStr">
        <is>
          <t>A 236-2024</t>
        </is>
      </c>
      <c r="B840" s="1" t="n">
        <v>45294.85927083333</v>
      </c>
      <c r="C840" s="1" t="n">
        <v>45880</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30700-2024</t>
        </is>
      </c>
      <c r="B841" s="1" t="n">
        <v>45496.35869212963</v>
      </c>
      <c r="C841" s="1" t="n">
        <v>45880</v>
      </c>
      <c r="D841" t="inlineStr">
        <is>
          <t>VÄRMLANDS LÄN</t>
        </is>
      </c>
      <c r="E841" t="inlineStr">
        <is>
          <t>TORSBY</t>
        </is>
      </c>
      <c r="G841" t="n">
        <v>7.2</v>
      </c>
      <c r="H841" t="n">
        <v>0</v>
      </c>
      <c r="I841" t="n">
        <v>0</v>
      </c>
      <c r="J841" t="n">
        <v>0</v>
      </c>
      <c r="K841" t="n">
        <v>0</v>
      </c>
      <c r="L841" t="n">
        <v>0</v>
      </c>
      <c r="M841" t="n">
        <v>0</v>
      </c>
      <c r="N841" t="n">
        <v>0</v>
      </c>
      <c r="O841" t="n">
        <v>0</v>
      </c>
      <c r="P841" t="n">
        <v>0</v>
      </c>
      <c r="Q841" t="n">
        <v>0</v>
      </c>
      <c r="R841" s="2" t="inlineStr"/>
    </row>
    <row r="842" ht="15" customHeight="1">
      <c r="A842" t="inlineStr">
        <is>
          <t>A 30705-2024</t>
        </is>
      </c>
      <c r="B842" s="1" t="n">
        <v>45496.38092592593</v>
      </c>
      <c r="C842" s="1" t="n">
        <v>45880</v>
      </c>
      <c r="D842" t="inlineStr">
        <is>
          <t>VÄRMLANDS LÄN</t>
        </is>
      </c>
      <c r="E842" t="inlineStr">
        <is>
          <t>TORSBY</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36775-2024</t>
        </is>
      </c>
      <c r="B843" s="1" t="n">
        <v>45538</v>
      </c>
      <c r="C843" s="1" t="n">
        <v>45880</v>
      </c>
      <c r="D843" t="inlineStr">
        <is>
          <t>VÄRMLANDS LÄN</t>
        </is>
      </c>
      <c r="E843" t="inlineStr">
        <is>
          <t>TORSBY</t>
        </is>
      </c>
      <c r="F843" t="inlineStr">
        <is>
          <t>Kyrkan</t>
        </is>
      </c>
      <c r="G843" t="n">
        <v>2.6</v>
      </c>
      <c r="H843" t="n">
        <v>0</v>
      </c>
      <c r="I843" t="n">
        <v>0</v>
      </c>
      <c r="J843" t="n">
        <v>0</v>
      </c>
      <c r="K843" t="n">
        <v>0</v>
      </c>
      <c r="L843" t="n">
        <v>0</v>
      </c>
      <c r="M843" t="n">
        <v>0</v>
      </c>
      <c r="N843" t="n">
        <v>0</v>
      </c>
      <c r="O843" t="n">
        <v>0</v>
      </c>
      <c r="P843" t="n">
        <v>0</v>
      </c>
      <c r="Q843" t="n">
        <v>0</v>
      </c>
      <c r="R843" s="2" t="inlineStr"/>
    </row>
    <row r="844" ht="15" customHeight="1">
      <c r="A844" t="inlineStr">
        <is>
          <t>A 39215-2022</t>
        </is>
      </c>
      <c r="B844" s="1" t="n">
        <v>44817</v>
      </c>
      <c r="C844" s="1" t="n">
        <v>45880</v>
      </c>
      <c r="D844" t="inlineStr">
        <is>
          <t>VÄRMLANDS LÄN</t>
        </is>
      </c>
      <c r="E844" t="inlineStr">
        <is>
          <t>TORSBY</t>
        </is>
      </c>
      <c r="G844" t="n">
        <v>3.8</v>
      </c>
      <c r="H844" t="n">
        <v>0</v>
      </c>
      <c r="I844" t="n">
        <v>0</v>
      </c>
      <c r="J844" t="n">
        <v>0</v>
      </c>
      <c r="K844" t="n">
        <v>0</v>
      </c>
      <c r="L844" t="n">
        <v>0</v>
      </c>
      <c r="M844" t="n">
        <v>0</v>
      </c>
      <c r="N844" t="n">
        <v>0</v>
      </c>
      <c r="O844" t="n">
        <v>0</v>
      </c>
      <c r="P844" t="n">
        <v>0</v>
      </c>
      <c r="Q844" t="n">
        <v>0</v>
      </c>
      <c r="R844" s="2" t="inlineStr"/>
    </row>
    <row r="845" ht="15" customHeight="1">
      <c r="A845" t="inlineStr">
        <is>
          <t>A 45132-2024</t>
        </is>
      </c>
      <c r="B845" s="1" t="n">
        <v>45575</v>
      </c>
      <c r="C845" s="1" t="n">
        <v>45880</v>
      </c>
      <c r="D845" t="inlineStr">
        <is>
          <t>VÄRMLANDS LÄN</t>
        </is>
      </c>
      <c r="E845" t="inlineStr">
        <is>
          <t>TORSBY</t>
        </is>
      </c>
      <c r="F845" t="inlineStr">
        <is>
          <t>Bergvik skog väst AB</t>
        </is>
      </c>
      <c r="G845" t="n">
        <v>2</v>
      </c>
      <c r="H845" t="n">
        <v>0</v>
      </c>
      <c r="I845" t="n">
        <v>0</v>
      </c>
      <c r="J845" t="n">
        <v>0</v>
      </c>
      <c r="K845" t="n">
        <v>0</v>
      </c>
      <c r="L845" t="n">
        <v>0</v>
      </c>
      <c r="M845" t="n">
        <v>0</v>
      </c>
      <c r="N845" t="n">
        <v>0</v>
      </c>
      <c r="O845" t="n">
        <v>0</v>
      </c>
      <c r="P845" t="n">
        <v>0</v>
      </c>
      <c r="Q845" t="n">
        <v>0</v>
      </c>
      <c r="R845" s="2" t="inlineStr"/>
    </row>
    <row r="846" ht="15" customHeight="1">
      <c r="A846" t="inlineStr">
        <is>
          <t>A 21518-2024</t>
        </is>
      </c>
      <c r="B846" s="1" t="n">
        <v>45441</v>
      </c>
      <c r="C846" s="1" t="n">
        <v>45880</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12051-2024</t>
        </is>
      </c>
      <c r="B847" s="1" t="n">
        <v>45377</v>
      </c>
      <c r="C847" s="1" t="n">
        <v>45880</v>
      </c>
      <c r="D847" t="inlineStr">
        <is>
          <t>VÄRMLANDS LÄN</t>
        </is>
      </c>
      <c r="E847" t="inlineStr">
        <is>
          <t>TORSBY</t>
        </is>
      </c>
      <c r="F847" t="inlineStr">
        <is>
          <t>Bergvik skog väst AB</t>
        </is>
      </c>
      <c r="G847" t="n">
        <v>2</v>
      </c>
      <c r="H847" t="n">
        <v>0</v>
      </c>
      <c r="I847" t="n">
        <v>0</v>
      </c>
      <c r="J847" t="n">
        <v>0</v>
      </c>
      <c r="K847" t="n">
        <v>0</v>
      </c>
      <c r="L847" t="n">
        <v>0</v>
      </c>
      <c r="M847" t="n">
        <v>0</v>
      </c>
      <c r="N847" t="n">
        <v>0</v>
      </c>
      <c r="O847" t="n">
        <v>0</v>
      </c>
      <c r="P847" t="n">
        <v>0</v>
      </c>
      <c r="Q847" t="n">
        <v>0</v>
      </c>
      <c r="R847" s="2" t="inlineStr"/>
    </row>
    <row r="848" ht="15" customHeight="1">
      <c r="A848" t="inlineStr">
        <is>
          <t>A 39216-2022</t>
        </is>
      </c>
      <c r="B848" s="1" t="n">
        <v>44817</v>
      </c>
      <c r="C848" s="1" t="n">
        <v>45880</v>
      </c>
      <c r="D848" t="inlineStr">
        <is>
          <t>VÄRMLANDS LÄN</t>
        </is>
      </c>
      <c r="E848" t="inlineStr">
        <is>
          <t>TORSBY</t>
        </is>
      </c>
      <c r="G848" t="n">
        <v>6.6</v>
      </c>
      <c r="H848" t="n">
        <v>0</v>
      </c>
      <c r="I848" t="n">
        <v>0</v>
      </c>
      <c r="J848" t="n">
        <v>0</v>
      </c>
      <c r="K848" t="n">
        <v>0</v>
      </c>
      <c r="L848" t="n">
        <v>0</v>
      </c>
      <c r="M848" t="n">
        <v>0</v>
      </c>
      <c r="N848" t="n">
        <v>0</v>
      </c>
      <c r="O848" t="n">
        <v>0</v>
      </c>
      <c r="P848" t="n">
        <v>0</v>
      </c>
      <c r="Q848" t="n">
        <v>0</v>
      </c>
      <c r="R848" s="2" t="inlineStr"/>
    </row>
    <row r="849" ht="15" customHeight="1">
      <c r="A849" t="inlineStr">
        <is>
          <t>A 64672-2023</t>
        </is>
      </c>
      <c r="B849" s="1" t="n">
        <v>45281.61913194445</v>
      </c>
      <c r="C849" s="1" t="n">
        <v>45880</v>
      </c>
      <c r="D849" t="inlineStr">
        <is>
          <t>VÄRMLANDS LÄN</t>
        </is>
      </c>
      <c r="E849" t="inlineStr">
        <is>
          <t>TORSBY</t>
        </is>
      </c>
      <c r="G849" t="n">
        <v>3</v>
      </c>
      <c r="H849" t="n">
        <v>0</v>
      </c>
      <c r="I849" t="n">
        <v>0</v>
      </c>
      <c r="J849" t="n">
        <v>0</v>
      </c>
      <c r="K849" t="n">
        <v>0</v>
      </c>
      <c r="L849" t="n">
        <v>0</v>
      </c>
      <c r="M849" t="n">
        <v>0</v>
      </c>
      <c r="N849" t="n">
        <v>0</v>
      </c>
      <c r="O849" t="n">
        <v>0</v>
      </c>
      <c r="P849" t="n">
        <v>0</v>
      </c>
      <c r="Q849" t="n">
        <v>0</v>
      </c>
      <c r="R849" s="2" t="inlineStr"/>
    </row>
    <row r="850" ht="15" customHeight="1">
      <c r="A850" t="inlineStr">
        <is>
          <t>A 9067-2023</t>
        </is>
      </c>
      <c r="B850" s="1" t="n">
        <v>44979</v>
      </c>
      <c r="C850" s="1" t="n">
        <v>45880</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3922-2024</t>
        </is>
      </c>
      <c r="B851" s="1" t="n">
        <v>45322.57271990741</v>
      </c>
      <c r="C851" s="1" t="n">
        <v>45880</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36718-2024</t>
        </is>
      </c>
      <c r="B852" s="1" t="n">
        <v>45537</v>
      </c>
      <c r="C852" s="1" t="n">
        <v>45880</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37075-2021</t>
        </is>
      </c>
      <c r="B853" s="1" t="n">
        <v>44394</v>
      </c>
      <c r="C853" s="1" t="n">
        <v>45880</v>
      </c>
      <c r="D853" t="inlineStr">
        <is>
          <t>VÄRMLANDS LÄN</t>
        </is>
      </c>
      <c r="E853" t="inlineStr">
        <is>
          <t>TORSBY</t>
        </is>
      </c>
      <c r="G853" t="n">
        <v>3.2</v>
      </c>
      <c r="H853" t="n">
        <v>0</v>
      </c>
      <c r="I853" t="n">
        <v>0</v>
      </c>
      <c r="J853" t="n">
        <v>0</v>
      </c>
      <c r="K853" t="n">
        <v>0</v>
      </c>
      <c r="L853" t="n">
        <v>0</v>
      </c>
      <c r="M853" t="n">
        <v>0</v>
      </c>
      <c r="N853" t="n">
        <v>0</v>
      </c>
      <c r="O853" t="n">
        <v>0</v>
      </c>
      <c r="P853" t="n">
        <v>0</v>
      </c>
      <c r="Q853" t="n">
        <v>0</v>
      </c>
      <c r="R853" s="2" t="inlineStr"/>
    </row>
    <row r="854" ht="15" customHeight="1">
      <c r="A854" t="inlineStr">
        <is>
          <t>A 11050-2022</t>
        </is>
      </c>
      <c r="B854" s="1" t="n">
        <v>44628.60393518519</v>
      </c>
      <c r="C854" s="1" t="n">
        <v>45880</v>
      </c>
      <c r="D854" t="inlineStr">
        <is>
          <t>VÄRMLANDS LÄN</t>
        </is>
      </c>
      <c r="E854" t="inlineStr">
        <is>
          <t>TORSBY</t>
        </is>
      </c>
      <c r="G854" t="n">
        <v>4.9</v>
      </c>
      <c r="H854" t="n">
        <v>0</v>
      </c>
      <c r="I854" t="n">
        <v>0</v>
      </c>
      <c r="J854" t="n">
        <v>0</v>
      </c>
      <c r="K854" t="n">
        <v>0</v>
      </c>
      <c r="L854" t="n">
        <v>0</v>
      </c>
      <c r="M854" t="n">
        <v>0</v>
      </c>
      <c r="N854" t="n">
        <v>0</v>
      </c>
      <c r="O854" t="n">
        <v>0</v>
      </c>
      <c r="P854" t="n">
        <v>0</v>
      </c>
      <c r="Q854" t="n">
        <v>0</v>
      </c>
      <c r="R854" s="2" t="inlineStr"/>
    </row>
    <row r="855" ht="15" customHeight="1">
      <c r="A855" t="inlineStr">
        <is>
          <t>A 33862-2024</t>
        </is>
      </c>
      <c r="B855" s="1" t="n">
        <v>45520.69163194444</v>
      </c>
      <c r="C855" s="1" t="n">
        <v>45880</v>
      </c>
      <c r="D855" t="inlineStr">
        <is>
          <t>VÄRMLANDS LÄN</t>
        </is>
      </c>
      <c r="E855" t="inlineStr">
        <is>
          <t>TORSBY</t>
        </is>
      </c>
      <c r="G855" t="n">
        <v>1.8</v>
      </c>
      <c r="H855" t="n">
        <v>0</v>
      </c>
      <c r="I855" t="n">
        <v>0</v>
      </c>
      <c r="J855" t="n">
        <v>0</v>
      </c>
      <c r="K855" t="n">
        <v>0</v>
      </c>
      <c r="L855" t="n">
        <v>0</v>
      </c>
      <c r="M855" t="n">
        <v>0</v>
      </c>
      <c r="N855" t="n">
        <v>0</v>
      </c>
      <c r="O855" t="n">
        <v>0</v>
      </c>
      <c r="P855" t="n">
        <v>0</v>
      </c>
      <c r="Q855" t="n">
        <v>0</v>
      </c>
      <c r="R855" s="2" t="inlineStr"/>
    </row>
    <row r="856" ht="15" customHeight="1">
      <c r="A856" t="inlineStr">
        <is>
          <t>A 53499-2023</t>
        </is>
      </c>
      <c r="B856" s="1" t="n">
        <v>45223</v>
      </c>
      <c r="C856" s="1" t="n">
        <v>45880</v>
      </c>
      <c r="D856" t="inlineStr">
        <is>
          <t>VÄRMLANDS LÄN</t>
        </is>
      </c>
      <c r="E856" t="inlineStr">
        <is>
          <t>TORSBY</t>
        </is>
      </c>
      <c r="G856" t="n">
        <v>4.3</v>
      </c>
      <c r="H856" t="n">
        <v>0</v>
      </c>
      <c r="I856" t="n">
        <v>0</v>
      </c>
      <c r="J856" t="n">
        <v>0</v>
      </c>
      <c r="K856" t="n">
        <v>0</v>
      </c>
      <c r="L856" t="n">
        <v>0</v>
      </c>
      <c r="M856" t="n">
        <v>0</v>
      </c>
      <c r="N856" t="n">
        <v>0</v>
      </c>
      <c r="O856" t="n">
        <v>0</v>
      </c>
      <c r="P856" t="n">
        <v>0</v>
      </c>
      <c r="Q856" t="n">
        <v>0</v>
      </c>
      <c r="R856" s="2" t="inlineStr"/>
    </row>
    <row r="857" ht="15" customHeight="1">
      <c r="A857" t="inlineStr">
        <is>
          <t>A 38257-2023</t>
        </is>
      </c>
      <c r="B857" s="1" t="n">
        <v>45161.58917824074</v>
      </c>
      <c r="C857" s="1" t="n">
        <v>45880</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60525-2023</t>
        </is>
      </c>
      <c r="B858" s="1" t="n">
        <v>45259</v>
      </c>
      <c r="C858" s="1" t="n">
        <v>45880</v>
      </c>
      <c r="D858" t="inlineStr">
        <is>
          <t>VÄRMLANDS LÄN</t>
        </is>
      </c>
      <c r="E858" t="inlineStr">
        <is>
          <t>TORSBY</t>
        </is>
      </c>
      <c r="G858" t="n">
        <v>3.1</v>
      </c>
      <c r="H858" t="n">
        <v>0</v>
      </c>
      <c r="I858" t="n">
        <v>0</v>
      </c>
      <c r="J858" t="n">
        <v>0</v>
      </c>
      <c r="K858" t="n">
        <v>0</v>
      </c>
      <c r="L858" t="n">
        <v>0</v>
      </c>
      <c r="M858" t="n">
        <v>0</v>
      </c>
      <c r="N858" t="n">
        <v>0</v>
      </c>
      <c r="O858" t="n">
        <v>0</v>
      </c>
      <c r="P858" t="n">
        <v>0</v>
      </c>
      <c r="Q858" t="n">
        <v>0</v>
      </c>
      <c r="R858" s="2" t="inlineStr"/>
    </row>
    <row r="859" ht="15" customHeight="1">
      <c r="A859" t="inlineStr">
        <is>
          <t>A 34500-2024</t>
        </is>
      </c>
      <c r="B859" s="1" t="n">
        <v>45525</v>
      </c>
      <c r="C859" s="1" t="n">
        <v>45880</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9574-2023</t>
        </is>
      </c>
      <c r="B860" s="1" t="n">
        <v>44982.55168981481</v>
      </c>
      <c r="C860" s="1" t="n">
        <v>45880</v>
      </c>
      <c r="D860" t="inlineStr">
        <is>
          <t>VÄRMLANDS LÄN</t>
        </is>
      </c>
      <c r="E860" t="inlineStr">
        <is>
          <t>TORSBY</t>
        </is>
      </c>
      <c r="F860" t="inlineStr">
        <is>
          <t>Övriga statliga verk och myndigheter</t>
        </is>
      </c>
      <c r="G860" t="n">
        <v>6.2</v>
      </c>
      <c r="H860" t="n">
        <v>0</v>
      </c>
      <c r="I860" t="n">
        <v>0</v>
      </c>
      <c r="J860" t="n">
        <v>0</v>
      </c>
      <c r="K860" t="n">
        <v>0</v>
      </c>
      <c r="L860" t="n">
        <v>0</v>
      </c>
      <c r="M860" t="n">
        <v>0</v>
      </c>
      <c r="N860" t="n">
        <v>0</v>
      </c>
      <c r="O860" t="n">
        <v>0</v>
      </c>
      <c r="P860" t="n">
        <v>0</v>
      </c>
      <c r="Q860" t="n">
        <v>0</v>
      </c>
      <c r="R860" s="2" t="inlineStr"/>
    </row>
    <row r="861" ht="15" customHeight="1">
      <c r="A861" t="inlineStr">
        <is>
          <t>A 4342-2025</t>
        </is>
      </c>
      <c r="B861" s="1" t="n">
        <v>45685</v>
      </c>
      <c r="C861" s="1" t="n">
        <v>45880</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1166-2023</t>
        </is>
      </c>
      <c r="B862" s="1" t="n">
        <v>44935</v>
      </c>
      <c r="C862" s="1" t="n">
        <v>45880</v>
      </c>
      <c r="D862" t="inlineStr">
        <is>
          <t>VÄRMLANDS LÄN</t>
        </is>
      </c>
      <c r="E862" t="inlineStr">
        <is>
          <t>TORSBY</t>
        </is>
      </c>
      <c r="G862" t="n">
        <v>3.9</v>
      </c>
      <c r="H862" t="n">
        <v>0</v>
      </c>
      <c r="I862" t="n">
        <v>0</v>
      </c>
      <c r="J862" t="n">
        <v>0</v>
      </c>
      <c r="K862" t="n">
        <v>0</v>
      </c>
      <c r="L862" t="n">
        <v>0</v>
      </c>
      <c r="M862" t="n">
        <v>0</v>
      </c>
      <c r="N862" t="n">
        <v>0</v>
      </c>
      <c r="O862" t="n">
        <v>0</v>
      </c>
      <c r="P862" t="n">
        <v>0</v>
      </c>
      <c r="Q862" t="n">
        <v>0</v>
      </c>
      <c r="R862" s="2" t="inlineStr"/>
    </row>
    <row r="863" ht="15" customHeight="1">
      <c r="A863" t="inlineStr">
        <is>
          <t>A 8018-2025</t>
        </is>
      </c>
      <c r="B863" s="1" t="n">
        <v>45707</v>
      </c>
      <c r="C863" s="1" t="n">
        <v>45880</v>
      </c>
      <c r="D863" t="inlineStr">
        <is>
          <t>VÄRMLANDS LÄN</t>
        </is>
      </c>
      <c r="E863" t="inlineStr">
        <is>
          <t>TORSBY</t>
        </is>
      </c>
      <c r="G863" t="n">
        <v>22.6</v>
      </c>
      <c r="H863" t="n">
        <v>0</v>
      </c>
      <c r="I863" t="n">
        <v>0</v>
      </c>
      <c r="J863" t="n">
        <v>0</v>
      </c>
      <c r="K863" t="n">
        <v>0</v>
      </c>
      <c r="L863" t="n">
        <v>0</v>
      </c>
      <c r="M863" t="n">
        <v>0</v>
      </c>
      <c r="N863" t="n">
        <v>0</v>
      </c>
      <c r="O863" t="n">
        <v>0</v>
      </c>
      <c r="P863" t="n">
        <v>0</v>
      </c>
      <c r="Q863" t="n">
        <v>0</v>
      </c>
      <c r="R863" s="2" t="inlineStr"/>
    </row>
    <row r="864" ht="15" customHeight="1">
      <c r="A864" t="inlineStr">
        <is>
          <t>A 8025-2025</t>
        </is>
      </c>
      <c r="B864" s="1" t="n">
        <v>45707</v>
      </c>
      <c r="C864" s="1" t="n">
        <v>45880</v>
      </c>
      <c r="D864" t="inlineStr">
        <is>
          <t>VÄRMLANDS LÄN</t>
        </is>
      </c>
      <c r="E864" t="inlineStr">
        <is>
          <t>TORSBY</t>
        </is>
      </c>
      <c r="G864" t="n">
        <v>1.1</v>
      </c>
      <c r="H864" t="n">
        <v>0</v>
      </c>
      <c r="I864" t="n">
        <v>0</v>
      </c>
      <c r="J864" t="n">
        <v>0</v>
      </c>
      <c r="K864" t="n">
        <v>0</v>
      </c>
      <c r="L864" t="n">
        <v>0</v>
      </c>
      <c r="M864" t="n">
        <v>0</v>
      </c>
      <c r="N864" t="n">
        <v>0</v>
      </c>
      <c r="O864" t="n">
        <v>0</v>
      </c>
      <c r="P864" t="n">
        <v>0</v>
      </c>
      <c r="Q864" t="n">
        <v>0</v>
      </c>
      <c r="R864" s="2" t="inlineStr"/>
    </row>
    <row r="865" ht="15" customHeight="1">
      <c r="A865" t="inlineStr">
        <is>
          <t>A 5814-2024</t>
        </is>
      </c>
      <c r="B865" s="1" t="n">
        <v>45335</v>
      </c>
      <c r="C865" s="1" t="n">
        <v>45880</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20740-2025</t>
        </is>
      </c>
      <c r="B866" s="1" t="n">
        <v>45776.54284722222</v>
      </c>
      <c r="C866" s="1" t="n">
        <v>45880</v>
      </c>
      <c r="D866" t="inlineStr">
        <is>
          <t>VÄRMLANDS LÄN</t>
        </is>
      </c>
      <c r="E866" t="inlineStr">
        <is>
          <t>TORSBY</t>
        </is>
      </c>
      <c r="F866" t="inlineStr">
        <is>
          <t>Bergvik skog väst AB</t>
        </is>
      </c>
      <c r="G866" t="n">
        <v>3.7</v>
      </c>
      <c r="H866" t="n">
        <v>0</v>
      </c>
      <c r="I866" t="n">
        <v>0</v>
      </c>
      <c r="J866" t="n">
        <v>0</v>
      </c>
      <c r="K866" t="n">
        <v>0</v>
      </c>
      <c r="L866" t="n">
        <v>0</v>
      </c>
      <c r="M866" t="n">
        <v>0</v>
      </c>
      <c r="N866" t="n">
        <v>0</v>
      </c>
      <c r="O866" t="n">
        <v>0</v>
      </c>
      <c r="P866" t="n">
        <v>0</v>
      </c>
      <c r="Q866" t="n">
        <v>0</v>
      </c>
      <c r="R866" s="2" t="inlineStr"/>
    </row>
    <row r="867" ht="15" customHeight="1">
      <c r="A867" t="inlineStr">
        <is>
          <t>A 33469-2024</t>
        </is>
      </c>
      <c r="B867" s="1" t="n">
        <v>45519.5996875</v>
      </c>
      <c r="C867" s="1" t="n">
        <v>45880</v>
      </c>
      <c r="D867" t="inlineStr">
        <is>
          <t>VÄRMLANDS LÄN</t>
        </is>
      </c>
      <c r="E867" t="inlineStr">
        <is>
          <t>TORSBY</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32847-2024</t>
        </is>
      </c>
      <c r="B868" s="1" t="n">
        <v>45516.63021990741</v>
      </c>
      <c r="C868" s="1" t="n">
        <v>45880</v>
      </c>
      <c r="D868" t="inlineStr">
        <is>
          <t>VÄRMLANDS LÄN</t>
        </is>
      </c>
      <c r="E868" t="inlineStr">
        <is>
          <t>TORSBY</t>
        </is>
      </c>
      <c r="F868" t="inlineStr">
        <is>
          <t>Bergvik skog väst AB</t>
        </is>
      </c>
      <c r="G868" t="n">
        <v>3.9</v>
      </c>
      <c r="H868" t="n">
        <v>0</v>
      </c>
      <c r="I868" t="n">
        <v>0</v>
      </c>
      <c r="J868" t="n">
        <v>0</v>
      </c>
      <c r="K868" t="n">
        <v>0</v>
      </c>
      <c r="L868" t="n">
        <v>0</v>
      </c>
      <c r="M868" t="n">
        <v>0</v>
      </c>
      <c r="N868" t="n">
        <v>0</v>
      </c>
      <c r="O868" t="n">
        <v>0</v>
      </c>
      <c r="P868" t="n">
        <v>0</v>
      </c>
      <c r="Q868" t="n">
        <v>0</v>
      </c>
      <c r="R868" s="2" t="inlineStr"/>
    </row>
    <row r="869" ht="15" customHeight="1">
      <c r="A869" t="inlineStr">
        <is>
          <t>A 32138-2024</t>
        </is>
      </c>
      <c r="B869" s="1" t="n">
        <v>45511</v>
      </c>
      <c r="C869" s="1" t="n">
        <v>45880</v>
      </c>
      <c r="D869" t="inlineStr">
        <is>
          <t>VÄRMLANDS LÄN</t>
        </is>
      </c>
      <c r="E869" t="inlineStr">
        <is>
          <t>TORSBY</t>
        </is>
      </c>
      <c r="F869" t="inlineStr">
        <is>
          <t>Bergvik skog väst AB</t>
        </is>
      </c>
      <c r="G869" t="n">
        <v>26.3</v>
      </c>
      <c r="H869" t="n">
        <v>0</v>
      </c>
      <c r="I869" t="n">
        <v>0</v>
      </c>
      <c r="J869" t="n">
        <v>0</v>
      </c>
      <c r="K869" t="n">
        <v>0</v>
      </c>
      <c r="L869" t="n">
        <v>0</v>
      </c>
      <c r="M869" t="n">
        <v>0</v>
      </c>
      <c r="N869" t="n">
        <v>0</v>
      </c>
      <c r="O869" t="n">
        <v>0</v>
      </c>
      <c r="P869" t="n">
        <v>0</v>
      </c>
      <c r="Q869" t="n">
        <v>0</v>
      </c>
      <c r="R869" s="2" t="inlineStr"/>
    </row>
    <row r="870" ht="15" customHeight="1">
      <c r="A870" t="inlineStr">
        <is>
          <t>A 20872-2024</t>
        </is>
      </c>
      <c r="B870" s="1" t="n">
        <v>45439.44173611111</v>
      </c>
      <c r="C870" s="1" t="n">
        <v>45880</v>
      </c>
      <c r="D870" t="inlineStr">
        <is>
          <t>VÄRMLANDS LÄN</t>
        </is>
      </c>
      <c r="E870" t="inlineStr">
        <is>
          <t>TORSBY</t>
        </is>
      </c>
      <c r="G870" t="n">
        <v>7.4</v>
      </c>
      <c r="H870" t="n">
        <v>0</v>
      </c>
      <c r="I870" t="n">
        <v>0</v>
      </c>
      <c r="J870" t="n">
        <v>0</v>
      </c>
      <c r="K870" t="n">
        <v>0</v>
      </c>
      <c r="L870" t="n">
        <v>0</v>
      </c>
      <c r="M870" t="n">
        <v>0</v>
      </c>
      <c r="N870" t="n">
        <v>0</v>
      </c>
      <c r="O870" t="n">
        <v>0</v>
      </c>
      <c r="P870" t="n">
        <v>0</v>
      </c>
      <c r="Q870" t="n">
        <v>0</v>
      </c>
      <c r="R870" s="2" t="inlineStr"/>
    </row>
    <row r="871" ht="15" customHeight="1">
      <c r="A871" t="inlineStr">
        <is>
          <t>A 20816-2025</t>
        </is>
      </c>
      <c r="B871" s="1" t="n">
        <v>45776</v>
      </c>
      <c r="C871" s="1" t="n">
        <v>45880</v>
      </c>
      <c r="D871" t="inlineStr">
        <is>
          <t>VÄRMLANDS LÄN</t>
        </is>
      </c>
      <c r="E871" t="inlineStr">
        <is>
          <t>TORSBY</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25949-2024</t>
        </is>
      </c>
      <c r="B872" s="1" t="n">
        <v>45467.6442824074</v>
      </c>
      <c r="C872" s="1" t="n">
        <v>45880</v>
      </c>
      <c r="D872" t="inlineStr">
        <is>
          <t>VÄRMLANDS LÄN</t>
        </is>
      </c>
      <c r="E872" t="inlineStr">
        <is>
          <t>TORSBY</t>
        </is>
      </c>
      <c r="F872" t="inlineStr">
        <is>
          <t>Bergvik skog väst AB</t>
        </is>
      </c>
      <c r="G872" t="n">
        <v>2.3</v>
      </c>
      <c r="H872" t="n">
        <v>0</v>
      </c>
      <c r="I872" t="n">
        <v>0</v>
      </c>
      <c r="J872" t="n">
        <v>0</v>
      </c>
      <c r="K872" t="n">
        <v>0</v>
      </c>
      <c r="L872" t="n">
        <v>0</v>
      </c>
      <c r="M872" t="n">
        <v>0</v>
      </c>
      <c r="N872" t="n">
        <v>0</v>
      </c>
      <c r="O872" t="n">
        <v>0</v>
      </c>
      <c r="P872" t="n">
        <v>0</v>
      </c>
      <c r="Q872" t="n">
        <v>0</v>
      </c>
      <c r="R872" s="2" t="inlineStr"/>
    </row>
    <row r="873" ht="15" customHeight="1">
      <c r="A873" t="inlineStr">
        <is>
          <t>A 20773-2025</t>
        </is>
      </c>
      <c r="B873" s="1" t="n">
        <v>45776.59321759259</v>
      </c>
      <c r="C873" s="1" t="n">
        <v>45880</v>
      </c>
      <c r="D873" t="inlineStr">
        <is>
          <t>VÄRMLANDS LÄN</t>
        </is>
      </c>
      <c r="E873" t="inlineStr">
        <is>
          <t>TORSBY</t>
        </is>
      </c>
      <c r="F873" t="inlineStr">
        <is>
          <t>Bergvik skog väst AB</t>
        </is>
      </c>
      <c r="G873" t="n">
        <v>4.2</v>
      </c>
      <c r="H873" t="n">
        <v>0</v>
      </c>
      <c r="I873" t="n">
        <v>0</v>
      </c>
      <c r="J873" t="n">
        <v>0</v>
      </c>
      <c r="K873" t="n">
        <v>0</v>
      </c>
      <c r="L873" t="n">
        <v>0</v>
      </c>
      <c r="M873" t="n">
        <v>0</v>
      </c>
      <c r="N873" t="n">
        <v>0</v>
      </c>
      <c r="O873" t="n">
        <v>0</v>
      </c>
      <c r="P873" t="n">
        <v>0</v>
      </c>
      <c r="Q873" t="n">
        <v>0</v>
      </c>
      <c r="R873" s="2" t="inlineStr"/>
    </row>
    <row r="874" ht="15" customHeight="1">
      <c r="A874" t="inlineStr">
        <is>
          <t>A 26042-2024</t>
        </is>
      </c>
      <c r="B874" s="1" t="n">
        <v>45468.29846064815</v>
      </c>
      <c r="C874" s="1" t="n">
        <v>45880</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61956-2020</t>
        </is>
      </c>
      <c r="B875" s="1" t="n">
        <v>44159</v>
      </c>
      <c r="C875" s="1" t="n">
        <v>45880</v>
      </c>
      <c r="D875" t="inlineStr">
        <is>
          <t>VÄRMLANDS LÄN</t>
        </is>
      </c>
      <c r="E875" t="inlineStr">
        <is>
          <t>TORSBY</t>
        </is>
      </c>
      <c r="F875" t="inlineStr">
        <is>
          <t>Kommuner</t>
        </is>
      </c>
      <c r="G875" t="n">
        <v>7.5</v>
      </c>
      <c r="H875" t="n">
        <v>0</v>
      </c>
      <c r="I875" t="n">
        <v>0</v>
      </c>
      <c r="J875" t="n">
        <v>0</v>
      </c>
      <c r="K875" t="n">
        <v>0</v>
      </c>
      <c r="L875" t="n">
        <v>0</v>
      </c>
      <c r="M875" t="n">
        <v>0</v>
      </c>
      <c r="N875" t="n">
        <v>0</v>
      </c>
      <c r="O875" t="n">
        <v>0</v>
      </c>
      <c r="P875" t="n">
        <v>0</v>
      </c>
      <c r="Q875" t="n">
        <v>0</v>
      </c>
      <c r="R875" s="2" t="inlineStr"/>
    </row>
    <row r="876" ht="15" customHeight="1">
      <c r="A876" t="inlineStr">
        <is>
          <t>A 21365-2023</t>
        </is>
      </c>
      <c r="B876" s="1" t="n">
        <v>45063.26761574074</v>
      </c>
      <c r="C876" s="1" t="n">
        <v>45880</v>
      </c>
      <c r="D876" t="inlineStr">
        <is>
          <t>VÄRMLANDS LÄN</t>
        </is>
      </c>
      <c r="E876" t="inlineStr">
        <is>
          <t>TORSBY</t>
        </is>
      </c>
      <c r="F876" t="inlineStr">
        <is>
          <t>Kyrkan</t>
        </is>
      </c>
      <c r="G876" t="n">
        <v>4</v>
      </c>
      <c r="H876" t="n">
        <v>0</v>
      </c>
      <c r="I876" t="n">
        <v>0</v>
      </c>
      <c r="J876" t="n">
        <v>0</v>
      </c>
      <c r="K876" t="n">
        <v>0</v>
      </c>
      <c r="L876" t="n">
        <v>0</v>
      </c>
      <c r="M876" t="n">
        <v>0</v>
      </c>
      <c r="N876" t="n">
        <v>0</v>
      </c>
      <c r="O876" t="n">
        <v>0</v>
      </c>
      <c r="P876" t="n">
        <v>0</v>
      </c>
      <c r="Q876" t="n">
        <v>0</v>
      </c>
      <c r="R876" s="2" t="inlineStr"/>
    </row>
    <row r="877" ht="15" customHeight="1">
      <c r="A877" t="inlineStr">
        <is>
          <t>A 60781-2024</t>
        </is>
      </c>
      <c r="B877" s="1" t="n">
        <v>45642</v>
      </c>
      <c r="C877" s="1" t="n">
        <v>45880</v>
      </c>
      <c r="D877" t="inlineStr">
        <is>
          <t>VÄRMLANDS LÄN</t>
        </is>
      </c>
      <c r="E877" t="inlineStr">
        <is>
          <t>TORSBY</t>
        </is>
      </c>
      <c r="G877" t="n">
        <v>4.3</v>
      </c>
      <c r="H877" t="n">
        <v>0</v>
      </c>
      <c r="I877" t="n">
        <v>0</v>
      </c>
      <c r="J877" t="n">
        <v>0</v>
      </c>
      <c r="K877" t="n">
        <v>0</v>
      </c>
      <c r="L877" t="n">
        <v>0</v>
      </c>
      <c r="M877" t="n">
        <v>0</v>
      </c>
      <c r="N877" t="n">
        <v>0</v>
      </c>
      <c r="O877" t="n">
        <v>0</v>
      </c>
      <c r="P877" t="n">
        <v>0</v>
      </c>
      <c r="Q877" t="n">
        <v>0</v>
      </c>
      <c r="R877" s="2" t="inlineStr"/>
    </row>
    <row r="878" ht="15" customHeight="1">
      <c r="A878" t="inlineStr">
        <is>
          <t>A 66978-2021</t>
        </is>
      </c>
      <c r="B878" s="1" t="n">
        <v>44522</v>
      </c>
      <c r="C878" s="1" t="n">
        <v>45880</v>
      </c>
      <c r="D878" t="inlineStr">
        <is>
          <t>VÄRMLANDS LÄN</t>
        </is>
      </c>
      <c r="E878" t="inlineStr">
        <is>
          <t>TORSBY</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20843-2025</t>
        </is>
      </c>
      <c r="B879" s="1" t="n">
        <v>45776.9233912037</v>
      </c>
      <c r="C879" s="1" t="n">
        <v>45880</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20848-2025</t>
        </is>
      </c>
      <c r="B880" s="1" t="n">
        <v>45777.30980324074</v>
      </c>
      <c r="C880" s="1" t="n">
        <v>45880</v>
      </c>
      <c r="D880" t="inlineStr">
        <is>
          <t>VÄRMLANDS LÄN</t>
        </is>
      </c>
      <c r="E880" t="inlineStr">
        <is>
          <t>TORSBY</t>
        </is>
      </c>
      <c r="F880" t="inlineStr">
        <is>
          <t>Bergvik skog väst AB</t>
        </is>
      </c>
      <c r="G880" t="n">
        <v>1.6</v>
      </c>
      <c r="H880" t="n">
        <v>0</v>
      </c>
      <c r="I880" t="n">
        <v>0</v>
      </c>
      <c r="J880" t="n">
        <v>0</v>
      </c>
      <c r="K880" t="n">
        <v>0</v>
      </c>
      <c r="L880" t="n">
        <v>0</v>
      </c>
      <c r="M880" t="n">
        <v>0</v>
      </c>
      <c r="N880" t="n">
        <v>0</v>
      </c>
      <c r="O880" t="n">
        <v>0</v>
      </c>
      <c r="P880" t="n">
        <v>0</v>
      </c>
      <c r="Q880" t="n">
        <v>0</v>
      </c>
      <c r="R880" s="2" t="inlineStr"/>
    </row>
    <row r="881" ht="15" customHeight="1">
      <c r="A881" t="inlineStr">
        <is>
          <t>A 20914-2025</t>
        </is>
      </c>
      <c r="B881" s="1" t="n">
        <v>45777</v>
      </c>
      <c r="C881" s="1" t="n">
        <v>45880</v>
      </c>
      <c r="D881" t="inlineStr">
        <is>
          <t>VÄRMLANDS LÄN</t>
        </is>
      </c>
      <c r="E881" t="inlineStr">
        <is>
          <t>TORSBY</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29375-2024</t>
        </is>
      </c>
      <c r="B882" s="1" t="n">
        <v>45483.58712962963</v>
      </c>
      <c r="C882" s="1" t="n">
        <v>45880</v>
      </c>
      <c r="D882" t="inlineStr">
        <is>
          <t>VÄRMLANDS LÄN</t>
        </is>
      </c>
      <c r="E882" t="inlineStr">
        <is>
          <t>TORSBY</t>
        </is>
      </c>
      <c r="G882" t="n">
        <v>1.2</v>
      </c>
      <c r="H882" t="n">
        <v>0</v>
      </c>
      <c r="I882" t="n">
        <v>0</v>
      </c>
      <c r="J882" t="n">
        <v>0</v>
      </c>
      <c r="K882" t="n">
        <v>0</v>
      </c>
      <c r="L882" t="n">
        <v>0</v>
      </c>
      <c r="M882" t="n">
        <v>0</v>
      </c>
      <c r="N882" t="n">
        <v>0</v>
      </c>
      <c r="O882" t="n">
        <v>0</v>
      </c>
      <c r="P882" t="n">
        <v>0</v>
      </c>
      <c r="Q882" t="n">
        <v>0</v>
      </c>
      <c r="R882" s="2" t="inlineStr"/>
    </row>
    <row r="883" ht="15" customHeight="1">
      <c r="A883" t="inlineStr">
        <is>
          <t>A 74375-2021</t>
        </is>
      </c>
      <c r="B883" s="1" t="n">
        <v>44559.71840277778</v>
      </c>
      <c r="C883" s="1" t="n">
        <v>45880</v>
      </c>
      <c r="D883" t="inlineStr">
        <is>
          <t>VÄRMLANDS LÄN</t>
        </is>
      </c>
      <c r="E883" t="inlineStr">
        <is>
          <t>TORSBY</t>
        </is>
      </c>
      <c r="G883" t="n">
        <v>2.4</v>
      </c>
      <c r="H883" t="n">
        <v>0</v>
      </c>
      <c r="I883" t="n">
        <v>0</v>
      </c>
      <c r="J883" t="n">
        <v>0</v>
      </c>
      <c r="K883" t="n">
        <v>0</v>
      </c>
      <c r="L883" t="n">
        <v>0</v>
      </c>
      <c r="M883" t="n">
        <v>0</v>
      </c>
      <c r="N883" t="n">
        <v>0</v>
      </c>
      <c r="O883" t="n">
        <v>0</v>
      </c>
      <c r="P883" t="n">
        <v>0</v>
      </c>
      <c r="Q883" t="n">
        <v>0</v>
      </c>
      <c r="R883" s="2" t="inlineStr"/>
    </row>
    <row r="884" ht="15" customHeight="1">
      <c r="A884" t="inlineStr">
        <is>
          <t>A 32588-2024</t>
        </is>
      </c>
      <c r="B884" s="1" t="n">
        <v>45513.59612268519</v>
      </c>
      <c r="C884" s="1" t="n">
        <v>45880</v>
      </c>
      <c r="D884" t="inlineStr">
        <is>
          <t>VÄRMLANDS LÄN</t>
        </is>
      </c>
      <c r="E884" t="inlineStr">
        <is>
          <t>TORSBY</t>
        </is>
      </c>
      <c r="F884" t="inlineStr">
        <is>
          <t>Bergvik skog väst AB</t>
        </is>
      </c>
      <c r="G884" t="n">
        <v>5.2</v>
      </c>
      <c r="H884" t="n">
        <v>0</v>
      </c>
      <c r="I884" t="n">
        <v>0</v>
      </c>
      <c r="J884" t="n">
        <v>0</v>
      </c>
      <c r="K884" t="n">
        <v>0</v>
      </c>
      <c r="L884" t="n">
        <v>0</v>
      </c>
      <c r="M884" t="n">
        <v>0</v>
      </c>
      <c r="N884" t="n">
        <v>0</v>
      </c>
      <c r="O884" t="n">
        <v>0</v>
      </c>
      <c r="P884" t="n">
        <v>0</v>
      </c>
      <c r="Q884" t="n">
        <v>0</v>
      </c>
      <c r="R884" s="2" t="inlineStr"/>
    </row>
    <row r="885" ht="15" customHeight="1">
      <c r="A885" t="inlineStr">
        <is>
          <t>A 66133-2021</t>
        </is>
      </c>
      <c r="B885" s="1" t="n">
        <v>44517</v>
      </c>
      <c r="C885" s="1" t="n">
        <v>45880</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16427-2023</t>
        </is>
      </c>
      <c r="B886" s="1" t="n">
        <v>45022</v>
      </c>
      <c r="C886" s="1" t="n">
        <v>45880</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20917-2025</t>
        </is>
      </c>
      <c r="B887" s="1" t="n">
        <v>45777</v>
      </c>
      <c r="C887" s="1" t="n">
        <v>45880</v>
      </c>
      <c r="D887" t="inlineStr">
        <is>
          <t>VÄRMLANDS LÄN</t>
        </is>
      </c>
      <c r="E887" t="inlineStr">
        <is>
          <t>TORSBY</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21462-2025</t>
        </is>
      </c>
      <c r="B888" s="1" t="n">
        <v>45782.56770833334</v>
      </c>
      <c r="C888" s="1" t="n">
        <v>45880</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11121-2024</t>
        </is>
      </c>
      <c r="B889" s="1" t="n">
        <v>45371.40634259259</v>
      </c>
      <c r="C889" s="1" t="n">
        <v>45880</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21274-2025</t>
        </is>
      </c>
      <c r="B890" s="1" t="n">
        <v>45779.62877314815</v>
      </c>
      <c r="C890" s="1" t="n">
        <v>45880</v>
      </c>
      <c r="D890" t="inlineStr">
        <is>
          <t>VÄRMLANDS LÄN</t>
        </is>
      </c>
      <c r="E890" t="inlineStr">
        <is>
          <t>TORSBY</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45880</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41633-2021</t>
        </is>
      </c>
      <c r="B892" s="1" t="n">
        <v>44425</v>
      </c>
      <c r="C892" s="1" t="n">
        <v>45880</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21324-2025</t>
        </is>
      </c>
      <c r="B893" s="1" t="n">
        <v>45782.34947916667</v>
      </c>
      <c r="C893" s="1" t="n">
        <v>45880</v>
      </c>
      <c r="D893" t="inlineStr">
        <is>
          <t>VÄRMLANDS LÄN</t>
        </is>
      </c>
      <c r="E893" t="inlineStr">
        <is>
          <t>TORSBY</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33848-2023</t>
        </is>
      </c>
      <c r="B894" s="1" t="n">
        <v>45133.68835648148</v>
      </c>
      <c r="C894" s="1" t="n">
        <v>45880</v>
      </c>
      <c r="D894" t="inlineStr">
        <is>
          <t>VÄRMLANDS LÄN</t>
        </is>
      </c>
      <c r="E894" t="inlineStr">
        <is>
          <t>TORSBY</t>
        </is>
      </c>
      <c r="F894" t="inlineStr">
        <is>
          <t>Bergvik skog väst AB</t>
        </is>
      </c>
      <c r="G894" t="n">
        <v>4.4</v>
      </c>
      <c r="H894" t="n">
        <v>0</v>
      </c>
      <c r="I894" t="n">
        <v>0</v>
      </c>
      <c r="J894" t="n">
        <v>0</v>
      </c>
      <c r="K894" t="n">
        <v>0</v>
      </c>
      <c r="L894" t="n">
        <v>0</v>
      </c>
      <c r="M894" t="n">
        <v>0</v>
      </c>
      <c r="N894" t="n">
        <v>0</v>
      </c>
      <c r="O894" t="n">
        <v>0</v>
      </c>
      <c r="P894" t="n">
        <v>0</v>
      </c>
      <c r="Q894" t="n">
        <v>0</v>
      </c>
      <c r="R894" s="2" t="inlineStr"/>
    </row>
    <row r="895" ht="15" customHeight="1">
      <c r="A895" t="inlineStr">
        <is>
          <t>A 54796-2024</t>
        </is>
      </c>
      <c r="B895" s="1" t="n">
        <v>45618</v>
      </c>
      <c r="C895" s="1" t="n">
        <v>45880</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61128-2022</t>
        </is>
      </c>
      <c r="B896" s="1" t="n">
        <v>44915.4455787037</v>
      </c>
      <c r="C896" s="1" t="n">
        <v>45880</v>
      </c>
      <c r="D896" t="inlineStr">
        <is>
          <t>VÄRMLANDS LÄN</t>
        </is>
      </c>
      <c r="E896" t="inlineStr">
        <is>
          <t>TORSBY</t>
        </is>
      </c>
      <c r="G896" t="n">
        <v>2.4</v>
      </c>
      <c r="H896" t="n">
        <v>0</v>
      </c>
      <c r="I896" t="n">
        <v>0</v>
      </c>
      <c r="J896" t="n">
        <v>0</v>
      </c>
      <c r="K896" t="n">
        <v>0</v>
      </c>
      <c r="L896" t="n">
        <v>0</v>
      </c>
      <c r="M896" t="n">
        <v>0</v>
      </c>
      <c r="N896" t="n">
        <v>0</v>
      </c>
      <c r="O896" t="n">
        <v>0</v>
      </c>
      <c r="P896" t="n">
        <v>0</v>
      </c>
      <c r="Q896" t="n">
        <v>0</v>
      </c>
      <c r="R896" s="2" t="inlineStr"/>
    </row>
    <row r="897" ht="15" customHeight="1">
      <c r="A897" t="inlineStr">
        <is>
          <t>A 41671-2021</t>
        </is>
      </c>
      <c r="B897" s="1" t="n">
        <v>44425</v>
      </c>
      <c r="C897" s="1" t="n">
        <v>45880</v>
      </c>
      <c r="D897" t="inlineStr">
        <is>
          <t>VÄRMLANDS LÄN</t>
        </is>
      </c>
      <c r="E897" t="inlineStr">
        <is>
          <t>TORSBY</t>
        </is>
      </c>
      <c r="F897" t="inlineStr">
        <is>
          <t>Övriga Aktiebolag</t>
        </is>
      </c>
      <c r="G897" t="n">
        <v>10.1</v>
      </c>
      <c r="H897" t="n">
        <v>0</v>
      </c>
      <c r="I897" t="n">
        <v>0</v>
      </c>
      <c r="J897" t="n">
        <v>0</v>
      </c>
      <c r="K897" t="n">
        <v>0</v>
      </c>
      <c r="L897" t="n">
        <v>0</v>
      </c>
      <c r="M897" t="n">
        <v>0</v>
      </c>
      <c r="N897" t="n">
        <v>0</v>
      </c>
      <c r="O897" t="n">
        <v>0</v>
      </c>
      <c r="P897" t="n">
        <v>0</v>
      </c>
      <c r="Q897" t="n">
        <v>0</v>
      </c>
      <c r="R897" s="2" t="inlineStr"/>
    </row>
    <row r="898" ht="15" customHeight="1">
      <c r="A898" t="inlineStr">
        <is>
          <t>A 27086-2024</t>
        </is>
      </c>
      <c r="B898" s="1" t="n">
        <v>45471</v>
      </c>
      <c r="C898" s="1" t="n">
        <v>45880</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25313-2024</t>
        </is>
      </c>
      <c r="B899" s="1" t="n">
        <v>45462</v>
      </c>
      <c r="C899" s="1" t="n">
        <v>45880</v>
      </c>
      <c r="D899" t="inlineStr">
        <is>
          <t>VÄRMLANDS LÄN</t>
        </is>
      </c>
      <c r="E899" t="inlineStr">
        <is>
          <t>TORSBY</t>
        </is>
      </c>
      <c r="G899" t="n">
        <v>0.7</v>
      </c>
      <c r="H899" t="n">
        <v>0</v>
      </c>
      <c r="I899" t="n">
        <v>0</v>
      </c>
      <c r="J899" t="n">
        <v>0</v>
      </c>
      <c r="K899" t="n">
        <v>0</v>
      </c>
      <c r="L899" t="n">
        <v>0</v>
      </c>
      <c r="M899" t="n">
        <v>0</v>
      </c>
      <c r="N899" t="n">
        <v>0</v>
      </c>
      <c r="O899" t="n">
        <v>0</v>
      </c>
      <c r="P899" t="n">
        <v>0</v>
      </c>
      <c r="Q899" t="n">
        <v>0</v>
      </c>
      <c r="R899" s="2" t="inlineStr"/>
    </row>
    <row r="900" ht="15" customHeight="1">
      <c r="A900" t="inlineStr">
        <is>
          <t>A 15413-2023</t>
        </is>
      </c>
      <c r="B900" s="1" t="n">
        <v>45019</v>
      </c>
      <c r="C900" s="1" t="n">
        <v>45880</v>
      </c>
      <c r="D900" t="inlineStr">
        <is>
          <t>VÄRMLANDS LÄN</t>
        </is>
      </c>
      <c r="E900" t="inlineStr">
        <is>
          <t>TORSBY</t>
        </is>
      </c>
      <c r="G900" t="n">
        <v>17.1</v>
      </c>
      <c r="H900" t="n">
        <v>0</v>
      </c>
      <c r="I900" t="n">
        <v>0</v>
      </c>
      <c r="J900" t="n">
        <v>0</v>
      </c>
      <c r="K900" t="n">
        <v>0</v>
      </c>
      <c r="L900" t="n">
        <v>0</v>
      </c>
      <c r="M900" t="n">
        <v>0</v>
      </c>
      <c r="N900" t="n">
        <v>0</v>
      </c>
      <c r="O900" t="n">
        <v>0</v>
      </c>
      <c r="P900" t="n">
        <v>0</v>
      </c>
      <c r="Q900" t="n">
        <v>0</v>
      </c>
      <c r="R900" s="2" t="inlineStr"/>
    </row>
    <row r="901" ht="15" customHeight="1">
      <c r="A901" t="inlineStr">
        <is>
          <t>A 15488-2023</t>
        </is>
      </c>
      <c r="B901" s="1" t="n">
        <v>45020</v>
      </c>
      <c r="C901" s="1" t="n">
        <v>45880</v>
      </c>
      <c r="D901" t="inlineStr">
        <is>
          <t>VÄRMLANDS LÄN</t>
        </is>
      </c>
      <c r="E901" t="inlineStr">
        <is>
          <t>TORSBY</t>
        </is>
      </c>
      <c r="G901" t="n">
        <v>3.4</v>
      </c>
      <c r="H901" t="n">
        <v>0</v>
      </c>
      <c r="I901" t="n">
        <v>0</v>
      </c>
      <c r="J901" t="n">
        <v>0</v>
      </c>
      <c r="K901" t="n">
        <v>0</v>
      </c>
      <c r="L901" t="n">
        <v>0</v>
      </c>
      <c r="M901" t="n">
        <v>0</v>
      </c>
      <c r="N901" t="n">
        <v>0</v>
      </c>
      <c r="O901" t="n">
        <v>0</v>
      </c>
      <c r="P901" t="n">
        <v>0</v>
      </c>
      <c r="Q901" t="n">
        <v>0</v>
      </c>
      <c r="R901" s="2" t="inlineStr"/>
    </row>
    <row r="902" ht="15" customHeight="1">
      <c r="A902" t="inlineStr">
        <is>
          <t>A 11878-2024</t>
        </is>
      </c>
      <c r="B902" s="1" t="n">
        <v>45376.47877314815</v>
      </c>
      <c r="C902" s="1" t="n">
        <v>45880</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23843-2024</t>
        </is>
      </c>
      <c r="B903" s="1" t="n">
        <v>45455</v>
      </c>
      <c r="C903" s="1" t="n">
        <v>45880</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39648-2023</t>
        </is>
      </c>
      <c r="B904" s="1" t="n">
        <v>45167.5528587963</v>
      </c>
      <c r="C904" s="1" t="n">
        <v>45880</v>
      </c>
      <c r="D904" t="inlineStr">
        <is>
          <t>VÄRMLANDS LÄN</t>
        </is>
      </c>
      <c r="E904" t="inlineStr">
        <is>
          <t>TORSBY</t>
        </is>
      </c>
      <c r="G904" t="n">
        <v>1.9</v>
      </c>
      <c r="H904" t="n">
        <v>0</v>
      </c>
      <c r="I904" t="n">
        <v>0</v>
      </c>
      <c r="J904" t="n">
        <v>0</v>
      </c>
      <c r="K904" t="n">
        <v>0</v>
      </c>
      <c r="L904" t="n">
        <v>0</v>
      </c>
      <c r="M904" t="n">
        <v>0</v>
      </c>
      <c r="N904" t="n">
        <v>0</v>
      </c>
      <c r="O904" t="n">
        <v>0</v>
      </c>
      <c r="P904" t="n">
        <v>0</v>
      </c>
      <c r="Q904" t="n">
        <v>0</v>
      </c>
      <c r="R904" s="2" t="inlineStr"/>
    </row>
    <row r="905" ht="15" customHeight="1">
      <c r="A905" t="inlineStr">
        <is>
          <t>A 14025-2025</t>
        </is>
      </c>
      <c r="B905" s="1" t="n">
        <v>45740</v>
      </c>
      <c r="C905" s="1" t="n">
        <v>45880</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21858-2025</t>
        </is>
      </c>
      <c r="B906" s="1" t="n">
        <v>45784.36265046296</v>
      </c>
      <c r="C906" s="1" t="n">
        <v>45880</v>
      </c>
      <c r="D906" t="inlineStr">
        <is>
          <t>VÄRMLANDS LÄN</t>
        </is>
      </c>
      <c r="E906" t="inlineStr">
        <is>
          <t>TORSBY</t>
        </is>
      </c>
      <c r="F906" t="inlineStr">
        <is>
          <t>Bergvik skog väst AB</t>
        </is>
      </c>
      <c r="G906" t="n">
        <v>1.5</v>
      </c>
      <c r="H906" t="n">
        <v>0</v>
      </c>
      <c r="I906" t="n">
        <v>0</v>
      </c>
      <c r="J906" t="n">
        <v>0</v>
      </c>
      <c r="K906" t="n">
        <v>0</v>
      </c>
      <c r="L906" t="n">
        <v>0</v>
      </c>
      <c r="M906" t="n">
        <v>0</v>
      </c>
      <c r="N906" t="n">
        <v>0</v>
      </c>
      <c r="O906" t="n">
        <v>0</v>
      </c>
      <c r="P906" t="n">
        <v>0</v>
      </c>
      <c r="Q906" t="n">
        <v>0</v>
      </c>
      <c r="R906" s="2" t="inlineStr"/>
    </row>
    <row r="907" ht="15" customHeight="1">
      <c r="A907" t="inlineStr">
        <is>
          <t>A 21860-2025</t>
        </is>
      </c>
      <c r="B907" s="1" t="n">
        <v>45784.36465277777</v>
      </c>
      <c r="C907" s="1" t="n">
        <v>45880</v>
      </c>
      <c r="D907" t="inlineStr">
        <is>
          <t>VÄRMLANDS LÄN</t>
        </is>
      </c>
      <c r="E907" t="inlineStr">
        <is>
          <t>TORSBY</t>
        </is>
      </c>
      <c r="G907" t="n">
        <v>13.7</v>
      </c>
      <c r="H907" t="n">
        <v>0</v>
      </c>
      <c r="I907" t="n">
        <v>0</v>
      </c>
      <c r="J907" t="n">
        <v>0</v>
      </c>
      <c r="K907" t="n">
        <v>0</v>
      </c>
      <c r="L907" t="n">
        <v>0</v>
      </c>
      <c r="M907" t="n">
        <v>0</v>
      </c>
      <c r="N907" t="n">
        <v>0</v>
      </c>
      <c r="O907" t="n">
        <v>0</v>
      </c>
      <c r="P907" t="n">
        <v>0</v>
      </c>
      <c r="Q907" t="n">
        <v>0</v>
      </c>
      <c r="R907" s="2" t="inlineStr"/>
    </row>
    <row r="908" ht="15" customHeight="1">
      <c r="A908" t="inlineStr">
        <is>
          <t>A 21974-2025</t>
        </is>
      </c>
      <c r="B908" s="1" t="n">
        <v>45784.63689814815</v>
      </c>
      <c r="C908" s="1" t="n">
        <v>45880</v>
      </c>
      <c r="D908" t="inlineStr">
        <is>
          <t>VÄRMLANDS LÄN</t>
        </is>
      </c>
      <c r="E908" t="inlineStr">
        <is>
          <t>TORSBY</t>
        </is>
      </c>
      <c r="F908" t="inlineStr">
        <is>
          <t>Bergvik skog väst AB</t>
        </is>
      </c>
      <c r="G908" t="n">
        <v>6.9</v>
      </c>
      <c r="H908" t="n">
        <v>0</v>
      </c>
      <c r="I908" t="n">
        <v>0</v>
      </c>
      <c r="J908" t="n">
        <v>0</v>
      </c>
      <c r="K908" t="n">
        <v>0</v>
      </c>
      <c r="L908" t="n">
        <v>0</v>
      </c>
      <c r="M908" t="n">
        <v>0</v>
      </c>
      <c r="N908" t="n">
        <v>0</v>
      </c>
      <c r="O908" t="n">
        <v>0</v>
      </c>
      <c r="P908" t="n">
        <v>0</v>
      </c>
      <c r="Q908" t="n">
        <v>0</v>
      </c>
      <c r="R908" s="2" t="inlineStr"/>
    </row>
    <row r="909" ht="15" customHeight="1">
      <c r="A909" t="inlineStr">
        <is>
          <t>A 21963-2025</t>
        </is>
      </c>
      <c r="B909" s="1" t="n">
        <v>45784</v>
      </c>
      <c r="C909" s="1" t="n">
        <v>45880</v>
      </c>
      <c r="D909" t="inlineStr">
        <is>
          <t>VÄRMLANDS LÄN</t>
        </is>
      </c>
      <c r="E909" t="inlineStr">
        <is>
          <t>TORSBY</t>
        </is>
      </c>
      <c r="F909" t="inlineStr">
        <is>
          <t>Bergvik skog väst AB</t>
        </is>
      </c>
      <c r="G909" t="n">
        <v>12.3</v>
      </c>
      <c r="H909" t="n">
        <v>0</v>
      </c>
      <c r="I909" t="n">
        <v>0</v>
      </c>
      <c r="J909" t="n">
        <v>0</v>
      </c>
      <c r="K909" t="n">
        <v>0</v>
      </c>
      <c r="L909" t="n">
        <v>0</v>
      </c>
      <c r="M909" t="n">
        <v>0</v>
      </c>
      <c r="N909" t="n">
        <v>0</v>
      </c>
      <c r="O909" t="n">
        <v>0</v>
      </c>
      <c r="P909" t="n">
        <v>0</v>
      </c>
      <c r="Q909" t="n">
        <v>0</v>
      </c>
      <c r="R909" s="2" t="inlineStr"/>
    </row>
    <row r="910" ht="15" customHeight="1">
      <c r="A910" t="inlineStr">
        <is>
          <t>A 38541-2023</t>
        </is>
      </c>
      <c r="B910" s="1" t="n">
        <v>45162</v>
      </c>
      <c r="C910" s="1" t="n">
        <v>45880</v>
      </c>
      <c r="D910" t="inlineStr">
        <is>
          <t>VÄRMLANDS LÄN</t>
        </is>
      </c>
      <c r="E910" t="inlineStr">
        <is>
          <t>TORSBY</t>
        </is>
      </c>
      <c r="G910" t="n">
        <v>2</v>
      </c>
      <c r="H910" t="n">
        <v>0</v>
      </c>
      <c r="I910" t="n">
        <v>0</v>
      </c>
      <c r="J910" t="n">
        <v>0</v>
      </c>
      <c r="K910" t="n">
        <v>0</v>
      </c>
      <c r="L910" t="n">
        <v>0</v>
      </c>
      <c r="M910" t="n">
        <v>0</v>
      </c>
      <c r="N910" t="n">
        <v>0</v>
      </c>
      <c r="O910" t="n">
        <v>0</v>
      </c>
      <c r="P910" t="n">
        <v>0</v>
      </c>
      <c r="Q910" t="n">
        <v>0</v>
      </c>
      <c r="R910" s="2" t="inlineStr"/>
    </row>
    <row r="911" ht="15" customHeight="1">
      <c r="A911" t="inlineStr">
        <is>
          <t>A 40573-2024</t>
        </is>
      </c>
      <c r="B911" s="1" t="n">
        <v>45555.69518518518</v>
      </c>
      <c r="C911" s="1" t="n">
        <v>45880</v>
      </c>
      <c r="D911" t="inlineStr">
        <is>
          <t>VÄRMLANDS LÄN</t>
        </is>
      </c>
      <c r="E911" t="inlineStr">
        <is>
          <t>TORSBY</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67172-2021</t>
        </is>
      </c>
      <c r="B912" s="1" t="n">
        <v>44523.4271875</v>
      </c>
      <c r="C912" s="1" t="n">
        <v>45880</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21870-2025</t>
        </is>
      </c>
      <c r="B913" s="1" t="n">
        <v>45784.38145833334</v>
      </c>
      <c r="C913" s="1" t="n">
        <v>45880</v>
      </c>
      <c r="D913" t="inlineStr">
        <is>
          <t>VÄRMLANDS LÄN</t>
        </is>
      </c>
      <c r="E913" t="inlineStr">
        <is>
          <t>TORSBY</t>
        </is>
      </c>
      <c r="G913" t="n">
        <v>29.4</v>
      </c>
      <c r="H913" t="n">
        <v>0</v>
      </c>
      <c r="I913" t="n">
        <v>0</v>
      </c>
      <c r="J913" t="n">
        <v>0</v>
      </c>
      <c r="K913" t="n">
        <v>0</v>
      </c>
      <c r="L913" t="n">
        <v>0</v>
      </c>
      <c r="M913" t="n">
        <v>0</v>
      </c>
      <c r="N913" t="n">
        <v>0</v>
      </c>
      <c r="O913" t="n">
        <v>0</v>
      </c>
      <c r="P913" t="n">
        <v>0</v>
      </c>
      <c r="Q913" t="n">
        <v>0</v>
      </c>
      <c r="R913" s="2" t="inlineStr"/>
    </row>
    <row r="914" ht="15" customHeight="1">
      <c r="A914" t="inlineStr">
        <is>
          <t>A 52057-2024</t>
        </is>
      </c>
      <c r="B914" s="1" t="n">
        <v>45608</v>
      </c>
      <c r="C914" s="1" t="n">
        <v>45880</v>
      </c>
      <c r="D914" t="inlineStr">
        <is>
          <t>VÄRMLANDS LÄN</t>
        </is>
      </c>
      <c r="E914" t="inlineStr">
        <is>
          <t>TORSBY</t>
        </is>
      </c>
      <c r="G914" t="n">
        <v>3.6</v>
      </c>
      <c r="H914" t="n">
        <v>0</v>
      </c>
      <c r="I914" t="n">
        <v>0</v>
      </c>
      <c r="J914" t="n">
        <v>0</v>
      </c>
      <c r="K914" t="n">
        <v>0</v>
      </c>
      <c r="L914" t="n">
        <v>0</v>
      </c>
      <c r="M914" t="n">
        <v>0</v>
      </c>
      <c r="N914" t="n">
        <v>0</v>
      </c>
      <c r="O914" t="n">
        <v>0</v>
      </c>
      <c r="P914" t="n">
        <v>0</v>
      </c>
      <c r="Q914" t="n">
        <v>0</v>
      </c>
      <c r="R914" s="2" t="inlineStr"/>
    </row>
    <row r="915" ht="15" customHeight="1">
      <c r="A915" t="inlineStr">
        <is>
          <t>A 37238-2024</t>
        </is>
      </c>
      <c r="B915" s="1" t="n">
        <v>45540</v>
      </c>
      <c r="C915" s="1" t="n">
        <v>45880</v>
      </c>
      <c r="D915" t="inlineStr">
        <is>
          <t>VÄRMLANDS LÄN</t>
        </is>
      </c>
      <c r="E915" t="inlineStr">
        <is>
          <t>TORSBY</t>
        </is>
      </c>
      <c r="F915" t="inlineStr">
        <is>
          <t>Bergvik skog väst AB</t>
        </is>
      </c>
      <c r="G915" t="n">
        <v>11.9</v>
      </c>
      <c r="H915" t="n">
        <v>0</v>
      </c>
      <c r="I915" t="n">
        <v>0</v>
      </c>
      <c r="J915" t="n">
        <v>0</v>
      </c>
      <c r="K915" t="n">
        <v>0</v>
      </c>
      <c r="L915" t="n">
        <v>0</v>
      </c>
      <c r="M915" t="n">
        <v>0</v>
      </c>
      <c r="N915" t="n">
        <v>0</v>
      </c>
      <c r="O915" t="n">
        <v>0</v>
      </c>
      <c r="P915" t="n">
        <v>0</v>
      </c>
      <c r="Q915" t="n">
        <v>0</v>
      </c>
      <c r="R915" s="2" t="inlineStr"/>
    </row>
    <row r="916" ht="15" customHeight="1">
      <c r="A916" t="inlineStr">
        <is>
          <t>A 21808-2025</t>
        </is>
      </c>
      <c r="B916" s="1" t="n">
        <v>45783.70846064815</v>
      </c>
      <c r="C916" s="1" t="n">
        <v>45880</v>
      </c>
      <c r="D916" t="inlineStr">
        <is>
          <t>VÄRMLANDS LÄN</t>
        </is>
      </c>
      <c r="E916" t="inlineStr">
        <is>
          <t>TORSBY</t>
        </is>
      </c>
      <c r="G916" t="n">
        <v>0.6</v>
      </c>
      <c r="H916" t="n">
        <v>0</v>
      </c>
      <c r="I916" t="n">
        <v>0</v>
      </c>
      <c r="J916" t="n">
        <v>0</v>
      </c>
      <c r="K916" t="n">
        <v>0</v>
      </c>
      <c r="L916" t="n">
        <v>0</v>
      </c>
      <c r="M916" t="n">
        <v>0</v>
      </c>
      <c r="N916" t="n">
        <v>0</v>
      </c>
      <c r="O916" t="n">
        <v>0</v>
      </c>
      <c r="P916" t="n">
        <v>0</v>
      </c>
      <c r="Q916" t="n">
        <v>0</v>
      </c>
      <c r="R916" s="2" t="inlineStr"/>
    </row>
    <row r="917" ht="15" customHeight="1">
      <c r="A917" t="inlineStr">
        <is>
          <t>A 21758-2025</t>
        </is>
      </c>
      <c r="B917" s="1" t="n">
        <v>45783</v>
      </c>
      <c r="C917" s="1" t="n">
        <v>45880</v>
      </c>
      <c r="D917" t="inlineStr">
        <is>
          <t>VÄRMLANDS LÄN</t>
        </is>
      </c>
      <c r="E917" t="inlineStr">
        <is>
          <t>TORSBY</t>
        </is>
      </c>
      <c r="G917" t="n">
        <v>5.7</v>
      </c>
      <c r="H917" t="n">
        <v>0</v>
      </c>
      <c r="I917" t="n">
        <v>0</v>
      </c>
      <c r="J917" t="n">
        <v>0</v>
      </c>
      <c r="K917" t="n">
        <v>0</v>
      </c>
      <c r="L917" t="n">
        <v>0</v>
      </c>
      <c r="M917" t="n">
        <v>0</v>
      </c>
      <c r="N917" t="n">
        <v>0</v>
      </c>
      <c r="O917" t="n">
        <v>0</v>
      </c>
      <c r="P917" t="n">
        <v>0</v>
      </c>
      <c r="Q917" t="n">
        <v>0</v>
      </c>
      <c r="R917" s="2" t="inlineStr"/>
    </row>
    <row r="918" ht="15" customHeight="1">
      <c r="A918" t="inlineStr">
        <is>
          <t>A 1911-2022</t>
        </is>
      </c>
      <c r="B918" s="1" t="n">
        <v>44575</v>
      </c>
      <c r="C918" s="1" t="n">
        <v>45880</v>
      </c>
      <c r="D918" t="inlineStr">
        <is>
          <t>VÄRMLANDS LÄN</t>
        </is>
      </c>
      <c r="E918" t="inlineStr">
        <is>
          <t>TORSBY</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45880</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45587-2023</t>
        </is>
      </c>
      <c r="B920" s="1" t="n">
        <v>45194.62877314815</v>
      </c>
      <c r="C920" s="1" t="n">
        <v>45880</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56240-2024</t>
        </is>
      </c>
      <c r="B921" s="1" t="n">
        <v>45624.63012731481</v>
      </c>
      <c r="C921" s="1" t="n">
        <v>45880</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2387-2025</t>
        </is>
      </c>
      <c r="B922" s="1" t="n">
        <v>45674</v>
      </c>
      <c r="C922" s="1" t="n">
        <v>45880</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21576-2025</t>
        </is>
      </c>
      <c r="B923" s="1" t="n">
        <v>45782.86440972222</v>
      </c>
      <c r="C923" s="1" t="n">
        <v>45880</v>
      </c>
      <c r="D923" t="inlineStr">
        <is>
          <t>VÄRMLANDS LÄN</t>
        </is>
      </c>
      <c r="E923" t="inlineStr">
        <is>
          <t>TORSBY</t>
        </is>
      </c>
      <c r="G923" t="n">
        <v>3.5</v>
      </c>
      <c r="H923" t="n">
        <v>0</v>
      </c>
      <c r="I923" t="n">
        <v>0</v>
      </c>
      <c r="J923" t="n">
        <v>0</v>
      </c>
      <c r="K923" t="n">
        <v>0</v>
      </c>
      <c r="L923" t="n">
        <v>0</v>
      </c>
      <c r="M923" t="n">
        <v>0</v>
      </c>
      <c r="N923" t="n">
        <v>0</v>
      </c>
      <c r="O923" t="n">
        <v>0</v>
      </c>
      <c r="P923" t="n">
        <v>0</v>
      </c>
      <c r="Q923" t="n">
        <v>0</v>
      </c>
      <c r="R923" s="2" t="inlineStr"/>
    </row>
    <row r="924" ht="15" customHeight="1">
      <c r="A924" t="inlineStr">
        <is>
          <t>A 42834-2024</t>
        </is>
      </c>
      <c r="B924" s="1" t="n">
        <v>45566</v>
      </c>
      <c r="C924" s="1" t="n">
        <v>45880</v>
      </c>
      <c r="D924" t="inlineStr">
        <is>
          <t>VÄRMLANDS LÄN</t>
        </is>
      </c>
      <c r="E924" t="inlineStr">
        <is>
          <t>TORSBY</t>
        </is>
      </c>
      <c r="G924" t="n">
        <v>5.8</v>
      </c>
      <c r="H924" t="n">
        <v>0</v>
      </c>
      <c r="I924" t="n">
        <v>0</v>
      </c>
      <c r="J924" t="n">
        <v>0</v>
      </c>
      <c r="K924" t="n">
        <v>0</v>
      </c>
      <c r="L924" t="n">
        <v>0</v>
      </c>
      <c r="M924" t="n">
        <v>0</v>
      </c>
      <c r="N924" t="n">
        <v>0</v>
      </c>
      <c r="O924" t="n">
        <v>0</v>
      </c>
      <c r="P924" t="n">
        <v>0</v>
      </c>
      <c r="Q924" t="n">
        <v>0</v>
      </c>
      <c r="R924" s="2" t="inlineStr"/>
    </row>
    <row r="925" ht="15" customHeight="1">
      <c r="A925" t="inlineStr">
        <is>
          <t>A 21759-2025</t>
        </is>
      </c>
      <c r="B925" s="1" t="n">
        <v>45783</v>
      </c>
      <c r="C925" s="1" t="n">
        <v>45880</v>
      </c>
      <c r="D925" t="inlineStr">
        <is>
          <t>VÄRMLANDS LÄN</t>
        </is>
      </c>
      <c r="E925" t="inlineStr">
        <is>
          <t>TORSBY</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24004-2024</t>
        </is>
      </c>
      <c r="B926" s="1" t="n">
        <v>45456</v>
      </c>
      <c r="C926" s="1" t="n">
        <v>45880</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38062-2024</t>
        </is>
      </c>
      <c r="B927" s="1" t="n">
        <v>45544</v>
      </c>
      <c r="C927" s="1" t="n">
        <v>45880</v>
      </c>
      <c r="D927" t="inlineStr">
        <is>
          <t>VÄRMLANDS LÄN</t>
        </is>
      </c>
      <c r="E927" t="inlineStr">
        <is>
          <t>TORSBY</t>
        </is>
      </c>
      <c r="F927" t="inlineStr">
        <is>
          <t>Bergvik skog väst AB</t>
        </is>
      </c>
      <c r="G927" t="n">
        <v>7.9</v>
      </c>
      <c r="H927" t="n">
        <v>0</v>
      </c>
      <c r="I927" t="n">
        <v>0</v>
      </c>
      <c r="J927" t="n">
        <v>0</v>
      </c>
      <c r="K927" t="n">
        <v>0</v>
      </c>
      <c r="L927" t="n">
        <v>0</v>
      </c>
      <c r="M927" t="n">
        <v>0</v>
      </c>
      <c r="N927" t="n">
        <v>0</v>
      </c>
      <c r="O927" t="n">
        <v>0</v>
      </c>
      <c r="P927" t="n">
        <v>0</v>
      </c>
      <c r="Q927" t="n">
        <v>0</v>
      </c>
      <c r="R927" s="2" t="inlineStr"/>
    </row>
    <row r="928" ht="15" customHeight="1">
      <c r="A928" t="inlineStr">
        <is>
          <t>A 45227-2024</t>
        </is>
      </c>
      <c r="B928" s="1" t="n">
        <v>45575.81005787037</v>
      </c>
      <c r="C928" s="1" t="n">
        <v>45880</v>
      </c>
      <c r="D928" t="inlineStr">
        <is>
          <t>VÄRMLANDS LÄN</t>
        </is>
      </c>
      <c r="E928" t="inlineStr">
        <is>
          <t>TORSBY</t>
        </is>
      </c>
      <c r="G928" t="n">
        <v>12.9</v>
      </c>
      <c r="H928" t="n">
        <v>0</v>
      </c>
      <c r="I928" t="n">
        <v>0</v>
      </c>
      <c r="J928" t="n">
        <v>0</v>
      </c>
      <c r="K928" t="n">
        <v>0</v>
      </c>
      <c r="L928" t="n">
        <v>0</v>
      </c>
      <c r="M928" t="n">
        <v>0</v>
      </c>
      <c r="N928" t="n">
        <v>0</v>
      </c>
      <c r="O928" t="n">
        <v>0</v>
      </c>
      <c r="P928" t="n">
        <v>0</v>
      </c>
      <c r="Q928" t="n">
        <v>0</v>
      </c>
      <c r="R928" s="2" t="inlineStr"/>
    </row>
    <row r="929" ht="15" customHeight="1">
      <c r="A929" t="inlineStr">
        <is>
          <t>A 56430-2024</t>
        </is>
      </c>
      <c r="B929" s="1" t="n">
        <v>45625</v>
      </c>
      <c r="C929" s="1" t="n">
        <v>45880</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33088-2024</t>
        </is>
      </c>
      <c r="B930" s="1" t="n">
        <v>45517</v>
      </c>
      <c r="C930" s="1" t="n">
        <v>45880</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22269-2025</t>
        </is>
      </c>
      <c r="B931" s="1" t="n">
        <v>45785</v>
      </c>
      <c r="C931" s="1" t="n">
        <v>45880</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22331-2025</t>
        </is>
      </c>
      <c r="B932" s="1" t="n">
        <v>45786</v>
      </c>
      <c r="C932" s="1" t="n">
        <v>45880</v>
      </c>
      <c r="D932" t="inlineStr">
        <is>
          <t>VÄRMLANDS LÄN</t>
        </is>
      </c>
      <c r="E932" t="inlineStr">
        <is>
          <t>TORSBY</t>
        </is>
      </c>
      <c r="F932" t="inlineStr">
        <is>
          <t>Bergvik skog väst AB</t>
        </is>
      </c>
      <c r="G932" t="n">
        <v>13.5</v>
      </c>
      <c r="H932" t="n">
        <v>0</v>
      </c>
      <c r="I932" t="n">
        <v>0</v>
      </c>
      <c r="J932" t="n">
        <v>0</v>
      </c>
      <c r="K932" t="n">
        <v>0</v>
      </c>
      <c r="L932" t="n">
        <v>0</v>
      </c>
      <c r="M932" t="n">
        <v>0</v>
      </c>
      <c r="N932" t="n">
        <v>0</v>
      </c>
      <c r="O932" t="n">
        <v>0</v>
      </c>
      <c r="P932" t="n">
        <v>0</v>
      </c>
      <c r="Q932" t="n">
        <v>0</v>
      </c>
      <c r="R932" s="2" t="inlineStr"/>
    </row>
    <row r="933" ht="15" customHeight="1">
      <c r="A933" t="inlineStr">
        <is>
          <t>A 21744-2024</t>
        </is>
      </c>
      <c r="B933" s="1" t="n">
        <v>45442</v>
      </c>
      <c r="C933" s="1" t="n">
        <v>45880</v>
      </c>
      <c r="D933" t="inlineStr">
        <is>
          <t>VÄRMLANDS LÄN</t>
        </is>
      </c>
      <c r="E933" t="inlineStr">
        <is>
          <t>TORSBY</t>
        </is>
      </c>
      <c r="G933" t="n">
        <v>3.3</v>
      </c>
      <c r="H933" t="n">
        <v>0</v>
      </c>
      <c r="I933" t="n">
        <v>0</v>
      </c>
      <c r="J933" t="n">
        <v>0</v>
      </c>
      <c r="K933" t="n">
        <v>0</v>
      </c>
      <c r="L933" t="n">
        <v>0</v>
      </c>
      <c r="M933" t="n">
        <v>0</v>
      </c>
      <c r="N933" t="n">
        <v>0</v>
      </c>
      <c r="O933" t="n">
        <v>0</v>
      </c>
      <c r="P933" t="n">
        <v>0</v>
      </c>
      <c r="Q933" t="n">
        <v>0</v>
      </c>
      <c r="R933" s="2" t="inlineStr"/>
    </row>
    <row r="934" ht="15" customHeight="1">
      <c r="A934" t="inlineStr">
        <is>
          <t>A 73874-2021</t>
        </is>
      </c>
      <c r="B934" s="1" t="n">
        <v>44553.39755787037</v>
      </c>
      <c r="C934" s="1" t="n">
        <v>45880</v>
      </c>
      <c r="D934" t="inlineStr">
        <is>
          <t>VÄRMLANDS LÄN</t>
        </is>
      </c>
      <c r="E934" t="inlineStr">
        <is>
          <t>TORSBY</t>
        </is>
      </c>
      <c r="G934" t="n">
        <v>6.6</v>
      </c>
      <c r="H934" t="n">
        <v>0</v>
      </c>
      <c r="I934" t="n">
        <v>0</v>
      </c>
      <c r="J934" t="n">
        <v>0</v>
      </c>
      <c r="K934" t="n">
        <v>0</v>
      </c>
      <c r="L934" t="n">
        <v>0</v>
      </c>
      <c r="M934" t="n">
        <v>0</v>
      </c>
      <c r="N934" t="n">
        <v>0</v>
      </c>
      <c r="O934" t="n">
        <v>0</v>
      </c>
      <c r="P934" t="n">
        <v>0</v>
      </c>
      <c r="Q934" t="n">
        <v>0</v>
      </c>
      <c r="R934" s="2" t="inlineStr"/>
    </row>
    <row r="935" ht="15" customHeight="1">
      <c r="A935" t="inlineStr">
        <is>
          <t>A 10888-2023</t>
        </is>
      </c>
      <c r="B935" s="1" t="n">
        <v>44985</v>
      </c>
      <c r="C935" s="1" t="n">
        <v>45880</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28035-2024</t>
        </is>
      </c>
      <c r="B936" s="1" t="n">
        <v>45476</v>
      </c>
      <c r="C936" s="1" t="n">
        <v>45880</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44448-2024</t>
        </is>
      </c>
      <c r="B937" s="1" t="n">
        <v>45574</v>
      </c>
      <c r="C937" s="1" t="n">
        <v>45880</v>
      </c>
      <c r="D937" t="inlineStr">
        <is>
          <t>VÄRMLANDS LÄN</t>
        </is>
      </c>
      <c r="E937" t="inlineStr">
        <is>
          <t>TORSBY</t>
        </is>
      </c>
      <c r="G937" t="n">
        <v>8.9</v>
      </c>
      <c r="H937" t="n">
        <v>0</v>
      </c>
      <c r="I937" t="n">
        <v>0</v>
      </c>
      <c r="J937" t="n">
        <v>0</v>
      </c>
      <c r="K937" t="n">
        <v>0</v>
      </c>
      <c r="L937" t="n">
        <v>0</v>
      </c>
      <c r="M937" t="n">
        <v>0</v>
      </c>
      <c r="N937" t="n">
        <v>0</v>
      </c>
      <c r="O937" t="n">
        <v>0</v>
      </c>
      <c r="P937" t="n">
        <v>0</v>
      </c>
      <c r="Q937" t="n">
        <v>0</v>
      </c>
      <c r="R937" s="2" t="inlineStr"/>
    </row>
    <row r="938" ht="15" customHeight="1">
      <c r="A938" t="inlineStr">
        <is>
          <t>A 36917-2024</t>
        </is>
      </c>
      <c r="B938" s="1" t="n">
        <v>45538.65065972223</v>
      </c>
      <c r="C938" s="1" t="n">
        <v>45880</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36922-2024</t>
        </is>
      </c>
      <c r="B939" s="1" t="n">
        <v>45538</v>
      </c>
      <c r="C939" s="1" t="n">
        <v>45880</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3841-2022</t>
        </is>
      </c>
      <c r="B940" s="1" t="n">
        <v>44587</v>
      </c>
      <c r="C940" s="1" t="n">
        <v>45880</v>
      </c>
      <c r="D940" t="inlineStr">
        <is>
          <t>VÄRMLANDS LÄN</t>
        </is>
      </c>
      <c r="E940" t="inlineStr">
        <is>
          <t>TORSBY</t>
        </is>
      </c>
      <c r="G940" t="n">
        <v>6.4</v>
      </c>
      <c r="H940" t="n">
        <v>0</v>
      </c>
      <c r="I940" t="n">
        <v>0</v>
      </c>
      <c r="J940" t="n">
        <v>0</v>
      </c>
      <c r="K940" t="n">
        <v>0</v>
      </c>
      <c r="L940" t="n">
        <v>0</v>
      </c>
      <c r="M940" t="n">
        <v>0</v>
      </c>
      <c r="N940" t="n">
        <v>0</v>
      </c>
      <c r="O940" t="n">
        <v>0</v>
      </c>
      <c r="P940" t="n">
        <v>0</v>
      </c>
      <c r="Q940" t="n">
        <v>0</v>
      </c>
      <c r="R940" s="2" t="inlineStr"/>
    </row>
    <row r="941" ht="15" customHeight="1">
      <c r="A941" t="inlineStr">
        <is>
          <t>A 50973-2023</t>
        </is>
      </c>
      <c r="B941" s="1" t="n">
        <v>45218.50408564815</v>
      </c>
      <c r="C941" s="1" t="n">
        <v>45880</v>
      </c>
      <c r="D941" t="inlineStr">
        <is>
          <t>VÄRMLANDS LÄN</t>
        </is>
      </c>
      <c r="E941" t="inlineStr">
        <is>
          <t>TORSBY</t>
        </is>
      </c>
      <c r="G941" t="n">
        <v>10.7</v>
      </c>
      <c r="H941" t="n">
        <v>0</v>
      </c>
      <c r="I941" t="n">
        <v>0</v>
      </c>
      <c r="J941" t="n">
        <v>0</v>
      </c>
      <c r="K941" t="n">
        <v>0</v>
      </c>
      <c r="L941" t="n">
        <v>0</v>
      </c>
      <c r="M941" t="n">
        <v>0</v>
      </c>
      <c r="N941" t="n">
        <v>0</v>
      </c>
      <c r="O941" t="n">
        <v>0</v>
      </c>
      <c r="P941" t="n">
        <v>0</v>
      </c>
      <c r="Q941" t="n">
        <v>0</v>
      </c>
      <c r="R941" s="2" t="inlineStr"/>
    </row>
    <row r="942" ht="15" customHeight="1">
      <c r="A942" t="inlineStr">
        <is>
          <t>A 54060-2020</t>
        </is>
      </c>
      <c r="B942" s="1" t="n">
        <v>44125</v>
      </c>
      <c r="C942" s="1" t="n">
        <v>45880</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47355-2023</t>
        </is>
      </c>
      <c r="B943" s="1" t="n">
        <v>45202</v>
      </c>
      <c r="C943" s="1" t="n">
        <v>45880</v>
      </c>
      <c r="D943" t="inlineStr">
        <is>
          <t>VÄRMLANDS LÄN</t>
        </is>
      </c>
      <c r="E943" t="inlineStr">
        <is>
          <t>TORSBY</t>
        </is>
      </c>
      <c r="G943" t="n">
        <v>3.5</v>
      </c>
      <c r="H943" t="n">
        <v>0</v>
      </c>
      <c r="I943" t="n">
        <v>0</v>
      </c>
      <c r="J943" t="n">
        <v>0</v>
      </c>
      <c r="K943" t="n">
        <v>0</v>
      </c>
      <c r="L943" t="n">
        <v>0</v>
      </c>
      <c r="M943" t="n">
        <v>0</v>
      </c>
      <c r="N943" t="n">
        <v>0</v>
      </c>
      <c r="O943" t="n">
        <v>0</v>
      </c>
      <c r="P943" t="n">
        <v>0</v>
      </c>
      <c r="Q943" t="n">
        <v>0</v>
      </c>
      <c r="R943" s="2" t="inlineStr"/>
    </row>
    <row r="944" ht="15" customHeight="1">
      <c r="A944" t="inlineStr">
        <is>
          <t>A 60537-2024</t>
        </is>
      </c>
      <c r="B944" s="1" t="n">
        <v>45643.77138888889</v>
      </c>
      <c r="C944" s="1" t="n">
        <v>45880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15773-2023</t>
        </is>
      </c>
      <c r="B945" s="1" t="n">
        <v>45021</v>
      </c>
      <c r="C945" s="1" t="n">
        <v>45880</v>
      </c>
      <c r="D945" t="inlineStr">
        <is>
          <t>VÄRMLANDS LÄN</t>
        </is>
      </c>
      <c r="E945" t="inlineStr">
        <is>
          <t>TORSBY</t>
        </is>
      </c>
      <c r="G945" t="n">
        <v>2.5</v>
      </c>
      <c r="H945" t="n">
        <v>0</v>
      </c>
      <c r="I945" t="n">
        <v>0</v>
      </c>
      <c r="J945" t="n">
        <v>0</v>
      </c>
      <c r="K945" t="n">
        <v>0</v>
      </c>
      <c r="L945" t="n">
        <v>0</v>
      </c>
      <c r="M945" t="n">
        <v>0</v>
      </c>
      <c r="N945" t="n">
        <v>0</v>
      </c>
      <c r="O945" t="n">
        <v>0</v>
      </c>
      <c r="P945" t="n">
        <v>0</v>
      </c>
      <c r="Q945" t="n">
        <v>0</v>
      </c>
      <c r="R945" s="2" t="inlineStr"/>
    </row>
    <row r="946" ht="15" customHeight="1">
      <c r="A946" t="inlineStr">
        <is>
          <t>A 19031-2021</t>
        </is>
      </c>
      <c r="B946" s="1" t="n">
        <v>44308.51076388889</v>
      </c>
      <c r="C946" s="1" t="n">
        <v>45880</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57393-2022</t>
        </is>
      </c>
      <c r="B947" s="1" t="n">
        <v>44896.47630787037</v>
      </c>
      <c r="C947" s="1" t="n">
        <v>45880</v>
      </c>
      <c r="D947" t="inlineStr">
        <is>
          <t>VÄRMLANDS LÄN</t>
        </is>
      </c>
      <c r="E947" t="inlineStr">
        <is>
          <t>TORSBY</t>
        </is>
      </c>
      <c r="G947" t="n">
        <v>5</v>
      </c>
      <c r="H947" t="n">
        <v>0</v>
      </c>
      <c r="I947" t="n">
        <v>0</v>
      </c>
      <c r="J947" t="n">
        <v>0</v>
      </c>
      <c r="K947" t="n">
        <v>0</v>
      </c>
      <c r="L947" t="n">
        <v>0</v>
      </c>
      <c r="M947" t="n">
        <v>0</v>
      </c>
      <c r="N947" t="n">
        <v>0</v>
      </c>
      <c r="O947" t="n">
        <v>0</v>
      </c>
      <c r="P947" t="n">
        <v>0</v>
      </c>
      <c r="Q947" t="n">
        <v>0</v>
      </c>
      <c r="R947" s="2" t="inlineStr"/>
    </row>
    <row r="948" ht="15" customHeight="1">
      <c r="A948" t="inlineStr">
        <is>
          <t>A 63032-2023</t>
        </is>
      </c>
      <c r="B948" s="1" t="n">
        <v>45272.72728009259</v>
      </c>
      <c r="C948" s="1" t="n">
        <v>45880</v>
      </c>
      <c r="D948" t="inlineStr">
        <is>
          <t>VÄRMLANDS LÄN</t>
        </is>
      </c>
      <c r="E948" t="inlineStr">
        <is>
          <t>TORSBY</t>
        </is>
      </c>
      <c r="G948" t="n">
        <v>2.8</v>
      </c>
      <c r="H948" t="n">
        <v>0</v>
      </c>
      <c r="I948" t="n">
        <v>0</v>
      </c>
      <c r="J948" t="n">
        <v>0</v>
      </c>
      <c r="K948" t="n">
        <v>0</v>
      </c>
      <c r="L948" t="n">
        <v>0</v>
      </c>
      <c r="M948" t="n">
        <v>0</v>
      </c>
      <c r="N948" t="n">
        <v>0</v>
      </c>
      <c r="O948" t="n">
        <v>0</v>
      </c>
      <c r="P948" t="n">
        <v>0</v>
      </c>
      <c r="Q948" t="n">
        <v>0</v>
      </c>
      <c r="R948" s="2" t="inlineStr"/>
    </row>
    <row r="949" ht="15" customHeight="1">
      <c r="A949" t="inlineStr">
        <is>
          <t>A 60533-2020</t>
        </is>
      </c>
      <c r="B949" s="1" t="n">
        <v>44153</v>
      </c>
      <c r="C949" s="1" t="n">
        <v>45880</v>
      </c>
      <c r="D949" t="inlineStr">
        <is>
          <t>VÄRMLANDS LÄN</t>
        </is>
      </c>
      <c r="E949" t="inlineStr">
        <is>
          <t>TORSBY</t>
        </is>
      </c>
      <c r="G949" t="n">
        <v>1.6</v>
      </c>
      <c r="H949" t="n">
        <v>0</v>
      </c>
      <c r="I949" t="n">
        <v>0</v>
      </c>
      <c r="J949" t="n">
        <v>0</v>
      </c>
      <c r="K949" t="n">
        <v>0</v>
      </c>
      <c r="L949" t="n">
        <v>0</v>
      </c>
      <c r="M949" t="n">
        <v>0</v>
      </c>
      <c r="N949" t="n">
        <v>0</v>
      </c>
      <c r="O949" t="n">
        <v>0</v>
      </c>
      <c r="P949" t="n">
        <v>0</v>
      </c>
      <c r="Q949" t="n">
        <v>0</v>
      </c>
      <c r="R949" s="2" t="inlineStr"/>
    </row>
    <row r="950" ht="15" customHeight="1">
      <c r="A950" t="inlineStr">
        <is>
          <t>A 58951-2022</t>
        </is>
      </c>
      <c r="B950" s="1" t="n">
        <v>44903.65313657407</v>
      </c>
      <c r="C950" s="1" t="n">
        <v>45880</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33499-2024</t>
        </is>
      </c>
      <c r="B951" s="1" t="n">
        <v>45519.62280092593</v>
      </c>
      <c r="C951" s="1" t="n">
        <v>45880</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13791-2023</t>
        </is>
      </c>
      <c r="B952" s="1" t="n">
        <v>45005</v>
      </c>
      <c r="C952" s="1" t="n">
        <v>45880</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2662-2024</t>
        </is>
      </c>
      <c r="B953" s="1" t="n">
        <v>45314.38747685185</v>
      </c>
      <c r="C953" s="1" t="n">
        <v>45880</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33656-2023</t>
        </is>
      </c>
      <c r="B954" s="1" t="n">
        <v>45132.57922453704</v>
      </c>
      <c r="C954" s="1" t="n">
        <v>45880</v>
      </c>
      <c r="D954" t="inlineStr">
        <is>
          <t>VÄRMLANDS LÄN</t>
        </is>
      </c>
      <c r="E954" t="inlineStr">
        <is>
          <t>TORSBY</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40157-2024</t>
        </is>
      </c>
      <c r="B955" s="1" t="n">
        <v>45554</v>
      </c>
      <c r="C955" s="1" t="n">
        <v>45880</v>
      </c>
      <c r="D955" t="inlineStr">
        <is>
          <t>VÄRMLANDS LÄN</t>
        </is>
      </c>
      <c r="E955" t="inlineStr">
        <is>
          <t>TORSBY</t>
        </is>
      </c>
      <c r="F955" t="inlineStr">
        <is>
          <t>Bergvik skog väst AB</t>
        </is>
      </c>
      <c r="G955" t="n">
        <v>1.4</v>
      </c>
      <c r="H955" t="n">
        <v>0</v>
      </c>
      <c r="I955" t="n">
        <v>0</v>
      </c>
      <c r="J955" t="n">
        <v>0</v>
      </c>
      <c r="K955" t="n">
        <v>0</v>
      </c>
      <c r="L955" t="n">
        <v>0</v>
      </c>
      <c r="M955" t="n">
        <v>0</v>
      </c>
      <c r="N955" t="n">
        <v>0</v>
      </c>
      <c r="O955" t="n">
        <v>0</v>
      </c>
      <c r="P955" t="n">
        <v>0</v>
      </c>
      <c r="Q955" t="n">
        <v>0</v>
      </c>
      <c r="R955" s="2" t="inlineStr"/>
    </row>
    <row r="956" ht="15" customHeight="1">
      <c r="A956" t="inlineStr">
        <is>
          <t>A 40227-2024</t>
        </is>
      </c>
      <c r="B956" s="1" t="n">
        <v>45554</v>
      </c>
      <c r="C956" s="1" t="n">
        <v>45880</v>
      </c>
      <c r="D956" t="inlineStr">
        <is>
          <t>VÄRMLANDS LÄN</t>
        </is>
      </c>
      <c r="E956" t="inlineStr">
        <is>
          <t>TORSBY</t>
        </is>
      </c>
      <c r="F956" t="inlineStr">
        <is>
          <t>Bergvik skog väst AB</t>
        </is>
      </c>
      <c r="G956" t="n">
        <v>4.8</v>
      </c>
      <c r="H956" t="n">
        <v>0</v>
      </c>
      <c r="I956" t="n">
        <v>0</v>
      </c>
      <c r="J956" t="n">
        <v>0</v>
      </c>
      <c r="K956" t="n">
        <v>0</v>
      </c>
      <c r="L956" t="n">
        <v>0</v>
      </c>
      <c r="M956" t="n">
        <v>0</v>
      </c>
      <c r="N956" t="n">
        <v>0</v>
      </c>
      <c r="O956" t="n">
        <v>0</v>
      </c>
      <c r="P956" t="n">
        <v>0</v>
      </c>
      <c r="Q956" t="n">
        <v>0</v>
      </c>
      <c r="R956" s="2" t="inlineStr"/>
    </row>
    <row r="957" ht="15" customHeight="1">
      <c r="A957" t="inlineStr">
        <is>
          <t>A 1120-2023</t>
        </is>
      </c>
      <c r="B957" s="1" t="n">
        <v>44935</v>
      </c>
      <c r="C957" s="1" t="n">
        <v>45880</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27195-2023</t>
        </is>
      </c>
      <c r="B958" s="1" t="n">
        <v>45096</v>
      </c>
      <c r="C958" s="1" t="n">
        <v>45880</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21757-2024</t>
        </is>
      </c>
      <c r="B959" s="1" t="n">
        <v>45442</v>
      </c>
      <c r="C959" s="1" t="n">
        <v>45880</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42428-2024</t>
        </is>
      </c>
      <c r="B960" s="1" t="n">
        <v>45565</v>
      </c>
      <c r="C960" s="1" t="n">
        <v>45880</v>
      </c>
      <c r="D960" t="inlineStr">
        <is>
          <t>VÄRMLANDS LÄN</t>
        </is>
      </c>
      <c r="E960" t="inlineStr">
        <is>
          <t>TORSBY</t>
        </is>
      </c>
      <c r="F960" t="inlineStr">
        <is>
          <t>Bergvik skog väst AB</t>
        </is>
      </c>
      <c r="G960" t="n">
        <v>20.7</v>
      </c>
      <c r="H960" t="n">
        <v>0</v>
      </c>
      <c r="I960" t="n">
        <v>0</v>
      </c>
      <c r="J960" t="n">
        <v>0</v>
      </c>
      <c r="K960" t="n">
        <v>0</v>
      </c>
      <c r="L960" t="n">
        <v>0</v>
      </c>
      <c r="M960" t="n">
        <v>0</v>
      </c>
      <c r="N960" t="n">
        <v>0</v>
      </c>
      <c r="O960" t="n">
        <v>0</v>
      </c>
      <c r="P960" t="n">
        <v>0</v>
      </c>
      <c r="Q960" t="n">
        <v>0</v>
      </c>
      <c r="R960" s="2" t="inlineStr"/>
    </row>
    <row r="961" ht="15" customHeight="1">
      <c r="A961" t="inlineStr">
        <is>
          <t>A 30110-2023</t>
        </is>
      </c>
      <c r="B961" s="1" t="n">
        <v>45110</v>
      </c>
      <c r="C961" s="1" t="n">
        <v>45880</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22278-2025</t>
        </is>
      </c>
      <c r="B962" s="1" t="n">
        <v>45786.33332175926</v>
      </c>
      <c r="C962" s="1" t="n">
        <v>45880</v>
      </c>
      <c r="D962" t="inlineStr">
        <is>
          <t>VÄRMLANDS LÄN</t>
        </is>
      </c>
      <c r="E962" t="inlineStr">
        <is>
          <t>TORSBY</t>
        </is>
      </c>
      <c r="F962" t="inlineStr">
        <is>
          <t>Bergvik skog väst AB</t>
        </is>
      </c>
      <c r="G962" t="n">
        <v>6.9</v>
      </c>
      <c r="H962" t="n">
        <v>0</v>
      </c>
      <c r="I962" t="n">
        <v>0</v>
      </c>
      <c r="J962" t="n">
        <v>0</v>
      </c>
      <c r="K962" t="n">
        <v>0</v>
      </c>
      <c r="L962" t="n">
        <v>0</v>
      </c>
      <c r="M962" t="n">
        <v>0</v>
      </c>
      <c r="N962" t="n">
        <v>0</v>
      </c>
      <c r="O962" t="n">
        <v>0</v>
      </c>
      <c r="P962" t="n">
        <v>0</v>
      </c>
      <c r="Q962" t="n">
        <v>0</v>
      </c>
      <c r="R962" s="2" t="inlineStr"/>
    </row>
    <row r="963" ht="15" customHeight="1">
      <c r="A963" t="inlineStr">
        <is>
          <t>A 26166-2024</t>
        </is>
      </c>
      <c r="B963" s="1" t="n">
        <v>45468.55357638889</v>
      </c>
      <c r="C963" s="1" t="n">
        <v>45880</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22320-2025</t>
        </is>
      </c>
      <c r="B964" s="1" t="n">
        <v>45786.40542824074</v>
      </c>
      <c r="C964" s="1" t="n">
        <v>45880</v>
      </c>
      <c r="D964" t="inlineStr">
        <is>
          <t>VÄRMLANDS LÄN</t>
        </is>
      </c>
      <c r="E964" t="inlineStr">
        <is>
          <t>TORSBY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22339-2025</t>
        </is>
      </c>
      <c r="B965" s="1" t="n">
        <v>45786</v>
      </c>
      <c r="C965" s="1" t="n">
        <v>45880</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27588-2024</t>
        </is>
      </c>
      <c r="B966" s="1" t="n">
        <v>45474</v>
      </c>
      <c r="C966" s="1" t="n">
        <v>45880</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43037-2024</t>
        </is>
      </c>
      <c r="B967" s="1" t="n">
        <v>45567</v>
      </c>
      <c r="C967" s="1" t="n">
        <v>45880</v>
      </c>
      <c r="D967" t="inlineStr">
        <is>
          <t>VÄRMLANDS LÄN</t>
        </is>
      </c>
      <c r="E967" t="inlineStr">
        <is>
          <t>TORSBY</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52689-2024</t>
        </is>
      </c>
      <c r="B968" s="1" t="n">
        <v>45610.39621527777</v>
      </c>
      <c r="C968" s="1" t="n">
        <v>45880</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24639-2023</t>
        </is>
      </c>
      <c r="B969" s="1" t="n">
        <v>45084</v>
      </c>
      <c r="C969" s="1" t="n">
        <v>45880</v>
      </c>
      <c r="D969" t="inlineStr">
        <is>
          <t>VÄRMLANDS LÄN</t>
        </is>
      </c>
      <c r="E969" t="inlineStr">
        <is>
          <t>TORSBY</t>
        </is>
      </c>
      <c r="G969" t="n">
        <v>0.6</v>
      </c>
      <c r="H969" t="n">
        <v>0</v>
      </c>
      <c r="I969" t="n">
        <v>0</v>
      </c>
      <c r="J969" t="n">
        <v>0</v>
      </c>
      <c r="K969" t="n">
        <v>0</v>
      </c>
      <c r="L969" t="n">
        <v>0</v>
      </c>
      <c r="M969" t="n">
        <v>0</v>
      </c>
      <c r="N969" t="n">
        <v>0</v>
      </c>
      <c r="O969" t="n">
        <v>0</v>
      </c>
      <c r="P969" t="n">
        <v>0</v>
      </c>
      <c r="Q969" t="n">
        <v>0</v>
      </c>
      <c r="R969" s="2" t="inlineStr"/>
    </row>
    <row r="970" ht="15" customHeight="1">
      <c r="A970" t="inlineStr">
        <is>
          <t>A 2981-2025</t>
        </is>
      </c>
      <c r="B970" s="1" t="n">
        <v>45678.48844907407</v>
      </c>
      <c r="C970" s="1" t="n">
        <v>45880</v>
      </c>
      <c r="D970" t="inlineStr">
        <is>
          <t>VÄRMLANDS LÄN</t>
        </is>
      </c>
      <c r="E970" t="inlineStr">
        <is>
          <t>TORSBY</t>
        </is>
      </c>
      <c r="G970" t="n">
        <v>4.7</v>
      </c>
      <c r="H970" t="n">
        <v>0</v>
      </c>
      <c r="I970" t="n">
        <v>0</v>
      </c>
      <c r="J970" t="n">
        <v>0</v>
      </c>
      <c r="K970" t="n">
        <v>0</v>
      </c>
      <c r="L970" t="n">
        <v>0</v>
      </c>
      <c r="M970" t="n">
        <v>0</v>
      </c>
      <c r="N970" t="n">
        <v>0</v>
      </c>
      <c r="O970" t="n">
        <v>0</v>
      </c>
      <c r="P970" t="n">
        <v>0</v>
      </c>
      <c r="Q970" t="n">
        <v>0</v>
      </c>
      <c r="R970" s="2" t="inlineStr"/>
    </row>
    <row r="971" ht="15" customHeight="1">
      <c r="A971" t="inlineStr">
        <is>
          <t>A 40987-2024</t>
        </is>
      </c>
      <c r="B971" s="1" t="n">
        <v>45558</v>
      </c>
      <c r="C971" s="1" t="n">
        <v>45880</v>
      </c>
      <c r="D971" t="inlineStr">
        <is>
          <t>VÄRMLANDS LÄN</t>
        </is>
      </c>
      <c r="E971" t="inlineStr">
        <is>
          <t>TORSBY</t>
        </is>
      </c>
      <c r="G971" t="n">
        <v>11.6</v>
      </c>
      <c r="H971" t="n">
        <v>0</v>
      </c>
      <c r="I971" t="n">
        <v>0</v>
      </c>
      <c r="J971" t="n">
        <v>0</v>
      </c>
      <c r="K971" t="n">
        <v>0</v>
      </c>
      <c r="L971" t="n">
        <v>0</v>
      </c>
      <c r="M971" t="n">
        <v>0</v>
      </c>
      <c r="N971" t="n">
        <v>0</v>
      </c>
      <c r="O971" t="n">
        <v>0</v>
      </c>
      <c r="P971" t="n">
        <v>0</v>
      </c>
      <c r="Q971" t="n">
        <v>0</v>
      </c>
      <c r="R971" s="2" t="inlineStr"/>
    </row>
    <row r="972" ht="15" customHeight="1">
      <c r="A972" t="inlineStr">
        <is>
          <t>A 40807-2024</t>
        </is>
      </c>
      <c r="B972" s="1" t="n">
        <v>45558</v>
      </c>
      <c r="C972" s="1" t="n">
        <v>45880</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20170-2021</t>
        </is>
      </c>
      <c r="B973" s="1" t="n">
        <v>44312</v>
      </c>
      <c r="C973" s="1" t="n">
        <v>45880</v>
      </c>
      <c r="D973" t="inlineStr">
        <is>
          <t>VÄRMLANDS LÄN</t>
        </is>
      </c>
      <c r="E973" t="inlineStr">
        <is>
          <t>TORSBY</t>
        </is>
      </c>
      <c r="G973" t="n">
        <v>1.6</v>
      </c>
      <c r="H973" t="n">
        <v>0</v>
      </c>
      <c r="I973" t="n">
        <v>0</v>
      </c>
      <c r="J973" t="n">
        <v>0</v>
      </c>
      <c r="K973" t="n">
        <v>0</v>
      </c>
      <c r="L973" t="n">
        <v>0</v>
      </c>
      <c r="M973" t="n">
        <v>0</v>
      </c>
      <c r="N973" t="n">
        <v>0</v>
      </c>
      <c r="O973" t="n">
        <v>0</v>
      </c>
      <c r="P973" t="n">
        <v>0</v>
      </c>
      <c r="Q973" t="n">
        <v>0</v>
      </c>
      <c r="R973" s="2" t="inlineStr"/>
    </row>
    <row r="974" ht="15" customHeight="1">
      <c r="A974" t="inlineStr">
        <is>
          <t>A 15464-2025</t>
        </is>
      </c>
      <c r="B974" s="1" t="n">
        <v>45747</v>
      </c>
      <c r="C974" s="1" t="n">
        <v>45880</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15564-2025</t>
        </is>
      </c>
      <c r="B975" s="1" t="n">
        <v>45747.70501157407</v>
      </c>
      <c r="C975" s="1" t="n">
        <v>45880</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24995-2024</t>
        </is>
      </c>
      <c r="B976" s="1" t="n">
        <v>45461</v>
      </c>
      <c r="C976" s="1" t="n">
        <v>45880</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423-2024</t>
        </is>
      </c>
      <c r="B977" s="1" t="n">
        <v>45296.53034722222</v>
      </c>
      <c r="C977" s="1" t="n">
        <v>45880</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11395-2025</t>
        </is>
      </c>
      <c r="B978" s="1" t="n">
        <v>45726.5728125</v>
      </c>
      <c r="C978" s="1" t="n">
        <v>45880</v>
      </c>
      <c r="D978" t="inlineStr">
        <is>
          <t>VÄRMLANDS LÄN</t>
        </is>
      </c>
      <c r="E978" t="inlineStr">
        <is>
          <t>TORSBY</t>
        </is>
      </c>
      <c r="G978" t="n">
        <v>25.3</v>
      </c>
      <c r="H978" t="n">
        <v>0</v>
      </c>
      <c r="I978" t="n">
        <v>0</v>
      </c>
      <c r="J978" t="n">
        <v>0</v>
      </c>
      <c r="K978" t="n">
        <v>0</v>
      </c>
      <c r="L978" t="n">
        <v>0</v>
      </c>
      <c r="M978" t="n">
        <v>0</v>
      </c>
      <c r="N978" t="n">
        <v>0</v>
      </c>
      <c r="O978" t="n">
        <v>0</v>
      </c>
      <c r="P978" t="n">
        <v>0</v>
      </c>
      <c r="Q978" t="n">
        <v>0</v>
      </c>
      <c r="R978" s="2" t="inlineStr"/>
    </row>
    <row r="979" ht="15" customHeight="1">
      <c r="A979" t="inlineStr">
        <is>
          <t>A 10583-2023</t>
        </is>
      </c>
      <c r="B979" s="1" t="n">
        <v>44988.36435185185</v>
      </c>
      <c r="C979" s="1" t="n">
        <v>45880</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33338-2024</t>
        </is>
      </c>
      <c r="B980" s="1" t="n">
        <v>45519</v>
      </c>
      <c r="C980" s="1" t="n">
        <v>45880</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55036-2024</t>
        </is>
      </c>
      <c r="B981" s="1" t="n">
        <v>45621.38342592592</v>
      </c>
      <c r="C981" s="1" t="n">
        <v>45880</v>
      </c>
      <c r="D981" t="inlineStr">
        <is>
          <t>VÄRMLANDS LÄN</t>
        </is>
      </c>
      <c r="E981" t="inlineStr">
        <is>
          <t>TORSBY</t>
        </is>
      </c>
      <c r="G981" t="n">
        <v>5.5</v>
      </c>
      <c r="H981" t="n">
        <v>0</v>
      </c>
      <c r="I981" t="n">
        <v>0</v>
      </c>
      <c r="J981" t="n">
        <v>0</v>
      </c>
      <c r="K981" t="n">
        <v>0</v>
      </c>
      <c r="L981" t="n">
        <v>0</v>
      </c>
      <c r="M981" t="n">
        <v>0</v>
      </c>
      <c r="N981" t="n">
        <v>0</v>
      </c>
      <c r="O981" t="n">
        <v>0</v>
      </c>
      <c r="P981" t="n">
        <v>0</v>
      </c>
      <c r="Q981" t="n">
        <v>0</v>
      </c>
      <c r="R981" s="2" t="inlineStr"/>
    </row>
    <row r="982" ht="15" customHeight="1">
      <c r="A982" t="inlineStr">
        <is>
          <t>A 15885-2025</t>
        </is>
      </c>
      <c r="B982" s="1" t="n">
        <v>45749</v>
      </c>
      <c r="C982" s="1" t="n">
        <v>45880</v>
      </c>
      <c r="D982" t="inlineStr">
        <is>
          <t>VÄRMLANDS LÄN</t>
        </is>
      </c>
      <c r="E982" t="inlineStr">
        <is>
          <t>TORSBY</t>
        </is>
      </c>
      <c r="G982" t="n">
        <v>9.9</v>
      </c>
      <c r="H982" t="n">
        <v>0</v>
      </c>
      <c r="I982" t="n">
        <v>0</v>
      </c>
      <c r="J982" t="n">
        <v>0</v>
      </c>
      <c r="K982" t="n">
        <v>0</v>
      </c>
      <c r="L982" t="n">
        <v>0</v>
      </c>
      <c r="M982" t="n">
        <v>0</v>
      </c>
      <c r="N982" t="n">
        <v>0</v>
      </c>
      <c r="O982" t="n">
        <v>0</v>
      </c>
      <c r="P982" t="n">
        <v>0</v>
      </c>
      <c r="Q982" t="n">
        <v>0</v>
      </c>
      <c r="R982" s="2" t="inlineStr"/>
    </row>
    <row r="983" ht="15" customHeight="1">
      <c r="A983" t="inlineStr">
        <is>
          <t>A 16017-2025</t>
        </is>
      </c>
      <c r="B983" s="1" t="n">
        <v>45749</v>
      </c>
      <c r="C983" s="1" t="n">
        <v>45880</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49298-2024</t>
        </is>
      </c>
      <c r="B984" s="1" t="n">
        <v>45595.54357638889</v>
      </c>
      <c r="C984" s="1" t="n">
        <v>45880</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60454-2024</t>
        </is>
      </c>
      <c r="B985" s="1" t="n">
        <v>45643</v>
      </c>
      <c r="C985" s="1" t="n">
        <v>45880</v>
      </c>
      <c r="D985" t="inlineStr">
        <is>
          <t>VÄRMLANDS LÄN</t>
        </is>
      </c>
      <c r="E985" t="inlineStr">
        <is>
          <t>TORSBY</t>
        </is>
      </c>
      <c r="G985" t="n">
        <v>4.5</v>
      </c>
      <c r="H985" t="n">
        <v>0</v>
      </c>
      <c r="I985" t="n">
        <v>0</v>
      </c>
      <c r="J985" t="n">
        <v>0</v>
      </c>
      <c r="K985" t="n">
        <v>0</v>
      </c>
      <c r="L985" t="n">
        <v>0</v>
      </c>
      <c r="M985" t="n">
        <v>0</v>
      </c>
      <c r="N985" t="n">
        <v>0</v>
      </c>
      <c r="O985" t="n">
        <v>0</v>
      </c>
      <c r="P985" t="n">
        <v>0</v>
      </c>
      <c r="Q985" t="n">
        <v>0</v>
      </c>
      <c r="R985" s="2" t="inlineStr"/>
    </row>
    <row r="986" ht="15" customHeight="1">
      <c r="A986" t="inlineStr">
        <is>
          <t>A 54023-2024</t>
        </is>
      </c>
      <c r="B986" s="1" t="n">
        <v>45616</v>
      </c>
      <c r="C986" s="1" t="n">
        <v>45880</v>
      </c>
      <c r="D986" t="inlineStr">
        <is>
          <t>VÄRMLANDS LÄN</t>
        </is>
      </c>
      <c r="E986" t="inlineStr">
        <is>
          <t>TORSBY</t>
        </is>
      </c>
      <c r="F986" t="inlineStr">
        <is>
          <t>Kommuner</t>
        </is>
      </c>
      <c r="G986" t="n">
        <v>3</v>
      </c>
      <c r="H986" t="n">
        <v>0</v>
      </c>
      <c r="I986" t="n">
        <v>0</v>
      </c>
      <c r="J986" t="n">
        <v>0</v>
      </c>
      <c r="K986" t="n">
        <v>0</v>
      </c>
      <c r="L986" t="n">
        <v>0</v>
      </c>
      <c r="M986" t="n">
        <v>0</v>
      </c>
      <c r="N986" t="n">
        <v>0</v>
      </c>
      <c r="O986" t="n">
        <v>0</v>
      </c>
      <c r="P986" t="n">
        <v>0</v>
      </c>
      <c r="Q986" t="n">
        <v>0</v>
      </c>
      <c r="R986" s="2" t="inlineStr"/>
    </row>
    <row r="987" ht="15" customHeight="1">
      <c r="A987" t="inlineStr">
        <is>
          <t>A 54027-2024</t>
        </is>
      </c>
      <c r="B987" s="1" t="n">
        <v>45616</v>
      </c>
      <c r="C987" s="1" t="n">
        <v>45880</v>
      </c>
      <c r="D987" t="inlineStr">
        <is>
          <t>VÄRMLANDS LÄN</t>
        </is>
      </c>
      <c r="E987" t="inlineStr">
        <is>
          <t>TORSBY</t>
        </is>
      </c>
      <c r="F987" t="inlineStr">
        <is>
          <t>Bergvik skog väst AB</t>
        </is>
      </c>
      <c r="G987" t="n">
        <v>2.1</v>
      </c>
      <c r="H987" t="n">
        <v>0</v>
      </c>
      <c r="I987" t="n">
        <v>0</v>
      </c>
      <c r="J987" t="n">
        <v>0</v>
      </c>
      <c r="K987" t="n">
        <v>0</v>
      </c>
      <c r="L987" t="n">
        <v>0</v>
      </c>
      <c r="M987" t="n">
        <v>0</v>
      </c>
      <c r="N987" t="n">
        <v>0</v>
      </c>
      <c r="O987" t="n">
        <v>0</v>
      </c>
      <c r="P987" t="n">
        <v>0</v>
      </c>
      <c r="Q987" t="n">
        <v>0</v>
      </c>
      <c r="R987" s="2" t="inlineStr"/>
    </row>
    <row r="988" ht="15" customHeight="1">
      <c r="A988" t="inlineStr">
        <is>
          <t>A 44659-2024</t>
        </is>
      </c>
      <c r="B988" s="1" t="n">
        <v>45574</v>
      </c>
      <c r="C988" s="1" t="n">
        <v>45880</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54609-2024</t>
        </is>
      </c>
      <c r="B989" s="1" t="n">
        <v>45617</v>
      </c>
      <c r="C989" s="1" t="n">
        <v>45880</v>
      </c>
      <c r="D989" t="inlineStr">
        <is>
          <t>VÄRMLANDS LÄN</t>
        </is>
      </c>
      <c r="E989" t="inlineStr">
        <is>
          <t>TORSBY</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19964-2025</t>
        </is>
      </c>
      <c r="B990" s="1" t="n">
        <v>45771.67315972222</v>
      </c>
      <c r="C990" s="1" t="n">
        <v>45880</v>
      </c>
      <c r="D990" t="inlineStr">
        <is>
          <t>VÄRMLANDS LÄN</t>
        </is>
      </c>
      <c r="E990" t="inlineStr">
        <is>
          <t>TORSBY</t>
        </is>
      </c>
      <c r="F990" t="inlineStr">
        <is>
          <t>Bergvik skog väst AB</t>
        </is>
      </c>
      <c r="G990" t="n">
        <v>23.8</v>
      </c>
      <c r="H990" t="n">
        <v>0</v>
      </c>
      <c r="I990" t="n">
        <v>0</v>
      </c>
      <c r="J990" t="n">
        <v>0</v>
      </c>
      <c r="K990" t="n">
        <v>0</v>
      </c>
      <c r="L990" t="n">
        <v>0</v>
      </c>
      <c r="M990" t="n">
        <v>0</v>
      </c>
      <c r="N990" t="n">
        <v>0</v>
      </c>
      <c r="O990" t="n">
        <v>0</v>
      </c>
      <c r="P990" t="n">
        <v>0</v>
      </c>
      <c r="Q990" t="n">
        <v>0</v>
      </c>
      <c r="R990" s="2" t="inlineStr"/>
    </row>
    <row r="991" ht="15" customHeight="1">
      <c r="A991" t="inlineStr">
        <is>
          <t>A 57785-2024</t>
        </is>
      </c>
      <c r="B991" s="1" t="n">
        <v>45631</v>
      </c>
      <c r="C991" s="1" t="n">
        <v>45880</v>
      </c>
      <c r="D991" t="inlineStr">
        <is>
          <t>VÄRMLANDS LÄN</t>
        </is>
      </c>
      <c r="E991" t="inlineStr">
        <is>
          <t>TORSBY</t>
        </is>
      </c>
      <c r="F991" t="inlineStr">
        <is>
          <t>Bergvik skog väst AB</t>
        </is>
      </c>
      <c r="G991" t="n">
        <v>10.9</v>
      </c>
      <c r="H991" t="n">
        <v>0</v>
      </c>
      <c r="I991" t="n">
        <v>0</v>
      </c>
      <c r="J991" t="n">
        <v>0</v>
      </c>
      <c r="K991" t="n">
        <v>0</v>
      </c>
      <c r="L991" t="n">
        <v>0</v>
      </c>
      <c r="M991" t="n">
        <v>0</v>
      </c>
      <c r="N991" t="n">
        <v>0</v>
      </c>
      <c r="O991" t="n">
        <v>0</v>
      </c>
      <c r="P991" t="n">
        <v>0</v>
      </c>
      <c r="Q991" t="n">
        <v>0</v>
      </c>
      <c r="R991" s="2" t="inlineStr"/>
    </row>
    <row r="992" ht="15" customHeight="1">
      <c r="A992" t="inlineStr">
        <is>
          <t>A 60385-2024</t>
        </is>
      </c>
      <c r="B992" s="1" t="n">
        <v>45643</v>
      </c>
      <c r="C992" s="1" t="n">
        <v>45880</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54004-2024</t>
        </is>
      </c>
      <c r="B993" s="1" t="n">
        <v>45616.36659722222</v>
      </c>
      <c r="C993" s="1" t="n">
        <v>45880</v>
      </c>
      <c r="D993" t="inlineStr">
        <is>
          <t>VÄRMLANDS LÄN</t>
        </is>
      </c>
      <c r="E993" t="inlineStr">
        <is>
          <t>TORSBY</t>
        </is>
      </c>
      <c r="F993" t="inlineStr">
        <is>
          <t>Kommuner</t>
        </is>
      </c>
      <c r="G993" t="n">
        <v>4</v>
      </c>
      <c r="H993" t="n">
        <v>0</v>
      </c>
      <c r="I993" t="n">
        <v>0</v>
      </c>
      <c r="J993" t="n">
        <v>0</v>
      </c>
      <c r="K993" t="n">
        <v>0</v>
      </c>
      <c r="L993" t="n">
        <v>0</v>
      </c>
      <c r="M993" t="n">
        <v>0</v>
      </c>
      <c r="N993" t="n">
        <v>0</v>
      </c>
      <c r="O993" t="n">
        <v>0</v>
      </c>
      <c r="P993" t="n">
        <v>0</v>
      </c>
      <c r="Q993" t="n">
        <v>0</v>
      </c>
      <c r="R993" s="2" t="inlineStr"/>
    </row>
    <row r="994" ht="15" customHeight="1">
      <c r="A994" t="inlineStr">
        <is>
          <t>A 14614-2025</t>
        </is>
      </c>
      <c r="B994" s="1" t="n">
        <v>45742</v>
      </c>
      <c r="C994" s="1" t="n">
        <v>45880</v>
      </c>
      <c r="D994" t="inlineStr">
        <is>
          <t>VÄRMLANDS LÄN</t>
        </is>
      </c>
      <c r="E994" t="inlineStr">
        <is>
          <t>TORSBY</t>
        </is>
      </c>
      <c r="G994" t="n">
        <v>2.1</v>
      </c>
      <c r="H994" t="n">
        <v>0</v>
      </c>
      <c r="I994" t="n">
        <v>0</v>
      </c>
      <c r="J994" t="n">
        <v>0</v>
      </c>
      <c r="K994" t="n">
        <v>0</v>
      </c>
      <c r="L994" t="n">
        <v>0</v>
      </c>
      <c r="M994" t="n">
        <v>0</v>
      </c>
      <c r="N994" t="n">
        <v>0</v>
      </c>
      <c r="O994" t="n">
        <v>0</v>
      </c>
      <c r="P994" t="n">
        <v>0</v>
      </c>
      <c r="Q994" t="n">
        <v>0</v>
      </c>
      <c r="R994" s="2" t="inlineStr"/>
    </row>
    <row r="995" ht="15" customHeight="1">
      <c r="A995" t="inlineStr">
        <is>
          <t>A 43179-2023</t>
        </is>
      </c>
      <c r="B995" s="1" t="n">
        <v>45183.37615740741</v>
      </c>
      <c r="C995" s="1" t="n">
        <v>45880</v>
      </c>
      <c r="D995" t="inlineStr">
        <is>
          <t>VÄRMLANDS LÄN</t>
        </is>
      </c>
      <c r="E995" t="inlineStr">
        <is>
          <t>TORSBY</t>
        </is>
      </c>
      <c r="G995" t="n">
        <v>2.1</v>
      </c>
      <c r="H995" t="n">
        <v>0</v>
      </c>
      <c r="I995" t="n">
        <v>0</v>
      </c>
      <c r="J995" t="n">
        <v>0</v>
      </c>
      <c r="K995" t="n">
        <v>0</v>
      </c>
      <c r="L995" t="n">
        <v>0</v>
      </c>
      <c r="M995" t="n">
        <v>0</v>
      </c>
      <c r="N995" t="n">
        <v>0</v>
      </c>
      <c r="O995" t="n">
        <v>0</v>
      </c>
      <c r="P995" t="n">
        <v>0</v>
      </c>
      <c r="Q995" t="n">
        <v>0</v>
      </c>
      <c r="R995" s="2" t="inlineStr"/>
    </row>
    <row r="996" ht="15" customHeight="1">
      <c r="A996" t="inlineStr">
        <is>
          <t>A 6448-2025</t>
        </is>
      </c>
      <c r="B996" s="1" t="n">
        <v>45699</v>
      </c>
      <c r="C996" s="1" t="n">
        <v>45880</v>
      </c>
      <c r="D996" t="inlineStr">
        <is>
          <t>VÄRMLANDS LÄN</t>
        </is>
      </c>
      <c r="E996" t="inlineStr">
        <is>
          <t>TORSBY</t>
        </is>
      </c>
      <c r="G996" t="n">
        <v>6.4</v>
      </c>
      <c r="H996" t="n">
        <v>0</v>
      </c>
      <c r="I996" t="n">
        <v>0</v>
      </c>
      <c r="J996" t="n">
        <v>0</v>
      </c>
      <c r="K996" t="n">
        <v>0</v>
      </c>
      <c r="L996" t="n">
        <v>0</v>
      </c>
      <c r="M996" t="n">
        <v>0</v>
      </c>
      <c r="N996" t="n">
        <v>0</v>
      </c>
      <c r="O996" t="n">
        <v>0</v>
      </c>
      <c r="P996" t="n">
        <v>0</v>
      </c>
      <c r="Q996" t="n">
        <v>0</v>
      </c>
      <c r="R996" s="2" t="inlineStr"/>
    </row>
    <row r="997" ht="15" customHeight="1">
      <c r="A997" t="inlineStr">
        <is>
          <t>A 15014-2025</t>
        </is>
      </c>
      <c r="B997" s="1" t="n">
        <v>45743</v>
      </c>
      <c r="C997" s="1" t="n">
        <v>45880</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22076-2025</t>
        </is>
      </c>
      <c r="B998" s="1" t="n">
        <v>45785.41473379629</v>
      </c>
      <c r="C998" s="1" t="n">
        <v>45880</v>
      </c>
      <c r="D998" t="inlineStr">
        <is>
          <t>VÄRMLANDS LÄN</t>
        </is>
      </c>
      <c r="E998" t="inlineStr">
        <is>
          <t>TORSBY</t>
        </is>
      </c>
      <c r="G998" t="n">
        <v>5.4</v>
      </c>
      <c r="H998" t="n">
        <v>0</v>
      </c>
      <c r="I998" t="n">
        <v>0</v>
      </c>
      <c r="J998" t="n">
        <v>0</v>
      </c>
      <c r="K998" t="n">
        <v>0</v>
      </c>
      <c r="L998" t="n">
        <v>0</v>
      </c>
      <c r="M998" t="n">
        <v>0</v>
      </c>
      <c r="N998" t="n">
        <v>0</v>
      </c>
      <c r="O998" t="n">
        <v>0</v>
      </c>
      <c r="P998" t="n">
        <v>0</v>
      </c>
      <c r="Q998" t="n">
        <v>0</v>
      </c>
      <c r="R998" s="2" t="inlineStr"/>
    </row>
    <row r="999" ht="15" customHeight="1">
      <c r="A999" t="inlineStr">
        <is>
          <t>A 22178-2025</t>
        </is>
      </c>
      <c r="B999" s="1" t="n">
        <v>45785</v>
      </c>
      <c r="C999" s="1" t="n">
        <v>45880</v>
      </c>
      <c r="D999" t="inlineStr">
        <is>
          <t>VÄRMLANDS LÄN</t>
        </is>
      </c>
      <c r="E999" t="inlineStr">
        <is>
          <t>TORSBY</t>
        </is>
      </c>
      <c r="G999" t="n">
        <v>25.5</v>
      </c>
      <c r="H999" t="n">
        <v>0</v>
      </c>
      <c r="I999" t="n">
        <v>0</v>
      </c>
      <c r="J999" t="n">
        <v>0</v>
      </c>
      <c r="K999" t="n">
        <v>0</v>
      </c>
      <c r="L999" t="n">
        <v>0</v>
      </c>
      <c r="M999" t="n">
        <v>0</v>
      </c>
      <c r="N999" t="n">
        <v>0</v>
      </c>
      <c r="O999" t="n">
        <v>0</v>
      </c>
      <c r="P999" t="n">
        <v>0</v>
      </c>
      <c r="Q999" t="n">
        <v>0</v>
      </c>
      <c r="R999" s="2" t="inlineStr"/>
    </row>
    <row r="1000" ht="15" customHeight="1">
      <c r="A1000" t="inlineStr">
        <is>
          <t>A 39075-2024</t>
        </is>
      </c>
      <c r="B1000" s="1" t="n">
        <v>45548</v>
      </c>
      <c r="C1000" s="1" t="n">
        <v>45880</v>
      </c>
      <c r="D1000" t="inlineStr">
        <is>
          <t>VÄRMLANDS LÄN</t>
        </is>
      </c>
      <c r="E1000" t="inlineStr">
        <is>
          <t>TORSBY</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33085-2024</t>
        </is>
      </c>
      <c r="B1001" s="1" t="n">
        <v>45517.67784722222</v>
      </c>
      <c r="C1001" s="1" t="n">
        <v>45880</v>
      </c>
      <c r="D1001" t="inlineStr">
        <is>
          <t>VÄRMLANDS LÄN</t>
        </is>
      </c>
      <c r="E1001" t="inlineStr">
        <is>
          <t>TORSBY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33495-2024</t>
        </is>
      </c>
      <c r="B1002" s="1" t="n">
        <v>45519</v>
      </c>
      <c r="C1002" s="1" t="n">
        <v>45880</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17687-2024</t>
        </is>
      </c>
      <c r="B1003" s="1" t="n">
        <v>45418</v>
      </c>
      <c r="C1003" s="1" t="n">
        <v>45880</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29897-2024</t>
        </is>
      </c>
      <c r="B1004" s="1" t="n">
        <v>45487.51834490741</v>
      </c>
      <c r="C1004" s="1" t="n">
        <v>45880</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24113-2024</t>
        </is>
      </c>
      <c r="B1005" s="1" t="n">
        <v>45456.61590277778</v>
      </c>
      <c r="C1005" s="1" t="n">
        <v>45880</v>
      </c>
      <c r="D1005" t="inlineStr">
        <is>
          <t>VÄRMLANDS LÄN</t>
        </is>
      </c>
      <c r="E1005" t="inlineStr">
        <is>
          <t>TORSBY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15992-2023</t>
        </is>
      </c>
      <c r="B1006" s="1" t="n">
        <v>45023.5066087963</v>
      </c>
      <c r="C1006" s="1" t="n">
        <v>45880</v>
      </c>
      <c r="D1006" t="inlineStr">
        <is>
          <t>VÄRMLANDS LÄN</t>
        </is>
      </c>
      <c r="E1006" t="inlineStr">
        <is>
          <t>TORSBY</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16044-2023</t>
        </is>
      </c>
      <c r="B1007" s="1" t="n">
        <v>45027</v>
      </c>
      <c r="C1007" s="1" t="n">
        <v>45880</v>
      </c>
      <c r="D1007" t="inlineStr">
        <is>
          <t>VÄRMLANDS LÄN</t>
        </is>
      </c>
      <c r="E1007" t="inlineStr">
        <is>
          <t>TORSBY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15083-2024</t>
        </is>
      </c>
      <c r="B1008" s="1" t="n">
        <v>45399.63163194444</v>
      </c>
      <c r="C1008" s="1" t="n">
        <v>45880</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60626-2024</t>
        </is>
      </c>
      <c r="B1009" s="1" t="n">
        <v>45642</v>
      </c>
      <c r="C1009" s="1" t="n">
        <v>45880</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56101-2024</t>
        </is>
      </c>
      <c r="B1010" s="1" t="n">
        <v>45624</v>
      </c>
      <c r="C1010" s="1" t="n">
        <v>45880</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60207-2024</t>
        </is>
      </c>
      <c r="B1011" s="1" t="n">
        <v>45642.67428240741</v>
      </c>
      <c r="C1011" s="1" t="n">
        <v>45880</v>
      </c>
      <c r="D1011" t="inlineStr">
        <is>
          <t>VÄRMLANDS LÄN</t>
        </is>
      </c>
      <c r="E1011" t="inlineStr">
        <is>
          <t>TORSBY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40541-2024</t>
        </is>
      </c>
      <c r="B1012" s="1" t="n">
        <v>45555.62736111111</v>
      </c>
      <c r="C1012" s="1" t="n">
        <v>45880</v>
      </c>
      <c r="D1012" t="inlineStr">
        <is>
          <t>VÄRMLANDS LÄN</t>
        </is>
      </c>
      <c r="E1012" t="inlineStr">
        <is>
          <t>TORSBY</t>
        </is>
      </c>
      <c r="F1012" t="inlineStr">
        <is>
          <t>Bergvik skog väst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48540-2024</t>
        </is>
      </c>
      <c r="B1013" s="1" t="n">
        <v>45593</v>
      </c>
      <c r="C1013" s="1" t="n">
        <v>45880</v>
      </c>
      <c r="D1013" t="inlineStr">
        <is>
          <t>VÄRMLANDS LÄN</t>
        </is>
      </c>
      <c r="E1013" t="inlineStr">
        <is>
          <t>TORSBY</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22090-2025</t>
        </is>
      </c>
      <c r="B1014" s="1" t="n">
        <v>45785.45212962963</v>
      </c>
      <c r="C1014" s="1" t="n">
        <v>45880</v>
      </c>
      <c r="D1014" t="inlineStr">
        <is>
          <t>VÄRMLANDS LÄN</t>
        </is>
      </c>
      <c r="E1014" t="inlineStr">
        <is>
          <t>TORSBY</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40546-2024</t>
        </is>
      </c>
      <c r="B1015" s="1" t="n">
        <v>45555</v>
      </c>
      <c r="C1015" s="1" t="n">
        <v>45880</v>
      </c>
      <c r="D1015" t="inlineStr">
        <is>
          <t>VÄRMLANDS LÄN</t>
        </is>
      </c>
      <c r="E1015" t="inlineStr">
        <is>
          <t>TORSBY</t>
        </is>
      </c>
      <c r="F1015" t="inlineStr">
        <is>
          <t>Bergvik skog väst AB</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55436-2022</t>
        </is>
      </c>
      <c r="B1016" s="1" t="n">
        <v>44887</v>
      </c>
      <c r="C1016" s="1" t="n">
        <v>45880</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12458-2023</t>
        </is>
      </c>
      <c r="B1017" s="1" t="n">
        <v>44999</v>
      </c>
      <c r="C1017" s="1" t="n">
        <v>45880</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54618-2024</t>
        </is>
      </c>
      <c r="B1018" s="1" t="n">
        <v>45617</v>
      </c>
      <c r="C1018" s="1" t="n">
        <v>45880</v>
      </c>
      <c r="D1018" t="inlineStr">
        <is>
          <t>VÄRMLANDS LÄN</t>
        </is>
      </c>
      <c r="E1018" t="inlineStr">
        <is>
          <t>TORSBY</t>
        </is>
      </c>
      <c r="F1018" t="inlineStr">
        <is>
          <t>Kommuner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13848-2024</t>
        </is>
      </c>
      <c r="B1019" s="1" t="n">
        <v>45390</v>
      </c>
      <c r="C1019" s="1" t="n">
        <v>45880</v>
      </c>
      <c r="D1019" t="inlineStr">
        <is>
          <t>VÄRMLANDS LÄN</t>
        </is>
      </c>
      <c r="E1019" t="inlineStr">
        <is>
          <t>TORSBY</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59425-2021</t>
        </is>
      </c>
      <c r="B1020" s="1" t="n">
        <v>44491.43469907407</v>
      </c>
      <c r="C1020" s="1" t="n">
        <v>45880</v>
      </c>
      <c r="D1020" t="inlineStr">
        <is>
          <t>VÄRMLANDS LÄN</t>
        </is>
      </c>
      <c r="E1020" t="inlineStr">
        <is>
          <t>TORSBY</t>
        </is>
      </c>
      <c r="F1020" t="inlineStr">
        <is>
          <t>Bergvik skog väst AB</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22715-2025</t>
        </is>
      </c>
      <c r="B1021" s="1" t="n">
        <v>45789.56496527778</v>
      </c>
      <c r="C1021" s="1" t="n">
        <v>45880</v>
      </c>
      <c r="D1021" t="inlineStr">
        <is>
          <t>VÄRMLANDS LÄN</t>
        </is>
      </c>
      <c r="E1021" t="inlineStr">
        <is>
          <t>TORSBY</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37357-2023</t>
        </is>
      </c>
      <c r="B1022" s="1" t="n">
        <v>45156.48006944444</v>
      </c>
      <c r="C1022" s="1" t="n">
        <v>45880</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58386-2023</t>
        </is>
      </c>
      <c r="B1023" s="1" t="n">
        <v>45250</v>
      </c>
      <c r="C1023" s="1" t="n">
        <v>45880</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17039-2025</t>
        </is>
      </c>
      <c r="B1024" s="1" t="n">
        <v>45754</v>
      </c>
      <c r="C1024" s="1" t="n">
        <v>45880</v>
      </c>
      <c r="D1024" t="inlineStr">
        <is>
          <t>VÄRMLANDS LÄN</t>
        </is>
      </c>
      <c r="E1024" t="inlineStr">
        <is>
          <t>TORSBY</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53945-2023</t>
        </is>
      </c>
      <c r="B1025" s="1" t="n">
        <v>45231.6009837963</v>
      </c>
      <c r="C1025" s="1" t="n">
        <v>45880</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58945-2024</t>
        </is>
      </c>
      <c r="B1026" s="1" t="n">
        <v>45636</v>
      </c>
      <c r="C1026" s="1" t="n">
        <v>45880</v>
      </c>
      <c r="D1026" t="inlineStr">
        <is>
          <t>VÄRMLANDS LÄN</t>
        </is>
      </c>
      <c r="E1026" t="inlineStr">
        <is>
          <t>TORSBY</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17898-2023</t>
        </is>
      </c>
      <c r="B1027" s="1" t="n">
        <v>45039.72086805556</v>
      </c>
      <c r="C1027" s="1" t="n">
        <v>45880</v>
      </c>
      <c r="D1027" t="inlineStr">
        <is>
          <t>VÄRMLANDS LÄN</t>
        </is>
      </c>
      <c r="E1027" t="inlineStr">
        <is>
          <t>TORSBY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18973-2025</t>
        </is>
      </c>
      <c r="B1028" s="1" t="n">
        <v>45764.54157407407</v>
      </c>
      <c r="C1028" s="1" t="n">
        <v>45880</v>
      </c>
      <c r="D1028" t="inlineStr">
        <is>
          <t>VÄRMLANDS LÄN</t>
        </is>
      </c>
      <c r="E1028" t="inlineStr">
        <is>
          <t>TORSBY</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18977-2025</t>
        </is>
      </c>
      <c r="B1029" s="1" t="n">
        <v>45764</v>
      </c>
      <c r="C1029" s="1" t="n">
        <v>45880</v>
      </c>
      <c r="D1029" t="inlineStr">
        <is>
          <t>VÄRMLANDS LÄN</t>
        </is>
      </c>
      <c r="E1029" t="inlineStr">
        <is>
          <t>TORSBY</t>
        </is>
      </c>
      <c r="F1029" t="inlineStr">
        <is>
          <t>Bergvik skog väst AB</t>
        </is>
      </c>
      <c r="G1029" t="n">
        <v>24.8</v>
      </c>
      <c r="H1029" t="n">
        <v>0</v>
      </c>
      <c r="I1029" t="n">
        <v>0</v>
      </c>
      <c r="J1029" t="n">
        <v>0</v>
      </c>
      <c r="K1029" t="n">
        <v>0</v>
      </c>
      <c r="L1029" t="n">
        <v>0</v>
      </c>
      <c r="M1029" t="n">
        <v>0</v>
      </c>
      <c r="N1029" t="n">
        <v>0</v>
      </c>
      <c r="O1029" t="n">
        <v>0</v>
      </c>
      <c r="P1029" t="n">
        <v>0</v>
      </c>
      <c r="Q1029" t="n">
        <v>0</v>
      </c>
      <c r="R1029" s="2" t="inlineStr"/>
    </row>
    <row r="1030" ht="15" customHeight="1">
      <c r="A1030" t="inlineStr">
        <is>
          <t>A 36782-2024</t>
        </is>
      </c>
      <c r="B1030" s="1" t="n">
        <v>45538</v>
      </c>
      <c r="C1030" s="1" t="n">
        <v>45880</v>
      </c>
      <c r="D1030" t="inlineStr">
        <is>
          <t>VÄRMLANDS LÄN</t>
        </is>
      </c>
      <c r="E1030" t="inlineStr">
        <is>
          <t>TORSBY</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36790-2024</t>
        </is>
      </c>
      <c r="B1031" s="1" t="n">
        <v>45538.43484953704</v>
      </c>
      <c r="C1031" s="1" t="n">
        <v>45880</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23035-2025</t>
        </is>
      </c>
      <c r="B1032" s="1" t="n">
        <v>45790.66079861111</v>
      </c>
      <c r="C1032" s="1" t="n">
        <v>45880</v>
      </c>
      <c r="D1032" t="inlineStr">
        <is>
          <t>VÄRMLANDS LÄN</t>
        </is>
      </c>
      <c r="E1032" t="inlineStr">
        <is>
          <t>TORSBY</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22593-2025</t>
        </is>
      </c>
      <c r="B1033" s="1" t="n">
        <v>45789.41113425926</v>
      </c>
      <c r="C1033" s="1" t="n">
        <v>45880</v>
      </c>
      <c r="D1033" t="inlineStr">
        <is>
          <t>VÄRMLANDS LÄN</t>
        </is>
      </c>
      <c r="E1033" t="inlineStr">
        <is>
          <t>TORSBY</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23044-2024</t>
        </is>
      </c>
      <c r="B1034" s="1" t="n">
        <v>45450</v>
      </c>
      <c r="C1034" s="1" t="n">
        <v>45880</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24182-2024</t>
        </is>
      </c>
      <c r="B1035" s="1" t="n">
        <v>45456</v>
      </c>
      <c r="C1035" s="1" t="n">
        <v>45880</v>
      </c>
      <c r="D1035" t="inlineStr">
        <is>
          <t>VÄRMLANDS LÄN</t>
        </is>
      </c>
      <c r="E1035" t="inlineStr">
        <is>
          <t>TORSBY</t>
        </is>
      </c>
      <c r="F1035" t="inlineStr">
        <is>
          <t>Bergvik skog väst AB</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24708-2024</t>
        </is>
      </c>
      <c r="B1036" s="1" t="n">
        <v>45460</v>
      </c>
      <c r="C1036" s="1" t="n">
        <v>45880</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26799-2024</t>
        </is>
      </c>
      <c r="B1037" s="1" t="n">
        <v>45470.5071875</v>
      </c>
      <c r="C1037" s="1" t="n">
        <v>45880</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7101-2025</t>
        </is>
      </c>
      <c r="B1038" s="1" t="n">
        <v>45701</v>
      </c>
      <c r="C1038" s="1" t="n">
        <v>45880</v>
      </c>
      <c r="D1038" t="inlineStr">
        <is>
          <t>VÄRMLANDS LÄN</t>
        </is>
      </c>
      <c r="E1038" t="inlineStr">
        <is>
          <t>TORSBY</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16369-2024</t>
        </is>
      </c>
      <c r="B1039" s="1" t="n">
        <v>45407</v>
      </c>
      <c r="C1039" s="1" t="n">
        <v>45880</v>
      </c>
      <c r="D1039" t="inlineStr">
        <is>
          <t>VÄRMLANDS LÄN</t>
        </is>
      </c>
      <c r="E1039" t="inlineStr">
        <is>
          <t>TORSBY</t>
        </is>
      </c>
      <c r="F1039" t="inlineStr">
        <is>
          <t>Kommuner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22845-2025</t>
        </is>
      </c>
      <c r="B1040" s="1" t="n">
        <v>45790</v>
      </c>
      <c r="C1040" s="1" t="n">
        <v>45880</v>
      </c>
      <c r="D1040" t="inlineStr">
        <is>
          <t>VÄRMLANDS LÄN</t>
        </is>
      </c>
      <c r="E1040" t="inlineStr">
        <is>
          <t>TORSBY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63409-2023</t>
        </is>
      </c>
      <c r="B1041" s="1" t="n">
        <v>45274.51719907407</v>
      </c>
      <c r="C1041" s="1" t="n">
        <v>45880</v>
      </c>
      <c r="D1041" t="inlineStr">
        <is>
          <t>VÄRMLANDS LÄN</t>
        </is>
      </c>
      <c r="E1041" t="inlineStr">
        <is>
          <t>TORSBY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50943-2020</t>
        </is>
      </c>
      <c r="B1042" s="1" t="n">
        <v>44111</v>
      </c>
      <c r="C1042" s="1" t="n">
        <v>45880</v>
      </c>
      <c r="D1042" t="inlineStr">
        <is>
          <t>VÄRMLANDS LÄN</t>
        </is>
      </c>
      <c r="E1042" t="inlineStr">
        <is>
          <t>TORSBY</t>
        </is>
      </c>
      <c r="F1042" t="inlineStr">
        <is>
          <t>Bergvik skog väst AB</t>
        </is>
      </c>
      <c r="G1042" t="n">
        <v>18.4</v>
      </c>
      <c r="H1042" t="n">
        <v>0</v>
      </c>
      <c r="I1042" t="n">
        <v>0</v>
      </c>
      <c r="J1042" t="n">
        <v>0</v>
      </c>
      <c r="K1042" t="n">
        <v>0</v>
      </c>
      <c r="L1042" t="n">
        <v>0</v>
      </c>
      <c r="M1042" t="n">
        <v>0</v>
      </c>
      <c r="N1042" t="n">
        <v>0</v>
      </c>
      <c r="O1042" t="n">
        <v>0</v>
      </c>
      <c r="P1042" t="n">
        <v>0</v>
      </c>
      <c r="Q1042" t="n">
        <v>0</v>
      </c>
      <c r="R1042" s="2" t="inlineStr"/>
    </row>
    <row r="1043" ht="15" customHeight="1">
      <c r="A1043" t="inlineStr">
        <is>
          <t>A 22708-2025</t>
        </is>
      </c>
      <c r="B1043" s="1" t="n">
        <v>45789.55561342592</v>
      </c>
      <c r="C1043" s="1" t="n">
        <v>45880</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14303-2023</t>
        </is>
      </c>
      <c r="B1044" s="1" t="n">
        <v>45011.75886574074</v>
      </c>
      <c r="C1044" s="1" t="n">
        <v>45880</v>
      </c>
      <c r="D1044" t="inlineStr">
        <is>
          <t>VÄRMLANDS LÄN</t>
        </is>
      </c>
      <c r="E1044" t="inlineStr">
        <is>
          <t>TORSBY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34427-2023</t>
        </is>
      </c>
      <c r="B1045" s="1" t="n">
        <v>45139.61741898148</v>
      </c>
      <c r="C1045" s="1" t="n">
        <v>45880</v>
      </c>
      <c r="D1045" t="inlineStr">
        <is>
          <t>VÄRMLANDS LÄN</t>
        </is>
      </c>
      <c r="E1045" t="inlineStr">
        <is>
          <t>TORSBY</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22757-2025</t>
        </is>
      </c>
      <c r="B1046" s="1" t="n">
        <v>45789.61908564815</v>
      </c>
      <c r="C1046" s="1" t="n">
        <v>45880</v>
      </c>
      <c r="D1046" t="inlineStr">
        <is>
          <t>VÄRMLANDS LÄN</t>
        </is>
      </c>
      <c r="E1046" t="inlineStr">
        <is>
          <t>TORSBY</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15087-2023</t>
        </is>
      </c>
      <c r="B1047" s="1" t="n">
        <v>45016</v>
      </c>
      <c r="C1047" s="1" t="n">
        <v>45880</v>
      </c>
      <c r="D1047" t="inlineStr">
        <is>
          <t>VÄRMLANDS LÄN</t>
        </is>
      </c>
      <c r="E1047" t="inlineStr">
        <is>
          <t>TORSBY</t>
        </is>
      </c>
      <c r="F1047" t="inlineStr">
        <is>
          <t>Bergvik skog väst AB</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4070-2024</t>
        </is>
      </c>
      <c r="B1048" s="1" t="n">
        <v>45323</v>
      </c>
      <c r="C1048" s="1" t="n">
        <v>45880</v>
      </c>
      <c r="D1048" t="inlineStr">
        <is>
          <t>VÄRMLANDS LÄN</t>
        </is>
      </c>
      <c r="E1048" t="inlineStr">
        <is>
          <t>TORSBY</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22316-2025</t>
        </is>
      </c>
      <c r="B1049" s="1" t="n">
        <v>45786.39013888889</v>
      </c>
      <c r="C1049" s="1" t="n">
        <v>45880</v>
      </c>
      <c r="D1049" t="inlineStr">
        <is>
          <t>VÄRMLANDS LÄN</t>
        </is>
      </c>
      <c r="E1049" t="inlineStr">
        <is>
          <t>TORSBY</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22386-2025</t>
        </is>
      </c>
      <c r="B1050" s="1" t="n">
        <v>45786.50703703704</v>
      </c>
      <c r="C1050" s="1" t="n">
        <v>45880</v>
      </c>
      <c r="D1050" t="inlineStr">
        <is>
          <t>VÄRMLANDS LÄN</t>
        </is>
      </c>
      <c r="E1050" t="inlineStr">
        <is>
          <t>TORSBY</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22596-2025</t>
        </is>
      </c>
      <c r="B1051" s="1" t="n">
        <v>45789.41362268518</v>
      </c>
      <c r="C1051" s="1" t="n">
        <v>45880</v>
      </c>
      <c r="D1051" t="inlineStr">
        <is>
          <t>VÄRMLANDS LÄN</t>
        </is>
      </c>
      <c r="E1051" t="inlineStr">
        <is>
          <t>TORSBY</t>
        </is>
      </c>
      <c r="F1051" t="inlineStr">
        <is>
          <t>Bergvik skog väst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17001-2024</t>
        </is>
      </c>
      <c r="B1052" s="1" t="n">
        <v>45412.35605324074</v>
      </c>
      <c r="C1052" s="1" t="n">
        <v>45880</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43545-2024</t>
        </is>
      </c>
      <c r="B1053" s="1" t="n">
        <v>45569.36980324074</v>
      </c>
      <c r="C1053" s="1" t="n">
        <v>45880</v>
      </c>
      <c r="D1053" t="inlineStr">
        <is>
          <t>VÄRMLANDS LÄN</t>
        </is>
      </c>
      <c r="E1053" t="inlineStr">
        <is>
          <t>TORSBY</t>
        </is>
      </c>
      <c r="F1053" t="inlineStr">
        <is>
          <t>Bergvik skog väst AB</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30267-2023</t>
        </is>
      </c>
      <c r="B1054" s="1" t="n">
        <v>45110.75915509259</v>
      </c>
      <c r="C1054" s="1" t="n">
        <v>45880</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30269-2023</t>
        </is>
      </c>
      <c r="B1055" s="1" t="n">
        <v>45110.76082175926</v>
      </c>
      <c r="C1055" s="1" t="n">
        <v>45880</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42457-2024</t>
        </is>
      </c>
      <c r="B1056" s="1" t="n">
        <v>45565.46346064815</v>
      </c>
      <c r="C1056" s="1" t="n">
        <v>45880</v>
      </c>
      <c r="D1056" t="inlineStr">
        <is>
          <t>VÄRMLANDS LÄN</t>
        </is>
      </c>
      <c r="E1056" t="inlineStr">
        <is>
          <t>TORSBY</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70926-2021</t>
        </is>
      </c>
      <c r="B1057" s="1" t="n">
        <v>44538</v>
      </c>
      <c r="C1057" s="1" t="n">
        <v>45880</v>
      </c>
      <c r="D1057" t="inlineStr">
        <is>
          <t>VÄRMLANDS LÄN</t>
        </is>
      </c>
      <c r="E1057" t="inlineStr">
        <is>
          <t>TORSBY</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21580-2024</t>
        </is>
      </c>
      <c r="B1058" s="1" t="n">
        <v>45441</v>
      </c>
      <c r="C1058" s="1" t="n">
        <v>45880</v>
      </c>
      <c r="D1058" t="inlineStr">
        <is>
          <t>VÄRMLANDS LÄN</t>
        </is>
      </c>
      <c r="E1058" t="inlineStr">
        <is>
          <t>TORSBY</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36558-2024</t>
        </is>
      </c>
      <c r="B1059" s="1" t="n">
        <v>45537</v>
      </c>
      <c r="C1059" s="1" t="n">
        <v>45880</v>
      </c>
      <c r="D1059" t="inlineStr">
        <is>
          <t>VÄRMLANDS LÄN</t>
        </is>
      </c>
      <c r="E1059" t="inlineStr">
        <is>
          <t>TORSBY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10979-2025</t>
        </is>
      </c>
      <c r="B1060" s="1" t="n">
        <v>45723.39988425926</v>
      </c>
      <c r="C1060" s="1" t="n">
        <v>45880</v>
      </c>
      <c r="D1060" t="inlineStr">
        <is>
          <t>VÄRMLANDS LÄN</t>
        </is>
      </c>
      <c r="E1060" t="inlineStr">
        <is>
          <t>TORSBY</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19253-2025</t>
        </is>
      </c>
      <c r="B1061" s="1" t="n">
        <v>45769</v>
      </c>
      <c r="C1061" s="1" t="n">
        <v>45880</v>
      </c>
      <c r="D1061" t="inlineStr">
        <is>
          <t>VÄRMLANDS LÄN</t>
        </is>
      </c>
      <c r="E1061" t="inlineStr">
        <is>
          <t>TORSBY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22954-2025</t>
        </is>
      </c>
      <c r="B1062" s="1" t="n">
        <v>45790.5184375</v>
      </c>
      <c r="C1062" s="1" t="n">
        <v>45880</v>
      </c>
      <c r="D1062" t="inlineStr">
        <is>
          <t>VÄRMLANDS LÄN</t>
        </is>
      </c>
      <c r="E1062" t="inlineStr">
        <is>
          <t>TORSBY</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46343-2024</t>
        </is>
      </c>
      <c r="B1063" s="1" t="n">
        <v>45582</v>
      </c>
      <c r="C1063" s="1" t="n">
        <v>45880</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22760-2025</t>
        </is>
      </c>
      <c r="B1064" s="1" t="n">
        <v>45789</v>
      </c>
      <c r="C1064" s="1" t="n">
        <v>45880</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14709-2023</t>
        </is>
      </c>
      <c r="B1065" s="1" t="n">
        <v>45014.41900462963</v>
      </c>
      <c r="C1065" s="1" t="n">
        <v>45880</v>
      </c>
      <c r="D1065" t="inlineStr">
        <is>
          <t>VÄRMLANDS LÄN</t>
        </is>
      </c>
      <c r="E1065" t="inlineStr">
        <is>
          <t>TORSBY</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16488-2024</t>
        </is>
      </c>
      <c r="B1066" s="1" t="n">
        <v>45408.34597222223</v>
      </c>
      <c r="C1066" s="1" t="n">
        <v>45880</v>
      </c>
      <c r="D1066" t="inlineStr">
        <is>
          <t>VÄRMLANDS LÄN</t>
        </is>
      </c>
      <c r="E1066" t="inlineStr">
        <is>
          <t>TORSBY</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42414-2024</t>
        </is>
      </c>
      <c r="B1067" s="1" t="n">
        <v>45565</v>
      </c>
      <c r="C1067" s="1" t="n">
        <v>45880</v>
      </c>
      <c r="D1067" t="inlineStr">
        <is>
          <t>VÄRMLANDS LÄN</t>
        </is>
      </c>
      <c r="E1067" t="inlineStr">
        <is>
          <t>TORSBY</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39771-2024</t>
        </is>
      </c>
      <c r="B1068" s="1" t="n">
        <v>45552</v>
      </c>
      <c r="C1068" s="1" t="n">
        <v>45880</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46503-2021</t>
        </is>
      </c>
      <c r="B1069" s="1" t="n">
        <v>44445.41729166666</v>
      </c>
      <c r="C1069" s="1" t="n">
        <v>45880</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36175-2024</t>
        </is>
      </c>
      <c r="B1070" s="1" t="n">
        <v>45534.40834490741</v>
      </c>
      <c r="C1070" s="1" t="n">
        <v>45880</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2471-2023</t>
        </is>
      </c>
      <c r="B1071" s="1" t="n">
        <v>44943.48373842592</v>
      </c>
      <c r="C1071" s="1" t="n">
        <v>45880</v>
      </c>
      <c r="D1071" t="inlineStr">
        <is>
          <t>VÄRMLANDS LÄN</t>
        </is>
      </c>
      <c r="E1071" t="inlineStr">
        <is>
          <t>TORSBY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61510-2022</t>
        </is>
      </c>
      <c r="B1072" s="1" t="n">
        <v>44916.49820601852</v>
      </c>
      <c r="C1072" s="1" t="n">
        <v>45880</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7636-2024</t>
        </is>
      </c>
      <c r="B1073" s="1" t="n">
        <v>45348</v>
      </c>
      <c r="C1073" s="1" t="n">
        <v>45880</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5351-2024</t>
        </is>
      </c>
      <c r="B1074" s="1" t="n">
        <v>45331.45199074074</v>
      </c>
      <c r="C1074" s="1" t="n">
        <v>45880</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3536-2024</t>
        </is>
      </c>
      <c r="B1075" s="1" t="n">
        <v>45320</v>
      </c>
      <c r="C1075" s="1" t="n">
        <v>45880</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60737-2022</t>
        </is>
      </c>
      <c r="B1076" s="1" t="n">
        <v>44913.88537037037</v>
      </c>
      <c r="C1076" s="1" t="n">
        <v>45880</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41501-2024</t>
        </is>
      </c>
      <c r="B1077" s="1" t="n">
        <v>45560</v>
      </c>
      <c r="C1077" s="1" t="n">
        <v>45880</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23126-2025</t>
        </is>
      </c>
      <c r="B1078" s="1" t="n">
        <v>45791.38447916666</v>
      </c>
      <c r="C1078" s="1" t="n">
        <v>45880</v>
      </c>
      <c r="D1078" t="inlineStr">
        <is>
          <t>VÄRMLANDS LÄN</t>
        </is>
      </c>
      <c r="E1078" t="inlineStr">
        <is>
          <t>TORSBY</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55485-2023</t>
        </is>
      </c>
      <c r="B1079" s="1" t="n">
        <v>45238.52023148148</v>
      </c>
      <c r="C1079" s="1" t="n">
        <v>45880</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30370-2023</t>
        </is>
      </c>
      <c r="B1080" s="1" t="n">
        <v>45111</v>
      </c>
      <c r="C1080" s="1" t="n">
        <v>45880</v>
      </c>
      <c r="D1080" t="inlineStr">
        <is>
          <t>VÄRMLANDS LÄN</t>
        </is>
      </c>
      <c r="E1080" t="inlineStr">
        <is>
          <t>TORSBY</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6656-2021</t>
        </is>
      </c>
      <c r="B1081" s="1" t="n">
        <v>44236</v>
      </c>
      <c r="C1081" s="1" t="n">
        <v>45880</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392-2025</t>
        </is>
      </c>
      <c r="B1082" s="1" t="n">
        <v>45663.35111111111</v>
      </c>
      <c r="C1082" s="1" t="n">
        <v>45880</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18676-2025</t>
        </is>
      </c>
      <c r="B1083" s="1" t="n">
        <v>45763</v>
      </c>
      <c r="C1083" s="1" t="n">
        <v>45880</v>
      </c>
      <c r="D1083" t="inlineStr">
        <is>
          <t>VÄRMLANDS LÄN</t>
        </is>
      </c>
      <c r="E1083" t="inlineStr">
        <is>
          <t>TORSBY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50147-2023</t>
        </is>
      </c>
      <c r="B1084" s="1" t="n">
        <v>45215</v>
      </c>
      <c r="C1084" s="1" t="n">
        <v>45880</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10579-2021</t>
        </is>
      </c>
      <c r="B1085" s="1" t="n">
        <v>44257</v>
      </c>
      <c r="C1085" s="1" t="n">
        <v>45880</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23367-2025</t>
        </is>
      </c>
      <c r="B1086" s="1" t="n">
        <v>45791.69582175926</v>
      </c>
      <c r="C1086" s="1" t="n">
        <v>45880</v>
      </c>
      <c r="D1086" t="inlineStr">
        <is>
          <t>VÄRMLANDS LÄN</t>
        </is>
      </c>
      <c r="E1086" t="inlineStr">
        <is>
          <t>TORSBY</t>
        </is>
      </c>
      <c r="G1086" t="n">
        <v>9.800000000000001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34906-2024</t>
        </is>
      </c>
      <c r="B1087" s="1" t="n">
        <v>45527</v>
      </c>
      <c r="C1087" s="1" t="n">
        <v>45880</v>
      </c>
      <c r="D1087" t="inlineStr">
        <is>
          <t>VÄRMLANDS LÄN</t>
        </is>
      </c>
      <c r="E1087" t="inlineStr">
        <is>
          <t>TORSBY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11447-2022</t>
        </is>
      </c>
      <c r="B1088" s="1" t="n">
        <v>44630</v>
      </c>
      <c r="C1088" s="1" t="n">
        <v>45880</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58948-2024</t>
        </is>
      </c>
      <c r="B1089" s="1" t="n">
        <v>45636</v>
      </c>
      <c r="C1089" s="1" t="n">
        <v>45880</v>
      </c>
      <c r="D1089" t="inlineStr">
        <is>
          <t>VÄRMLANDS LÄN</t>
        </is>
      </c>
      <c r="E1089" t="inlineStr">
        <is>
          <t>TORSBY</t>
        </is>
      </c>
      <c r="F1089" t="inlineStr">
        <is>
          <t>Bergvik skog väst AB</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40718-2022</t>
        </is>
      </c>
      <c r="B1090" s="1" t="n">
        <v>44824.49635416667</v>
      </c>
      <c r="C1090" s="1" t="n">
        <v>45880</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54790-2024</t>
        </is>
      </c>
      <c r="B1091" s="1" t="n">
        <v>45618</v>
      </c>
      <c r="C1091" s="1" t="n">
        <v>45880</v>
      </c>
      <c r="D1091" t="inlineStr">
        <is>
          <t>VÄRMLANDS LÄN</t>
        </is>
      </c>
      <c r="E1091" t="inlineStr">
        <is>
          <t>TORSBY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33078-2024</t>
        </is>
      </c>
      <c r="B1092" s="1" t="n">
        <v>45517</v>
      </c>
      <c r="C1092" s="1" t="n">
        <v>45880</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4908-2024</t>
        </is>
      </c>
      <c r="B1093" s="1" t="n">
        <v>45329</v>
      </c>
      <c r="C1093" s="1" t="n">
        <v>45880</v>
      </c>
      <c r="D1093" t="inlineStr">
        <is>
          <t>VÄRMLANDS LÄN</t>
        </is>
      </c>
      <c r="E1093" t="inlineStr">
        <is>
          <t>TORSBY</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31351-2024</t>
        </is>
      </c>
      <c r="B1094" s="1" t="n">
        <v>45505</v>
      </c>
      <c r="C1094" s="1" t="n">
        <v>45880</v>
      </c>
      <c r="D1094" t="inlineStr">
        <is>
          <t>VÄRMLANDS LÄN</t>
        </is>
      </c>
      <c r="E1094" t="inlineStr">
        <is>
          <t>TORSBY</t>
        </is>
      </c>
      <c r="F1094" t="inlineStr">
        <is>
          <t>Kyrkan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62957-2023</t>
        </is>
      </c>
      <c r="B1095" s="1" t="n">
        <v>45271</v>
      </c>
      <c r="C1095" s="1" t="n">
        <v>45880</v>
      </c>
      <c r="D1095" t="inlineStr">
        <is>
          <t>VÄRMLANDS LÄN</t>
        </is>
      </c>
      <c r="E1095" t="inlineStr">
        <is>
          <t>TORSBY</t>
        </is>
      </c>
      <c r="F1095" t="inlineStr">
        <is>
          <t>Övriga statliga verk och myndigheter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13207-2022</t>
        </is>
      </c>
      <c r="B1096" s="1" t="n">
        <v>44644.56116898148</v>
      </c>
      <c r="C1096" s="1" t="n">
        <v>45880</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14575-2025</t>
        </is>
      </c>
      <c r="B1097" s="1" t="n">
        <v>45742.29048611111</v>
      </c>
      <c r="C1097" s="1" t="n">
        <v>45880</v>
      </c>
      <c r="D1097" t="inlineStr">
        <is>
          <t>VÄRMLANDS LÄN</t>
        </is>
      </c>
      <c r="E1097" t="inlineStr">
        <is>
          <t>TORSBY</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23455-2025</t>
        </is>
      </c>
      <c r="B1098" s="1" t="n">
        <v>45792.42520833333</v>
      </c>
      <c r="C1098" s="1" t="n">
        <v>45880</v>
      </c>
      <c r="D1098" t="inlineStr">
        <is>
          <t>VÄRMLANDS LÄN</t>
        </is>
      </c>
      <c r="E1098" t="inlineStr">
        <is>
          <t>TORSBY</t>
        </is>
      </c>
      <c r="F1098" t="inlineStr">
        <is>
          <t>Kyrkan</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22464-2021</t>
        </is>
      </c>
      <c r="B1099" s="1" t="n">
        <v>44326.67932870371</v>
      </c>
      <c r="C1099" s="1" t="n">
        <v>45880</v>
      </c>
      <c r="D1099" t="inlineStr">
        <is>
          <t>VÄRMLANDS LÄN</t>
        </is>
      </c>
      <c r="E1099" t="inlineStr">
        <is>
          <t>TORSBY</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31945-2024</t>
        </is>
      </c>
      <c r="B1100" s="1" t="n">
        <v>45510</v>
      </c>
      <c r="C1100" s="1" t="n">
        <v>45880</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44424-2024</t>
        </is>
      </c>
      <c r="B1101" s="1" t="n">
        <v>45573</v>
      </c>
      <c r="C1101" s="1" t="n">
        <v>45880</v>
      </c>
      <c r="D1101" t="inlineStr">
        <is>
          <t>VÄRMLANDS LÄN</t>
        </is>
      </c>
      <c r="E1101" t="inlineStr">
        <is>
          <t>TORSBY</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47452-2024</t>
        </is>
      </c>
      <c r="B1102" s="1" t="n">
        <v>45587</v>
      </c>
      <c r="C1102" s="1" t="n">
        <v>45880</v>
      </c>
      <c r="D1102" t="inlineStr">
        <is>
          <t>VÄRMLANDS LÄN</t>
        </is>
      </c>
      <c r="E1102" t="inlineStr">
        <is>
          <t>TORSBY</t>
        </is>
      </c>
      <c r="F1102" t="inlineStr">
        <is>
          <t>Övriga Aktiebolag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42403-2023</t>
        </is>
      </c>
      <c r="B1103" s="1" t="n">
        <v>45180.59174768518</v>
      </c>
      <c r="C1103" s="1" t="n">
        <v>45880</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23280-2025</t>
        </is>
      </c>
      <c r="B1104" s="1" t="n">
        <v>45791.57217592592</v>
      </c>
      <c r="C1104" s="1" t="n">
        <v>45880</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46456-2024</t>
        </is>
      </c>
      <c r="B1105" s="1" t="n">
        <v>45582</v>
      </c>
      <c r="C1105" s="1" t="n">
        <v>45880</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22536-2024</t>
        </is>
      </c>
      <c r="B1106" s="1" t="n">
        <v>45447</v>
      </c>
      <c r="C1106" s="1" t="n">
        <v>45880</v>
      </c>
      <c r="D1106" t="inlineStr">
        <is>
          <t>VÄRMLANDS LÄN</t>
        </is>
      </c>
      <c r="E1106" t="inlineStr">
        <is>
          <t>TORSBY</t>
        </is>
      </c>
      <c r="G1106" t="n">
        <v>25.2</v>
      </c>
      <c r="H1106" t="n">
        <v>0</v>
      </c>
      <c r="I1106" t="n">
        <v>0</v>
      </c>
      <c r="J1106" t="n">
        <v>0</v>
      </c>
      <c r="K1106" t="n">
        <v>0</v>
      </c>
      <c r="L1106" t="n">
        <v>0</v>
      </c>
      <c r="M1106" t="n">
        <v>0</v>
      </c>
      <c r="N1106" t="n">
        <v>0</v>
      </c>
      <c r="O1106" t="n">
        <v>0</v>
      </c>
      <c r="P1106" t="n">
        <v>0</v>
      </c>
      <c r="Q1106" t="n">
        <v>0</v>
      </c>
      <c r="R1106" s="2" t="inlineStr"/>
    </row>
    <row r="1107" ht="15" customHeight="1">
      <c r="A1107" t="inlineStr">
        <is>
          <t>A 50680-2023</t>
        </is>
      </c>
      <c r="B1107" s="1" t="n">
        <v>45217.5165625</v>
      </c>
      <c r="C1107" s="1" t="n">
        <v>45880</v>
      </c>
      <c r="D1107" t="inlineStr">
        <is>
          <t>VÄRMLANDS LÄN</t>
        </is>
      </c>
      <c r="E1107" t="inlineStr">
        <is>
          <t>TORSBY</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58259-2024</t>
        </is>
      </c>
      <c r="B1108" s="1" t="n">
        <v>45632.56155092592</v>
      </c>
      <c r="C1108" s="1" t="n">
        <v>45880</v>
      </c>
      <c r="D1108" t="inlineStr">
        <is>
          <t>VÄRMLANDS LÄN</t>
        </is>
      </c>
      <c r="E1108" t="inlineStr">
        <is>
          <t>TORSBY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34568-2024</t>
        </is>
      </c>
      <c r="B1109" s="1" t="n">
        <v>45526</v>
      </c>
      <c r="C1109" s="1" t="n">
        <v>45880</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23557-2025</t>
        </is>
      </c>
      <c r="B1110" s="1" t="n">
        <v>45792.58086805556</v>
      </c>
      <c r="C1110" s="1" t="n">
        <v>45880</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23356-2025</t>
        </is>
      </c>
      <c r="B1111" s="1" t="n">
        <v>45791</v>
      </c>
      <c r="C1111" s="1" t="n">
        <v>45880</v>
      </c>
      <c r="D1111" t="inlineStr">
        <is>
          <t>VÄRMLANDS LÄN</t>
        </is>
      </c>
      <c r="E1111" t="inlineStr">
        <is>
          <t>TORSBY</t>
        </is>
      </c>
      <c r="F1111" t="inlineStr">
        <is>
          <t>Bergvik skog väst AB</t>
        </is>
      </c>
      <c r="G1111" t="n">
        <v>15.9</v>
      </c>
      <c r="H1111" t="n">
        <v>0</v>
      </c>
      <c r="I1111" t="n">
        <v>0</v>
      </c>
      <c r="J1111" t="n">
        <v>0</v>
      </c>
      <c r="K1111" t="n">
        <v>0</v>
      </c>
      <c r="L1111" t="n">
        <v>0</v>
      </c>
      <c r="M1111" t="n">
        <v>0</v>
      </c>
      <c r="N1111" t="n">
        <v>0</v>
      </c>
      <c r="O1111" t="n">
        <v>0</v>
      </c>
      <c r="P1111" t="n">
        <v>0</v>
      </c>
      <c r="Q1111" t="n">
        <v>0</v>
      </c>
      <c r="R1111" s="2" t="inlineStr"/>
    </row>
    <row r="1112" ht="15" customHeight="1">
      <c r="A1112" t="inlineStr">
        <is>
          <t>A 52592-2024</t>
        </is>
      </c>
      <c r="B1112" s="1" t="n">
        <v>45609</v>
      </c>
      <c r="C1112" s="1" t="n">
        <v>45880</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45231-2023</t>
        </is>
      </c>
      <c r="B1113" s="1" t="n">
        <v>45191</v>
      </c>
      <c r="C1113" s="1" t="n">
        <v>45880</v>
      </c>
      <c r="D1113" t="inlineStr">
        <is>
          <t>VÄRMLANDS LÄN</t>
        </is>
      </c>
      <c r="E1113" t="inlineStr">
        <is>
          <t>TORSBY</t>
        </is>
      </c>
      <c r="F1113" t="inlineStr">
        <is>
          <t>Bergvik skog väst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43988-2024</t>
        </is>
      </c>
      <c r="B1114" s="1" t="n">
        <v>45572</v>
      </c>
      <c r="C1114" s="1" t="n">
        <v>45880</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8284-2023</t>
        </is>
      </c>
      <c r="B1115" s="1" t="n">
        <v>44974.64714120371</v>
      </c>
      <c r="C1115" s="1" t="n">
        <v>45880</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45812-2024</t>
        </is>
      </c>
      <c r="B1116" s="1" t="n">
        <v>45579</v>
      </c>
      <c r="C1116" s="1" t="n">
        <v>45880</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45849-2024</t>
        </is>
      </c>
      <c r="B1117" s="1" t="n">
        <v>45580</v>
      </c>
      <c r="C1117" s="1" t="n">
        <v>45880</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53297-2024</t>
        </is>
      </c>
      <c r="B1118" s="1" t="n">
        <v>45614.38802083334</v>
      </c>
      <c r="C1118" s="1" t="n">
        <v>45880</v>
      </c>
      <c r="D1118" t="inlineStr">
        <is>
          <t>VÄRMLANDS LÄN</t>
        </is>
      </c>
      <c r="E1118" t="inlineStr">
        <is>
          <t>TORSBY</t>
        </is>
      </c>
      <c r="F1118" t="inlineStr">
        <is>
          <t>Bergvik skog väst AB</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23287-2025</t>
        </is>
      </c>
      <c r="B1119" s="1" t="n">
        <v>45791.5816087963</v>
      </c>
      <c r="C1119" s="1" t="n">
        <v>45880</v>
      </c>
      <c r="D1119" t="inlineStr">
        <is>
          <t>VÄRMLANDS LÄN</t>
        </is>
      </c>
      <c r="E1119" t="inlineStr">
        <is>
          <t>TORSBY</t>
        </is>
      </c>
      <c r="F1119" t="inlineStr">
        <is>
          <t>Bergvik skog väst AB</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45129-2024</t>
        </is>
      </c>
      <c r="B1120" s="1" t="n">
        <v>45575</v>
      </c>
      <c r="C1120" s="1" t="n">
        <v>45880</v>
      </c>
      <c r="D1120" t="inlineStr">
        <is>
          <t>VÄRMLANDS LÄN</t>
        </is>
      </c>
      <c r="E1120" t="inlineStr">
        <is>
          <t>TORSBY</t>
        </is>
      </c>
      <c r="F1120" t="inlineStr">
        <is>
          <t>Bergvik skog väst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43599-2023</t>
        </is>
      </c>
      <c r="B1121" s="1" t="n">
        <v>45184</v>
      </c>
      <c r="C1121" s="1" t="n">
        <v>45880</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8016-2023</t>
        </is>
      </c>
      <c r="B1122" s="1" t="n">
        <v>44973</v>
      </c>
      <c r="C1122" s="1" t="n">
        <v>45880</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53368-2024</t>
        </is>
      </c>
      <c r="B1123" s="1" t="n">
        <v>45614</v>
      </c>
      <c r="C1123" s="1" t="n">
        <v>45880</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73324-2021</t>
        </is>
      </c>
      <c r="B1124" s="1" t="n">
        <v>44550</v>
      </c>
      <c r="C1124" s="1" t="n">
        <v>45880</v>
      </c>
      <c r="D1124" t="inlineStr">
        <is>
          <t>VÄRMLANDS LÄN</t>
        </is>
      </c>
      <c r="E1124" t="inlineStr">
        <is>
          <t>TORSBY</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32433-2025</t>
        </is>
      </c>
      <c r="B1125" s="1" t="n">
        <v>45838.37252314815</v>
      </c>
      <c r="C1125" s="1" t="n">
        <v>45880</v>
      </c>
      <c r="D1125" t="inlineStr">
        <is>
          <t>VÄRMLANDS LÄN</t>
        </is>
      </c>
      <c r="E1125" t="inlineStr">
        <is>
          <t>TORSBY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34961-2024</t>
        </is>
      </c>
      <c r="B1126" s="1" t="n">
        <v>45527.48923611111</v>
      </c>
      <c r="C1126" s="1" t="n">
        <v>45880</v>
      </c>
      <c r="D1126" t="inlineStr">
        <is>
          <t>VÄRMLANDS LÄN</t>
        </is>
      </c>
      <c r="E1126" t="inlineStr">
        <is>
          <t>TORSBY</t>
        </is>
      </c>
      <c r="F1126" t="inlineStr">
        <is>
          <t>Bergvik skog väst AB</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60710-2024</t>
        </is>
      </c>
      <c r="B1127" s="1" t="n">
        <v>45643</v>
      </c>
      <c r="C1127" s="1" t="n">
        <v>45880</v>
      </c>
      <c r="D1127" t="inlineStr">
        <is>
          <t>VÄRMLANDS LÄN</t>
        </is>
      </c>
      <c r="E1127" t="inlineStr">
        <is>
          <t>TORSBY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13896-2022</t>
        </is>
      </c>
      <c r="B1128" s="1" t="n">
        <v>44650</v>
      </c>
      <c r="C1128" s="1" t="n">
        <v>45880</v>
      </c>
      <c r="D1128" t="inlineStr">
        <is>
          <t>VÄRMLANDS LÄN</t>
        </is>
      </c>
      <c r="E1128" t="inlineStr">
        <is>
          <t>TORSBY</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4078-2024</t>
        </is>
      </c>
      <c r="B1129" s="1" t="n">
        <v>45323</v>
      </c>
      <c r="C1129" s="1" t="n">
        <v>45880</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42656-2023</t>
        </is>
      </c>
      <c r="B1130" s="1" t="n">
        <v>45181.53928240741</v>
      </c>
      <c r="C1130" s="1" t="n">
        <v>45880</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14084-2025</t>
        </is>
      </c>
      <c r="B1131" s="1" t="n">
        <v>45740.44010416666</v>
      </c>
      <c r="C1131" s="1" t="n">
        <v>45880</v>
      </c>
      <c r="D1131" t="inlineStr">
        <is>
          <t>VÄRMLANDS LÄN</t>
        </is>
      </c>
      <c r="E1131" t="inlineStr">
        <is>
          <t>TORSBY</t>
        </is>
      </c>
      <c r="F1131" t="inlineStr">
        <is>
          <t>Bergvik skog väst AB</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20968-2024</t>
        </is>
      </c>
      <c r="B1132" s="1" t="n">
        <v>45439</v>
      </c>
      <c r="C1132" s="1" t="n">
        <v>45880</v>
      </c>
      <c r="D1132" t="inlineStr">
        <is>
          <t>VÄRMLANDS LÄN</t>
        </is>
      </c>
      <c r="E1132" t="inlineStr">
        <is>
          <t>TORSBY</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24827-2025</t>
        </is>
      </c>
      <c r="B1133" s="1" t="n">
        <v>45799.45724537037</v>
      </c>
      <c r="C1133" s="1" t="n">
        <v>45880</v>
      </c>
      <c r="D1133" t="inlineStr">
        <is>
          <t>VÄRMLANDS LÄN</t>
        </is>
      </c>
      <c r="E1133" t="inlineStr">
        <is>
          <t>TORSBY</t>
        </is>
      </c>
      <c r="G1133" t="n">
        <v>27.5</v>
      </c>
      <c r="H1133" t="n">
        <v>0</v>
      </c>
      <c r="I1133" t="n">
        <v>0</v>
      </c>
      <c r="J1133" t="n">
        <v>0</v>
      </c>
      <c r="K1133" t="n">
        <v>0</v>
      </c>
      <c r="L1133" t="n">
        <v>0</v>
      </c>
      <c r="M1133" t="n">
        <v>0</v>
      </c>
      <c r="N1133" t="n">
        <v>0</v>
      </c>
      <c r="O1133" t="n">
        <v>0</v>
      </c>
      <c r="P1133" t="n">
        <v>0</v>
      </c>
      <c r="Q1133" t="n">
        <v>0</v>
      </c>
      <c r="R1133" s="2" t="inlineStr"/>
    </row>
    <row r="1134" ht="15" customHeight="1">
      <c r="A1134" t="inlineStr">
        <is>
          <t>A 32134-2025</t>
        </is>
      </c>
      <c r="B1134" s="1" t="n">
        <v>45835.5102662037</v>
      </c>
      <c r="C1134" s="1" t="n">
        <v>45880</v>
      </c>
      <c r="D1134" t="inlineStr">
        <is>
          <t>VÄRMLANDS LÄN</t>
        </is>
      </c>
      <c r="E1134" t="inlineStr">
        <is>
          <t>TORSBY</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22705-2023</t>
        </is>
      </c>
      <c r="B1135" s="1" t="n">
        <v>45071</v>
      </c>
      <c r="C1135" s="1" t="n">
        <v>45880</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41631-2024</t>
        </is>
      </c>
      <c r="B1136" s="1" t="n">
        <v>45560</v>
      </c>
      <c r="C1136" s="1" t="n">
        <v>45880</v>
      </c>
      <c r="D1136" t="inlineStr">
        <is>
          <t>VÄRMLANDS LÄN</t>
        </is>
      </c>
      <c r="E1136" t="inlineStr">
        <is>
          <t>TORSBY</t>
        </is>
      </c>
      <c r="F1136" t="inlineStr">
        <is>
          <t>Bergvik skog väst AB</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66459-2020</t>
        </is>
      </c>
      <c r="B1137" s="1" t="n">
        <v>44176</v>
      </c>
      <c r="C1137" s="1" t="n">
        <v>45880</v>
      </c>
      <c r="D1137" t="inlineStr">
        <is>
          <t>VÄRMLANDS LÄN</t>
        </is>
      </c>
      <c r="E1137" t="inlineStr">
        <is>
          <t>TORSBY</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24111-2025</t>
        </is>
      </c>
      <c r="B1138" s="1" t="n">
        <v>45796.60822916667</v>
      </c>
      <c r="C1138" s="1" t="n">
        <v>45880</v>
      </c>
      <c r="D1138" t="inlineStr">
        <is>
          <t>VÄRMLANDS LÄN</t>
        </is>
      </c>
      <c r="E1138" t="inlineStr">
        <is>
          <t>TORSBY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53358-2024</t>
        </is>
      </c>
      <c r="B1139" s="1" t="n">
        <v>45614</v>
      </c>
      <c r="C1139" s="1" t="n">
        <v>45880</v>
      </c>
      <c r="D1139" t="inlineStr">
        <is>
          <t>VÄRMLANDS LÄN</t>
        </is>
      </c>
      <c r="E1139" t="inlineStr">
        <is>
          <t>TORSBY</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24069-2025</t>
        </is>
      </c>
      <c r="B1140" s="1" t="n">
        <v>45796.53997685185</v>
      </c>
      <c r="C1140" s="1" t="n">
        <v>45880</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24112-2025</t>
        </is>
      </c>
      <c r="B1141" s="1" t="n">
        <v>45796</v>
      </c>
      <c r="C1141" s="1" t="n">
        <v>45880</v>
      </c>
      <c r="D1141" t="inlineStr">
        <is>
          <t>VÄRMLANDS LÄN</t>
        </is>
      </c>
      <c r="E1141" t="inlineStr">
        <is>
          <t>TORSBY</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8054-2022</t>
        </is>
      </c>
      <c r="B1142" s="1" t="n">
        <v>44609</v>
      </c>
      <c r="C1142" s="1" t="n">
        <v>45880</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21542-2024</t>
        </is>
      </c>
      <c r="B1143" s="1" t="n">
        <v>45441</v>
      </c>
      <c r="C1143" s="1" t="n">
        <v>45880</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2195-2025</t>
        </is>
      </c>
      <c r="B1144" s="1" t="n">
        <v>45673.38138888889</v>
      </c>
      <c r="C1144" s="1" t="n">
        <v>45880</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58976-2024</t>
        </is>
      </c>
      <c r="B1145" s="1" t="n">
        <v>45636.6081712963</v>
      </c>
      <c r="C1145" s="1" t="n">
        <v>45880</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46914-2024</t>
        </is>
      </c>
      <c r="B1146" s="1" t="n">
        <v>45583.7577662037</v>
      </c>
      <c r="C1146" s="1" t="n">
        <v>45880</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32191-2025</t>
        </is>
      </c>
      <c r="B1147" s="1" t="n">
        <v>45835.57099537037</v>
      </c>
      <c r="C1147" s="1" t="n">
        <v>45880</v>
      </c>
      <c r="D1147" t="inlineStr">
        <is>
          <t>VÄRMLANDS LÄN</t>
        </is>
      </c>
      <c r="E1147" t="inlineStr">
        <is>
          <t>TORSBY</t>
        </is>
      </c>
      <c r="F1147" t="inlineStr">
        <is>
          <t>Bergvik skog väst AB</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32624-2025</t>
        </is>
      </c>
      <c r="B1148" s="1" t="n">
        <v>45838.64796296296</v>
      </c>
      <c r="C1148" s="1" t="n">
        <v>45880</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32319-2024</t>
        </is>
      </c>
      <c r="B1149" s="1" t="n">
        <v>45512.4621875</v>
      </c>
      <c r="C1149" s="1" t="n">
        <v>45880</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40207-2023</t>
        </is>
      </c>
      <c r="B1150" s="1" t="n">
        <v>45169.44604166667</v>
      </c>
      <c r="C1150" s="1" t="n">
        <v>45880</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59080-2024</t>
        </is>
      </c>
      <c r="B1151" s="1" t="n">
        <v>45637</v>
      </c>
      <c r="C1151" s="1" t="n">
        <v>45880</v>
      </c>
      <c r="D1151" t="inlineStr">
        <is>
          <t>VÄRMLANDS LÄN</t>
        </is>
      </c>
      <c r="E1151" t="inlineStr">
        <is>
          <t>TORSBY</t>
        </is>
      </c>
      <c r="F1151" t="inlineStr">
        <is>
          <t>Bergvik skog väst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5763-2023</t>
        </is>
      </c>
      <c r="B1152" s="1" t="n">
        <v>44963.36383101852</v>
      </c>
      <c r="C1152" s="1" t="n">
        <v>45880</v>
      </c>
      <c r="D1152" t="inlineStr">
        <is>
          <t>VÄRMLANDS LÄN</t>
        </is>
      </c>
      <c r="E1152" t="inlineStr">
        <is>
          <t>TORSBY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60272-2024</t>
        </is>
      </c>
      <c r="B1153" s="1" t="n">
        <v>45642</v>
      </c>
      <c r="C1153" s="1" t="n">
        <v>45880</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32348-2025</t>
        </is>
      </c>
      <c r="B1154" s="1" t="n">
        <v>45837.47078703704</v>
      </c>
      <c r="C1154" s="1" t="n">
        <v>45880</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68603-2020</t>
        </is>
      </c>
      <c r="B1155" s="1" t="n">
        <v>44186</v>
      </c>
      <c r="C1155" s="1" t="n">
        <v>45880</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32343-2025</t>
        </is>
      </c>
      <c r="B1156" s="1" t="n">
        <v>45837.37171296297</v>
      </c>
      <c r="C1156" s="1" t="n">
        <v>45880</v>
      </c>
      <c r="D1156" t="inlineStr">
        <is>
          <t>VÄRMLANDS LÄN</t>
        </is>
      </c>
      <c r="E1156" t="inlineStr">
        <is>
          <t>TORSBY</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39772-2024</t>
        </is>
      </c>
      <c r="B1157" s="1" t="n">
        <v>45552</v>
      </c>
      <c r="C1157" s="1" t="n">
        <v>45880</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54822-2023</t>
        </is>
      </c>
      <c r="B1158" s="1" t="n">
        <v>45229</v>
      </c>
      <c r="C1158" s="1" t="n">
        <v>45880</v>
      </c>
      <c r="D1158" t="inlineStr">
        <is>
          <t>VÄRMLANDS LÄN</t>
        </is>
      </c>
      <c r="E1158" t="inlineStr">
        <is>
          <t>TORSBY</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45134-2024</t>
        </is>
      </c>
      <c r="B1159" s="1" t="n">
        <v>45575</v>
      </c>
      <c r="C1159" s="1" t="n">
        <v>45880</v>
      </c>
      <c r="D1159" t="inlineStr">
        <is>
          <t>VÄRMLANDS LÄN</t>
        </is>
      </c>
      <c r="E1159" t="inlineStr">
        <is>
          <t>TORSBY</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73553-2021</t>
        </is>
      </c>
      <c r="B1160" s="1" t="n">
        <v>44551</v>
      </c>
      <c r="C1160" s="1" t="n">
        <v>45880</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44342-2024</t>
        </is>
      </c>
      <c r="B1161" s="1" t="n">
        <v>45573.61793981482</v>
      </c>
      <c r="C1161" s="1" t="n">
        <v>45880</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15660-2025</t>
        </is>
      </c>
      <c r="B1162" s="1" t="n">
        <v>45748</v>
      </c>
      <c r="C1162" s="1" t="n">
        <v>45880</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37985-2022</t>
        </is>
      </c>
      <c r="B1163" s="1" t="n">
        <v>44811</v>
      </c>
      <c r="C1163" s="1" t="n">
        <v>45880</v>
      </c>
      <c r="D1163" t="inlineStr">
        <is>
          <t>VÄRMLANDS LÄN</t>
        </is>
      </c>
      <c r="E1163" t="inlineStr">
        <is>
          <t>TORSBY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11427-2025</t>
        </is>
      </c>
      <c r="B1164" s="1" t="n">
        <v>45726</v>
      </c>
      <c r="C1164" s="1" t="n">
        <v>45880</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3223-2025</t>
        </is>
      </c>
      <c r="B1165" s="1" t="n">
        <v>45679</v>
      </c>
      <c r="C1165" s="1" t="n">
        <v>45880</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3226-2025</t>
        </is>
      </c>
      <c r="B1166" s="1" t="n">
        <v>45679.48003472222</v>
      </c>
      <c r="C1166" s="1" t="n">
        <v>45880</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56509-2024</t>
        </is>
      </c>
      <c r="B1167" s="1" t="n">
        <v>45625</v>
      </c>
      <c r="C1167" s="1" t="n">
        <v>45880</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49936-2024</t>
        </is>
      </c>
      <c r="B1168" s="1" t="n">
        <v>45597</v>
      </c>
      <c r="C1168" s="1" t="n">
        <v>45880</v>
      </c>
      <c r="D1168" t="inlineStr">
        <is>
          <t>VÄRMLANDS LÄN</t>
        </is>
      </c>
      <c r="E1168" t="inlineStr">
        <is>
          <t>TORSBY</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22634-2023</t>
        </is>
      </c>
      <c r="B1169" s="1" t="n">
        <v>45071</v>
      </c>
      <c r="C1169" s="1" t="n">
        <v>45880</v>
      </c>
      <c r="D1169" t="inlineStr">
        <is>
          <t>VÄRMLANDS LÄN</t>
        </is>
      </c>
      <c r="E1169" t="inlineStr">
        <is>
          <t>TORSBY</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57469-2024</t>
        </is>
      </c>
      <c r="B1170" s="1" t="n">
        <v>45630</v>
      </c>
      <c r="C1170" s="1" t="n">
        <v>45880</v>
      </c>
      <c r="D1170" t="inlineStr">
        <is>
          <t>VÄRMLANDS LÄN</t>
        </is>
      </c>
      <c r="E1170" t="inlineStr">
        <is>
          <t>TORSBY</t>
        </is>
      </c>
      <c r="F1170" t="inlineStr">
        <is>
          <t>Bergvik skog väst AB</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47619-2024</t>
        </is>
      </c>
      <c r="B1171" s="1" t="n">
        <v>45588.32371527778</v>
      </c>
      <c r="C1171" s="1" t="n">
        <v>45880</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2699-2022</t>
        </is>
      </c>
      <c r="B1172" s="1" t="n">
        <v>44580.62828703703</v>
      </c>
      <c r="C1172" s="1" t="n">
        <v>45880</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14624-2023</t>
        </is>
      </c>
      <c r="B1173" s="1" t="n">
        <v>45013</v>
      </c>
      <c r="C1173" s="1" t="n">
        <v>45880</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11868-2025</t>
        </is>
      </c>
      <c r="B1174" s="1" t="n">
        <v>45728.4225</v>
      </c>
      <c r="C1174" s="1" t="n">
        <v>45880</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23741-2025</t>
        </is>
      </c>
      <c r="B1175" s="1" t="n">
        <v>45793</v>
      </c>
      <c r="C1175" s="1" t="n">
        <v>45880</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24026-2025</t>
        </is>
      </c>
      <c r="B1176" s="1" t="n">
        <v>45796.46841435185</v>
      </c>
      <c r="C1176" s="1" t="n">
        <v>45880</v>
      </c>
      <c r="D1176" t="inlineStr">
        <is>
          <t>VÄRMLANDS LÄN</t>
        </is>
      </c>
      <c r="E1176" t="inlineStr">
        <is>
          <t>TORSBY</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33069-2022</t>
        </is>
      </c>
      <c r="B1177" s="1" t="n">
        <v>44785</v>
      </c>
      <c r="C1177" s="1" t="n">
        <v>45880</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9226-2025</t>
        </is>
      </c>
      <c r="B1178" s="1" t="n">
        <v>45714</v>
      </c>
      <c r="C1178" s="1" t="n">
        <v>45880</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5289-2022</t>
        </is>
      </c>
      <c r="B1179" s="1" t="n">
        <v>44594.61883101852</v>
      </c>
      <c r="C1179" s="1" t="n">
        <v>45880</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10218-2023</t>
        </is>
      </c>
      <c r="B1180" s="1" t="n">
        <v>44986.59697916666</v>
      </c>
      <c r="C1180" s="1" t="n">
        <v>45880</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38979-2023</t>
        </is>
      </c>
      <c r="B1181" s="1" t="n">
        <v>45163.64584490741</v>
      </c>
      <c r="C1181" s="1" t="n">
        <v>45880</v>
      </c>
      <c r="D1181" t="inlineStr">
        <is>
          <t>VÄRMLANDS LÄN</t>
        </is>
      </c>
      <c r="E1181" t="inlineStr">
        <is>
          <t>TORSBY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32054-2025</t>
        </is>
      </c>
      <c r="B1182" s="1" t="n">
        <v>45835</v>
      </c>
      <c r="C1182" s="1" t="n">
        <v>45880</v>
      </c>
      <c r="D1182" t="inlineStr">
        <is>
          <t>VÄRMLANDS LÄN</t>
        </is>
      </c>
      <c r="E1182" t="inlineStr">
        <is>
          <t>TORSBY</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2576-2021</t>
        </is>
      </c>
      <c r="B1183" s="1" t="n">
        <v>44214</v>
      </c>
      <c r="C1183" s="1" t="n">
        <v>45880</v>
      </c>
      <c r="D1183" t="inlineStr">
        <is>
          <t>VÄRMLANDS LÄN</t>
        </is>
      </c>
      <c r="E1183" t="inlineStr">
        <is>
          <t>TORSBY</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33232-2024</t>
        </is>
      </c>
      <c r="B1184" s="1" t="n">
        <v>45518</v>
      </c>
      <c r="C1184" s="1" t="n">
        <v>45880</v>
      </c>
      <c r="D1184" t="inlineStr">
        <is>
          <t>VÄRMLANDS LÄN</t>
        </is>
      </c>
      <c r="E1184" t="inlineStr">
        <is>
          <t>TORSBY</t>
        </is>
      </c>
      <c r="F1184" t="inlineStr">
        <is>
          <t>Bergvik skog väst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32342-2025</t>
        </is>
      </c>
      <c r="B1185" s="1" t="n">
        <v>45837.34560185186</v>
      </c>
      <c r="C1185" s="1" t="n">
        <v>45880</v>
      </c>
      <c r="D1185" t="inlineStr">
        <is>
          <t>VÄRMLANDS LÄN</t>
        </is>
      </c>
      <c r="E1185" t="inlineStr">
        <is>
          <t>TORSBY</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32345-2025</t>
        </is>
      </c>
      <c r="B1186" s="1" t="n">
        <v>45837.44293981481</v>
      </c>
      <c r="C1186" s="1" t="n">
        <v>45880</v>
      </c>
      <c r="D1186" t="inlineStr">
        <is>
          <t>VÄRMLANDS LÄN</t>
        </is>
      </c>
      <c r="E1186" t="inlineStr">
        <is>
          <t>TORSBY</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23779-2025</t>
        </is>
      </c>
      <c r="B1187" s="1" t="n">
        <v>45793.50922453704</v>
      </c>
      <c r="C1187" s="1" t="n">
        <v>45880</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11581-2025</t>
        </is>
      </c>
      <c r="B1188" s="1" t="n">
        <v>45727</v>
      </c>
      <c r="C1188" s="1" t="n">
        <v>45880</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32555-2025</t>
        </is>
      </c>
      <c r="B1189" s="1" t="n">
        <v>45838.56084490741</v>
      </c>
      <c r="C1189" s="1" t="n">
        <v>45880</v>
      </c>
      <c r="D1189" t="inlineStr">
        <is>
          <t>VÄRMLANDS LÄN</t>
        </is>
      </c>
      <c r="E1189" t="inlineStr">
        <is>
          <t>TORSBY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10589-2024</t>
        </is>
      </c>
      <c r="B1190" s="1" t="n">
        <v>45366</v>
      </c>
      <c r="C1190" s="1" t="n">
        <v>45880</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32618-2025</t>
        </is>
      </c>
      <c r="B1191" s="1" t="n">
        <v>45838.6435300926</v>
      </c>
      <c r="C1191" s="1" t="n">
        <v>45880</v>
      </c>
      <c r="D1191" t="inlineStr">
        <is>
          <t>VÄRMLANDS LÄN</t>
        </is>
      </c>
      <c r="E1191" t="inlineStr">
        <is>
          <t>TORSBY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64602-2023</t>
        </is>
      </c>
      <c r="B1192" s="1" t="n">
        <v>45281.50085648148</v>
      </c>
      <c r="C1192" s="1" t="n">
        <v>45880</v>
      </c>
      <c r="D1192" t="inlineStr">
        <is>
          <t>VÄRMLANDS LÄN</t>
        </is>
      </c>
      <c r="E1192" t="inlineStr">
        <is>
          <t>TORSBY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53044-2024</t>
        </is>
      </c>
      <c r="B1193" s="1" t="n">
        <v>45611.44701388889</v>
      </c>
      <c r="C1193" s="1" t="n">
        <v>45880</v>
      </c>
      <c r="D1193" t="inlineStr">
        <is>
          <t>VÄRMLANDS LÄN</t>
        </is>
      </c>
      <c r="E1193" t="inlineStr">
        <is>
          <t>TORSBY</t>
        </is>
      </c>
      <c r="F1193" t="inlineStr">
        <is>
          <t>Kyrkan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9057-2022</t>
        </is>
      </c>
      <c r="B1194" s="1" t="n">
        <v>44615</v>
      </c>
      <c r="C1194" s="1" t="n">
        <v>45880</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64641-2023</t>
        </is>
      </c>
      <c r="B1195" s="1" t="n">
        <v>45281.55908564815</v>
      </c>
      <c r="C1195" s="1" t="n">
        <v>45880</v>
      </c>
      <c r="D1195" t="inlineStr">
        <is>
          <t>VÄRMLANDS LÄN</t>
        </is>
      </c>
      <c r="E1195" t="inlineStr">
        <is>
          <t>TORSBY</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32331-2025</t>
        </is>
      </c>
      <c r="B1196" s="1" t="n">
        <v>45836.50674768518</v>
      </c>
      <c r="C1196" s="1" t="n">
        <v>45880</v>
      </c>
      <c r="D1196" t="inlineStr">
        <is>
          <t>VÄRMLANDS LÄN</t>
        </is>
      </c>
      <c r="E1196" t="inlineStr">
        <is>
          <t>TORSBY</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7069-2022</t>
        </is>
      </c>
      <c r="B1197" s="1" t="n">
        <v>44603</v>
      </c>
      <c r="C1197" s="1" t="n">
        <v>45880</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15398-2025</t>
        </is>
      </c>
      <c r="B1198" s="1" t="n">
        <v>45747.44309027777</v>
      </c>
      <c r="C1198" s="1" t="n">
        <v>45880</v>
      </c>
      <c r="D1198" t="inlineStr">
        <is>
          <t>VÄRMLANDS LÄN</t>
        </is>
      </c>
      <c r="E1198" t="inlineStr">
        <is>
          <t>TORSBY</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23677-2025</t>
        </is>
      </c>
      <c r="B1199" s="1" t="n">
        <v>45793.31969907408</v>
      </c>
      <c r="C1199" s="1" t="n">
        <v>45880</v>
      </c>
      <c r="D1199" t="inlineStr">
        <is>
          <t>VÄRMLANDS LÄN</t>
        </is>
      </c>
      <c r="E1199" t="inlineStr">
        <is>
          <t>TORSBY</t>
        </is>
      </c>
      <c r="F1199" t="inlineStr">
        <is>
          <t>Kyrkan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44497-2023</t>
        </is>
      </c>
      <c r="B1200" s="1" t="n">
        <v>45189.45701388889</v>
      </c>
      <c r="C1200" s="1" t="n">
        <v>45880</v>
      </c>
      <c r="D1200" t="inlineStr">
        <is>
          <t>VÄRMLANDS LÄN</t>
        </is>
      </c>
      <c r="E1200" t="inlineStr">
        <is>
          <t>TORSBY</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7927-2024</t>
        </is>
      </c>
      <c r="B1201" s="1" t="n">
        <v>45350</v>
      </c>
      <c r="C1201" s="1" t="n">
        <v>45880</v>
      </c>
      <c r="D1201" t="inlineStr">
        <is>
          <t>VÄRMLANDS LÄN</t>
        </is>
      </c>
      <c r="E1201" t="inlineStr">
        <is>
          <t>TORSBY</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32339-2025</t>
        </is>
      </c>
      <c r="B1202" s="1" t="n">
        <v>45836.68836805555</v>
      </c>
      <c r="C1202" s="1" t="n">
        <v>45880</v>
      </c>
      <c r="D1202" t="inlineStr">
        <is>
          <t>VÄRMLANDS LÄN</t>
        </is>
      </c>
      <c r="E1202" t="inlineStr">
        <is>
          <t>TORSBY</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1528-2025</t>
        </is>
      </c>
      <c r="B1203" s="1" t="n">
        <v>45670</v>
      </c>
      <c r="C1203" s="1" t="n">
        <v>45880</v>
      </c>
      <c r="D1203" t="inlineStr">
        <is>
          <t>VÄRMLANDS LÄN</t>
        </is>
      </c>
      <c r="E1203" t="inlineStr">
        <is>
          <t>TORSBY</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23832-2025</t>
        </is>
      </c>
      <c r="B1204" s="1" t="n">
        <v>45793.60357638889</v>
      </c>
      <c r="C1204" s="1" t="n">
        <v>45880</v>
      </c>
      <c r="D1204" t="inlineStr">
        <is>
          <t>VÄRMLANDS LÄN</t>
        </is>
      </c>
      <c r="E1204" t="inlineStr">
        <is>
          <t>TORSBY</t>
        </is>
      </c>
      <c r="F1204" t="inlineStr">
        <is>
          <t>Bergvik skog väst AB</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59613-2024</t>
        </is>
      </c>
      <c r="B1205" s="1" t="n">
        <v>45638</v>
      </c>
      <c r="C1205" s="1" t="n">
        <v>45880</v>
      </c>
      <c r="D1205" t="inlineStr">
        <is>
          <t>VÄRMLANDS LÄN</t>
        </is>
      </c>
      <c r="E1205" t="inlineStr">
        <is>
          <t>TORSBY</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45152-2023</t>
        </is>
      </c>
      <c r="B1206" s="1" t="n">
        <v>45191</v>
      </c>
      <c r="C1206" s="1" t="n">
        <v>45880</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48185-2024</t>
        </is>
      </c>
      <c r="B1207" s="1" t="n">
        <v>45589.90284722222</v>
      </c>
      <c r="C1207" s="1" t="n">
        <v>45880</v>
      </c>
      <c r="D1207" t="inlineStr">
        <is>
          <t>VÄRMLANDS LÄN</t>
        </is>
      </c>
      <c r="E1207" t="inlineStr">
        <is>
          <t>TORSBY</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43732-2022</t>
        </is>
      </c>
      <c r="B1208" s="1" t="n">
        <v>44837.69357638889</v>
      </c>
      <c r="C1208" s="1" t="n">
        <v>45880</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22943-2023</t>
        </is>
      </c>
      <c r="B1209" s="1" t="n">
        <v>45072</v>
      </c>
      <c r="C1209" s="1" t="n">
        <v>45880</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22301-2023</t>
        </is>
      </c>
      <c r="B1210" s="1" t="n">
        <v>45070</v>
      </c>
      <c r="C1210" s="1" t="n">
        <v>45880</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32084-2025</t>
        </is>
      </c>
      <c r="B1211" s="1" t="n">
        <v>45835.45379629629</v>
      </c>
      <c r="C1211" s="1" t="n">
        <v>45880</v>
      </c>
      <c r="D1211" t="inlineStr">
        <is>
          <t>VÄRMLANDS LÄN</t>
        </is>
      </c>
      <c r="E1211" t="inlineStr">
        <is>
          <t>TORSBY</t>
        </is>
      </c>
      <c r="F1211" t="inlineStr">
        <is>
          <t>Bergvik skog väst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32298-2025</t>
        </is>
      </c>
      <c r="B1212" s="1" t="n">
        <v>45835.7144675926</v>
      </c>
      <c r="C1212" s="1" t="n">
        <v>45880</v>
      </c>
      <c r="D1212" t="inlineStr">
        <is>
          <t>VÄRMLANDS LÄN</t>
        </is>
      </c>
      <c r="E1212" t="inlineStr">
        <is>
          <t>TORSBY</t>
        </is>
      </c>
      <c r="G1212" t="n">
        <v>19.2</v>
      </c>
      <c r="H1212" t="n">
        <v>0</v>
      </c>
      <c r="I1212" t="n">
        <v>0</v>
      </c>
      <c r="J1212" t="n">
        <v>0</v>
      </c>
      <c r="K1212" t="n">
        <v>0</v>
      </c>
      <c r="L1212" t="n">
        <v>0</v>
      </c>
      <c r="M1212" t="n">
        <v>0</v>
      </c>
      <c r="N1212" t="n">
        <v>0</v>
      </c>
      <c r="O1212" t="n">
        <v>0</v>
      </c>
      <c r="P1212" t="n">
        <v>0</v>
      </c>
      <c r="Q1212" t="n">
        <v>0</v>
      </c>
      <c r="R1212" s="2" t="inlineStr"/>
    </row>
    <row r="1213" ht="15" customHeight="1">
      <c r="A1213" t="inlineStr">
        <is>
          <t>A 46166-2024</t>
        </is>
      </c>
      <c r="B1213" s="1" t="n">
        <v>45581</v>
      </c>
      <c r="C1213" s="1" t="n">
        <v>45880</v>
      </c>
      <c r="D1213" t="inlineStr">
        <is>
          <t>VÄRMLANDS LÄN</t>
        </is>
      </c>
      <c r="E1213" t="inlineStr">
        <is>
          <t>TORSBY</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24965-2023</t>
        </is>
      </c>
      <c r="B1214" s="1" t="n">
        <v>45085</v>
      </c>
      <c r="C1214" s="1" t="n">
        <v>45880</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24969-2023</t>
        </is>
      </c>
      <c r="B1215" s="1" t="n">
        <v>45085.61429398148</v>
      </c>
      <c r="C1215" s="1" t="n">
        <v>45880</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15126-2024</t>
        </is>
      </c>
      <c r="B1216" s="1" t="n">
        <v>45399</v>
      </c>
      <c r="C1216" s="1" t="n">
        <v>45880</v>
      </c>
      <c r="D1216" t="inlineStr">
        <is>
          <t>VÄRMLANDS LÄN</t>
        </is>
      </c>
      <c r="E1216" t="inlineStr">
        <is>
          <t>TORSBY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15127-2024</t>
        </is>
      </c>
      <c r="B1217" s="1" t="n">
        <v>45399.76815972223</v>
      </c>
      <c r="C1217" s="1" t="n">
        <v>45880</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5365-2021</t>
        </is>
      </c>
      <c r="B1218" s="1" t="n">
        <v>44229</v>
      </c>
      <c r="C1218" s="1" t="n">
        <v>45880</v>
      </c>
      <c r="D1218" t="inlineStr">
        <is>
          <t>VÄRMLANDS LÄN</t>
        </is>
      </c>
      <c r="E1218" t="inlineStr">
        <is>
          <t>TORSBY</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47651-2024</t>
        </is>
      </c>
      <c r="B1219" s="1" t="n">
        <v>45588</v>
      </c>
      <c r="C1219" s="1" t="n">
        <v>45880</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18682-2024</t>
        </is>
      </c>
      <c r="B1220" s="1" t="n">
        <v>45426.37251157407</v>
      </c>
      <c r="C1220" s="1" t="n">
        <v>45880</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32622-2025</t>
        </is>
      </c>
      <c r="B1221" s="1" t="n">
        <v>45838</v>
      </c>
      <c r="C1221" s="1" t="n">
        <v>45880</v>
      </c>
      <c r="D1221" t="inlineStr">
        <is>
          <t>VÄRMLANDS LÄN</t>
        </is>
      </c>
      <c r="E1221" t="inlineStr">
        <is>
          <t>TORSBY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39768-2024</t>
        </is>
      </c>
      <c r="B1222" s="1" t="n">
        <v>45552</v>
      </c>
      <c r="C1222" s="1" t="n">
        <v>45880</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2506-2025</t>
        </is>
      </c>
      <c r="B1223" s="1" t="n">
        <v>45674</v>
      </c>
      <c r="C1223" s="1" t="n">
        <v>45880</v>
      </c>
      <c r="D1223" t="inlineStr">
        <is>
          <t>VÄRMLANDS LÄN</t>
        </is>
      </c>
      <c r="E1223" t="inlineStr">
        <is>
          <t>TORSBY</t>
        </is>
      </c>
      <c r="F1223" t="inlineStr">
        <is>
          <t>Bergvik skog väst AB</t>
        </is>
      </c>
      <c r="G1223" t="n">
        <v>19.2</v>
      </c>
      <c r="H1223" t="n">
        <v>0</v>
      </c>
      <c r="I1223" t="n">
        <v>0</v>
      </c>
      <c r="J1223" t="n">
        <v>0</v>
      </c>
      <c r="K1223" t="n">
        <v>0</v>
      </c>
      <c r="L1223" t="n">
        <v>0</v>
      </c>
      <c r="M1223" t="n">
        <v>0</v>
      </c>
      <c r="N1223" t="n">
        <v>0</v>
      </c>
      <c r="O1223" t="n">
        <v>0</v>
      </c>
      <c r="P1223" t="n">
        <v>0</v>
      </c>
      <c r="Q1223" t="n">
        <v>0</v>
      </c>
      <c r="R1223" s="2" t="inlineStr"/>
    </row>
    <row r="1224" ht="15" customHeight="1">
      <c r="A1224" t="inlineStr">
        <is>
          <t>A 24607-2025</t>
        </is>
      </c>
      <c r="B1224" s="1" t="n">
        <v>45798.57608796296</v>
      </c>
      <c r="C1224" s="1" t="n">
        <v>45880</v>
      </c>
      <c r="D1224" t="inlineStr">
        <is>
          <t>VÄRMLANDS LÄN</t>
        </is>
      </c>
      <c r="E1224" t="inlineStr">
        <is>
          <t>TORSBY</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51836-2024</t>
        </is>
      </c>
      <c r="B1225" s="1" t="n">
        <v>45607</v>
      </c>
      <c r="C1225" s="1" t="n">
        <v>45880</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43538-2024</t>
        </is>
      </c>
      <c r="B1226" s="1" t="n">
        <v>45569.36136574074</v>
      </c>
      <c r="C1226" s="1" t="n">
        <v>45880</v>
      </c>
      <c r="D1226" t="inlineStr">
        <is>
          <t>VÄRMLANDS LÄN</t>
        </is>
      </c>
      <c r="E1226" t="inlineStr">
        <is>
          <t>TORSBY</t>
        </is>
      </c>
      <c r="F1226" t="inlineStr">
        <is>
          <t>Bergvik skog väst AB</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62090-2024</t>
        </is>
      </c>
      <c r="B1227" s="1" t="n">
        <v>45656</v>
      </c>
      <c r="C1227" s="1" t="n">
        <v>45880</v>
      </c>
      <c r="D1227" t="inlineStr">
        <is>
          <t>VÄRMLANDS LÄN</t>
        </is>
      </c>
      <c r="E1227" t="inlineStr">
        <is>
          <t>TORSBY</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62092-2024</t>
        </is>
      </c>
      <c r="B1228" s="1" t="n">
        <v>45656</v>
      </c>
      <c r="C1228" s="1" t="n">
        <v>45880</v>
      </c>
      <c r="D1228" t="inlineStr">
        <is>
          <t>VÄRMLANDS LÄN</t>
        </is>
      </c>
      <c r="E1228" t="inlineStr">
        <is>
          <t>TORSBY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24425-2025</t>
        </is>
      </c>
      <c r="B1229" s="1" t="n">
        <v>45797</v>
      </c>
      <c r="C1229" s="1" t="n">
        <v>45880</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52940-2024</t>
        </is>
      </c>
      <c r="B1230" s="1" t="n">
        <v>45610</v>
      </c>
      <c r="C1230" s="1" t="n">
        <v>45880</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3672-2024</t>
        </is>
      </c>
      <c r="B1231" s="1" t="n">
        <v>45321.36465277777</v>
      </c>
      <c r="C1231" s="1" t="n">
        <v>45880</v>
      </c>
      <c r="D1231" t="inlineStr">
        <is>
          <t>VÄRMLANDS LÄN</t>
        </is>
      </c>
      <c r="E1231" t="inlineStr">
        <is>
          <t>TORSBY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48253-2024</t>
        </is>
      </c>
      <c r="B1232" s="1" t="n">
        <v>45590</v>
      </c>
      <c r="C1232" s="1" t="n">
        <v>45880</v>
      </c>
      <c r="D1232" t="inlineStr">
        <is>
          <t>VÄRMLANDS LÄN</t>
        </is>
      </c>
      <c r="E1232" t="inlineStr">
        <is>
          <t>TORSBY</t>
        </is>
      </c>
      <c r="F1232" t="inlineStr">
        <is>
          <t>Bergvik skog väst AB</t>
        </is>
      </c>
      <c r="G1232" t="n">
        <v>20.7</v>
      </c>
      <c r="H1232" t="n">
        <v>0</v>
      </c>
      <c r="I1232" t="n">
        <v>0</v>
      </c>
      <c r="J1232" t="n">
        <v>0</v>
      </c>
      <c r="K1232" t="n">
        <v>0</v>
      </c>
      <c r="L1232" t="n">
        <v>0</v>
      </c>
      <c r="M1232" t="n">
        <v>0</v>
      </c>
      <c r="N1232" t="n">
        <v>0</v>
      </c>
      <c r="O1232" t="n">
        <v>0</v>
      </c>
      <c r="P1232" t="n">
        <v>0</v>
      </c>
      <c r="Q1232" t="n">
        <v>0</v>
      </c>
      <c r="R1232" s="2" t="inlineStr"/>
    </row>
    <row r="1233" ht="15" customHeight="1">
      <c r="A1233" t="inlineStr">
        <is>
          <t>A 33189-2025</t>
        </is>
      </c>
      <c r="B1233" s="1" t="n">
        <v>45840.59884259259</v>
      </c>
      <c r="C1233" s="1" t="n">
        <v>45880</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33192-2025</t>
        </is>
      </c>
      <c r="B1234" s="1" t="n">
        <v>45840.60081018518</v>
      </c>
      <c r="C1234" s="1" t="n">
        <v>45880</v>
      </c>
      <c r="D1234" t="inlineStr">
        <is>
          <t>VÄRMLANDS LÄN</t>
        </is>
      </c>
      <c r="E1234" t="inlineStr">
        <is>
          <t>TORSBY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33149-2025</t>
        </is>
      </c>
      <c r="B1235" s="1" t="n">
        <v>45840.54246527778</v>
      </c>
      <c r="C1235" s="1" t="n">
        <v>45880</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33146-2025</t>
        </is>
      </c>
      <c r="B1236" s="1" t="n">
        <v>45840.53549768519</v>
      </c>
      <c r="C1236" s="1" t="n">
        <v>45880</v>
      </c>
      <c r="D1236" t="inlineStr">
        <is>
          <t>VÄRMLANDS LÄN</t>
        </is>
      </c>
      <c r="E1236" t="inlineStr">
        <is>
          <t>TORSBY</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46233-2023</t>
        </is>
      </c>
      <c r="B1237" s="1" t="n">
        <v>45196.69575231482</v>
      </c>
      <c r="C1237" s="1" t="n">
        <v>45880</v>
      </c>
      <c r="D1237" t="inlineStr">
        <is>
          <t>VÄRMLANDS LÄN</t>
        </is>
      </c>
      <c r="E1237" t="inlineStr">
        <is>
          <t>TORSBY</t>
        </is>
      </c>
      <c r="F1237" t="inlineStr">
        <is>
          <t>Kyrkan</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33161-2025</t>
        </is>
      </c>
      <c r="B1238" s="1" t="n">
        <v>45840.56846064814</v>
      </c>
      <c r="C1238" s="1" t="n">
        <v>45880</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43137-2024</t>
        </is>
      </c>
      <c r="B1239" s="1" t="n">
        <v>45567</v>
      </c>
      <c r="C1239" s="1" t="n">
        <v>45880</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24218-2025</t>
        </is>
      </c>
      <c r="B1240" s="1" t="n">
        <v>45797.36123842592</v>
      </c>
      <c r="C1240" s="1" t="n">
        <v>45880</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42632-2023</t>
        </is>
      </c>
      <c r="B1241" s="1" t="n">
        <v>45181</v>
      </c>
      <c r="C1241" s="1" t="n">
        <v>45880</v>
      </c>
      <c r="D1241" t="inlineStr">
        <is>
          <t>VÄRMLANDS LÄN</t>
        </is>
      </c>
      <c r="E1241" t="inlineStr">
        <is>
          <t>TORSBY</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42635-2023</t>
        </is>
      </c>
      <c r="B1242" s="1" t="n">
        <v>45181.49310185185</v>
      </c>
      <c r="C1242" s="1" t="n">
        <v>45880</v>
      </c>
      <c r="D1242" t="inlineStr">
        <is>
          <t>VÄRMLANDS LÄN</t>
        </is>
      </c>
      <c r="E1242" t="inlineStr">
        <is>
          <t>TORSBY</t>
        </is>
      </c>
      <c r="G1242" t="n">
        <v>16.1</v>
      </c>
      <c r="H1242" t="n">
        <v>0</v>
      </c>
      <c r="I1242" t="n">
        <v>0</v>
      </c>
      <c r="J1242" t="n">
        <v>0</v>
      </c>
      <c r="K1242" t="n">
        <v>0</v>
      </c>
      <c r="L1242" t="n">
        <v>0</v>
      </c>
      <c r="M1242" t="n">
        <v>0</v>
      </c>
      <c r="N1242" t="n">
        <v>0</v>
      </c>
      <c r="O1242" t="n">
        <v>0</v>
      </c>
      <c r="P1242" t="n">
        <v>0</v>
      </c>
      <c r="Q1242" t="n">
        <v>0</v>
      </c>
      <c r="R1242" s="2" t="inlineStr"/>
    </row>
    <row r="1243" ht="15" customHeight="1">
      <c r="A1243" t="inlineStr">
        <is>
          <t>A 30299-2025</t>
        </is>
      </c>
      <c r="B1243" s="1" t="n">
        <v>45827</v>
      </c>
      <c r="C1243" s="1" t="n">
        <v>45880</v>
      </c>
      <c r="D1243" t="inlineStr">
        <is>
          <t>VÄRMLANDS LÄN</t>
        </is>
      </c>
      <c r="E1243" t="inlineStr">
        <is>
          <t>TORSBY</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42473-2023</t>
        </is>
      </c>
      <c r="B1244" s="1" t="n">
        <v>45180</v>
      </c>
      <c r="C1244" s="1" t="n">
        <v>45880</v>
      </c>
      <c r="D1244" t="inlineStr">
        <is>
          <t>VÄRMLANDS LÄN</t>
        </is>
      </c>
      <c r="E1244" t="inlineStr">
        <is>
          <t>TORSBY</t>
        </is>
      </c>
      <c r="F1244" t="inlineStr">
        <is>
          <t>Bergvik skog väst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19575-2025</t>
        </is>
      </c>
      <c r="B1245" s="1" t="n">
        <v>45770.55957175926</v>
      </c>
      <c r="C1245" s="1" t="n">
        <v>45880</v>
      </c>
      <c r="D1245" t="inlineStr">
        <is>
          <t>VÄRMLANDS LÄN</t>
        </is>
      </c>
      <c r="E1245" t="inlineStr">
        <is>
          <t>TORSBY</t>
        </is>
      </c>
      <c r="F1245" t="inlineStr">
        <is>
          <t>Bergvik skog väst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26979-2023</t>
        </is>
      </c>
      <c r="B1246" s="1" t="n">
        <v>45091</v>
      </c>
      <c r="C1246" s="1" t="n">
        <v>45880</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24455-2025</t>
        </is>
      </c>
      <c r="B1247" s="1" t="n">
        <v>45798.34435185185</v>
      </c>
      <c r="C1247" s="1" t="n">
        <v>45880</v>
      </c>
      <c r="D1247" t="inlineStr">
        <is>
          <t>VÄRMLANDS LÄN</t>
        </is>
      </c>
      <c r="E1247" t="inlineStr">
        <is>
          <t>TORSBY</t>
        </is>
      </c>
      <c r="F1247" t="inlineStr">
        <is>
          <t>Bergvik skog väst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13924-2025</t>
        </is>
      </c>
      <c r="B1248" s="1" t="n">
        <v>45737</v>
      </c>
      <c r="C1248" s="1" t="n">
        <v>45880</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41936-2024</t>
        </is>
      </c>
      <c r="B1249" s="1" t="n">
        <v>45561</v>
      </c>
      <c r="C1249" s="1" t="n">
        <v>45880</v>
      </c>
      <c r="D1249" t="inlineStr">
        <is>
          <t>VÄRMLANDS LÄN</t>
        </is>
      </c>
      <c r="E1249" t="inlineStr">
        <is>
          <t>TORSBY</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7907-2025</t>
        </is>
      </c>
      <c r="B1250" s="1" t="n">
        <v>45707</v>
      </c>
      <c r="C1250" s="1" t="n">
        <v>45880</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14967-2025</t>
        </is>
      </c>
      <c r="B1251" s="1" t="n">
        <v>45743</v>
      </c>
      <c r="C1251" s="1" t="n">
        <v>45880</v>
      </c>
      <c r="D1251" t="inlineStr">
        <is>
          <t>VÄRMLANDS LÄN</t>
        </is>
      </c>
      <c r="E1251" t="inlineStr">
        <is>
          <t>TORSBY</t>
        </is>
      </c>
      <c r="F1251" t="inlineStr">
        <is>
          <t>Bergvik skog väst AB</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40810-2024</t>
        </is>
      </c>
      <c r="B1252" s="1" t="n">
        <v>45558</v>
      </c>
      <c r="C1252" s="1" t="n">
        <v>45880</v>
      </c>
      <c r="D1252" t="inlineStr">
        <is>
          <t>VÄRMLANDS LÄN</t>
        </is>
      </c>
      <c r="E1252" t="inlineStr">
        <is>
          <t>TORSBY</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33196-2025</t>
        </is>
      </c>
      <c r="B1253" s="1" t="n">
        <v>45840.60381944444</v>
      </c>
      <c r="C1253" s="1" t="n">
        <v>45880</v>
      </c>
      <c r="D1253" t="inlineStr">
        <is>
          <t>VÄRMLANDS LÄN</t>
        </is>
      </c>
      <c r="E1253" t="inlineStr">
        <is>
          <t>TORSBY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32995-2025</t>
        </is>
      </c>
      <c r="B1254" s="1" t="n">
        <v>45839</v>
      </c>
      <c r="C1254" s="1" t="n">
        <v>45880</v>
      </c>
      <c r="D1254" t="inlineStr">
        <is>
          <t>VÄRMLANDS LÄN</t>
        </is>
      </c>
      <c r="E1254" t="inlineStr">
        <is>
          <t>TORSBY</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18558-2025</t>
        </is>
      </c>
      <c r="B1255" s="1" t="n">
        <v>45763</v>
      </c>
      <c r="C1255" s="1" t="n">
        <v>45880</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18855-2024</t>
        </is>
      </c>
      <c r="B1256" s="1" t="n">
        <v>45426.73634259259</v>
      </c>
      <c r="C1256" s="1" t="n">
        <v>45880</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21828-2024</t>
        </is>
      </c>
      <c r="B1257" s="1" t="n">
        <v>45442</v>
      </c>
      <c r="C1257" s="1" t="n">
        <v>45880</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18897-2024</t>
        </is>
      </c>
      <c r="B1258" s="1" t="n">
        <v>45427.34046296297</v>
      </c>
      <c r="C1258" s="1" t="n">
        <v>45880</v>
      </c>
      <c r="D1258" t="inlineStr">
        <is>
          <t>VÄRMLANDS LÄN</t>
        </is>
      </c>
      <c r="E1258" t="inlineStr">
        <is>
          <t>TORSBY</t>
        </is>
      </c>
      <c r="F1258" t="inlineStr">
        <is>
          <t>Övriga statliga verk och myndigheter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45399-2023</t>
        </is>
      </c>
      <c r="B1259" s="1" t="n">
        <v>45194</v>
      </c>
      <c r="C1259" s="1" t="n">
        <v>45880</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59423-2024</t>
        </is>
      </c>
      <c r="B1260" s="1" t="n">
        <v>45638</v>
      </c>
      <c r="C1260" s="1" t="n">
        <v>45880</v>
      </c>
      <c r="D1260" t="inlineStr">
        <is>
          <t>VÄRMLANDS LÄN</t>
        </is>
      </c>
      <c r="E1260" t="inlineStr">
        <is>
          <t>TORSBY</t>
        </is>
      </c>
      <c r="G1260" t="n">
        <v>23.7</v>
      </c>
      <c r="H1260" t="n">
        <v>0</v>
      </c>
      <c r="I1260" t="n">
        <v>0</v>
      </c>
      <c r="J1260" t="n">
        <v>0</v>
      </c>
      <c r="K1260" t="n">
        <v>0</v>
      </c>
      <c r="L1260" t="n">
        <v>0</v>
      </c>
      <c r="M1260" t="n">
        <v>0</v>
      </c>
      <c r="N1260" t="n">
        <v>0</v>
      </c>
      <c r="O1260" t="n">
        <v>0</v>
      </c>
      <c r="P1260" t="n">
        <v>0</v>
      </c>
      <c r="Q1260" t="n">
        <v>0</v>
      </c>
      <c r="R1260" s="2" t="inlineStr"/>
    </row>
    <row r="1261" ht="15" customHeight="1">
      <c r="A1261" t="inlineStr">
        <is>
          <t>A 4585-2023</t>
        </is>
      </c>
      <c r="B1261" s="1" t="n">
        <v>44956.79790509259</v>
      </c>
      <c r="C1261" s="1" t="n">
        <v>45880</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32983-2025</t>
        </is>
      </c>
      <c r="B1262" s="1" t="n">
        <v>45839.92967592592</v>
      </c>
      <c r="C1262" s="1" t="n">
        <v>45880</v>
      </c>
      <c r="D1262" t="inlineStr">
        <is>
          <t>VÄRMLANDS LÄN</t>
        </is>
      </c>
      <c r="E1262" t="inlineStr">
        <is>
          <t>TORSBY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20175-2022</t>
        </is>
      </c>
      <c r="B1263" s="1" t="n">
        <v>44698</v>
      </c>
      <c r="C1263" s="1" t="n">
        <v>45880</v>
      </c>
      <c r="D1263" t="inlineStr">
        <is>
          <t>VÄRMLANDS LÄN</t>
        </is>
      </c>
      <c r="E1263" t="inlineStr">
        <is>
          <t>TORSBY</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32710-2025</t>
        </is>
      </c>
      <c r="B1264" s="1" t="n">
        <v>45839.36722222222</v>
      </c>
      <c r="C1264" s="1" t="n">
        <v>45880</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12528-2025</t>
        </is>
      </c>
      <c r="B1265" s="1" t="n">
        <v>45730</v>
      </c>
      <c r="C1265" s="1" t="n">
        <v>45880</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50494-2024</t>
        </is>
      </c>
      <c r="B1266" s="1" t="n">
        <v>45601.50818287037</v>
      </c>
      <c r="C1266" s="1" t="n">
        <v>45880</v>
      </c>
      <c r="D1266" t="inlineStr">
        <is>
          <t>VÄRMLANDS LÄN</t>
        </is>
      </c>
      <c r="E1266" t="inlineStr">
        <is>
          <t>TORSBY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24411-2025</t>
        </is>
      </c>
      <c r="B1267" s="1" t="n">
        <v>45797</v>
      </c>
      <c r="C1267" s="1" t="n">
        <v>45880</v>
      </c>
      <c r="D1267" t="inlineStr">
        <is>
          <t>VÄRMLANDS LÄN</t>
        </is>
      </c>
      <c r="E1267" t="inlineStr">
        <is>
          <t>TORSBY</t>
        </is>
      </c>
      <c r="F1267" t="inlineStr">
        <is>
          <t>Övriga statliga verk och myndigheter</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24528-2025</t>
        </is>
      </c>
      <c r="B1268" s="1" t="n">
        <v>45798.42680555556</v>
      </c>
      <c r="C1268" s="1" t="n">
        <v>45880</v>
      </c>
      <c r="D1268" t="inlineStr">
        <is>
          <t>VÄRMLANDS LÄN</t>
        </is>
      </c>
      <c r="E1268" t="inlineStr">
        <is>
          <t>TORSBY</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24576-2025</t>
        </is>
      </c>
      <c r="B1269" s="1" t="n">
        <v>45798</v>
      </c>
      <c r="C1269" s="1" t="n">
        <v>45880</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13189-2025</t>
        </is>
      </c>
      <c r="B1270" s="1" t="n">
        <v>45735.39708333334</v>
      </c>
      <c r="C1270" s="1" t="n">
        <v>45880</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19148-2025</t>
        </is>
      </c>
      <c r="B1271" s="1" t="n">
        <v>45769</v>
      </c>
      <c r="C1271" s="1" t="n">
        <v>45880</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24318-2025</t>
        </is>
      </c>
      <c r="B1272" s="1" t="n">
        <v>45797.54879629629</v>
      </c>
      <c r="C1272" s="1" t="n">
        <v>45880</v>
      </c>
      <c r="D1272" t="inlineStr">
        <is>
          <t>VÄRMLANDS LÄN</t>
        </is>
      </c>
      <c r="E1272" t="inlineStr">
        <is>
          <t>TORSBY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24251-2025</t>
        </is>
      </c>
      <c r="B1273" s="1" t="n">
        <v>45797</v>
      </c>
      <c r="C1273" s="1" t="n">
        <v>45880</v>
      </c>
      <c r="D1273" t="inlineStr">
        <is>
          <t>VÄRMLANDS LÄN</t>
        </is>
      </c>
      <c r="E1273" t="inlineStr">
        <is>
          <t>TORSBY</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33221-2025</t>
        </is>
      </c>
      <c r="B1274" s="1" t="n">
        <v>45840.63471064815</v>
      </c>
      <c r="C1274" s="1" t="n">
        <v>45880</v>
      </c>
      <c r="D1274" t="inlineStr">
        <is>
          <t>VÄRMLANDS LÄN</t>
        </is>
      </c>
      <c r="E1274" t="inlineStr">
        <is>
          <t>TORSBY</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24597-2025</t>
        </is>
      </c>
      <c r="B1275" s="1" t="n">
        <v>45798</v>
      </c>
      <c r="C1275" s="1" t="n">
        <v>45880</v>
      </c>
      <c r="D1275" t="inlineStr">
        <is>
          <t>VÄRMLANDS LÄN</t>
        </is>
      </c>
      <c r="E1275" t="inlineStr">
        <is>
          <t>TORSBY</t>
        </is>
      </c>
      <c r="F1275" t="inlineStr">
        <is>
          <t>Övriga statliga verk och myndigheter</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24599-2025</t>
        </is>
      </c>
      <c r="B1276" s="1" t="n">
        <v>45798.56230324074</v>
      </c>
      <c r="C1276" s="1" t="n">
        <v>45880</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24204-2025</t>
        </is>
      </c>
      <c r="B1277" s="1" t="n">
        <v>45797.31824074074</v>
      </c>
      <c r="C1277" s="1" t="n">
        <v>45880</v>
      </c>
      <c r="D1277" t="inlineStr">
        <is>
          <t>VÄRMLANDS LÄN</t>
        </is>
      </c>
      <c r="E1277" t="inlineStr">
        <is>
          <t>TORSBY</t>
        </is>
      </c>
      <c r="F1277" t="inlineStr">
        <is>
          <t>Bergvik skog väst AB</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24260-2025</t>
        </is>
      </c>
      <c r="B1278" s="1" t="n">
        <v>45797</v>
      </c>
      <c r="C1278" s="1" t="n">
        <v>45880</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46909-2024</t>
        </is>
      </c>
      <c r="B1279" s="1" t="n">
        <v>45583</v>
      </c>
      <c r="C1279" s="1" t="n">
        <v>45880</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20847-2023</t>
        </is>
      </c>
      <c r="B1280" s="1" t="n">
        <v>45056</v>
      </c>
      <c r="C1280" s="1" t="n">
        <v>45880</v>
      </c>
      <c r="D1280" t="inlineStr">
        <is>
          <t>VÄRMLANDS LÄN</t>
        </is>
      </c>
      <c r="E1280" t="inlineStr">
        <is>
          <t>TORSBY</t>
        </is>
      </c>
      <c r="G1280" t="n">
        <v>13.9</v>
      </c>
      <c r="H1280" t="n">
        <v>0</v>
      </c>
      <c r="I1280" t="n">
        <v>0</v>
      </c>
      <c r="J1280" t="n">
        <v>0</v>
      </c>
      <c r="K1280" t="n">
        <v>0</v>
      </c>
      <c r="L1280" t="n">
        <v>0</v>
      </c>
      <c r="M1280" t="n">
        <v>0</v>
      </c>
      <c r="N1280" t="n">
        <v>0</v>
      </c>
      <c r="O1280" t="n">
        <v>0</v>
      </c>
      <c r="P1280" t="n">
        <v>0</v>
      </c>
      <c r="Q1280" t="n">
        <v>0</v>
      </c>
      <c r="R1280" s="2" t="inlineStr"/>
    </row>
    <row r="1281" ht="15" customHeight="1">
      <c r="A1281" t="inlineStr">
        <is>
          <t>A 53748-2024</t>
        </is>
      </c>
      <c r="B1281" s="1" t="n">
        <v>45615.48322916667</v>
      </c>
      <c r="C1281" s="1" t="n">
        <v>45880</v>
      </c>
      <c r="D1281" t="inlineStr">
        <is>
          <t>VÄRMLANDS LÄN</t>
        </is>
      </c>
      <c r="E1281" t="inlineStr">
        <is>
          <t>TORSBY</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64432-2023</t>
        </is>
      </c>
      <c r="B1282" s="1" t="n">
        <v>45280.67184027778</v>
      </c>
      <c r="C1282" s="1" t="n">
        <v>45880</v>
      </c>
      <c r="D1282" t="inlineStr">
        <is>
          <t>VÄRMLANDS LÄN</t>
        </is>
      </c>
      <c r="E1282" t="inlineStr">
        <is>
          <t>TORSBY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60314-2023</t>
        </is>
      </c>
      <c r="B1283" s="1" t="n">
        <v>45258.87101851852</v>
      </c>
      <c r="C1283" s="1" t="n">
        <v>45880</v>
      </c>
      <c r="D1283" t="inlineStr">
        <is>
          <t>VÄRMLANDS LÄN</t>
        </is>
      </c>
      <c r="E1283" t="inlineStr">
        <is>
          <t>TORSBY</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9900-2024</t>
        </is>
      </c>
      <c r="B1284" s="1" t="n">
        <v>45363</v>
      </c>
      <c r="C1284" s="1" t="n">
        <v>45880</v>
      </c>
      <c r="D1284" t="inlineStr">
        <is>
          <t>VÄRMLANDS LÄN</t>
        </is>
      </c>
      <c r="E1284" t="inlineStr">
        <is>
          <t>TORSBY</t>
        </is>
      </c>
      <c r="G1284" t="n">
        <v>13.6</v>
      </c>
      <c r="H1284" t="n">
        <v>0</v>
      </c>
      <c r="I1284" t="n">
        <v>0</v>
      </c>
      <c r="J1284" t="n">
        <v>0</v>
      </c>
      <c r="K1284" t="n">
        <v>0</v>
      </c>
      <c r="L1284" t="n">
        <v>0</v>
      </c>
      <c r="M1284" t="n">
        <v>0</v>
      </c>
      <c r="N1284" t="n">
        <v>0</v>
      </c>
      <c r="O1284" t="n">
        <v>0</v>
      </c>
      <c r="P1284" t="n">
        <v>0</v>
      </c>
      <c r="Q1284" t="n">
        <v>0</v>
      </c>
      <c r="R1284" s="2" t="inlineStr"/>
    </row>
    <row r="1285" ht="15" customHeight="1">
      <c r="A1285" t="inlineStr">
        <is>
          <t>A 17062-2025</t>
        </is>
      </c>
      <c r="B1285" s="1" t="n">
        <v>45754</v>
      </c>
      <c r="C1285" s="1" t="n">
        <v>45880</v>
      </c>
      <c r="D1285" t="inlineStr">
        <is>
          <t>VÄRMLANDS LÄN</t>
        </is>
      </c>
      <c r="E1285" t="inlineStr">
        <is>
          <t>TORSBY</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18595-2025</t>
        </is>
      </c>
      <c r="B1286" s="1" t="n">
        <v>45763</v>
      </c>
      <c r="C1286" s="1" t="n">
        <v>45880</v>
      </c>
      <c r="D1286" t="inlineStr">
        <is>
          <t>VÄRMLANDS LÄN</t>
        </is>
      </c>
      <c r="E1286" t="inlineStr">
        <is>
          <t>TORSBY</t>
        </is>
      </c>
      <c r="F1286" t="inlineStr">
        <is>
          <t>Kyrkan</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54223-2023</t>
        </is>
      </c>
      <c r="B1287" s="1" t="n">
        <v>45232</v>
      </c>
      <c r="C1287" s="1" t="n">
        <v>45880</v>
      </c>
      <c r="D1287" t="inlineStr">
        <is>
          <t>VÄRMLANDS LÄN</t>
        </is>
      </c>
      <c r="E1287" t="inlineStr">
        <is>
          <t>TORSBY</t>
        </is>
      </c>
      <c r="F1287" t="inlineStr">
        <is>
          <t>Bergvik skog väst AB</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25428-2025</t>
        </is>
      </c>
      <c r="B1288" s="1" t="n">
        <v>45800.71540509259</v>
      </c>
      <c r="C1288" s="1" t="n">
        <v>45880</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25353-2025</t>
        </is>
      </c>
      <c r="B1289" s="1" t="n">
        <v>45800.61553240741</v>
      </c>
      <c r="C1289" s="1" t="n">
        <v>45880</v>
      </c>
      <c r="D1289" t="inlineStr">
        <is>
          <t>VÄRMLANDS LÄN</t>
        </is>
      </c>
      <c r="E1289" t="inlineStr">
        <is>
          <t>TORSBY</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25186-2025</t>
        </is>
      </c>
      <c r="B1290" s="1" t="n">
        <v>45800.45247685185</v>
      </c>
      <c r="C1290" s="1" t="n">
        <v>45880</v>
      </c>
      <c r="D1290" t="inlineStr">
        <is>
          <t>VÄRMLANDS LÄN</t>
        </is>
      </c>
      <c r="E1290" t="inlineStr">
        <is>
          <t>TORSBY</t>
        </is>
      </c>
      <c r="F1290" t="inlineStr">
        <is>
          <t>Kyrkan</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24726-2025</t>
        </is>
      </c>
      <c r="B1291" s="1" t="n">
        <v>45799.32805555555</v>
      </c>
      <c r="C1291" s="1" t="n">
        <v>45880</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18447-2025</t>
        </is>
      </c>
      <c r="B1292" s="1" t="n">
        <v>45762</v>
      </c>
      <c r="C1292" s="1" t="n">
        <v>45880</v>
      </c>
      <c r="D1292" t="inlineStr">
        <is>
          <t>VÄRMLANDS LÄN</t>
        </is>
      </c>
      <c r="E1292" t="inlineStr">
        <is>
          <t>TORSBY</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25218-2025</t>
        </is>
      </c>
      <c r="B1293" s="1" t="n">
        <v>45800.4766087963</v>
      </c>
      <c r="C1293" s="1" t="n">
        <v>45880</v>
      </c>
      <c r="D1293" t="inlineStr">
        <is>
          <t>VÄRMLANDS LÄN</t>
        </is>
      </c>
      <c r="E1293" t="inlineStr">
        <is>
          <t>TORSBY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2203-2025</t>
        </is>
      </c>
      <c r="B1294" s="1" t="n">
        <v>45672</v>
      </c>
      <c r="C1294" s="1" t="n">
        <v>45880</v>
      </c>
      <c r="D1294" t="inlineStr">
        <is>
          <t>VÄRMLANDS LÄN</t>
        </is>
      </c>
      <c r="E1294" t="inlineStr">
        <is>
          <t>TORSBY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24967-2025</t>
        </is>
      </c>
      <c r="B1295" s="1" t="n">
        <v>45799.58332175926</v>
      </c>
      <c r="C1295" s="1" t="n">
        <v>45880</v>
      </c>
      <c r="D1295" t="inlineStr">
        <is>
          <t>VÄRMLANDS LÄN</t>
        </is>
      </c>
      <c r="E1295" t="inlineStr">
        <is>
          <t>TORSBY</t>
        </is>
      </c>
      <c r="F1295" t="inlineStr">
        <is>
          <t>Bergvik skog väst AB</t>
        </is>
      </c>
      <c r="G1295" t="n">
        <v>17.6</v>
      </c>
      <c r="H1295" t="n">
        <v>0</v>
      </c>
      <c r="I1295" t="n">
        <v>0</v>
      </c>
      <c r="J1295" t="n">
        <v>0</v>
      </c>
      <c r="K1295" t="n">
        <v>0</v>
      </c>
      <c r="L1295" t="n">
        <v>0</v>
      </c>
      <c r="M1295" t="n">
        <v>0</v>
      </c>
      <c r="N1295" t="n">
        <v>0</v>
      </c>
      <c r="O1295" t="n">
        <v>0</v>
      </c>
      <c r="P1295" t="n">
        <v>0</v>
      </c>
      <c r="Q1295" t="n">
        <v>0</v>
      </c>
      <c r="R1295" s="2" t="inlineStr"/>
    </row>
    <row r="1296" ht="15" customHeight="1">
      <c r="A1296" t="inlineStr">
        <is>
          <t>A 10608-2022</t>
        </is>
      </c>
      <c r="B1296" s="1" t="n">
        <v>44624</v>
      </c>
      <c r="C1296" s="1" t="n">
        <v>45880</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41504-2024</t>
        </is>
      </c>
      <c r="B1297" s="1" t="n">
        <v>45560</v>
      </c>
      <c r="C1297" s="1" t="n">
        <v>45880</v>
      </c>
      <c r="D1297" t="inlineStr">
        <is>
          <t>VÄRMLANDS LÄN</t>
        </is>
      </c>
      <c r="E1297" t="inlineStr">
        <is>
          <t>TORSBY</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33567-2025</t>
        </is>
      </c>
      <c r="B1298" s="1" t="n">
        <v>45841.58232638889</v>
      </c>
      <c r="C1298" s="1" t="n">
        <v>45880</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44083-2023</t>
        </is>
      </c>
      <c r="B1299" s="1" t="n">
        <v>45182</v>
      </c>
      <c r="C1299" s="1" t="n">
        <v>45880</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63177-2023</t>
        </is>
      </c>
      <c r="B1300" s="1" t="n">
        <v>45272</v>
      </c>
      <c r="C1300" s="1" t="n">
        <v>45880</v>
      </c>
      <c r="D1300" t="inlineStr">
        <is>
          <t>VÄRMLANDS LÄN</t>
        </is>
      </c>
      <c r="E1300" t="inlineStr">
        <is>
          <t>TORSBY</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63266-2023</t>
        </is>
      </c>
      <c r="B1301" s="1" t="n">
        <v>45273.741875</v>
      </c>
      <c r="C1301" s="1" t="n">
        <v>45880</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18331-2025</t>
        </is>
      </c>
      <c r="B1302" s="1" t="n">
        <v>45762</v>
      </c>
      <c r="C1302" s="1" t="n">
        <v>45880</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25296-2025</t>
        </is>
      </c>
      <c r="B1303" s="1" t="n">
        <v>45800.56819444444</v>
      </c>
      <c r="C1303" s="1" t="n">
        <v>45880</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24757-2025</t>
        </is>
      </c>
      <c r="B1304" s="1" t="n">
        <v>45799</v>
      </c>
      <c r="C1304" s="1" t="n">
        <v>45880</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9871-2024</t>
        </is>
      </c>
      <c r="B1305" s="1" t="n">
        <v>45363</v>
      </c>
      <c r="C1305" s="1" t="n">
        <v>45880</v>
      </c>
      <c r="D1305" t="inlineStr">
        <is>
          <t>VÄRMLANDS LÄN</t>
        </is>
      </c>
      <c r="E1305" t="inlineStr">
        <is>
          <t>TORSBY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25369-2025</t>
        </is>
      </c>
      <c r="B1306" s="1" t="n">
        <v>45800.63046296296</v>
      </c>
      <c r="C1306" s="1" t="n">
        <v>45880</v>
      </c>
      <c r="D1306" t="inlineStr">
        <is>
          <t>VÄRMLANDS LÄN</t>
        </is>
      </c>
      <c r="E1306" t="inlineStr">
        <is>
          <t>TORSBY</t>
        </is>
      </c>
      <c r="F1306" t="inlineStr">
        <is>
          <t>Bergvik skog väst AB</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48903-2024</t>
        </is>
      </c>
      <c r="B1307" s="1" t="n">
        <v>45594</v>
      </c>
      <c r="C1307" s="1" t="n">
        <v>45880</v>
      </c>
      <c r="D1307" t="inlineStr">
        <is>
          <t>VÄRMLANDS LÄN</t>
        </is>
      </c>
      <c r="E1307" t="inlineStr">
        <is>
          <t>TORSBY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25328-2025</t>
        </is>
      </c>
      <c r="B1308" s="1" t="n">
        <v>45800</v>
      </c>
      <c r="C1308" s="1" t="n">
        <v>45880</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33712-2025</t>
        </is>
      </c>
      <c r="B1309" s="1" t="n">
        <v>45841</v>
      </c>
      <c r="C1309" s="1" t="n">
        <v>45880</v>
      </c>
      <c r="D1309" t="inlineStr">
        <is>
          <t>VÄRMLANDS LÄN</t>
        </is>
      </c>
      <c r="E1309" t="inlineStr">
        <is>
          <t>TORSBY</t>
        </is>
      </c>
      <c r="F1309" t="inlineStr">
        <is>
          <t>Bergvik skog väst AB</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25050-2025</t>
        </is>
      </c>
      <c r="B1310" s="1" t="n">
        <v>45799</v>
      </c>
      <c r="C1310" s="1" t="n">
        <v>45880</v>
      </c>
      <c r="D1310" t="inlineStr">
        <is>
          <t>VÄRMLANDS LÄN</t>
        </is>
      </c>
      <c r="E1310" t="inlineStr">
        <is>
          <t>TORSBY</t>
        </is>
      </c>
      <c r="F1310" t="inlineStr">
        <is>
          <t>Bergvik skog väst AB</t>
        </is>
      </c>
      <c r="G1310" t="n">
        <v>39.7</v>
      </c>
      <c r="H1310" t="n">
        <v>0</v>
      </c>
      <c r="I1310" t="n">
        <v>0</v>
      </c>
      <c r="J1310" t="n">
        <v>0</v>
      </c>
      <c r="K1310" t="n">
        <v>0</v>
      </c>
      <c r="L1310" t="n">
        <v>0</v>
      </c>
      <c r="M1310" t="n">
        <v>0</v>
      </c>
      <c r="N1310" t="n">
        <v>0</v>
      </c>
      <c r="O1310" t="n">
        <v>0</v>
      </c>
      <c r="P1310" t="n">
        <v>0</v>
      </c>
      <c r="Q1310" t="n">
        <v>0</v>
      </c>
      <c r="R1310" s="2" t="inlineStr"/>
    </row>
    <row r="1311" ht="15" customHeight="1">
      <c r="A1311" t="inlineStr">
        <is>
          <t>A 1040-2024</t>
        </is>
      </c>
      <c r="B1311" s="1" t="n">
        <v>45301</v>
      </c>
      <c r="C1311" s="1" t="n">
        <v>45880</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56716-2023</t>
        </is>
      </c>
      <c r="B1312" s="1" t="n">
        <v>45238</v>
      </c>
      <c r="C1312" s="1" t="n">
        <v>45880</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31547-2023</t>
        </is>
      </c>
      <c r="B1313" s="1" t="n">
        <v>45117</v>
      </c>
      <c r="C1313" s="1" t="n">
        <v>45880</v>
      </c>
      <c r="D1313" t="inlineStr">
        <is>
          <t>VÄRMLANDS LÄN</t>
        </is>
      </c>
      <c r="E1313" t="inlineStr">
        <is>
          <t>TORSBY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3864-2025</t>
        </is>
      </c>
      <c r="B1314" s="1" t="n">
        <v>45684</v>
      </c>
      <c r="C1314" s="1" t="n">
        <v>45880</v>
      </c>
      <c r="D1314" t="inlineStr">
        <is>
          <t>VÄRMLANDS LÄN</t>
        </is>
      </c>
      <c r="E1314" t="inlineStr">
        <is>
          <t>TORSBY</t>
        </is>
      </c>
      <c r="F1314" t="inlineStr">
        <is>
          <t>Bergvik skog väst AB</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22463-2021</t>
        </is>
      </c>
      <c r="B1315" s="1" t="n">
        <v>44326.67366898148</v>
      </c>
      <c r="C1315" s="1" t="n">
        <v>45880</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20985-2024</t>
        </is>
      </c>
      <c r="B1316" s="1" t="n">
        <v>45439</v>
      </c>
      <c r="C1316" s="1" t="n">
        <v>45880</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14945-2023</t>
        </is>
      </c>
      <c r="B1317" s="1" t="n">
        <v>45014</v>
      </c>
      <c r="C1317" s="1" t="n">
        <v>45880</v>
      </c>
      <c r="D1317" t="inlineStr">
        <is>
          <t>VÄRMLANDS LÄN</t>
        </is>
      </c>
      <c r="E1317" t="inlineStr">
        <is>
          <t>TORSBY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34399-2025</t>
        </is>
      </c>
      <c r="B1318" s="1" t="n">
        <v>45846.610625</v>
      </c>
      <c r="C1318" s="1" t="n">
        <v>45880</v>
      </c>
      <c r="D1318" t="inlineStr">
        <is>
          <t>VÄRMLANDS LÄN</t>
        </is>
      </c>
      <c r="E1318" t="inlineStr">
        <is>
          <t>TORSBY</t>
        </is>
      </c>
      <c r="F1318" t="inlineStr">
        <is>
          <t>Bergvik skog väst AB</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21581-2024</t>
        </is>
      </c>
      <c r="B1319" s="1" t="n">
        <v>45441</v>
      </c>
      <c r="C1319" s="1" t="n">
        <v>45880</v>
      </c>
      <c r="D1319" t="inlineStr">
        <is>
          <t>VÄRMLANDS LÄN</t>
        </is>
      </c>
      <c r="E1319" t="inlineStr">
        <is>
          <t>TORSBY</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21585-2024</t>
        </is>
      </c>
      <c r="B1320" s="1" t="n">
        <v>45441</v>
      </c>
      <c r="C1320" s="1" t="n">
        <v>45880</v>
      </c>
      <c r="D1320" t="inlineStr">
        <is>
          <t>VÄRMLANDS LÄN</t>
        </is>
      </c>
      <c r="E1320" t="inlineStr">
        <is>
          <t>TORSBY</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25959-2025</t>
        </is>
      </c>
      <c r="B1321" s="1" t="n">
        <v>45804.60914351852</v>
      </c>
      <c r="C1321" s="1" t="n">
        <v>45880</v>
      </c>
      <c r="D1321" t="inlineStr">
        <is>
          <t>VÄRMLANDS LÄN</t>
        </is>
      </c>
      <c r="E1321" t="inlineStr">
        <is>
          <t>TORSBY</t>
        </is>
      </c>
      <c r="F1321" t="inlineStr">
        <is>
          <t>Bergvik skog väst AB</t>
        </is>
      </c>
      <c r="G1321" t="n">
        <v>17.6</v>
      </c>
      <c r="H1321" t="n">
        <v>0</v>
      </c>
      <c r="I1321" t="n">
        <v>0</v>
      </c>
      <c r="J1321" t="n">
        <v>0</v>
      </c>
      <c r="K1321" t="n">
        <v>0</v>
      </c>
      <c r="L1321" t="n">
        <v>0</v>
      </c>
      <c r="M1321" t="n">
        <v>0</v>
      </c>
      <c r="N1321" t="n">
        <v>0</v>
      </c>
      <c r="O1321" t="n">
        <v>0</v>
      </c>
      <c r="P1321" t="n">
        <v>0</v>
      </c>
      <c r="Q1321" t="n">
        <v>0</v>
      </c>
      <c r="R1321" s="2" t="inlineStr"/>
    </row>
    <row r="1322" ht="15" customHeight="1">
      <c r="A1322" t="inlineStr">
        <is>
          <t>A 25961-2025</t>
        </is>
      </c>
      <c r="B1322" s="1" t="n">
        <v>45804.61326388889</v>
      </c>
      <c r="C1322" s="1" t="n">
        <v>45880</v>
      </c>
      <c r="D1322" t="inlineStr">
        <is>
          <t>VÄRMLANDS LÄN</t>
        </is>
      </c>
      <c r="E1322" t="inlineStr">
        <is>
          <t>TORSBY</t>
        </is>
      </c>
      <c r="G1322" t="n">
        <v>17.8</v>
      </c>
      <c r="H1322" t="n">
        <v>0</v>
      </c>
      <c r="I1322" t="n">
        <v>0</v>
      </c>
      <c r="J1322" t="n">
        <v>0</v>
      </c>
      <c r="K1322" t="n">
        <v>0</v>
      </c>
      <c r="L1322" t="n">
        <v>0</v>
      </c>
      <c r="M1322" t="n">
        <v>0</v>
      </c>
      <c r="N1322" t="n">
        <v>0</v>
      </c>
      <c r="O1322" t="n">
        <v>0</v>
      </c>
      <c r="P1322" t="n">
        <v>0</v>
      </c>
      <c r="Q1322" t="n">
        <v>0</v>
      </c>
      <c r="R1322" s="2" t="inlineStr"/>
    </row>
    <row r="1323" ht="15" customHeight="1">
      <c r="A1323" t="inlineStr">
        <is>
          <t>A 34451-2025</t>
        </is>
      </c>
      <c r="B1323" s="1" t="n">
        <v>45846.85114583333</v>
      </c>
      <c r="C1323" s="1" t="n">
        <v>45880</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49982-2023</t>
        </is>
      </c>
      <c r="B1324" s="1" t="n">
        <v>45215.4216087963</v>
      </c>
      <c r="C1324" s="1" t="n">
        <v>45880</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25807-2025</t>
        </is>
      </c>
      <c r="B1325" s="1" t="n">
        <v>45804.41055555556</v>
      </c>
      <c r="C1325" s="1" t="n">
        <v>45880</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35629-2023</t>
        </is>
      </c>
      <c r="B1326" s="1" t="n">
        <v>45147.55939814815</v>
      </c>
      <c r="C1326" s="1" t="n">
        <v>45880</v>
      </c>
      <c r="D1326" t="inlineStr">
        <is>
          <t>VÄRMLANDS LÄN</t>
        </is>
      </c>
      <c r="E1326" t="inlineStr">
        <is>
          <t>TORSBY</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34046-2025</t>
        </is>
      </c>
      <c r="B1327" s="1" t="n">
        <v>45845.38671296297</v>
      </c>
      <c r="C1327" s="1" t="n">
        <v>45880</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34388-2025</t>
        </is>
      </c>
      <c r="B1328" s="1" t="n">
        <v>45846.57305555556</v>
      </c>
      <c r="C1328" s="1" t="n">
        <v>45880</v>
      </c>
      <c r="D1328" t="inlineStr">
        <is>
          <t>VÄRMLANDS LÄN</t>
        </is>
      </c>
      <c r="E1328" t="inlineStr">
        <is>
          <t>TORSBY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34137-2025</t>
        </is>
      </c>
      <c r="B1329" s="1" t="n">
        <v>45845.54340277778</v>
      </c>
      <c r="C1329" s="1" t="n">
        <v>45880</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25653-2025</t>
        </is>
      </c>
      <c r="B1330" s="1" t="n">
        <v>45803.61072916666</v>
      </c>
      <c r="C1330" s="1" t="n">
        <v>45880</v>
      </c>
      <c r="D1330" t="inlineStr">
        <is>
          <t>VÄRMLANDS LÄN</t>
        </is>
      </c>
      <c r="E1330" t="inlineStr">
        <is>
          <t>TORSBY</t>
        </is>
      </c>
      <c r="F1330" t="inlineStr">
        <is>
          <t>Bergvik skog väst AB</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25866-2025</t>
        </is>
      </c>
      <c r="B1331" s="1" t="n">
        <v>45804.48143518518</v>
      </c>
      <c r="C1331" s="1" t="n">
        <v>45880</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18099-2022</t>
        </is>
      </c>
      <c r="B1332" s="1" t="n">
        <v>44684</v>
      </c>
      <c r="C1332" s="1" t="n">
        <v>45880</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20309-2025</t>
        </is>
      </c>
      <c r="B1333" s="1" t="n">
        <v>45775.28427083333</v>
      </c>
      <c r="C1333" s="1" t="n">
        <v>45880</v>
      </c>
      <c r="D1333" t="inlineStr">
        <is>
          <t>VÄRMLANDS LÄN</t>
        </is>
      </c>
      <c r="E1333" t="inlineStr">
        <is>
          <t>TORSBY</t>
        </is>
      </c>
      <c r="F1333" t="inlineStr">
        <is>
          <t>Bergvik skog väst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25881-2025</t>
        </is>
      </c>
      <c r="B1334" s="1" t="n">
        <v>45804.49729166667</v>
      </c>
      <c r="C1334" s="1" t="n">
        <v>45880</v>
      </c>
      <c r="D1334" t="inlineStr">
        <is>
          <t>VÄRMLANDS LÄN</t>
        </is>
      </c>
      <c r="E1334" t="inlineStr">
        <is>
          <t>TORSBY</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25917-2025</t>
        </is>
      </c>
      <c r="B1335" s="1" t="n">
        <v>45804.56704861111</v>
      </c>
      <c r="C1335" s="1" t="n">
        <v>45880</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56107-2024</t>
        </is>
      </c>
      <c r="B1336" s="1" t="n">
        <v>45624.44055555556</v>
      </c>
      <c r="C1336" s="1" t="n">
        <v>45880</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55836-2024</t>
        </is>
      </c>
      <c r="B1337" s="1" t="n">
        <v>45623.49150462963</v>
      </c>
      <c r="C1337" s="1" t="n">
        <v>45880</v>
      </c>
      <c r="D1337" t="inlineStr">
        <is>
          <t>VÄRMLANDS LÄN</t>
        </is>
      </c>
      <c r="E1337" t="inlineStr">
        <is>
          <t>TORSBY</t>
        </is>
      </c>
      <c r="F1337" t="inlineStr">
        <is>
          <t>Kommuner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25464-2025</t>
        </is>
      </c>
      <c r="B1338" s="1" t="n">
        <v>45802.46032407408</v>
      </c>
      <c r="C1338" s="1" t="n">
        <v>45880</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25465-2025</t>
        </is>
      </c>
      <c r="B1339" s="1" t="n">
        <v>45802.48196759259</v>
      </c>
      <c r="C1339" s="1" t="n">
        <v>45880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34398-2025</t>
        </is>
      </c>
      <c r="B1340" s="1" t="n">
        <v>45846.60688657407</v>
      </c>
      <c r="C1340" s="1" t="n">
        <v>45880</v>
      </c>
      <c r="D1340" t="inlineStr">
        <is>
          <t>VÄRMLANDS LÄN</t>
        </is>
      </c>
      <c r="E1340" t="inlineStr">
        <is>
          <t>TORSBY</t>
        </is>
      </c>
      <c r="F1340" t="inlineStr">
        <is>
          <t>Bergvik skog väst AB</t>
        </is>
      </c>
      <c r="G1340" t="n">
        <v>22.3</v>
      </c>
      <c r="H1340" t="n">
        <v>0</v>
      </c>
      <c r="I1340" t="n">
        <v>0</v>
      </c>
      <c r="J1340" t="n">
        <v>0</v>
      </c>
      <c r="K1340" t="n">
        <v>0</v>
      </c>
      <c r="L1340" t="n">
        <v>0</v>
      </c>
      <c r="M1340" t="n">
        <v>0</v>
      </c>
      <c r="N1340" t="n">
        <v>0</v>
      </c>
      <c r="O1340" t="n">
        <v>0</v>
      </c>
      <c r="P1340" t="n">
        <v>0</v>
      </c>
      <c r="Q1340" t="n">
        <v>0</v>
      </c>
      <c r="R1340" s="2" t="inlineStr"/>
    </row>
    <row r="1341" ht="15" customHeight="1">
      <c r="A1341" t="inlineStr">
        <is>
          <t>A 34140-2025</t>
        </is>
      </c>
      <c r="B1341" s="1" t="n">
        <v>45845.54896990741</v>
      </c>
      <c r="C1341" s="1" t="n">
        <v>45880</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34138-2025</t>
        </is>
      </c>
      <c r="B1342" s="1" t="n">
        <v>45845.54486111111</v>
      </c>
      <c r="C1342" s="1" t="n">
        <v>45880</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25974-2025</t>
        </is>
      </c>
      <c r="B1343" s="1" t="n">
        <v>45804</v>
      </c>
      <c r="C1343" s="1" t="n">
        <v>45880</v>
      </c>
      <c r="D1343" t="inlineStr">
        <is>
          <t>VÄRMLANDS LÄN</t>
        </is>
      </c>
      <c r="E1343" t="inlineStr">
        <is>
          <t>TORSBY</t>
        </is>
      </c>
      <c r="F1343" t="inlineStr">
        <is>
          <t>Bergvik skog väst AB</t>
        </is>
      </c>
      <c r="G1343" t="n">
        <v>24.6</v>
      </c>
      <c r="H1343" t="n">
        <v>0</v>
      </c>
      <c r="I1343" t="n">
        <v>0</v>
      </c>
      <c r="J1343" t="n">
        <v>0</v>
      </c>
      <c r="K1343" t="n">
        <v>0</v>
      </c>
      <c r="L1343" t="n">
        <v>0</v>
      </c>
      <c r="M1343" t="n">
        <v>0</v>
      </c>
      <c r="N1343" t="n">
        <v>0</v>
      </c>
      <c r="O1343" t="n">
        <v>0</v>
      </c>
      <c r="P1343" t="n">
        <v>0</v>
      </c>
      <c r="Q1343" t="n">
        <v>0</v>
      </c>
      <c r="R1343" s="2" t="inlineStr"/>
    </row>
    <row r="1344" ht="15" customHeight="1">
      <c r="A1344" t="inlineStr">
        <is>
          <t>A 19489-2022</t>
        </is>
      </c>
      <c r="B1344" s="1" t="n">
        <v>44693</v>
      </c>
      <c r="C1344" s="1" t="n">
        <v>45880</v>
      </c>
      <c r="D1344" t="inlineStr">
        <is>
          <t>VÄRMLANDS LÄN</t>
        </is>
      </c>
      <c r="E1344" t="inlineStr">
        <is>
          <t>TORSBY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20168-2022</t>
        </is>
      </c>
      <c r="B1345" s="1" t="n">
        <v>44698.50056712963</v>
      </c>
      <c r="C1345" s="1" t="n">
        <v>45880</v>
      </c>
      <c r="D1345" t="inlineStr">
        <is>
          <t>VÄRMLANDS LÄN</t>
        </is>
      </c>
      <c r="E1345" t="inlineStr">
        <is>
          <t>TORSBY</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1095-2025</t>
        </is>
      </c>
      <c r="B1346" s="1" t="n">
        <v>45666.63681712963</v>
      </c>
      <c r="C1346" s="1" t="n">
        <v>45880</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34353-2025</t>
        </is>
      </c>
      <c r="B1347" s="1" t="n">
        <v>45846.4775</v>
      </c>
      <c r="C1347" s="1" t="n">
        <v>45880</v>
      </c>
      <c r="D1347" t="inlineStr">
        <is>
          <t>VÄRMLANDS LÄN</t>
        </is>
      </c>
      <c r="E1347" t="inlineStr">
        <is>
          <t>TORSBY</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34355-2025</t>
        </is>
      </c>
      <c r="B1348" s="1" t="n">
        <v>45846.48114583334</v>
      </c>
      <c r="C1348" s="1" t="n">
        <v>45880</v>
      </c>
      <c r="D1348" t="inlineStr">
        <is>
          <t>VÄRMLANDS LÄN</t>
        </is>
      </c>
      <c r="E1348" t="inlineStr">
        <is>
          <t>TORSBY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34358-2025</t>
        </is>
      </c>
      <c r="B1349" s="1" t="n">
        <v>45846.48637731482</v>
      </c>
      <c r="C1349" s="1" t="n">
        <v>45880</v>
      </c>
      <c r="D1349" t="inlineStr">
        <is>
          <t>VÄRMLANDS LÄN</t>
        </is>
      </c>
      <c r="E1349" t="inlineStr">
        <is>
          <t>TORSBY</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34367-2025</t>
        </is>
      </c>
      <c r="B1350" s="1" t="n">
        <v>45846.49902777778</v>
      </c>
      <c r="C1350" s="1" t="n">
        <v>45880</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34370-2025</t>
        </is>
      </c>
      <c r="B1351" s="1" t="n">
        <v>45846.51056712963</v>
      </c>
      <c r="C1351" s="1" t="n">
        <v>45880</v>
      </c>
      <c r="D1351" t="inlineStr">
        <is>
          <t>VÄRMLANDS LÄN</t>
        </is>
      </c>
      <c r="E1351" t="inlineStr">
        <is>
          <t>TORSBY</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34372-2025</t>
        </is>
      </c>
      <c r="B1352" s="1" t="n">
        <v>45846.5134837963</v>
      </c>
      <c r="C1352" s="1" t="n">
        <v>45880</v>
      </c>
      <c r="D1352" t="inlineStr">
        <is>
          <t>VÄRMLANDS LÄN</t>
        </is>
      </c>
      <c r="E1352" t="inlineStr">
        <is>
          <t>TORSBY</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25443-2025</t>
        </is>
      </c>
      <c r="B1353" s="1" t="n">
        <v>45801.49258101852</v>
      </c>
      <c r="C1353" s="1" t="n">
        <v>45880</v>
      </c>
      <c r="D1353" t="inlineStr">
        <is>
          <t>VÄRMLANDS LÄN</t>
        </is>
      </c>
      <c r="E1353" t="inlineStr">
        <is>
          <t>TORSBY</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19791-2025</t>
        </is>
      </c>
      <c r="B1354" s="1" t="n">
        <v>45771.4452662037</v>
      </c>
      <c r="C1354" s="1" t="n">
        <v>45880</v>
      </c>
      <c r="D1354" t="inlineStr">
        <is>
          <t>VÄRMLANDS LÄN</t>
        </is>
      </c>
      <c r="E1354" t="inlineStr">
        <is>
          <t>TORSBY</t>
        </is>
      </c>
      <c r="F1354" t="inlineStr">
        <is>
          <t>Bergvik skog väst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56815-2023</t>
        </is>
      </c>
      <c r="B1355" s="1" t="n">
        <v>45244</v>
      </c>
      <c r="C1355" s="1" t="n">
        <v>45880</v>
      </c>
      <c r="D1355" t="inlineStr">
        <is>
          <t>VÄRMLANDS LÄN</t>
        </is>
      </c>
      <c r="E1355" t="inlineStr">
        <is>
          <t>TORSBY</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25808-2025</t>
        </is>
      </c>
      <c r="B1356" s="1" t="n">
        <v>45804.41528935185</v>
      </c>
      <c r="C1356" s="1" t="n">
        <v>45880</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25803-2025</t>
        </is>
      </c>
      <c r="B1357" s="1" t="n">
        <v>45804.40886574074</v>
      </c>
      <c r="C1357" s="1" t="n">
        <v>45880</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1708-2025</t>
        </is>
      </c>
      <c r="B1358" s="1" t="n">
        <v>45670</v>
      </c>
      <c r="C1358" s="1" t="n">
        <v>45880</v>
      </c>
      <c r="D1358" t="inlineStr">
        <is>
          <t>VÄRMLANDS LÄN</t>
        </is>
      </c>
      <c r="E1358" t="inlineStr">
        <is>
          <t>TORSBY</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25915-2025</t>
        </is>
      </c>
      <c r="B1359" s="1" t="n">
        <v>45804.56549768519</v>
      </c>
      <c r="C1359" s="1" t="n">
        <v>45880</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34363-2025</t>
        </is>
      </c>
      <c r="B1360" s="1" t="n">
        <v>45846.49144675926</v>
      </c>
      <c r="C1360" s="1" t="n">
        <v>45880</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34136-2025</t>
        </is>
      </c>
      <c r="B1361" s="1" t="n">
        <v>45845.54184027778</v>
      </c>
      <c r="C1361" s="1" t="n">
        <v>45880</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55839-2024</t>
        </is>
      </c>
      <c r="B1362" s="1" t="n">
        <v>45623.49502314815</v>
      </c>
      <c r="C1362" s="1" t="n">
        <v>45880</v>
      </c>
      <c r="D1362" t="inlineStr">
        <is>
          <t>VÄRMLANDS LÄN</t>
        </is>
      </c>
      <c r="E1362" t="inlineStr">
        <is>
          <t>TORSBY</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34145-2025</t>
        </is>
      </c>
      <c r="B1363" s="1" t="n">
        <v>45845.55372685185</v>
      </c>
      <c r="C1363" s="1" t="n">
        <v>45880</v>
      </c>
      <c r="D1363" t="inlineStr">
        <is>
          <t>VÄRMLANDS LÄN</t>
        </is>
      </c>
      <c r="E1363" t="inlineStr">
        <is>
          <t>TORSBY</t>
        </is>
      </c>
      <c r="G1363" t="n">
        <v>19.2</v>
      </c>
      <c r="H1363" t="n">
        <v>0</v>
      </c>
      <c r="I1363" t="n">
        <v>0</v>
      </c>
      <c r="J1363" t="n">
        <v>0</v>
      </c>
      <c r="K1363" t="n">
        <v>0</v>
      </c>
      <c r="L1363" t="n">
        <v>0</v>
      </c>
      <c r="M1363" t="n">
        <v>0</v>
      </c>
      <c r="N1363" t="n">
        <v>0</v>
      </c>
      <c r="O1363" t="n">
        <v>0</v>
      </c>
      <c r="P1363" t="n">
        <v>0</v>
      </c>
      <c r="Q1363" t="n">
        <v>0</v>
      </c>
      <c r="R1363" s="2" t="inlineStr"/>
    </row>
    <row r="1364" ht="15" customHeight="1">
      <c r="A1364" t="inlineStr">
        <is>
          <t>A 34146-2025</t>
        </is>
      </c>
      <c r="B1364" s="1" t="n">
        <v>45845.56008101852</v>
      </c>
      <c r="C1364" s="1" t="n">
        <v>45880</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50445-2023</t>
        </is>
      </c>
      <c r="B1365" s="1" t="n">
        <v>45216</v>
      </c>
      <c r="C1365" s="1" t="n">
        <v>45880</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25859-2025</t>
        </is>
      </c>
      <c r="B1366" s="1" t="n">
        <v>45804.47244212963</v>
      </c>
      <c r="C1366" s="1" t="n">
        <v>45880</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25545-2025</t>
        </is>
      </c>
      <c r="B1367" s="1" t="n">
        <v>45803.43763888889</v>
      </c>
      <c r="C1367" s="1" t="n">
        <v>45880</v>
      </c>
      <c r="D1367" t="inlineStr">
        <is>
          <t>VÄRMLANDS LÄN</t>
        </is>
      </c>
      <c r="E1367" t="inlineStr">
        <is>
          <t>TORSBY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34365-2025</t>
        </is>
      </c>
      <c r="B1368" s="1" t="n">
        <v>45846.49326388889</v>
      </c>
      <c r="C1368" s="1" t="n">
        <v>45880</v>
      </c>
      <c r="D1368" t="inlineStr">
        <is>
          <t>VÄRMLANDS LÄN</t>
        </is>
      </c>
      <c r="E1368" t="inlineStr">
        <is>
          <t>TORSBY</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62915-2020</t>
        </is>
      </c>
      <c r="B1369" s="1" t="n">
        <v>44162</v>
      </c>
      <c r="C1369" s="1" t="n">
        <v>45880</v>
      </c>
      <c r="D1369" t="inlineStr">
        <is>
          <t>VÄRMLANDS LÄN</t>
        </is>
      </c>
      <c r="E1369" t="inlineStr">
        <is>
          <t>TORSBY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25508-2025</t>
        </is>
      </c>
      <c r="B1370" s="1" t="n">
        <v>45803.35520833333</v>
      </c>
      <c r="C1370" s="1" t="n">
        <v>45880</v>
      </c>
      <c r="D1370" t="inlineStr">
        <is>
          <t>VÄRMLANDS LÄN</t>
        </is>
      </c>
      <c r="E1370" t="inlineStr">
        <is>
          <t>TORSBY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34517-2025</t>
        </is>
      </c>
      <c r="B1371" s="1" t="n">
        <v>45847.46900462963</v>
      </c>
      <c r="C1371" s="1" t="n">
        <v>45880</v>
      </c>
      <c r="D1371" t="inlineStr">
        <is>
          <t>VÄRMLANDS LÄN</t>
        </is>
      </c>
      <c r="E1371" t="inlineStr">
        <is>
          <t>TORSBY</t>
        </is>
      </c>
      <c r="F1371" t="inlineStr">
        <is>
          <t>Övriga Aktiebolag</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54014-2024</t>
        </is>
      </c>
      <c r="B1372" s="1" t="n">
        <v>45616.38003472222</v>
      </c>
      <c r="C1372" s="1" t="n">
        <v>45880</v>
      </c>
      <c r="D1372" t="inlineStr">
        <is>
          <t>VÄRMLANDS LÄN</t>
        </is>
      </c>
      <c r="E1372" t="inlineStr">
        <is>
          <t>TORSBY</t>
        </is>
      </c>
      <c r="F1372" t="inlineStr">
        <is>
          <t>Kommuner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26158-2025</t>
        </is>
      </c>
      <c r="B1373" s="1" t="n">
        <v>45805</v>
      </c>
      <c r="C1373" s="1" t="n">
        <v>45880</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34533-2025</t>
        </is>
      </c>
      <c r="B1374" s="1" t="n">
        <v>45847.50868055555</v>
      </c>
      <c r="C1374" s="1" t="n">
        <v>45880</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26061-2025</t>
        </is>
      </c>
      <c r="B1375" s="1" t="n">
        <v>45805.24886574074</v>
      </c>
      <c r="C1375" s="1" t="n">
        <v>45880</v>
      </c>
      <c r="D1375" t="inlineStr">
        <is>
          <t>VÄRMLANDS LÄN</t>
        </is>
      </c>
      <c r="E1375" t="inlineStr">
        <is>
          <t>TORSBY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36674-2023</t>
        </is>
      </c>
      <c r="B1376" s="1" t="n">
        <v>45153.5908912037</v>
      </c>
      <c r="C1376" s="1" t="n">
        <v>45880</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19614-2022</t>
        </is>
      </c>
      <c r="B1377" s="1" t="n">
        <v>44694</v>
      </c>
      <c r="C1377" s="1" t="n">
        <v>45880</v>
      </c>
      <c r="D1377" t="inlineStr">
        <is>
          <t>VÄRMLANDS LÄN</t>
        </is>
      </c>
      <c r="E1377" t="inlineStr">
        <is>
          <t>TORSBY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20898-2023</t>
        </is>
      </c>
      <c r="B1378" s="1" t="n">
        <v>45059</v>
      </c>
      <c r="C1378" s="1" t="n">
        <v>45880</v>
      </c>
      <c r="D1378" t="inlineStr">
        <is>
          <t>VÄRMLANDS LÄN</t>
        </is>
      </c>
      <c r="E1378" t="inlineStr">
        <is>
          <t>TORSBY</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48762-2023</t>
        </is>
      </c>
      <c r="B1379" s="1" t="n">
        <v>45208</v>
      </c>
      <c r="C1379" s="1" t="n">
        <v>45880</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26333-2025</t>
        </is>
      </c>
      <c r="B1380" s="1" t="n">
        <v>45805.69038194444</v>
      </c>
      <c r="C1380" s="1" t="n">
        <v>45880</v>
      </c>
      <c r="D1380" t="inlineStr">
        <is>
          <t>VÄRMLANDS LÄN</t>
        </is>
      </c>
      <c r="E1380" t="inlineStr">
        <is>
          <t>TORSBY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53570-2024</t>
        </is>
      </c>
      <c r="B1381" s="1" t="n">
        <v>45614.65956018519</v>
      </c>
      <c r="C1381" s="1" t="n">
        <v>45880</v>
      </c>
      <c r="D1381" t="inlineStr">
        <is>
          <t>VÄRMLANDS LÄN</t>
        </is>
      </c>
      <c r="E1381" t="inlineStr">
        <is>
          <t>TORSBY</t>
        </is>
      </c>
      <c r="G1381" t="n">
        <v>15.5</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45880</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26231-2025</t>
        </is>
      </c>
      <c r="B1383" s="1" t="n">
        <v>45805</v>
      </c>
      <c r="C1383" s="1" t="n">
        <v>45880</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4302-2025</t>
        </is>
      </c>
      <c r="B1384" s="1" t="n">
        <v>45685.67939814815</v>
      </c>
      <c r="C1384" s="1" t="n">
        <v>45880</v>
      </c>
      <c r="D1384" t="inlineStr">
        <is>
          <t>VÄRMLANDS LÄN</t>
        </is>
      </c>
      <c r="E1384" t="inlineStr">
        <is>
          <t>TORSBY</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34792-2025</t>
        </is>
      </c>
      <c r="B1385" s="1" t="n">
        <v>45848.70331018518</v>
      </c>
      <c r="C1385" s="1" t="n">
        <v>45880</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10288-2025</t>
        </is>
      </c>
      <c r="B1386" s="1" t="n">
        <v>45720.41396990741</v>
      </c>
      <c r="C1386" s="1" t="n">
        <v>45880</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12554-2025</t>
        </is>
      </c>
      <c r="B1387" s="1" t="n">
        <v>45731</v>
      </c>
      <c r="C1387" s="1" t="n">
        <v>45880</v>
      </c>
      <c r="D1387" t="inlineStr">
        <is>
          <t>VÄRMLANDS LÄN</t>
        </is>
      </c>
      <c r="E1387" t="inlineStr">
        <is>
          <t>TORSBY</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27920-2023</t>
        </is>
      </c>
      <c r="B1388" s="1" t="n">
        <v>45098.64269675926</v>
      </c>
      <c r="C1388" s="1" t="n">
        <v>45880</v>
      </c>
      <c r="D1388" t="inlineStr">
        <is>
          <t>VÄRMLANDS LÄN</t>
        </is>
      </c>
      <c r="E1388" t="inlineStr">
        <is>
          <t>TORSBY</t>
        </is>
      </c>
      <c r="F1388" t="inlineStr">
        <is>
          <t>Kyrkan</t>
        </is>
      </c>
      <c r="G1388" t="n">
        <v>14.7</v>
      </c>
      <c r="H1388" t="n">
        <v>0</v>
      </c>
      <c r="I1388" t="n">
        <v>0</v>
      </c>
      <c r="J1388" t="n">
        <v>0</v>
      </c>
      <c r="K1388" t="n">
        <v>0</v>
      </c>
      <c r="L1388" t="n">
        <v>0</v>
      </c>
      <c r="M1388" t="n">
        <v>0</v>
      </c>
      <c r="N1388" t="n">
        <v>0</v>
      </c>
      <c r="O1388" t="n">
        <v>0</v>
      </c>
      <c r="P1388" t="n">
        <v>0</v>
      </c>
      <c r="Q1388" t="n">
        <v>0</v>
      </c>
      <c r="R1388" s="2" t="inlineStr"/>
    </row>
    <row r="1389" ht="15" customHeight="1">
      <c r="A1389" t="inlineStr">
        <is>
          <t>A 24876-2023</t>
        </is>
      </c>
      <c r="B1389" s="1" t="n">
        <v>45085.42391203704</v>
      </c>
      <c r="C1389" s="1" t="n">
        <v>45880</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33620-2024</t>
        </is>
      </c>
      <c r="B1390" s="1" t="n">
        <v>45520.41530092592</v>
      </c>
      <c r="C1390" s="1" t="n">
        <v>45880</v>
      </c>
      <c r="D1390" t="inlineStr">
        <is>
          <t>VÄRMLANDS LÄN</t>
        </is>
      </c>
      <c r="E1390" t="inlineStr">
        <is>
          <t>TORSBY</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16872-2025</t>
        </is>
      </c>
      <c r="B1391" s="1" t="n">
        <v>45754</v>
      </c>
      <c r="C1391" s="1" t="n">
        <v>45880</v>
      </c>
      <c r="D1391" t="inlineStr">
        <is>
          <t>VÄRMLANDS LÄN</t>
        </is>
      </c>
      <c r="E1391" t="inlineStr">
        <is>
          <t>TORSBY</t>
        </is>
      </c>
      <c r="G1391" t="n">
        <v>16.6</v>
      </c>
      <c r="H1391" t="n">
        <v>0</v>
      </c>
      <c r="I1391" t="n">
        <v>0</v>
      </c>
      <c r="J1391" t="n">
        <v>0</v>
      </c>
      <c r="K1391" t="n">
        <v>0</v>
      </c>
      <c r="L1391" t="n">
        <v>0</v>
      </c>
      <c r="M1391" t="n">
        <v>0</v>
      </c>
      <c r="N1391" t="n">
        <v>0</v>
      </c>
      <c r="O1391" t="n">
        <v>0</v>
      </c>
      <c r="P1391" t="n">
        <v>0</v>
      </c>
      <c r="Q1391" t="n">
        <v>0</v>
      </c>
      <c r="R1391" s="2" t="inlineStr"/>
    </row>
    <row r="1392" ht="15" customHeight="1">
      <c r="A1392" t="inlineStr">
        <is>
          <t>A 17841-2025</t>
        </is>
      </c>
      <c r="B1392" s="1" t="n">
        <v>45758</v>
      </c>
      <c r="C1392" s="1" t="n">
        <v>45880</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26108-2025</t>
        </is>
      </c>
      <c r="B1393" s="1" t="n">
        <v>45805</v>
      </c>
      <c r="C1393" s="1" t="n">
        <v>45880</v>
      </c>
      <c r="D1393" t="inlineStr">
        <is>
          <t>VÄRMLANDS LÄN</t>
        </is>
      </c>
      <c r="E1393" t="inlineStr">
        <is>
          <t>TORSBY</t>
        </is>
      </c>
      <c r="F1393" t="inlineStr">
        <is>
          <t>Bergvik skog väst AB</t>
        </is>
      </c>
      <c r="G1393" t="n">
        <v>22.8</v>
      </c>
      <c r="H1393" t="n">
        <v>0</v>
      </c>
      <c r="I1393" t="n">
        <v>0</v>
      </c>
      <c r="J1393" t="n">
        <v>0</v>
      </c>
      <c r="K1393" t="n">
        <v>0</v>
      </c>
      <c r="L1393" t="n">
        <v>0</v>
      </c>
      <c r="M1393" t="n">
        <v>0</v>
      </c>
      <c r="N1393" t="n">
        <v>0</v>
      </c>
      <c r="O1393" t="n">
        <v>0</v>
      </c>
      <c r="P1393" t="n">
        <v>0</v>
      </c>
      <c r="Q1393" t="n">
        <v>0</v>
      </c>
      <c r="R1393" s="2" t="inlineStr"/>
    </row>
    <row r="1394" ht="15" customHeight="1">
      <c r="A1394" t="inlineStr">
        <is>
          <t>A 24657-2024</t>
        </is>
      </c>
      <c r="B1394" s="1" t="n">
        <v>45460</v>
      </c>
      <c r="C1394" s="1" t="n">
        <v>45880</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9203-2024</t>
        </is>
      </c>
      <c r="B1395" s="1" t="n">
        <v>45358</v>
      </c>
      <c r="C1395" s="1" t="n">
        <v>45880</v>
      </c>
      <c r="D1395" t="inlineStr">
        <is>
          <t>VÄRMLANDS LÄN</t>
        </is>
      </c>
      <c r="E1395" t="inlineStr">
        <is>
          <t>TORSBY</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51199-2023</t>
        </is>
      </c>
      <c r="B1396" s="1" t="n">
        <v>45219.42247685185</v>
      </c>
      <c r="C1396" s="1" t="n">
        <v>45880</v>
      </c>
      <c r="D1396" t="inlineStr">
        <is>
          <t>VÄRMLANDS LÄN</t>
        </is>
      </c>
      <c r="E1396" t="inlineStr">
        <is>
          <t>TORSBY</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23996-2024</t>
        </is>
      </c>
      <c r="B1397" s="1" t="n">
        <v>45456</v>
      </c>
      <c r="C1397" s="1" t="n">
        <v>45880</v>
      </c>
      <c r="D1397" t="inlineStr">
        <is>
          <t>VÄRMLANDS LÄN</t>
        </is>
      </c>
      <c r="E1397" t="inlineStr">
        <is>
          <t>TORSBY</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34480-2025</t>
        </is>
      </c>
      <c r="B1398" s="1" t="n">
        <v>45847.37582175926</v>
      </c>
      <c r="C1398" s="1" t="n">
        <v>45880</v>
      </c>
      <c r="D1398" t="inlineStr">
        <is>
          <t>VÄRMLANDS LÄN</t>
        </is>
      </c>
      <c r="E1398" t="inlineStr">
        <is>
          <t>TORSBY</t>
        </is>
      </c>
      <c r="F1398" t="inlineStr">
        <is>
          <t>Övriga Aktiebolag</t>
        </is>
      </c>
      <c r="G1398" t="n">
        <v>13.4</v>
      </c>
      <c r="H1398" t="n">
        <v>0</v>
      </c>
      <c r="I1398" t="n">
        <v>0</v>
      </c>
      <c r="J1398" t="n">
        <v>0</v>
      </c>
      <c r="K1398" t="n">
        <v>0</v>
      </c>
      <c r="L1398" t="n">
        <v>0</v>
      </c>
      <c r="M1398" t="n">
        <v>0</v>
      </c>
      <c r="N1398" t="n">
        <v>0</v>
      </c>
      <c r="O1398" t="n">
        <v>0</v>
      </c>
      <c r="P1398" t="n">
        <v>0</v>
      </c>
      <c r="Q1398" t="n">
        <v>0</v>
      </c>
      <c r="R1398" s="2" t="inlineStr"/>
    </row>
    <row r="1399" ht="15" customHeight="1">
      <c r="A1399" t="inlineStr">
        <is>
          <t>A 34495-2025</t>
        </is>
      </c>
      <c r="B1399" s="1" t="n">
        <v>45847.42686342593</v>
      </c>
      <c r="C1399" s="1" t="n">
        <v>45880</v>
      </c>
      <c r="D1399" t="inlineStr">
        <is>
          <t>VÄRMLANDS LÄN</t>
        </is>
      </c>
      <c r="E1399" t="inlineStr">
        <is>
          <t>TORSBY</t>
        </is>
      </c>
      <c r="F1399" t="inlineStr">
        <is>
          <t>Övriga Aktiebolag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22426-2024</t>
        </is>
      </c>
      <c r="B1400" s="1" t="n">
        <v>45446</v>
      </c>
      <c r="C1400" s="1" t="n">
        <v>45880</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24148-2024</t>
        </is>
      </c>
      <c r="B1401" s="1" t="n">
        <v>45456</v>
      </c>
      <c r="C1401" s="1" t="n">
        <v>45880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26342-2025</t>
        </is>
      </c>
      <c r="B1402" s="1" t="n">
        <v>45805.70604166666</v>
      </c>
      <c r="C1402" s="1" t="n">
        <v>45880</v>
      </c>
      <c r="D1402" t="inlineStr">
        <is>
          <t>VÄRMLANDS LÄN</t>
        </is>
      </c>
      <c r="E1402" t="inlineStr">
        <is>
          <t>TORSBY</t>
        </is>
      </c>
      <c r="F1402" t="inlineStr">
        <is>
          <t>Bergvik skog väst AB</t>
        </is>
      </c>
      <c r="G1402" t="n">
        <v>13.6</v>
      </c>
      <c r="H1402" t="n">
        <v>0</v>
      </c>
      <c r="I1402" t="n">
        <v>0</v>
      </c>
      <c r="J1402" t="n">
        <v>0</v>
      </c>
      <c r="K1402" t="n">
        <v>0</v>
      </c>
      <c r="L1402" t="n">
        <v>0</v>
      </c>
      <c r="M1402" t="n">
        <v>0</v>
      </c>
      <c r="N1402" t="n">
        <v>0</v>
      </c>
      <c r="O1402" t="n">
        <v>0</v>
      </c>
      <c r="P1402" t="n">
        <v>0</v>
      </c>
      <c r="Q1402" t="n">
        <v>0</v>
      </c>
      <c r="R1402" s="2" t="inlineStr"/>
    </row>
    <row r="1403" ht="15" customHeight="1">
      <c r="A1403" t="inlineStr">
        <is>
          <t>A 55811-2021</t>
        </is>
      </c>
      <c r="B1403" s="1" t="n">
        <v>44476</v>
      </c>
      <c r="C1403" s="1" t="n">
        <v>45880</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42613-2023</t>
        </is>
      </c>
      <c r="B1404" s="1" t="n">
        <v>45181</v>
      </c>
      <c r="C1404" s="1" t="n">
        <v>45880</v>
      </c>
      <c r="D1404" t="inlineStr">
        <is>
          <t>VÄRMLANDS LÄN</t>
        </is>
      </c>
      <c r="E1404" t="inlineStr">
        <is>
          <t>TORSBY</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59236-2023</t>
        </is>
      </c>
      <c r="B1405" s="1" t="n">
        <v>45253</v>
      </c>
      <c r="C1405" s="1" t="n">
        <v>45880</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26487-2025</t>
        </is>
      </c>
      <c r="B1406" s="1" t="n">
        <v>45807.47644675926</v>
      </c>
      <c r="C1406" s="1" t="n">
        <v>45880</v>
      </c>
      <c r="D1406" t="inlineStr">
        <is>
          <t>VÄRMLANDS LÄN</t>
        </is>
      </c>
      <c r="E1406" t="inlineStr">
        <is>
          <t>TORSBY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30002-2024</t>
        </is>
      </c>
      <c r="B1407" s="1" t="n">
        <v>45488</v>
      </c>
      <c r="C1407" s="1" t="n">
        <v>45880</v>
      </c>
      <c r="D1407" t="inlineStr">
        <is>
          <t>VÄRMLANDS LÄN</t>
        </is>
      </c>
      <c r="E1407" t="inlineStr">
        <is>
          <t>TORSBY</t>
        </is>
      </c>
      <c r="F1407" t="inlineStr">
        <is>
          <t>Kommuner</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52532-2023</t>
        </is>
      </c>
      <c r="B1408" s="1" t="n">
        <v>45225.54318287037</v>
      </c>
      <c r="C1408" s="1" t="n">
        <v>45880</v>
      </c>
      <c r="D1408" t="inlineStr">
        <is>
          <t>VÄRMLANDS LÄN</t>
        </is>
      </c>
      <c r="E1408" t="inlineStr">
        <is>
          <t>TORSBY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14120-2025</t>
        </is>
      </c>
      <c r="B1409" s="1" t="n">
        <v>45740</v>
      </c>
      <c r="C1409" s="1" t="n">
        <v>45880</v>
      </c>
      <c r="D1409" t="inlineStr">
        <is>
          <t>VÄRMLANDS LÄN</t>
        </is>
      </c>
      <c r="E1409" t="inlineStr">
        <is>
          <t>TORSBY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15768-2025</t>
        </is>
      </c>
      <c r="B1410" s="1" t="n">
        <v>45748.58782407407</v>
      </c>
      <c r="C1410" s="1" t="n">
        <v>45880</v>
      </c>
      <c r="D1410" t="inlineStr">
        <is>
          <t>VÄRMLANDS LÄN</t>
        </is>
      </c>
      <c r="E1410" t="inlineStr">
        <is>
          <t>TORSBY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28545-2024</t>
        </is>
      </c>
      <c r="B1411" s="1" t="n">
        <v>45478.3559375</v>
      </c>
      <c r="C1411" s="1" t="n">
        <v>45880</v>
      </c>
      <c r="D1411" t="inlineStr">
        <is>
          <t>VÄRMLANDS LÄN</t>
        </is>
      </c>
      <c r="E1411" t="inlineStr">
        <is>
          <t>TORSBY</t>
        </is>
      </c>
      <c r="F1411" t="inlineStr">
        <is>
          <t>Bergvik skog väst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11364-2023</t>
        </is>
      </c>
      <c r="B1412" s="1" t="n">
        <v>44993.43150462963</v>
      </c>
      <c r="C1412" s="1" t="n">
        <v>45880</v>
      </c>
      <c r="D1412" t="inlineStr">
        <is>
          <t>VÄRMLANDS LÄN</t>
        </is>
      </c>
      <c r="E1412" t="inlineStr">
        <is>
          <t>TORSBY</t>
        </is>
      </c>
      <c r="G1412" t="n">
        <v>31.9</v>
      </c>
      <c r="H1412" t="n">
        <v>0</v>
      </c>
      <c r="I1412" t="n">
        <v>0</v>
      </c>
      <c r="J1412" t="n">
        <v>0</v>
      </c>
      <c r="K1412" t="n">
        <v>0</v>
      </c>
      <c r="L1412" t="n">
        <v>0</v>
      </c>
      <c r="M1412" t="n">
        <v>0</v>
      </c>
      <c r="N1412" t="n">
        <v>0</v>
      </c>
      <c r="O1412" t="n">
        <v>0</v>
      </c>
      <c r="P1412" t="n">
        <v>0</v>
      </c>
      <c r="Q1412" t="n">
        <v>0</v>
      </c>
      <c r="R1412" s="2" t="inlineStr"/>
    </row>
    <row r="1413" ht="15" customHeight="1">
      <c r="A1413" t="inlineStr">
        <is>
          <t>A 61073-2024</t>
        </is>
      </c>
      <c r="B1413" s="1" t="n">
        <v>45645.50665509259</v>
      </c>
      <c r="C1413" s="1" t="n">
        <v>45880</v>
      </c>
      <c r="D1413" t="inlineStr">
        <is>
          <t>VÄRMLANDS LÄN</t>
        </is>
      </c>
      <c r="E1413" t="inlineStr">
        <is>
          <t>TORSBY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52801-2024</t>
        </is>
      </c>
      <c r="B1414" s="1" t="n">
        <v>45610.56784722222</v>
      </c>
      <c r="C1414" s="1" t="n">
        <v>45880</v>
      </c>
      <c r="D1414" t="inlineStr">
        <is>
          <t>VÄRMLANDS LÄN</t>
        </is>
      </c>
      <c r="E1414" t="inlineStr">
        <is>
          <t>TORSBY</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7283-2023</t>
        </is>
      </c>
      <c r="B1415" s="1" t="n">
        <v>44970</v>
      </c>
      <c r="C1415" s="1" t="n">
        <v>45880</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54766-2023</t>
        </is>
      </c>
      <c r="B1416" s="1" t="n">
        <v>45236</v>
      </c>
      <c r="C1416" s="1" t="n">
        <v>45880</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25537-2022</t>
        </is>
      </c>
      <c r="B1417" s="1" t="n">
        <v>44732</v>
      </c>
      <c r="C1417" s="1" t="n">
        <v>45880</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20725-2024</t>
        </is>
      </c>
      <c r="B1418" s="1" t="n">
        <v>45436.65284722222</v>
      </c>
      <c r="C1418" s="1" t="n">
        <v>45880</v>
      </c>
      <c r="D1418" t="inlineStr">
        <is>
          <t>VÄRMLANDS LÄN</t>
        </is>
      </c>
      <c r="E1418" t="inlineStr">
        <is>
          <t>TORSBY</t>
        </is>
      </c>
      <c r="F1418" t="inlineStr">
        <is>
          <t>Bergvik skog väst AB</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11259-2024</t>
        </is>
      </c>
      <c r="B1419" s="1" t="n">
        <v>45371</v>
      </c>
      <c r="C1419" s="1" t="n">
        <v>45880</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11222-2024</t>
        </is>
      </c>
      <c r="B1420" s="1" t="n">
        <v>45371</v>
      </c>
      <c r="C1420" s="1" t="n">
        <v>45880</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1161-2025</t>
        </is>
      </c>
      <c r="B1421" s="1" t="n">
        <v>45666</v>
      </c>
      <c r="C1421" s="1" t="n">
        <v>45880</v>
      </c>
      <c r="D1421" t="inlineStr">
        <is>
          <t>VÄRMLANDS LÄN</t>
        </is>
      </c>
      <c r="E1421" t="inlineStr">
        <is>
          <t>TORSBY</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38252-2023</t>
        </is>
      </c>
      <c r="B1422" s="1" t="n">
        <v>45161</v>
      </c>
      <c r="C1422" s="1" t="n">
        <v>45880</v>
      </c>
      <c r="D1422" t="inlineStr">
        <is>
          <t>VÄRMLANDS LÄN</t>
        </is>
      </c>
      <c r="E1422" t="inlineStr">
        <is>
          <t>TORSBY</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46915-2024</t>
        </is>
      </c>
      <c r="B1423" s="1" t="n">
        <v>45583</v>
      </c>
      <c r="C1423" s="1" t="n">
        <v>45880</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15460-2022</t>
        </is>
      </c>
      <c r="B1424" s="1" t="n">
        <v>44661</v>
      </c>
      <c r="C1424" s="1" t="n">
        <v>45880</v>
      </c>
      <c r="D1424" t="inlineStr">
        <is>
          <t>VÄRMLANDS LÄN</t>
        </is>
      </c>
      <c r="E1424" t="inlineStr">
        <is>
          <t>TORSBY</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26876-2024</t>
        </is>
      </c>
      <c r="B1425" s="1" t="n">
        <v>45470.62181712963</v>
      </c>
      <c r="C1425" s="1" t="n">
        <v>45880</v>
      </c>
      <c r="D1425" t="inlineStr">
        <is>
          <t>VÄRMLANDS LÄN</t>
        </is>
      </c>
      <c r="E1425" t="inlineStr">
        <is>
          <t>TORSBY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56724-2023</t>
        </is>
      </c>
      <c r="B1426" s="1" t="n">
        <v>45244.3393287037</v>
      </c>
      <c r="C1426" s="1" t="n">
        <v>45880</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44150-2023</t>
        </is>
      </c>
      <c r="B1427" s="1" t="n">
        <v>45188.47791666666</v>
      </c>
      <c r="C1427" s="1" t="n">
        <v>45880</v>
      </c>
      <c r="D1427" t="inlineStr">
        <is>
          <t>VÄRMLANDS LÄN</t>
        </is>
      </c>
      <c r="E1427" t="inlineStr">
        <is>
          <t>TORSBY</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26607-2025</t>
        </is>
      </c>
      <c r="B1428" s="1" t="n">
        <v>45809.92239583333</v>
      </c>
      <c r="C1428" s="1" t="n">
        <v>45880</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26822-2025</t>
        </is>
      </c>
      <c r="B1429" s="1" t="n">
        <v>45810</v>
      </c>
      <c r="C1429" s="1" t="n">
        <v>45880</v>
      </c>
      <c r="D1429" t="inlineStr">
        <is>
          <t>VÄRMLANDS LÄN</t>
        </is>
      </c>
      <c r="E1429" t="inlineStr">
        <is>
          <t>TORSBY</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26418-2025</t>
        </is>
      </c>
      <c r="B1430" s="1" t="n">
        <v>45807.36436342593</v>
      </c>
      <c r="C1430" s="1" t="n">
        <v>45880</v>
      </c>
      <c r="D1430" t="inlineStr">
        <is>
          <t>VÄRMLANDS LÄN</t>
        </is>
      </c>
      <c r="E1430" t="inlineStr">
        <is>
          <t>TORSBY</t>
        </is>
      </c>
      <c r="F1430" t="inlineStr">
        <is>
          <t>Bergvik skog väst AB</t>
        </is>
      </c>
      <c r="G1430" t="n">
        <v>13.4</v>
      </c>
      <c r="H1430" t="n">
        <v>0</v>
      </c>
      <c r="I1430" t="n">
        <v>0</v>
      </c>
      <c r="J1430" t="n">
        <v>0</v>
      </c>
      <c r="K1430" t="n">
        <v>0</v>
      </c>
      <c r="L1430" t="n">
        <v>0</v>
      </c>
      <c r="M1430" t="n">
        <v>0</v>
      </c>
      <c r="N1430" t="n">
        <v>0</v>
      </c>
      <c r="O1430" t="n">
        <v>0</v>
      </c>
      <c r="P1430" t="n">
        <v>0</v>
      </c>
      <c r="Q1430" t="n">
        <v>0</v>
      </c>
      <c r="R1430" s="2" t="inlineStr"/>
    </row>
    <row r="1431" ht="15" customHeight="1">
      <c r="A1431" t="inlineStr">
        <is>
          <t>A 18101-2022</t>
        </is>
      </c>
      <c r="B1431" s="1" t="n">
        <v>44684</v>
      </c>
      <c r="C1431" s="1" t="n">
        <v>45880</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8022-2025</t>
        </is>
      </c>
      <c r="B1432" s="1" t="n">
        <v>45707.57733796296</v>
      </c>
      <c r="C1432" s="1" t="n">
        <v>45880</v>
      </c>
      <c r="D1432" t="inlineStr">
        <is>
          <t>VÄRMLANDS LÄN</t>
        </is>
      </c>
      <c r="E1432" t="inlineStr">
        <is>
          <t>TORSBY</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26564-2025</t>
        </is>
      </c>
      <c r="B1433" s="1" t="n">
        <v>45807.66306712963</v>
      </c>
      <c r="C1433" s="1" t="n">
        <v>45880</v>
      </c>
      <c r="D1433" t="inlineStr">
        <is>
          <t>VÄRMLANDS LÄN</t>
        </is>
      </c>
      <c r="E1433" t="inlineStr">
        <is>
          <t>TORSBY</t>
        </is>
      </c>
      <c r="F1433" t="inlineStr">
        <is>
          <t>Bergvik skog väst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26479-2025</t>
        </is>
      </c>
      <c r="B1434" s="1" t="n">
        <v>45807.47021990741</v>
      </c>
      <c r="C1434" s="1" t="n">
        <v>45880</v>
      </c>
      <c r="D1434" t="inlineStr">
        <is>
          <t>VÄRMLANDS LÄN</t>
        </is>
      </c>
      <c r="E1434" t="inlineStr">
        <is>
          <t>TORSBY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26491-2025</t>
        </is>
      </c>
      <c r="B1435" s="1" t="n">
        <v>45807.48939814815</v>
      </c>
      <c r="C1435" s="1" t="n">
        <v>45880</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26507-2025</t>
        </is>
      </c>
      <c r="B1436" s="1" t="n">
        <v>45807.52539351852</v>
      </c>
      <c r="C1436" s="1" t="n">
        <v>45880</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26533-2025</t>
        </is>
      </c>
      <c r="B1437" s="1" t="n">
        <v>45807.57259259259</v>
      </c>
      <c r="C1437" s="1" t="n">
        <v>45880</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39767-2024</t>
        </is>
      </c>
      <c r="B1438" s="1" t="n">
        <v>45552</v>
      </c>
      <c r="C1438" s="1" t="n">
        <v>45880</v>
      </c>
      <c r="D1438" t="inlineStr">
        <is>
          <t>VÄRMLANDS LÄN</t>
        </is>
      </c>
      <c r="E1438" t="inlineStr">
        <is>
          <t>TORSBY</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11195-2025</t>
        </is>
      </c>
      <c r="B1439" s="1" t="n">
        <v>45725.85177083333</v>
      </c>
      <c r="C1439" s="1" t="n">
        <v>45880</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23804-2022</t>
        </is>
      </c>
      <c r="B1440" s="1" t="n">
        <v>44722</v>
      </c>
      <c r="C1440" s="1" t="n">
        <v>45880</v>
      </c>
      <c r="D1440" t="inlineStr">
        <is>
          <t>VÄRMLANDS LÄN</t>
        </is>
      </c>
      <c r="E1440" t="inlineStr">
        <is>
          <t>TORSBY</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35724-2022</t>
        </is>
      </c>
      <c r="B1441" s="1" t="n">
        <v>44799</v>
      </c>
      <c r="C1441" s="1" t="n">
        <v>45880</v>
      </c>
      <c r="D1441" t="inlineStr">
        <is>
          <t>VÄRMLANDS LÄN</t>
        </is>
      </c>
      <c r="E1441" t="inlineStr">
        <is>
          <t>TORSBY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45880</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34268-2025</t>
        </is>
      </c>
      <c r="B1443" s="1" t="n">
        <v>45845</v>
      </c>
      <c r="C1443" s="1" t="n">
        <v>45880</v>
      </c>
      <c r="D1443" t="inlineStr">
        <is>
          <t>VÄRMLANDS LÄN</t>
        </is>
      </c>
      <c r="E1443" t="inlineStr">
        <is>
          <t>TORSBY</t>
        </is>
      </c>
      <c r="F1443" t="inlineStr">
        <is>
          <t>Bergvik skog väst AB</t>
        </is>
      </c>
      <c r="G1443" t="n">
        <v>19.7</v>
      </c>
      <c r="H1443" t="n">
        <v>0</v>
      </c>
      <c r="I1443" t="n">
        <v>0</v>
      </c>
      <c r="J1443" t="n">
        <v>0</v>
      </c>
      <c r="K1443" t="n">
        <v>0</v>
      </c>
      <c r="L1443" t="n">
        <v>0</v>
      </c>
      <c r="M1443" t="n">
        <v>0</v>
      </c>
      <c r="N1443" t="n">
        <v>0</v>
      </c>
      <c r="O1443" t="n">
        <v>0</v>
      </c>
      <c r="P1443" t="n">
        <v>0</v>
      </c>
      <c r="Q1443" t="n">
        <v>0</v>
      </c>
      <c r="R1443" s="2" t="inlineStr"/>
    </row>
    <row r="1444" ht="15" customHeight="1">
      <c r="A1444" t="inlineStr">
        <is>
          <t>A 54006-2024</t>
        </is>
      </c>
      <c r="B1444" s="1" t="n">
        <v>45616.3717824074</v>
      </c>
      <c r="C1444" s="1" t="n">
        <v>45880</v>
      </c>
      <c r="D1444" t="inlineStr">
        <is>
          <t>VÄRMLANDS LÄN</t>
        </is>
      </c>
      <c r="E1444" t="inlineStr">
        <is>
          <t>TORSBY</t>
        </is>
      </c>
      <c r="F1444" t="inlineStr">
        <is>
          <t>Kommuner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34997-2025</t>
        </is>
      </c>
      <c r="B1445" s="1" t="n">
        <v>45849.87340277778</v>
      </c>
      <c r="C1445" s="1" t="n">
        <v>45880</v>
      </c>
      <c r="D1445" t="inlineStr">
        <is>
          <t>VÄRMLANDS LÄN</t>
        </is>
      </c>
      <c r="E1445" t="inlineStr">
        <is>
          <t>TORSBY</t>
        </is>
      </c>
      <c r="G1445" t="n">
        <v>24.4</v>
      </c>
      <c r="H1445" t="n">
        <v>0</v>
      </c>
      <c r="I1445" t="n">
        <v>0</v>
      </c>
      <c r="J1445" t="n">
        <v>0</v>
      </c>
      <c r="K1445" t="n">
        <v>0</v>
      </c>
      <c r="L1445" t="n">
        <v>0</v>
      </c>
      <c r="M1445" t="n">
        <v>0</v>
      </c>
      <c r="N1445" t="n">
        <v>0</v>
      </c>
      <c r="O1445" t="n">
        <v>0</v>
      </c>
      <c r="P1445" t="n">
        <v>0</v>
      </c>
      <c r="Q1445" t="n">
        <v>0</v>
      </c>
      <c r="R1445" s="2" t="inlineStr"/>
    </row>
    <row r="1446" ht="15" customHeight="1">
      <c r="A1446" t="inlineStr">
        <is>
          <t>A 21078-2023</t>
        </is>
      </c>
      <c r="B1446" s="1" t="n">
        <v>45061</v>
      </c>
      <c r="C1446" s="1" t="n">
        <v>45880</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24087-2024</t>
        </is>
      </c>
      <c r="B1447" s="1" t="n">
        <v>45456</v>
      </c>
      <c r="C1447" s="1" t="n">
        <v>45880</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16380-2025</t>
        </is>
      </c>
      <c r="B1448" s="1" t="n">
        <v>45751</v>
      </c>
      <c r="C1448" s="1" t="n">
        <v>45880</v>
      </c>
      <c r="D1448" t="inlineStr">
        <is>
          <t>VÄRMLANDS LÄN</t>
        </is>
      </c>
      <c r="E1448" t="inlineStr">
        <is>
          <t>TORSBY</t>
        </is>
      </c>
      <c r="F1448" t="inlineStr">
        <is>
          <t>Bergvik skog väst AB</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25956-2025</t>
        </is>
      </c>
      <c r="B1449" s="1" t="n">
        <v>45804</v>
      </c>
      <c r="C1449" s="1" t="n">
        <v>45880</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16498-2022</t>
        </is>
      </c>
      <c r="B1450" s="1" t="n">
        <v>44671</v>
      </c>
      <c r="C1450" s="1" t="n">
        <v>45880</v>
      </c>
      <c r="D1450" t="inlineStr">
        <is>
          <t>VÄRMLANDS LÄN</t>
        </is>
      </c>
      <c r="E1450" t="inlineStr">
        <is>
          <t>TORSBY</t>
        </is>
      </c>
      <c r="F1450" t="inlineStr">
        <is>
          <t>Kommuner</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61157-2023</t>
        </is>
      </c>
      <c r="B1451" s="1" t="n">
        <v>45261.98796296296</v>
      </c>
      <c r="C1451" s="1" t="n">
        <v>45880</v>
      </c>
      <c r="D1451" t="inlineStr">
        <is>
          <t>VÄRMLANDS LÄN</t>
        </is>
      </c>
      <c r="E1451" t="inlineStr">
        <is>
          <t>TORSBY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34846-2025</t>
        </is>
      </c>
      <c r="B1452" s="1" t="n">
        <v>45849.41454861111</v>
      </c>
      <c r="C1452" s="1" t="n">
        <v>45880</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10027-2023</t>
        </is>
      </c>
      <c r="B1453" s="1" t="n">
        <v>44979</v>
      </c>
      <c r="C1453" s="1" t="n">
        <v>45880</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754-2025</t>
        </is>
      </c>
      <c r="B1454" s="1" t="n">
        <v>45665</v>
      </c>
      <c r="C1454" s="1" t="n">
        <v>45880</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48721-2024</t>
        </is>
      </c>
      <c r="B1455" s="1" t="n">
        <v>45593.54752314815</v>
      </c>
      <c r="C1455" s="1" t="n">
        <v>45880</v>
      </c>
      <c r="D1455" t="inlineStr">
        <is>
          <t>VÄRMLANDS LÄN</t>
        </is>
      </c>
      <c r="E1455" t="inlineStr">
        <is>
          <t>TORSBY</t>
        </is>
      </c>
      <c r="F1455" t="inlineStr">
        <is>
          <t>Bergvik skog väst AB</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39746-2024</t>
        </is>
      </c>
      <c r="B1456" s="1" t="n">
        <v>45552</v>
      </c>
      <c r="C1456" s="1" t="n">
        <v>45880</v>
      </c>
      <c r="D1456" t="inlineStr">
        <is>
          <t>VÄRMLANDS LÄN</t>
        </is>
      </c>
      <c r="E1456" t="inlineStr">
        <is>
          <t>TORSBY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8188-2025</t>
        </is>
      </c>
      <c r="B1457" s="1" t="n">
        <v>45708.40246527778</v>
      </c>
      <c r="C1457" s="1" t="n">
        <v>45880</v>
      </c>
      <c r="D1457" t="inlineStr">
        <is>
          <t>VÄRMLANDS LÄN</t>
        </is>
      </c>
      <c r="E1457" t="inlineStr">
        <is>
          <t>TORSBY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55031-2023</t>
        </is>
      </c>
      <c r="B1458" s="1" t="n">
        <v>45237.34733796296</v>
      </c>
      <c r="C1458" s="1" t="n">
        <v>45880</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29921-2022</t>
        </is>
      </c>
      <c r="B1459" s="1" t="n">
        <v>44756</v>
      </c>
      <c r="C1459" s="1" t="n">
        <v>45880</v>
      </c>
      <c r="D1459" t="inlineStr">
        <is>
          <t>VÄRMLANDS LÄN</t>
        </is>
      </c>
      <c r="E1459" t="inlineStr">
        <is>
          <t>TORSBY</t>
        </is>
      </c>
      <c r="F1459" t="inlineStr">
        <is>
          <t>Kommuner</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38991-2023</t>
        </is>
      </c>
      <c r="B1460" s="1" t="n">
        <v>45163.65929398148</v>
      </c>
      <c r="C1460" s="1" t="n">
        <v>45880</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46152-2024</t>
        </is>
      </c>
      <c r="B1461" s="1" t="n">
        <v>45581</v>
      </c>
      <c r="C1461" s="1" t="n">
        <v>45880</v>
      </c>
      <c r="D1461" t="inlineStr">
        <is>
          <t>VÄRMLANDS LÄN</t>
        </is>
      </c>
      <c r="E1461" t="inlineStr">
        <is>
          <t>TORSBY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906-2025</t>
        </is>
      </c>
      <c r="B1462" s="1" t="n">
        <v>45664</v>
      </c>
      <c r="C1462" s="1" t="n">
        <v>45880</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17053-2025</t>
        </is>
      </c>
      <c r="B1463" s="1" t="n">
        <v>45754</v>
      </c>
      <c r="C1463" s="1" t="n">
        <v>45880</v>
      </c>
      <c r="D1463" t="inlineStr">
        <is>
          <t>VÄRMLANDS LÄN</t>
        </is>
      </c>
      <c r="E1463" t="inlineStr">
        <is>
          <t>TORSBY</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56970-2023</t>
        </is>
      </c>
      <c r="B1464" s="1" t="n">
        <v>45244.63689814815</v>
      </c>
      <c r="C1464" s="1" t="n">
        <v>45880</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26686-2022</t>
        </is>
      </c>
      <c r="B1465" s="1" t="n">
        <v>44739.67833333334</v>
      </c>
      <c r="C1465" s="1" t="n">
        <v>45880</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18411-2023</t>
        </is>
      </c>
      <c r="B1466" s="1" t="n">
        <v>45042</v>
      </c>
      <c r="C1466" s="1" t="n">
        <v>45880</v>
      </c>
      <c r="D1466" t="inlineStr">
        <is>
          <t>VÄRMLANDS LÄN</t>
        </is>
      </c>
      <c r="E1466" t="inlineStr">
        <is>
          <t>TORSBY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38076-2024</t>
        </is>
      </c>
      <c r="B1467" s="1" t="n">
        <v>45544</v>
      </c>
      <c r="C1467" s="1" t="n">
        <v>45880</v>
      </c>
      <c r="D1467" t="inlineStr">
        <is>
          <t>VÄRMLANDS LÄN</t>
        </is>
      </c>
      <c r="E1467" t="inlineStr">
        <is>
          <t>TORSBY</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1432-2025</t>
        </is>
      </c>
      <c r="B1468" s="1" t="n">
        <v>45669</v>
      </c>
      <c r="C1468" s="1" t="n">
        <v>45880</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1435-2025</t>
        </is>
      </c>
      <c r="B1469" s="1" t="n">
        <v>45669</v>
      </c>
      <c r="C1469" s="1" t="n">
        <v>45880</v>
      </c>
      <c r="D1469" t="inlineStr">
        <is>
          <t>VÄRMLANDS LÄN</t>
        </is>
      </c>
      <c r="E1469" t="inlineStr">
        <is>
          <t>TORSBY</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26504-2025</t>
        </is>
      </c>
      <c r="B1470" s="1" t="n">
        <v>45807.519375</v>
      </c>
      <c r="C1470" s="1" t="n">
        <v>45880</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26505-2025</t>
        </is>
      </c>
      <c r="B1471" s="1" t="n">
        <v>45807.52231481481</v>
      </c>
      <c r="C1471" s="1" t="n">
        <v>45880</v>
      </c>
      <c r="D1471" t="inlineStr">
        <is>
          <t>VÄRMLANDS LÄN</t>
        </is>
      </c>
      <c r="E1471" t="inlineStr">
        <is>
          <t>TORSBY</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26511-2025</t>
        </is>
      </c>
      <c r="B1472" s="1" t="n">
        <v>45807.54571759259</v>
      </c>
      <c r="C1472" s="1" t="n">
        <v>45880</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28559-2021</t>
        </is>
      </c>
      <c r="B1473" s="1" t="n">
        <v>44356</v>
      </c>
      <c r="C1473" s="1" t="n">
        <v>45880</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26563-2025</t>
        </is>
      </c>
      <c r="B1474" s="1" t="n">
        <v>45807.65767361111</v>
      </c>
      <c r="C1474" s="1" t="n">
        <v>45880</v>
      </c>
      <c r="D1474" t="inlineStr">
        <is>
          <t>VÄRMLANDS LÄN</t>
        </is>
      </c>
      <c r="E1474" t="inlineStr">
        <is>
          <t>TORSBY</t>
        </is>
      </c>
      <c r="F1474" t="inlineStr">
        <is>
          <t>Bergvik skog väst AB</t>
        </is>
      </c>
      <c r="G1474" t="n">
        <v>19.5</v>
      </c>
      <c r="H1474" t="n">
        <v>0</v>
      </c>
      <c r="I1474" t="n">
        <v>0</v>
      </c>
      <c r="J1474" t="n">
        <v>0</v>
      </c>
      <c r="K1474" t="n">
        <v>0</v>
      </c>
      <c r="L1474" t="n">
        <v>0</v>
      </c>
      <c r="M1474" t="n">
        <v>0</v>
      </c>
      <c r="N1474" t="n">
        <v>0</v>
      </c>
      <c r="O1474" t="n">
        <v>0</v>
      </c>
      <c r="P1474" t="n">
        <v>0</v>
      </c>
      <c r="Q1474" t="n">
        <v>0</v>
      </c>
      <c r="R1474" s="2" t="inlineStr"/>
    </row>
    <row r="1475" ht="15" customHeight="1">
      <c r="A1475" t="inlineStr">
        <is>
          <t>A 51987-2024</t>
        </is>
      </c>
      <c r="B1475" s="1" t="n">
        <v>45607</v>
      </c>
      <c r="C1475" s="1" t="n">
        <v>45880</v>
      </c>
      <c r="D1475" t="inlineStr">
        <is>
          <t>VÄRMLANDS LÄN</t>
        </is>
      </c>
      <c r="E1475" t="inlineStr">
        <is>
          <t>TORSBY</t>
        </is>
      </c>
      <c r="G1475" t="n">
        <v>17.7</v>
      </c>
      <c r="H1475" t="n">
        <v>0</v>
      </c>
      <c r="I1475" t="n">
        <v>0</v>
      </c>
      <c r="J1475" t="n">
        <v>0</v>
      </c>
      <c r="K1475" t="n">
        <v>0</v>
      </c>
      <c r="L1475" t="n">
        <v>0</v>
      </c>
      <c r="M1475" t="n">
        <v>0</v>
      </c>
      <c r="N1475" t="n">
        <v>0</v>
      </c>
      <c r="O1475" t="n">
        <v>0</v>
      </c>
      <c r="P1475" t="n">
        <v>0</v>
      </c>
      <c r="Q1475" t="n">
        <v>0</v>
      </c>
      <c r="R1475" s="2" t="inlineStr"/>
    </row>
    <row r="1476" ht="15" customHeight="1">
      <c r="A1476" t="inlineStr">
        <is>
          <t>A 4479-2021</t>
        </is>
      </c>
      <c r="B1476" s="1" t="n">
        <v>44224</v>
      </c>
      <c r="C1476" s="1" t="n">
        <v>45880</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4522-2021</t>
        </is>
      </c>
      <c r="B1477" s="1" t="n">
        <v>44224</v>
      </c>
      <c r="C1477" s="1" t="n">
        <v>45880</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26539-2025</t>
        </is>
      </c>
      <c r="B1478" s="1" t="n">
        <v>45807.58127314815</v>
      </c>
      <c r="C1478" s="1" t="n">
        <v>45880</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26890-2025</t>
        </is>
      </c>
      <c r="B1479" s="1" t="n">
        <v>45811</v>
      </c>
      <c r="C1479" s="1" t="n">
        <v>45880</v>
      </c>
      <c r="D1479" t="inlineStr">
        <is>
          <t>VÄRMLANDS LÄN</t>
        </is>
      </c>
      <c r="E1479" t="inlineStr">
        <is>
          <t>TORSBY</t>
        </is>
      </c>
      <c r="F1479" t="inlineStr">
        <is>
          <t>Bergvik skog väst AB</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46503-2024</t>
        </is>
      </c>
      <c r="B1480" s="1" t="n">
        <v>45582</v>
      </c>
      <c r="C1480" s="1" t="n">
        <v>45880</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21790-2023</t>
        </is>
      </c>
      <c r="B1481" s="1" t="n">
        <v>45067</v>
      </c>
      <c r="C1481" s="1" t="n">
        <v>45880</v>
      </c>
      <c r="D1481" t="inlineStr">
        <is>
          <t>VÄRMLANDS LÄN</t>
        </is>
      </c>
      <c r="E1481" t="inlineStr">
        <is>
          <t>TORSBY</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43157-2021</t>
        </is>
      </c>
      <c r="B1482" s="1" t="n">
        <v>44431</v>
      </c>
      <c r="C1482" s="1" t="n">
        <v>45880</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1042-2024</t>
        </is>
      </c>
      <c r="B1483" s="1" t="n">
        <v>45301</v>
      </c>
      <c r="C1483" s="1" t="n">
        <v>45880</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36239-2023</t>
        </is>
      </c>
      <c r="B1484" s="1" t="n">
        <v>45150</v>
      </c>
      <c r="C1484" s="1" t="n">
        <v>45880</v>
      </c>
      <c r="D1484" t="inlineStr">
        <is>
          <t>VÄRMLANDS LÄN</t>
        </is>
      </c>
      <c r="E1484" t="inlineStr">
        <is>
          <t>TORSBY</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43529-2023</t>
        </is>
      </c>
      <c r="B1485" s="1" t="n">
        <v>45181</v>
      </c>
      <c r="C1485" s="1" t="n">
        <v>45880</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41781-2022</t>
        </is>
      </c>
      <c r="B1486" s="1" t="n">
        <v>44827.70537037037</v>
      </c>
      <c r="C1486" s="1" t="n">
        <v>45880</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35334-2025</t>
        </is>
      </c>
      <c r="B1487" s="1" t="n">
        <v>45854.57973379629</v>
      </c>
      <c r="C1487" s="1" t="n">
        <v>45880</v>
      </c>
      <c r="D1487" t="inlineStr">
        <is>
          <t>VÄRMLANDS LÄN</t>
        </is>
      </c>
      <c r="E1487" t="inlineStr">
        <is>
          <t>TORSBY</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26892-2025</t>
        </is>
      </c>
      <c r="B1488" s="1" t="n">
        <v>45811.3334837963</v>
      </c>
      <c r="C1488" s="1" t="n">
        <v>45880</v>
      </c>
      <c r="D1488" t="inlineStr">
        <is>
          <t>VÄRMLANDS LÄN</t>
        </is>
      </c>
      <c r="E1488" t="inlineStr">
        <is>
          <t>TORSBY</t>
        </is>
      </c>
      <c r="F1488" t="inlineStr">
        <is>
          <t>Bergvik skog väst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26898-2025</t>
        </is>
      </c>
      <c r="B1489" s="1" t="n">
        <v>45811</v>
      </c>
      <c r="C1489" s="1" t="n">
        <v>45880</v>
      </c>
      <c r="D1489" t="inlineStr">
        <is>
          <t>VÄRMLANDS LÄN</t>
        </is>
      </c>
      <c r="E1489" t="inlineStr">
        <is>
          <t>TORSBY</t>
        </is>
      </c>
      <c r="F1489" t="inlineStr">
        <is>
          <t>Övriga Aktiebolag</t>
        </is>
      </c>
      <c r="G1489" t="n">
        <v>37.8</v>
      </c>
      <c r="H1489" t="n">
        <v>0</v>
      </c>
      <c r="I1489" t="n">
        <v>0</v>
      </c>
      <c r="J1489" t="n">
        <v>0</v>
      </c>
      <c r="K1489" t="n">
        <v>0</v>
      </c>
      <c r="L1489" t="n">
        <v>0</v>
      </c>
      <c r="M1489" t="n">
        <v>0</v>
      </c>
      <c r="N1489" t="n">
        <v>0</v>
      </c>
      <c r="O1489" t="n">
        <v>0</v>
      </c>
      <c r="P1489" t="n">
        <v>0</v>
      </c>
      <c r="Q1489" t="n">
        <v>0</v>
      </c>
      <c r="R1489" s="2" t="inlineStr"/>
    </row>
    <row r="1490" ht="15" customHeight="1">
      <c r="A1490" t="inlineStr">
        <is>
          <t>A 15465-2024</t>
        </is>
      </c>
      <c r="B1490" s="1" t="n">
        <v>45401.47399305556</v>
      </c>
      <c r="C1490" s="1" t="n">
        <v>45880</v>
      </c>
      <c r="D1490" t="inlineStr">
        <is>
          <t>VÄRMLANDS LÄN</t>
        </is>
      </c>
      <c r="E1490" t="inlineStr">
        <is>
          <t>TORSBY</t>
        </is>
      </c>
      <c r="F1490" t="inlineStr">
        <is>
          <t>Bergvik skog väst AB</t>
        </is>
      </c>
      <c r="G1490" t="n">
        <v>24.6</v>
      </c>
      <c r="H1490" t="n">
        <v>0</v>
      </c>
      <c r="I1490" t="n">
        <v>0</v>
      </c>
      <c r="J1490" t="n">
        <v>0</v>
      </c>
      <c r="K1490" t="n">
        <v>0</v>
      </c>
      <c r="L1490" t="n">
        <v>0</v>
      </c>
      <c r="M1490" t="n">
        <v>0</v>
      </c>
      <c r="N1490" t="n">
        <v>0</v>
      </c>
      <c r="O1490" t="n">
        <v>0</v>
      </c>
      <c r="P1490" t="n">
        <v>0</v>
      </c>
      <c r="Q1490" t="n">
        <v>0</v>
      </c>
      <c r="R1490" s="2" t="inlineStr"/>
    </row>
    <row r="1491" ht="15" customHeight="1">
      <c r="A1491" t="inlineStr">
        <is>
          <t>A 26960-2025</t>
        </is>
      </c>
      <c r="B1491" s="1" t="n">
        <v>45811.46167824074</v>
      </c>
      <c r="C1491" s="1" t="n">
        <v>45880</v>
      </c>
      <c r="D1491" t="inlineStr">
        <is>
          <t>VÄRMLANDS LÄN</t>
        </is>
      </c>
      <c r="E1491" t="inlineStr">
        <is>
          <t>TORSBY</t>
        </is>
      </c>
      <c r="F1491" t="inlineStr">
        <is>
          <t>Kyrkan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68153-2021</t>
        </is>
      </c>
      <c r="B1492" s="1" t="n">
        <v>44526.43881944445</v>
      </c>
      <c r="C1492" s="1" t="n">
        <v>45880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27093-2025</t>
        </is>
      </c>
      <c r="B1493" s="1" t="n">
        <v>45811.67347222222</v>
      </c>
      <c r="C1493" s="1" t="n">
        <v>45880</v>
      </c>
      <c r="D1493" t="inlineStr">
        <is>
          <t>VÄRMLANDS LÄN</t>
        </is>
      </c>
      <c r="E1493" t="inlineStr">
        <is>
          <t>TORSBY</t>
        </is>
      </c>
      <c r="F1493" t="inlineStr">
        <is>
          <t>Bergvik skog väst AB</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45880</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35191-2025</t>
        </is>
      </c>
      <c r="B1495" s="1" t="n">
        <v>45853.3469675926</v>
      </c>
      <c r="C1495" s="1" t="n">
        <v>45880</v>
      </c>
      <c r="D1495" t="inlineStr">
        <is>
          <t>VÄRMLANDS LÄN</t>
        </is>
      </c>
      <c r="E1495" t="inlineStr">
        <is>
          <t>TORSBY</t>
        </is>
      </c>
      <c r="F1495" t="inlineStr">
        <is>
          <t>Bergvik skog väst AB</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49845-2024</t>
        </is>
      </c>
      <c r="B1496" s="1" t="n">
        <v>45597</v>
      </c>
      <c r="C1496" s="1" t="n">
        <v>45880</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27043-2025</t>
        </is>
      </c>
      <c r="B1497" s="1" t="n">
        <v>45811.61342592593</v>
      </c>
      <c r="C1497" s="1" t="n">
        <v>45880</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27291-2025</t>
        </is>
      </c>
      <c r="B1498" s="1" t="n">
        <v>45812.55769675926</v>
      </c>
      <c r="C1498" s="1" t="n">
        <v>45880</v>
      </c>
      <c r="D1498" t="inlineStr">
        <is>
          <t>VÄRMLANDS LÄN</t>
        </is>
      </c>
      <c r="E1498" t="inlineStr">
        <is>
          <t>TORSBY</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27056-2025</t>
        </is>
      </c>
      <c r="B1499" s="1" t="n">
        <v>45811.63118055555</v>
      </c>
      <c r="C1499" s="1" t="n">
        <v>45880</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27115-2024</t>
        </is>
      </c>
      <c r="B1500" s="1" t="n">
        <v>45471</v>
      </c>
      <c r="C1500" s="1" t="n">
        <v>45880</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27144-2024</t>
        </is>
      </c>
      <c r="B1501" s="1" t="n">
        <v>45471.55459490741</v>
      </c>
      <c r="C1501" s="1" t="n">
        <v>45880</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25090-2023</t>
        </is>
      </c>
      <c r="B1502" s="1" t="n">
        <v>45086</v>
      </c>
      <c r="C1502" s="1" t="n">
        <v>45880</v>
      </c>
      <c r="D1502" t="inlineStr">
        <is>
          <t>VÄRMLANDS LÄN</t>
        </is>
      </c>
      <c r="E1502" t="inlineStr">
        <is>
          <t>TORSBY</t>
        </is>
      </c>
      <c r="F1502" t="inlineStr">
        <is>
          <t>Bergvik skog väst AB</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41253-2021</t>
        </is>
      </c>
      <c r="B1503" s="1" t="n">
        <v>44424</v>
      </c>
      <c r="C1503" s="1" t="n">
        <v>45880</v>
      </c>
      <c r="D1503" t="inlineStr">
        <is>
          <t>VÄRMLANDS LÄN</t>
        </is>
      </c>
      <c r="E1503" t="inlineStr">
        <is>
          <t>TORSBY</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27094-2025</t>
        </is>
      </c>
      <c r="B1504" s="1" t="n">
        <v>45811.6766087963</v>
      </c>
      <c r="C1504" s="1" t="n">
        <v>45880</v>
      </c>
      <c r="D1504" t="inlineStr">
        <is>
          <t>VÄRMLANDS LÄN</t>
        </is>
      </c>
      <c r="E1504" t="inlineStr">
        <is>
          <t>TORSBY</t>
        </is>
      </c>
      <c r="F1504" t="inlineStr">
        <is>
          <t>Bergvik skog väst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27149-2025</t>
        </is>
      </c>
      <c r="B1505" s="1" t="n">
        <v>45812.31924768518</v>
      </c>
      <c r="C1505" s="1" t="n">
        <v>45880</v>
      </c>
      <c r="D1505" t="inlineStr">
        <is>
          <t>VÄRMLANDS LÄN</t>
        </is>
      </c>
      <c r="E1505" t="inlineStr">
        <is>
          <t>TORSBY</t>
        </is>
      </c>
      <c r="F1505" t="inlineStr">
        <is>
          <t>Bergvik skog väst AB</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11569-2025</t>
        </is>
      </c>
      <c r="B1506" s="1" t="n">
        <v>45727.37971064815</v>
      </c>
      <c r="C1506" s="1" t="n">
        <v>45880</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53583-2024</t>
        </is>
      </c>
      <c r="B1507" s="1" t="n">
        <v>45614.66449074074</v>
      </c>
      <c r="C1507" s="1" t="n">
        <v>45880</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26897-2025</t>
        </is>
      </c>
      <c r="B1508" s="1" t="n">
        <v>45811.34108796297</v>
      </c>
      <c r="C1508" s="1" t="n">
        <v>45880</v>
      </c>
      <c r="D1508" t="inlineStr">
        <is>
          <t>VÄRMLANDS LÄN</t>
        </is>
      </c>
      <c r="E1508" t="inlineStr">
        <is>
          <t>TORSBY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35185-2025</t>
        </is>
      </c>
      <c r="B1509" s="1" t="n">
        <v>45853.30383101852</v>
      </c>
      <c r="C1509" s="1" t="n">
        <v>45880</v>
      </c>
      <c r="D1509" t="inlineStr">
        <is>
          <t>VÄRMLANDS LÄN</t>
        </is>
      </c>
      <c r="E1509" t="inlineStr">
        <is>
          <t>TORSBY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35194-2025</t>
        </is>
      </c>
      <c r="B1510" s="1" t="n">
        <v>45853.35740740741</v>
      </c>
      <c r="C1510" s="1" t="n">
        <v>45880</v>
      </c>
      <c r="D1510" t="inlineStr">
        <is>
          <t>VÄRMLANDS LÄN</t>
        </is>
      </c>
      <c r="E1510" t="inlineStr">
        <is>
          <t>TORSBY</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27116-2025</t>
        </is>
      </c>
      <c r="B1511" s="1" t="n">
        <v>45811.74233796296</v>
      </c>
      <c r="C1511" s="1" t="n">
        <v>45880</v>
      </c>
      <c r="D1511" t="inlineStr">
        <is>
          <t>VÄRMLANDS LÄN</t>
        </is>
      </c>
      <c r="E1511" t="inlineStr">
        <is>
          <t>TORSBY</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60383-2024</t>
        </is>
      </c>
      <c r="B1512" s="1" t="n">
        <v>45643.47674768518</v>
      </c>
      <c r="C1512" s="1" t="n">
        <v>45880</v>
      </c>
      <c r="D1512" t="inlineStr">
        <is>
          <t>VÄRMLANDS LÄN</t>
        </is>
      </c>
      <c r="E1512" t="inlineStr">
        <is>
          <t>TORSBY</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60386-2024</t>
        </is>
      </c>
      <c r="B1513" s="1" t="n">
        <v>45643</v>
      </c>
      <c r="C1513" s="1" t="n">
        <v>45880</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37913-2022</t>
        </is>
      </c>
      <c r="B1514" s="1" t="n">
        <v>44811</v>
      </c>
      <c r="C1514" s="1" t="n">
        <v>45880</v>
      </c>
      <c r="D1514" t="inlineStr">
        <is>
          <t>VÄRMLANDS LÄN</t>
        </is>
      </c>
      <c r="E1514" t="inlineStr">
        <is>
          <t>TORSBY</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58013-2023</t>
        </is>
      </c>
      <c r="B1515" s="1" t="n">
        <v>45247.62346064814</v>
      </c>
      <c r="C1515" s="1" t="n">
        <v>45880</v>
      </c>
      <c r="D1515" t="inlineStr">
        <is>
          <t>VÄRMLANDS LÄN</t>
        </is>
      </c>
      <c r="E1515" t="inlineStr">
        <is>
          <t>TORSBY</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52750-2024</t>
        </is>
      </c>
      <c r="B1516" s="1" t="n">
        <v>45610</v>
      </c>
      <c r="C1516" s="1" t="n">
        <v>45880</v>
      </c>
      <c r="D1516" t="inlineStr">
        <is>
          <t>VÄRMLANDS LÄN</t>
        </is>
      </c>
      <c r="E1516" t="inlineStr">
        <is>
          <t>TORSBY</t>
        </is>
      </c>
      <c r="F1516" t="inlineStr">
        <is>
          <t>Kyrkan</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364-2025</t>
        </is>
      </c>
      <c r="B1517" s="1" t="n">
        <v>45661</v>
      </c>
      <c r="C1517" s="1" t="n">
        <v>45880</v>
      </c>
      <c r="D1517" t="inlineStr">
        <is>
          <t>VÄRMLANDS LÄN</t>
        </is>
      </c>
      <c r="E1517" t="inlineStr">
        <is>
          <t>TORSBY</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51662-2024</t>
        </is>
      </c>
      <c r="B1518" s="1" t="n">
        <v>45606.75559027777</v>
      </c>
      <c r="C1518" s="1" t="n">
        <v>45880</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23264-2022</t>
        </is>
      </c>
      <c r="B1519" s="1" t="n">
        <v>44720.40818287037</v>
      </c>
      <c r="C1519" s="1" t="n">
        <v>45880</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47141-2022</t>
        </is>
      </c>
      <c r="B1520" s="1" t="n">
        <v>44852.56548611111</v>
      </c>
      <c r="C1520" s="1" t="n">
        <v>45880</v>
      </c>
      <c r="D1520" t="inlineStr">
        <is>
          <t>VÄRMLANDS LÄN</t>
        </is>
      </c>
      <c r="E1520" t="inlineStr">
        <is>
          <t>TORSBY</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57809-2024</t>
        </is>
      </c>
      <c r="B1521" s="1" t="n">
        <v>45631</v>
      </c>
      <c r="C1521" s="1" t="n">
        <v>45880</v>
      </c>
      <c r="D1521" t="inlineStr">
        <is>
          <t>VÄRMLANDS LÄN</t>
        </is>
      </c>
      <c r="E1521" t="inlineStr">
        <is>
          <t>TORSBY</t>
        </is>
      </c>
      <c r="F1521" t="inlineStr">
        <is>
          <t>Bergvik skog väst AB</t>
        </is>
      </c>
      <c r="G1521" t="n">
        <v>10.9</v>
      </c>
      <c r="H1521" t="n">
        <v>0</v>
      </c>
      <c r="I1521" t="n">
        <v>0</v>
      </c>
      <c r="J1521" t="n">
        <v>0</v>
      </c>
      <c r="K1521" t="n">
        <v>0</v>
      </c>
      <c r="L1521" t="n">
        <v>0</v>
      </c>
      <c r="M1521" t="n">
        <v>0</v>
      </c>
      <c r="N1521" t="n">
        <v>0</v>
      </c>
      <c r="O1521" t="n">
        <v>0</v>
      </c>
      <c r="P1521" t="n">
        <v>0</v>
      </c>
      <c r="Q1521" t="n">
        <v>0</v>
      </c>
      <c r="R1521" s="2" t="inlineStr"/>
    </row>
    <row r="1522" ht="15" customHeight="1">
      <c r="A1522" t="inlineStr">
        <is>
          <t>A 37623-2023</t>
        </is>
      </c>
      <c r="B1522" s="1" t="n">
        <v>45159.45560185185</v>
      </c>
      <c r="C1522" s="1" t="n">
        <v>45880</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31936-2023</t>
        </is>
      </c>
      <c r="B1523" s="1" t="n">
        <v>45107</v>
      </c>
      <c r="C1523" s="1" t="n">
        <v>45880</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2321-2021</t>
        </is>
      </c>
      <c r="B1524" s="1" t="n">
        <v>44214</v>
      </c>
      <c r="C1524" s="1" t="n">
        <v>45880</v>
      </c>
      <c r="D1524" t="inlineStr">
        <is>
          <t>VÄRMLANDS LÄN</t>
        </is>
      </c>
      <c r="E1524" t="inlineStr">
        <is>
          <t>TORSBY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61206-2024</t>
        </is>
      </c>
      <c r="B1525" s="1" t="n">
        <v>45645.64626157407</v>
      </c>
      <c r="C1525" s="1" t="n">
        <v>45880</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27728-2025</t>
        </is>
      </c>
      <c r="B1526" s="1" t="n">
        <v>45814</v>
      </c>
      <c r="C1526" s="1" t="n">
        <v>45880</v>
      </c>
      <c r="D1526" t="inlineStr">
        <is>
          <t>VÄRMLANDS LÄN</t>
        </is>
      </c>
      <c r="E1526" t="inlineStr">
        <is>
          <t>TORSBY</t>
        </is>
      </c>
      <c r="F1526" t="inlineStr">
        <is>
          <t>Bergvik skog väst AB</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38882-2022</t>
        </is>
      </c>
      <c r="B1527" s="1" t="n">
        <v>44816.565625</v>
      </c>
      <c r="C1527" s="1" t="n">
        <v>45880</v>
      </c>
      <c r="D1527" t="inlineStr">
        <is>
          <t>VÄRMLANDS LÄN</t>
        </is>
      </c>
      <c r="E1527" t="inlineStr">
        <is>
          <t>TORSBY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59872-2023</t>
        </is>
      </c>
      <c r="B1528" s="1" t="n">
        <v>45257.58666666667</v>
      </c>
      <c r="C1528" s="1" t="n">
        <v>45880</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52078-2023</t>
        </is>
      </c>
      <c r="B1529" s="1" t="n">
        <v>45223</v>
      </c>
      <c r="C1529" s="1" t="n">
        <v>45880</v>
      </c>
      <c r="D1529" t="inlineStr">
        <is>
          <t>VÄRMLANDS LÄN</t>
        </is>
      </c>
      <c r="E1529" t="inlineStr">
        <is>
          <t>TORSBY</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7215-2025</t>
        </is>
      </c>
      <c r="B1530" s="1" t="n">
        <v>45702</v>
      </c>
      <c r="C1530" s="1" t="n">
        <v>45880</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24630-2024</t>
        </is>
      </c>
      <c r="B1531" s="1" t="n">
        <v>45460.51149305556</v>
      </c>
      <c r="C1531" s="1" t="n">
        <v>45880</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27450-2025</t>
        </is>
      </c>
      <c r="B1532" s="1" t="n">
        <v>45813.33738425926</v>
      </c>
      <c r="C1532" s="1" t="n">
        <v>45880</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27674-2025</t>
        </is>
      </c>
      <c r="B1533" s="1" t="n">
        <v>45813.62936342593</v>
      </c>
      <c r="C1533" s="1" t="n">
        <v>45880</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27730-2025</t>
        </is>
      </c>
      <c r="B1534" s="1" t="n">
        <v>45814</v>
      </c>
      <c r="C1534" s="1" t="n">
        <v>45880</v>
      </c>
      <c r="D1534" t="inlineStr">
        <is>
          <t>VÄRMLANDS LÄN</t>
        </is>
      </c>
      <c r="E1534" t="inlineStr">
        <is>
          <t>TORSBY</t>
        </is>
      </c>
      <c r="F1534" t="inlineStr">
        <is>
          <t>Bergvik skog väst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10587-2024</t>
        </is>
      </c>
      <c r="B1535" s="1" t="n">
        <v>45366</v>
      </c>
      <c r="C1535" s="1" t="n">
        <v>45880</v>
      </c>
      <c r="D1535" t="inlineStr">
        <is>
          <t>VÄRMLANDS LÄN</t>
        </is>
      </c>
      <c r="E1535" t="inlineStr">
        <is>
          <t>TORSBY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40036-2022</t>
        </is>
      </c>
      <c r="B1536" s="1" t="n">
        <v>44820.43179398148</v>
      </c>
      <c r="C1536" s="1" t="n">
        <v>45880</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59941-2023</t>
        </is>
      </c>
      <c r="B1537" s="1" t="n">
        <v>45257.67721064815</v>
      </c>
      <c r="C1537" s="1" t="n">
        <v>45880</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17153-2025</t>
        </is>
      </c>
      <c r="B1538" s="1" t="n">
        <v>45756</v>
      </c>
      <c r="C1538" s="1" t="n">
        <v>45880</v>
      </c>
      <c r="D1538" t="inlineStr">
        <is>
          <t>VÄRMLANDS LÄN</t>
        </is>
      </c>
      <c r="E1538" t="inlineStr">
        <is>
          <t>TORSBY</t>
        </is>
      </c>
      <c r="F1538" t="inlineStr">
        <is>
          <t>Bergvik skog väst AB</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47694-2022</t>
        </is>
      </c>
      <c r="B1539" s="1" t="n">
        <v>44854</v>
      </c>
      <c r="C1539" s="1" t="n">
        <v>45880</v>
      </c>
      <c r="D1539" t="inlineStr">
        <is>
          <t>VÄRMLANDS LÄN</t>
        </is>
      </c>
      <c r="E1539" t="inlineStr">
        <is>
          <t>TORSBY</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35408-2025</t>
        </is>
      </c>
      <c r="B1540" s="1" t="n">
        <v>45855.37256944444</v>
      </c>
      <c r="C1540" s="1" t="n">
        <v>45880</v>
      </c>
      <c r="D1540" t="inlineStr">
        <is>
          <t>VÄRMLANDS LÄN</t>
        </is>
      </c>
      <c r="E1540" t="inlineStr">
        <is>
          <t>TORSBY</t>
        </is>
      </c>
      <c r="F1540" t="inlineStr">
        <is>
          <t>Bergvik skog väst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375-2025</t>
        </is>
      </c>
      <c r="B1541" s="1" t="n">
        <v>45661</v>
      </c>
      <c r="C1541" s="1" t="n">
        <v>45880</v>
      </c>
      <c r="D1541" t="inlineStr">
        <is>
          <t>VÄRMLANDS LÄN</t>
        </is>
      </c>
      <c r="E1541" t="inlineStr">
        <is>
          <t>TORSBY</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47077-2023</t>
        </is>
      </c>
      <c r="B1542" s="1" t="n">
        <v>45201</v>
      </c>
      <c r="C1542" s="1" t="n">
        <v>45880</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15169-2025</t>
        </is>
      </c>
      <c r="B1543" s="1" t="n">
        <v>45744</v>
      </c>
      <c r="C1543" s="1" t="n">
        <v>45880</v>
      </c>
      <c r="D1543" t="inlineStr">
        <is>
          <t>VÄRMLANDS LÄN</t>
        </is>
      </c>
      <c r="E1543" t="inlineStr">
        <is>
          <t>TORSBY</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27467-2025</t>
        </is>
      </c>
      <c r="B1544" s="1" t="n">
        <v>45813.35497685185</v>
      </c>
      <c r="C1544" s="1" t="n">
        <v>45880</v>
      </c>
      <c r="D1544" t="inlineStr">
        <is>
          <t>VÄRMLANDS LÄN</t>
        </is>
      </c>
      <c r="E1544" t="inlineStr">
        <is>
          <t>TORSBY</t>
        </is>
      </c>
      <c r="F1544" t="inlineStr">
        <is>
          <t>Bergvik skog väst AB</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27667-2025</t>
        </is>
      </c>
      <c r="B1545" s="1" t="n">
        <v>45813.62092592593</v>
      </c>
      <c r="C1545" s="1" t="n">
        <v>45880</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57990-2023</t>
        </is>
      </c>
      <c r="B1546" s="1" t="n">
        <v>45247.60293981482</v>
      </c>
      <c r="C1546" s="1" t="n">
        <v>45880</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35552-2025</t>
        </is>
      </c>
      <c r="B1547" s="1" t="n">
        <v>45856.49702546297</v>
      </c>
      <c r="C1547" s="1" t="n">
        <v>45880</v>
      </c>
      <c r="D1547" t="inlineStr">
        <is>
          <t>VÄRMLANDS LÄN</t>
        </is>
      </c>
      <c r="E1547" t="inlineStr">
        <is>
          <t>TORSBY</t>
        </is>
      </c>
      <c r="F1547" t="inlineStr">
        <is>
          <t>Bergvik skog väst AB</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27470-2025</t>
        </is>
      </c>
      <c r="B1548" s="1" t="n">
        <v>45813.36284722222</v>
      </c>
      <c r="C1548" s="1" t="n">
        <v>45880</v>
      </c>
      <c r="D1548" t="inlineStr">
        <is>
          <t>VÄRMLANDS LÄN</t>
        </is>
      </c>
      <c r="E1548" t="inlineStr">
        <is>
          <t>TORSBY</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50138-2023</t>
        </is>
      </c>
      <c r="B1549" s="1" t="n">
        <v>45215.66738425926</v>
      </c>
      <c r="C1549" s="1" t="n">
        <v>45880</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51144-2023</t>
        </is>
      </c>
      <c r="B1550" s="1" t="n">
        <v>45212</v>
      </c>
      <c r="C1550" s="1" t="n">
        <v>45880</v>
      </c>
      <c r="D1550" t="inlineStr">
        <is>
          <t>VÄRMLANDS LÄN</t>
        </is>
      </c>
      <c r="E1550" t="inlineStr">
        <is>
          <t>TORSBY</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27968-2025</t>
        </is>
      </c>
      <c r="B1551" s="1" t="n">
        <v>45817.55846064815</v>
      </c>
      <c r="C1551" s="1" t="n">
        <v>45880</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11842-2025</t>
        </is>
      </c>
      <c r="B1552" s="1" t="n">
        <v>45728.36950231482</v>
      </c>
      <c r="C1552" s="1" t="n">
        <v>45880</v>
      </c>
      <c r="D1552" t="inlineStr">
        <is>
          <t>VÄRMLANDS LÄN</t>
        </is>
      </c>
      <c r="E1552" t="inlineStr">
        <is>
          <t>TORSBY</t>
        </is>
      </c>
      <c r="F1552" t="inlineStr">
        <is>
          <t>Bergvik skog väst AB</t>
        </is>
      </c>
      <c r="G1552" t="n">
        <v>32.1</v>
      </c>
      <c r="H1552" t="n">
        <v>0</v>
      </c>
      <c r="I1552" t="n">
        <v>0</v>
      </c>
      <c r="J1552" t="n">
        <v>0</v>
      </c>
      <c r="K1552" t="n">
        <v>0</v>
      </c>
      <c r="L1552" t="n">
        <v>0</v>
      </c>
      <c r="M1552" t="n">
        <v>0</v>
      </c>
      <c r="N1552" t="n">
        <v>0</v>
      </c>
      <c r="O1552" t="n">
        <v>0</v>
      </c>
      <c r="P1552" t="n">
        <v>0</v>
      </c>
      <c r="Q1552" t="n">
        <v>0</v>
      </c>
      <c r="R1552" s="2" t="inlineStr"/>
    </row>
    <row r="1553" ht="15" customHeight="1">
      <c r="A1553" t="inlineStr">
        <is>
          <t>A 27856-2025</t>
        </is>
      </c>
      <c r="B1553" s="1" t="n">
        <v>45817.41006944444</v>
      </c>
      <c r="C1553" s="1" t="n">
        <v>45880</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14367-2025</t>
        </is>
      </c>
      <c r="B1554" s="1" t="n">
        <v>45741.38988425926</v>
      </c>
      <c r="C1554" s="1" t="n">
        <v>45880</v>
      </c>
      <c r="D1554" t="inlineStr">
        <is>
          <t>VÄRMLANDS LÄN</t>
        </is>
      </c>
      <c r="E1554" t="inlineStr">
        <is>
          <t>TORSBY</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14419-2025</t>
        </is>
      </c>
      <c r="B1555" s="1" t="n">
        <v>45741</v>
      </c>
      <c r="C1555" s="1" t="n">
        <v>45880</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27223-2022</t>
        </is>
      </c>
      <c r="B1556" s="1" t="n">
        <v>44741</v>
      </c>
      <c r="C1556" s="1" t="n">
        <v>45880</v>
      </c>
      <c r="D1556" t="inlineStr">
        <is>
          <t>VÄRMLANDS LÄN</t>
        </is>
      </c>
      <c r="E1556" t="inlineStr">
        <is>
          <t>TORSBY</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20633-2024</t>
        </is>
      </c>
      <c r="B1557" s="1" t="n">
        <v>45436</v>
      </c>
      <c r="C1557" s="1" t="n">
        <v>45880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35132-2022</t>
        </is>
      </c>
      <c r="B1558" s="1" t="n">
        <v>44797</v>
      </c>
      <c r="C1558" s="1" t="n">
        <v>45880</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4510-2023</t>
        </is>
      </c>
      <c r="B1559" s="1" t="n">
        <v>44956.57528935185</v>
      </c>
      <c r="C1559" s="1" t="n">
        <v>45880</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9723-2025</t>
        </is>
      </c>
      <c r="B1560" s="1" t="n">
        <v>45715</v>
      </c>
      <c r="C1560" s="1" t="n">
        <v>45880</v>
      </c>
      <c r="D1560" t="inlineStr">
        <is>
          <t>VÄRMLANDS LÄN</t>
        </is>
      </c>
      <c r="E1560" t="inlineStr">
        <is>
          <t>TORSBY</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28116-2025</t>
        </is>
      </c>
      <c r="B1561" s="1" t="n">
        <v>45818.28697916667</v>
      </c>
      <c r="C1561" s="1" t="n">
        <v>45880</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28117-2025</t>
        </is>
      </c>
      <c r="B1562" s="1" t="n">
        <v>45818</v>
      </c>
      <c r="C1562" s="1" t="n">
        <v>45880</v>
      </c>
      <c r="D1562" t="inlineStr">
        <is>
          <t>VÄRMLANDS LÄN</t>
        </is>
      </c>
      <c r="E1562" t="inlineStr">
        <is>
          <t>TORSBY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28118-2025</t>
        </is>
      </c>
      <c r="B1563" s="1" t="n">
        <v>45818</v>
      </c>
      <c r="C1563" s="1" t="n">
        <v>45880</v>
      </c>
      <c r="D1563" t="inlineStr">
        <is>
          <t>VÄRMLANDS LÄN</t>
        </is>
      </c>
      <c r="E1563" t="inlineStr">
        <is>
          <t>TORSBY</t>
        </is>
      </c>
      <c r="F1563" t="inlineStr">
        <is>
          <t>Bergvik skog väst AB</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36290-2022</t>
        </is>
      </c>
      <c r="B1564" s="1" t="n">
        <v>44803</v>
      </c>
      <c r="C1564" s="1" t="n">
        <v>45880</v>
      </c>
      <c r="D1564" t="inlineStr">
        <is>
          <t>VÄRMLANDS LÄN</t>
        </is>
      </c>
      <c r="E1564" t="inlineStr">
        <is>
          <t>TORSBY</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7745-2023</t>
        </is>
      </c>
      <c r="B1565" s="1" t="n">
        <v>44973.35336805556</v>
      </c>
      <c r="C1565" s="1" t="n">
        <v>45880</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20255-2025</t>
        </is>
      </c>
      <c r="B1566" s="1" t="n">
        <v>45772.9009375</v>
      </c>
      <c r="C1566" s="1" t="n">
        <v>45880</v>
      </c>
      <c r="D1566" t="inlineStr">
        <is>
          <t>VÄRMLANDS LÄN</t>
        </is>
      </c>
      <c r="E1566" t="inlineStr">
        <is>
          <t>TORSBY</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14023-2025</t>
        </is>
      </c>
      <c r="B1567" s="1" t="n">
        <v>45740</v>
      </c>
      <c r="C1567" s="1" t="n">
        <v>45880</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28214-2025</t>
        </is>
      </c>
      <c r="B1568" s="1" t="n">
        <v>45818</v>
      </c>
      <c r="C1568" s="1" t="n">
        <v>45880</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27906-2025</t>
        </is>
      </c>
      <c r="B1569" s="1" t="n">
        <v>45817.47108796296</v>
      </c>
      <c r="C1569" s="1" t="n">
        <v>45880</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44262-2023</t>
        </is>
      </c>
      <c r="B1570" s="1" t="n">
        <v>45188.59809027778</v>
      </c>
      <c r="C1570" s="1" t="n">
        <v>45880</v>
      </c>
      <c r="D1570" t="inlineStr">
        <is>
          <t>VÄRMLANDS LÄN</t>
        </is>
      </c>
      <c r="E1570" t="inlineStr">
        <is>
          <t>TORSBY</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18258-2025</t>
        </is>
      </c>
      <c r="B1571" s="1" t="n">
        <v>45762.35762731481</v>
      </c>
      <c r="C1571" s="1" t="n">
        <v>45880</v>
      </c>
      <c r="D1571" t="inlineStr">
        <is>
          <t>VÄRMLANDS LÄN</t>
        </is>
      </c>
      <c r="E1571" t="inlineStr">
        <is>
          <t>TORSBY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14062-2025</t>
        </is>
      </c>
      <c r="B1572" s="1" t="n">
        <v>45740</v>
      </c>
      <c r="C1572" s="1" t="n">
        <v>45880</v>
      </c>
      <c r="D1572" t="inlineStr">
        <is>
          <t>VÄRMLANDS LÄN</t>
        </is>
      </c>
      <c r="E1572" t="inlineStr">
        <is>
          <t>TORSBY</t>
        </is>
      </c>
      <c r="F1572" t="inlineStr">
        <is>
          <t>Bergvik skog väst AB</t>
        </is>
      </c>
      <c r="G1572" t="n">
        <v>41.1</v>
      </c>
      <c r="H1572" t="n">
        <v>0</v>
      </c>
      <c r="I1572" t="n">
        <v>0</v>
      </c>
      <c r="J1572" t="n">
        <v>0</v>
      </c>
      <c r="K1572" t="n">
        <v>0</v>
      </c>
      <c r="L1572" t="n">
        <v>0</v>
      </c>
      <c r="M1572" t="n">
        <v>0</v>
      </c>
      <c r="N1572" t="n">
        <v>0</v>
      </c>
      <c r="O1572" t="n">
        <v>0</v>
      </c>
      <c r="P1572" t="n">
        <v>0</v>
      </c>
      <c r="Q1572" t="n">
        <v>0</v>
      </c>
      <c r="R1572" s="2" t="inlineStr"/>
    </row>
    <row r="1573" ht="15" customHeight="1">
      <c r="A1573" t="inlineStr">
        <is>
          <t>A 36318-2022</t>
        </is>
      </c>
      <c r="B1573" s="1" t="n">
        <v>44803</v>
      </c>
      <c r="C1573" s="1" t="n">
        <v>45880</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502-2024</t>
        </is>
      </c>
      <c r="B1574" s="1" t="n">
        <v>45299</v>
      </c>
      <c r="C1574" s="1" t="n">
        <v>45880</v>
      </c>
      <c r="D1574" t="inlineStr">
        <is>
          <t>VÄRMLANDS LÄN</t>
        </is>
      </c>
      <c r="E1574" t="inlineStr">
        <is>
          <t>TORSBY</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27759-2025</t>
        </is>
      </c>
      <c r="B1575" s="1" t="n">
        <v>45816.48986111111</v>
      </c>
      <c r="C1575" s="1" t="n">
        <v>45880</v>
      </c>
      <c r="D1575" t="inlineStr">
        <is>
          <t>VÄRMLANDS LÄN</t>
        </is>
      </c>
      <c r="E1575" t="inlineStr">
        <is>
          <t>TORSBY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22315-2025</t>
        </is>
      </c>
      <c r="B1576" s="1" t="n">
        <v>45786.39</v>
      </c>
      <c r="C1576" s="1" t="n">
        <v>45880</v>
      </c>
      <c r="D1576" t="inlineStr">
        <is>
          <t>VÄRMLANDS LÄN</t>
        </is>
      </c>
      <c r="E1576" t="inlineStr">
        <is>
          <t>TORSBY</t>
        </is>
      </c>
      <c r="F1576" t="inlineStr">
        <is>
          <t>Bergvik skog väst AB</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27962-2025</t>
        </is>
      </c>
      <c r="B1577" s="1" t="n">
        <v>45817.54878472222</v>
      </c>
      <c r="C1577" s="1" t="n">
        <v>45880</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1092-2025</t>
        </is>
      </c>
      <c r="B1578" s="1" t="n">
        <v>45666.6333912037</v>
      </c>
      <c r="C1578" s="1" t="n">
        <v>45880</v>
      </c>
      <c r="D1578" t="inlineStr">
        <is>
          <t>VÄRMLANDS LÄN</t>
        </is>
      </c>
      <c r="E1578" t="inlineStr">
        <is>
          <t>TORSBY</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1700-2024</t>
        </is>
      </c>
      <c r="B1579" s="1" t="n">
        <v>45307.37347222222</v>
      </c>
      <c r="C1579" s="1" t="n">
        <v>45880</v>
      </c>
      <c r="D1579" t="inlineStr">
        <is>
          <t>VÄRMLANDS LÄN</t>
        </is>
      </c>
      <c r="E1579" t="inlineStr">
        <is>
          <t>TORSBY</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28310-2024</t>
        </is>
      </c>
      <c r="B1580" s="1" t="n">
        <v>45477</v>
      </c>
      <c r="C1580" s="1" t="n">
        <v>45880</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27758-2025</t>
        </is>
      </c>
      <c r="B1581" s="1" t="n">
        <v>45816</v>
      </c>
      <c r="C1581" s="1" t="n">
        <v>45880</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27863-2025</t>
        </is>
      </c>
      <c r="B1582" s="1" t="n">
        <v>45817.42118055555</v>
      </c>
      <c r="C1582" s="1" t="n">
        <v>45880</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42347-2021</t>
        </is>
      </c>
      <c r="B1583" s="1" t="n">
        <v>44427</v>
      </c>
      <c r="C1583" s="1" t="n">
        <v>45880</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62258-2023</t>
        </is>
      </c>
      <c r="B1584" s="1" t="n">
        <v>45266</v>
      </c>
      <c r="C1584" s="1" t="n">
        <v>45880</v>
      </c>
      <c r="D1584" t="inlineStr">
        <is>
          <t>VÄRMLANDS LÄN</t>
        </is>
      </c>
      <c r="E1584" t="inlineStr">
        <is>
          <t>TORSBY</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29908-2022</t>
        </is>
      </c>
      <c r="B1585" s="1" t="n">
        <v>44756</v>
      </c>
      <c r="C1585" s="1" t="n">
        <v>45880</v>
      </c>
      <c r="D1585" t="inlineStr">
        <is>
          <t>VÄRMLANDS LÄN</t>
        </is>
      </c>
      <c r="E1585" t="inlineStr">
        <is>
          <t>TORSBY</t>
        </is>
      </c>
      <c r="F1585" t="inlineStr">
        <is>
          <t>Kommuner</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28284-2024</t>
        </is>
      </c>
      <c r="B1586" s="1" t="n">
        <v>45477</v>
      </c>
      <c r="C1586" s="1" t="n">
        <v>45880</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19630-2025</t>
        </is>
      </c>
      <c r="B1587" s="1" t="n">
        <v>45770.64239583333</v>
      </c>
      <c r="C1587" s="1" t="n">
        <v>45880</v>
      </c>
      <c r="D1587" t="inlineStr">
        <is>
          <t>VÄRMLANDS LÄN</t>
        </is>
      </c>
      <c r="E1587" t="inlineStr">
        <is>
          <t>TORSBY</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24493-2024</t>
        </is>
      </c>
      <c r="B1588" s="1" t="n">
        <v>45459.72136574074</v>
      </c>
      <c r="C1588" s="1" t="n">
        <v>45880</v>
      </c>
      <c r="D1588" t="inlineStr">
        <is>
          <t>VÄRMLANDS LÄN</t>
        </is>
      </c>
      <c r="E1588" t="inlineStr">
        <is>
          <t>TORSBY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18877-2022</t>
        </is>
      </c>
      <c r="B1589" s="1" t="n">
        <v>44690.52556712963</v>
      </c>
      <c r="C1589" s="1" t="n">
        <v>45880</v>
      </c>
      <c r="D1589" t="inlineStr">
        <is>
          <t>VÄRMLANDS LÄN</t>
        </is>
      </c>
      <c r="E1589" t="inlineStr">
        <is>
          <t>TORSBY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19112-2025</t>
        </is>
      </c>
      <c r="B1590" s="1" t="n">
        <v>45768.67106481481</v>
      </c>
      <c r="C1590" s="1" t="n">
        <v>45880</v>
      </c>
      <c r="D1590" t="inlineStr">
        <is>
          <t>VÄRMLANDS LÄN</t>
        </is>
      </c>
      <c r="E1590" t="inlineStr">
        <is>
          <t>TORSBY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17048-2025</t>
        </is>
      </c>
      <c r="B1591" s="1" t="n">
        <v>45754</v>
      </c>
      <c r="C1591" s="1" t="n">
        <v>45880</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45880</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17184-2023</t>
        </is>
      </c>
      <c r="B1593" s="1" t="n">
        <v>45034.69127314815</v>
      </c>
      <c r="C1593" s="1" t="n">
        <v>45880</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28612-2025</t>
        </is>
      </c>
      <c r="B1594" s="1" t="n">
        <v>45819</v>
      </c>
      <c r="C1594" s="1" t="n">
        <v>45880</v>
      </c>
      <c r="D1594" t="inlineStr">
        <is>
          <t>VÄRMLANDS LÄN</t>
        </is>
      </c>
      <c r="E1594" t="inlineStr">
        <is>
          <t>TORSBY</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35855-2025</t>
        </is>
      </c>
      <c r="B1595" s="1" t="n">
        <v>45861.61864583333</v>
      </c>
      <c r="C1595" s="1" t="n">
        <v>45880</v>
      </c>
      <c r="D1595" t="inlineStr">
        <is>
          <t>VÄRMLANDS LÄN</t>
        </is>
      </c>
      <c r="E1595" t="inlineStr">
        <is>
          <t>TORSBY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28774-2025</t>
        </is>
      </c>
      <c r="B1596" s="1" t="n">
        <v>45820.4434375</v>
      </c>
      <c r="C1596" s="1" t="n">
        <v>45880</v>
      </c>
      <c r="D1596" t="inlineStr">
        <is>
          <t>VÄRMLANDS LÄN</t>
        </is>
      </c>
      <c r="E1596" t="inlineStr">
        <is>
          <t>TORSBY</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28939-2025</t>
        </is>
      </c>
      <c r="B1597" s="1" t="n">
        <v>45820.71350694444</v>
      </c>
      <c r="C1597" s="1" t="n">
        <v>45880</v>
      </c>
      <c r="D1597" t="inlineStr">
        <is>
          <t>VÄRMLANDS LÄN</t>
        </is>
      </c>
      <c r="E1597" t="inlineStr">
        <is>
          <t>TORSBY</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17065-2025</t>
        </is>
      </c>
      <c r="B1598" s="1" t="n">
        <v>45754</v>
      </c>
      <c r="C1598" s="1" t="n">
        <v>45880</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28380-2025</t>
        </is>
      </c>
      <c r="B1599" s="1" t="n">
        <v>45819.30581018519</v>
      </c>
      <c r="C1599" s="1" t="n">
        <v>45880</v>
      </c>
      <c r="D1599" t="inlineStr">
        <is>
          <t>VÄRMLANDS LÄN</t>
        </is>
      </c>
      <c r="E1599" t="inlineStr">
        <is>
          <t>TORSBY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14800-2025</t>
        </is>
      </c>
      <c r="B1600" s="1" t="n">
        <v>45743</v>
      </c>
      <c r="C1600" s="1" t="n">
        <v>45880</v>
      </c>
      <c r="D1600" t="inlineStr">
        <is>
          <t>VÄRMLANDS LÄN</t>
        </is>
      </c>
      <c r="E1600" t="inlineStr">
        <is>
          <t>TORSBY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14801-2025</t>
        </is>
      </c>
      <c r="B1601" s="1" t="n">
        <v>45743</v>
      </c>
      <c r="C1601" s="1" t="n">
        <v>45880</v>
      </c>
      <c r="D1601" t="inlineStr">
        <is>
          <t>VÄRMLANDS LÄN</t>
        </is>
      </c>
      <c r="E1601" t="inlineStr">
        <is>
          <t>TORSBY</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10684-2024</t>
        </is>
      </c>
      <c r="B1602" s="1" t="n">
        <v>45369.37938657407</v>
      </c>
      <c r="C1602" s="1" t="n">
        <v>45880</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15939-2021</t>
        </is>
      </c>
      <c r="B1603" s="1" t="n">
        <v>44287</v>
      </c>
      <c r="C1603" s="1" t="n">
        <v>45880</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6968-2025</t>
        </is>
      </c>
      <c r="B1604" s="1" t="n">
        <v>45701.53253472222</v>
      </c>
      <c r="C1604" s="1" t="n">
        <v>45880</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57216-2023</t>
        </is>
      </c>
      <c r="B1605" s="1" t="n">
        <v>45245</v>
      </c>
      <c r="C1605" s="1" t="n">
        <v>45880</v>
      </c>
      <c r="D1605" t="inlineStr">
        <is>
          <t>VÄRMLANDS LÄN</t>
        </is>
      </c>
      <c r="E1605" t="inlineStr">
        <is>
          <t>TORSBY</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28761-2025</t>
        </is>
      </c>
      <c r="B1606" s="1" t="n">
        <v>45820.41648148148</v>
      </c>
      <c r="C1606" s="1" t="n">
        <v>45880</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12670-2023</t>
        </is>
      </c>
      <c r="B1607" s="1" t="n">
        <v>45000.58043981482</v>
      </c>
      <c r="C1607" s="1" t="n">
        <v>45880</v>
      </c>
      <c r="D1607" t="inlineStr">
        <is>
          <t>VÄRMLANDS LÄN</t>
        </is>
      </c>
      <c r="E1607" t="inlineStr">
        <is>
          <t>TORSBY</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52580-2023</t>
        </is>
      </c>
      <c r="B1608" s="1" t="n">
        <v>45225.59354166667</v>
      </c>
      <c r="C1608" s="1" t="n">
        <v>45880</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52591-2023</t>
        </is>
      </c>
      <c r="B1609" s="1" t="n">
        <v>45225</v>
      </c>
      <c r="C1609" s="1" t="n">
        <v>45880</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28765-2025</t>
        </is>
      </c>
      <c r="B1610" s="1" t="n">
        <v>45820.41982638889</v>
      </c>
      <c r="C1610" s="1" t="n">
        <v>45880</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28898-2025</t>
        </is>
      </c>
      <c r="B1611" s="1" t="n">
        <v>45820.63644675926</v>
      </c>
      <c r="C1611" s="1" t="n">
        <v>45880</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21465-2022</t>
        </is>
      </c>
      <c r="B1612" s="1" t="n">
        <v>44706.38893518518</v>
      </c>
      <c r="C1612" s="1" t="n">
        <v>45880</v>
      </c>
      <c r="D1612" t="inlineStr">
        <is>
          <t>VÄRMLANDS LÄN</t>
        </is>
      </c>
      <c r="E1612" t="inlineStr">
        <is>
          <t>TORSBY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16309-2023</t>
        </is>
      </c>
      <c r="B1613" s="1" t="n">
        <v>45028.58873842593</v>
      </c>
      <c r="C1613" s="1" t="n">
        <v>45880</v>
      </c>
      <c r="D1613" t="inlineStr">
        <is>
          <t>VÄRMLANDS LÄN</t>
        </is>
      </c>
      <c r="E1613" t="inlineStr">
        <is>
          <t>TORSBY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1527-2024</t>
        </is>
      </c>
      <c r="B1614" s="1" t="n">
        <v>45306.45614583333</v>
      </c>
      <c r="C1614" s="1" t="n">
        <v>45880</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30011-2024</t>
        </is>
      </c>
      <c r="B1615" s="1" t="n">
        <v>45488</v>
      </c>
      <c r="C1615" s="1" t="n">
        <v>45880</v>
      </c>
      <c r="D1615" t="inlineStr">
        <is>
          <t>VÄRMLANDS LÄN</t>
        </is>
      </c>
      <c r="E1615" t="inlineStr">
        <is>
          <t>TORSBY</t>
        </is>
      </c>
      <c r="F1615" t="inlineStr">
        <is>
          <t>Kommuner</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10329-2025</t>
        </is>
      </c>
      <c r="B1616" s="1" t="n">
        <v>45720</v>
      </c>
      <c r="C1616" s="1" t="n">
        <v>45880</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10343-2025</t>
        </is>
      </c>
      <c r="B1617" s="1" t="n">
        <v>45720</v>
      </c>
      <c r="C1617" s="1" t="n">
        <v>45880</v>
      </c>
      <c r="D1617" t="inlineStr">
        <is>
          <t>VÄRMLANDS LÄN</t>
        </is>
      </c>
      <c r="E1617" t="inlineStr">
        <is>
          <t>TORSBY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28784-2025</t>
        </is>
      </c>
      <c r="B1618" s="1" t="n">
        <v>45820</v>
      </c>
      <c r="C1618" s="1" t="n">
        <v>45880</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28511-2025</t>
        </is>
      </c>
      <c r="B1619" s="1" t="n">
        <v>45819</v>
      </c>
      <c r="C1619" s="1" t="n">
        <v>45880</v>
      </c>
      <c r="D1619" t="inlineStr">
        <is>
          <t>VÄRMLANDS LÄN</t>
        </is>
      </c>
      <c r="E1619" t="inlineStr">
        <is>
          <t>TORSBY</t>
        </is>
      </c>
      <c r="F1619" t="inlineStr">
        <is>
          <t>Bergvik skog väst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41322-2022</t>
        </is>
      </c>
      <c r="B1620" s="1" t="n">
        <v>44826</v>
      </c>
      <c r="C1620" s="1" t="n">
        <v>45880</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23818-2022</t>
        </is>
      </c>
      <c r="B1621" s="1" t="n">
        <v>44722</v>
      </c>
      <c r="C1621" s="1" t="n">
        <v>45880</v>
      </c>
      <c r="D1621" t="inlineStr">
        <is>
          <t>VÄRMLANDS LÄN</t>
        </is>
      </c>
      <c r="E1621" t="inlineStr">
        <is>
          <t>TORSBY</t>
        </is>
      </c>
      <c r="G1621" t="n">
        <v>23.5</v>
      </c>
      <c r="H1621" t="n">
        <v>0</v>
      </c>
      <c r="I1621" t="n">
        <v>0</v>
      </c>
      <c r="J1621" t="n">
        <v>0</v>
      </c>
      <c r="K1621" t="n">
        <v>0</v>
      </c>
      <c r="L1621" t="n">
        <v>0</v>
      </c>
      <c r="M1621" t="n">
        <v>0</v>
      </c>
      <c r="N1621" t="n">
        <v>0</v>
      </c>
      <c r="O1621" t="n">
        <v>0</v>
      </c>
      <c r="P1621" t="n">
        <v>0</v>
      </c>
      <c r="Q1621" t="n">
        <v>0</v>
      </c>
      <c r="R1621" s="2" t="inlineStr"/>
    </row>
    <row r="1622" ht="15" customHeight="1">
      <c r="A1622" t="inlineStr">
        <is>
          <t>A 17754-2025</t>
        </is>
      </c>
      <c r="B1622" s="1" t="n">
        <v>45758</v>
      </c>
      <c r="C1622" s="1" t="n">
        <v>45880</v>
      </c>
      <c r="D1622" t="inlineStr">
        <is>
          <t>VÄRMLANDS LÄN</t>
        </is>
      </c>
      <c r="E1622" t="inlineStr">
        <is>
          <t>TORSBY</t>
        </is>
      </c>
      <c r="F1622" t="inlineStr">
        <is>
          <t>Bergvik skog väst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28791-2025</t>
        </is>
      </c>
      <c r="B1623" s="1" t="n">
        <v>45820</v>
      </c>
      <c r="C1623" s="1" t="n">
        <v>45880</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35134-2022</t>
        </is>
      </c>
      <c r="B1624" s="1" t="n">
        <v>44797</v>
      </c>
      <c r="C1624" s="1" t="n">
        <v>45880</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15873-2025</t>
        </is>
      </c>
      <c r="B1625" s="1" t="n">
        <v>45749.3759375</v>
      </c>
      <c r="C1625" s="1" t="n">
        <v>45880</v>
      </c>
      <c r="D1625" t="inlineStr">
        <is>
          <t>VÄRMLANDS LÄN</t>
        </is>
      </c>
      <c r="E1625" t="inlineStr">
        <is>
          <t>TORSBY</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35817-2025</t>
        </is>
      </c>
      <c r="B1626" s="1" t="n">
        <v>45861.44365740741</v>
      </c>
      <c r="C1626" s="1" t="n">
        <v>45880</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29990-2022</t>
        </is>
      </c>
      <c r="B1627" s="1" t="n">
        <v>44756.73530092592</v>
      </c>
      <c r="C1627" s="1" t="n">
        <v>45880</v>
      </c>
      <c r="D1627" t="inlineStr">
        <is>
          <t>VÄRMLANDS LÄN</t>
        </is>
      </c>
      <c r="E1627" t="inlineStr">
        <is>
          <t>TORSBY</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35965-2025</t>
        </is>
      </c>
      <c r="B1628" s="1" t="n">
        <v>45863.39790509259</v>
      </c>
      <c r="C1628" s="1" t="n">
        <v>45880</v>
      </c>
      <c r="D1628" t="inlineStr">
        <is>
          <t>VÄRMLANDS LÄN</t>
        </is>
      </c>
      <c r="E1628" t="inlineStr">
        <is>
          <t>TORSBY</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35987-2025</t>
        </is>
      </c>
      <c r="B1629" s="1" t="n">
        <v>45863.46144675926</v>
      </c>
      <c r="C1629" s="1" t="n">
        <v>45880</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28757-2025</t>
        </is>
      </c>
      <c r="B1630" s="1" t="n">
        <v>45820</v>
      </c>
      <c r="C1630" s="1" t="n">
        <v>45880</v>
      </c>
      <c r="D1630" t="inlineStr">
        <is>
          <t>VÄRMLANDS LÄN</t>
        </is>
      </c>
      <c r="E1630" t="inlineStr">
        <is>
          <t>TORSBY</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29312-2025</t>
        </is>
      </c>
      <c r="B1631" s="1" t="n">
        <v>45824</v>
      </c>
      <c r="C1631" s="1" t="n">
        <v>45880</v>
      </c>
      <c r="D1631" t="inlineStr">
        <is>
          <t>VÄRMLANDS LÄN</t>
        </is>
      </c>
      <c r="E1631" t="inlineStr">
        <is>
          <t>TORSBY</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37279-2022</t>
        </is>
      </c>
      <c r="B1632" s="1" t="n">
        <v>44807</v>
      </c>
      <c r="C1632" s="1" t="n">
        <v>45880</v>
      </c>
      <c r="D1632" t="inlineStr">
        <is>
          <t>VÄRMLANDS LÄN</t>
        </is>
      </c>
      <c r="E1632" t="inlineStr">
        <is>
          <t>TORSBY</t>
        </is>
      </c>
      <c r="G1632" t="n">
        <v>18.2</v>
      </c>
      <c r="H1632" t="n">
        <v>0</v>
      </c>
      <c r="I1632" t="n">
        <v>0</v>
      </c>
      <c r="J1632" t="n">
        <v>0</v>
      </c>
      <c r="K1632" t="n">
        <v>0</v>
      </c>
      <c r="L1632" t="n">
        <v>0</v>
      </c>
      <c r="M1632" t="n">
        <v>0</v>
      </c>
      <c r="N1632" t="n">
        <v>0</v>
      </c>
      <c r="O1632" t="n">
        <v>0</v>
      </c>
      <c r="P1632" t="n">
        <v>0</v>
      </c>
      <c r="Q1632" t="n">
        <v>0</v>
      </c>
      <c r="R1632" s="2" t="inlineStr"/>
    </row>
    <row r="1633" ht="15" customHeight="1">
      <c r="A1633" t="inlineStr">
        <is>
          <t>A 56571-2024</t>
        </is>
      </c>
      <c r="B1633" s="1" t="n">
        <v>45625</v>
      </c>
      <c r="C1633" s="1" t="n">
        <v>45880</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29071-2025</t>
        </is>
      </c>
      <c r="B1634" s="1" t="n">
        <v>45821</v>
      </c>
      <c r="C1634" s="1" t="n">
        <v>45880</v>
      </c>
      <c r="D1634" t="inlineStr">
        <is>
          <t>VÄRMLANDS LÄN</t>
        </is>
      </c>
      <c r="E1634" t="inlineStr">
        <is>
          <t>TORSBY</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41377-2021</t>
        </is>
      </c>
      <c r="B1635" s="1" t="n">
        <v>44424.65148148148</v>
      </c>
      <c r="C1635" s="1" t="n">
        <v>45880</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29403-2025</t>
        </is>
      </c>
      <c r="B1636" s="1" t="n">
        <v>45824.61469907407</v>
      </c>
      <c r="C1636" s="1" t="n">
        <v>45880</v>
      </c>
      <c r="D1636" t="inlineStr">
        <is>
          <t>VÄRMLANDS LÄN</t>
        </is>
      </c>
      <c r="E1636" t="inlineStr">
        <is>
          <t>TORSBY</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18544-2023</t>
        </is>
      </c>
      <c r="B1637" s="1" t="n">
        <v>45041</v>
      </c>
      <c r="C1637" s="1" t="n">
        <v>45880</v>
      </c>
      <c r="D1637" t="inlineStr">
        <is>
          <t>VÄRMLANDS LÄN</t>
        </is>
      </c>
      <c r="E1637" t="inlineStr">
        <is>
          <t>TORSBY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29251-2025</t>
        </is>
      </c>
      <c r="B1638" s="1" t="n">
        <v>45824</v>
      </c>
      <c r="C1638" s="1" t="n">
        <v>45880</v>
      </c>
      <c r="D1638" t="inlineStr">
        <is>
          <t>VÄRMLANDS LÄN</t>
        </is>
      </c>
      <c r="E1638" t="inlineStr">
        <is>
          <t>TORSBY</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67457-2021</t>
        </is>
      </c>
      <c r="B1639" s="1" t="n">
        <v>44524</v>
      </c>
      <c r="C1639" s="1" t="n">
        <v>45880</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29063-2025</t>
        </is>
      </c>
      <c r="B1640" s="1" t="n">
        <v>45821</v>
      </c>
      <c r="C1640" s="1" t="n">
        <v>45880</v>
      </c>
      <c r="D1640" t="inlineStr">
        <is>
          <t>VÄRMLANDS LÄN</t>
        </is>
      </c>
      <c r="E1640" t="inlineStr">
        <is>
          <t>TORSBY</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29307-2025</t>
        </is>
      </c>
      <c r="B1641" s="1" t="n">
        <v>45824</v>
      </c>
      <c r="C1641" s="1" t="n">
        <v>45880</v>
      </c>
      <c r="D1641" t="inlineStr">
        <is>
          <t>VÄRMLANDS LÄN</t>
        </is>
      </c>
      <c r="E1641" t="inlineStr">
        <is>
          <t>TORSBY</t>
        </is>
      </c>
      <c r="F1641" t="inlineStr">
        <is>
          <t>Övriga Aktiebolag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35367-2025</t>
        </is>
      </c>
      <c r="B1642" s="1" t="n">
        <v>45854</v>
      </c>
      <c r="C1642" s="1" t="n">
        <v>45880</v>
      </c>
      <c r="D1642" t="inlineStr">
        <is>
          <t>VÄRMLANDS LÄN</t>
        </is>
      </c>
      <c r="E1642" t="inlineStr">
        <is>
          <t>TORSBY</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33853-2021</t>
        </is>
      </c>
      <c r="B1643" s="1" t="n">
        <v>44378.61460648148</v>
      </c>
      <c r="C1643" s="1" t="n">
        <v>45880</v>
      </c>
      <c r="D1643" t="inlineStr">
        <is>
          <t>VÄRMLANDS LÄN</t>
        </is>
      </c>
      <c r="E1643" t="inlineStr">
        <is>
          <t>TORSBY</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44708-2022</t>
        </is>
      </c>
      <c r="B1644" s="1" t="n">
        <v>44840.73633101852</v>
      </c>
      <c r="C1644" s="1" t="n">
        <v>45880</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51843-2022</t>
        </is>
      </c>
      <c r="B1645" s="1" t="n">
        <v>44872</v>
      </c>
      <c r="C1645" s="1" t="n">
        <v>45880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29130-2025</t>
        </is>
      </c>
      <c r="B1646" s="1" t="n">
        <v>45821</v>
      </c>
      <c r="C1646" s="1" t="n">
        <v>45880</v>
      </c>
      <c r="D1646" t="inlineStr">
        <is>
          <t>VÄRMLANDS LÄN</t>
        </is>
      </c>
      <c r="E1646" t="inlineStr">
        <is>
          <t>TORSBY</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18576-2025</t>
        </is>
      </c>
      <c r="B1647" s="1" t="n">
        <v>45763</v>
      </c>
      <c r="C1647" s="1" t="n">
        <v>45880</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18584-2025</t>
        </is>
      </c>
      <c r="B1648" s="1" t="n">
        <v>45763.46973379629</v>
      </c>
      <c r="C1648" s="1" t="n">
        <v>45880</v>
      </c>
      <c r="D1648" t="inlineStr">
        <is>
          <t>VÄRMLANDS LÄN</t>
        </is>
      </c>
      <c r="E1648" t="inlineStr">
        <is>
          <t>TORSBY</t>
        </is>
      </c>
      <c r="F1648" t="inlineStr">
        <is>
          <t>Kyrkan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38184-2024</t>
        </is>
      </c>
      <c r="B1649" s="1" t="n">
        <v>45545</v>
      </c>
      <c r="C1649" s="1" t="n">
        <v>45880</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61546-2024</t>
        </is>
      </c>
      <c r="B1650" s="1" t="n">
        <v>45645</v>
      </c>
      <c r="C1650" s="1" t="n">
        <v>45880</v>
      </c>
      <c r="D1650" t="inlineStr">
        <is>
          <t>VÄRMLANDS LÄN</t>
        </is>
      </c>
      <c r="E1650" t="inlineStr">
        <is>
          <t>TORSBY</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33782-2023</t>
        </is>
      </c>
      <c r="B1651" s="1" t="n">
        <v>45120</v>
      </c>
      <c r="C1651" s="1" t="n">
        <v>45880</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4219-2024</t>
        </is>
      </c>
      <c r="B1652" s="1" t="n">
        <v>45324</v>
      </c>
      <c r="C1652" s="1" t="n">
        <v>45880</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731-2024</t>
        </is>
      </c>
      <c r="B1653" s="1" t="n">
        <v>45300</v>
      </c>
      <c r="C1653" s="1" t="n">
        <v>45880</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36289-2025</t>
        </is>
      </c>
      <c r="B1654" s="1" t="n">
        <v>45867.66329861111</v>
      </c>
      <c r="C1654" s="1" t="n">
        <v>45880</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36287-2025</t>
        </is>
      </c>
      <c r="B1655" s="1" t="n">
        <v>45867.65814814815</v>
      </c>
      <c r="C1655" s="1" t="n">
        <v>45880</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12402-2025</t>
        </is>
      </c>
      <c r="B1656" s="1" t="n">
        <v>45730.4228125</v>
      </c>
      <c r="C1656" s="1" t="n">
        <v>45880</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16362-2025</t>
        </is>
      </c>
      <c r="B1657" s="1" t="n">
        <v>45751</v>
      </c>
      <c r="C1657" s="1" t="n">
        <v>45880</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35980-2025</t>
        </is>
      </c>
      <c r="B1658" s="1" t="n">
        <v>45863</v>
      </c>
      <c r="C1658" s="1" t="n">
        <v>45880</v>
      </c>
      <c r="D1658" t="inlineStr">
        <is>
          <t>VÄRMLANDS LÄN</t>
        </is>
      </c>
      <c r="E1658" t="inlineStr">
        <is>
          <t>TORSBY</t>
        </is>
      </c>
      <c r="F1658" t="inlineStr">
        <is>
          <t>Bergvik skog väst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32444-2022</t>
        </is>
      </c>
      <c r="B1659" s="1" t="n">
        <v>44782</v>
      </c>
      <c r="C1659" s="1" t="n">
        <v>45880</v>
      </c>
      <c r="D1659" t="inlineStr">
        <is>
          <t>VÄRMLANDS LÄN</t>
        </is>
      </c>
      <c r="E1659" t="inlineStr">
        <is>
          <t>TORSBY</t>
        </is>
      </c>
      <c r="F1659" t="inlineStr">
        <is>
          <t>Bergvik skog väst AB</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32496-2022</t>
        </is>
      </c>
      <c r="B1660" s="1" t="n">
        <v>44782</v>
      </c>
      <c r="C1660" s="1" t="n">
        <v>45880</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29587-2025</t>
        </is>
      </c>
      <c r="B1661" s="1" t="n">
        <v>45825.39394675926</v>
      </c>
      <c r="C1661" s="1" t="n">
        <v>45880</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29702-2025</t>
        </is>
      </c>
      <c r="B1662" s="1" t="n">
        <v>45825.55667824074</v>
      </c>
      <c r="C1662" s="1" t="n">
        <v>45880</v>
      </c>
      <c r="D1662" t="inlineStr">
        <is>
          <t>VÄRMLANDS LÄN</t>
        </is>
      </c>
      <c r="E1662" t="inlineStr">
        <is>
          <t>TORSBY</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5052-2025</t>
        </is>
      </c>
      <c r="B1663" s="1" t="n">
        <v>45691</v>
      </c>
      <c r="C1663" s="1" t="n">
        <v>45880</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29641-2025</t>
        </is>
      </c>
      <c r="B1664" s="1" t="n">
        <v>45825.46285879629</v>
      </c>
      <c r="C1664" s="1" t="n">
        <v>45880</v>
      </c>
      <c r="D1664" t="inlineStr">
        <is>
          <t>VÄRMLANDS LÄN</t>
        </is>
      </c>
      <c r="E1664" t="inlineStr">
        <is>
          <t>TORSBY</t>
        </is>
      </c>
      <c r="G1664" t="n">
        <v>23.4</v>
      </c>
      <c r="H1664" t="n">
        <v>0</v>
      </c>
      <c r="I1664" t="n">
        <v>0</v>
      </c>
      <c r="J1664" t="n">
        <v>0</v>
      </c>
      <c r="K1664" t="n">
        <v>0</v>
      </c>
      <c r="L1664" t="n">
        <v>0</v>
      </c>
      <c r="M1664" t="n">
        <v>0</v>
      </c>
      <c r="N1664" t="n">
        <v>0</v>
      </c>
      <c r="O1664" t="n">
        <v>0</v>
      </c>
      <c r="P1664" t="n">
        <v>0</v>
      </c>
      <c r="Q1664" t="n">
        <v>0</v>
      </c>
      <c r="R1664" s="2" t="inlineStr"/>
    </row>
    <row r="1665" ht="15" customHeight="1">
      <c r="A1665" t="inlineStr">
        <is>
          <t>A 30078-2025</t>
        </is>
      </c>
      <c r="B1665" s="1" t="n">
        <v>45826.64291666666</v>
      </c>
      <c r="C1665" s="1" t="n">
        <v>45880</v>
      </c>
      <c r="D1665" t="inlineStr">
        <is>
          <t>VÄRMLANDS LÄN</t>
        </is>
      </c>
      <c r="E1665" t="inlineStr">
        <is>
          <t>TORSBY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34568-2022</t>
        </is>
      </c>
      <c r="B1666" s="1" t="n">
        <v>44795.28277777778</v>
      </c>
      <c r="C1666" s="1" t="n">
        <v>45880</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30026-2025</t>
        </is>
      </c>
      <c r="B1667" s="1" t="n">
        <v>45826.5637037037</v>
      </c>
      <c r="C1667" s="1" t="n">
        <v>45880</v>
      </c>
      <c r="D1667" t="inlineStr">
        <is>
          <t>VÄRMLANDS LÄN</t>
        </is>
      </c>
      <c r="E1667" t="inlineStr">
        <is>
          <t>TORSBY</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36288-2025</t>
        </is>
      </c>
      <c r="B1668" s="1" t="n">
        <v>45867.6619212963</v>
      </c>
      <c r="C1668" s="1" t="n">
        <v>45880</v>
      </c>
      <c r="D1668" t="inlineStr">
        <is>
          <t>VÄRMLANDS LÄN</t>
        </is>
      </c>
      <c r="E1668" t="inlineStr">
        <is>
          <t>TORSBY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18684-2025</t>
        </is>
      </c>
      <c r="B1669" s="1" t="n">
        <v>45763.61064814815</v>
      </c>
      <c r="C1669" s="1" t="n">
        <v>45880</v>
      </c>
      <c r="D1669" t="inlineStr">
        <is>
          <t>VÄRMLANDS LÄN</t>
        </is>
      </c>
      <c r="E1669" t="inlineStr">
        <is>
          <t>TORSBY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29512-2025</t>
        </is>
      </c>
      <c r="B1670" s="1" t="n">
        <v>45825.31002314815</v>
      </c>
      <c r="C1670" s="1" t="n">
        <v>45880</v>
      </c>
      <c r="D1670" t="inlineStr">
        <is>
          <t>VÄRMLANDS LÄN</t>
        </is>
      </c>
      <c r="E1670" t="inlineStr">
        <is>
          <t>TORSBY</t>
        </is>
      </c>
      <c r="F1670" t="inlineStr">
        <is>
          <t>Bergvik skog väst AB</t>
        </is>
      </c>
      <c r="G1670" t="n">
        <v>17.9</v>
      </c>
      <c r="H1670" t="n">
        <v>0</v>
      </c>
      <c r="I1670" t="n">
        <v>0</v>
      </c>
      <c r="J1670" t="n">
        <v>0</v>
      </c>
      <c r="K1670" t="n">
        <v>0</v>
      </c>
      <c r="L1670" t="n">
        <v>0</v>
      </c>
      <c r="M1670" t="n">
        <v>0</v>
      </c>
      <c r="N1670" t="n">
        <v>0</v>
      </c>
      <c r="O1670" t="n">
        <v>0</v>
      </c>
      <c r="P1670" t="n">
        <v>0</v>
      </c>
      <c r="Q1670" t="n">
        <v>0</v>
      </c>
      <c r="R1670" s="2" t="inlineStr"/>
    </row>
    <row r="1671" ht="15" customHeight="1">
      <c r="A1671" t="inlineStr">
        <is>
          <t>A 29650-2025</t>
        </is>
      </c>
      <c r="B1671" s="1" t="n">
        <v>45825.47546296296</v>
      </c>
      <c r="C1671" s="1" t="n">
        <v>45880</v>
      </c>
      <c r="D1671" t="inlineStr">
        <is>
          <t>VÄRMLANDS LÄN</t>
        </is>
      </c>
      <c r="E1671" t="inlineStr">
        <is>
          <t>TORSBY</t>
        </is>
      </c>
      <c r="G1671" t="n">
        <v>16.8</v>
      </c>
      <c r="H1671" t="n">
        <v>0</v>
      </c>
      <c r="I1671" t="n">
        <v>0</v>
      </c>
      <c r="J1671" t="n">
        <v>0</v>
      </c>
      <c r="K1671" t="n">
        <v>0</v>
      </c>
      <c r="L1671" t="n">
        <v>0</v>
      </c>
      <c r="M1671" t="n">
        <v>0</v>
      </c>
      <c r="N1671" t="n">
        <v>0</v>
      </c>
      <c r="O1671" t="n">
        <v>0</v>
      </c>
      <c r="P1671" t="n">
        <v>0</v>
      </c>
      <c r="Q1671" t="n">
        <v>0</v>
      </c>
      <c r="R1671" s="2" t="inlineStr"/>
    </row>
    <row r="1672" ht="15" customHeight="1">
      <c r="A1672" t="inlineStr">
        <is>
          <t>A 30074-2025</t>
        </is>
      </c>
      <c r="B1672" s="1" t="n">
        <v>45826.63672453703</v>
      </c>
      <c r="C1672" s="1" t="n">
        <v>45880</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36279-2025</t>
        </is>
      </c>
      <c r="B1673" s="1" t="n">
        <v>45867.638125</v>
      </c>
      <c r="C1673" s="1" t="n">
        <v>45880</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36256-2025</t>
        </is>
      </c>
      <c r="B1674" s="1" t="n">
        <v>45867.58938657407</v>
      </c>
      <c r="C1674" s="1" t="n">
        <v>45880</v>
      </c>
      <c r="D1674" t="inlineStr">
        <is>
          <t>VÄRMLANDS LÄN</t>
        </is>
      </c>
      <c r="E1674" t="inlineStr">
        <is>
          <t>TORSBY</t>
        </is>
      </c>
      <c r="F1674" t="inlineStr">
        <is>
          <t>Bergvik skog väst AB</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36258-2025</t>
        </is>
      </c>
      <c r="B1675" s="1" t="n">
        <v>45867.59559027778</v>
      </c>
      <c r="C1675" s="1" t="n">
        <v>45880</v>
      </c>
      <c r="D1675" t="inlineStr">
        <is>
          <t>VÄRMLANDS LÄN</t>
        </is>
      </c>
      <c r="E1675" t="inlineStr">
        <is>
          <t>TORSBY</t>
        </is>
      </c>
      <c r="F1675" t="inlineStr">
        <is>
          <t>Bergvik skog väst AB</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57172-2022</t>
        </is>
      </c>
      <c r="B1676" s="1" t="n">
        <v>44895</v>
      </c>
      <c r="C1676" s="1" t="n">
        <v>45880</v>
      </c>
      <c r="D1676" t="inlineStr">
        <is>
          <t>VÄRMLANDS LÄN</t>
        </is>
      </c>
      <c r="E1676" t="inlineStr">
        <is>
          <t>TORSBY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29525-2025</t>
        </is>
      </c>
      <c r="B1677" s="1" t="n">
        <v>45825.33684027778</v>
      </c>
      <c r="C1677" s="1" t="n">
        <v>45880</v>
      </c>
      <c r="D1677" t="inlineStr">
        <is>
          <t>VÄRMLANDS LÄN</t>
        </is>
      </c>
      <c r="E1677" t="inlineStr">
        <is>
          <t>TORSBY</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41843-2023</t>
        </is>
      </c>
      <c r="B1678" s="1" t="n">
        <v>45176.60533564815</v>
      </c>
      <c r="C1678" s="1" t="n">
        <v>45880</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31493-2021</t>
        </is>
      </c>
      <c r="B1679" s="1" t="n">
        <v>44369</v>
      </c>
      <c r="C1679" s="1" t="n">
        <v>45880</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30214-2025</t>
        </is>
      </c>
      <c r="B1680" s="1" t="n">
        <v>45827</v>
      </c>
      <c r="C1680" s="1" t="n">
        <v>45880</v>
      </c>
      <c r="D1680" t="inlineStr">
        <is>
          <t>VÄRMLANDS LÄN</t>
        </is>
      </c>
      <c r="E1680" t="inlineStr">
        <is>
          <t>TORSBY</t>
        </is>
      </c>
      <c r="F1680" t="inlineStr">
        <is>
          <t>Bergvik skog väst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19527-2023</t>
        </is>
      </c>
      <c r="B1681" s="1" t="n">
        <v>45050</v>
      </c>
      <c r="C1681" s="1" t="n">
        <v>45880</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36477-2025</t>
        </is>
      </c>
      <c r="B1682" s="1" t="n">
        <v>45869</v>
      </c>
      <c r="C1682" s="1" t="n">
        <v>45880</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18244-2023</t>
        </is>
      </c>
      <c r="B1683" s="1" t="n">
        <v>45041</v>
      </c>
      <c r="C1683" s="1" t="n">
        <v>45880</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30433-2025</t>
        </is>
      </c>
      <c r="B1684" s="1" t="n">
        <v>45827</v>
      </c>
      <c r="C1684" s="1" t="n">
        <v>45880</v>
      </c>
      <c r="D1684" t="inlineStr">
        <is>
          <t>VÄRMLANDS LÄN</t>
        </is>
      </c>
      <c r="E1684" t="inlineStr">
        <is>
          <t>TORSBY</t>
        </is>
      </c>
      <c r="G1684" t="n">
        <v>13.4</v>
      </c>
      <c r="H1684" t="n">
        <v>0</v>
      </c>
      <c r="I1684" t="n">
        <v>0</v>
      </c>
      <c r="J1684" t="n">
        <v>0</v>
      </c>
      <c r="K1684" t="n">
        <v>0</v>
      </c>
      <c r="L1684" t="n">
        <v>0</v>
      </c>
      <c r="M1684" t="n">
        <v>0</v>
      </c>
      <c r="N1684" t="n">
        <v>0</v>
      </c>
      <c r="O1684" t="n">
        <v>0</v>
      </c>
      <c r="P1684" t="n">
        <v>0</v>
      </c>
      <c r="Q1684" t="n">
        <v>0</v>
      </c>
      <c r="R1684" s="2" t="inlineStr"/>
    </row>
    <row r="1685" ht="15" customHeight="1">
      <c r="A1685" t="inlineStr">
        <is>
          <t>A 30199-2025</t>
        </is>
      </c>
      <c r="B1685" s="1" t="n">
        <v>45827</v>
      </c>
      <c r="C1685" s="1" t="n">
        <v>45880</v>
      </c>
      <c r="D1685" t="inlineStr">
        <is>
          <t>VÄRMLANDS LÄN</t>
        </is>
      </c>
      <c r="E1685" t="inlineStr">
        <is>
          <t>TORSBY</t>
        </is>
      </c>
      <c r="F1685" t="inlineStr">
        <is>
          <t>Bergvik skog väst AB</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43111-2022</t>
        </is>
      </c>
      <c r="B1686" s="1" t="n">
        <v>44833</v>
      </c>
      <c r="C1686" s="1" t="n">
        <v>45880</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30380-2025</t>
        </is>
      </c>
      <c r="B1687" s="1" t="n">
        <v>45827</v>
      </c>
      <c r="C1687" s="1" t="n">
        <v>45880</v>
      </c>
      <c r="D1687" t="inlineStr">
        <is>
          <t>VÄRMLANDS LÄN</t>
        </is>
      </c>
      <c r="E1687" t="inlineStr">
        <is>
          <t>TORSBY</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30151-2025</t>
        </is>
      </c>
      <c r="B1688" s="1" t="n">
        <v>45827</v>
      </c>
      <c r="C1688" s="1" t="n">
        <v>45880</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36530-2025</t>
        </is>
      </c>
      <c r="B1689" s="1" t="n">
        <v>45869.61282407407</v>
      </c>
      <c r="C1689" s="1" t="n">
        <v>45880</v>
      </c>
      <c r="D1689" t="inlineStr">
        <is>
          <t>VÄRMLANDS LÄN</t>
        </is>
      </c>
      <c r="E1689" t="inlineStr">
        <is>
          <t>TORSBY</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45056-2022</t>
        </is>
      </c>
      <c r="B1690" s="1" t="n">
        <v>44841.72731481482</v>
      </c>
      <c r="C1690" s="1" t="n">
        <v>45880</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30153-2025</t>
        </is>
      </c>
      <c r="B1691" s="1" t="n">
        <v>45827.31736111111</v>
      </c>
      <c r="C1691" s="1" t="n">
        <v>45880</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36548-2025</t>
        </is>
      </c>
      <c r="B1692" s="1" t="n">
        <v>45869.74849537037</v>
      </c>
      <c r="C1692" s="1" t="n">
        <v>45880</v>
      </c>
      <c r="D1692" t="inlineStr">
        <is>
          <t>VÄRMLANDS LÄN</t>
        </is>
      </c>
      <c r="E1692" t="inlineStr">
        <is>
          <t>TORSBY</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30333-2025</t>
        </is>
      </c>
      <c r="B1693" s="1" t="n">
        <v>45827</v>
      </c>
      <c r="C1693" s="1" t="n">
        <v>45880</v>
      </c>
      <c r="D1693" t="inlineStr">
        <is>
          <t>VÄRMLANDS LÄN</t>
        </is>
      </c>
      <c r="E1693" t="inlineStr">
        <is>
          <t>TORSBY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30377-2025</t>
        </is>
      </c>
      <c r="B1694" s="1" t="n">
        <v>45827</v>
      </c>
      <c r="C1694" s="1" t="n">
        <v>45880</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30388-2025</t>
        </is>
      </c>
      <c r="B1695" s="1" t="n">
        <v>45827.5734837963</v>
      </c>
      <c r="C1695" s="1" t="n">
        <v>45880</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30974-2025</t>
        </is>
      </c>
      <c r="B1696" s="1" t="n">
        <v>45832.46305555556</v>
      </c>
      <c r="C1696" s="1" t="n">
        <v>45880</v>
      </c>
      <c r="D1696" t="inlineStr">
        <is>
          <t>VÄRMLANDS LÄN</t>
        </is>
      </c>
      <c r="E1696" t="inlineStr">
        <is>
          <t>TORSBY</t>
        </is>
      </c>
      <c r="G1696" t="n">
        <v>29.2</v>
      </c>
      <c r="H1696" t="n">
        <v>0</v>
      </c>
      <c r="I1696" t="n">
        <v>0</v>
      </c>
      <c r="J1696" t="n">
        <v>0</v>
      </c>
      <c r="K1696" t="n">
        <v>0</v>
      </c>
      <c r="L1696" t="n">
        <v>0</v>
      </c>
      <c r="M1696" t="n">
        <v>0</v>
      </c>
      <c r="N1696" t="n">
        <v>0</v>
      </c>
      <c r="O1696" t="n">
        <v>0</v>
      </c>
      <c r="P1696" t="n">
        <v>0</v>
      </c>
      <c r="Q1696" t="n">
        <v>0</v>
      </c>
      <c r="R1696" s="2" t="inlineStr"/>
    </row>
    <row r="1697" ht="15" customHeight="1">
      <c r="A1697" t="inlineStr">
        <is>
          <t>A 30738-2025</t>
        </is>
      </c>
      <c r="B1697" s="1" t="n">
        <v>45831.57583333334</v>
      </c>
      <c r="C1697" s="1" t="n">
        <v>45880</v>
      </c>
      <c r="D1697" t="inlineStr">
        <is>
          <t>VÄRMLANDS LÄN</t>
        </is>
      </c>
      <c r="E1697" t="inlineStr">
        <is>
          <t>TORSBY</t>
        </is>
      </c>
      <c r="G1697" t="n">
        <v>8.1</v>
      </c>
      <c r="H1697" t="n">
        <v>0</v>
      </c>
      <c r="I1697" t="n">
        <v>0</v>
      </c>
      <c r="J1697" t="n">
        <v>0</v>
      </c>
      <c r="K1697" t="n">
        <v>0</v>
      </c>
      <c r="L1697" t="n">
        <v>0</v>
      </c>
      <c r="M1697" t="n">
        <v>0</v>
      </c>
      <c r="N1697" t="n">
        <v>0</v>
      </c>
      <c r="O1697" t="n">
        <v>0</v>
      </c>
      <c r="P1697" t="n">
        <v>0</v>
      </c>
      <c r="Q1697" t="n">
        <v>0</v>
      </c>
      <c r="R1697" s="2" t="inlineStr"/>
    </row>
    <row r="1698" ht="15" customHeight="1">
      <c r="A1698" t="inlineStr">
        <is>
          <t>A 34179-2025</t>
        </is>
      </c>
      <c r="B1698" s="1" t="n">
        <v>45845</v>
      </c>
      <c r="C1698" s="1" t="n">
        <v>45880</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15022-2025</t>
        </is>
      </c>
      <c r="B1699" s="1" t="n">
        <v>45743</v>
      </c>
      <c r="C1699" s="1" t="n">
        <v>45880</v>
      </c>
      <c r="D1699" t="inlineStr">
        <is>
          <t>VÄRMLANDS LÄN</t>
        </is>
      </c>
      <c r="E1699" t="inlineStr">
        <is>
          <t>TORSBY</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40009-2022</t>
        </is>
      </c>
      <c r="B1700" s="1" t="n">
        <v>44820</v>
      </c>
      <c r="C1700" s="1" t="n">
        <v>45880</v>
      </c>
      <c r="D1700" t="inlineStr">
        <is>
          <t>VÄRMLANDS LÄN</t>
        </is>
      </c>
      <c r="E1700" t="inlineStr">
        <is>
          <t>TORSBY</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57647-2023</t>
        </is>
      </c>
      <c r="B1701" s="1" t="n">
        <v>45246.59627314815</v>
      </c>
      <c r="C1701" s="1" t="n">
        <v>45880</v>
      </c>
      <c r="D1701" t="inlineStr">
        <is>
          <t>VÄRMLANDS LÄN</t>
        </is>
      </c>
      <c r="E1701" t="inlineStr">
        <is>
          <t>TORSBY</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924-2024</t>
        </is>
      </c>
      <c r="B1702" s="1" t="n">
        <v>45301</v>
      </c>
      <c r="C1702" s="1" t="n">
        <v>45880</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67933-2021</t>
        </is>
      </c>
      <c r="B1703" s="1" t="n">
        <v>44525</v>
      </c>
      <c r="C1703" s="1" t="n">
        <v>45880</v>
      </c>
      <c r="D1703" t="inlineStr">
        <is>
          <t>VÄRMLANDS LÄN</t>
        </is>
      </c>
      <c r="E1703" t="inlineStr">
        <is>
          <t>TORSBY</t>
        </is>
      </c>
      <c r="F1703" t="inlineStr">
        <is>
          <t>Bergvik skog väst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30735-2025</t>
        </is>
      </c>
      <c r="B1704" s="1" t="n">
        <v>45831.57479166667</v>
      </c>
      <c r="C1704" s="1" t="n">
        <v>45880</v>
      </c>
      <c r="D1704" t="inlineStr">
        <is>
          <t>VÄRMLANDS LÄN</t>
        </is>
      </c>
      <c r="E1704" t="inlineStr">
        <is>
          <t>TORSBY</t>
        </is>
      </c>
      <c r="F1704" t="inlineStr">
        <is>
          <t>Bergvik skog väst AB</t>
        </is>
      </c>
      <c r="G1704" t="n">
        <v>11.2</v>
      </c>
      <c r="H1704" t="n">
        <v>0</v>
      </c>
      <c r="I1704" t="n">
        <v>0</v>
      </c>
      <c r="J1704" t="n">
        <v>0</v>
      </c>
      <c r="K1704" t="n">
        <v>0</v>
      </c>
      <c r="L1704" t="n">
        <v>0</v>
      </c>
      <c r="M1704" t="n">
        <v>0</v>
      </c>
      <c r="N1704" t="n">
        <v>0</v>
      </c>
      <c r="O1704" t="n">
        <v>0</v>
      </c>
      <c r="P1704" t="n">
        <v>0</v>
      </c>
      <c r="Q1704" t="n">
        <v>0</v>
      </c>
      <c r="R1704" s="2" t="inlineStr"/>
    </row>
    <row r="1705" ht="15" customHeight="1">
      <c r="A1705" t="inlineStr">
        <is>
          <t>A 40509-2020</t>
        </is>
      </c>
      <c r="B1705" s="1" t="n">
        <v>44069</v>
      </c>
      <c r="C1705" s="1" t="n">
        <v>45880</v>
      </c>
      <c r="D1705" t="inlineStr">
        <is>
          <t>VÄRMLANDS LÄN</t>
        </is>
      </c>
      <c r="E1705" t="inlineStr">
        <is>
          <t>TORSBY</t>
        </is>
      </c>
      <c r="F1705" t="inlineStr">
        <is>
          <t>Naturvårdsverket</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37822-2023</t>
        </is>
      </c>
      <c r="B1706" s="1" t="n">
        <v>45160.30215277777</v>
      </c>
      <c r="C1706" s="1" t="n">
        <v>45880</v>
      </c>
      <c r="D1706" t="inlineStr">
        <is>
          <t>VÄRMLANDS LÄN</t>
        </is>
      </c>
      <c r="E1706" t="inlineStr">
        <is>
          <t>TORSBY</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30789-2024</t>
        </is>
      </c>
      <c r="B1707" s="1" t="n">
        <v>45497.178125</v>
      </c>
      <c r="C1707" s="1" t="n">
        <v>45880</v>
      </c>
      <c r="D1707" t="inlineStr">
        <is>
          <t>VÄRMLANDS LÄN</t>
        </is>
      </c>
      <c r="E1707" t="inlineStr">
        <is>
          <t>TORSBY</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69250-2020</t>
        </is>
      </c>
      <c r="B1708" s="1" t="n">
        <v>44192</v>
      </c>
      <c r="C1708" s="1" t="n">
        <v>45880</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46271-2020</t>
        </is>
      </c>
      <c r="B1709" s="1" t="n">
        <v>44092.5664699074</v>
      </c>
      <c r="C1709" s="1" t="n">
        <v>45880</v>
      </c>
      <c r="D1709" t="inlineStr">
        <is>
          <t>VÄRMLANDS LÄN</t>
        </is>
      </c>
      <c r="E1709" t="inlineStr">
        <is>
          <t>TORSBY</t>
        </is>
      </c>
      <c r="F1709" t="inlineStr">
        <is>
          <t>Bergvik skog väst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20060-2025</t>
        </is>
      </c>
      <c r="B1710" s="1" t="n">
        <v>45772.41831018519</v>
      </c>
      <c r="C1710" s="1" t="n">
        <v>45880</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31101-2025</t>
        </is>
      </c>
      <c r="B1711" s="1" t="n">
        <v>45832</v>
      </c>
      <c r="C1711" s="1" t="n">
        <v>45880</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2803-2025</t>
        </is>
      </c>
      <c r="B1712" s="1" t="n">
        <v>45677</v>
      </c>
      <c r="C1712" s="1" t="n">
        <v>45880</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52062-2024</t>
        </is>
      </c>
      <c r="B1713" s="1" t="n">
        <v>45608</v>
      </c>
      <c r="C1713" s="1" t="n">
        <v>45880</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34717-2024</t>
        </is>
      </c>
      <c r="B1714" s="1" t="n">
        <v>45526.56409722222</v>
      </c>
      <c r="C1714" s="1" t="n">
        <v>45880</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54532-2023</t>
        </is>
      </c>
      <c r="B1715" s="1" t="n">
        <v>45233</v>
      </c>
      <c r="C1715" s="1" t="n">
        <v>45880</v>
      </c>
      <c r="D1715" t="inlineStr">
        <is>
          <t>VÄRMLANDS LÄN</t>
        </is>
      </c>
      <c r="E1715" t="inlineStr">
        <is>
          <t>TORSBY</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58304-2024</t>
        </is>
      </c>
      <c r="B1716" s="1" t="n">
        <v>45632</v>
      </c>
      <c r="C1716" s="1" t="n">
        <v>45880</v>
      </c>
      <c r="D1716" t="inlineStr">
        <is>
          <t>VÄRMLANDS LÄN</t>
        </is>
      </c>
      <c r="E1716" t="inlineStr">
        <is>
          <t>TORSBY</t>
        </is>
      </c>
      <c r="F1716" t="inlineStr">
        <is>
          <t>Bergvik skog väst AB</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30560-2025</t>
        </is>
      </c>
      <c r="B1717" s="1" t="n">
        <v>45831.39497685185</v>
      </c>
      <c r="C1717" s="1" t="n">
        <v>45880</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3160-2021</t>
        </is>
      </c>
      <c r="B1718" s="1" t="n">
        <v>44217</v>
      </c>
      <c r="C1718" s="1" t="n">
        <v>45880</v>
      </c>
      <c r="D1718" t="inlineStr">
        <is>
          <t>VÄRMLANDS LÄN</t>
        </is>
      </c>
      <c r="E1718" t="inlineStr">
        <is>
          <t>TORSBY</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15931-2025</t>
        </is>
      </c>
      <c r="B1719" s="1" t="n">
        <v>45749.46791666667</v>
      </c>
      <c r="C1719" s="1" t="n">
        <v>45880</v>
      </c>
      <c r="D1719" t="inlineStr">
        <is>
          <t>VÄRMLANDS LÄN</t>
        </is>
      </c>
      <c r="E1719" t="inlineStr">
        <is>
          <t>TORSBY</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18096-2025</t>
        </is>
      </c>
      <c r="B1720" s="1" t="n">
        <v>45761</v>
      </c>
      <c r="C1720" s="1" t="n">
        <v>45880</v>
      </c>
      <c r="D1720" t="inlineStr">
        <is>
          <t>VÄRMLANDS LÄN</t>
        </is>
      </c>
      <c r="E1720" t="inlineStr">
        <is>
          <t>TORSBY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52460-2020</t>
        </is>
      </c>
      <c r="B1721" s="1" t="n">
        <v>44116</v>
      </c>
      <c r="C1721" s="1" t="n">
        <v>45880</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36856-2025</t>
        </is>
      </c>
      <c r="B1722" s="1" t="n">
        <v>45874.40421296296</v>
      </c>
      <c r="C1722" s="1" t="n">
        <v>45880</v>
      </c>
      <c r="D1722" t="inlineStr">
        <is>
          <t>VÄRMLANDS LÄN</t>
        </is>
      </c>
      <c r="E1722" t="inlineStr">
        <is>
          <t>TORSBY</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46424-2023</t>
        </is>
      </c>
      <c r="B1723" s="1" t="n">
        <v>45197.56141203704</v>
      </c>
      <c r="C1723" s="1" t="n">
        <v>45880</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69878-2021</t>
        </is>
      </c>
      <c r="B1724" s="1" t="n">
        <v>44532.82293981482</v>
      </c>
      <c r="C1724" s="1" t="n">
        <v>45880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30958-2025</t>
        </is>
      </c>
      <c r="B1725" s="1" t="n">
        <v>45832.43880787037</v>
      </c>
      <c r="C1725" s="1" t="n">
        <v>45880</v>
      </c>
      <c r="D1725" t="inlineStr">
        <is>
          <t>VÄRMLANDS LÄN</t>
        </is>
      </c>
      <c r="E1725" t="inlineStr">
        <is>
          <t>TORSBY</t>
        </is>
      </c>
      <c r="G1725" t="n">
        <v>28.5</v>
      </c>
      <c r="H1725" t="n">
        <v>0</v>
      </c>
      <c r="I1725" t="n">
        <v>0</v>
      </c>
      <c r="J1725" t="n">
        <v>0</v>
      </c>
      <c r="K1725" t="n">
        <v>0</v>
      </c>
      <c r="L1725" t="n">
        <v>0</v>
      </c>
      <c r="M1725" t="n">
        <v>0</v>
      </c>
      <c r="N1725" t="n">
        <v>0</v>
      </c>
      <c r="O1725" t="n">
        <v>0</v>
      </c>
      <c r="P1725" t="n">
        <v>0</v>
      </c>
      <c r="Q1725" t="n">
        <v>0</v>
      </c>
      <c r="R1725" s="2" t="inlineStr"/>
    </row>
    <row r="1726" ht="15" customHeight="1">
      <c r="A1726" t="inlineStr">
        <is>
          <t>A 30607-2025</t>
        </is>
      </c>
      <c r="B1726" s="1" t="n">
        <v>45831.4584375</v>
      </c>
      <c r="C1726" s="1" t="n">
        <v>45880</v>
      </c>
      <c r="D1726" t="inlineStr">
        <is>
          <t>VÄRMLANDS LÄN</t>
        </is>
      </c>
      <c r="E1726" t="inlineStr">
        <is>
          <t>TORSBY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30717-2025</t>
        </is>
      </c>
      <c r="B1727" s="1" t="n">
        <v>45831.56103009259</v>
      </c>
      <c r="C1727" s="1" t="n">
        <v>45880</v>
      </c>
      <c r="D1727" t="inlineStr">
        <is>
          <t>VÄRMLANDS LÄN</t>
        </is>
      </c>
      <c r="E1727" t="inlineStr">
        <is>
          <t>TORSBY</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30836-2025</t>
        </is>
      </c>
      <c r="B1728" s="1" t="n">
        <v>45831.70571759259</v>
      </c>
      <c r="C1728" s="1" t="n">
        <v>45880</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1547-2024</t>
        </is>
      </c>
      <c r="B1729" s="1" t="n">
        <v>45306.48456018518</v>
      </c>
      <c r="C1729" s="1" t="n">
        <v>45880</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72200-2021</t>
        </is>
      </c>
      <c r="B1730" s="1" t="n">
        <v>44544.67358796296</v>
      </c>
      <c r="C1730" s="1" t="n">
        <v>45880</v>
      </c>
      <c r="D1730" t="inlineStr">
        <is>
          <t>VÄRMLANDS LÄN</t>
        </is>
      </c>
      <c r="E1730" t="inlineStr">
        <is>
          <t>TORSBY</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41841-2023</t>
        </is>
      </c>
      <c r="B1731" s="1" t="n">
        <v>45176.60436342593</v>
      </c>
      <c r="C1731" s="1" t="n">
        <v>45880</v>
      </c>
      <c r="D1731" t="inlineStr">
        <is>
          <t>VÄRMLANDS LÄN</t>
        </is>
      </c>
      <c r="E1731" t="inlineStr">
        <is>
          <t>TORSBY</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40007-2023</t>
        </is>
      </c>
      <c r="B1732" s="1" t="n">
        <v>45168</v>
      </c>
      <c r="C1732" s="1" t="n">
        <v>45880</v>
      </c>
      <c r="D1732" t="inlineStr">
        <is>
          <t>VÄRMLANDS LÄN</t>
        </is>
      </c>
      <c r="E1732" t="inlineStr">
        <is>
          <t>TORSBY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3098-2023</t>
        </is>
      </c>
      <c r="B1733" s="1" t="n">
        <v>44946.46096064815</v>
      </c>
      <c r="C1733" s="1" t="n">
        <v>45880</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3103-2023</t>
        </is>
      </c>
      <c r="B1734" s="1" t="n">
        <v>44946</v>
      </c>
      <c r="C1734" s="1" t="n">
        <v>45880</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8281-2023</t>
        </is>
      </c>
      <c r="B1735" s="1" t="n">
        <v>44974</v>
      </c>
      <c r="C1735" s="1" t="n">
        <v>45880</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37273-2025</t>
        </is>
      </c>
      <c r="B1736" s="1" t="n">
        <v>45876.48649305556</v>
      </c>
      <c r="C1736" s="1" t="n">
        <v>45880</v>
      </c>
      <c r="D1736" t="inlineStr">
        <is>
          <t>VÄRMLANDS LÄN</t>
        </is>
      </c>
      <c r="E1736" t="inlineStr">
        <is>
          <t>TORSBY</t>
        </is>
      </c>
      <c r="F1736" t="inlineStr">
        <is>
          <t>Bergvik skog väst AB</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59005-2024</t>
        </is>
      </c>
      <c r="B1737" s="1" t="n">
        <v>45636.65234953703</v>
      </c>
      <c r="C1737" s="1" t="n">
        <v>45880</v>
      </c>
      <c r="D1737" t="inlineStr">
        <is>
          <t>VÄRMLANDS LÄN</t>
        </is>
      </c>
      <c r="E1737" t="inlineStr">
        <is>
          <t>TORSBY</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55522-2023</t>
        </is>
      </c>
      <c r="B1738" s="1" t="n">
        <v>45238</v>
      </c>
      <c r="C1738" s="1" t="n">
        <v>45880</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31547-2025</t>
        </is>
      </c>
      <c r="B1739" s="1" t="n">
        <v>45833.63733796297</v>
      </c>
      <c r="C1739" s="1" t="n">
        <v>45880</v>
      </c>
      <c r="D1739" t="inlineStr">
        <is>
          <t>VÄRMLANDS LÄN</t>
        </is>
      </c>
      <c r="E1739" t="inlineStr">
        <is>
          <t>TORSBY</t>
        </is>
      </c>
      <c r="F1739" t="inlineStr">
        <is>
          <t>Bergvik skog väst AB</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36483-2025</t>
        </is>
      </c>
      <c r="B1740" s="1" t="n">
        <v>45869</v>
      </c>
      <c r="C1740" s="1" t="n">
        <v>45880</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33897-2025</t>
        </is>
      </c>
      <c r="B1741" s="1" t="n">
        <v>45842</v>
      </c>
      <c r="C1741" s="1" t="n">
        <v>45880</v>
      </c>
      <c r="D1741" t="inlineStr">
        <is>
          <t>VÄRMLANDS LÄN</t>
        </is>
      </c>
      <c r="E1741" t="inlineStr">
        <is>
          <t>TORSBY</t>
        </is>
      </c>
      <c r="G1741" t="n">
        <v>13.7</v>
      </c>
      <c r="H1741" t="n">
        <v>0</v>
      </c>
      <c r="I1741" t="n">
        <v>0</v>
      </c>
      <c r="J1741" t="n">
        <v>0</v>
      </c>
      <c r="K1741" t="n">
        <v>0</v>
      </c>
      <c r="L1741" t="n">
        <v>0</v>
      </c>
      <c r="M1741" t="n">
        <v>0</v>
      </c>
      <c r="N1741" t="n">
        <v>0</v>
      </c>
      <c r="O1741" t="n">
        <v>0</v>
      </c>
      <c r="P1741" t="n">
        <v>0</v>
      </c>
      <c r="Q1741" t="n">
        <v>0</v>
      </c>
      <c r="R1741" s="2" t="inlineStr"/>
    </row>
    <row r="1742" ht="15" customHeight="1">
      <c r="A1742" t="inlineStr">
        <is>
          <t>A 36498-2025</t>
        </is>
      </c>
      <c r="B1742" s="1" t="n">
        <v>45869</v>
      </c>
      <c r="C1742" s="1" t="n">
        <v>45880</v>
      </c>
      <c r="D1742" t="inlineStr">
        <is>
          <t>VÄRMLANDS LÄN</t>
        </is>
      </c>
      <c r="E1742" t="inlineStr">
        <is>
          <t>TORSBY</t>
        </is>
      </c>
      <c r="F1742" t="inlineStr">
        <is>
          <t>Bergvik skog väst AB</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36500-2025</t>
        </is>
      </c>
      <c r="B1743" s="1" t="n">
        <v>45869</v>
      </c>
      <c r="C1743" s="1" t="n">
        <v>45880</v>
      </c>
      <c r="D1743" t="inlineStr">
        <is>
          <t>VÄRMLANDS LÄN</t>
        </is>
      </c>
      <c r="E1743" t="inlineStr">
        <is>
          <t>TORSBY</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31316-2025</t>
        </is>
      </c>
      <c r="B1744" s="1" t="n">
        <v>45833.40241898148</v>
      </c>
      <c r="C1744" s="1" t="n">
        <v>45880</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4030-2024</t>
        </is>
      </c>
      <c r="B1745" s="1" t="n">
        <v>45323</v>
      </c>
      <c r="C1745" s="1" t="n">
        <v>45880</v>
      </c>
      <c r="D1745" t="inlineStr">
        <is>
          <t>VÄRMLANDS LÄN</t>
        </is>
      </c>
      <c r="E1745" t="inlineStr">
        <is>
          <t>TORSBY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36920-2025</t>
        </is>
      </c>
      <c r="B1746" s="1" t="n">
        <v>45874</v>
      </c>
      <c r="C1746" s="1" t="n">
        <v>45880</v>
      </c>
      <c r="D1746" t="inlineStr">
        <is>
          <t>VÄRMLANDS LÄN</t>
        </is>
      </c>
      <c r="E1746" t="inlineStr">
        <is>
          <t>TORSBY</t>
        </is>
      </c>
      <c r="F1746" t="inlineStr">
        <is>
          <t>Bergvik skog väst AB</t>
        </is>
      </c>
      <c r="G1746" t="n">
        <v>15.9</v>
      </c>
      <c r="H1746" t="n">
        <v>0</v>
      </c>
      <c r="I1746" t="n">
        <v>0</v>
      </c>
      <c r="J1746" t="n">
        <v>0</v>
      </c>
      <c r="K1746" t="n">
        <v>0</v>
      </c>
      <c r="L1746" t="n">
        <v>0</v>
      </c>
      <c r="M1746" t="n">
        <v>0</v>
      </c>
      <c r="N1746" t="n">
        <v>0</v>
      </c>
      <c r="O1746" t="n">
        <v>0</v>
      </c>
      <c r="P1746" t="n">
        <v>0</v>
      </c>
      <c r="Q1746" t="n">
        <v>0</v>
      </c>
      <c r="R1746" s="2" t="inlineStr"/>
    </row>
    <row r="1747" ht="15" customHeight="1">
      <c r="A1747" t="inlineStr">
        <is>
          <t>A 37334-2025</t>
        </is>
      </c>
      <c r="B1747" s="1" t="n">
        <v>45876.66663194444</v>
      </c>
      <c r="C1747" s="1" t="n">
        <v>45880</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31850-2025</t>
        </is>
      </c>
      <c r="B1748" s="1" t="n">
        <v>45834</v>
      </c>
      <c r="C1748" s="1" t="n">
        <v>45880</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37348-2025</t>
        </is>
      </c>
      <c r="B1749" s="1" t="n">
        <v>45876.71136574074</v>
      </c>
      <c r="C1749" s="1" t="n">
        <v>45880</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29925-2024</t>
        </is>
      </c>
      <c r="B1750" s="1" t="n">
        <v>45488</v>
      </c>
      <c r="C1750" s="1" t="n">
        <v>45880</v>
      </c>
      <c r="D1750" t="inlineStr">
        <is>
          <t>VÄRMLANDS LÄN</t>
        </is>
      </c>
      <c r="E1750" t="inlineStr">
        <is>
          <t>TORSBY</t>
        </is>
      </c>
      <c r="F1750" t="inlineStr">
        <is>
          <t>Kyrkan</t>
        </is>
      </c>
      <c r="G1750" t="n">
        <v>7.9</v>
      </c>
      <c r="H1750" t="n">
        <v>0</v>
      </c>
      <c r="I1750" t="n">
        <v>0</v>
      </c>
      <c r="J1750" t="n">
        <v>0</v>
      </c>
      <c r="K1750" t="n">
        <v>0</v>
      </c>
      <c r="L1750" t="n">
        <v>0</v>
      </c>
      <c r="M1750" t="n">
        <v>0</v>
      </c>
      <c r="N1750" t="n">
        <v>0</v>
      </c>
      <c r="O1750" t="n">
        <v>0</v>
      </c>
      <c r="P1750" t="n">
        <v>0</v>
      </c>
      <c r="Q1750" t="n">
        <v>0</v>
      </c>
      <c r="R1750" s="2" t="inlineStr"/>
    </row>
    <row r="1751" ht="15" customHeight="1">
      <c r="A1751" t="inlineStr">
        <is>
          <t>A 29936-2024</t>
        </is>
      </c>
      <c r="B1751" s="1" t="n">
        <v>45488</v>
      </c>
      <c r="C1751" s="1" t="n">
        <v>45880</v>
      </c>
      <c r="D1751" t="inlineStr">
        <is>
          <t>VÄRMLANDS LÄN</t>
        </is>
      </c>
      <c r="E1751" t="inlineStr">
        <is>
          <t>TORSBY</t>
        </is>
      </c>
      <c r="F1751" t="inlineStr">
        <is>
          <t>Kommuner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31630-2025</t>
        </is>
      </c>
      <c r="B1752" s="1" t="n">
        <v>45834.32670138889</v>
      </c>
      <c r="C1752" s="1" t="n">
        <v>45880</v>
      </c>
      <c r="D1752" t="inlineStr">
        <is>
          <t>VÄRMLANDS LÄN</t>
        </is>
      </c>
      <c r="E1752" t="inlineStr">
        <is>
          <t>TORSBY</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2797-2025</t>
        </is>
      </c>
      <c r="B1753" s="1" t="n">
        <v>45677</v>
      </c>
      <c r="C1753" s="1" t="n">
        <v>45880</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62510-2023</t>
        </is>
      </c>
      <c r="B1754" s="1" t="n">
        <v>45268.61853009259</v>
      </c>
      <c r="C1754" s="1" t="n">
        <v>45880</v>
      </c>
      <c r="D1754" t="inlineStr">
        <is>
          <t>VÄRMLANDS LÄN</t>
        </is>
      </c>
      <c r="E1754" t="inlineStr">
        <is>
          <t>TORSBY</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31902-2025</t>
        </is>
      </c>
      <c r="B1755" s="1" t="n">
        <v>45834.68592592593</v>
      </c>
      <c r="C1755" s="1" t="n">
        <v>45880</v>
      </c>
      <c r="D1755" t="inlineStr">
        <is>
          <t>VÄRMLANDS LÄN</t>
        </is>
      </c>
      <c r="E1755" t="inlineStr">
        <is>
          <t>TORSBY</t>
        </is>
      </c>
      <c r="G1755" t="n">
        <v>27.1</v>
      </c>
      <c r="H1755" t="n">
        <v>0</v>
      </c>
      <c r="I1755" t="n">
        <v>0</v>
      </c>
      <c r="J1755" t="n">
        <v>0</v>
      </c>
      <c r="K1755" t="n">
        <v>0</v>
      </c>
      <c r="L1755" t="n">
        <v>0</v>
      </c>
      <c r="M1755" t="n">
        <v>0</v>
      </c>
      <c r="N1755" t="n">
        <v>0</v>
      </c>
      <c r="O1755" t="n">
        <v>0</v>
      </c>
      <c r="P1755" t="n">
        <v>0</v>
      </c>
      <c r="Q1755" t="n">
        <v>0</v>
      </c>
      <c r="R1755" s="2" t="inlineStr"/>
    </row>
    <row r="1756" ht="15" customHeight="1">
      <c r="A1756" t="inlineStr">
        <is>
          <t>A 27038-2024</t>
        </is>
      </c>
      <c r="B1756" s="1" t="n">
        <v>45471</v>
      </c>
      <c r="C1756" s="1" t="n">
        <v>45880</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27045-2024</t>
        </is>
      </c>
      <c r="B1757" s="1" t="n">
        <v>45471</v>
      </c>
      <c r="C1757" s="1" t="n">
        <v>45880</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31906-2025</t>
        </is>
      </c>
      <c r="B1758" s="1" t="n">
        <v>45834.69046296296</v>
      </c>
      <c r="C1758" s="1" t="n">
        <v>45880</v>
      </c>
      <c r="D1758" t="inlineStr">
        <is>
          <t>VÄRMLANDS LÄN</t>
        </is>
      </c>
      <c r="E1758" t="inlineStr">
        <is>
          <t>TORSBY</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27090-2024</t>
        </is>
      </c>
      <c r="B1759" s="1" t="n">
        <v>45471</v>
      </c>
      <c r="C1759" s="1" t="n">
        <v>45880</v>
      </c>
      <c r="D1759" t="inlineStr">
        <is>
          <t>VÄRMLANDS LÄN</t>
        </is>
      </c>
      <c r="E1759" t="inlineStr">
        <is>
          <t>TORSBY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31335-2025</t>
        </is>
      </c>
      <c r="B1760" s="1" t="n">
        <v>45833.42608796297</v>
      </c>
      <c r="C1760" s="1" t="n">
        <v>45880</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37230-2025</t>
        </is>
      </c>
      <c r="B1761" s="1" t="n">
        <v>45876.33430555555</v>
      </c>
      <c r="C1761" s="1" t="n">
        <v>45880</v>
      </c>
      <c r="D1761" t="inlineStr">
        <is>
          <t>VÄRMLANDS LÄN</t>
        </is>
      </c>
      <c r="E1761" t="inlineStr">
        <is>
          <t>TORSBY</t>
        </is>
      </c>
      <c r="F1761" t="inlineStr">
        <is>
          <t>Bergvik skog väst AB</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37236-2025</t>
        </is>
      </c>
      <c r="B1762" s="1" t="n">
        <v>45876.36116898148</v>
      </c>
      <c r="C1762" s="1" t="n">
        <v>45880</v>
      </c>
      <c r="D1762" t="inlineStr">
        <is>
          <t>VÄRMLANDS LÄN</t>
        </is>
      </c>
      <c r="E1762" t="inlineStr">
        <is>
          <t>TORSBY</t>
        </is>
      </c>
      <c r="F1762" t="inlineStr">
        <is>
          <t>Bergvik skog väst AB</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60458-2024</t>
        </is>
      </c>
      <c r="B1763" s="1" t="n">
        <v>45643</v>
      </c>
      <c r="C1763" s="1" t="n">
        <v>45880</v>
      </c>
      <c r="D1763" t="inlineStr">
        <is>
          <t>VÄRMLANDS LÄN</t>
        </is>
      </c>
      <c r="E1763" t="inlineStr">
        <is>
          <t>TORSBY</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41518-2024</t>
        </is>
      </c>
      <c r="B1764" s="1" t="n">
        <v>45560</v>
      </c>
      <c r="C1764" s="1" t="n">
        <v>45880</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37300-2025</t>
        </is>
      </c>
      <c r="B1765" s="1" t="n">
        <v>45876.58092592593</v>
      </c>
      <c r="C1765" s="1" t="n">
        <v>45880</v>
      </c>
      <c r="D1765" t="inlineStr">
        <is>
          <t>VÄRMLANDS LÄN</t>
        </is>
      </c>
      <c r="E1765" t="inlineStr">
        <is>
          <t>TORSBY</t>
        </is>
      </c>
      <c r="F1765" t="inlineStr">
        <is>
          <t>Bergvik skog väst AB</t>
        </is>
      </c>
      <c r="G1765" t="n">
        <v>33.6</v>
      </c>
      <c r="H1765" t="n">
        <v>0</v>
      </c>
      <c r="I1765" t="n">
        <v>0</v>
      </c>
      <c r="J1765" t="n">
        <v>0</v>
      </c>
      <c r="K1765" t="n">
        <v>0</v>
      </c>
      <c r="L1765" t="n">
        <v>0</v>
      </c>
      <c r="M1765" t="n">
        <v>0</v>
      </c>
      <c r="N1765" t="n">
        <v>0</v>
      </c>
      <c r="O1765" t="n">
        <v>0</v>
      </c>
      <c r="P1765" t="n">
        <v>0</v>
      </c>
      <c r="Q1765" t="n">
        <v>0</v>
      </c>
      <c r="R1765" s="2" t="inlineStr"/>
    </row>
    <row r="1766" ht="15" customHeight="1">
      <c r="A1766" t="inlineStr">
        <is>
          <t>A 33429-2024</t>
        </is>
      </c>
      <c r="B1766" s="1" t="n">
        <v>45519.52792824074</v>
      </c>
      <c r="C1766" s="1" t="n">
        <v>45880</v>
      </c>
      <c r="D1766" t="inlineStr">
        <is>
          <t>VÄRMLANDS LÄN</t>
        </is>
      </c>
      <c r="E1766" t="inlineStr">
        <is>
          <t>TORSBY</t>
        </is>
      </c>
      <c r="F1766" t="inlineStr">
        <is>
          <t>Bergvik skog väst AB</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37339-2025</t>
        </is>
      </c>
      <c r="B1767" s="1" t="n">
        <v>45876.68457175926</v>
      </c>
      <c r="C1767" s="1" t="n">
        <v>45880</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31672-2025</t>
        </is>
      </c>
      <c r="B1768" s="1" t="n">
        <v>45834.36979166666</v>
      </c>
      <c r="C1768" s="1" t="n">
        <v>45880</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31416-2025</t>
        </is>
      </c>
      <c r="B1769" s="1" t="n">
        <v>45833.48278935185</v>
      </c>
      <c r="C1769" s="1" t="n">
        <v>45880</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19675-2023</t>
        </is>
      </c>
      <c r="B1770" s="1" t="n">
        <v>45051</v>
      </c>
      <c r="C1770" s="1" t="n">
        <v>45880</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37260-2025</t>
        </is>
      </c>
      <c r="B1771" s="1" t="n">
        <v>45876.45128472222</v>
      </c>
      <c r="C1771" s="1" t="n">
        <v>45880</v>
      </c>
      <c r="D1771" t="inlineStr">
        <is>
          <t>VÄRMLANDS LÄN</t>
        </is>
      </c>
      <c r="E1771" t="inlineStr">
        <is>
          <t>TORSBY</t>
        </is>
      </c>
      <c r="F1771" t="inlineStr">
        <is>
          <t>Bergvik skog väst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42662-2024</t>
        </is>
      </c>
      <c r="B1772" s="1" t="n">
        <v>45566</v>
      </c>
      <c r="C1772" s="1" t="n">
        <v>45880</v>
      </c>
      <c r="D1772" t="inlineStr">
        <is>
          <t>VÄRMLANDS LÄN</t>
        </is>
      </c>
      <c r="E1772" t="inlineStr">
        <is>
          <t>TORSBY</t>
        </is>
      </c>
      <c r="F1772" t="inlineStr">
        <is>
          <t>Bergvik skog väst AB</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8197-2025</t>
        </is>
      </c>
      <c r="B1773" s="1" t="n">
        <v>45708.4318287037</v>
      </c>
      <c r="C1773" s="1" t="n">
        <v>45880</v>
      </c>
      <c r="D1773" t="inlineStr">
        <is>
          <t>VÄRMLANDS LÄN</t>
        </is>
      </c>
      <c r="E1773" t="inlineStr">
        <is>
          <t>TORSBY</t>
        </is>
      </c>
      <c r="G1773" t="n">
        <v>9.6</v>
      </c>
      <c r="H1773" t="n">
        <v>0</v>
      </c>
      <c r="I1773" t="n">
        <v>0</v>
      </c>
      <c r="J1773" t="n">
        <v>0</v>
      </c>
      <c r="K1773" t="n">
        <v>0</v>
      </c>
      <c r="L1773" t="n">
        <v>0</v>
      </c>
      <c r="M1773" t="n">
        <v>0</v>
      </c>
      <c r="N1773" t="n">
        <v>0</v>
      </c>
      <c r="O1773" t="n">
        <v>0</v>
      </c>
      <c r="P1773" t="n">
        <v>0</v>
      </c>
      <c r="Q1773" t="n">
        <v>0</v>
      </c>
      <c r="R1773" s="2" t="inlineStr"/>
    </row>
    <row r="1774" ht="15" customHeight="1">
      <c r="A1774" t="inlineStr">
        <is>
          <t>A 25316-2024</t>
        </is>
      </c>
      <c r="B1774" s="1" t="n">
        <v>45462</v>
      </c>
      <c r="C1774" s="1" t="n">
        <v>45880</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15899-2024</t>
        </is>
      </c>
      <c r="B1775" s="1" t="n">
        <v>45405.4034837963</v>
      </c>
      <c r="C1775" s="1" t="n">
        <v>45880</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1803-2024</t>
        </is>
      </c>
      <c r="B1776" s="1" t="n">
        <v>45307</v>
      </c>
      <c r="C1776" s="1" t="n">
        <v>45880</v>
      </c>
      <c r="D1776" t="inlineStr">
        <is>
          <t>VÄRMLANDS LÄN</t>
        </is>
      </c>
      <c r="E1776" t="inlineStr">
        <is>
          <t>TORSBY</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34697-2024</t>
        </is>
      </c>
      <c r="B1777" s="1" t="n">
        <v>45526.55518518519</v>
      </c>
      <c r="C1777" s="1" t="n">
        <v>45880</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36419-2024</t>
        </is>
      </c>
      <c r="B1778" s="1" t="n">
        <v>45536.58380787037</v>
      </c>
      <c r="C1778" s="1" t="n">
        <v>45880</v>
      </c>
      <c r="D1778" t="inlineStr">
        <is>
          <t>VÄRMLANDS LÄN</t>
        </is>
      </c>
      <c r="E1778" t="inlineStr">
        <is>
          <t>TORSBY</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32845-2024</t>
        </is>
      </c>
      <c r="B1779" s="1" t="n">
        <v>45516.62422453704</v>
      </c>
      <c r="C1779" s="1" t="n">
        <v>45880</v>
      </c>
      <c r="D1779" t="inlineStr">
        <is>
          <t>VÄRMLANDS LÄN</t>
        </is>
      </c>
      <c r="E1779" t="inlineStr">
        <is>
          <t>TORSBY</t>
        </is>
      </c>
      <c r="F1779" t="inlineStr">
        <is>
          <t>Bergvik skog väst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4537-2025</t>
        </is>
      </c>
      <c r="B1780" s="1" t="n">
        <v>45687.38836805556</v>
      </c>
      <c r="C1780" s="1" t="n">
        <v>45880</v>
      </c>
      <c r="D1780" t="inlineStr">
        <is>
          <t>VÄRMLANDS LÄN</t>
        </is>
      </c>
      <c r="E1780" t="inlineStr">
        <is>
          <t>TORSBY</t>
        </is>
      </c>
      <c r="F1780" t="inlineStr">
        <is>
          <t>Kommuner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19625-2025</t>
        </is>
      </c>
      <c r="B1781" s="1" t="n">
        <v>45770.63438657407</v>
      </c>
      <c r="C1781" s="1" t="n">
        <v>45880</v>
      </c>
      <c r="D1781" t="inlineStr">
        <is>
          <t>VÄRMLANDS LÄN</t>
        </is>
      </c>
      <c r="E1781" t="inlineStr">
        <is>
          <t>TORSBY</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33133-2024</t>
        </is>
      </c>
      <c r="B1782" s="1" t="n">
        <v>45518.31722222222</v>
      </c>
      <c r="C1782" s="1" t="n">
        <v>45880</v>
      </c>
      <c r="D1782" t="inlineStr">
        <is>
          <t>VÄRMLANDS LÄN</t>
        </is>
      </c>
      <c r="E1782" t="inlineStr">
        <is>
          <t>TORSBY</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52809-2024</t>
        </is>
      </c>
      <c r="B1783" s="1" t="n">
        <v>45610</v>
      </c>
      <c r="C1783" s="1" t="n">
        <v>45880</v>
      </c>
      <c r="D1783" t="inlineStr">
        <is>
          <t>VÄRMLANDS LÄN</t>
        </is>
      </c>
      <c r="E1783" t="inlineStr">
        <is>
          <t>TORSBY</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15315-2024</t>
        </is>
      </c>
      <c r="B1784" s="1" t="n">
        <v>45400</v>
      </c>
      <c r="C1784" s="1" t="n">
        <v>45880</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53381-2022</t>
        </is>
      </c>
      <c r="B1785" s="1" t="n">
        <v>44879</v>
      </c>
      <c r="C1785" s="1" t="n">
        <v>45880</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66194-2020</t>
        </is>
      </c>
      <c r="B1786" s="1" t="n">
        <v>44175</v>
      </c>
      <c r="C1786" s="1" t="n">
        <v>45880</v>
      </c>
      <c r="D1786" t="inlineStr">
        <is>
          <t>VÄRMLANDS LÄN</t>
        </is>
      </c>
      <c r="E1786" t="inlineStr">
        <is>
          <t>TORSBY</t>
        </is>
      </c>
      <c r="F1786" t="inlineStr">
        <is>
          <t>Bergvik skog väst AB</t>
        </is>
      </c>
      <c r="G1786" t="n">
        <v>18.4</v>
      </c>
      <c r="H1786" t="n">
        <v>0</v>
      </c>
      <c r="I1786" t="n">
        <v>0</v>
      </c>
      <c r="J1786" t="n">
        <v>0</v>
      </c>
      <c r="K1786" t="n">
        <v>0</v>
      </c>
      <c r="L1786" t="n">
        <v>0</v>
      </c>
      <c r="M1786" t="n">
        <v>0</v>
      </c>
      <c r="N1786" t="n">
        <v>0</v>
      </c>
      <c r="O1786" t="n">
        <v>0</v>
      </c>
      <c r="P1786" t="n">
        <v>0</v>
      </c>
      <c r="Q1786" t="n">
        <v>0</v>
      </c>
      <c r="R1786" s="2" t="inlineStr"/>
    </row>
    <row r="1787" ht="15" customHeight="1">
      <c r="A1787" t="inlineStr">
        <is>
          <t>A 739-2022</t>
        </is>
      </c>
      <c r="B1787" s="1" t="n">
        <v>44568</v>
      </c>
      <c r="C1787" s="1" t="n">
        <v>45880</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38486-2022</t>
        </is>
      </c>
      <c r="B1788" s="1" t="n">
        <v>44813</v>
      </c>
      <c r="C1788" s="1" t="n">
        <v>45880</v>
      </c>
      <c r="D1788" t="inlineStr">
        <is>
          <t>VÄRMLANDS LÄN</t>
        </is>
      </c>
      <c r="E1788" t="inlineStr">
        <is>
          <t>TORSBY</t>
        </is>
      </c>
      <c r="F1788" t="inlineStr">
        <is>
          <t>Bergvik skog väst AB</t>
        </is>
      </c>
      <c r="G1788" t="n">
        <v>9.6</v>
      </c>
      <c r="H1788" t="n">
        <v>0</v>
      </c>
      <c r="I1788" t="n">
        <v>0</v>
      </c>
      <c r="J1788" t="n">
        <v>0</v>
      </c>
      <c r="K1788" t="n">
        <v>0</v>
      </c>
      <c r="L1788" t="n">
        <v>0</v>
      </c>
      <c r="M1788" t="n">
        <v>0</v>
      </c>
      <c r="N1788" t="n">
        <v>0</v>
      </c>
      <c r="O1788" t="n">
        <v>0</v>
      </c>
      <c r="P1788" t="n">
        <v>0</v>
      </c>
      <c r="Q1788" t="n">
        <v>0</v>
      </c>
      <c r="R1788" s="2" t="inlineStr"/>
    </row>
    <row r="1789" ht="15" customHeight="1">
      <c r="A1789" t="inlineStr">
        <is>
          <t>A 6111-2021</t>
        </is>
      </c>
      <c r="B1789" s="1" t="n">
        <v>44232</v>
      </c>
      <c r="C1789" s="1" t="n">
        <v>45880</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8012-2023</t>
        </is>
      </c>
      <c r="B1790" s="1" t="n">
        <v>44973</v>
      </c>
      <c r="C1790" s="1" t="n">
        <v>45880</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15274-2024</t>
        </is>
      </c>
      <c r="B1791" s="1" t="n">
        <v>45400.58201388889</v>
      </c>
      <c r="C1791" s="1" t="n">
        <v>45880</v>
      </c>
      <c r="D1791" t="inlineStr">
        <is>
          <t>VÄRMLANDS LÄN</t>
        </is>
      </c>
      <c r="E1791" t="inlineStr">
        <is>
          <t>TORSBY</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61738-2020</t>
        </is>
      </c>
      <c r="B1792" s="1" t="n">
        <v>44158</v>
      </c>
      <c r="C1792" s="1" t="n">
        <v>45880</v>
      </c>
      <c r="D1792" t="inlineStr">
        <is>
          <t>VÄRMLANDS LÄN</t>
        </is>
      </c>
      <c r="E1792" t="inlineStr">
        <is>
          <t>TORSBY</t>
        </is>
      </c>
      <c r="F1792" t="inlineStr">
        <is>
          <t>Kommuner</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21094-2022</t>
        </is>
      </c>
      <c r="B1793" s="1" t="n">
        <v>44704</v>
      </c>
      <c r="C1793" s="1" t="n">
        <v>45880</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18354-2021</t>
        </is>
      </c>
      <c r="B1794" s="1" t="n">
        <v>44305.56186342592</v>
      </c>
      <c r="C1794" s="1" t="n">
        <v>45880</v>
      </c>
      <c r="D1794" t="inlineStr">
        <is>
          <t>VÄRMLANDS LÄN</t>
        </is>
      </c>
      <c r="E1794" t="inlineStr">
        <is>
          <t>TORSBY</t>
        </is>
      </c>
      <c r="F1794" t="inlineStr">
        <is>
          <t>Kommuner</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67547-2020</t>
        </is>
      </c>
      <c r="B1795" s="1" t="n">
        <v>44181</v>
      </c>
      <c r="C1795" s="1" t="n">
        <v>45880</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21390-2023</t>
        </is>
      </c>
      <c r="B1796" s="1" t="n">
        <v>45063</v>
      </c>
      <c r="C1796" s="1" t="n">
        <v>45880</v>
      </c>
      <c r="D1796" t="inlineStr">
        <is>
          <t>VÄRMLANDS LÄN</t>
        </is>
      </c>
      <c r="E1796" t="inlineStr">
        <is>
          <t>TORSBY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21409-2023</t>
        </is>
      </c>
      <c r="B1797" s="1" t="n">
        <v>45063</v>
      </c>
      <c r="C1797" s="1" t="n">
        <v>45880</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34164-2024</t>
        </is>
      </c>
      <c r="B1798" s="1" t="n">
        <v>45524.41924768518</v>
      </c>
      <c r="C1798" s="1" t="n">
        <v>45880</v>
      </c>
      <c r="D1798" t="inlineStr">
        <is>
          <t>VÄRMLANDS LÄN</t>
        </is>
      </c>
      <c r="E1798" t="inlineStr">
        <is>
          <t>TORSBY</t>
        </is>
      </c>
      <c r="F1798" t="inlineStr">
        <is>
          <t>Bergvik skog väst AB</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42945-2024</t>
        </is>
      </c>
      <c r="B1799" s="1" t="n">
        <v>45567</v>
      </c>
      <c r="C1799" s="1" t="n">
        <v>45880</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8048-2022</t>
        </is>
      </c>
      <c r="B1800" s="1" t="n">
        <v>44609</v>
      </c>
      <c r="C1800" s="1" t="n">
        <v>45880</v>
      </c>
      <c r="D1800" t="inlineStr">
        <is>
          <t>VÄRMLANDS LÄN</t>
        </is>
      </c>
      <c r="E1800" t="inlineStr">
        <is>
          <t>TORSBY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40788-2022</t>
        </is>
      </c>
      <c r="B1801" s="1" t="n">
        <v>44824</v>
      </c>
      <c r="C1801" s="1" t="n">
        <v>45880</v>
      </c>
      <c r="D1801" t="inlineStr">
        <is>
          <t>VÄRMLANDS LÄN</t>
        </is>
      </c>
      <c r="E1801" t="inlineStr">
        <is>
          <t>TORSBY</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44470-2024</t>
        </is>
      </c>
      <c r="B1802" s="1" t="n">
        <v>45574</v>
      </c>
      <c r="C1802" s="1" t="n">
        <v>45880</v>
      </c>
      <c r="D1802" t="inlineStr">
        <is>
          <t>VÄRMLANDS LÄN</t>
        </is>
      </c>
      <c r="E1802" t="inlineStr">
        <is>
          <t>TORSBY</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52447-2022</t>
        </is>
      </c>
      <c r="B1803" s="1" t="n">
        <v>44874</v>
      </c>
      <c r="C1803" s="1" t="n">
        <v>45880</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6013-2024</t>
        </is>
      </c>
      <c r="B1804" s="1" t="n">
        <v>45336.60763888889</v>
      </c>
      <c r="C1804" s="1" t="n">
        <v>45880</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34256-2024</t>
        </is>
      </c>
      <c r="B1805" s="1" t="n">
        <v>45524.59434027778</v>
      </c>
      <c r="C1805" s="1" t="n">
        <v>45880</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43301-2024</t>
        </is>
      </c>
      <c r="B1806" s="1" t="n">
        <v>45568</v>
      </c>
      <c r="C1806" s="1" t="n">
        <v>45880</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20737-2023</t>
        </is>
      </c>
      <c r="B1807" s="1" t="n">
        <v>45058</v>
      </c>
      <c r="C1807" s="1" t="n">
        <v>45880</v>
      </c>
      <c r="D1807" t="inlineStr">
        <is>
          <t>VÄRMLANDS LÄN</t>
        </is>
      </c>
      <c r="E1807" t="inlineStr">
        <is>
          <t>TORSBY</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22158-2022</t>
        </is>
      </c>
      <c r="B1808" s="1" t="n">
        <v>44708</v>
      </c>
      <c r="C1808" s="1" t="n">
        <v>45880</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56281-2022</t>
        </is>
      </c>
      <c r="B1809" s="1" t="n">
        <v>44890</v>
      </c>
      <c r="C1809" s="1" t="n">
        <v>45880</v>
      </c>
      <c r="D1809" t="inlineStr">
        <is>
          <t>VÄRMLANDS LÄN</t>
        </is>
      </c>
      <c r="E1809" t="inlineStr">
        <is>
          <t>TORSBY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20130-2023</t>
        </is>
      </c>
      <c r="B1810" s="1" t="n">
        <v>45055.38503472223</v>
      </c>
      <c r="C1810" s="1" t="n">
        <v>45880</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65713-2021</t>
        </is>
      </c>
      <c r="B1811" s="1" t="n">
        <v>44516</v>
      </c>
      <c r="C1811" s="1" t="n">
        <v>45880</v>
      </c>
      <c r="D1811" t="inlineStr">
        <is>
          <t>VÄRMLANDS LÄN</t>
        </is>
      </c>
      <c r="E1811" t="inlineStr">
        <is>
          <t>TORSBY</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17548-2023</t>
        </is>
      </c>
      <c r="B1812" s="1" t="n">
        <v>45036</v>
      </c>
      <c r="C1812" s="1" t="n">
        <v>45880</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69241-2020</t>
        </is>
      </c>
      <c r="B1813" s="1" t="n">
        <v>44192.85814814815</v>
      </c>
      <c r="C1813" s="1" t="n">
        <v>45880</v>
      </c>
      <c r="D1813" t="inlineStr">
        <is>
          <t>VÄRMLANDS LÄN</t>
        </is>
      </c>
      <c r="E1813" t="inlineStr">
        <is>
          <t>TORSBY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8447-2023</t>
        </is>
      </c>
      <c r="B1814" s="1" t="n">
        <v>44977</v>
      </c>
      <c r="C1814" s="1" t="n">
        <v>45880</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4236-2023</t>
        </is>
      </c>
      <c r="B1815" s="1" t="n">
        <v>44953.48950231481</v>
      </c>
      <c r="C1815" s="1" t="n">
        <v>45880</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4250-2023</t>
        </is>
      </c>
      <c r="B1816" s="1" t="n">
        <v>44953.51747685186</v>
      </c>
      <c r="C1816" s="1" t="n">
        <v>45880</v>
      </c>
      <c r="D1816" t="inlineStr">
        <is>
          <t>VÄRMLANDS LÄN</t>
        </is>
      </c>
      <c r="E1816" t="inlineStr">
        <is>
          <t>TORSBY</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46917-2024</t>
        </is>
      </c>
      <c r="B1817" s="1" t="n">
        <v>45583</v>
      </c>
      <c r="C1817" s="1" t="n">
        <v>45880</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7133-2023</t>
        </is>
      </c>
      <c r="B1818" s="1" t="n">
        <v>44970.43622685185</v>
      </c>
      <c r="C1818" s="1" t="n">
        <v>45880</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39390-2023</t>
        </is>
      </c>
      <c r="B1819" s="1" t="n">
        <v>45166.65104166666</v>
      </c>
      <c r="C1819" s="1" t="n">
        <v>45880</v>
      </c>
      <c r="D1819" t="inlineStr">
        <is>
          <t>VÄRMLANDS LÄN</t>
        </is>
      </c>
      <c r="E1819" t="inlineStr">
        <is>
          <t>TORSBY</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65301-2021</t>
        </is>
      </c>
      <c r="B1820" s="1" t="n">
        <v>44515</v>
      </c>
      <c r="C1820" s="1" t="n">
        <v>45880</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11153-2024</t>
        </is>
      </c>
      <c r="B1821" s="1" t="n">
        <v>45371.4759837963</v>
      </c>
      <c r="C1821" s="1" t="n">
        <v>45880</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61753-2020</t>
        </is>
      </c>
      <c r="B1822" s="1" t="n">
        <v>44158</v>
      </c>
      <c r="C1822" s="1" t="n">
        <v>45880</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6438-2022</t>
        </is>
      </c>
      <c r="B1823" s="1" t="n">
        <v>44601.32209490741</v>
      </c>
      <c r="C1823" s="1" t="n">
        <v>45880</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25264-2024</t>
        </is>
      </c>
      <c r="B1824" s="1" t="n">
        <v>45462.61859953704</v>
      </c>
      <c r="C1824" s="1" t="n">
        <v>45880</v>
      </c>
      <c r="D1824" t="inlineStr">
        <is>
          <t>VÄRMLANDS LÄN</t>
        </is>
      </c>
      <c r="E1824" t="inlineStr">
        <is>
          <t>TORSBY</t>
        </is>
      </c>
      <c r="G1824" t="n">
        <v>10.7</v>
      </c>
      <c r="H1824" t="n">
        <v>0</v>
      </c>
      <c r="I1824" t="n">
        <v>0</v>
      </c>
      <c r="J1824" t="n">
        <v>0</v>
      </c>
      <c r="K1824" t="n">
        <v>0</v>
      </c>
      <c r="L1824" t="n">
        <v>0</v>
      </c>
      <c r="M1824" t="n">
        <v>0</v>
      </c>
      <c r="N1824" t="n">
        <v>0</v>
      </c>
      <c r="O1824" t="n">
        <v>0</v>
      </c>
      <c r="P1824" t="n">
        <v>0</v>
      </c>
      <c r="Q1824" t="n">
        <v>0</v>
      </c>
      <c r="R1824" s="2" t="inlineStr"/>
    </row>
    <row r="1825" ht="15" customHeight="1">
      <c r="A1825" t="inlineStr">
        <is>
          <t>A 16592-2024</t>
        </is>
      </c>
      <c r="B1825" s="1" t="n">
        <v>45408.49623842593</v>
      </c>
      <c r="C1825" s="1" t="n">
        <v>45880</v>
      </c>
      <c r="D1825" t="inlineStr">
        <is>
          <t>VÄRMLANDS LÄN</t>
        </is>
      </c>
      <c r="E1825" t="inlineStr">
        <is>
          <t>TORSBY</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19307-2022</t>
        </is>
      </c>
      <c r="B1826" s="1" t="n">
        <v>44692.55497685185</v>
      </c>
      <c r="C1826" s="1" t="n">
        <v>45880</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52314-2024</t>
        </is>
      </c>
      <c r="B1827" s="1" t="n">
        <v>45608.87075231481</v>
      </c>
      <c r="C1827" s="1" t="n">
        <v>45880</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30531-2023</t>
        </is>
      </c>
      <c r="B1828" s="1" t="n">
        <v>45111.68223379629</v>
      </c>
      <c r="C1828" s="1" t="n">
        <v>45880</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3667-2023</t>
        </is>
      </c>
      <c r="B1829" s="1" t="n">
        <v>44950</v>
      </c>
      <c r="C1829" s="1" t="n">
        <v>45880</v>
      </c>
      <c r="D1829" t="inlineStr">
        <is>
          <t>VÄRMLANDS LÄN</t>
        </is>
      </c>
      <c r="E1829" t="inlineStr">
        <is>
          <t>TORSBY</t>
        </is>
      </c>
      <c r="G1829" t="n">
        <v>21.2</v>
      </c>
      <c r="H1829" t="n">
        <v>0</v>
      </c>
      <c r="I1829" t="n">
        <v>0</v>
      </c>
      <c r="J1829" t="n">
        <v>0</v>
      </c>
      <c r="K1829" t="n">
        <v>0</v>
      </c>
      <c r="L1829" t="n">
        <v>0</v>
      </c>
      <c r="M1829" t="n">
        <v>0</v>
      </c>
      <c r="N1829" t="n">
        <v>0</v>
      </c>
      <c r="O1829" t="n">
        <v>0</v>
      </c>
      <c r="P1829" t="n">
        <v>0</v>
      </c>
      <c r="Q1829" t="n">
        <v>0</v>
      </c>
      <c r="R1829" s="2" t="inlineStr"/>
    </row>
    <row r="1830" ht="15" customHeight="1">
      <c r="A1830" t="inlineStr">
        <is>
          <t>A 6121-2021</t>
        </is>
      </c>
      <c r="B1830" s="1" t="n">
        <v>44232</v>
      </c>
      <c r="C1830" s="1" t="n">
        <v>45880</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52669-2024</t>
        </is>
      </c>
      <c r="B1831" s="1" t="n">
        <v>45610</v>
      </c>
      <c r="C1831" s="1" t="n">
        <v>45880</v>
      </c>
      <c r="D1831" t="inlineStr">
        <is>
          <t>VÄRMLANDS LÄN</t>
        </is>
      </c>
      <c r="E1831" t="inlineStr">
        <is>
          <t>TORSBY</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48874-2024</t>
        </is>
      </c>
      <c r="B1832" s="1" t="n">
        <v>45594</v>
      </c>
      <c r="C1832" s="1" t="n">
        <v>45880</v>
      </c>
      <c r="D1832" t="inlineStr">
        <is>
          <t>VÄRMLANDS LÄN</t>
        </is>
      </c>
      <c r="E1832" t="inlineStr">
        <is>
          <t>TORSBY</t>
        </is>
      </c>
      <c r="F1832" t="inlineStr">
        <is>
          <t>Bergvik skog väst AB</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6063-2021</t>
        </is>
      </c>
      <c r="B1833" s="1" t="n">
        <v>44232</v>
      </c>
      <c r="C1833" s="1" t="n">
        <v>45880</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56880-2023</t>
        </is>
      </c>
      <c r="B1834" s="1" t="n">
        <v>45244</v>
      </c>
      <c r="C1834" s="1" t="n">
        <v>45880</v>
      </c>
      <c r="D1834" t="inlineStr">
        <is>
          <t>VÄRMLANDS LÄN</t>
        </is>
      </c>
      <c r="E1834" t="inlineStr">
        <is>
          <t>TORSBY</t>
        </is>
      </c>
      <c r="F1834" t="inlineStr">
        <is>
          <t>Övriga Aktiebolag</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56170-2023</t>
        </is>
      </c>
      <c r="B1835" s="1" t="n">
        <v>45240.62975694444</v>
      </c>
      <c r="C1835" s="1" t="n">
        <v>45880</v>
      </c>
      <c r="D1835" t="inlineStr">
        <is>
          <t>VÄRMLANDS LÄN</t>
        </is>
      </c>
      <c r="E1835" t="inlineStr">
        <is>
          <t>TORSBY</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6646-2024</t>
        </is>
      </c>
      <c r="B1836" s="1" t="n">
        <v>45341.66643518519</v>
      </c>
      <c r="C1836" s="1" t="n">
        <v>45880</v>
      </c>
      <c r="D1836" t="inlineStr">
        <is>
          <t>VÄRMLANDS LÄN</t>
        </is>
      </c>
      <c r="E1836" t="inlineStr">
        <is>
          <t>TORSBY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6648-2024</t>
        </is>
      </c>
      <c r="B1837" s="1" t="n">
        <v>45341</v>
      </c>
      <c r="C1837" s="1" t="n">
        <v>45880</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18337-2024</t>
        </is>
      </c>
      <c r="B1838" s="1" t="n">
        <v>45422</v>
      </c>
      <c r="C1838" s="1" t="n">
        <v>45880</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34968-2024</t>
        </is>
      </c>
      <c r="B1839" s="1" t="n">
        <v>45527.49986111111</v>
      </c>
      <c r="C1839" s="1" t="n">
        <v>45880</v>
      </c>
      <c r="D1839" t="inlineStr">
        <is>
          <t>VÄRMLANDS LÄN</t>
        </is>
      </c>
      <c r="E1839" t="inlineStr">
        <is>
          <t>TORSBY</t>
        </is>
      </c>
      <c r="F1839" t="inlineStr">
        <is>
          <t>Bergvik skog väst AB</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64664-2023</t>
        </is>
      </c>
      <c r="B1840" s="1" t="n">
        <v>45281.60710648148</v>
      </c>
      <c r="C1840" s="1" t="n">
        <v>45880</v>
      </c>
      <c r="D1840" t="inlineStr">
        <is>
          <t>VÄRMLANDS LÄN</t>
        </is>
      </c>
      <c r="E1840" t="inlineStr">
        <is>
          <t>TORSBY</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55428-2022</t>
        </is>
      </c>
      <c r="B1841" s="1" t="n">
        <v>44887.60894675926</v>
      </c>
      <c r="C1841" s="1" t="n">
        <v>45880</v>
      </c>
      <c r="D1841" t="inlineStr">
        <is>
          <t>VÄRMLANDS LÄN</t>
        </is>
      </c>
      <c r="E1841" t="inlineStr">
        <is>
          <t>TORSBY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22702-2023</t>
        </is>
      </c>
      <c r="B1842" s="1" t="n">
        <v>45071</v>
      </c>
      <c r="C1842" s="1" t="n">
        <v>45880</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17941-2021</t>
        </is>
      </c>
      <c r="B1843" s="1" t="n">
        <v>44301</v>
      </c>
      <c r="C1843" s="1" t="n">
        <v>45880</v>
      </c>
      <c r="D1843" t="inlineStr">
        <is>
          <t>VÄRMLANDS LÄN</t>
        </is>
      </c>
      <c r="E1843" t="inlineStr">
        <is>
          <t>TORSBY</t>
        </is>
      </c>
      <c r="F1843" t="inlineStr">
        <is>
          <t>Kommuner</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52901-2022</t>
        </is>
      </c>
      <c r="B1844" s="1" t="n">
        <v>44872</v>
      </c>
      <c r="C1844" s="1" t="n">
        <v>45880</v>
      </c>
      <c r="D1844" t="inlineStr">
        <is>
          <t>VÄRMLANDS LÄN</t>
        </is>
      </c>
      <c r="E1844" t="inlineStr">
        <is>
          <t>TORSBY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57452-2022</t>
        </is>
      </c>
      <c r="B1845" s="1" t="n">
        <v>44896.55787037037</v>
      </c>
      <c r="C1845" s="1" t="n">
        <v>45880</v>
      </c>
      <c r="D1845" t="inlineStr">
        <is>
          <t>VÄRMLANDS LÄN</t>
        </is>
      </c>
      <c r="E1845" t="inlineStr">
        <is>
          <t>TORSBY</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32747-2021</t>
        </is>
      </c>
      <c r="B1846" s="1" t="n">
        <v>44375</v>
      </c>
      <c r="C1846" s="1" t="n">
        <v>45880</v>
      </c>
      <c r="D1846" t="inlineStr">
        <is>
          <t>VÄRMLANDS LÄN</t>
        </is>
      </c>
      <c r="E1846" t="inlineStr">
        <is>
          <t>TORSBY</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39069-2022</t>
        </is>
      </c>
      <c r="B1847" s="1" t="n">
        <v>44816</v>
      </c>
      <c r="C1847" s="1" t="n">
        <v>45880</v>
      </c>
      <c r="D1847" t="inlineStr">
        <is>
          <t>VÄRMLANDS LÄN</t>
        </is>
      </c>
      <c r="E1847" t="inlineStr">
        <is>
          <t>TORSBY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10584-2023</t>
        </is>
      </c>
      <c r="B1848" s="1" t="n">
        <v>44988.36736111111</v>
      </c>
      <c r="C1848" s="1" t="n">
        <v>45880</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43547-2020</t>
        </is>
      </c>
      <c r="B1849" s="1" t="n">
        <v>44078</v>
      </c>
      <c r="C1849" s="1" t="n">
        <v>45880</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1979-2023</t>
        </is>
      </c>
      <c r="B1850" s="1" t="n">
        <v>44939</v>
      </c>
      <c r="C1850" s="1" t="n">
        <v>45880</v>
      </c>
      <c r="D1850" t="inlineStr">
        <is>
          <t>VÄRMLANDS LÄN</t>
        </is>
      </c>
      <c r="E1850" t="inlineStr">
        <is>
          <t>TORSBY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28329-2024</t>
        </is>
      </c>
      <c r="B1851" s="1" t="n">
        <v>45477</v>
      </c>
      <c r="C1851" s="1" t="n">
        <v>45880</v>
      </c>
      <c r="D1851" t="inlineStr">
        <is>
          <t>VÄRMLANDS LÄN</t>
        </is>
      </c>
      <c r="E1851" t="inlineStr">
        <is>
          <t>TORSBY</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16591-2024</t>
        </is>
      </c>
      <c r="B1852" s="1" t="n">
        <v>45408.49420138889</v>
      </c>
      <c r="C1852" s="1" t="n">
        <v>45880</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52581-2024</t>
        </is>
      </c>
      <c r="B1853" s="1" t="n">
        <v>45609</v>
      </c>
      <c r="C1853" s="1" t="n">
        <v>45880</v>
      </c>
      <c r="D1853" t="inlineStr">
        <is>
          <t>VÄRMLANDS LÄN</t>
        </is>
      </c>
      <c r="E1853" t="inlineStr">
        <is>
          <t>TORSBY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60148-2024</t>
        </is>
      </c>
      <c r="B1854" s="1" t="n">
        <v>45642</v>
      </c>
      <c r="C1854" s="1" t="n">
        <v>45880</v>
      </c>
      <c r="D1854" t="inlineStr">
        <is>
          <t>VÄRMLANDS LÄN</t>
        </is>
      </c>
      <c r="E1854" t="inlineStr">
        <is>
          <t>TORSBY</t>
        </is>
      </c>
      <c r="G1854" t="n">
        <v>12.4</v>
      </c>
      <c r="H1854" t="n">
        <v>0</v>
      </c>
      <c r="I1854" t="n">
        <v>0</v>
      </c>
      <c r="J1854" t="n">
        <v>0</v>
      </c>
      <c r="K1854" t="n">
        <v>0</v>
      </c>
      <c r="L1854" t="n">
        <v>0</v>
      </c>
      <c r="M1854" t="n">
        <v>0</v>
      </c>
      <c r="N1854" t="n">
        <v>0</v>
      </c>
      <c r="O1854" t="n">
        <v>0</v>
      </c>
      <c r="P1854" t="n">
        <v>0</v>
      </c>
      <c r="Q1854" t="n">
        <v>0</v>
      </c>
      <c r="R1854" s="2" t="inlineStr"/>
    </row>
    <row r="1855" ht="15" customHeight="1">
      <c r="A1855" t="inlineStr">
        <is>
          <t>A 27101-2024</t>
        </is>
      </c>
      <c r="B1855" s="1" t="n">
        <v>45471</v>
      </c>
      <c r="C1855" s="1" t="n">
        <v>45880</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27116-2024</t>
        </is>
      </c>
      <c r="B1856" s="1" t="n">
        <v>45471.5056712963</v>
      </c>
      <c r="C1856" s="1" t="n">
        <v>45880</v>
      </c>
      <c r="D1856" t="inlineStr">
        <is>
          <t>VÄRMLANDS LÄN</t>
        </is>
      </c>
      <c r="E1856" t="inlineStr">
        <is>
          <t>TORSBY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41160-2023</t>
        </is>
      </c>
      <c r="B1857" s="1" t="n">
        <v>45174</v>
      </c>
      <c r="C1857" s="1" t="n">
        <v>45880</v>
      </c>
      <c r="D1857" t="inlineStr">
        <is>
          <t>VÄRMLANDS LÄN</t>
        </is>
      </c>
      <c r="E1857" t="inlineStr">
        <is>
          <t>TORSBY</t>
        </is>
      </c>
      <c r="F1857" t="inlineStr">
        <is>
          <t>Kyrkan</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61138-2022</t>
        </is>
      </c>
      <c r="B1858" s="1" t="n">
        <v>44915</v>
      </c>
      <c r="C1858" s="1" t="n">
        <v>45880</v>
      </c>
      <c r="D1858" t="inlineStr">
        <is>
          <t>VÄRMLANDS LÄN</t>
        </is>
      </c>
      <c r="E1858" t="inlineStr">
        <is>
          <t>TORSBY</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64902-2021</t>
        </is>
      </c>
      <c r="B1859" s="1" t="n">
        <v>44512.64336805556</v>
      </c>
      <c r="C1859" s="1" t="n">
        <v>45880</v>
      </c>
      <c r="D1859" t="inlineStr">
        <is>
          <t>VÄRMLANDS LÄN</t>
        </is>
      </c>
      <c r="E1859" t="inlineStr">
        <is>
          <t>TORSBY</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22662-2022</t>
        </is>
      </c>
      <c r="B1860" s="1" t="n">
        <v>44714</v>
      </c>
      <c r="C1860" s="1" t="n">
        <v>45880</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51661-2024</t>
        </is>
      </c>
      <c r="B1861" s="1" t="n">
        <v>45606.74392361111</v>
      </c>
      <c r="C1861" s="1" t="n">
        <v>45880</v>
      </c>
      <c r="D1861" t="inlineStr">
        <is>
          <t>VÄRMLANDS LÄN</t>
        </is>
      </c>
      <c r="E1861" t="inlineStr">
        <is>
          <t>TORSBY</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51663-2024</t>
        </is>
      </c>
      <c r="B1862" s="1" t="n">
        <v>45606.76396990741</v>
      </c>
      <c r="C1862" s="1" t="n">
        <v>45880</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14292-2023</t>
        </is>
      </c>
      <c r="B1863" s="1" t="n">
        <v>45011</v>
      </c>
      <c r="C1863" s="1" t="n">
        <v>45880</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14293-2023</t>
        </is>
      </c>
      <c r="B1864" s="1" t="n">
        <v>45011</v>
      </c>
      <c r="C1864" s="1" t="n">
        <v>45880</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26887-2024</t>
        </is>
      </c>
      <c r="B1865" s="1" t="n">
        <v>45470.64864583333</v>
      </c>
      <c r="C1865" s="1" t="n">
        <v>45880</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21280-2024</t>
        </is>
      </c>
      <c r="B1866" s="1" t="n">
        <v>45440</v>
      </c>
      <c r="C1866" s="1" t="n">
        <v>45880</v>
      </c>
      <c r="D1866" t="inlineStr">
        <is>
          <t>VÄRMLANDS LÄN</t>
        </is>
      </c>
      <c r="E1866" t="inlineStr">
        <is>
          <t>TORSBY</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47271-2021</t>
        </is>
      </c>
      <c r="B1867" s="1" t="n">
        <v>44447</v>
      </c>
      <c r="C1867" s="1" t="n">
        <v>45880</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53988-2022</t>
        </is>
      </c>
      <c r="B1868" s="1" t="n">
        <v>44876</v>
      </c>
      <c r="C1868" s="1" t="n">
        <v>45880</v>
      </c>
      <c r="D1868" t="inlineStr">
        <is>
          <t>VÄRMLANDS LÄN</t>
        </is>
      </c>
      <c r="E1868" t="inlineStr">
        <is>
          <t>TORSBY</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47465-2024</t>
        </is>
      </c>
      <c r="B1869" s="1" t="n">
        <v>45587</v>
      </c>
      <c r="C1869" s="1" t="n">
        <v>45880</v>
      </c>
      <c r="D1869" t="inlineStr">
        <is>
          <t>VÄRMLANDS LÄN</t>
        </is>
      </c>
      <c r="E1869" t="inlineStr">
        <is>
          <t>TORSBY</t>
        </is>
      </c>
      <c r="F1869" t="inlineStr">
        <is>
          <t>Övriga Aktiebolag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4707-2023</t>
        </is>
      </c>
      <c r="B1870" s="1" t="n">
        <v>44957</v>
      </c>
      <c r="C1870" s="1" t="n">
        <v>45880</v>
      </c>
      <c r="D1870" t="inlineStr">
        <is>
          <t>VÄRMLANDS LÄN</t>
        </is>
      </c>
      <c r="E1870" t="inlineStr">
        <is>
          <t>TORSBY</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29256-2023</t>
        </is>
      </c>
      <c r="B1871" s="1" t="n">
        <v>45105.65310185185</v>
      </c>
      <c r="C1871" s="1" t="n">
        <v>45880</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13723-2023</t>
        </is>
      </c>
      <c r="B1872" s="1" t="n">
        <v>45007</v>
      </c>
      <c r="C1872" s="1" t="n">
        <v>45880</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7378-2025</t>
        </is>
      </c>
      <c r="B1873" s="1" t="n">
        <v>45705</v>
      </c>
      <c r="C1873" s="1" t="n">
        <v>45880</v>
      </c>
      <c r="D1873" t="inlineStr">
        <is>
          <t>VÄRMLANDS LÄN</t>
        </is>
      </c>
      <c r="E1873" t="inlineStr">
        <is>
          <t>TORSBY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1104-2025</t>
        </is>
      </c>
      <c r="B1874" s="1" t="n">
        <v>45666</v>
      </c>
      <c r="C1874" s="1" t="n">
        <v>45880</v>
      </c>
      <c r="D1874" t="inlineStr">
        <is>
          <t>VÄRMLANDS LÄN</t>
        </is>
      </c>
      <c r="E1874" t="inlineStr">
        <is>
          <t>TORSBY</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16433-2023</t>
        </is>
      </c>
      <c r="B1875" s="1" t="n">
        <v>45022</v>
      </c>
      <c r="C1875" s="1" t="n">
        <v>45880</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21411-2023</t>
        </is>
      </c>
      <c r="B1876" s="1" t="n">
        <v>45063.38505787037</v>
      </c>
      <c r="C1876" s="1" t="n">
        <v>45880</v>
      </c>
      <c r="D1876" t="inlineStr">
        <is>
          <t>VÄRMLANDS LÄN</t>
        </is>
      </c>
      <c r="E1876" t="inlineStr">
        <is>
          <t>TORSBY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16994-2025</t>
        </is>
      </c>
      <c r="B1877" s="1" t="n">
        <v>45755</v>
      </c>
      <c r="C1877" s="1" t="n">
        <v>45880</v>
      </c>
      <c r="D1877" t="inlineStr">
        <is>
          <t>VÄRMLANDS LÄN</t>
        </is>
      </c>
      <c r="E1877" t="inlineStr">
        <is>
          <t>TORSBY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35057-2023</t>
        </is>
      </c>
      <c r="B1878" s="1" t="n">
        <v>45145.3909375</v>
      </c>
      <c r="C1878" s="1" t="n">
        <v>45880</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485-2025</t>
        </is>
      </c>
      <c r="B1879" s="1" t="n">
        <v>45664</v>
      </c>
      <c r="C1879" s="1" t="n">
        <v>45880</v>
      </c>
      <c r="D1879" t="inlineStr">
        <is>
          <t>VÄRMLANDS LÄN</t>
        </is>
      </c>
      <c r="E1879" t="inlineStr">
        <is>
          <t>TORSBY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3442-2025</t>
        </is>
      </c>
      <c r="B1880" s="1" t="n">
        <v>45680.45114583334</v>
      </c>
      <c r="C1880" s="1" t="n">
        <v>45880</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3409-2025</t>
        </is>
      </c>
      <c r="B1881" s="1" t="n">
        <v>45680.39391203703</v>
      </c>
      <c r="C1881" s="1" t="n">
        <v>45880</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48239-2022</t>
        </is>
      </c>
      <c r="B1882" s="1" t="n">
        <v>44858.45881944444</v>
      </c>
      <c r="C1882" s="1" t="n">
        <v>45880</v>
      </c>
      <c r="D1882" t="inlineStr">
        <is>
          <t>VÄRMLANDS LÄN</t>
        </is>
      </c>
      <c r="E1882" t="inlineStr">
        <is>
          <t>TORSBY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22124-2022</t>
        </is>
      </c>
      <c r="B1883" s="1" t="n">
        <v>44712</v>
      </c>
      <c r="C1883" s="1" t="n">
        <v>45880</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6708-2023</t>
        </is>
      </c>
      <c r="B1884" s="1" t="n">
        <v>44960</v>
      </c>
      <c r="C1884" s="1" t="n">
        <v>45880</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53744-2024</t>
        </is>
      </c>
      <c r="B1885" s="1" t="n">
        <v>45615</v>
      </c>
      <c r="C1885" s="1" t="n">
        <v>45880</v>
      </c>
      <c r="D1885" t="inlineStr">
        <is>
          <t>VÄRMLANDS LÄN</t>
        </is>
      </c>
      <c r="E1885" t="inlineStr">
        <is>
          <t>TORSBY</t>
        </is>
      </c>
      <c r="G1885" t="n">
        <v>16.9</v>
      </c>
      <c r="H1885" t="n">
        <v>0</v>
      </c>
      <c r="I1885" t="n">
        <v>0</v>
      </c>
      <c r="J1885" t="n">
        <v>0</v>
      </c>
      <c r="K1885" t="n">
        <v>0</v>
      </c>
      <c r="L1885" t="n">
        <v>0</v>
      </c>
      <c r="M1885" t="n">
        <v>0</v>
      </c>
      <c r="N1885" t="n">
        <v>0</v>
      </c>
      <c r="O1885" t="n">
        <v>0</v>
      </c>
      <c r="P1885" t="n">
        <v>0</v>
      </c>
      <c r="Q1885" t="n">
        <v>0</v>
      </c>
      <c r="R1885" s="2" t="inlineStr"/>
    </row>
    <row r="1886" ht="15" customHeight="1">
      <c r="A1886" t="inlineStr">
        <is>
          <t>A 1100-2025</t>
        </is>
      </c>
      <c r="B1886" s="1" t="n">
        <v>45666.64099537037</v>
      </c>
      <c r="C1886" s="1" t="n">
        <v>45880</v>
      </c>
      <c r="D1886" t="inlineStr">
        <is>
          <t>VÄRMLANDS LÄN</t>
        </is>
      </c>
      <c r="E1886" t="inlineStr">
        <is>
          <t>TORSBY</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10895-2024</t>
        </is>
      </c>
      <c r="B1887" s="1" t="n">
        <v>45370.34901620371</v>
      </c>
      <c r="C1887" s="1" t="n">
        <v>45880</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58728-2021</t>
        </is>
      </c>
      <c r="B1888" s="1" t="n">
        <v>44489</v>
      </c>
      <c r="C1888" s="1" t="n">
        <v>45880</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62445-2023</t>
        </is>
      </c>
      <c r="B1889" s="1" t="n">
        <v>45268.47487268518</v>
      </c>
      <c r="C1889" s="1" t="n">
        <v>45880</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28624-2024</t>
        </is>
      </c>
      <c r="B1890" s="1" t="n">
        <v>45478.44297453704</v>
      </c>
      <c r="C1890" s="1" t="n">
        <v>45880</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34655-2022</t>
        </is>
      </c>
      <c r="B1891" s="1" t="n">
        <v>44795</v>
      </c>
      <c r="C1891" s="1" t="n">
        <v>45880</v>
      </c>
      <c r="D1891" t="inlineStr">
        <is>
          <t>VÄRMLANDS LÄN</t>
        </is>
      </c>
      <c r="E1891" t="inlineStr">
        <is>
          <t>TORSBY</t>
        </is>
      </c>
      <c r="G1891" t="n">
        <v>12.8</v>
      </c>
      <c r="H1891" t="n">
        <v>0</v>
      </c>
      <c r="I1891" t="n">
        <v>0</v>
      </c>
      <c r="J1891" t="n">
        <v>0</v>
      </c>
      <c r="K1891" t="n">
        <v>0</v>
      </c>
      <c r="L1891" t="n">
        <v>0</v>
      </c>
      <c r="M1891" t="n">
        <v>0</v>
      </c>
      <c r="N1891" t="n">
        <v>0</v>
      </c>
      <c r="O1891" t="n">
        <v>0</v>
      </c>
      <c r="P1891" t="n">
        <v>0</v>
      </c>
      <c r="Q1891" t="n">
        <v>0</v>
      </c>
      <c r="R1891" s="2" t="inlineStr"/>
    </row>
    <row r="1892" ht="15" customHeight="1">
      <c r="A1892" t="inlineStr">
        <is>
          <t>A 345-2023</t>
        </is>
      </c>
      <c r="B1892" s="1" t="n">
        <v>44923</v>
      </c>
      <c r="C1892" s="1" t="n">
        <v>45880</v>
      </c>
      <c r="D1892" t="inlineStr">
        <is>
          <t>VÄRMLANDS LÄN</t>
        </is>
      </c>
      <c r="E1892" t="inlineStr">
        <is>
          <t>TORSBY</t>
        </is>
      </c>
      <c r="G1892" t="n">
        <v>9.4</v>
      </c>
      <c r="H1892" t="n">
        <v>0</v>
      </c>
      <c r="I1892" t="n">
        <v>0</v>
      </c>
      <c r="J1892" t="n">
        <v>0</v>
      </c>
      <c r="K1892" t="n">
        <v>0</v>
      </c>
      <c r="L1892" t="n">
        <v>0</v>
      </c>
      <c r="M1892" t="n">
        <v>0</v>
      </c>
      <c r="N1892" t="n">
        <v>0</v>
      </c>
      <c r="O1892" t="n">
        <v>0</v>
      </c>
      <c r="P1892" t="n">
        <v>0</v>
      </c>
      <c r="Q1892" t="n">
        <v>0</v>
      </c>
      <c r="R1892" s="2" t="inlineStr"/>
    </row>
    <row r="1893" ht="15" customHeight="1">
      <c r="A1893" t="inlineStr">
        <is>
          <t>A 522-2023</t>
        </is>
      </c>
      <c r="B1893" s="1" t="n">
        <v>44930</v>
      </c>
      <c r="C1893" s="1" t="n">
        <v>45880</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36758-2024</t>
        </is>
      </c>
      <c r="B1894" s="1" t="n">
        <v>45538.35525462963</v>
      </c>
      <c r="C1894" s="1" t="n">
        <v>45880</v>
      </c>
      <c r="D1894" t="inlineStr">
        <is>
          <t>VÄRMLANDS LÄN</t>
        </is>
      </c>
      <c r="E1894" t="inlineStr">
        <is>
          <t>TORSBY</t>
        </is>
      </c>
      <c r="F1894" t="inlineStr">
        <is>
          <t>Kyrkan</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43943-2022</t>
        </is>
      </c>
      <c r="B1895" s="1" t="n">
        <v>44838</v>
      </c>
      <c r="C1895" s="1" t="n">
        <v>45880</v>
      </c>
      <c r="D1895" t="inlineStr">
        <is>
          <t>VÄRMLANDS LÄN</t>
        </is>
      </c>
      <c r="E1895" t="inlineStr">
        <is>
          <t>TORSBY</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21089-2022</t>
        </is>
      </c>
      <c r="B1896" s="1" t="n">
        <v>44704</v>
      </c>
      <c r="C1896" s="1" t="n">
        <v>45880</v>
      </c>
      <c r="D1896" t="inlineStr">
        <is>
          <t>VÄRMLANDS LÄN</t>
        </is>
      </c>
      <c r="E1896" t="inlineStr">
        <is>
          <t>TORSBY</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2807-2025</t>
        </is>
      </c>
      <c r="B1897" s="1" t="n">
        <v>45677</v>
      </c>
      <c r="C1897" s="1" t="n">
        <v>45880</v>
      </c>
      <c r="D1897" t="inlineStr">
        <is>
          <t>VÄRMLANDS LÄN</t>
        </is>
      </c>
      <c r="E1897" t="inlineStr">
        <is>
          <t>TORSBY</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34667-2022</t>
        </is>
      </c>
      <c r="B1898" s="1" t="n">
        <v>44795</v>
      </c>
      <c r="C1898" s="1" t="n">
        <v>45880</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26124-2024</t>
        </is>
      </c>
      <c r="B1899" s="1" t="n">
        <v>45468</v>
      </c>
      <c r="C1899" s="1" t="n">
        <v>45880</v>
      </c>
      <c r="D1899" t="inlineStr">
        <is>
          <t>VÄRMLANDS LÄN</t>
        </is>
      </c>
      <c r="E1899" t="inlineStr">
        <is>
          <t>TORSBY</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50852-2023</t>
        </is>
      </c>
      <c r="B1900" s="1" t="n">
        <v>45218.29837962963</v>
      </c>
      <c r="C1900" s="1" t="n">
        <v>45880</v>
      </c>
      <c r="D1900" t="inlineStr">
        <is>
          <t>VÄRMLANDS LÄN</t>
        </is>
      </c>
      <c r="E1900" t="inlineStr">
        <is>
          <t>TORSBY</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13006-2025</t>
        </is>
      </c>
      <c r="B1901" s="1" t="n">
        <v>45734.51652777778</v>
      </c>
      <c r="C1901" s="1" t="n">
        <v>45880</v>
      </c>
      <c r="D1901" t="inlineStr">
        <is>
          <t>VÄRMLANDS LÄN</t>
        </is>
      </c>
      <c r="E1901" t="inlineStr">
        <is>
          <t>TORSBY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37340-2022</t>
        </is>
      </c>
      <c r="B1902" s="1" t="n">
        <v>44809</v>
      </c>
      <c r="C1902" s="1" t="n">
        <v>45880</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61428-2022</t>
        </is>
      </c>
      <c r="B1903" s="1" t="n">
        <v>44910</v>
      </c>
      <c r="C1903" s="1" t="n">
        <v>45880</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61432-2022</t>
        </is>
      </c>
      <c r="B1904" s="1" t="n">
        <v>44910</v>
      </c>
      <c r="C1904" s="1" t="n">
        <v>45880</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c r="A1905" t="inlineStr">
        <is>
          <t>A 14581-2023</t>
        </is>
      </c>
      <c r="B1905" s="1" t="n">
        <v>45013.52122685185</v>
      </c>
      <c r="C1905" s="1" t="n">
        <v>45880</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2025-08-11T08:24:53Z</dcterms:created>
  <dcterms:modified xmlns:dcterms="http://purl.org/dc/terms/" xmlns:xsi="http://www.w3.org/2001/XMLSchema-instance" xsi:type="dcterms:W3CDTF">2025-08-11T08:24:55Z</dcterms:modified>
</cp:coreProperties>
</file>