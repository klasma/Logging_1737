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46076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46076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46076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46076</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46076</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46076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46076</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46076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46076</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58856-2025</t>
        </is>
      </c>
      <c r="B27" s="1" t="n">
        <v>45987</v>
      </c>
      <c r="C27" s="1" t="n">
        <v>46076</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73921-2021</t>
        </is>
      </c>
      <c r="B28" s="1" t="n">
        <v>44553</v>
      </c>
      <c r="C28" s="1" t="n">
        <v>46076</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46076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46076</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46076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46076</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46076</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46076</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46076</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46076</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46076</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46076</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46076</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46076</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46076</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46076</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46076</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46076</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46076</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46076</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46076</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46076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46076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46076</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46076</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46076</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46076</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46076</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46076</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46076</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46076</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17740-2025</t>
        </is>
      </c>
      <c r="B59" s="1" t="n">
        <v>45758</v>
      </c>
      <c r="C59" s="1" t="n">
        <v>46076</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67528-2021</t>
        </is>
      </c>
      <c r="B60" s="1" t="n">
        <v>44524</v>
      </c>
      <c r="C60" s="1" t="n">
        <v>46076</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46076</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42595-2025</t>
        </is>
      </c>
      <c r="B62" s="1" t="n">
        <v>45905</v>
      </c>
      <c r="C62" s="1" t="n">
        <v>46076</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45468-2025</t>
        </is>
      </c>
      <c r="B63" s="1" t="n">
        <v>45922</v>
      </c>
      <c r="C63" s="1" t="n">
        <v>46076</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19030-2025</t>
        </is>
      </c>
      <c r="B64" s="1" t="n">
        <v>45764.65658564815</v>
      </c>
      <c r="C64" s="1" t="n">
        <v>46076</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46076</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46076</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46076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46076</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46076</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46076</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46076</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46076</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16011-2025</t>
        </is>
      </c>
      <c r="B73" s="1" t="n">
        <v>45749</v>
      </c>
      <c r="C73" s="1" t="n">
        <v>46076</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42488-2025</t>
        </is>
      </c>
      <c r="B74" s="1" t="n">
        <v>45905</v>
      </c>
      <c r="C74" s="1" t="n">
        <v>46076</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25212-2025</t>
        </is>
      </c>
      <c r="B75" s="1" t="n">
        <v>45800</v>
      </c>
      <c r="C75" s="1" t="n">
        <v>46076</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34930-2022</t>
        </is>
      </c>
      <c r="B76" s="1" t="n">
        <v>44796</v>
      </c>
      <c r="C76" s="1" t="n">
        <v>46076</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46580-2025</t>
        </is>
      </c>
      <c r="B77" s="1" t="n">
        <v>45926</v>
      </c>
      <c r="C77" s="1" t="n">
        <v>46076</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17747-2025</t>
        </is>
      </c>
      <c r="B78" s="1" t="n">
        <v>45758</v>
      </c>
      <c r="C78" s="1" t="n">
        <v>46076</v>
      </c>
      <c r="D78" t="inlineStr">
        <is>
          <t>VÄRMLANDS LÄN</t>
        </is>
      </c>
      <c r="E78" t="inlineStr">
        <is>
          <t>TORSBY</t>
        </is>
      </c>
      <c r="G78" t="n">
        <v>14.1</v>
      </c>
      <c r="H78" t="n">
        <v>0</v>
      </c>
      <c r="I78" t="n">
        <v>0</v>
      </c>
      <c r="J78" t="n">
        <v>2</v>
      </c>
      <c r="K78" t="n">
        <v>0</v>
      </c>
      <c r="L78" t="n">
        <v>0</v>
      </c>
      <c r="M78" t="n">
        <v>0</v>
      </c>
      <c r="N78" t="n">
        <v>0</v>
      </c>
      <c r="O78" t="n">
        <v>2</v>
      </c>
      <c r="P78" t="n">
        <v>0</v>
      </c>
      <c r="Q78" t="n">
        <v>2</v>
      </c>
      <c r="R78" s="2" t="inlineStr">
        <is>
          <t>Garnlav
Vedtrappmossa</t>
        </is>
      </c>
      <c r="S78">
        <f>HYPERLINK("https://klasma.github.io/Logging_1737/artfynd/A 17747-2025 artfynd.xlsx", "A 17747-2025")</f>
        <v/>
      </c>
      <c r="T78">
        <f>HYPERLINK("https://klasma.github.io/Logging_1737/kartor/A 17747-2025 karta.png", "A 17747-2025")</f>
        <v/>
      </c>
      <c r="V78">
        <f>HYPERLINK("https://klasma.github.io/Logging_1737/klagomål/A 17747-2025 FSC-klagomål.docx", "A 17747-2025")</f>
        <v/>
      </c>
      <c r="W78">
        <f>HYPERLINK("https://klasma.github.io/Logging_1737/klagomålsmail/A 17747-2025 FSC-klagomål mail.docx", "A 17747-2025")</f>
        <v/>
      </c>
      <c r="X78">
        <f>HYPERLINK("https://klasma.github.io/Logging_1737/tillsyn/A 17747-2025 tillsynsbegäran.docx", "A 17747-2025")</f>
        <v/>
      </c>
      <c r="Y78">
        <f>HYPERLINK("https://klasma.github.io/Logging_1737/tillsynsmail/A 17747-2025 tillsynsbegäran mail.docx", "A 17747-2025")</f>
        <v/>
      </c>
    </row>
    <row r="79" ht="15" customHeight="1">
      <c r="A79" t="inlineStr">
        <is>
          <t>A 37388-2025</t>
        </is>
      </c>
      <c r="B79" s="1" t="n">
        <v>45877</v>
      </c>
      <c r="C79" s="1" t="n">
        <v>46076</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37388-2025 artfynd.xlsx", "A 37388-2025")</f>
        <v/>
      </c>
      <c r="T79">
        <f>HYPERLINK("https://klasma.github.io/Logging_1737/kartor/A 37388-2025 karta.png", "A 37388-2025")</f>
        <v/>
      </c>
      <c r="V79">
        <f>HYPERLINK("https://klasma.github.io/Logging_1737/klagomål/A 37388-2025 FSC-klagomål.docx", "A 37388-2025")</f>
        <v/>
      </c>
      <c r="W79">
        <f>HYPERLINK("https://klasma.github.io/Logging_1737/klagomålsmail/A 37388-2025 FSC-klagomål mail.docx", "A 37388-2025")</f>
        <v/>
      </c>
      <c r="X79">
        <f>HYPERLINK("https://klasma.github.io/Logging_1737/tillsyn/A 37388-2025 tillsynsbegäran.docx", "A 37388-2025")</f>
        <v/>
      </c>
      <c r="Y79">
        <f>HYPERLINK("https://klasma.github.io/Logging_1737/tillsynsmail/A 37388-2025 tillsynsbegäran mail.docx", "A 37388-2025")</f>
        <v/>
      </c>
    </row>
    <row r="80" ht="15" customHeight="1">
      <c r="A80" t="inlineStr">
        <is>
          <t>A 48970-2025</t>
        </is>
      </c>
      <c r="B80" s="1" t="n">
        <v>45937.56392361111</v>
      </c>
      <c r="C80" s="1" t="n">
        <v>46076</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33906-2025</t>
        </is>
      </c>
      <c r="B81" s="1" t="n">
        <v>45842.59878472222</v>
      </c>
      <c r="C81" s="1" t="n">
        <v>46076</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61950-2024</t>
        </is>
      </c>
      <c r="B82" s="1" t="n">
        <v>45653</v>
      </c>
      <c r="C82" s="1" t="n">
        <v>46076</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46076</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46076</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2898-2026</t>
        </is>
      </c>
      <c r="B85" s="1" t="n">
        <v>46037</v>
      </c>
      <c r="C85" s="1" t="n">
        <v>46076</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2000-2023</t>
        </is>
      </c>
      <c r="B86" s="1" t="n">
        <v>44939</v>
      </c>
      <c r="C86" s="1" t="n">
        <v>46076</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62250-2025</t>
        </is>
      </c>
      <c r="B87" s="1" t="n">
        <v>46006</v>
      </c>
      <c r="C87" s="1" t="n">
        <v>46076</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46076</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28156-2022</t>
        </is>
      </c>
      <c r="B89" s="1" t="n">
        <v>44746</v>
      </c>
      <c r="C89" s="1" t="n">
        <v>46076</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12375-2022</t>
        </is>
      </c>
      <c r="B90" s="1" t="n">
        <v>44637</v>
      </c>
      <c r="C90" s="1" t="n">
        <v>46076</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48292-2023</t>
        </is>
      </c>
      <c r="B91" s="1" t="n">
        <v>45205</v>
      </c>
      <c r="C91" s="1" t="n">
        <v>46076</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16442-2023</t>
        </is>
      </c>
      <c r="B92" s="1" t="n">
        <v>45026</v>
      </c>
      <c r="C92" s="1" t="n">
        <v>46076</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62955-2023</t>
        </is>
      </c>
      <c r="B93" s="1" t="n">
        <v>45271</v>
      </c>
      <c r="C93" s="1" t="n">
        <v>46076</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4718-2023</t>
        </is>
      </c>
      <c r="B94" s="1" t="n">
        <v>44957</v>
      </c>
      <c r="C94" s="1" t="n">
        <v>46076</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34853-2021</t>
        </is>
      </c>
      <c r="B95" s="1" t="n">
        <v>44383</v>
      </c>
      <c r="C95" s="1" t="n">
        <v>46076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46076</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46076</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46076</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54982-2021</t>
        </is>
      </c>
      <c r="B101" s="1" t="n">
        <v>44469</v>
      </c>
      <c r="C101" s="1" t="n">
        <v>46076</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26747-2023</t>
        </is>
      </c>
      <c r="B102" s="1" t="n">
        <v>45090</v>
      </c>
      <c r="C102" s="1" t="n">
        <v>46076</v>
      </c>
      <c r="D102" t="inlineStr">
        <is>
          <t>VÄRMLANDS LÄN</t>
        </is>
      </c>
      <c r="E102" t="inlineStr">
        <is>
          <t>TORSBY</t>
        </is>
      </c>
      <c r="F102" t="inlineStr">
        <is>
          <t>Övriga statliga verk och myndigheter</t>
        </is>
      </c>
      <c r="G102" t="n">
        <v>4.5</v>
      </c>
      <c r="H102" t="n">
        <v>0</v>
      </c>
      <c r="I102" t="n">
        <v>0</v>
      </c>
      <c r="J102" t="n">
        <v>1</v>
      </c>
      <c r="K102" t="n">
        <v>0</v>
      </c>
      <c r="L102" t="n">
        <v>0</v>
      </c>
      <c r="M102" t="n">
        <v>0</v>
      </c>
      <c r="N102" t="n">
        <v>0</v>
      </c>
      <c r="O102" t="n">
        <v>1</v>
      </c>
      <c r="P102" t="n">
        <v>0</v>
      </c>
      <c r="Q102" t="n">
        <v>1</v>
      </c>
      <c r="R102" s="2" t="inlineStr">
        <is>
          <t>Garnlav</t>
        </is>
      </c>
      <c r="S102">
        <f>HYPERLINK("https://klasma.github.io/Logging_1737/artfynd/A 26747-2023 artfynd.xlsx", "A 26747-2023")</f>
        <v/>
      </c>
      <c r="T102">
        <f>HYPERLINK("https://klasma.github.io/Logging_1737/kartor/A 26747-2023 karta.png", "A 26747-2023")</f>
        <v/>
      </c>
      <c r="V102">
        <f>HYPERLINK("https://klasma.github.io/Logging_1737/klagomål/A 26747-2023 FSC-klagomål.docx", "A 26747-2023")</f>
        <v/>
      </c>
      <c r="W102">
        <f>HYPERLINK("https://klasma.github.io/Logging_1737/klagomålsmail/A 26747-2023 FSC-klagomål mail.docx", "A 26747-2023")</f>
        <v/>
      </c>
      <c r="X102">
        <f>HYPERLINK("https://klasma.github.io/Logging_1737/tillsyn/A 26747-2023 tillsynsbegäran.docx", "A 26747-2023")</f>
        <v/>
      </c>
      <c r="Y102">
        <f>HYPERLINK("https://klasma.github.io/Logging_1737/tillsynsmail/A 26747-2023 tillsynsbegäran mail.docx", "A 26747-2023")</f>
        <v/>
      </c>
    </row>
    <row r="103" ht="15" customHeight="1">
      <c r="A103" t="inlineStr">
        <is>
          <t>A 58470-2021</t>
        </is>
      </c>
      <c r="B103" s="1" t="n">
        <v>44488</v>
      </c>
      <c r="C103" s="1" t="n">
        <v>46076</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41477-2024</t>
        </is>
      </c>
      <c r="B104" s="1" t="n">
        <v>45560</v>
      </c>
      <c r="C104" s="1" t="n">
        <v>46076</v>
      </c>
      <c r="D104" t="inlineStr">
        <is>
          <t>VÄRMLANDS LÄN</t>
        </is>
      </c>
      <c r="E104" t="inlineStr">
        <is>
          <t>TORSBY</t>
        </is>
      </c>
      <c r="G104" t="n">
        <v>6.7</v>
      </c>
      <c r="H104" t="n">
        <v>0</v>
      </c>
      <c r="I104" t="n">
        <v>0</v>
      </c>
      <c r="J104" t="n">
        <v>1</v>
      </c>
      <c r="K104" t="n">
        <v>0</v>
      </c>
      <c r="L104" t="n">
        <v>0</v>
      </c>
      <c r="M104" t="n">
        <v>0</v>
      </c>
      <c r="N104" t="n">
        <v>0</v>
      </c>
      <c r="O104" t="n">
        <v>1</v>
      </c>
      <c r="P104" t="n">
        <v>0</v>
      </c>
      <c r="Q104" t="n">
        <v>1</v>
      </c>
      <c r="R104" s="2" t="inlineStr">
        <is>
          <t>Garnlav</t>
        </is>
      </c>
      <c r="S104">
        <f>HYPERLINK("https://klasma.github.io/Logging_1737/artfynd/A 41477-2024 artfynd.xlsx", "A 41477-2024")</f>
        <v/>
      </c>
      <c r="T104">
        <f>HYPERLINK("https://klasma.github.io/Logging_1737/kartor/A 41477-2024 karta.png", "A 41477-2024")</f>
        <v/>
      </c>
      <c r="V104">
        <f>HYPERLINK("https://klasma.github.io/Logging_1737/klagomål/A 41477-2024 FSC-klagomål.docx", "A 41477-2024")</f>
        <v/>
      </c>
      <c r="W104">
        <f>HYPERLINK("https://klasma.github.io/Logging_1737/klagomålsmail/A 41477-2024 FSC-klagomål mail.docx", "A 41477-2024")</f>
        <v/>
      </c>
      <c r="X104">
        <f>HYPERLINK("https://klasma.github.io/Logging_1737/tillsyn/A 41477-2024 tillsynsbegäran.docx", "A 41477-2024")</f>
        <v/>
      </c>
      <c r="Y104">
        <f>HYPERLINK("https://klasma.github.io/Logging_1737/tillsynsmail/A 41477-2024 tillsynsbegäran mail.docx", "A 41477-2024")</f>
        <v/>
      </c>
    </row>
    <row r="105" ht="15" customHeight="1">
      <c r="A105" t="inlineStr">
        <is>
          <t>A 29756-2025</t>
        </is>
      </c>
      <c r="B105" s="1" t="n">
        <v>45825.61525462963</v>
      </c>
      <c r="C105" s="1" t="n">
        <v>46076</v>
      </c>
      <c r="D105" t="inlineStr">
        <is>
          <t>VÄRMLANDS LÄN</t>
        </is>
      </c>
      <c r="E105" t="inlineStr">
        <is>
          <t>TORSBY</t>
        </is>
      </c>
      <c r="G105" t="n">
        <v>6.9</v>
      </c>
      <c r="H105" t="n">
        <v>0</v>
      </c>
      <c r="I105" t="n">
        <v>0</v>
      </c>
      <c r="J105" t="n">
        <v>1</v>
      </c>
      <c r="K105" t="n">
        <v>0</v>
      </c>
      <c r="L105" t="n">
        <v>0</v>
      </c>
      <c r="M105" t="n">
        <v>0</v>
      </c>
      <c r="N105" t="n">
        <v>0</v>
      </c>
      <c r="O105" t="n">
        <v>1</v>
      </c>
      <c r="P105" t="n">
        <v>0</v>
      </c>
      <c r="Q105" t="n">
        <v>1</v>
      </c>
      <c r="R105" s="2" t="inlineStr">
        <is>
          <t>Garnlav</t>
        </is>
      </c>
      <c r="S105">
        <f>HYPERLINK("https://klasma.github.io/Logging_1737/artfynd/A 29756-2025 artfynd.xlsx", "A 29756-2025")</f>
        <v/>
      </c>
      <c r="T105">
        <f>HYPERLINK("https://klasma.github.io/Logging_1737/kartor/A 29756-2025 karta.png", "A 29756-2025")</f>
        <v/>
      </c>
      <c r="V105">
        <f>HYPERLINK("https://klasma.github.io/Logging_1737/klagomål/A 29756-2025 FSC-klagomål.docx", "A 29756-2025")</f>
        <v/>
      </c>
      <c r="W105">
        <f>HYPERLINK("https://klasma.github.io/Logging_1737/klagomålsmail/A 29756-2025 FSC-klagomål mail.docx", "A 29756-2025")</f>
        <v/>
      </c>
      <c r="X105">
        <f>HYPERLINK("https://klasma.github.io/Logging_1737/tillsyn/A 29756-2025 tillsynsbegäran.docx", "A 29756-2025")</f>
        <v/>
      </c>
      <c r="Y105">
        <f>HYPERLINK("https://klasma.github.io/Logging_1737/tillsynsmail/A 29756-2025 tillsynsbegäran mail.docx", "A 29756-2025")</f>
        <v/>
      </c>
    </row>
    <row r="106" ht="15" customHeight="1">
      <c r="A106" t="inlineStr">
        <is>
          <t>A 16164-2025</t>
        </is>
      </c>
      <c r="B106" s="1" t="n">
        <v>45750</v>
      </c>
      <c r="C106" s="1" t="n">
        <v>46076</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46076</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46076</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46076</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32328-2025</t>
        </is>
      </c>
      <c r="B110" s="1" t="n">
        <v>45836.46289351852</v>
      </c>
      <c r="C110" s="1" t="n">
        <v>46076</v>
      </c>
      <c r="D110" t="inlineStr">
        <is>
          <t>VÄRMLANDS LÄN</t>
        </is>
      </c>
      <c r="E110" t="inlineStr">
        <is>
          <t>TORSBY</t>
        </is>
      </c>
      <c r="G110" t="n">
        <v>1.1</v>
      </c>
      <c r="H110" t="n">
        <v>0</v>
      </c>
      <c r="I110" t="n">
        <v>0</v>
      </c>
      <c r="J110" t="n">
        <v>1</v>
      </c>
      <c r="K110" t="n">
        <v>0</v>
      </c>
      <c r="L110" t="n">
        <v>0</v>
      </c>
      <c r="M110" t="n">
        <v>0</v>
      </c>
      <c r="N110" t="n">
        <v>0</v>
      </c>
      <c r="O110" t="n">
        <v>1</v>
      </c>
      <c r="P110" t="n">
        <v>0</v>
      </c>
      <c r="Q110" t="n">
        <v>1</v>
      </c>
      <c r="R110" s="2" t="inlineStr">
        <is>
          <t>Ullticka</t>
        </is>
      </c>
      <c r="S110">
        <f>HYPERLINK("https://klasma.github.io/Logging_1737/artfynd/A 32328-2025 artfynd.xlsx", "A 32328-2025")</f>
        <v/>
      </c>
      <c r="T110">
        <f>HYPERLINK("https://klasma.github.io/Logging_1737/kartor/A 32328-2025 karta.png", "A 32328-2025")</f>
        <v/>
      </c>
      <c r="V110">
        <f>HYPERLINK("https://klasma.github.io/Logging_1737/klagomål/A 32328-2025 FSC-klagomål.docx", "A 32328-2025")</f>
        <v/>
      </c>
      <c r="W110">
        <f>HYPERLINK("https://klasma.github.io/Logging_1737/klagomålsmail/A 32328-2025 FSC-klagomål mail.docx", "A 32328-2025")</f>
        <v/>
      </c>
      <c r="X110">
        <f>HYPERLINK("https://klasma.github.io/Logging_1737/tillsyn/A 32328-2025 tillsynsbegäran.docx", "A 32328-2025")</f>
        <v/>
      </c>
      <c r="Y110">
        <f>HYPERLINK("https://klasma.github.io/Logging_1737/tillsynsmail/A 32328-2025 tillsynsbegäran mail.docx", "A 32328-2025")</f>
        <v/>
      </c>
    </row>
    <row r="111" ht="15" customHeight="1">
      <c r="A111" t="inlineStr">
        <is>
          <t>A 15548-2023</t>
        </is>
      </c>
      <c r="B111" s="1" t="n">
        <v>45020</v>
      </c>
      <c r="C111" s="1" t="n">
        <v>46076</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c r="Z111">
        <f>HYPERLINK("https://klasma.github.io/Logging_1737/fåglar/A 15548-2023 prioriterade fågelarter.docx", "A 15548-2023")</f>
        <v/>
      </c>
    </row>
    <row r="112" ht="15" customHeight="1">
      <c r="A112" t="inlineStr">
        <is>
          <t>A 14212-2025</t>
        </is>
      </c>
      <c r="B112" s="1" t="n">
        <v>45740</v>
      </c>
      <c r="C112" s="1" t="n">
        <v>46076</v>
      </c>
      <c r="D112" t="inlineStr">
        <is>
          <t>VÄRMLANDS LÄN</t>
        </is>
      </c>
      <c r="E112" t="inlineStr">
        <is>
          <t>TORSBY</t>
        </is>
      </c>
      <c r="F112" t="inlineStr">
        <is>
          <t>Övriga statliga verk och myndigheter</t>
        </is>
      </c>
      <c r="G112" t="n">
        <v>2</v>
      </c>
      <c r="H112" t="n">
        <v>0</v>
      </c>
      <c r="I112" t="n">
        <v>0</v>
      </c>
      <c r="J112" t="n">
        <v>0</v>
      </c>
      <c r="K112" t="n">
        <v>1</v>
      </c>
      <c r="L112" t="n">
        <v>0</v>
      </c>
      <c r="M112" t="n">
        <v>0</v>
      </c>
      <c r="N112" t="n">
        <v>0</v>
      </c>
      <c r="O112" t="n">
        <v>1</v>
      </c>
      <c r="P112" t="n">
        <v>1</v>
      </c>
      <c r="Q112" t="n">
        <v>1</v>
      </c>
      <c r="R112" s="2" t="inlineStr">
        <is>
          <t>Raggbock</t>
        </is>
      </c>
      <c r="S112">
        <f>HYPERLINK("https://klasma.github.io/Logging_1737/artfynd/A 14212-2025 artfynd.xlsx", "A 14212-2025")</f>
        <v/>
      </c>
      <c r="T112">
        <f>HYPERLINK("https://klasma.github.io/Logging_1737/kartor/A 14212-2025 karta.png", "A 14212-2025")</f>
        <v/>
      </c>
      <c r="V112">
        <f>HYPERLINK("https://klasma.github.io/Logging_1737/klagomål/A 14212-2025 FSC-klagomål.docx", "A 14212-2025")</f>
        <v/>
      </c>
      <c r="W112">
        <f>HYPERLINK("https://klasma.github.io/Logging_1737/klagomålsmail/A 14212-2025 FSC-klagomål mail.docx", "A 14212-2025")</f>
        <v/>
      </c>
      <c r="X112">
        <f>HYPERLINK("https://klasma.github.io/Logging_1737/tillsyn/A 14212-2025 tillsynsbegäran.docx", "A 14212-2025")</f>
        <v/>
      </c>
      <c r="Y112">
        <f>HYPERLINK("https://klasma.github.io/Logging_1737/tillsynsmail/A 14212-2025 tillsynsbegäran mail.docx", "A 14212-2025")</f>
        <v/>
      </c>
    </row>
    <row r="113" ht="15" customHeight="1">
      <c r="A113" t="inlineStr">
        <is>
          <t>A 25276-2025</t>
        </is>
      </c>
      <c r="B113" s="1" t="n">
        <v>45800</v>
      </c>
      <c r="C113" s="1" t="n">
        <v>46076</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37327-2025</t>
        </is>
      </c>
      <c r="B114" s="1" t="n">
        <v>45876.64902777778</v>
      </c>
      <c r="C114" s="1" t="n">
        <v>46076</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Garnlav</t>
        </is>
      </c>
      <c r="S114">
        <f>HYPERLINK("https://klasma.github.io/Logging_1737/artfynd/A 37327-2025 artfynd.xlsx", "A 37327-2025")</f>
        <v/>
      </c>
      <c r="T114">
        <f>HYPERLINK("https://klasma.github.io/Logging_1737/kartor/A 37327-2025 karta.png", "A 37327-2025")</f>
        <v/>
      </c>
      <c r="V114">
        <f>HYPERLINK("https://klasma.github.io/Logging_1737/klagomål/A 37327-2025 FSC-klagomål.docx", "A 37327-2025")</f>
        <v/>
      </c>
      <c r="W114">
        <f>HYPERLINK("https://klasma.github.io/Logging_1737/klagomålsmail/A 37327-2025 FSC-klagomål mail.docx", "A 37327-2025")</f>
        <v/>
      </c>
      <c r="X114">
        <f>HYPERLINK("https://klasma.github.io/Logging_1737/tillsyn/A 37327-2025 tillsynsbegäran.docx", "A 37327-2025")</f>
        <v/>
      </c>
      <c r="Y114">
        <f>HYPERLINK("https://klasma.github.io/Logging_1737/tillsynsmail/A 37327-2025 tillsynsbegäran mail.docx", "A 37327-2025")</f>
        <v/>
      </c>
    </row>
    <row r="115" ht="15" customHeight="1">
      <c r="A115" t="inlineStr">
        <is>
          <t>A 44018-2025</t>
        </is>
      </c>
      <c r="B115" s="1" t="n">
        <v>45915</v>
      </c>
      <c r="C115" s="1" t="n">
        <v>46076</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37699-2025</t>
        </is>
      </c>
      <c r="B116" s="1" t="n">
        <v>45880</v>
      </c>
      <c r="C116" s="1" t="n">
        <v>46076</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46076</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38015-2025</t>
        </is>
      </c>
      <c r="B118" s="1" t="n">
        <v>45882</v>
      </c>
      <c r="C118" s="1" t="n">
        <v>46076</v>
      </c>
      <c r="D118" t="inlineStr">
        <is>
          <t>VÄRMLANDS LÄN</t>
        </is>
      </c>
      <c r="E118" t="inlineStr">
        <is>
          <t>TORSBY</t>
        </is>
      </c>
      <c r="F118" t="inlineStr">
        <is>
          <t>Bergvik skog väst AB</t>
        </is>
      </c>
      <c r="G118" t="n">
        <v>5</v>
      </c>
      <c r="H118" t="n">
        <v>0</v>
      </c>
      <c r="I118" t="n">
        <v>0</v>
      </c>
      <c r="J118" t="n">
        <v>1</v>
      </c>
      <c r="K118" t="n">
        <v>0</v>
      </c>
      <c r="L118" t="n">
        <v>0</v>
      </c>
      <c r="M118" t="n">
        <v>0</v>
      </c>
      <c r="N118" t="n">
        <v>0</v>
      </c>
      <c r="O118" t="n">
        <v>1</v>
      </c>
      <c r="P118" t="n">
        <v>0</v>
      </c>
      <c r="Q118" t="n">
        <v>1</v>
      </c>
      <c r="R118" s="2" t="inlineStr">
        <is>
          <t>Mörk kolflarnlav</t>
        </is>
      </c>
      <c r="S118">
        <f>HYPERLINK("https://klasma.github.io/Logging_1737/artfynd/A 38015-2025 artfynd.xlsx", "A 38015-2025")</f>
        <v/>
      </c>
      <c r="T118">
        <f>HYPERLINK("https://klasma.github.io/Logging_1737/kartor/A 38015-2025 karta.png", "A 38015-2025")</f>
        <v/>
      </c>
      <c r="V118">
        <f>HYPERLINK("https://klasma.github.io/Logging_1737/klagomål/A 38015-2025 FSC-klagomål.docx", "A 38015-2025")</f>
        <v/>
      </c>
      <c r="W118">
        <f>HYPERLINK("https://klasma.github.io/Logging_1737/klagomålsmail/A 38015-2025 FSC-klagomål mail.docx", "A 38015-2025")</f>
        <v/>
      </c>
      <c r="X118">
        <f>HYPERLINK("https://klasma.github.io/Logging_1737/tillsyn/A 38015-2025 tillsynsbegäran.docx", "A 38015-2025")</f>
        <v/>
      </c>
      <c r="Y118">
        <f>HYPERLINK("https://klasma.github.io/Logging_1737/tillsynsmail/A 38015-2025 tillsynsbegäran mail.docx", "A 38015-2025")</f>
        <v/>
      </c>
    </row>
    <row r="119" ht="15" customHeight="1">
      <c r="A119" t="inlineStr">
        <is>
          <t>A 50712-2025</t>
        </is>
      </c>
      <c r="B119" s="1" t="n">
        <v>45946.34440972222</v>
      </c>
      <c r="C119" s="1" t="n">
        <v>46076</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40033-2024</t>
        </is>
      </c>
      <c r="B120" s="1" t="n">
        <v>45553</v>
      </c>
      <c r="C120" s="1" t="n">
        <v>46076</v>
      </c>
      <c r="D120" t="inlineStr">
        <is>
          <t>VÄRMLANDS LÄN</t>
        </is>
      </c>
      <c r="E120" t="inlineStr">
        <is>
          <t>TORSBY</t>
        </is>
      </c>
      <c r="G120" t="n">
        <v>6.2</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40033-2024 artfynd.xlsx", "A 40033-2024")</f>
        <v/>
      </c>
      <c r="T120">
        <f>HYPERLINK("https://klasma.github.io/Logging_1737/kartor/A 40033-2024 karta.png", "A 40033-2024")</f>
        <v/>
      </c>
      <c r="V120">
        <f>HYPERLINK("https://klasma.github.io/Logging_1737/klagomål/A 40033-2024 FSC-klagomål.docx", "A 40033-2024")</f>
        <v/>
      </c>
      <c r="W120">
        <f>HYPERLINK("https://klasma.github.io/Logging_1737/klagomålsmail/A 40033-2024 FSC-klagomål mail.docx", "A 40033-2024")</f>
        <v/>
      </c>
      <c r="X120">
        <f>HYPERLINK("https://klasma.github.io/Logging_1737/tillsyn/A 40033-2024 tillsynsbegäran.docx", "A 40033-2024")</f>
        <v/>
      </c>
      <c r="Y120">
        <f>HYPERLINK("https://klasma.github.io/Logging_1737/tillsynsmail/A 40033-2024 tillsynsbegäran mail.docx", "A 40033-2024")</f>
        <v/>
      </c>
    </row>
    <row r="121" ht="15" customHeight="1">
      <c r="A121" t="inlineStr">
        <is>
          <t>A 39681-2023</t>
        </is>
      </c>
      <c r="B121" s="1" t="n">
        <v>45167</v>
      </c>
      <c r="C121" s="1" t="n">
        <v>46076</v>
      </c>
      <c r="D121" t="inlineStr">
        <is>
          <t>VÄRMLANDS LÄN</t>
        </is>
      </c>
      <c r="E121" t="inlineStr">
        <is>
          <t>TORSBY</t>
        </is>
      </c>
      <c r="G121" t="n">
        <v>5.2</v>
      </c>
      <c r="H121" t="n">
        <v>0</v>
      </c>
      <c r="I121" t="n">
        <v>0</v>
      </c>
      <c r="J121" t="n">
        <v>1</v>
      </c>
      <c r="K121" t="n">
        <v>0</v>
      </c>
      <c r="L121" t="n">
        <v>0</v>
      </c>
      <c r="M121" t="n">
        <v>0</v>
      </c>
      <c r="N121" t="n">
        <v>0</v>
      </c>
      <c r="O121" t="n">
        <v>1</v>
      </c>
      <c r="P121" t="n">
        <v>0</v>
      </c>
      <c r="Q121" t="n">
        <v>1</v>
      </c>
      <c r="R121" s="2" t="inlineStr">
        <is>
          <t>Garnlav</t>
        </is>
      </c>
      <c r="S121">
        <f>HYPERLINK("https://klasma.github.io/Logging_1737/artfynd/A 39681-2023 artfynd.xlsx", "A 39681-2023")</f>
        <v/>
      </c>
      <c r="T121">
        <f>HYPERLINK("https://klasma.github.io/Logging_1737/kartor/A 39681-2023 karta.png", "A 39681-2023")</f>
        <v/>
      </c>
      <c r="V121">
        <f>HYPERLINK("https://klasma.github.io/Logging_1737/klagomål/A 39681-2023 FSC-klagomål.docx", "A 39681-2023")</f>
        <v/>
      </c>
      <c r="W121">
        <f>HYPERLINK("https://klasma.github.io/Logging_1737/klagomålsmail/A 39681-2023 FSC-klagomål mail.docx", "A 39681-2023")</f>
        <v/>
      </c>
      <c r="X121">
        <f>HYPERLINK("https://klasma.github.io/Logging_1737/tillsyn/A 39681-2023 tillsynsbegäran.docx", "A 39681-2023")</f>
        <v/>
      </c>
      <c r="Y121">
        <f>HYPERLINK("https://klasma.github.io/Logging_1737/tillsynsmail/A 39681-2023 tillsynsbegäran mail.docx", "A 39681-2023")</f>
        <v/>
      </c>
    </row>
    <row r="122" ht="15" customHeight="1">
      <c r="A122" t="inlineStr">
        <is>
          <t>A 42500-2022</t>
        </is>
      </c>
      <c r="B122" s="1" t="n">
        <v>44831</v>
      </c>
      <c r="C122" s="1" t="n">
        <v>46076</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52418-2025</t>
        </is>
      </c>
      <c r="B123" s="1" t="n">
        <v>45954.36844907407</v>
      </c>
      <c r="C123" s="1" t="n">
        <v>46076</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53388-2025</t>
        </is>
      </c>
      <c r="B124" s="1" t="n">
        <v>45959.54763888889</v>
      </c>
      <c r="C124" s="1" t="n">
        <v>46076</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49724-2023</t>
        </is>
      </c>
      <c r="B125" s="1" t="n">
        <v>45208</v>
      </c>
      <c r="C125" s="1" t="n">
        <v>46076</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56186-2025</t>
        </is>
      </c>
      <c r="B126" s="1" t="n">
        <v>45974</v>
      </c>
      <c r="C126" s="1" t="n">
        <v>46076</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16572-2022</t>
        </is>
      </c>
      <c r="B127" s="1" t="n">
        <v>44672</v>
      </c>
      <c r="C127" s="1" t="n">
        <v>46076</v>
      </c>
      <c r="D127" t="inlineStr">
        <is>
          <t>VÄRMLANDS LÄN</t>
        </is>
      </c>
      <c r="E127" t="inlineStr">
        <is>
          <t>TORSBY</t>
        </is>
      </c>
      <c r="G127" t="n">
        <v>2.6</v>
      </c>
      <c r="H127" t="n">
        <v>0</v>
      </c>
      <c r="I127" t="n">
        <v>0</v>
      </c>
      <c r="J127" t="n">
        <v>1</v>
      </c>
      <c r="K127" t="n">
        <v>0</v>
      </c>
      <c r="L127" t="n">
        <v>0</v>
      </c>
      <c r="M127" t="n">
        <v>0</v>
      </c>
      <c r="N127" t="n">
        <v>0</v>
      </c>
      <c r="O127" t="n">
        <v>1</v>
      </c>
      <c r="P127" t="n">
        <v>0</v>
      </c>
      <c r="Q127" t="n">
        <v>1</v>
      </c>
      <c r="R127" s="2" t="inlineStr">
        <is>
          <t>Skogsklocka</t>
        </is>
      </c>
      <c r="S127">
        <f>HYPERLINK("https://klasma.github.io/Logging_1737/artfynd/A 16572-2022 artfynd.xlsx", "A 16572-2022")</f>
        <v/>
      </c>
      <c r="T127">
        <f>HYPERLINK("https://klasma.github.io/Logging_1737/kartor/A 16572-2022 karta.png", "A 16572-2022")</f>
        <v/>
      </c>
      <c r="V127">
        <f>HYPERLINK("https://klasma.github.io/Logging_1737/klagomål/A 16572-2022 FSC-klagomål.docx", "A 16572-2022")</f>
        <v/>
      </c>
      <c r="W127">
        <f>HYPERLINK("https://klasma.github.io/Logging_1737/klagomålsmail/A 16572-2022 FSC-klagomål mail.docx", "A 16572-2022")</f>
        <v/>
      </c>
      <c r="X127">
        <f>HYPERLINK("https://klasma.github.io/Logging_1737/tillsyn/A 16572-2022 tillsynsbegäran.docx", "A 16572-2022")</f>
        <v/>
      </c>
      <c r="Y127">
        <f>HYPERLINK("https://klasma.github.io/Logging_1737/tillsynsmail/A 16572-2022 tillsynsbegäran mail.docx", "A 16572-2022")</f>
        <v/>
      </c>
    </row>
    <row r="128" ht="15" customHeight="1">
      <c r="A128" t="inlineStr">
        <is>
          <t>A 60688-2025</t>
        </is>
      </c>
      <c r="B128" s="1" t="n">
        <v>45996</v>
      </c>
      <c r="C128" s="1" t="n">
        <v>46076</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Späd bäckmossa</t>
        </is>
      </c>
      <c r="S128">
        <f>HYPERLINK("https://klasma.github.io/Logging_1737/artfynd/A 60688-2025 artfynd.xlsx", "A 60688-2025")</f>
        <v/>
      </c>
      <c r="T128">
        <f>HYPERLINK("https://klasma.github.io/Logging_1737/kartor/A 60688-2025 karta.png", "A 60688-2025")</f>
        <v/>
      </c>
      <c r="V128">
        <f>HYPERLINK("https://klasma.github.io/Logging_1737/klagomål/A 60688-2025 FSC-klagomål.docx", "A 60688-2025")</f>
        <v/>
      </c>
      <c r="W128">
        <f>HYPERLINK("https://klasma.github.io/Logging_1737/klagomålsmail/A 60688-2025 FSC-klagomål mail.docx", "A 60688-2025")</f>
        <v/>
      </c>
      <c r="X128">
        <f>HYPERLINK("https://klasma.github.io/Logging_1737/tillsyn/A 60688-2025 tillsynsbegäran.docx", "A 60688-2025")</f>
        <v/>
      </c>
      <c r="Y128">
        <f>HYPERLINK("https://klasma.github.io/Logging_1737/tillsynsmail/A 60688-2025 tillsynsbegäran mail.docx", "A 60688-2025")</f>
        <v/>
      </c>
    </row>
    <row r="129" ht="15" customHeight="1">
      <c r="A129" t="inlineStr">
        <is>
          <t>A 56133-2024</t>
        </is>
      </c>
      <c r="B129" s="1" t="n">
        <v>45624</v>
      </c>
      <c r="C129" s="1" t="n">
        <v>46076</v>
      </c>
      <c r="D129" t="inlineStr">
        <is>
          <t>VÄRMLANDS LÄN</t>
        </is>
      </c>
      <c r="E129" t="inlineStr">
        <is>
          <t>TORSBY</t>
        </is>
      </c>
      <c r="G129" t="n">
        <v>2.4</v>
      </c>
      <c r="H129" t="n">
        <v>0</v>
      </c>
      <c r="I129" t="n">
        <v>1</v>
      </c>
      <c r="J129" t="n">
        <v>0</v>
      </c>
      <c r="K129" t="n">
        <v>0</v>
      </c>
      <c r="L129" t="n">
        <v>0</v>
      </c>
      <c r="M129" t="n">
        <v>0</v>
      </c>
      <c r="N129" t="n">
        <v>0</v>
      </c>
      <c r="O129" t="n">
        <v>0</v>
      </c>
      <c r="P129" t="n">
        <v>0</v>
      </c>
      <c r="Q129" t="n">
        <v>1</v>
      </c>
      <c r="R129" s="2" t="inlineStr">
        <is>
          <t>Vedticka</t>
        </is>
      </c>
      <c r="S129">
        <f>HYPERLINK("https://klasma.github.io/Logging_1737/artfynd/A 56133-2024 artfynd.xlsx", "A 56133-2024")</f>
        <v/>
      </c>
      <c r="T129">
        <f>HYPERLINK("https://klasma.github.io/Logging_1737/kartor/A 56133-2024 karta.png", "A 56133-2024")</f>
        <v/>
      </c>
      <c r="V129">
        <f>HYPERLINK("https://klasma.github.io/Logging_1737/klagomål/A 56133-2024 FSC-klagomål.docx", "A 56133-2024")</f>
        <v/>
      </c>
      <c r="W129">
        <f>HYPERLINK("https://klasma.github.io/Logging_1737/klagomålsmail/A 56133-2024 FSC-klagomål mail.docx", "A 56133-2024")</f>
        <v/>
      </c>
      <c r="X129">
        <f>HYPERLINK("https://klasma.github.io/Logging_1737/tillsyn/A 56133-2024 tillsynsbegäran.docx", "A 56133-2024")</f>
        <v/>
      </c>
      <c r="Y129">
        <f>HYPERLINK("https://klasma.github.io/Logging_1737/tillsynsmail/A 56133-2024 tillsynsbegäran mail.docx", "A 56133-2024")</f>
        <v/>
      </c>
    </row>
    <row r="130" ht="15" customHeight="1">
      <c r="A130" t="inlineStr">
        <is>
          <t>A 1534-2026</t>
        </is>
      </c>
      <c r="B130" s="1" t="n">
        <v>46034</v>
      </c>
      <c r="C130" s="1" t="n">
        <v>46076</v>
      </c>
      <c r="D130" t="inlineStr">
        <is>
          <t>VÄRMLANDS LÄN</t>
        </is>
      </c>
      <c r="E130" t="inlineStr">
        <is>
          <t>TORSBY</t>
        </is>
      </c>
      <c r="G130" t="n">
        <v>2.1</v>
      </c>
      <c r="H130" t="n">
        <v>0</v>
      </c>
      <c r="I130" t="n">
        <v>0</v>
      </c>
      <c r="J130" t="n">
        <v>1</v>
      </c>
      <c r="K130" t="n">
        <v>0</v>
      </c>
      <c r="L130" t="n">
        <v>0</v>
      </c>
      <c r="M130" t="n">
        <v>0</v>
      </c>
      <c r="N130" t="n">
        <v>0</v>
      </c>
      <c r="O130" t="n">
        <v>1</v>
      </c>
      <c r="P130" t="n">
        <v>0</v>
      </c>
      <c r="Q130" t="n">
        <v>1</v>
      </c>
      <c r="R130" s="2" t="inlineStr">
        <is>
          <t>Garnlav</t>
        </is>
      </c>
      <c r="S130">
        <f>HYPERLINK("https://klasma.github.io/Logging_1737/artfynd/A 1534-2026 artfynd.xlsx", "A 1534-2026")</f>
        <v/>
      </c>
      <c r="T130">
        <f>HYPERLINK("https://klasma.github.io/Logging_1737/kartor/A 1534-2026 karta.png", "A 1534-2026")</f>
        <v/>
      </c>
      <c r="V130">
        <f>HYPERLINK("https://klasma.github.io/Logging_1737/klagomål/A 1534-2026 FSC-klagomål.docx", "A 1534-2026")</f>
        <v/>
      </c>
      <c r="W130">
        <f>HYPERLINK("https://klasma.github.io/Logging_1737/klagomålsmail/A 1534-2026 FSC-klagomål mail.docx", "A 1534-2026")</f>
        <v/>
      </c>
      <c r="X130">
        <f>HYPERLINK("https://klasma.github.io/Logging_1737/tillsyn/A 1534-2026 tillsynsbegäran.docx", "A 1534-2026")</f>
        <v/>
      </c>
      <c r="Y130">
        <f>HYPERLINK("https://klasma.github.io/Logging_1737/tillsynsmail/A 1534-2026 tillsynsbegäran mail.docx", "A 1534-2026")</f>
        <v/>
      </c>
    </row>
    <row r="131" ht="15" customHeight="1">
      <c r="A131" t="inlineStr">
        <is>
          <t>A 54009-2024</t>
        </is>
      </c>
      <c r="B131" s="1" t="n">
        <v>45616</v>
      </c>
      <c r="C131" s="1" t="n">
        <v>46076</v>
      </c>
      <c r="D131" t="inlineStr">
        <is>
          <t>VÄRMLANDS LÄN</t>
        </is>
      </c>
      <c r="E131" t="inlineStr">
        <is>
          <t>TORSBY</t>
        </is>
      </c>
      <c r="F131" t="inlineStr">
        <is>
          <t>Bergvik skog väst AB</t>
        </is>
      </c>
      <c r="G131" t="n">
        <v>8.800000000000001</v>
      </c>
      <c r="H131" t="n">
        <v>1</v>
      </c>
      <c r="I131" t="n">
        <v>1</v>
      </c>
      <c r="J131" t="n">
        <v>0</v>
      </c>
      <c r="K131" t="n">
        <v>0</v>
      </c>
      <c r="L131" t="n">
        <v>0</v>
      </c>
      <c r="M131" t="n">
        <v>0</v>
      </c>
      <c r="N131" t="n">
        <v>0</v>
      </c>
      <c r="O131" t="n">
        <v>0</v>
      </c>
      <c r="P131" t="n">
        <v>0</v>
      </c>
      <c r="Q131" t="n">
        <v>1</v>
      </c>
      <c r="R131" s="2" t="inlineStr">
        <is>
          <t>Korallrot</t>
        </is>
      </c>
      <c r="S131">
        <f>HYPERLINK("https://klasma.github.io/Logging_1737/artfynd/A 54009-2024 artfynd.xlsx", "A 54009-2024")</f>
        <v/>
      </c>
      <c r="T131">
        <f>HYPERLINK("https://klasma.github.io/Logging_1737/kartor/A 54009-2024 karta.png", "A 54009-2024")</f>
        <v/>
      </c>
      <c r="V131">
        <f>HYPERLINK("https://klasma.github.io/Logging_1737/klagomål/A 54009-2024 FSC-klagomål.docx", "A 54009-2024")</f>
        <v/>
      </c>
      <c r="W131">
        <f>HYPERLINK("https://klasma.github.io/Logging_1737/klagomålsmail/A 54009-2024 FSC-klagomål mail.docx", "A 54009-2024")</f>
        <v/>
      </c>
      <c r="X131">
        <f>HYPERLINK("https://klasma.github.io/Logging_1737/tillsyn/A 54009-2024 tillsynsbegäran.docx", "A 54009-2024")</f>
        <v/>
      </c>
      <c r="Y131">
        <f>HYPERLINK("https://klasma.github.io/Logging_1737/tillsynsmail/A 54009-2024 tillsynsbegäran mail.docx", "A 54009-2024")</f>
        <v/>
      </c>
    </row>
    <row r="132" ht="15" customHeight="1">
      <c r="A132" t="inlineStr">
        <is>
          <t>A 40934-2024</t>
        </is>
      </c>
      <c r="B132" s="1" t="n">
        <v>45558</v>
      </c>
      <c r="C132" s="1" t="n">
        <v>46076</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Lunglav</t>
        </is>
      </c>
      <c r="S132">
        <f>HYPERLINK("https://klasma.github.io/Logging_1737/artfynd/A 40934-2024 artfynd.xlsx", "A 40934-2024")</f>
        <v/>
      </c>
      <c r="T132">
        <f>HYPERLINK("https://klasma.github.io/Logging_1737/kartor/A 40934-2024 karta.png", "A 40934-2024")</f>
        <v/>
      </c>
      <c r="V132">
        <f>HYPERLINK("https://klasma.github.io/Logging_1737/klagomål/A 40934-2024 FSC-klagomål.docx", "A 40934-2024")</f>
        <v/>
      </c>
      <c r="W132">
        <f>HYPERLINK("https://klasma.github.io/Logging_1737/klagomålsmail/A 40934-2024 FSC-klagomål mail.docx", "A 40934-2024")</f>
        <v/>
      </c>
      <c r="X132">
        <f>HYPERLINK("https://klasma.github.io/Logging_1737/tillsyn/A 40934-2024 tillsynsbegäran.docx", "A 40934-2024")</f>
        <v/>
      </c>
      <c r="Y132">
        <f>HYPERLINK("https://klasma.github.io/Logging_1737/tillsynsmail/A 40934-2024 tillsynsbegäran mail.docx", "A 40934-2024")</f>
        <v/>
      </c>
    </row>
    <row r="133" ht="15" customHeight="1">
      <c r="A133" t="inlineStr">
        <is>
          <t>A 51288-2022</t>
        </is>
      </c>
      <c r="B133" s="1" t="n">
        <v>44868</v>
      </c>
      <c r="C133" s="1" t="n">
        <v>46076</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62690-2025</t>
        </is>
      </c>
      <c r="B134" s="1" t="n">
        <v>46007</v>
      </c>
      <c r="C134" s="1" t="n">
        <v>46076</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24042-2021</t>
        </is>
      </c>
      <c r="B135" s="1" t="n">
        <v>44336</v>
      </c>
      <c r="C135" s="1" t="n">
        <v>46076</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50236-2022</t>
        </is>
      </c>
      <c r="B136" s="1" t="n">
        <v>44865</v>
      </c>
      <c r="C136" s="1" t="n">
        <v>46076</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37292-2024</t>
        </is>
      </c>
      <c r="B137" s="1" t="n">
        <v>45540</v>
      </c>
      <c r="C137" s="1" t="n">
        <v>46076</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58014-2024</t>
        </is>
      </c>
      <c r="B138" s="1" t="n">
        <v>45631</v>
      </c>
      <c r="C138" s="1" t="n">
        <v>46076</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5726-2025</t>
        </is>
      </c>
      <c r="B139" s="1" t="n">
        <v>45694</v>
      </c>
      <c r="C139" s="1" t="n">
        <v>46076</v>
      </c>
      <c r="D139" t="inlineStr">
        <is>
          <t>VÄRMLANDS LÄN</t>
        </is>
      </c>
      <c r="E139" t="inlineStr">
        <is>
          <t>TORSBY</t>
        </is>
      </c>
      <c r="G139" t="n">
        <v>3.5</v>
      </c>
      <c r="H139" t="n">
        <v>0</v>
      </c>
      <c r="I139" t="n">
        <v>1</v>
      </c>
      <c r="J139" t="n">
        <v>0</v>
      </c>
      <c r="K139" t="n">
        <v>0</v>
      </c>
      <c r="L139" t="n">
        <v>0</v>
      </c>
      <c r="M139" t="n">
        <v>0</v>
      </c>
      <c r="N139" t="n">
        <v>0</v>
      </c>
      <c r="O139" t="n">
        <v>0</v>
      </c>
      <c r="P139" t="n">
        <v>0</v>
      </c>
      <c r="Q139" t="n">
        <v>1</v>
      </c>
      <c r="R139" s="2" t="inlineStr">
        <is>
          <t>Vedticka</t>
        </is>
      </c>
      <c r="S139">
        <f>HYPERLINK("https://klasma.github.io/Logging_1737/artfynd/A 5726-2025 artfynd.xlsx", "A 5726-2025")</f>
        <v/>
      </c>
      <c r="T139">
        <f>HYPERLINK("https://klasma.github.io/Logging_1737/kartor/A 5726-2025 karta.png", "A 5726-2025")</f>
        <v/>
      </c>
      <c r="V139">
        <f>HYPERLINK("https://klasma.github.io/Logging_1737/klagomål/A 5726-2025 FSC-klagomål.docx", "A 5726-2025")</f>
        <v/>
      </c>
      <c r="W139">
        <f>HYPERLINK("https://klasma.github.io/Logging_1737/klagomålsmail/A 5726-2025 FSC-klagomål mail.docx", "A 5726-2025")</f>
        <v/>
      </c>
      <c r="X139">
        <f>HYPERLINK("https://klasma.github.io/Logging_1737/tillsyn/A 5726-2025 tillsynsbegäran.docx", "A 5726-2025")</f>
        <v/>
      </c>
      <c r="Y139">
        <f>HYPERLINK("https://klasma.github.io/Logging_1737/tillsynsmail/A 5726-2025 tillsynsbegäran mail.docx", "A 5726-2025")</f>
        <v/>
      </c>
    </row>
    <row r="140" ht="15" customHeight="1">
      <c r="A140" t="inlineStr">
        <is>
          <t>A 46099-2023</t>
        </is>
      </c>
      <c r="B140" s="1" t="n">
        <v>45196</v>
      </c>
      <c r="C140" s="1" t="n">
        <v>46076</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54029-2024</t>
        </is>
      </c>
      <c r="B141" s="1" t="n">
        <v>45616</v>
      </c>
      <c r="C141" s="1" t="n">
        <v>46076</v>
      </c>
      <c r="D141" t="inlineStr">
        <is>
          <t>VÄRMLANDS LÄN</t>
        </is>
      </c>
      <c r="E141" t="inlineStr">
        <is>
          <t>TORSBY</t>
        </is>
      </c>
      <c r="G141" t="n">
        <v>10.2</v>
      </c>
      <c r="H141" t="n">
        <v>0</v>
      </c>
      <c r="I141" t="n">
        <v>1</v>
      </c>
      <c r="J141" t="n">
        <v>0</v>
      </c>
      <c r="K141" t="n">
        <v>0</v>
      </c>
      <c r="L141" t="n">
        <v>0</v>
      </c>
      <c r="M141" t="n">
        <v>0</v>
      </c>
      <c r="N141" t="n">
        <v>0</v>
      </c>
      <c r="O141" t="n">
        <v>0</v>
      </c>
      <c r="P141" t="n">
        <v>0</v>
      </c>
      <c r="Q141" t="n">
        <v>1</v>
      </c>
      <c r="R141" s="2" t="inlineStr">
        <is>
          <t>Vedticka</t>
        </is>
      </c>
      <c r="S141">
        <f>HYPERLINK("https://klasma.github.io/Logging_1737/artfynd/A 54029-2024 artfynd.xlsx", "A 54029-2024")</f>
        <v/>
      </c>
      <c r="T141">
        <f>HYPERLINK("https://klasma.github.io/Logging_1737/kartor/A 54029-2024 karta.png", "A 54029-2024")</f>
        <v/>
      </c>
      <c r="V141">
        <f>HYPERLINK("https://klasma.github.io/Logging_1737/klagomål/A 54029-2024 FSC-klagomål.docx", "A 54029-2024")</f>
        <v/>
      </c>
      <c r="W141">
        <f>HYPERLINK("https://klasma.github.io/Logging_1737/klagomålsmail/A 54029-2024 FSC-klagomål mail.docx", "A 54029-2024")</f>
        <v/>
      </c>
      <c r="X141">
        <f>HYPERLINK("https://klasma.github.io/Logging_1737/tillsyn/A 54029-2024 tillsynsbegäran.docx", "A 54029-2024")</f>
        <v/>
      </c>
      <c r="Y141">
        <f>HYPERLINK("https://klasma.github.io/Logging_1737/tillsynsmail/A 54029-2024 tillsynsbegäran mail.docx", "A 54029-2024")</f>
        <v/>
      </c>
    </row>
    <row r="142" ht="15" customHeight="1">
      <c r="A142" t="inlineStr">
        <is>
          <t>A 1811-2024</t>
        </is>
      </c>
      <c r="B142" s="1" t="n">
        <v>45307</v>
      </c>
      <c r="C142" s="1" t="n">
        <v>46076</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50318-2024</t>
        </is>
      </c>
      <c r="B143" s="1" t="n">
        <v>45600</v>
      </c>
      <c r="C143" s="1" t="n">
        <v>46076</v>
      </c>
      <c r="D143" t="inlineStr">
        <is>
          <t>VÄRMLANDS LÄN</t>
        </is>
      </c>
      <c r="E143" t="inlineStr">
        <is>
          <t>TORSBY</t>
        </is>
      </c>
      <c r="F143" t="inlineStr">
        <is>
          <t>Bergvik skog väst AB</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row>
    <row r="144" ht="15" customHeight="1">
      <c r="A144" t="inlineStr">
        <is>
          <t>A 25217-2025</t>
        </is>
      </c>
      <c r="B144" s="1" t="n">
        <v>45800.4756712963</v>
      </c>
      <c r="C144" s="1" t="n">
        <v>46076</v>
      </c>
      <c r="D144" t="inlineStr">
        <is>
          <t>VÄRMLANDS LÄN</t>
        </is>
      </c>
      <c r="E144" t="inlineStr">
        <is>
          <t>TORSBY</t>
        </is>
      </c>
      <c r="G144" t="n">
        <v>10.9</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25217-2025 artfynd.xlsx", "A 25217-2025")</f>
        <v/>
      </c>
      <c r="T144">
        <f>HYPERLINK("https://klasma.github.io/Logging_1737/kartor/A 25217-2025 karta.png", "A 25217-2025")</f>
        <v/>
      </c>
      <c r="V144">
        <f>HYPERLINK("https://klasma.github.io/Logging_1737/klagomål/A 25217-2025 FSC-klagomål.docx", "A 25217-2025")</f>
        <v/>
      </c>
      <c r="W144">
        <f>HYPERLINK("https://klasma.github.io/Logging_1737/klagomålsmail/A 25217-2025 FSC-klagomål mail.docx", "A 25217-2025")</f>
        <v/>
      </c>
      <c r="X144">
        <f>HYPERLINK("https://klasma.github.io/Logging_1737/tillsyn/A 25217-2025 tillsynsbegäran.docx", "A 25217-2025")</f>
        <v/>
      </c>
      <c r="Y144">
        <f>HYPERLINK("https://klasma.github.io/Logging_1737/tillsynsmail/A 25217-2025 tillsynsbegäran mail.docx", "A 25217-2025")</f>
        <v/>
      </c>
    </row>
    <row r="145" ht="15" customHeight="1">
      <c r="A145" t="inlineStr">
        <is>
          <t>A 25802-2025</t>
        </is>
      </c>
      <c r="B145" s="1" t="n">
        <v>45804.40766203704</v>
      </c>
      <c r="C145" s="1" t="n">
        <v>46076</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Tallticka</t>
        </is>
      </c>
      <c r="S145">
        <f>HYPERLINK("https://klasma.github.io/Logging_1737/artfynd/A 25802-2025 artfynd.xlsx", "A 25802-2025")</f>
        <v/>
      </c>
      <c r="T145">
        <f>HYPERLINK("https://klasma.github.io/Logging_1737/kartor/A 25802-2025 karta.png", "A 25802-2025")</f>
        <v/>
      </c>
      <c r="V145">
        <f>HYPERLINK("https://klasma.github.io/Logging_1737/klagomål/A 25802-2025 FSC-klagomål.docx", "A 25802-2025")</f>
        <v/>
      </c>
      <c r="W145">
        <f>HYPERLINK("https://klasma.github.io/Logging_1737/klagomålsmail/A 25802-2025 FSC-klagomål mail.docx", "A 25802-2025")</f>
        <v/>
      </c>
      <c r="X145">
        <f>HYPERLINK("https://klasma.github.io/Logging_1737/tillsyn/A 25802-2025 tillsynsbegäran.docx", "A 25802-2025")</f>
        <v/>
      </c>
      <c r="Y145">
        <f>HYPERLINK("https://klasma.github.io/Logging_1737/tillsynsmail/A 25802-2025 tillsynsbegäran mail.docx", "A 25802-2025")</f>
        <v/>
      </c>
    </row>
    <row r="146" ht="15" customHeight="1">
      <c r="A146" t="inlineStr">
        <is>
          <t>A 27108-2025</t>
        </is>
      </c>
      <c r="B146" s="1" t="n">
        <v>45811.72777777778</v>
      </c>
      <c r="C146" s="1" t="n">
        <v>46076</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27301-2025</t>
        </is>
      </c>
      <c r="B147" s="1" t="n">
        <v>45812.57186342592</v>
      </c>
      <c r="C147" s="1" t="n">
        <v>46076</v>
      </c>
      <c r="D147" t="inlineStr">
        <is>
          <t>VÄRMLANDS LÄN</t>
        </is>
      </c>
      <c r="E147" t="inlineStr">
        <is>
          <t>TORSBY</t>
        </is>
      </c>
      <c r="G147" t="n">
        <v>2.7</v>
      </c>
      <c r="H147" t="n">
        <v>1</v>
      </c>
      <c r="I147" t="n">
        <v>0</v>
      </c>
      <c r="J147" t="n">
        <v>1</v>
      </c>
      <c r="K147" t="n">
        <v>0</v>
      </c>
      <c r="L147" t="n">
        <v>0</v>
      </c>
      <c r="M147" t="n">
        <v>0</v>
      </c>
      <c r="N147" t="n">
        <v>0</v>
      </c>
      <c r="O147" t="n">
        <v>1</v>
      </c>
      <c r="P147" t="n">
        <v>0</v>
      </c>
      <c r="Q147" t="n">
        <v>1</v>
      </c>
      <c r="R147" s="2" t="inlineStr">
        <is>
          <t>Nordfladdermus</t>
        </is>
      </c>
      <c r="S147">
        <f>HYPERLINK("https://klasma.github.io/Logging_1737/artfynd/A 27301-2025 artfynd.xlsx", "A 27301-2025")</f>
        <v/>
      </c>
      <c r="T147">
        <f>HYPERLINK("https://klasma.github.io/Logging_1737/kartor/A 27301-2025 karta.png", "A 27301-2025")</f>
        <v/>
      </c>
      <c r="V147">
        <f>HYPERLINK("https://klasma.github.io/Logging_1737/klagomål/A 27301-2025 FSC-klagomål.docx", "A 27301-2025")</f>
        <v/>
      </c>
      <c r="W147">
        <f>HYPERLINK("https://klasma.github.io/Logging_1737/klagomålsmail/A 27301-2025 FSC-klagomål mail.docx", "A 27301-2025")</f>
        <v/>
      </c>
      <c r="X147">
        <f>HYPERLINK("https://klasma.github.io/Logging_1737/tillsyn/A 27301-2025 tillsynsbegäran.docx", "A 27301-2025")</f>
        <v/>
      </c>
      <c r="Y147">
        <f>HYPERLINK("https://klasma.github.io/Logging_1737/tillsynsmail/A 27301-2025 tillsynsbegäran mail.docx", "A 27301-2025")</f>
        <v/>
      </c>
    </row>
    <row r="148" ht="15" customHeight="1">
      <c r="A148" t="inlineStr">
        <is>
          <t>A 19974-2021</t>
        </is>
      </c>
      <c r="B148" s="1" t="n">
        <v>44313.66451388889</v>
      </c>
      <c r="C148" s="1" t="n">
        <v>46076</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46076</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46076</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46076</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46076</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46076</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46076</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46076</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52546-2022</t>
        </is>
      </c>
      <c r="B156" s="1" t="n">
        <v>44874</v>
      </c>
      <c r="C156" s="1" t="n">
        <v>46076</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46076</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46076</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46076</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46076</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46076</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46076</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46076</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46076</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46076</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10133-2021</t>
        </is>
      </c>
      <c r="B166" s="1" t="n">
        <v>44256</v>
      </c>
      <c r="C166" s="1" t="n">
        <v>46076</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46076</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15853-2021</t>
        </is>
      </c>
      <c r="B168" s="1" t="n">
        <v>44286</v>
      </c>
      <c r="C168" s="1" t="n">
        <v>46076</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46076</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46076</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46076</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46076</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46076</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46076</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46076</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46076</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46076</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46076</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46076</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43098-2021</t>
        </is>
      </c>
      <c r="B180" s="1" t="n">
        <v>44431</v>
      </c>
      <c r="C180" s="1" t="n">
        <v>46076</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46076</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46076</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46076</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46076</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46076</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46076</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46076</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46076</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49795-2022</t>
        </is>
      </c>
      <c r="B189" s="1" t="n">
        <v>44862</v>
      </c>
      <c r="C189" s="1" t="n">
        <v>46076</v>
      </c>
      <c r="D189" t="inlineStr">
        <is>
          <t>VÄRMLANDS LÄN</t>
        </is>
      </c>
      <c r="E189" t="inlineStr">
        <is>
          <t>TORSBY</t>
        </is>
      </c>
      <c r="G189" t="n">
        <v>7.6</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46076</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46076</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46076</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46076</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46076</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46076</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46076</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46076</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46076</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46076</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46076</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46076</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46076</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46076</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46076</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46076</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46076</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46076</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46076</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46076</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46076</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46076</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46076</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46076</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46076</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46076</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27932-2021</t>
        </is>
      </c>
      <c r="B216" s="1" t="n">
        <v>44354</v>
      </c>
      <c r="C216" s="1" t="n">
        <v>46076</v>
      </c>
      <c r="D216" t="inlineStr">
        <is>
          <t>VÄRMLANDS LÄN</t>
        </is>
      </c>
      <c r="E216" t="inlineStr">
        <is>
          <t>TORSBY</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46076</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46076</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46076</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46076</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46076</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46076</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46076</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46076</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46076</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46076</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46076</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10778-2021</t>
        </is>
      </c>
      <c r="B228" s="1" t="n">
        <v>44259</v>
      </c>
      <c r="C228" s="1" t="n">
        <v>46076</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46076</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46076</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46076</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46076</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46076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46076</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46076</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46076</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46076</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46076</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46076</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46076</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46076</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46076</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46076</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46076</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46076</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46076</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46076</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69265-2021</t>
        </is>
      </c>
      <c r="B248" s="1" t="n">
        <v>44526</v>
      </c>
      <c r="C248" s="1" t="n">
        <v>46076</v>
      </c>
      <c r="D248" t="inlineStr">
        <is>
          <t>VÄRMLANDS LÄN</t>
        </is>
      </c>
      <c r="E248" t="inlineStr">
        <is>
          <t>TORSBY</t>
        </is>
      </c>
      <c r="G248" t="n">
        <v>11.1</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46076</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46076</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46076</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46076</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46076</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35545-2021</t>
        </is>
      </c>
      <c r="B254" s="1" t="n">
        <v>44385</v>
      </c>
      <c r="C254" s="1" t="n">
        <v>46076</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46076</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46076</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46076</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46076</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46076</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46076</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46076</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46076</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46076</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46076</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46076</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46076</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46076</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46076</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46076</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43136-2021</t>
        </is>
      </c>
      <c r="B270" s="1" t="n">
        <v>44431.6690625</v>
      </c>
      <c r="C270" s="1" t="n">
        <v>46076</v>
      </c>
      <c r="D270" t="inlineStr">
        <is>
          <t>VÄRMLANDS LÄN</t>
        </is>
      </c>
      <c r="E270" t="inlineStr">
        <is>
          <t>TORSBY</t>
        </is>
      </c>
      <c r="G270" t="n">
        <v>14.4</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46076</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46076</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46076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46076</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46076</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46076</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46076</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46076</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46076</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46076</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46076</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46076</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46076</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46076</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46076</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46076</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46076</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46076</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46076</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46076</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46076</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46076</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46076</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46076</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46076</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46076</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46076</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46076</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46076</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46076</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46076</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46076</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46076</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46076</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46076</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47083-2021</t>
        </is>
      </c>
      <c r="B307" s="1" t="n">
        <v>44446.66114583334</v>
      </c>
      <c r="C307" s="1" t="n">
        <v>46076</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47098-2021</t>
        </is>
      </c>
      <c r="B308" s="1" t="n">
        <v>44446.67429398148</v>
      </c>
      <c r="C308" s="1" t="n">
        <v>46076</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46076</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46076</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46076</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46076</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46076</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46076</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46076</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46076</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46076</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46076</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46076</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46076</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46076</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46076</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46076</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46076</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46076</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46076</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46076</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46076</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46076</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69281-2021</t>
        </is>
      </c>
      <c r="B330" s="1" t="n">
        <v>44526</v>
      </c>
      <c r="C330" s="1" t="n">
        <v>46076</v>
      </c>
      <c r="D330" t="inlineStr">
        <is>
          <t>VÄRMLANDS LÄN</t>
        </is>
      </c>
      <c r="E330" t="inlineStr">
        <is>
          <t>TORSBY</t>
        </is>
      </c>
      <c r="G330" t="n">
        <v>7.5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46076</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46076</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46076</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46076</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46076</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46076</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46076</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46076</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46076</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46076</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4960-2022</t>
        </is>
      </c>
      <c r="B341" s="1" t="n">
        <v>44593</v>
      </c>
      <c r="C341" s="1" t="n">
        <v>46076</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46076</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46076</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46076</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46076</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46076</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46076</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46076</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46076</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46076</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46076</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46076</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46076</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9775-2021</t>
        </is>
      </c>
      <c r="B354" s="1" t="n">
        <v>44252</v>
      </c>
      <c r="C354" s="1" t="n">
        <v>46076</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46076</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46076</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46076</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46076</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46076</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51490-2022</t>
        </is>
      </c>
      <c r="B360" s="1" t="n">
        <v>44869.59972222222</v>
      </c>
      <c r="C360" s="1" t="n">
        <v>46076</v>
      </c>
      <c r="D360" t="inlineStr">
        <is>
          <t>VÄRMLANDS LÄN</t>
        </is>
      </c>
      <c r="E360" t="inlineStr">
        <is>
          <t>TORSBY</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46076</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46076</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15873-2025</t>
        </is>
      </c>
      <c r="B363" s="1" t="n">
        <v>45749.3759375</v>
      </c>
      <c r="C363" s="1" t="n">
        <v>46076</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6863-2023</t>
        </is>
      </c>
      <c r="B364" s="1" t="n">
        <v>44964</v>
      </c>
      <c r="C364" s="1" t="n">
        <v>46076</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46076</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16329-2025</t>
        </is>
      </c>
      <c r="B366" s="1" t="n">
        <v>45751</v>
      </c>
      <c r="C366" s="1" t="n">
        <v>46076</v>
      </c>
      <c r="D366" t="inlineStr">
        <is>
          <t>VÄRMLANDS LÄN</t>
        </is>
      </c>
      <c r="E366" t="inlineStr">
        <is>
          <t>TORSBY</t>
        </is>
      </c>
      <c r="F366" t="inlineStr">
        <is>
          <t>Bergvik skog väst AB</t>
        </is>
      </c>
      <c r="G366" t="n">
        <v>4.8</v>
      </c>
      <c r="H366" t="n">
        <v>0</v>
      </c>
      <c r="I366" t="n">
        <v>0</v>
      </c>
      <c r="J366" t="n">
        <v>0</v>
      </c>
      <c r="K366" t="n">
        <v>0</v>
      </c>
      <c r="L366" t="n">
        <v>0</v>
      </c>
      <c r="M366" t="n">
        <v>0</v>
      </c>
      <c r="N366" t="n">
        <v>0</v>
      </c>
      <c r="O366" t="n">
        <v>0</v>
      </c>
      <c r="P366" t="n">
        <v>0</v>
      </c>
      <c r="Q366" t="n">
        <v>0</v>
      </c>
      <c r="R366" s="2" t="inlineStr"/>
    </row>
    <row r="367" ht="15" customHeight="1">
      <c r="A367" t="inlineStr">
        <is>
          <t>A 35629-2023</t>
        </is>
      </c>
      <c r="B367" s="1" t="n">
        <v>45147.55939814815</v>
      </c>
      <c r="C367" s="1" t="n">
        <v>46076</v>
      </c>
      <c r="D367" t="inlineStr">
        <is>
          <t>VÄRMLANDS LÄN</t>
        </is>
      </c>
      <c r="E367" t="inlineStr">
        <is>
          <t>TORSBY</t>
        </is>
      </c>
      <c r="G367" t="n">
        <v>10.3</v>
      </c>
      <c r="H367" t="n">
        <v>0</v>
      </c>
      <c r="I367" t="n">
        <v>0</v>
      </c>
      <c r="J367" t="n">
        <v>0</v>
      </c>
      <c r="K367" t="n">
        <v>0</v>
      </c>
      <c r="L367" t="n">
        <v>0</v>
      </c>
      <c r="M367" t="n">
        <v>0</v>
      </c>
      <c r="N367" t="n">
        <v>0</v>
      </c>
      <c r="O367" t="n">
        <v>0</v>
      </c>
      <c r="P367" t="n">
        <v>0</v>
      </c>
      <c r="Q367" t="n">
        <v>0</v>
      </c>
      <c r="R367" s="2" t="inlineStr"/>
    </row>
    <row r="368" ht="15" customHeight="1">
      <c r="A368" t="inlineStr">
        <is>
          <t>A 30011-2024</t>
        </is>
      </c>
      <c r="B368" s="1" t="n">
        <v>45488</v>
      </c>
      <c r="C368" s="1" t="n">
        <v>46076</v>
      </c>
      <c r="D368" t="inlineStr">
        <is>
          <t>VÄRMLANDS LÄN</t>
        </is>
      </c>
      <c r="E368" t="inlineStr">
        <is>
          <t>TORSBY</t>
        </is>
      </c>
      <c r="F368" t="inlineStr">
        <is>
          <t>Kommuner</t>
        </is>
      </c>
      <c r="G368" t="n">
        <v>4.7</v>
      </c>
      <c r="H368" t="n">
        <v>0</v>
      </c>
      <c r="I368" t="n">
        <v>0</v>
      </c>
      <c r="J368" t="n">
        <v>0</v>
      </c>
      <c r="K368" t="n">
        <v>0</v>
      </c>
      <c r="L368" t="n">
        <v>0</v>
      </c>
      <c r="M368" t="n">
        <v>0</v>
      </c>
      <c r="N368" t="n">
        <v>0</v>
      </c>
      <c r="O368" t="n">
        <v>0</v>
      </c>
      <c r="P368" t="n">
        <v>0</v>
      </c>
      <c r="Q368" t="n">
        <v>0</v>
      </c>
      <c r="R368" s="2" t="inlineStr"/>
    </row>
    <row r="369" ht="15" customHeight="1">
      <c r="A369" t="inlineStr">
        <is>
          <t>A 34378-2022</t>
        </is>
      </c>
      <c r="B369" s="1" t="n">
        <v>44792.48787037037</v>
      </c>
      <c r="C369" s="1" t="n">
        <v>46076</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23423-2024</t>
        </is>
      </c>
      <c r="B370" s="1" t="n">
        <v>45453.60787037037</v>
      </c>
      <c r="C370" s="1" t="n">
        <v>46076</v>
      </c>
      <c r="D370" t="inlineStr">
        <is>
          <t>VÄRMLANDS LÄN</t>
        </is>
      </c>
      <c r="E370" t="inlineStr">
        <is>
          <t>TORSBY</t>
        </is>
      </c>
      <c r="G370" t="n">
        <v>3.1</v>
      </c>
      <c r="H370" t="n">
        <v>0</v>
      </c>
      <c r="I370" t="n">
        <v>0</v>
      </c>
      <c r="J370" t="n">
        <v>0</v>
      </c>
      <c r="K370" t="n">
        <v>0</v>
      </c>
      <c r="L370" t="n">
        <v>0</v>
      </c>
      <c r="M370" t="n">
        <v>0</v>
      </c>
      <c r="N370" t="n">
        <v>0</v>
      </c>
      <c r="O370" t="n">
        <v>0</v>
      </c>
      <c r="P370" t="n">
        <v>0</v>
      </c>
      <c r="Q370" t="n">
        <v>0</v>
      </c>
      <c r="R370" s="2" t="inlineStr"/>
    </row>
    <row r="371" ht="15" customHeight="1">
      <c r="A371" t="inlineStr">
        <is>
          <t>A 2130-2024</t>
        </is>
      </c>
      <c r="B371" s="1" t="n">
        <v>45309.51518518518</v>
      </c>
      <c r="C371" s="1" t="n">
        <v>46076</v>
      </c>
      <c r="D371" t="inlineStr">
        <is>
          <t>VÄRMLANDS LÄN</t>
        </is>
      </c>
      <c r="E371" t="inlineStr">
        <is>
          <t>TORSBY</t>
        </is>
      </c>
      <c r="G371" t="n">
        <v>4</v>
      </c>
      <c r="H371" t="n">
        <v>0</v>
      </c>
      <c r="I371" t="n">
        <v>0</v>
      </c>
      <c r="J371" t="n">
        <v>0</v>
      </c>
      <c r="K371" t="n">
        <v>0</v>
      </c>
      <c r="L371" t="n">
        <v>0</v>
      </c>
      <c r="M371" t="n">
        <v>0</v>
      </c>
      <c r="N371" t="n">
        <v>0</v>
      </c>
      <c r="O371" t="n">
        <v>0</v>
      </c>
      <c r="P371" t="n">
        <v>0</v>
      </c>
      <c r="Q371" t="n">
        <v>0</v>
      </c>
      <c r="R371" s="2" t="inlineStr"/>
    </row>
    <row r="372" ht="15" customHeight="1">
      <c r="A372" t="inlineStr">
        <is>
          <t>A 56430-2024</t>
        </is>
      </c>
      <c r="B372" s="1" t="n">
        <v>45625</v>
      </c>
      <c r="C372" s="1" t="n">
        <v>46076</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46076</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46076</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28284-2024</t>
        </is>
      </c>
      <c r="B375" s="1" t="n">
        <v>45477</v>
      </c>
      <c r="C375" s="1" t="n">
        <v>46076</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24696-2023</t>
        </is>
      </c>
      <c r="B376" s="1" t="n">
        <v>45084</v>
      </c>
      <c r="C376" s="1" t="n">
        <v>46076</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46076</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46076</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55808-2024</t>
        </is>
      </c>
      <c r="B379" s="1" t="n">
        <v>45622</v>
      </c>
      <c r="C379" s="1" t="n">
        <v>46076</v>
      </c>
      <c r="D379" t="inlineStr">
        <is>
          <t>VÄRMLANDS LÄN</t>
        </is>
      </c>
      <c r="E379" t="inlineStr">
        <is>
          <t>TORSBY</t>
        </is>
      </c>
      <c r="G379" t="n">
        <v>0.4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46076</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46076</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46076</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46076</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29375-2024</t>
        </is>
      </c>
      <c r="B384" s="1" t="n">
        <v>45483.58712962963</v>
      </c>
      <c r="C384" s="1" t="n">
        <v>46076</v>
      </c>
      <c r="D384" t="inlineStr">
        <is>
          <t>VÄRMLANDS LÄN</t>
        </is>
      </c>
      <c r="E384" t="inlineStr">
        <is>
          <t>TORSBY</t>
        </is>
      </c>
      <c r="G384" t="n">
        <v>1.2</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46076</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46076</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17754-2025</t>
        </is>
      </c>
      <c r="B387" s="1" t="n">
        <v>45758</v>
      </c>
      <c r="C387" s="1" t="n">
        <v>46076</v>
      </c>
      <c r="D387" t="inlineStr">
        <is>
          <t>VÄRMLANDS LÄN</t>
        </is>
      </c>
      <c r="E387" t="inlineStr">
        <is>
          <t>TORSBY</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58951-2022</t>
        </is>
      </c>
      <c r="B388" s="1" t="n">
        <v>44903.65313657407</v>
      </c>
      <c r="C388" s="1" t="n">
        <v>46076</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6317-2025</t>
        </is>
      </c>
      <c r="B389" s="1" t="n">
        <v>45698.74826388889</v>
      </c>
      <c r="C389" s="1" t="n">
        <v>46076</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24261-2024</t>
        </is>
      </c>
      <c r="B390" s="1" t="n">
        <v>45457</v>
      </c>
      <c r="C390" s="1" t="n">
        <v>46076</v>
      </c>
      <c r="D390" t="inlineStr">
        <is>
          <t>VÄRMLANDS LÄN</t>
        </is>
      </c>
      <c r="E390" t="inlineStr">
        <is>
          <t>TORSBY</t>
        </is>
      </c>
      <c r="G390" t="n">
        <v>3.5</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46076</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522-2023</t>
        </is>
      </c>
      <c r="B392" s="1" t="n">
        <v>44930</v>
      </c>
      <c r="C392" s="1" t="n">
        <v>46076</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15465-2024</t>
        </is>
      </c>
      <c r="B393" s="1" t="n">
        <v>45401.47399305556</v>
      </c>
      <c r="C393" s="1" t="n">
        <v>46076</v>
      </c>
      <c r="D393" t="inlineStr">
        <is>
          <t>VÄRMLANDS LÄN</t>
        </is>
      </c>
      <c r="E393" t="inlineStr">
        <is>
          <t>TORSBY</t>
        </is>
      </c>
      <c r="F393" t="inlineStr">
        <is>
          <t>Bergvik skog väst AB</t>
        </is>
      </c>
      <c r="G393" t="n">
        <v>24.6</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46076</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46076</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10583-2023</t>
        </is>
      </c>
      <c r="B396" s="1" t="n">
        <v>44988.36435185185</v>
      </c>
      <c r="C396" s="1" t="n">
        <v>46076</v>
      </c>
      <c r="D396" t="inlineStr">
        <is>
          <t>VÄRMLANDS LÄN</t>
        </is>
      </c>
      <c r="E396" t="inlineStr">
        <is>
          <t>TORSBY</t>
        </is>
      </c>
      <c r="G396" t="n">
        <v>3.6</v>
      </c>
      <c r="H396" t="n">
        <v>0</v>
      </c>
      <c r="I396" t="n">
        <v>0</v>
      </c>
      <c r="J396" t="n">
        <v>0</v>
      </c>
      <c r="K396" t="n">
        <v>0</v>
      </c>
      <c r="L396" t="n">
        <v>0</v>
      </c>
      <c r="M396" t="n">
        <v>0</v>
      </c>
      <c r="N396" t="n">
        <v>0</v>
      </c>
      <c r="O396" t="n">
        <v>0</v>
      </c>
      <c r="P396" t="n">
        <v>0</v>
      </c>
      <c r="Q396" t="n">
        <v>0</v>
      </c>
      <c r="R396" s="2" t="inlineStr"/>
    </row>
    <row r="397" ht="15" customHeight="1">
      <c r="A397" t="inlineStr">
        <is>
          <t>A 13285-2025</t>
        </is>
      </c>
      <c r="B397" s="1" t="n">
        <v>45735</v>
      </c>
      <c r="C397" s="1" t="n">
        <v>46076</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39260-2021</t>
        </is>
      </c>
      <c r="B398" s="1" t="n">
        <v>44413</v>
      </c>
      <c r="C398" s="1" t="n">
        <v>46076</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33338-2024</t>
        </is>
      </c>
      <c r="B399" s="1" t="n">
        <v>45519</v>
      </c>
      <c r="C399" s="1" t="n">
        <v>46076</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1275-2024</t>
        </is>
      </c>
      <c r="B400" s="1" t="n">
        <v>45302</v>
      </c>
      <c r="C400" s="1" t="n">
        <v>46076</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11050-2022</t>
        </is>
      </c>
      <c r="B401" s="1" t="n">
        <v>44628.60393518519</v>
      </c>
      <c r="C401" s="1" t="n">
        <v>46076</v>
      </c>
      <c r="D401" t="inlineStr">
        <is>
          <t>VÄRMLANDS LÄN</t>
        </is>
      </c>
      <c r="E401" t="inlineStr">
        <is>
          <t>TORSBY</t>
        </is>
      </c>
      <c r="G401" t="n">
        <v>4.9</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46076</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43536-2023</t>
        </is>
      </c>
      <c r="B403" s="1" t="n">
        <v>45181</v>
      </c>
      <c r="C403" s="1" t="n">
        <v>46076</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47465-2024</t>
        </is>
      </c>
      <c r="B404" s="1" t="n">
        <v>45587</v>
      </c>
      <c r="C404" s="1" t="n">
        <v>46076</v>
      </c>
      <c r="D404" t="inlineStr">
        <is>
          <t>VÄRMLANDS LÄN</t>
        </is>
      </c>
      <c r="E404" t="inlineStr">
        <is>
          <t>TORSBY</t>
        </is>
      </c>
      <c r="F404" t="inlineStr">
        <is>
          <t>Övriga Aktiebolag</t>
        </is>
      </c>
      <c r="G404" t="n">
        <v>4.6</v>
      </c>
      <c r="H404" t="n">
        <v>0</v>
      </c>
      <c r="I404" t="n">
        <v>0</v>
      </c>
      <c r="J404" t="n">
        <v>0</v>
      </c>
      <c r="K404" t="n">
        <v>0</v>
      </c>
      <c r="L404" t="n">
        <v>0</v>
      </c>
      <c r="M404" t="n">
        <v>0</v>
      </c>
      <c r="N404" t="n">
        <v>0</v>
      </c>
      <c r="O404" t="n">
        <v>0</v>
      </c>
      <c r="P404" t="n">
        <v>0</v>
      </c>
      <c r="Q404" t="n">
        <v>0</v>
      </c>
      <c r="R404" s="2" t="inlineStr"/>
    </row>
    <row r="405" ht="15" customHeight="1">
      <c r="A405" t="inlineStr">
        <is>
          <t>A 39567-2024</t>
        </is>
      </c>
      <c r="B405" s="1" t="n">
        <v>45552.3584375</v>
      </c>
      <c r="C405" s="1" t="n">
        <v>46076</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1700-2024</t>
        </is>
      </c>
      <c r="B406" s="1" t="n">
        <v>45307.37347222222</v>
      </c>
      <c r="C406" s="1" t="n">
        <v>46076</v>
      </c>
      <c r="D406" t="inlineStr">
        <is>
          <t>VÄRMLANDS LÄN</t>
        </is>
      </c>
      <c r="E406" t="inlineStr">
        <is>
          <t>TORSBY</t>
        </is>
      </c>
      <c r="G406" t="n">
        <v>2.5</v>
      </c>
      <c r="H406" t="n">
        <v>0</v>
      </c>
      <c r="I406" t="n">
        <v>0</v>
      </c>
      <c r="J406" t="n">
        <v>0</v>
      </c>
      <c r="K406" t="n">
        <v>0</v>
      </c>
      <c r="L406" t="n">
        <v>0</v>
      </c>
      <c r="M406" t="n">
        <v>0</v>
      </c>
      <c r="N406" t="n">
        <v>0</v>
      </c>
      <c r="O406" t="n">
        <v>0</v>
      </c>
      <c r="P406" t="n">
        <v>0</v>
      </c>
      <c r="Q406" t="n">
        <v>0</v>
      </c>
      <c r="R406" s="2" t="inlineStr"/>
    </row>
    <row r="407" ht="15" customHeight="1">
      <c r="A407" t="inlineStr">
        <is>
          <t>A 56240-2024</t>
        </is>
      </c>
      <c r="B407" s="1" t="n">
        <v>45624.63012731481</v>
      </c>
      <c r="C407" s="1" t="n">
        <v>46076</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17048-2025</t>
        </is>
      </c>
      <c r="B408" s="1" t="n">
        <v>45754</v>
      </c>
      <c r="C408" s="1" t="n">
        <v>46076</v>
      </c>
      <c r="D408" t="inlineStr">
        <is>
          <t>VÄRMLANDS LÄN</t>
        </is>
      </c>
      <c r="E408" t="inlineStr">
        <is>
          <t>TORSBY</t>
        </is>
      </c>
      <c r="G408" t="n">
        <v>3.4</v>
      </c>
      <c r="H408" t="n">
        <v>0</v>
      </c>
      <c r="I408" t="n">
        <v>0</v>
      </c>
      <c r="J408" t="n">
        <v>0</v>
      </c>
      <c r="K408" t="n">
        <v>0</v>
      </c>
      <c r="L408" t="n">
        <v>0</v>
      </c>
      <c r="M408" t="n">
        <v>0</v>
      </c>
      <c r="N408" t="n">
        <v>0</v>
      </c>
      <c r="O408" t="n">
        <v>0</v>
      </c>
      <c r="P408" t="n">
        <v>0</v>
      </c>
      <c r="Q408" t="n">
        <v>0</v>
      </c>
      <c r="R408" s="2" t="inlineStr"/>
    </row>
    <row r="409" ht="15" customHeight="1">
      <c r="A409" t="inlineStr">
        <is>
          <t>A 17053-2025</t>
        </is>
      </c>
      <c r="B409" s="1" t="n">
        <v>45754</v>
      </c>
      <c r="C409" s="1" t="n">
        <v>46076</v>
      </c>
      <c r="D409" t="inlineStr">
        <is>
          <t>VÄRMLANDS LÄN</t>
        </is>
      </c>
      <c r="E409" t="inlineStr">
        <is>
          <t>TORSBY</t>
        </is>
      </c>
      <c r="G409" t="n">
        <v>3.7</v>
      </c>
      <c r="H409" t="n">
        <v>0</v>
      </c>
      <c r="I409" t="n">
        <v>0</v>
      </c>
      <c r="J409" t="n">
        <v>0</v>
      </c>
      <c r="K409" t="n">
        <v>0</v>
      </c>
      <c r="L409" t="n">
        <v>0</v>
      </c>
      <c r="M409" t="n">
        <v>0</v>
      </c>
      <c r="N409" t="n">
        <v>0</v>
      </c>
      <c r="O409" t="n">
        <v>0</v>
      </c>
      <c r="P409" t="n">
        <v>0</v>
      </c>
      <c r="Q409" t="n">
        <v>0</v>
      </c>
      <c r="R409" s="2" t="inlineStr"/>
    </row>
    <row r="410" ht="15" customHeight="1">
      <c r="A410" t="inlineStr">
        <is>
          <t>A 16425-2022</t>
        </is>
      </c>
      <c r="B410" s="1" t="n">
        <v>44671</v>
      </c>
      <c r="C410" s="1" t="n">
        <v>46076</v>
      </c>
      <c r="D410" t="inlineStr">
        <is>
          <t>VÄRMLANDS LÄN</t>
        </is>
      </c>
      <c r="E410" t="inlineStr">
        <is>
          <t>TORSBY</t>
        </is>
      </c>
      <c r="G410" t="n">
        <v>3</v>
      </c>
      <c r="H410" t="n">
        <v>0</v>
      </c>
      <c r="I410" t="n">
        <v>0</v>
      </c>
      <c r="J410" t="n">
        <v>0</v>
      </c>
      <c r="K410" t="n">
        <v>0</v>
      </c>
      <c r="L410" t="n">
        <v>0</v>
      </c>
      <c r="M410" t="n">
        <v>0</v>
      </c>
      <c r="N410" t="n">
        <v>0</v>
      </c>
      <c r="O410" t="n">
        <v>0</v>
      </c>
      <c r="P410" t="n">
        <v>0</v>
      </c>
      <c r="Q410" t="n">
        <v>0</v>
      </c>
      <c r="R410" s="2" t="inlineStr"/>
    </row>
    <row r="411" ht="15" customHeight="1">
      <c r="A411" t="inlineStr">
        <is>
          <t>A 9729-2025</t>
        </is>
      </c>
      <c r="B411" s="1" t="n">
        <v>45715</v>
      </c>
      <c r="C411" s="1" t="n">
        <v>46076</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36879-2024</t>
        </is>
      </c>
      <c r="B412" s="1" t="n">
        <v>45538</v>
      </c>
      <c r="C412" s="1" t="n">
        <v>46076</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45399-2023</t>
        </is>
      </c>
      <c r="B413" s="1" t="n">
        <v>45194</v>
      </c>
      <c r="C413" s="1" t="n">
        <v>46076</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46076</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32845-2024</t>
        </is>
      </c>
      <c r="B415" s="1" t="n">
        <v>45516.62422453704</v>
      </c>
      <c r="C415" s="1" t="n">
        <v>46076</v>
      </c>
      <c r="D415" t="inlineStr">
        <is>
          <t>VÄRMLANDS LÄN</t>
        </is>
      </c>
      <c r="E415" t="inlineStr">
        <is>
          <t>TORSBY</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46076</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46076</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46917-2024</t>
        </is>
      </c>
      <c r="B418" s="1" t="n">
        <v>45583</v>
      </c>
      <c r="C418" s="1" t="n">
        <v>46076</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54618-2024</t>
        </is>
      </c>
      <c r="B419" s="1" t="n">
        <v>45617</v>
      </c>
      <c r="C419" s="1" t="n">
        <v>46076</v>
      </c>
      <c r="D419" t="inlineStr">
        <is>
          <t>VÄRMLANDS LÄN</t>
        </is>
      </c>
      <c r="E419" t="inlineStr">
        <is>
          <t>TORSBY</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66133-2021</t>
        </is>
      </c>
      <c r="B420" s="1" t="n">
        <v>44517</v>
      </c>
      <c r="C420" s="1" t="n">
        <v>46076</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36419-2024</t>
        </is>
      </c>
      <c r="B421" s="1" t="n">
        <v>45536.58380787037</v>
      </c>
      <c r="C421" s="1" t="n">
        <v>46076</v>
      </c>
      <c r="D421" t="inlineStr">
        <is>
          <t>VÄRMLANDS LÄN</t>
        </is>
      </c>
      <c r="E421" t="inlineStr">
        <is>
          <t>TORSBY</t>
        </is>
      </c>
      <c r="G421" t="n">
        <v>8.9</v>
      </c>
      <c r="H421" t="n">
        <v>0</v>
      </c>
      <c r="I421" t="n">
        <v>0</v>
      </c>
      <c r="J421" t="n">
        <v>0</v>
      </c>
      <c r="K421" t="n">
        <v>0</v>
      </c>
      <c r="L421" t="n">
        <v>0</v>
      </c>
      <c r="M421" t="n">
        <v>0</v>
      </c>
      <c r="N421" t="n">
        <v>0</v>
      </c>
      <c r="O421" t="n">
        <v>0</v>
      </c>
      <c r="P421" t="n">
        <v>0</v>
      </c>
      <c r="Q421" t="n">
        <v>0</v>
      </c>
      <c r="R421" s="2" t="inlineStr"/>
    </row>
    <row r="422" ht="15" customHeight="1">
      <c r="A422" t="inlineStr">
        <is>
          <t>A 18576-2025</t>
        </is>
      </c>
      <c r="B422" s="1" t="n">
        <v>45763</v>
      </c>
      <c r="C422" s="1" t="n">
        <v>46076</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18584-2025</t>
        </is>
      </c>
      <c r="B423" s="1" t="n">
        <v>45763.46973379629</v>
      </c>
      <c r="C423" s="1" t="n">
        <v>46076</v>
      </c>
      <c r="D423" t="inlineStr">
        <is>
          <t>VÄRMLANDS LÄN</t>
        </is>
      </c>
      <c r="E423" t="inlineStr">
        <is>
          <t>TORSBY</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58728-2021</t>
        </is>
      </c>
      <c r="B424" s="1" t="n">
        <v>44489</v>
      </c>
      <c r="C424" s="1" t="n">
        <v>46076</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57469-2024</t>
        </is>
      </c>
      <c r="B425" s="1" t="n">
        <v>45630</v>
      </c>
      <c r="C425" s="1" t="n">
        <v>46076</v>
      </c>
      <c r="D425" t="inlineStr">
        <is>
          <t>VÄRMLANDS LÄN</t>
        </is>
      </c>
      <c r="E425" t="inlineStr">
        <is>
          <t>TORSBY</t>
        </is>
      </c>
      <c r="F425" t="inlineStr">
        <is>
          <t>Bergvik skog väst AB</t>
        </is>
      </c>
      <c r="G425" t="n">
        <v>12.8</v>
      </c>
      <c r="H425" t="n">
        <v>0</v>
      </c>
      <c r="I425" t="n">
        <v>0</v>
      </c>
      <c r="J425" t="n">
        <v>0</v>
      </c>
      <c r="K425" t="n">
        <v>0</v>
      </c>
      <c r="L425" t="n">
        <v>0</v>
      </c>
      <c r="M425" t="n">
        <v>0</v>
      </c>
      <c r="N425" t="n">
        <v>0</v>
      </c>
      <c r="O425" t="n">
        <v>0</v>
      </c>
      <c r="P425" t="n">
        <v>0</v>
      </c>
      <c r="Q425" t="n">
        <v>0</v>
      </c>
      <c r="R425" s="2" t="inlineStr"/>
    </row>
    <row r="426" ht="15" customHeight="1">
      <c r="A426" t="inlineStr">
        <is>
          <t>A 46152-2024</t>
        </is>
      </c>
      <c r="B426" s="1" t="n">
        <v>45581</v>
      </c>
      <c r="C426" s="1" t="n">
        <v>46076</v>
      </c>
      <c r="D426" t="inlineStr">
        <is>
          <t>VÄRMLANDS LÄN</t>
        </is>
      </c>
      <c r="E426" t="inlineStr">
        <is>
          <t>TORSBY</t>
        </is>
      </c>
      <c r="G426" t="n">
        <v>2.5</v>
      </c>
      <c r="H426" t="n">
        <v>0</v>
      </c>
      <c r="I426" t="n">
        <v>0</v>
      </c>
      <c r="J426" t="n">
        <v>0</v>
      </c>
      <c r="K426" t="n">
        <v>0</v>
      </c>
      <c r="L426" t="n">
        <v>0</v>
      </c>
      <c r="M426" t="n">
        <v>0</v>
      </c>
      <c r="N426" t="n">
        <v>0</v>
      </c>
      <c r="O426" t="n">
        <v>0</v>
      </c>
      <c r="P426" t="n">
        <v>0</v>
      </c>
      <c r="Q426" t="n">
        <v>0</v>
      </c>
      <c r="R426" s="2" t="inlineStr"/>
    </row>
    <row r="427" ht="15" customHeight="1">
      <c r="A427" t="inlineStr">
        <is>
          <t>A 4231-2024</t>
        </is>
      </c>
      <c r="B427" s="1" t="n">
        <v>45324.42771990741</v>
      </c>
      <c r="C427" s="1" t="n">
        <v>46076</v>
      </c>
      <c r="D427" t="inlineStr">
        <is>
          <t>VÄRMLANDS LÄN</t>
        </is>
      </c>
      <c r="E427" t="inlineStr">
        <is>
          <t>TORSBY</t>
        </is>
      </c>
      <c r="G427" t="n">
        <v>3.6</v>
      </c>
      <c r="H427" t="n">
        <v>0</v>
      </c>
      <c r="I427" t="n">
        <v>0</v>
      </c>
      <c r="J427" t="n">
        <v>0</v>
      </c>
      <c r="K427" t="n">
        <v>0</v>
      </c>
      <c r="L427" t="n">
        <v>0</v>
      </c>
      <c r="M427" t="n">
        <v>0</v>
      </c>
      <c r="N427" t="n">
        <v>0</v>
      </c>
      <c r="O427" t="n">
        <v>0</v>
      </c>
      <c r="P427" t="n">
        <v>0</v>
      </c>
      <c r="Q427" t="n">
        <v>0</v>
      </c>
      <c r="R427" s="2" t="inlineStr"/>
    </row>
    <row r="428" ht="15" customHeight="1">
      <c r="A428" t="inlineStr">
        <is>
          <t>A 37238-2024</t>
        </is>
      </c>
      <c r="B428" s="1" t="n">
        <v>45540</v>
      </c>
      <c r="C428" s="1" t="n">
        <v>46076</v>
      </c>
      <c r="D428" t="inlineStr">
        <is>
          <t>VÄRMLANDS LÄN</t>
        </is>
      </c>
      <c r="E428" t="inlineStr">
        <is>
          <t>TORSBY</t>
        </is>
      </c>
      <c r="F428" t="inlineStr">
        <is>
          <t>Bergvik skog väst AB</t>
        </is>
      </c>
      <c r="G428" t="n">
        <v>11.9</v>
      </c>
      <c r="H428" t="n">
        <v>0</v>
      </c>
      <c r="I428" t="n">
        <v>0</v>
      </c>
      <c r="J428" t="n">
        <v>0</v>
      </c>
      <c r="K428" t="n">
        <v>0</v>
      </c>
      <c r="L428" t="n">
        <v>0</v>
      </c>
      <c r="M428" t="n">
        <v>0</v>
      </c>
      <c r="N428" t="n">
        <v>0</v>
      </c>
      <c r="O428" t="n">
        <v>0</v>
      </c>
      <c r="P428" t="n">
        <v>0</v>
      </c>
      <c r="Q428" t="n">
        <v>0</v>
      </c>
      <c r="R428" s="2" t="inlineStr"/>
    </row>
    <row r="429" ht="15" customHeight="1">
      <c r="A429" t="inlineStr">
        <is>
          <t>A 34093-2024</t>
        </is>
      </c>
      <c r="B429" s="1" t="n">
        <v>45523</v>
      </c>
      <c r="C429" s="1" t="n">
        <v>46076</v>
      </c>
      <c r="D429" t="inlineStr">
        <is>
          <t>VÄRMLANDS LÄN</t>
        </is>
      </c>
      <c r="E429" t="inlineStr">
        <is>
          <t>TORSBY</t>
        </is>
      </c>
      <c r="F429" t="inlineStr">
        <is>
          <t>Bergvik skog väst AB</t>
        </is>
      </c>
      <c r="G429" t="n">
        <v>5.9</v>
      </c>
      <c r="H429" t="n">
        <v>0</v>
      </c>
      <c r="I429" t="n">
        <v>0</v>
      </c>
      <c r="J429" t="n">
        <v>0</v>
      </c>
      <c r="K429" t="n">
        <v>0</v>
      </c>
      <c r="L429" t="n">
        <v>0</v>
      </c>
      <c r="M429" t="n">
        <v>0</v>
      </c>
      <c r="N429" t="n">
        <v>0</v>
      </c>
      <c r="O429" t="n">
        <v>0</v>
      </c>
      <c r="P429" t="n">
        <v>0</v>
      </c>
      <c r="Q429" t="n">
        <v>0</v>
      </c>
      <c r="R429" s="2" t="inlineStr"/>
    </row>
    <row r="430" ht="15" customHeight="1">
      <c r="A430" t="inlineStr">
        <is>
          <t>A 16309-2023</t>
        </is>
      </c>
      <c r="B430" s="1" t="n">
        <v>45028.58873842593</v>
      </c>
      <c r="C430" s="1" t="n">
        <v>46076</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13848-2024</t>
        </is>
      </c>
      <c r="B431" s="1" t="n">
        <v>45390</v>
      </c>
      <c r="C431" s="1" t="n">
        <v>46076</v>
      </c>
      <c r="D431" t="inlineStr">
        <is>
          <t>VÄRMLANDS LÄN</t>
        </is>
      </c>
      <c r="E431" t="inlineStr">
        <is>
          <t>TORSBY</t>
        </is>
      </c>
      <c r="G431" t="n">
        <v>4.5</v>
      </c>
      <c r="H431" t="n">
        <v>0</v>
      </c>
      <c r="I431" t="n">
        <v>0</v>
      </c>
      <c r="J431" t="n">
        <v>0</v>
      </c>
      <c r="K431" t="n">
        <v>0</v>
      </c>
      <c r="L431" t="n">
        <v>0</v>
      </c>
      <c r="M431" t="n">
        <v>0</v>
      </c>
      <c r="N431" t="n">
        <v>0</v>
      </c>
      <c r="O431" t="n">
        <v>0</v>
      </c>
      <c r="P431" t="n">
        <v>0</v>
      </c>
      <c r="Q431" t="n">
        <v>0</v>
      </c>
      <c r="R431" s="2" t="inlineStr"/>
    </row>
    <row r="432" ht="15" customHeight="1">
      <c r="A432" t="inlineStr">
        <is>
          <t>A 46456-2024</t>
        </is>
      </c>
      <c r="B432" s="1" t="n">
        <v>45582</v>
      </c>
      <c r="C432" s="1" t="n">
        <v>46076</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24182-2024</t>
        </is>
      </c>
      <c r="B433" s="1" t="n">
        <v>45456</v>
      </c>
      <c r="C433" s="1" t="n">
        <v>46076</v>
      </c>
      <c r="D433" t="inlineStr">
        <is>
          <t>VÄRMLANDS LÄN</t>
        </is>
      </c>
      <c r="E433" t="inlineStr">
        <is>
          <t>TORSBY</t>
        </is>
      </c>
      <c r="F433" t="inlineStr">
        <is>
          <t>Bergvik skog väst AB</t>
        </is>
      </c>
      <c r="G433" t="n">
        <v>28.9</v>
      </c>
      <c r="H433" t="n">
        <v>0</v>
      </c>
      <c r="I433" t="n">
        <v>0</v>
      </c>
      <c r="J433" t="n">
        <v>0</v>
      </c>
      <c r="K433" t="n">
        <v>0</v>
      </c>
      <c r="L433" t="n">
        <v>0</v>
      </c>
      <c r="M433" t="n">
        <v>0</v>
      </c>
      <c r="N433" t="n">
        <v>0</v>
      </c>
      <c r="O433" t="n">
        <v>0</v>
      </c>
      <c r="P433" t="n">
        <v>0</v>
      </c>
      <c r="Q433" t="n">
        <v>0</v>
      </c>
      <c r="R433" s="2" t="inlineStr"/>
    </row>
    <row r="434" ht="15" customHeight="1">
      <c r="A434" t="inlineStr">
        <is>
          <t>A 2203-2025</t>
        </is>
      </c>
      <c r="B434" s="1" t="n">
        <v>45672</v>
      </c>
      <c r="C434" s="1" t="n">
        <v>46076</v>
      </c>
      <c r="D434" t="inlineStr">
        <is>
          <t>VÄRMLANDS LÄN</t>
        </is>
      </c>
      <c r="E434" t="inlineStr">
        <is>
          <t>TORSBY</t>
        </is>
      </c>
      <c r="G434" t="n">
        <v>11.3</v>
      </c>
      <c r="H434" t="n">
        <v>0</v>
      </c>
      <c r="I434" t="n">
        <v>0</v>
      </c>
      <c r="J434" t="n">
        <v>0</v>
      </c>
      <c r="K434" t="n">
        <v>0</v>
      </c>
      <c r="L434" t="n">
        <v>0</v>
      </c>
      <c r="M434" t="n">
        <v>0</v>
      </c>
      <c r="N434" t="n">
        <v>0</v>
      </c>
      <c r="O434" t="n">
        <v>0</v>
      </c>
      <c r="P434" t="n">
        <v>0</v>
      </c>
      <c r="Q434" t="n">
        <v>0</v>
      </c>
      <c r="R434" s="2" t="inlineStr"/>
    </row>
    <row r="435" ht="15" customHeight="1">
      <c r="A435" t="inlineStr">
        <is>
          <t>A 39780-2022</t>
        </is>
      </c>
      <c r="B435" s="1" t="n">
        <v>44819.46672453704</v>
      </c>
      <c r="C435" s="1" t="n">
        <v>46076</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15413-2023</t>
        </is>
      </c>
      <c r="B436" s="1" t="n">
        <v>45019</v>
      </c>
      <c r="C436" s="1" t="n">
        <v>46076</v>
      </c>
      <c r="D436" t="inlineStr">
        <is>
          <t>VÄRMLANDS LÄN</t>
        </is>
      </c>
      <c r="E436" t="inlineStr">
        <is>
          <t>TORSBY</t>
        </is>
      </c>
      <c r="G436" t="n">
        <v>17.1</v>
      </c>
      <c r="H436" t="n">
        <v>0</v>
      </c>
      <c r="I436" t="n">
        <v>0</v>
      </c>
      <c r="J436" t="n">
        <v>0</v>
      </c>
      <c r="K436" t="n">
        <v>0</v>
      </c>
      <c r="L436" t="n">
        <v>0</v>
      </c>
      <c r="M436" t="n">
        <v>0</v>
      </c>
      <c r="N436" t="n">
        <v>0</v>
      </c>
      <c r="O436" t="n">
        <v>0</v>
      </c>
      <c r="P436" t="n">
        <v>0</v>
      </c>
      <c r="Q436" t="n">
        <v>0</v>
      </c>
      <c r="R436" s="2" t="inlineStr"/>
    </row>
    <row r="437" ht="15" customHeight="1">
      <c r="A437" t="inlineStr">
        <is>
          <t>A 44838-2024</t>
        </is>
      </c>
      <c r="B437" s="1" t="n">
        <v>45574.7069675926</v>
      </c>
      <c r="C437" s="1" t="n">
        <v>46076</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57172-2022</t>
        </is>
      </c>
      <c r="B438" s="1" t="n">
        <v>44895</v>
      </c>
      <c r="C438" s="1" t="n">
        <v>46076</v>
      </c>
      <c r="D438" t="inlineStr">
        <is>
          <t>VÄRMLANDS LÄN</t>
        </is>
      </c>
      <c r="E438" t="inlineStr">
        <is>
          <t>TORSBY</t>
        </is>
      </c>
      <c r="G438" t="n">
        <v>3.8</v>
      </c>
      <c r="H438" t="n">
        <v>0</v>
      </c>
      <c r="I438" t="n">
        <v>0</v>
      </c>
      <c r="J438" t="n">
        <v>0</v>
      </c>
      <c r="K438" t="n">
        <v>0</v>
      </c>
      <c r="L438" t="n">
        <v>0</v>
      </c>
      <c r="M438" t="n">
        <v>0</v>
      </c>
      <c r="N438" t="n">
        <v>0</v>
      </c>
      <c r="O438" t="n">
        <v>0</v>
      </c>
      <c r="P438" t="n">
        <v>0</v>
      </c>
      <c r="Q438" t="n">
        <v>0</v>
      </c>
      <c r="R438" s="2" t="inlineStr"/>
    </row>
    <row r="439" ht="15" customHeight="1">
      <c r="A439" t="inlineStr">
        <is>
          <t>A 15768-2025</t>
        </is>
      </c>
      <c r="B439" s="1" t="n">
        <v>45748.58782407407</v>
      </c>
      <c r="C439" s="1" t="n">
        <v>46076</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45344.63927083334</v>
      </c>
      <c r="C440" s="1" t="n">
        <v>46076</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3536-2024</t>
        </is>
      </c>
      <c r="B441" s="1" t="n">
        <v>45320</v>
      </c>
      <c r="C441" s="1" t="n">
        <v>46076</v>
      </c>
      <c r="D441" t="inlineStr">
        <is>
          <t>VÄRMLANDS LÄN</t>
        </is>
      </c>
      <c r="E441" t="inlineStr">
        <is>
          <t>TORSBY</t>
        </is>
      </c>
      <c r="G441" t="n">
        <v>2.7</v>
      </c>
      <c r="H441" t="n">
        <v>0</v>
      </c>
      <c r="I441" t="n">
        <v>0</v>
      </c>
      <c r="J441" t="n">
        <v>0</v>
      </c>
      <c r="K441" t="n">
        <v>0</v>
      </c>
      <c r="L441" t="n">
        <v>0</v>
      </c>
      <c r="M441" t="n">
        <v>0</v>
      </c>
      <c r="N441" t="n">
        <v>0</v>
      </c>
      <c r="O441" t="n">
        <v>0</v>
      </c>
      <c r="P441" t="n">
        <v>0</v>
      </c>
      <c r="Q441" t="n">
        <v>0</v>
      </c>
      <c r="R441" s="2" t="inlineStr"/>
    </row>
    <row r="442" ht="15" customHeight="1">
      <c r="A442" t="inlineStr">
        <is>
          <t>A 32319-2024</t>
        </is>
      </c>
      <c r="B442" s="1" t="n">
        <v>45512.4621875</v>
      </c>
      <c r="C442" s="1" t="n">
        <v>46076</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57785-2024</t>
        </is>
      </c>
      <c r="B443" s="1" t="n">
        <v>45631</v>
      </c>
      <c r="C443" s="1" t="n">
        <v>46076</v>
      </c>
      <c r="D443" t="inlineStr">
        <is>
          <t>VÄRMLANDS LÄN</t>
        </is>
      </c>
      <c r="E443" t="inlineStr">
        <is>
          <t>TORSBY</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53945-2023</t>
        </is>
      </c>
      <c r="B444" s="1" t="n">
        <v>45231.6009837963</v>
      </c>
      <c r="C444" s="1" t="n">
        <v>46076</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52314-2024</t>
        </is>
      </c>
      <c r="B445" s="1" t="n">
        <v>45608.87075231481</v>
      </c>
      <c r="C445" s="1" t="n">
        <v>46076</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39767-2024</t>
        </is>
      </c>
      <c r="B446" s="1" t="n">
        <v>45552</v>
      </c>
      <c r="C446" s="1" t="n">
        <v>46076</v>
      </c>
      <c r="D446" t="inlineStr">
        <is>
          <t>VÄRMLANDS LÄN</t>
        </is>
      </c>
      <c r="E446" t="inlineStr">
        <is>
          <t>TORSBY</t>
        </is>
      </c>
      <c r="G446" t="n">
        <v>7</v>
      </c>
      <c r="H446" t="n">
        <v>0</v>
      </c>
      <c r="I446" t="n">
        <v>0</v>
      </c>
      <c r="J446" t="n">
        <v>0</v>
      </c>
      <c r="K446" t="n">
        <v>0</v>
      </c>
      <c r="L446" t="n">
        <v>0</v>
      </c>
      <c r="M446" t="n">
        <v>0</v>
      </c>
      <c r="N446" t="n">
        <v>0</v>
      </c>
      <c r="O446" t="n">
        <v>0</v>
      </c>
      <c r="P446" t="n">
        <v>0</v>
      </c>
      <c r="Q446" t="n">
        <v>0</v>
      </c>
      <c r="R446" s="2" t="inlineStr"/>
    </row>
    <row r="447" ht="15" customHeight="1">
      <c r="A447" t="inlineStr">
        <is>
          <t>A 39772-2024</t>
        </is>
      </c>
      <c r="B447" s="1" t="n">
        <v>45552</v>
      </c>
      <c r="C447" s="1" t="n">
        <v>46076</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32588-2024</t>
        </is>
      </c>
      <c r="B448" s="1" t="n">
        <v>45513.59612268519</v>
      </c>
      <c r="C448" s="1" t="n">
        <v>46076</v>
      </c>
      <c r="D448" t="inlineStr">
        <is>
          <t>VÄRMLANDS LÄN</t>
        </is>
      </c>
      <c r="E448" t="inlineStr">
        <is>
          <t>TORSBY</t>
        </is>
      </c>
      <c r="F448" t="inlineStr">
        <is>
          <t>Bergvik skog väst AB</t>
        </is>
      </c>
      <c r="G448" t="n">
        <v>5.2</v>
      </c>
      <c r="H448" t="n">
        <v>0</v>
      </c>
      <c r="I448" t="n">
        <v>0</v>
      </c>
      <c r="J448" t="n">
        <v>0</v>
      </c>
      <c r="K448" t="n">
        <v>0</v>
      </c>
      <c r="L448" t="n">
        <v>0</v>
      </c>
      <c r="M448" t="n">
        <v>0</v>
      </c>
      <c r="N448" t="n">
        <v>0</v>
      </c>
      <c r="O448" t="n">
        <v>0</v>
      </c>
      <c r="P448" t="n">
        <v>0</v>
      </c>
      <c r="Q448" t="n">
        <v>0</v>
      </c>
      <c r="R448" s="2" t="inlineStr"/>
    </row>
    <row r="449" ht="15" customHeight="1">
      <c r="A449" t="inlineStr">
        <is>
          <t>A 9793-2024</t>
        </is>
      </c>
      <c r="B449" s="1" t="n">
        <v>45362.71013888889</v>
      </c>
      <c r="C449" s="1" t="n">
        <v>46076</v>
      </c>
      <c r="D449" t="inlineStr">
        <is>
          <t>VÄRMLANDS LÄN</t>
        </is>
      </c>
      <c r="E449" t="inlineStr">
        <is>
          <t>TORSBY</t>
        </is>
      </c>
      <c r="G449" t="n">
        <v>6</v>
      </c>
      <c r="H449" t="n">
        <v>0</v>
      </c>
      <c r="I449" t="n">
        <v>0</v>
      </c>
      <c r="J449" t="n">
        <v>0</v>
      </c>
      <c r="K449" t="n">
        <v>0</v>
      </c>
      <c r="L449" t="n">
        <v>0</v>
      </c>
      <c r="M449" t="n">
        <v>0</v>
      </c>
      <c r="N449" t="n">
        <v>0</v>
      </c>
      <c r="O449" t="n">
        <v>0</v>
      </c>
      <c r="P449" t="n">
        <v>0</v>
      </c>
      <c r="Q449" t="n">
        <v>0</v>
      </c>
      <c r="R449" s="2" t="inlineStr"/>
    </row>
    <row r="450" ht="15" customHeight="1">
      <c r="A450" t="inlineStr">
        <is>
          <t>A 33227-2024</t>
        </is>
      </c>
      <c r="B450" s="1" t="n">
        <v>45518.5708912037</v>
      </c>
      <c r="C450" s="1" t="n">
        <v>46076</v>
      </c>
      <c r="D450" t="inlineStr">
        <is>
          <t>VÄRMLANDS LÄN</t>
        </is>
      </c>
      <c r="E450" t="inlineStr">
        <is>
          <t>TORSBY</t>
        </is>
      </c>
      <c r="F450" t="inlineStr">
        <is>
          <t>Bergvik skog väst AB</t>
        </is>
      </c>
      <c r="G450" t="n">
        <v>3.8</v>
      </c>
      <c r="H450" t="n">
        <v>0</v>
      </c>
      <c r="I450" t="n">
        <v>0</v>
      </c>
      <c r="J450" t="n">
        <v>0</v>
      </c>
      <c r="K450" t="n">
        <v>0</v>
      </c>
      <c r="L450" t="n">
        <v>0</v>
      </c>
      <c r="M450" t="n">
        <v>0</v>
      </c>
      <c r="N450" t="n">
        <v>0</v>
      </c>
      <c r="O450" t="n">
        <v>0</v>
      </c>
      <c r="P450" t="n">
        <v>0</v>
      </c>
      <c r="Q450" t="n">
        <v>0</v>
      </c>
      <c r="R450" s="2" t="inlineStr"/>
    </row>
    <row r="451" ht="15" customHeight="1">
      <c r="A451" t="inlineStr">
        <is>
          <t>A 54162-2023</t>
        </is>
      </c>
      <c r="B451" s="1" t="n">
        <v>45232.47539351852</v>
      </c>
      <c r="C451" s="1" t="n">
        <v>46076</v>
      </c>
      <c r="D451" t="inlineStr">
        <is>
          <t>VÄRMLANDS LÄN</t>
        </is>
      </c>
      <c r="E451" t="inlineStr">
        <is>
          <t>TORSBY</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54191-2023</t>
        </is>
      </c>
      <c r="B452" s="1" t="n">
        <v>45232</v>
      </c>
      <c r="C452" s="1" t="n">
        <v>46076</v>
      </c>
      <c r="D452" t="inlineStr">
        <is>
          <t>VÄRMLANDS LÄN</t>
        </is>
      </c>
      <c r="E452" t="inlineStr">
        <is>
          <t>TORSBY</t>
        </is>
      </c>
      <c r="F452" t="inlineStr">
        <is>
          <t>Bergvik skog väst AB</t>
        </is>
      </c>
      <c r="G452" t="n">
        <v>3.1</v>
      </c>
      <c r="H452" t="n">
        <v>0</v>
      </c>
      <c r="I452" t="n">
        <v>0</v>
      </c>
      <c r="J452" t="n">
        <v>0</v>
      </c>
      <c r="K452" t="n">
        <v>0</v>
      </c>
      <c r="L452" t="n">
        <v>0</v>
      </c>
      <c r="M452" t="n">
        <v>0</v>
      </c>
      <c r="N452" t="n">
        <v>0</v>
      </c>
      <c r="O452" t="n">
        <v>0</v>
      </c>
      <c r="P452" t="n">
        <v>0</v>
      </c>
      <c r="Q452" t="n">
        <v>0</v>
      </c>
      <c r="R452" s="2" t="inlineStr"/>
    </row>
    <row r="453" ht="15" customHeight="1">
      <c r="A453" t="inlineStr">
        <is>
          <t>A 38257-2023</t>
        </is>
      </c>
      <c r="B453" s="1" t="n">
        <v>45161.58917824074</v>
      </c>
      <c r="C453" s="1" t="n">
        <v>46076</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27144-2024</t>
        </is>
      </c>
      <c r="B454" s="1" t="n">
        <v>45471.55459490741</v>
      </c>
      <c r="C454" s="1" t="n">
        <v>46076</v>
      </c>
      <c r="D454" t="inlineStr">
        <is>
          <t>VÄRMLANDS LÄN</t>
        </is>
      </c>
      <c r="E454" t="inlineStr">
        <is>
          <t>TORSBY</t>
        </is>
      </c>
      <c r="G454" t="n">
        <v>3.5</v>
      </c>
      <c r="H454" t="n">
        <v>0</v>
      </c>
      <c r="I454" t="n">
        <v>0</v>
      </c>
      <c r="J454" t="n">
        <v>0</v>
      </c>
      <c r="K454" t="n">
        <v>0</v>
      </c>
      <c r="L454" t="n">
        <v>0</v>
      </c>
      <c r="M454" t="n">
        <v>0</v>
      </c>
      <c r="N454" t="n">
        <v>0</v>
      </c>
      <c r="O454" t="n">
        <v>0</v>
      </c>
      <c r="P454" t="n">
        <v>0</v>
      </c>
      <c r="Q454" t="n">
        <v>0</v>
      </c>
      <c r="R454" s="2" t="inlineStr"/>
    </row>
    <row r="455" ht="15" customHeight="1">
      <c r="A455" t="inlineStr">
        <is>
          <t>A 26799-2024</t>
        </is>
      </c>
      <c r="B455" s="1" t="n">
        <v>45470.5071875</v>
      </c>
      <c r="C455" s="1" t="n">
        <v>46076</v>
      </c>
      <c r="D455" t="inlineStr">
        <is>
          <t>VÄRMLANDS LÄN</t>
        </is>
      </c>
      <c r="E455" t="inlineStr">
        <is>
          <t>TORSBY</t>
        </is>
      </c>
      <c r="G455" t="n">
        <v>0.9</v>
      </c>
      <c r="H455" t="n">
        <v>0</v>
      </c>
      <c r="I455" t="n">
        <v>0</v>
      </c>
      <c r="J455" t="n">
        <v>0</v>
      </c>
      <c r="K455" t="n">
        <v>0</v>
      </c>
      <c r="L455" t="n">
        <v>0</v>
      </c>
      <c r="M455" t="n">
        <v>0</v>
      </c>
      <c r="N455" t="n">
        <v>0</v>
      </c>
      <c r="O455" t="n">
        <v>0</v>
      </c>
      <c r="P455" t="n">
        <v>0</v>
      </c>
      <c r="Q455" t="n">
        <v>0</v>
      </c>
      <c r="R455" s="2" t="inlineStr"/>
    </row>
    <row r="456" ht="15" customHeight="1">
      <c r="A456" t="inlineStr">
        <is>
          <t>A 40546-2024</t>
        </is>
      </c>
      <c r="B456" s="1" t="n">
        <v>45555</v>
      </c>
      <c r="C456" s="1" t="n">
        <v>46076</v>
      </c>
      <c r="D456" t="inlineStr">
        <is>
          <t>VÄRMLANDS LÄN</t>
        </is>
      </c>
      <c r="E456" t="inlineStr">
        <is>
          <t>TORSBY</t>
        </is>
      </c>
      <c r="F456" t="inlineStr">
        <is>
          <t>Bergvik skog väst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15931-2025</t>
        </is>
      </c>
      <c r="B457" s="1" t="n">
        <v>45749.46791666667</v>
      </c>
      <c r="C457" s="1" t="n">
        <v>46076</v>
      </c>
      <c r="D457" t="inlineStr">
        <is>
          <t>VÄRMLANDS LÄN</t>
        </is>
      </c>
      <c r="E457" t="inlineStr">
        <is>
          <t>TORSBY</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24876-2023</t>
        </is>
      </c>
      <c r="B458" s="1" t="n">
        <v>45085.42391203704</v>
      </c>
      <c r="C458" s="1" t="n">
        <v>46076</v>
      </c>
      <c r="D458" t="inlineStr">
        <is>
          <t>VÄRMLANDS LÄN</t>
        </is>
      </c>
      <c r="E458" t="inlineStr">
        <is>
          <t>TORSBY</t>
        </is>
      </c>
      <c r="G458" t="n">
        <v>2.2</v>
      </c>
      <c r="H458" t="n">
        <v>0</v>
      </c>
      <c r="I458" t="n">
        <v>0</v>
      </c>
      <c r="J458" t="n">
        <v>0</v>
      </c>
      <c r="K458" t="n">
        <v>0</v>
      </c>
      <c r="L458" t="n">
        <v>0</v>
      </c>
      <c r="M458" t="n">
        <v>0</v>
      </c>
      <c r="N458" t="n">
        <v>0</v>
      </c>
      <c r="O458" t="n">
        <v>0</v>
      </c>
      <c r="P458" t="n">
        <v>0</v>
      </c>
      <c r="Q458" t="n">
        <v>0</v>
      </c>
      <c r="R458" s="2" t="inlineStr"/>
    </row>
    <row r="459" ht="15" customHeight="1">
      <c r="A459" t="inlineStr">
        <is>
          <t>A 51662-2024</t>
        </is>
      </c>
      <c r="B459" s="1" t="n">
        <v>45606.75559027777</v>
      </c>
      <c r="C459" s="1" t="n">
        <v>46076</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57452-2022</t>
        </is>
      </c>
      <c r="B460" s="1" t="n">
        <v>44896.55787037037</v>
      </c>
      <c r="C460" s="1" t="n">
        <v>46076</v>
      </c>
      <c r="D460" t="inlineStr">
        <is>
          <t>VÄRMLANDS LÄN</t>
        </is>
      </c>
      <c r="E460" t="inlineStr">
        <is>
          <t>TORSBY</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25316-2024</t>
        </is>
      </c>
      <c r="B461" s="1" t="n">
        <v>45462</v>
      </c>
      <c r="C461" s="1" t="n">
        <v>46076</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9902-2024</t>
        </is>
      </c>
      <c r="B462" s="1" t="n">
        <v>45363</v>
      </c>
      <c r="C462" s="1" t="n">
        <v>46076</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10684-2024</t>
        </is>
      </c>
      <c r="B463" s="1" t="n">
        <v>45369.37938657407</v>
      </c>
      <c r="C463" s="1" t="n">
        <v>46076</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46076</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11143-2024</t>
        </is>
      </c>
      <c r="B465" s="1" t="n">
        <v>45371</v>
      </c>
      <c r="C465" s="1" t="n">
        <v>46076</v>
      </c>
      <c r="D465" t="inlineStr">
        <is>
          <t>VÄRMLANDS LÄN</t>
        </is>
      </c>
      <c r="E465" t="inlineStr">
        <is>
          <t>TORSBY</t>
        </is>
      </c>
      <c r="G465" t="n">
        <v>2</v>
      </c>
      <c r="H465" t="n">
        <v>0</v>
      </c>
      <c r="I465" t="n">
        <v>0</v>
      </c>
      <c r="J465" t="n">
        <v>0</v>
      </c>
      <c r="K465" t="n">
        <v>0</v>
      </c>
      <c r="L465" t="n">
        <v>0</v>
      </c>
      <c r="M465" t="n">
        <v>0</v>
      </c>
      <c r="N465" t="n">
        <v>0</v>
      </c>
      <c r="O465" t="n">
        <v>0</v>
      </c>
      <c r="P465" t="n">
        <v>0</v>
      </c>
      <c r="Q465" t="n">
        <v>0</v>
      </c>
      <c r="R465" s="2" t="inlineStr"/>
    </row>
    <row r="466" ht="15" customHeight="1">
      <c r="A466" t="inlineStr">
        <is>
          <t>A 3672-2024</t>
        </is>
      </c>
      <c r="B466" s="1" t="n">
        <v>45321.36465277777</v>
      </c>
      <c r="C466" s="1" t="n">
        <v>46076</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21542-2024</t>
        </is>
      </c>
      <c r="B467" s="1" t="n">
        <v>45441</v>
      </c>
      <c r="C467" s="1" t="n">
        <v>46076</v>
      </c>
      <c r="D467" t="inlineStr">
        <is>
          <t>VÄRMLANDS LÄN</t>
        </is>
      </c>
      <c r="E467" t="inlineStr">
        <is>
          <t>TORSBY</t>
        </is>
      </c>
      <c r="G467" t="n">
        <v>3.7</v>
      </c>
      <c r="H467" t="n">
        <v>0</v>
      </c>
      <c r="I467" t="n">
        <v>0</v>
      </c>
      <c r="J467" t="n">
        <v>0</v>
      </c>
      <c r="K467" t="n">
        <v>0</v>
      </c>
      <c r="L467" t="n">
        <v>0</v>
      </c>
      <c r="M467" t="n">
        <v>0</v>
      </c>
      <c r="N467" t="n">
        <v>0</v>
      </c>
      <c r="O467" t="n">
        <v>0</v>
      </c>
      <c r="P467" t="n">
        <v>0</v>
      </c>
      <c r="Q467" t="n">
        <v>0</v>
      </c>
      <c r="R467" s="2" t="inlineStr"/>
    </row>
    <row r="468" ht="15" customHeight="1">
      <c r="A468" t="inlineStr">
        <is>
          <t>A 13791-2023</t>
        </is>
      </c>
      <c r="B468" s="1" t="n">
        <v>45005</v>
      </c>
      <c r="C468" s="1" t="n">
        <v>46076</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54023-2024</t>
        </is>
      </c>
      <c r="B469" s="1" t="n">
        <v>45616</v>
      </c>
      <c r="C469" s="1" t="n">
        <v>46076</v>
      </c>
      <c r="D469" t="inlineStr">
        <is>
          <t>VÄRMLANDS LÄN</t>
        </is>
      </c>
      <c r="E469" t="inlineStr">
        <is>
          <t>TORSBY</t>
        </is>
      </c>
      <c r="F469" t="inlineStr">
        <is>
          <t>Kommuner</t>
        </is>
      </c>
      <c r="G469" t="n">
        <v>3</v>
      </c>
      <c r="H469" t="n">
        <v>0</v>
      </c>
      <c r="I469" t="n">
        <v>0</v>
      </c>
      <c r="J469" t="n">
        <v>0</v>
      </c>
      <c r="K469" t="n">
        <v>0</v>
      </c>
      <c r="L469" t="n">
        <v>0</v>
      </c>
      <c r="M469" t="n">
        <v>0</v>
      </c>
      <c r="N469" t="n">
        <v>0</v>
      </c>
      <c r="O469" t="n">
        <v>0</v>
      </c>
      <c r="P469" t="n">
        <v>0</v>
      </c>
      <c r="Q469" t="n">
        <v>0</v>
      </c>
      <c r="R469" s="2" t="inlineStr"/>
    </row>
    <row r="470" ht="15" customHeight="1">
      <c r="A470" t="inlineStr">
        <is>
          <t>A 54027-2024</t>
        </is>
      </c>
      <c r="B470" s="1" t="n">
        <v>45616</v>
      </c>
      <c r="C470" s="1" t="n">
        <v>46076</v>
      </c>
      <c r="D470" t="inlineStr">
        <is>
          <t>VÄRMLANDS LÄN</t>
        </is>
      </c>
      <c r="E470" t="inlineStr">
        <is>
          <t>TORSBY</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9900-2024</t>
        </is>
      </c>
      <c r="B471" s="1" t="n">
        <v>45363</v>
      </c>
      <c r="C471" s="1" t="n">
        <v>46076</v>
      </c>
      <c r="D471" t="inlineStr">
        <is>
          <t>VÄRMLANDS LÄN</t>
        </is>
      </c>
      <c r="E471" t="inlineStr">
        <is>
          <t>TORSBY</t>
        </is>
      </c>
      <c r="G471" t="n">
        <v>13.6</v>
      </c>
      <c r="H471" t="n">
        <v>0</v>
      </c>
      <c r="I471" t="n">
        <v>0</v>
      </c>
      <c r="J471" t="n">
        <v>0</v>
      </c>
      <c r="K471" t="n">
        <v>0</v>
      </c>
      <c r="L471" t="n">
        <v>0</v>
      </c>
      <c r="M471" t="n">
        <v>0</v>
      </c>
      <c r="N471" t="n">
        <v>0</v>
      </c>
      <c r="O471" t="n">
        <v>0</v>
      </c>
      <c r="P471" t="n">
        <v>0</v>
      </c>
      <c r="Q471" t="n">
        <v>0</v>
      </c>
      <c r="R471" s="2" t="inlineStr"/>
    </row>
    <row r="472" ht="15" customHeight="1">
      <c r="A472" t="inlineStr">
        <is>
          <t>A 55839-2024</t>
        </is>
      </c>
      <c r="B472" s="1" t="n">
        <v>45623.49502314815</v>
      </c>
      <c r="C472" s="1" t="n">
        <v>46076</v>
      </c>
      <c r="D472" t="inlineStr">
        <is>
          <t>VÄRMLANDS LÄN</t>
        </is>
      </c>
      <c r="E472" t="inlineStr">
        <is>
          <t>TORSBY</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55475-2022</t>
        </is>
      </c>
      <c r="B473" s="1" t="n">
        <v>44887.66210648148</v>
      </c>
      <c r="C473" s="1" t="n">
        <v>46076</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43538-2024</t>
        </is>
      </c>
      <c r="B474" s="1" t="n">
        <v>45569.36136574074</v>
      </c>
      <c r="C474" s="1" t="n">
        <v>46076</v>
      </c>
      <c r="D474" t="inlineStr">
        <is>
          <t>VÄRMLANDS LÄN</t>
        </is>
      </c>
      <c r="E474" t="inlineStr">
        <is>
          <t>TORSBY</t>
        </is>
      </c>
      <c r="F474" t="inlineStr">
        <is>
          <t>Bergvik skog väst AB</t>
        </is>
      </c>
      <c r="G474" t="n">
        <v>14.4</v>
      </c>
      <c r="H474" t="n">
        <v>0</v>
      </c>
      <c r="I474" t="n">
        <v>0</v>
      </c>
      <c r="J474" t="n">
        <v>0</v>
      </c>
      <c r="K474" t="n">
        <v>0</v>
      </c>
      <c r="L474" t="n">
        <v>0</v>
      </c>
      <c r="M474" t="n">
        <v>0</v>
      </c>
      <c r="N474" t="n">
        <v>0</v>
      </c>
      <c r="O474" t="n">
        <v>0</v>
      </c>
      <c r="P474" t="n">
        <v>0</v>
      </c>
      <c r="Q474" t="n">
        <v>0</v>
      </c>
      <c r="R474" s="2" t="inlineStr"/>
    </row>
    <row r="475" ht="15" customHeight="1">
      <c r="A475" t="inlineStr">
        <is>
          <t>A 1528-2025</t>
        </is>
      </c>
      <c r="B475" s="1" t="n">
        <v>45670</v>
      </c>
      <c r="C475" s="1" t="n">
        <v>46076</v>
      </c>
      <c r="D475" t="inlineStr">
        <is>
          <t>VÄRMLANDS LÄN</t>
        </is>
      </c>
      <c r="E475" t="inlineStr">
        <is>
          <t>TORSBY</t>
        </is>
      </c>
      <c r="G475" t="n">
        <v>7.4</v>
      </c>
      <c r="H475" t="n">
        <v>0</v>
      </c>
      <c r="I475" t="n">
        <v>0</v>
      </c>
      <c r="J475" t="n">
        <v>0</v>
      </c>
      <c r="K475" t="n">
        <v>0</v>
      </c>
      <c r="L475" t="n">
        <v>0</v>
      </c>
      <c r="M475" t="n">
        <v>0</v>
      </c>
      <c r="N475" t="n">
        <v>0</v>
      </c>
      <c r="O475" t="n">
        <v>0</v>
      </c>
      <c r="P475" t="n">
        <v>0</v>
      </c>
      <c r="Q475" t="n">
        <v>0</v>
      </c>
      <c r="R475" s="2" t="inlineStr"/>
    </row>
    <row r="476" ht="15" customHeight="1">
      <c r="A476" t="inlineStr">
        <is>
          <t>A 906-2025</t>
        </is>
      </c>
      <c r="B476" s="1" t="n">
        <v>45664</v>
      </c>
      <c r="C476" s="1" t="n">
        <v>46076</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61251-2024</t>
        </is>
      </c>
      <c r="B477" s="1" t="n">
        <v>45645</v>
      </c>
      <c r="C477" s="1" t="n">
        <v>46076</v>
      </c>
      <c r="D477" t="inlineStr">
        <is>
          <t>VÄRMLANDS LÄN</t>
        </is>
      </c>
      <c r="E477" t="inlineStr">
        <is>
          <t>TORSBY</t>
        </is>
      </c>
      <c r="G477" t="n">
        <v>1.7</v>
      </c>
      <c r="H477" t="n">
        <v>0</v>
      </c>
      <c r="I477" t="n">
        <v>0</v>
      </c>
      <c r="J477" t="n">
        <v>0</v>
      </c>
      <c r="K477" t="n">
        <v>0</v>
      </c>
      <c r="L477" t="n">
        <v>0</v>
      </c>
      <c r="M477" t="n">
        <v>0</v>
      </c>
      <c r="N477" t="n">
        <v>0</v>
      </c>
      <c r="O477" t="n">
        <v>0</v>
      </c>
      <c r="P477" t="n">
        <v>0</v>
      </c>
      <c r="Q477" t="n">
        <v>0</v>
      </c>
      <c r="R477" s="2" t="inlineStr"/>
    </row>
    <row r="478" ht="15" customHeight="1">
      <c r="A478" t="inlineStr">
        <is>
          <t>A 61259-2024</t>
        </is>
      </c>
      <c r="B478" s="1" t="n">
        <v>45645.71188657408</v>
      </c>
      <c r="C478" s="1" t="n">
        <v>46076</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20168-2022</t>
        </is>
      </c>
      <c r="B479" s="1" t="n">
        <v>44698.50056712963</v>
      </c>
      <c r="C479" s="1" t="n">
        <v>46076</v>
      </c>
      <c r="D479" t="inlineStr">
        <is>
          <t>VÄRMLANDS LÄN</t>
        </is>
      </c>
      <c r="E479" t="inlineStr">
        <is>
          <t>TORSBY</t>
        </is>
      </c>
      <c r="G479" t="n">
        <v>6.6</v>
      </c>
      <c r="H479" t="n">
        <v>0</v>
      </c>
      <c r="I479" t="n">
        <v>0</v>
      </c>
      <c r="J479" t="n">
        <v>0</v>
      </c>
      <c r="K479" t="n">
        <v>0</v>
      </c>
      <c r="L479" t="n">
        <v>0</v>
      </c>
      <c r="M479" t="n">
        <v>0</v>
      </c>
      <c r="N479" t="n">
        <v>0</v>
      </c>
      <c r="O479" t="n">
        <v>0</v>
      </c>
      <c r="P479" t="n">
        <v>0</v>
      </c>
      <c r="Q479" t="n">
        <v>0</v>
      </c>
      <c r="R479" s="2" t="inlineStr"/>
    </row>
    <row r="480" ht="15" customHeight="1">
      <c r="A480" t="inlineStr">
        <is>
          <t>A 2155-2024</t>
        </is>
      </c>
      <c r="B480" s="1" t="n">
        <v>45309</v>
      </c>
      <c r="C480" s="1" t="n">
        <v>46076</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56902-2023</t>
        </is>
      </c>
      <c r="B481" s="1" t="n">
        <v>45244</v>
      </c>
      <c r="C481" s="1" t="n">
        <v>46076</v>
      </c>
      <c r="D481" t="inlineStr">
        <is>
          <t>VÄRMLANDS LÄN</t>
        </is>
      </c>
      <c r="E481" t="inlineStr">
        <is>
          <t>TORSBY</t>
        </is>
      </c>
      <c r="G481" t="n">
        <v>17.4</v>
      </c>
      <c r="H481" t="n">
        <v>0</v>
      </c>
      <c r="I481" t="n">
        <v>0</v>
      </c>
      <c r="J481" t="n">
        <v>0</v>
      </c>
      <c r="K481" t="n">
        <v>0</v>
      </c>
      <c r="L481" t="n">
        <v>0</v>
      </c>
      <c r="M481" t="n">
        <v>0</v>
      </c>
      <c r="N481" t="n">
        <v>0</v>
      </c>
      <c r="O481" t="n">
        <v>0</v>
      </c>
      <c r="P481" t="n">
        <v>0</v>
      </c>
      <c r="Q481" t="n">
        <v>0</v>
      </c>
      <c r="R481" s="2" t="inlineStr"/>
    </row>
    <row r="482" ht="15" customHeight="1">
      <c r="A482" t="inlineStr">
        <is>
          <t>A 16192-2025</t>
        </is>
      </c>
      <c r="B482" s="1" t="n">
        <v>45750.59760416667</v>
      </c>
      <c r="C482" s="1" t="n">
        <v>46076</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54204-2023</t>
        </is>
      </c>
      <c r="B483" s="1" t="n">
        <v>45232.56141203704</v>
      </c>
      <c r="C483" s="1" t="n">
        <v>46076</v>
      </c>
      <c r="D483" t="inlineStr">
        <is>
          <t>VÄRMLANDS LÄN</t>
        </is>
      </c>
      <c r="E483" t="inlineStr">
        <is>
          <t>TORSBY</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10473-2023</t>
        </is>
      </c>
      <c r="B484" s="1" t="n">
        <v>44981</v>
      </c>
      <c r="C484" s="1" t="n">
        <v>46076</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12670-2023</t>
        </is>
      </c>
      <c r="B485" s="1" t="n">
        <v>45000.58043981482</v>
      </c>
      <c r="C485" s="1" t="n">
        <v>46076</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18365-2025</t>
        </is>
      </c>
      <c r="B486" s="1" t="n">
        <v>45762</v>
      </c>
      <c r="C486" s="1" t="n">
        <v>46076</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62445-2023</t>
        </is>
      </c>
      <c r="B487" s="1" t="n">
        <v>45268.47487268518</v>
      </c>
      <c r="C487" s="1" t="n">
        <v>46076</v>
      </c>
      <c r="D487" t="inlineStr">
        <is>
          <t>VÄRMLANDS LÄN</t>
        </is>
      </c>
      <c r="E487" t="inlineStr">
        <is>
          <t>TORSBY</t>
        </is>
      </c>
      <c r="G487" t="n">
        <v>2.2</v>
      </c>
      <c r="H487" t="n">
        <v>0</v>
      </c>
      <c r="I487" t="n">
        <v>0</v>
      </c>
      <c r="J487" t="n">
        <v>0</v>
      </c>
      <c r="K487" t="n">
        <v>0</v>
      </c>
      <c r="L487" t="n">
        <v>0</v>
      </c>
      <c r="M487" t="n">
        <v>0</v>
      </c>
      <c r="N487" t="n">
        <v>0</v>
      </c>
      <c r="O487" t="n">
        <v>0</v>
      </c>
      <c r="P487" t="n">
        <v>0</v>
      </c>
      <c r="Q487" t="n">
        <v>0</v>
      </c>
      <c r="R487" s="2" t="inlineStr"/>
    </row>
    <row r="488" ht="15" customHeight="1">
      <c r="A488" t="inlineStr">
        <is>
          <t>A 8284-2023</t>
        </is>
      </c>
      <c r="B488" s="1" t="n">
        <v>44974.64714120371</v>
      </c>
      <c r="C488" s="1" t="n">
        <v>46076</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43529-2023</t>
        </is>
      </c>
      <c r="B489" s="1" t="n">
        <v>45181</v>
      </c>
      <c r="C489" s="1" t="n">
        <v>46076</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485-2025</t>
        </is>
      </c>
      <c r="B490" s="1" t="n">
        <v>45664</v>
      </c>
      <c r="C490" s="1" t="n">
        <v>46076</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48239-2022</t>
        </is>
      </c>
      <c r="B491" s="1" t="n">
        <v>44858.45881944444</v>
      </c>
      <c r="C491" s="1" t="n">
        <v>46076</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26223-2021</t>
        </is>
      </c>
      <c r="B492" s="1" t="n">
        <v>44347</v>
      </c>
      <c r="C492" s="1" t="n">
        <v>46076</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2803-2025</t>
        </is>
      </c>
      <c r="B493" s="1" t="n">
        <v>45677</v>
      </c>
      <c r="C493" s="1" t="n">
        <v>46076</v>
      </c>
      <c r="D493" t="inlineStr">
        <is>
          <t>VÄRMLANDS LÄN</t>
        </is>
      </c>
      <c r="E493" t="inlineStr">
        <is>
          <t>TORSBY</t>
        </is>
      </c>
      <c r="F493" t="inlineStr">
        <is>
          <t>Bergvik skog väst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2807-2025</t>
        </is>
      </c>
      <c r="B494" s="1" t="n">
        <v>45677</v>
      </c>
      <c r="C494" s="1" t="n">
        <v>46076</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3442-2025</t>
        </is>
      </c>
      <c r="B495" s="1" t="n">
        <v>45680.45114583334</v>
      </c>
      <c r="C495" s="1" t="n">
        <v>46076</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18330-2024</t>
        </is>
      </c>
      <c r="B496" s="1" t="n">
        <v>45422</v>
      </c>
      <c r="C496" s="1" t="n">
        <v>46076</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31351-2024</t>
        </is>
      </c>
      <c r="B497" s="1" t="n">
        <v>45505</v>
      </c>
      <c r="C497" s="1" t="n">
        <v>46076</v>
      </c>
      <c r="D497" t="inlineStr">
        <is>
          <t>VÄRMLANDS LÄN</t>
        </is>
      </c>
      <c r="E497" t="inlineStr">
        <is>
          <t>TORSBY</t>
        </is>
      </c>
      <c r="F497" t="inlineStr">
        <is>
          <t>Kyrkan</t>
        </is>
      </c>
      <c r="G497" t="n">
        <v>6.5</v>
      </c>
      <c r="H497" t="n">
        <v>0</v>
      </c>
      <c r="I497" t="n">
        <v>0</v>
      </c>
      <c r="J497" t="n">
        <v>0</v>
      </c>
      <c r="K497" t="n">
        <v>0</v>
      </c>
      <c r="L497" t="n">
        <v>0</v>
      </c>
      <c r="M497" t="n">
        <v>0</v>
      </c>
      <c r="N497" t="n">
        <v>0</v>
      </c>
      <c r="O497" t="n">
        <v>0</v>
      </c>
      <c r="P497" t="n">
        <v>0</v>
      </c>
      <c r="Q497" t="n">
        <v>0</v>
      </c>
      <c r="R497" s="2" t="inlineStr"/>
    </row>
    <row r="498" ht="15" customHeight="1">
      <c r="A498" t="inlineStr">
        <is>
          <t>A 32332-2023</t>
        </is>
      </c>
      <c r="B498" s="1" t="n">
        <v>45110</v>
      </c>
      <c r="C498" s="1" t="n">
        <v>46076</v>
      </c>
      <c r="D498" t="inlineStr">
        <is>
          <t>VÄRMLANDS LÄN</t>
        </is>
      </c>
      <c r="E498" t="inlineStr">
        <is>
          <t>TORSBY</t>
        </is>
      </c>
      <c r="G498" t="n">
        <v>2</v>
      </c>
      <c r="H498" t="n">
        <v>0</v>
      </c>
      <c r="I498" t="n">
        <v>0</v>
      </c>
      <c r="J498" t="n">
        <v>0</v>
      </c>
      <c r="K498" t="n">
        <v>0</v>
      </c>
      <c r="L498" t="n">
        <v>0</v>
      </c>
      <c r="M498" t="n">
        <v>0</v>
      </c>
      <c r="N498" t="n">
        <v>0</v>
      </c>
      <c r="O498" t="n">
        <v>0</v>
      </c>
      <c r="P498" t="n">
        <v>0</v>
      </c>
      <c r="Q498" t="n">
        <v>0</v>
      </c>
      <c r="R498" s="2" t="inlineStr"/>
    </row>
    <row r="499" ht="15" customHeight="1">
      <c r="A499" t="inlineStr">
        <is>
          <t>A 37913-2022</t>
        </is>
      </c>
      <c r="B499" s="1" t="n">
        <v>44811</v>
      </c>
      <c r="C499" s="1" t="n">
        <v>46076</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61510-2022</t>
        </is>
      </c>
      <c r="B500" s="1" t="n">
        <v>44916.49820601852</v>
      </c>
      <c r="C500" s="1" t="n">
        <v>46076</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1120-2023</t>
        </is>
      </c>
      <c r="B501" s="1" t="n">
        <v>44935</v>
      </c>
      <c r="C501" s="1" t="n">
        <v>46076</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38486-2022</t>
        </is>
      </c>
      <c r="B502" s="1" t="n">
        <v>44813</v>
      </c>
      <c r="C502" s="1" t="n">
        <v>46076</v>
      </c>
      <c r="D502" t="inlineStr">
        <is>
          <t>VÄRMLANDS LÄN</t>
        </is>
      </c>
      <c r="E502" t="inlineStr">
        <is>
          <t>TORSBY</t>
        </is>
      </c>
      <c r="F502" t="inlineStr">
        <is>
          <t>Bergvik skog väst AB</t>
        </is>
      </c>
      <c r="G502" t="n">
        <v>9.6</v>
      </c>
      <c r="H502" t="n">
        <v>0</v>
      </c>
      <c r="I502" t="n">
        <v>0</v>
      </c>
      <c r="J502" t="n">
        <v>0</v>
      </c>
      <c r="K502" t="n">
        <v>0</v>
      </c>
      <c r="L502" t="n">
        <v>0</v>
      </c>
      <c r="M502" t="n">
        <v>0</v>
      </c>
      <c r="N502" t="n">
        <v>0</v>
      </c>
      <c r="O502" t="n">
        <v>0</v>
      </c>
      <c r="P502" t="n">
        <v>0</v>
      </c>
      <c r="Q502" t="n">
        <v>0</v>
      </c>
      <c r="R502" s="2" t="inlineStr"/>
    </row>
    <row r="503" ht="15" customHeight="1">
      <c r="A503" t="inlineStr">
        <is>
          <t>A 18105-2022</t>
        </is>
      </c>
      <c r="B503" s="1" t="n">
        <v>44684</v>
      </c>
      <c r="C503" s="1" t="n">
        <v>46076</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29908-2022</t>
        </is>
      </c>
      <c r="B504" s="1" t="n">
        <v>44756</v>
      </c>
      <c r="C504" s="1" t="n">
        <v>46076</v>
      </c>
      <c r="D504" t="inlineStr">
        <is>
          <t>VÄRMLANDS LÄN</t>
        </is>
      </c>
      <c r="E504" t="inlineStr">
        <is>
          <t>TORSBY</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15169-2025</t>
        </is>
      </c>
      <c r="B505" s="1" t="n">
        <v>45744</v>
      </c>
      <c r="C505" s="1" t="n">
        <v>46076</v>
      </c>
      <c r="D505" t="inlineStr">
        <is>
          <t>VÄRMLANDS LÄN</t>
        </is>
      </c>
      <c r="E505" t="inlineStr">
        <is>
          <t>TORSBY</t>
        </is>
      </c>
      <c r="G505" t="n">
        <v>3.5</v>
      </c>
      <c r="H505" t="n">
        <v>0</v>
      </c>
      <c r="I505" t="n">
        <v>0</v>
      </c>
      <c r="J505" t="n">
        <v>0</v>
      </c>
      <c r="K505" t="n">
        <v>0</v>
      </c>
      <c r="L505" t="n">
        <v>0</v>
      </c>
      <c r="M505" t="n">
        <v>0</v>
      </c>
      <c r="N505" t="n">
        <v>0</v>
      </c>
      <c r="O505" t="n">
        <v>0</v>
      </c>
      <c r="P505" t="n">
        <v>0</v>
      </c>
      <c r="Q505" t="n">
        <v>0</v>
      </c>
      <c r="R505" s="2" t="inlineStr"/>
    </row>
    <row r="506" ht="15" customHeight="1">
      <c r="A506" t="inlineStr">
        <is>
          <t>A 34105-2023</t>
        </is>
      </c>
      <c r="B506" s="1" t="n">
        <v>45126</v>
      </c>
      <c r="C506" s="1" t="n">
        <v>46076</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28598-2023</t>
        </is>
      </c>
      <c r="B507" s="1" t="n">
        <v>45103.57421296297</v>
      </c>
      <c r="C507" s="1" t="n">
        <v>46076</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38184-2024</t>
        </is>
      </c>
      <c r="B508" s="1" t="n">
        <v>45545</v>
      </c>
      <c r="C508" s="1" t="n">
        <v>46076</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15885-2025</t>
        </is>
      </c>
      <c r="B509" s="1" t="n">
        <v>45749</v>
      </c>
      <c r="C509" s="1" t="n">
        <v>46076</v>
      </c>
      <c r="D509" t="inlineStr">
        <is>
          <t>VÄRMLANDS LÄN</t>
        </is>
      </c>
      <c r="E509" t="inlineStr">
        <is>
          <t>TORSBY</t>
        </is>
      </c>
      <c r="G509" t="n">
        <v>9.9</v>
      </c>
      <c r="H509" t="n">
        <v>0</v>
      </c>
      <c r="I509" t="n">
        <v>0</v>
      </c>
      <c r="J509" t="n">
        <v>0</v>
      </c>
      <c r="K509" t="n">
        <v>0</v>
      </c>
      <c r="L509" t="n">
        <v>0</v>
      </c>
      <c r="M509" t="n">
        <v>0</v>
      </c>
      <c r="N509" t="n">
        <v>0</v>
      </c>
      <c r="O509" t="n">
        <v>0</v>
      </c>
      <c r="P509" t="n">
        <v>0</v>
      </c>
      <c r="Q509" t="n">
        <v>0</v>
      </c>
      <c r="R509" s="2" t="inlineStr"/>
    </row>
    <row r="510" ht="15" customHeight="1">
      <c r="A510" t="inlineStr">
        <is>
          <t>A 16017-2025</t>
        </is>
      </c>
      <c r="B510" s="1" t="n">
        <v>45749</v>
      </c>
      <c r="C510" s="1" t="n">
        <v>46076</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11776-2024</t>
        </is>
      </c>
      <c r="B511" s="1" t="n">
        <v>45374</v>
      </c>
      <c r="C511" s="1" t="n">
        <v>46076</v>
      </c>
      <c r="D511" t="inlineStr">
        <is>
          <t>VÄRMLANDS LÄN</t>
        </is>
      </c>
      <c r="E511" t="inlineStr">
        <is>
          <t>TORSBY</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43732-2022</t>
        </is>
      </c>
      <c r="B512" s="1" t="n">
        <v>44837.69357638889</v>
      </c>
      <c r="C512" s="1" t="n">
        <v>46076</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40009-2022</t>
        </is>
      </c>
      <c r="B513" s="1" t="n">
        <v>44820</v>
      </c>
      <c r="C513" s="1" t="n">
        <v>46076</v>
      </c>
      <c r="D513" t="inlineStr">
        <is>
          <t>VÄRMLANDS LÄN</t>
        </is>
      </c>
      <c r="E513" t="inlineStr">
        <is>
          <t>TORSBY</t>
        </is>
      </c>
      <c r="G513" t="n">
        <v>4.8</v>
      </c>
      <c r="H513" t="n">
        <v>0</v>
      </c>
      <c r="I513" t="n">
        <v>0</v>
      </c>
      <c r="J513" t="n">
        <v>0</v>
      </c>
      <c r="K513" t="n">
        <v>0</v>
      </c>
      <c r="L513" t="n">
        <v>0</v>
      </c>
      <c r="M513" t="n">
        <v>0</v>
      </c>
      <c r="N513" t="n">
        <v>0</v>
      </c>
      <c r="O513" t="n">
        <v>0</v>
      </c>
      <c r="P513" t="n">
        <v>0</v>
      </c>
      <c r="Q513" t="n">
        <v>0</v>
      </c>
      <c r="R513" s="2" t="inlineStr"/>
    </row>
    <row r="514" ht="15" customHeight="1">
      <c r="A514" t="inlineStr">
        <is>
          <t>A 61428-2022</t>
        </is>
      </c>
      <c r="B514" s="1" t="n">
        <v>44910</v>
      </c>
      <c r="C514" s="1" t="n">
        <v>46076</v>
      </c>
      <c r="D514" t="inlineStr">
        <is>
          <t>VÄRMLANDS LÄN</t>
        </is>
      </c>
      <c r="E514" t="inlineStr">
        <is>
          <t>TORSBY</t>
        </is>
      </c>
      <c r="G514" t="n">
        <v>0.5</v>
      </c>
      <c r="H514" t="n">
        <v>0</v>
      </c>
      <c r="I514" t="n">
        <v>0</v>
      </c>
      <c r="J514" t="n">
        <v>0</v>
      </c>
      <c r="K514" t="n">
        <v>0</v>
      </c>
      <c r="L514" t="n">
        <v>0</v>
      </c>
      <c r="M514" t="n">
        <v>0</v>
      </c>
      <c r="N514" t="n">
        <v>0</v>
      </c>
      <c r="O514" t="n">
        <v>0</v>
      </c>
      <c r="P514" t="n">
        <v>0</v>
      </c>
      <c r="Q514" t="n">
        <v>0</v>
      </c>
      <c r="R514" s="2" t="inlineStr"/>
    </row>
    <row r="515" ht="15" customHeight="1">
      <c r="A515" t="inlineStr">
        <is>
          <t>A 61432-2022</t>
        </is>
      </c>
      <c r="B515" s="1" t="n">
        <v>44910</v>
      </c>
      <c r="C515" s="1" t="n">
        <v>46076</v>
      </c>
      <c r="D515" t="inlineStr">
        <is>
          <t>VÄRMLANDS LÄN</t>
        </is>
      </c>
      <c r="E515" t="inlineStr">
        <is>
          <t>TORSBY</t>
        </is>
      </c>
      <c r="G515" t="n">
        <v>0.8</v>
      </c>
      <c r="H515" t="n">
        <v>0</v>
      </c>
      <c r="I515" t="n">
        <v>0</v>
      </c>
      <c r="J515" t="n">
        <v>0</v>
      </c>
      <c r="K515" t="n">
        <v>0</v>
      </c>
      <c r="L515" t="n">
        <v>0</v>
      </c>
      <c r="M515" t="n">
        <v>0</v>
      </c>
      <c r="N515" t="n">
        <v>0</v>
      </c>
      <c r="O515" t="n">
        <v>0</v>
      </c>
      <c r="P515" t="n">
        <v>0</v>
      </c>
      <c r="Q515" t="n">
        <v>0</v>
      </c>
      <c r="R515" s="2" t="inlineStr"/>
    </row>
    <row r="516" ht="15" customHeight="1">
      <c r="A516" t="inlineStr">
        <is>
          <t>A 5814-2024</t>
        </is>
      </c>
      <c r="B516" s="1" t="n">
        <v>45335</v>
      </c>
      <c r="C516" s="1" t="n">
        <v>46076</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35132-2022</t>
        </is>
      </c>
      <c r="B517" s="1" t="n">
        <v>44797</v>
      </c>
      <c r="C517" s="1" t="n">
        <v>46076</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43248-2022</t>
        </is>
      </c>
      <c r="B518" s="1" t="n">
        <v>44834</v>
      </c>
      <c r="C518" s="1" t="n">
        <v>46076</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56098-2024</t>
        </is>
      </c>
      <c r="B519" s="1" t="n">
        <v>45624.42371527778</v>
      </c>
      <c r="C519" s="1" t="n">
        <v>46076</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51144-2023</t>
        </is>
      </c>
      <c r="B520" s="1" t="n">
        <v>45212</v>
      </c>
      <c r="C520" s="1" t="n">
        <v>46076</v>
      </c>
      <c r="D520" t="inlineStr">
        <is>
          <t>VÄRMLANDS LÄN</t>
        </is>
      </c>
      <c r="E520" t="inlineStr">
        <is>
          <t>TORSBY</t>
        </is>
      </c>
      <c r="G520" t="n">
        <v>7.3</v>
      </c>
      <c r="H520" t="n">
        <v>0</v>
      </c>
      <c r="I520" t="n">
        <v>0</v>
      </c>
      <c r="J520" t="n">
        <v>0</v>
      </c>
      <c r="K520" t="n">
        <v>0</v>
      </c>
      <c r="L520" t="n">
        <v>0</v>
      </c>
      <c r="M520" t="n">
        <v>0</v>
      </c>
      <c r="N520" t="n">
        <v>0</v>
      </c>
      <c r="O520" t="n">
        <v>0</v>
      </c>
      <c r="P520" t="n">
        <v>0</v>
      </c>
      <c r="Q520" t="n">
        <v>0</v>
      </c>
      <c r="R520" s="2" t="inlineStr"/>
    </row>
    <row r="521" ht="15" customHeight="1">
      <c r="A521" t="inlineStr">
        <is>
          <t>A 39215-2022</t>
        </is>
      </c>
      <c r="B521" s="1" t="n">
        <v>44817</v>
      </c>
      <c r="C521" s="1" t="n">
        <v>46076</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46471-2024</t>
        </is>
      </c>
      <c r="B522" s="1" t="n">
        <v>45582.5517824074</v>
      </c>
      <c r="C522" s="1" t="n">
        <v>46076</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38286-2023</t>
        </is>
      </c>
      <c r="B523" s="1" t="n">
        <v>45161.63807870371</v>
      </c>
      <c r="C523" s="1" t="n">
        <v>46076</v>
      </c>
      <c r="D523" t="inlineStr">
        <is>
          <t>VÄRMLANDS LÄN</t>
        </is>
      </c>
      <c r="E523" t="inlineStr">
        <is>
          <t>TORSBY</t>
        </is>
      </c>
      <c r="F523" t="inlineStr">
        <is>
          <t>Kyrkan</t>
        </is>
      </c>
      <c r="G523" t="n">
        <v>6.5</v>
      </c>
      <c r="H523" t="n">
        <v>0</v>
      </c>
      <c r="I523" t="n">
        <v>0</v>
      </c>
      <c r="J523" t="n">
        <v>0</v>
      </c>
      <c r="K523" t="n">
        <v>0</v>
      </c>
      <c r="L523" t="n">
        <v>0</v>
      </c>
      <c r="M523" t="n">
        <v>0</v>
      </c>
      <c r="N523" t="n">
        <v>0</v>
      </c>
      <c r="O523" t="n">
        <v>0</v>
      </c>
      <c r="P523" t="n">
        <v>0</v>
      </c>
      <c r="Q523" t="n">
        <v>0</v>
      </c>
      <c r="R523" s="2" t="inlineStr"/>
    </row>
    <row r="524" ht="15" customHeight="1">
      <c r="A524" t="inlineStr">
        <is>
          <t>A 39216-2022</t>
        </is>
      </c>
      <c r="B524" s="1" t="n">
        <v>44817</v>
      </c>
      <c r="C524" s="1" t="n">
        <v>46076</v>
      </c>
      <c r="D524" t="inlineStr">
        <is>
          <t>VÄRMLANDS LÄN</t>
        </is>
      </c>
      <c r="E524" t="inlineStr">
        <is>
          <t>TORSBY</t>
        </is>
      </c>
      <c r="G524" t="n">
        <v>6.6</v>
      </c>
      <c r="H524" t="n">
        <v>0</v>
      </c>
      <c r="I524" t="n">
        <v>0</v>
      </c>
      <c r="J524" t="n">
        <v>0</v>
      </c>
      <c r="K524" t="n">
        <v>0</v>
      </c>
      <c r="L524" t="n">
        <v>0</v>
      </c>
      <c r="M524" t="n">
        <v>0</v>
      </c>
      <c r="N524" t="n">
        <v>0</v>
      </c>
      <c r="O524" t="n">
        <v>0</v>
      </c>
      <c r="P524" t="n">
        <v>0</v>
      </c>
      <c r="Q524" t="n">
        <v>0</v>
      </c>
      <c r="R524" s="2" t="inlineStr"/>
    </row>
    <row r="525" ht="15" customHeight="1">
      <c r="A525" t="inlineStr">
        <is>
          <t>A 68153-2021</t>
        </is>
      </c>
      <c r="B525" s="1" t="n">
        <v>44526.43881944445</v>
      </c>
      <c r="C525" s="1" t="n">
        <v>46076</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35609-2024</t>
        </is>
      </c>
      <c r="B526" s="1" t="n">
        <v>45531.68758101852</v>
      </c>
      <c r="C526" s="1" t="n">
        <v>46076</v>
      </c>
      <c r="D526" t="inlineStr">
        <is>
          <t>VÄRMLANDS LÄN</t>
        </is>
      </c>
      <c r="E526" t="inlineStr">
        <is>
          <t>TORSBY</t>
        </is>
      </c>
      <c r="G526" t="n">
        <v>38.3</v>
      </c>
      <c r="H526" t="n">
        <v>0</v>
      </c>
      <c r="I526" t="n">
        <v>0</v>
      </c>
      <c r="J526" t="n">
        <v>0</v>
      </c>
      <c r="K526" t="n">
        <v>0</v>
      </c>
      <c r="L526" t="n">
        <v>0</v>
      </c>
      <c r="M526" t="n">
        <v>0</v>
      </c>
      <c r="N526" t="n">
        <v>0</v>
      </c>
      <c r="O526" t="n">
        <v>0</v>
      </c>
      <c r="P526" t="n">
        <v>0</v>
      </c>
      <c r="Q526" t="n">
        <v>0</v>
      </c>
      <c r="R526" s="2" t="inlineStr"/>
    </row>
    <row r="527" ht="15" customHeight="1">
      <c r="A527" t="inlineStr">
        <is>
          <t>A 19662-2025</t>
        </is>
      </c>
      <c r="B527" s="1" t="n">
        <v>45770</v>
      </c>
      <c r="C527" s="1" t="n">
        <v>46076</v>
      </c>
      <c r="D527" t="inlineStr">
        <is>
          <t>VÄRMLANDS LÄN</t>
        </is>
      </c>
      <c r="E527" t="inlineStr">
        <is>
          <t>TORSBY</t>
        </is>
      </c>
      <c r="F527" t="inlineStr">
        <is>
          <t>Bergvik skog väst AB</t>
        </is>
      </c>
      <c r="G527" t="n">
        <v>11.6</v>
      </c>
      <c r="H527" t="n">
        <v>0</v>
      </c>
      <c r="I527" t="n">
        <v>0</v>
      </c>
      <c r="J527" t="n">
        <v>0</v>
      </c>
      <c r="K527" t="n">
        <v>0</v>
      </c>
      <c r="L527" t="n">
        <v>0</v>
      </c>
      <c r="M527" t="n">
        <v>0</v>
      </c>
      <c r="N527" t="n">
        <v>0</v>
      </c>
      <c r="O527" t="n">
        <v>0</v>
      </c>
      <c r="P527" t="n">
        <v>0</v>
      </c>
      <c r="Q527" t="n">
        <v>0</v>
      </c>
      <c r="R527" s="2" t="inlineStr"/>
    </row>
    <row r="528" ht="15" customHeight="1">
      <c r="A528" t="inlineStr">
        <is>
          <t>A 23843-2024</t>
        </is>
      </c>
      <c r="B528" s="1" t="n">
        <v>45455</v>
      </c>
      <c r="C528" s="1" t="n">
        <v>46076</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3409-2025</t>
        </is>
      </c>
      <c r="B529" s="1" t="n">
        <v>45680.39391203703</v>
      </c>
      <c r="C529" s="1" t="n">
        <v>46076</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40858-2023</t>
        </is>
      </c>
      <c r="B530" s="1" t="n">
        <v>45173.34709490741</v>
      </c>
      <c r="C530" s="1" t="n">
        <v>46076</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235-2024</t>
        </is>
      </c>
      <c r="B531" s="1" t="n">
        <v>45294.85100694445</v>
      </c>
      <c r="C531" s="1" t="n">
        <v>46076</v>
      </c>
      <c r="D531" t="inlineStr">
        <is>
          <t>VÄRMLANDS LÄN</t>
        </is>
      </c>
      <c r="E531" t="inlineStr">
        <is>
          <t>TORSBY</t>
        </is>
      </c>
      <c r="G531" t="n">
        <v>0.8</v>
      </c>
      <c r="H531" t="n">
        <v>0</v>
      </c>
      <c r="I531" t="n">
        <v>0</v>
      </c>
      <c r="J531" t="n">
        <v>0</v>
      </c>
      <c r="K531" t="n">
        <v>0</v>
      </c>
      <c r="L531" t="n">
        <v>0</v>
      </c>
      <c r="M531" t="n">
        <v>0</v>
      </c>
      <c r="N531" t="n">
        <v>0</v>
      </c>
      <c r="O531" t="n">
        <v>0</v>
      </c>
      <c r="P531" t="n">
        <v>0</v>
      </c>
      <c r="Q531" t="n">
        <v>0</v>
      </c>
      <c r="R531" s="2" t="inlineStr"/>
    </row>
    <row r="532" ht="15" customHeight="1">
      <c r="A532" t="inlineStr">
        <is>
          <t>A 19763-2025</t>
        </is>
      </c>
      <c r="B532" s="1" t="n">
        <v>45771.40707175926</v>
      </c>
      <c r="C532" s="1" t="n">
        <v>46076</v>
      </c>
      <c r="D532" t="inlineStr">
        <is>
          <t>VÄRMLANDS LÄN</t>
        </is>
      </c>
      <c r="E532" t="inlineStr">
        <is>
          <t>TORSBY</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57721-2022</t>
        </is>
      </c>
      <c r="B533" s="1" t="n">
        <v>44897.55278935185</v>
      </c>
      <c r="C533" s="1" t="n">
        <v>46076</v>
      </c>
      <c r="D533" t="inlineStr">
        <is>
          <t>VÄRMLANDS LÄN</t>
        </is>
      </c>
      <c r="E533" t="inlineStr">
        <is>
          <t>TORSBY</t>
        </is>
      </c>
      <c r="G533" t="n">
        <v>3.3</v>
      </c>
      <c r="H533" t="n">
        <v>0</v>
      </c>
      <c r="I533" t="n">
        <v>0</v>
      </c>
      <c r="J533" t="n">
        <v>0</v>
      </c>
      <c r="K533" t="n">
        <v>0</v>
      </c>
      <c r="L533" t="n">
        <v>0</v>
      </c>
      <c r="M533" t="n">
        <v>0</v>
      </c>
      <c r="N533" t="n">
        <v>0</v>
      </c>
      <c r="O533" t="n">
        <v>0</v>
      </c>
      <c r="P533" t="n">
        <v>0</v>
      </c>
      <c r="Q533" t="n">
        <v>0</v>
      </c>
      <c r="R533" s="2" t="inlineStr"/>
    </row>
    <row r="534" ht="15" customHeight="1">
      <c r="A534" t="inlineStr">
        <is>
          <t>A 24708-2024</t>
        </is>
      </c>
      <c r="B534" s="1" t="n">
        <v>45460</v>
      </c>
      <c r="C534" s="1" t="n">
        <v>46076</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4537-2025</t>
        </is>
      </c>
      <c r="B535" s="1" t="n">
        <v>45687.38836805556</v>
      </c>
      <c r="C535" s="1" t="n">
        <v>46076</v>
      </c>
      <c r="D535" t="inlineStr">
        <is>
          <t>VÄRMLANDS LÄN</t>
        </is>
      </c>
      <c r="E535" t="inlineStr">
        <is>
          <t>TORSBY</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38979-2023</t>
        </is>
      </c>
      <c r="B536" s="1" t="n">
        <v>45163.64584490741</v>
      </c>
      <c r="C536" s="1" t="n">
        <v>46076</v>
      </c>
      <c r="D536" t="inlineStr">
        <is>
          <t>VÄRMLANDS LÄN</t>
        </is>
      </c>
      <c r="E536" t="inlineStr">
        <is>
          <t>TORSBY</t>
        </is>
      </c>
      <c r="G536" t="n">
        <v>2.3</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46076</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46076</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47452-2024</t>
        </is>
      </c>
      <c r="B539" s="1" t="n">
        <v>45587</v>
      </c>
      <c r="C539" s="1" t="n">
        <v>46076</v>
      </c>
      <c r="D539" t="inlineStr">
        <is>
          <t>VÄRMLANDS LÄN</t>
        </is>
      </c>
      <c r="E539" t="inlineStr">
        <is>
          <t>TORSBY</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4640-2022</t>
        </is>
      </c>
      <c r="B540" s="1" t="n">
        <v>44592</v>
      </c>
      <c r="C540" s="1" t="n">
        <v>46076</v>
      </c>
      <c r="D540" t="inlineStr">
        <is>
          <t>VÄRMLANDS LÄN</t>
        </is>
      </c>
      <c r="E540" t="inlineStr">
        <is>
          <t>TORSBY</t>
        </is>
      </c>
      <c r="G540" t="n">
        <v>9</v>
      </c>
      <c r="H540" t="n">
        <v>0</v>
      </c>
      <c r="I540" t="n">
        <v>0</v>
      </c>
      <c r="J540" t="n">
        <v>0</v>
      </c>
      <c r="K540" t="n">
        <v>0</v>
      </c>
      <c r="L540" t="n">
        <v>0</v>
      </c>
      <c r="M540" t="n">
        <v>0</v>
      </c>
      <c r="N540" t="n">
        <v>0</v>
      </c>
      <c r="O540" t="n">
        <v>0</v>
      </c>
      <c r="P540" t="n">
        <v>0</v>
      </c>
      <c r="Q540" t="n">
        <v>0</v>
      </c>
      <c r="R540" s="2" t="inlineStr"/>
    </row>
    <row r="541" ht="15" customHeight="1">
      <c r="A541" t="inlineStr">
        <is>
          <t>A 54796-2024</t>
        </is>
      </c>
      <c r="B541" s="1" t="n">
        <v>45618</v>
      </c>
      <c r="C541" s="1" t="n">
        <v>46076</v>
      </c>
      <c r="D541" t="inlineStr">
        <is>
          <t>VÄRMLANDS LÄN</t>
        </is>
      </c>
      <c r="E541" t="inlineStr">
        <is>
          <t>TORSBY</t>
        </is>
      </c>
      <c r="G541" t="n">
        <v>0.8</v>
      </c>
      <c r="H541" t="n">
        <v>0</v>
      </c>
      <c r="I541" t="n">
        <v>0</v>
      </c>
      <c r="J541" t="n">
        <v>0</v>
      </c>
      <c r="K541" t="n">
        <v>0</v>
      </c>
      <c r="L541" t="n">
        <v>0</v>
      </c>
      <c r="M541" t="n">
        <v>0</v>
      </c>
      <c r="N541" t="n">
        <v>0</v>
      </c>
      <c r="O541" t="n">
        <v>0</v>
      </c>
      <c r="P541" t="n">
        <v>0</v>
      </c>
      <c r="Q541" t="n">
        <v>0</v>
      </c>
      <c r="R541" s="2" t="inlineStr"/>
    </row>
    <row r="542" ht="15" customHeight="1">
      <c r="A542" t="inlineStr">
        <is>
          <t>A 9226-2025</t>
        </is>
      </c>
      <c r="B542" s="1" t="n">
        <v>45714</v>
      </c>
      <c r="C542" s="1" t="n">
        <v>46076</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46076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35107-2024</t>
        </is>
      </c>
      <c r="B544" s="1" t="n">
        <v>45529.5588425926</v>
      </c>
      <c r="C544" s="1" t="n">
        <v>46076</v>
      </c>
      <c r="D544" t="inlineStr">
        <is>
          <t>VÄRMLANDS LÄN</t>
        </is>
      </c>
      <c r="E544" t="inlineStr">
        <is>
          <t>TORSBY</t>
        </is>
      </c>
      <c r="G544" t="n">
        <v>5.1</v>
      </c>
      <c r="H544" t="n">
        <v>0</v>
      </c>
      <c r="I544" t="n">
        <v>0</v>
      </c>
      <c r="J544" t="n">
        <v>0</v>
      </c>
      <c r="K544" t="n">
        <v>0</v>
      </c>
      <c r="L544" t="n">
        <v>0</v>
      </c>
      <c r="M544" t="n">
        <v>0</v>
      </c>
      <c r="N544" t="n">
        <v>0</v>
      </c>
      <c r="O544" t="n">
        <v>0</v>
      </c>
      <c r="P544" t="n">
        <v>0</v>
      </c>
      <c r="Q544" t="n">
        <v>0</v>
      </c>
      <c r="R544" s="2" t="inlineStr"/>
    </row>
    <row r="545" ht="15" customHeight="1">
      <c r="A545" t="inlineStr">
        <is>
          <t>A 29042-2023</t>
        </is>
      </c>
      <c r="B545" s="1" t="n">
        <v>45104</v>
      </c>
      <c r="C545" s="1" t="n">
        <v>46076</v>
      </c>
      <c r="D545" t="inlineStr">
        <is>
          <t>VÄRMLANDS LÄN</t>
        </is>
      </c>
      <c r="E545" t="inlineStr">
        <is>
          <t>TORSBY</t>
        </is>
      </c>
      <c r="G545" t="n">
        <v>2.8</v>
      </c>
      <c r="H545" t="n">
        <v>0</v>
      </c>
      <c r="I545" t="n">
        <v>0</v>
      </c>
      <c r="J545" t="n">
        <v>0</v>
      </c>
      <c r="K545" t="n">
        <v>0</v>
      </c>
      <c r="L545" t="n">
        <v>0</v>
      </c>
      <c r="M545" t="n">
        <v>0</v>
      </c>
      <c r="N545" t="n">
        <v>0</v>
      </c>
      <c r="O545" t="n">
        <v>0</v>
      </c>
      <c r="P545" t="n">
        <v>0</v>
      </c>
      <c r="Q545" t="n">
        <v>0</v>
      </c>
      <c r="R545" s="2" t="inlineStr"/>
    </row>
    <row r="546" ht="15" customHeight="1">
      <c r="A546" t="inlineStr">
        <is>
          <t>A 60710-2024</t>
        </is>
      </c>
      <c r="B546" s="1" t="n">
        <v>45643</v>
      </c>
      <c r="C546" s="1" t="n">
        <v>46076</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20120-2023</t>
        </is>
      </c>
      <c r="B547" s="1" t="n">
        <v>45055</v>
      </c>
      <c r="C547" s="1" t="n">
        <v>46076</v>
      </c>
      <c r="D547" t="inlineStr">
        <is>
          <t>VÄRMLANDS LÄN</t>
        </is>
      </c>
      <c r="E547" t="inlineStr">
        <is>
          <t>TORSBY</t>
        </is>
      </c>
      <c r="G547" t="n">
        <v>7.7</v>
      </c>
      <c r="H547" t="n">
        <v>0</v>
      </c>
      <c r="I547" t="n">
        <v>0</v>
      </c>
      <c r="J547" t="n">
        <v>0</v>
      </c>
      <c r="K547" t="n">
        <v>0</v>
      </c>
      <c r="L547" t="n">
        <v>0</v>
      </c>
      <c r="M547" t="n">
        <v>0</v>
      </c>
      <c r="N547" t="n">
        <v>0</v>
      </c>
      <c r="O547" t="n">
        <v>0</v>
      </c>
      <c r="P547" t="n">
        <v>0</v>
      </c>
      <c r="Q547" t="n">
        <v>0</v>
      </c>
      <c r="R547" s="2" t="inlineStr"/>
    </row>
    <row r="548" ht="15" customHeight="1">
      <c r="A548" t="inlineStr">
        <is>
          <t>A 38062-2024</t>
        </is>
      </c>
      <c r="B548" s="1" t="n">
        <v>45544</v>
      </c>
      <c r="C548" s="1" t="n">
        <v>46076</v>
      </c>
      <c r="D548" t="inlineStr">
        <is>
          <t>VÄRMLANDS LÄN</t>
        </is>
      </c>
      <c r="E548" t="inlineStr">
        <is>
          <t>TORSBY</t>
        </is>
      </c>
      <c r="F548" t="inlineStr">
        <is>
          <t>Bergvik skog väst AB</t>
        </is>
      </c>
      <c r="G548" t="n">
        <v>7.9</v>
      </c>
      <c r="H548" t="n">
        <v>0</v>
      </c>
      <c r="I548" t="n">
        <v>0</v>
      </c>
      <c r="J548" t="n">
        <v>0</v>
      </c>
      <c r="K548" t="n">
        <v>0</v>
      </c>
      <c r="L548" t="n">
        <v>0</v>
      </c>
      <c r="M548" t="n">
        <v>0</v>
      </c>
      <c r="N548" t="n">
        <v>0</v>
      </c>
      <c r="O548" t="n">
        <v>0</v>
      </c>
      <c r="P548" t="n">
        <v>0</v>
      </c>
      <c r="Q548" t="n">
        <v>0</v>
      </c>
      <c r="R548" s="2" t="inlineStr"/>
    </row>
    <row r="549" ht="15" customHeight="1">
      <c r="A549" t="inlineStr">
        <is>
          <t>A 15175-2024</t>
        </is>
      </c>
      <c r="B549" s="1" t="n">
        <v>45400</v>
      </c>
      <c r="C549" s="1" t="n">
        <v>46076</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38252-2023</t>
        </is>
      </c>
      <c r="B550" s="1" t="n">
        <v>45161</v>
      </c>
      <c r="C550" s="1" t="n">
        <v>46076</v>
      </c>
      <c r="D550" t="inlineStr">
        <is>
          <t>VÄRMLANDS LÄN</t>
        </is>
      </c>
      <c r="E550" t="inlineStr">
        <is>
          <t>TORSBY</t>
        </is>
      </c>
      <c r="G550" t="n">
        <v>9.6</v>
      </c>
      <c r="H550" t="n">
        <v>0</v>
      </c>
      <c r="I550" t="n">
        <v>0</v>
      </c>
      <c r="J550" t="n">
        <v>0</v>
      </c>
      <c r="K550" t="n">
        <v>0</v>
      </c>
      <c r="L550" t="n">
        <v>0</v>
      </c>
      <c r="M550" t="n">
        <v>0</v>
      </c>
      <c r="N550" t="n">
        <v>0</v>
      </c>
      <c r="O550" t="n">
        <v>0</v>
      </c>
      <c r="P550" t="n">
        <v>0</v>
      </c>
      <c r="Q550" t="n">
        <v>0</v>
      </c>
      <c r="R550" s="2" t="inlineStr"/>
    </row>
    <row r="551" ht="15" customHeight="1">
      <c r="A551" t="inlineStr">
        <is>
          <t>A 55092-2022</t>
        </is>
      </c>
      <c r="B551" s="1" t="n">
        <v>44886.61493055556</v>
      </c>
      <c r="C551" s="1" t="n">
        <v>46076</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22635-2022</t>
        </is>
      </c>
      <c r="B552" s="1" t="n">
        <v>44714</v>
      </c>
      <c r="C552" s="1" t="n">
        <v>46076</v>
      </c>
      <c r="D552" t="inlineStr">
        <is>
          <t>VÄRMLANDS LÄN</t>
        </is>
      </c>
      <c r="E552" t="inlineStr">
        <is>
          <t>TORSBY</t>
        </is>
      </c>
      <c r="G552" t="n">
        <v>0.4</v>
      </c>
      <c r="H552" t="n">
        <v>0</v>
      </c>
      <c r="I552" t="n">
        <v>0</v>
      </c>
      <c r="J552" t="n">
        <v>0</v>
      </c>
      <c r="K552" t="n">
        <v>0</v>
      </c>
      <c r="L552" t="n">
        <v>0</v>
      </c>
      <c r="M552" t="n">
        <v>0</v>
      </c>
      <c r="N552" t="n">
        <v>0</v>
      </c>
      <c r="O552" t="n">
        <v>0</v>
      </c>
      <c r="P552" t="n">
        <v>0</v>
      </c>
      <c r="Q552" t="n">
        <v>0</v>
      </c>
      <c r="R552" s="2" t="inlineStr"/>
    </row>
    <row r="553" ht="15" customHeight="1">
      <c r="A553" t="inlineStr">
        <is>
          <t>A 47602-2021</t>
        </is>
      </c>
      <c r="B553" s="1" t="n">
        <v>44448</v>
      </c>
      <c r="C553" s="1" t="n">
        <v>46076</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1527-2024</t>
        </is>
      </c>
      <c r="B554" s="1" t="n">
        <v>45306.45614583333</v>
      </c>
      <c r="C554" s="1" t="n">
        <v>46076</v>
      </c>
      <c r="D554" t="inlineStr">
        <is>
          <t>VÄRMLANDS LÄN</t>
        </is>
      </c>
      <c r="E554" t="inlineStr">
        <is>
          <t>TORSBY</t>
        </is>
      </c>
      <c r="G554" t="n">
        <v>2.9</v>
      </c>
      <c r="H554" t="n">
        <v>0</v>
      </c>
      <c r="I554" t="n">
        <v>0</v>
      </c>
      <c r="J554" t="n">
        <v>0</v>
      </c>
      <c r="K554" t="n">
        <v>0</v>
      </c>
      <c r="L554" t="n">
        <v>0</v>
      </c>
      <c r="M554" t="n">
        <v>0</v>
      </c>
      <c r="N554" t="n">
        <v>0</v>
      </c>
      <c r="O554" t="n">
        <v>0</v>
      </c>
      <c r="P554" t="n">
        <v>0</v>
      </c>
      <c r="Q554" t="n">
        <v>0</v>
      </c>
      <c r="R554" s="2" t="inlineStr"/>
    </row>
    <row r="555" ht="15" customHeight="1">
      <c r="A555" t="inlineStr">
        <is>
          <t>A 35762-2024</t>
        </is>
      </c>
      <c r="B555" s="1" t="n">
        <v>45532.57373842593</v>
      </c>
      <c r="C555" s="1" t="n">
        <v>46076</v>
      </c>
      <c r="D555" t="inlineStr">
        <is>
          <t>VÄRMLANDS LÄN</t>
        </is>
      </c>
      <c r="E555" t="inlineStr">
        <is>
          <t>TORSBY</t>
        </is>
      </c>
      <c r="G555" t="n">
        <v>11.8</v>
      </c>
      <c r="H555" t="n">
        <v>0</v>
      </c>
      <c r="I555" t="n">
        <v>0</v>
      </c>
      <c r="J555" t="n">
        <v>0</v>
      </c>
      <c r="K555" t="n">
        <v>0</v>
      </c>
      <c r="L555" t="n">
        <v>0</v>
      </c>
      <c r="M555" t="n">
        <v>0</v>
      </c>
      <c r="N555" t="n">
        <v>0</v>
      </c>
      <c r="O555" t="n">
        <v>0</v>
      </c>
      <c r="P555" t="n">
        <v>0</v>
      </c>
      <c r="Q555" t="n">
        <v>0</v>
      </c>
      <c r="R555" s="2" t="inlineStr"/>
    </row>
    <row r="556" ht="15" customHeight="1">
      <c r="A556" t="inlineStr">
        <is>
          <t>A 24896-2023</t>
        </is>
      </c>
      <c r="B556" s="1" t="n">
        <v>45085</v>
      </c>
      <c r="C556" s="1" t="n">
        <v>46076</v>
      </c>
      <c r="D556" t="inlineStr">
        <is>
          <t>VÄRMLANDS LÄN</t>
        </is>
      </c>
      <c r="E556" t="inlineStr">
        <is>
          <t>TORSBY</t>
        </is>
      </c>
      <c r="F556" t="inlineStr">
        <is>
          <t>Bergvik skog väst AB</t>
        </is>
      </c>
      <c r="G556" t="n">
        <v>4.7</v>
      </c>
      <c r="H556" t="n">
        <v>0</v>
      </c>
      <c r="I556" t="n">
        <v>0</v>
      </c>
      <c r="J556" t="n">
        <v>0</v>
      </c>
      <c r="K556" t="n">
        <v>0</v>
      </c>
      <c r="L556" t="n">
        <v>0</v>
      </c>
      <c r="M556" t="n">
        <v>0</v>
      </c>
      <c r="N556" t="n">
        <v>0</v>
      </c>
      <c r="O556" t="n">
        <v>0</v>
      </c>
      <c r="P556" t="n">
        <v>0</v>
      </c>
      <c r="Q556" t="n">
        <v>0</v>
      </c>
      <c r="R556" s="2" t="inlineStr"/>
    </row>
    <row r="557" ht="15" customHeight="1">
      <c r="A557" t="inlineStr">
        <is>
          <t>A 17687-2024</t>
        </is>
      </c>
      <c r="B557" s="1" t="n">
        <v>45418</v>
      </c>
      <c r="C557" s="1" t="n">
        <v>46076</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3864-2025</t>
        </is>
      </c>
      <c r="B558" s="1" t="n">
        <v>45684</v>
      </c>
      <c r="C558" s="1" t="n">
        <v>46076</v>
      </c>
      <c r="D558" t="inlineStr">
        <is>
          <t>VÄRMLANDS LÄN</t>
        </is>
      </c>
      <c r="E558" t="inlineStr">
        <is>
          <t>TORSBY</t>
        </is>
      </c>
      <c r="F558" t="inlineStr">
        <is>
          <t>Bergvik skog väst AB</t>
        </is>
      </c>
      <c r="G558" t="n">
        <v>8</v>
      </c>
      <c r="H558" t="n">
        <v>0</v>
      </c>
      <c r="I558" t="n">
        <v>0</v>
      </c>
      <c r="J558" t="n">
        <v>0</v>
      </c>
      <c r="K558" t="n">
        <v>0</v>
      </c>
      <c r="L558" t="n">
        <v>0</v>
      </c>
      <c r="M558" t="n">
        <v>0</v>
      </c>
      <c r="N558" t="n">
        <v>0</v>
      </c>
      <c r="O558" t="n">
        <v>0</v>
      </c>
      <c r="P558" t="n">
        <v>0</v>
      </c>
      <c r="Q558" t="n">
        <v>0</v>
      </c>
      <c r="R558" s="2" t="inlineStr"/>
    </row>
    <row r="559" ht="15" customHeight="1">
      <c r="A559" t="inlineStr">
        <is>
          <t>A 48629-2024</t>
        </is>
      </c>
      <c r="B559" s="1" t="n">
        <v>45593.46605324074</v>
      </c>
      <c r="C559" s="1" t="n">
        <v>46076</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53492-2022</t>
        </is>
      </c>
      <c r="B560" s="1" t="n">
        <v>44879.56734953704</v>
      </c>
      <c r="C560" s="1" t="n">
        <v>46076</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52750-2024</t>
        </is>
      </c>
      <c r="B561" s="1" t="n">
        <v>45610</v>
      </c>
      <c r="C561" s="1" t="n">
        <v>46076</v>
      </c>
      <c r="D561" t="inlineStr">
        <is>
          <t>VÄRMLANDS LÄN</t>
        </is>
      </c>
      <c r="E561" t="inlineStr">
        <is>
          <t>TORSBY</t>
        </is>
      </c>
      <c r="F561" t="inlineStr">
        <is>
          <t>Kyrkan</t>
        </is>
      </c>
      <c r="G561" t="n">
        <v>7.7</v>
      </c>
      <c r="H561" t="n">
        <v>0</v>
      </c>
      <c r="I561" t="n">
        <v>0</v>
      </c>
      <c r="J561" t="n">
        <v>0</v>
      </c>
      <c r="K561" t="n">
        <v>0</v>
      </c>
      <c r="L561" t="n">
        <v>0</v>
      </c>
      <c r="M561" t="n">
        <v>0</v>
      </c>
      <c r="N561" t="n">
        <v>0</v>
      </c>
      <c r="O561" t="n">
        <v>0</v>
      </c>
      <c r="P561" t="n">
        <v>0</v>
      </c>
      <c r="Q561" t="n">
        <v>0</v>
      </c>
      <c r="R561" s="2" t="inlineStr"/>
    </row>
    <row r="562" ht="15" customHeight="1">
      <c r="A562" t="inlineStr">
        <is>
          <t>A 67172-2021</t>
        </is>
      </c>
      <c r="B562" s="1" t="n">
        <v>44523.4271875</v>
      </c>
      <c r="C562" s="1" t="n">
        <v>46076</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53099-2024</t>
        </is>
      </c>
      <c r="B563" s="1" t="n">
        <v>45611.54206018519</v>
      </c>
      <c r="C563" s="1" t="n">
        <v>46076</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3269-2025</t>
        </is>
      </c>
      <c r="B564" s="1" t="n">
        <v>45679.58148148148</v>
      </c>
      <c r="C564" s="1" t="n">
        <v>46076</v>
      </c>
      <c r="D564" t="inlineStr">
        <is>
          <t>VÄRMLANDS LÄN</t>
        </is>
      </c>
      <c r="E564" t="inlineStr">
        <is>
          <t>TORSBY</t>
        </is>
      </c>
      <c r="G564" t="n">
        <v>6.9</v>
      </c>
      <c r="H564" t="n">
        <v>0</v>
      </c>
      <c r="I564" t="n">
        <v>0</v>
      </c>
      <c r="J564" t="n">
        <v>0</v>
      </c>
      <c r="K564" t="n">
        <v>0</v>
      </c>
      <c r="L564" t="n">
        <v>0</v>
      </c>
      <c r="M564" t="n">
        <v>0</v>
      </c>
      <c r="N564" t="n">
        <v>0</v>
      </c>
      <c r="O564" t="n">
        <v>0</v>
      </c>
      <c r="P564" t="n">
        <v>0</v>
      </c>
      <c r="Q564" t="n">
        <v>0</v>
      </c>
      <c r="R564" s="2" t="inlineStr"/>
    </row>
    <row r="565" ht="15" customHeight="1">
      <c r="A565" t="inlineStr">
        <is>
          <t>A 27906-2025</t>
        </is>
      </c>
      <c r="B565" s="1" t="n">
        <v>45817.47108796296</v>
      </c>
      <c r="C565" s="1" t="n">
        <v>46076</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25629-2024</t>
        </is>
      </c>
      <c r="B566" s="1" t="n">
        <v>45463</v>
      </c>
      <c r="C566" s="1" t="n">
        <v>46076</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27962-2025</t>
        </is>
      </c>
      <c r="B567" s="1" t="n">
        <v>45817.54878472222</v>
      </c>
      <c r="C567" s="1" t="n">
        <v>46076</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20255-2025</t>
        </is>
      </c>
      <c r="B568" s="1" t="n">
        <v>45772.9009375</v>
      </c>
      <c r="C568" s="1" t="n">
        <v>46076</v>
      </c>
      <c r="D568" t="inlineStr">
        <is>
          <t>VÄRMLANDS LÄN</t>
        </is>
      </c>
      <c r="E568" t="inlineStr">
        <is>
          <t>TORSBY</t>
        </is>
      </c>
      <c r="G568" t="n">
        <v>9</v>
      </c>
      <c r="H568" t="n">
        <v>0</v>
      </c>
      <c r="I568" t="n">
        <v>0</v>
      </c>
      <c r="J568" t="n">
        <v>0</v>
      </c>
      <c r="K568" t="n">
        <v>0</v>
      </c>
      <c r="L568" t="n">
        <v>0</v>
      </c>
      <c r="M568" t="n">
        <v>0</v>
      </c>
      <c r="N568" t="n">
        <v>0</v>
      </c>
      <c r="O568" t="n">
        <v>0</v>
      </c>
      <c r="P568" t="n">
        <v>0</v>
      </c>
      <c r="Q568" t="n">
        <v>0</v>
      </c>
      <c r="R568" s="2" t="inlineStr"/>
    </row>
    <row r="569" ht="15" customHeight="1">
      <c r="A569" t="inlineStr">
        <is>
          <t>A 6968-2025</t>
        </is>
      </c>
      <c r="B569" s="1" t="n">
        <v>45701.53253472222</v>
      </c>
      <c r="C569" s="1" t="n">
        <v>46076</v>
      </c>
      <c r="D569" t="inlineStr">
        <is>
          <t>VÄRMLANDS LÄN</t>
        </is>
      </c>
      <c r="E569" t="inlineStr">
        <is>
          <t>TORSBY</t>
        </is>
      </c>
      <c r="G569" t="n">
        <v>0.9</v>
      </c>
      <c r="H569" t="n">
        <v>0</v>
      </c>
      <c r="I569" t="n">
        <v>0</v>
      </c>
      <c r="J569" t="n">
        <v>0</v>
      </c>
      <c r="K569" t="n">
        <v>0</v>
      </c>
      <c r="L569" t="n">
        <v>0</v>
      </c>
      <c r="M569" t="n">
        <v>0</v>
      </c>
      <c r="N569" t="n">
        <v>0</v>
      </c>
      <c r="O569" t="n">
        <v>0</v>
      </c>
      <c r="P569" t="n">
        <v>0</v>
      </c>
      <c r="Q569" t="n">
        <v>0</v>
      </c>
      <c r="R569" s="2" t="inlineStr"/>
    </row>
    <row r="570" ht="15" customHeight="1">
      <c r="A570" t="inlineStr">
        <is>
          <t>A 27758-2025</t>
        </is>
      </c>
      <c r="B570" s="1" t="n">
        <v>45816</v>
      </c>
      <c r="C570" s="1" t="n">
        <v>46076</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16433-2023</t>
        </is>
      </c>
      <c r="B571" s="1" t="n">
        <v>45022</v>
      </c>
      <c r="C571" s="1" t="n">
        <v>46076</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27728-2025</t>
        </is>
      </c>
      <c r="B572" s="1" t="n">
        <v>45814</v>
      </c>
      <c r="C572" s="1" t="n">
        <v>46076</v>
      </c>
      <c r="D572" t="inlineStr">
        <is>
          <t>VÄRMLANDS LÄN</t>
        </is>
      </c>
      <c r="E572" t="inlineStr">
        <is>
          <t>TORSBY</t>
        </is>
      </c>
      <c r="F572" t="inlineStr">
        <is>
          <t>Bergvik skog väst AB</t>
        </is>
      </c>
      <c r="G572" t="n">
        <v>8.5</v>
      </c>
      <c r="H572" t="n">
        <v>0</v>
      </c>
      <c r="I572" t="n">
        <v>0</v>
      </c>
      <c r="J572" t="n">
        <v>0</v>
      </c>
      <c r="K572" t="n">
        <v>0</v>
      </c>
      <c r="L572" t="n">
        <v>0</v>
      </c>
      <c r="M572" t="n">
        <v>0</v>
      </c>
      <c r="N572" t="n">
        <v>0</v>
      </c>
      <c r="O572" t="n">
        <v>0</v>
      </c>
      <c r="P572" t="n">
        <v>0</v>
      </c>
      <c r="Q572" t="n">
        <v>0</v>
      </c>
      <c r="R572" s="2" t="inlineStr"/>
    </row>
    <row r="573" ht="15" customHeight="1">
      <c r="A573" t="inlineStr">
        <is>
          <t>A 16210-2025</t>
        </is>
      </c>
      <c r="B573" s="1" t="n">
        <v>45750</v>
      </c>
      <c r="C573" s="1" t="n">
        <v>46076</v>
      </c>
      <c r="D573" t="inlineStr">
        <is>
          <t>VÄRMLANDS LÄN</t>
        </is>
      </c>
      <c r="E573" t="inlineStr">
        <is>
          <t>TORSBY</t>
        </is>
      </c>
      <c r="F573" t="inlineStr">
        <is>
          <t>Bergvik skog väst AB</t>
        </is>
      </c>
      <c r="G573" t="n">
        <v>10.7</v>
      </c>
      <c r="H573" t="n">
        <v>0</v>
      </c>
      <c r="I573" t="n">
        <v>0</v>
      </c>
      <c r="J573" t="n">
        <v>0</v>
      </c>
      <c r="K573" t="n">
        <v>0</v>
      </c>
      <c r="L573" t="n">
        <v>0</v>
      </c>
      <c r="M573" t="n">
        <v>0</v>
      </c>
      <c r="N573" t="n">
        <v>0</v>
      </c>
      <c r="O573" t="n">
        <v>0</v>
      </c>
      <c r="P573" t="n">
        <v>0</v>
      </c>
      <c r="Q573" t="n">
        <v>0</v>
      </c>
      <c r="R573" s="2" t="inlineStr"/>
    </row>
    <row r="574" ht="15" customHeight="1">
      <c r="A574" t="inlineStr">
        <is>
          <t>A 12458-2023</t>
        </is>
      </c>
      <c r="B574" s="1" t="n">
        <v>44999</v>
      </c>
      <c r="C574" s="1" t="n">
        <v>46076</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28214-2025</t>
        </is>
      </c>
      <c r="B575" s="1" t="n">
        <v>45818</v>
      </c>
      <c r="C575" s="1" t="n">
        <v>46076</v>
      </c>
      <c r="D575" t="inlineStr">
        <is>
          <t>VÄRMLANDS LÄN</t>
        </is>
      </c>
      <c r="E575" t="inlineStr">
        <is>
          <t>TORSBY</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38771-2025</t>
        </is>
      </c>
      <c r="B576" s="1" t="n">
        <v>45887</v>
      </c>
      <c r="C576" s="1" t="n">
        <v>46076</v>
      </c>
      <c r="D576" t="inlineStr">
        <is>
          <t>VÄRMLANDS LÄN</t>
        </is>
      </c>
      <c r="E576" t="inlineStr">
        <is>
          <t>TORSBY</t>
        </is>
      </c>
      <c r="G576" t="n">
        <v>2.7</v>
      </c>
      <c r="H576" t="n">
        <v>0</v>
      </c>
      <c r="I576" t="n">
        <v>0</v>
      </c>
      <c r="J576" t="n">
        <v>0</v>
      </c>
      <c r="K576" t="n">
        <v>0</v>
      </c>
      <c r="L576" t="n">
        <v>0</v>
      </c>
      <c r="M576" t="n">
        <v>0</v>
      </c>
      <c r="N576" t="n">
        <v>0</v>
      </c>
      <c r="O576" t="n">
        <v>0</v>
      </c>
      <c r="P576" t="n">
        <v>0</v>
      </c>
      <c r="Q576" t="n">
        <v>0</v>
      </c>
      <c r="R576" s="2" t="inlineStr"/>
    </row>
    <row r="577" ht="15" customHeight="1">
      <c r="A577" t="inlineStr">
        <is>
          <t>A 19791-2025</t>
        </is>
      </c>
      <c r="B577" s="1" t="n">
        <v>45771.4452662037</v>
      </c>
      <c r="C577" s="1" t="n">
        <v>46076</v>
      </c>
      <c r="D577" t="inlineStr">
        <is>
          <t>VÄRMLANDS LÄN</t>
        </is>
      </c>
      <c r="E577" t="inlineStr">
        <is>
          <t>TORSBY</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3666-2023</t>
        </is>
      </c>
      <c r="B578" s="1" t="n">
        <v>44950</v>
      </c>
      <c r="C578" s="1" t="n">
        <v>46076</v>
      </c>
      <c r="D578" t="inlineStr">
        <is>
          <t>VÄRMLANDS LÄN</t>
        </is>
      </c>
      <c r="E578" t="inlineStr">
        <is>
          <t>TORSBY</t>
        </is>
      </c>
      <c r="G578" t="n">
        <v>6.8</v>
      </c>
      <c r="H578" t="n">
        <v>0</v>
      </c>
      <c r="I578" t="n">
        <v>0</v>
      </c>
      <c r="J578" t="n">
        <v>0</v>
      </c>
      <c r="K578" t="n">
        <v>0</v>
      </c>
      <c r="L578" t="n">
        <v>0</v>
      </c>
      <c r="M578" t="n">
        <v>0</v>
      </c>
      <c r="N578" t="n">
        <v>0</v>
      </c>
      <c r="O578" t="n">
        <v>0</v>
      </c>
      <c r="P578" t="n">
        <v>0</v>
      </c>
      <c r="Q578" t="n">
        <v>0</v>
      </c>
      <c r="R578" s="2" t="inlineStr"/>
    </row>
    <row r="579" ht="15" customHeight="1">
      <c r="A579" t="inlineStr">
        <is>
          <t>A 38536-2025</t>
        </is>
      </c>
      <c r="B579" s="1" t="n">
        <v>45884.42</v>
      </c>
      <c r="C579" s="1" t="n">
        <v>46076</v>
      </c>
      <c r="D579" t="inlineStr">
        <is>
          <t>VÄRMLANDS LÄN</t>
        </is>
      </c>
      <c r="E579" t="inlineStr">
        <is>
          <t>TORSBY</t>
        </is>
      </c>
      <c r="G579" t="n">
        <v>2.2</v>
      </c>
      <c r="H579" t="n">
        <v>0</v>
      </c>
      <c r="I579" t="n">
        <v>0</v>
      </c>
      <c r="J579" t="n">
        <v>0</v>
      </c>
      <c r="K579" t="n">
        <v>0</v>
      </c>
      <c r="L579" t="n">
        <v>0</v>
      </c>
      <c r="M579" t="n">
        <v>0</v>
      </c>
      <c r="N579" t="n">
        <v>0</v>
      </c>
      <c r="O579" t="n">
        <v>0</v>
      </c>
      <c r="P579" t="n">
        <v>0</v>
      </c>
      <c r="Q579" t="n">
        <v>0</v>
      </c>
      <c r="R579" s="2" t="inlineStr"/>
    </row>
    <row r="580" ht="15" customHeight="1">
      <c r="A580" t="inlineStr">
        <is>
          <t>A 5289-2022</t>
        </is>
      </c>
      <c r="B580" s="1" t="n">
        <v>44594.61883101852</v>
      </c>
      <c r="C580" s="1" t="n">
        <v>46076</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7127-2023</t>
        </is>
      </c>
      <c r="B581" s="1" t="n">
        <v>44970.41383101852</v>
      </c>
      <c r="C581" s="1" t="n">
        <v>46076</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52940-2024</t>
        </is>
      </c>
      <c r="B582" s="1" t="n">
        <v>45610</v>
      </c>
      <c r="C582" s="1" t="n">
        <v>46076</v>
      </c>
      <c r="D582" t="inlineStr">
        <is>
          <t>VÄRMLANDS LÄN</t>
        </is>
      </c>
      <c r="E582" t="inlineStr">
        <is>
          <t>TORSBY</t>
        </is>
      </c>
      <c r="G582" t="n">
        <v>3.7</v>
      </c>
      <c r="H582" t="n">
        <v>0</v>
      </c>
      <c r="I582" t="n">
        <v>0</v>
      </c>
      <c r="J582" t="n">
        <v>0</v>
      </c>
      <c r="K582" t="n">
        <v>0</v>
      </c>
      <c r="L582" t="n">
        <v>0</v>
      </c>
      <c r="M582" t="n">
        <v>0</v>
      </c>
      <c r="N582" t="n">
        <v>0</v>
      </c>
      <c r="O582" t="n">
        <v>0</v>
      </c>
      <c r="P582" t="n">
        <v>0</v>
      </c>
      <c r="Q582" t="n">
        <v>0</v>
      </c>
      <c r="R582" s="2" t="inlineStr"/>
    </row>
    <row r="583" ht="15" customHeight="1">
      <c r="A583" t="inlineStr">
        <is>
          <t>A 41504-2024</t>
        </is>
      </c>
      <c r="B583" s="1" t="n">
        <v>45560</v>
      </c>
      <c r="C583" s="1" t="n">
        <v>46076</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41518-2024</t>
        </is>
      </c>
      <c r="B584" s="1" t="n">
        <v>45560</v>
      </c>
      <c r="C584" s="1" t="n">
        <v>46076</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30267-2023</t>
        </is>
      </c>
      <c r="B585" s="1" t="n">
        <v>45110.75915509259</v>
      </c>
      <c r="C585" s="1" t="n">
        <v>46076</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30269-2023</t>
        </is>
      </c>
      <c r="B586" s="1" t="n">
        <v>45110.76082175926</v>
      </c>
      <c r="C586" s="1" t="n">
        <v>46076</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38808-2025</t>
        </is>
      </c>
      <c r="B587" s="1" t="n">
        <v>45887.47344907407</v>
      </c>
      <c r="C587" s="1" t="n">
        <v>46076</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35724-2022</t>
        </is>
      </c>
      <c r="B588" s="1" t="n">
        <v>44799</v>
      </c>
      <c r="C588" s="1" t="n">
        <v>46076</v>
      </c>
      <c r="D588" t="inlineStr">
        <is>
          <t>VÄRMLANDS LÄN</t>
        </is>
      </c>
      <c r="E588" t="inlineStr">
        <is>
          <t>TORSBY</t>
        </is>
      </c>
      <c r="G588" t="n">
        <v>3.9</v>
      </c>
      <c r="H588" t="n">
        <v>0</v>
      </c>
      <c r="I588" t="n">
        <v>0</v>
      </c>
      <c r="J588" t="n">
        <v>0</v>
      </c>
      <c r="K588" t="n">
        <v>0</v>
      </c>
      <c r="L588" t="n">
        <v>0</v>
      </c>
      <c r="M588" t="n">
        <v>0</v>
      </c>
      <c r="N588" t="n">
        <v>0</v>
      </c>
      <c r="O588" t="n">
        <v>0</v>
      </c>
      <c r="P588" t="n">
        <v>0</v>
      </c>
      <c r="Q588" t="n">
        <v>0</v>
      </c>
      <c r="R588" s="2" t="inlineStr"/>
    </row>
    <row r="589" ht="15" customHeight="1">
      <c r="A589" t="inlineStr">
        <is>
          <t>A 28116-2025</t>
        </is>
      </c>
      <c r="B589" s="1" t="n">
        <v>45818.28697916667</v>
      </c>
      <c r="C589" s="1" t="n">
        <v>46076</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28117-2025</t>
        </is>
      </c>
      <c r="B590" s="1" t="n">
        <v>45818</v>
      </c>
      <c r="C590" s="1" t="n">
        <v>46076</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28118-2025</t>
        </is>
      </c>
      <c r="B591" s="1" t="n">
        <v>45818</v>
      </c>
      <c r="C591" s="1" t="n">
        <v>46076</v>
      </c>
      <c r="D591" t="inlineStr">
        <is>
          <t>VÄRMLANDS LÄN</t>
        </is>
      </c>
      <c r="E591" t="inlineStr">
        <is>
          <t>TORSBY</t>
        </is>
      </c>
      <c r="F591" t="inlineStr">
        <is>
          <t>Bergvik skog väst AB</t>
        </is>
      </c>
      <c r="G591" t="n">
        <v>7.4</v>
      </c>
      <c r="H591" t="n">
        <v>0</v>
      </c>
      <c r="I591" t="n">
        <v>0</v>
      </c>
      <c r="J591" t="n">
        <v>0</v>
      </c>
      <c r="K591" t="n">
        <v>0</v>
      </c>
      <c r="L591" t="n">
        <v>0</v>
      </c>
      <c r="M591" t="n">
        <v>0</v>
      </c>
      <c r="N591" t="n">
        <v>0</v>
      </c>
      <c r="O591" t="n">
        <v>0</v>
      </c>
      <c r="P591" t="n">
        <v>0</v>
      </c>
      <c r="Q591" t="n">
        <v>0</v>
      </c>
      <c r="R591" s="2" t="inlineStr"/>
    </row>
    <row r="592" ht="15" customHeight="1">
      <c r="A592" t="inlineStr">
        <is>
          <t>A 38738-2025</t>
        </is>
      </c>
      <c r="B592" s="1" t="n">
        <v>45887.3715162037</v>
      </c>
      <c r="C592" s="1" t="n">
        <v>46076</v>
      </c>
      <c r="D592" t="inlineStr">
        <is>
          <t>VÄRMLANDS LÄN</t>
        </is>
      </c>
      <c r="E592" t="inlineStr">
        <is>
          <t>TORSBY</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74375-2021</t>
        </is>
      </c>
      <c r="B593" s="1" t="n">
        <v>44559.71840277778</v>
      </c>
      <c r="C593" s="1" t="n">
        <v>46076</v>
      </c>
      <c r="D593" t="inlineStr">
        <is>
          <t>VÄRMLANDS LÄN</t>
        </is>
      </c>
      <c r="E593" t="inlineStr">
        <is>
          <t>TORSBY</t>
        </is>
      </c>
      <c r="G593" t="n">
        <v>2.4</v>
      </c>
      <c r="H593" t="n">
        <v>0</v>
      </c>
      <c r="I593" t="n">
        <v>0</v>
      </c>
      <c r="J593" t="n">
        <v>0</v>
      </c>
      <c r="K593" t="n">
        <v>0</v>
      </c>
      <c r="L593" t="n">
        <v>0</v>
      </c>
      <c r="M593" t="n">
        <v>0</v>
      </c>
      <c r="N593" t="n">
        <v>0</v>
      </c>
      <c r="O593" t="n">
        <v>0</v>
      </c>
      <c r="P593" t="n">
        <v>0</v>
      </c>
      <c r="Q593" t="n">
        <v>0</v>
      </c>
      <c r="R593" s="2" t="inlineStr"/>
    </row>
    <row r="594" ht="15" customHeight="1">
      <c r="A594" t="inlineStr">
        <is>
          <t>A 28612-2025</t>
        </is>
      </c>
      <c r="B594" s="1" t="n">
        <v>45819</v>
      </c>
      <c r="C594" s="1" t="n">
        <v>46076</v>
      </c>
      <c r="D594" t="inlineStr">
        <is>
          <t>VÄRMLANDS LÄN</t>
        </is>
      </c>
      <c r="E594" t="inlineStr">
        <is>
          <t>TORSBY</t>
        </is>
      </c>
      <c r="G594" t="n">
        <v>5.2</v>
      </c>
      <c r="H594" t="n">
        <v>0</v>
      </c>
      <c r="I594" t="n">
        <v>0</v>
      </c>
      <c r="J594" t="n">
        <v>0</v>
      </c>
      <c r="K594" t="n">
        <v>0</v>
      </c>
      <c r="L594" t="n">
        <v>0</v>
      </c>
      <c r="M594" t="n">
        <v>0</v>
      </c>
      <c r="N594" t="n">
        <v>0</v>
      </c>
      <c r="O594" t="n">
        <v>0</v>
      </c>
      <c r="P594" t="n">
        <v>0</v>
      </c>
      <c r="Q594" t="n">
        <v>0</v>
      </c>
      <c r="R594" s="2" t="inlineStr"/>
    </row>
    <row r="595" ht="15" customHeight="1">
      <c r="A595" t="inlineStr">
        <is>
          <t>A 28511-2025</t>
        </is>
      </c>
      <c r="B595" s="1" t="n">
        <v>45819</v>
      </c>
      <c r="C595" s="1" t="n">
        <v>46076</v>
      </c>
      <c r="D595" t="inlineStr">
        <is>
          <t>VÄRMLANDS LÄN</t>
        </is>
      </c>
      <c r="E595" t="inlineStr">
        <is>
          <t>TORSBY</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28380-2025</t>
        </is>
      </c>
      <c r="B596" s="1" t="n">
        <v>45819.30581018519</v>
      </c>
      <c r="C596" s="1" t="n">
        <v>46076</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38611-2025</t>
        </is>
      </c>
      <c r="B597" s="1" t="n">
        <v>45884.53958333333</v>
      </c>
      <c r="C597" s="1" t="n">
        <v>46076</v>
      </c>
      <c r="D597" t="inlineStr">
        <is>
          <t>VÄRMLANDS LÄN</t>
        </is>
      </c>
      <c r="E597" t="inlineStr">
        <is>
          <t>TORSBY</t>
        </is>
      </c>
      <c r="G597" t="n">
        <v>3.3</v>
      </c>
      <c r="H597" t="n">
        <v>0</v>
      </c>
      <c r="I597" t="n">
        <v>0</v>
      </c>
      <c r="J597" t="n">
        <v>0</v>
      </c>
      <c r="K597" t="n">
        <v>0</v>
      </c>
      <c r="L597" t="n">
        <v>0</v>
      </c>
      <c r="M597" t="n">
        <v>0</v>
      </c>
      <c r="N597" t="n">
        <v>0</v>
      </c>
      <c r="O597" t="n">
        <v>0</v>
      </c>
      <c r="P597" t="n">
        <v>0</v>
      </c>
      <c r="Q597" t="n">
        <v>0</v>
      </c>
      <c r="R597" s="2" t="inlineStr"/>
    </row>
    <row r="598" ht="15" customHeight="1">
      <c r="A598" t="inlineStr">
        <is>
          <t>A 33782-2023</t>
        </is>
      </c>
      <c r="B598" s="1" t="n">
        <v>45120</v>
      </c>
      <c r="C598" s="1" t="n">
        <v>46076</v>
      </c>
      <c r="D598" t="inlineStr">
        <is>
          <t>VÄRMLANDS LÄN</t>
        </is>
      </c>
      <c r="E598" t="inlineStr">
        <is>
          <t>TORSBY</t>
        </is>
      </c>
      <c r="G598" t="n">
        <v>4.1</v>
      </c>
      <c r="H598" t="n">
        <v>0</v>
      </c>
      <c r="I598" t="n">
        <v>0</v>
      </c>
      <c r="J598" t="n">
        <v>0</v>
      </c>
      <c r="K598" t="n">
        <v>0</v>
      </c>
      <c r="L598" t="n">
        <v>0</v>
      </c>
      <c r="M598" t="n">
        <v>0</v>
      </c>
      <c r="N598" t="n">
        <v>0</v>
      </c>
      <c r="O598" t="n">
        <v>0</v>
      </c>
      <c r="P598" t="n">
        <v>0</v>
      </c>
      <c r="Q598" t="n">
        <v>0</v>
      </c>
      <c r="R598" s="2" t="inlineStr"/>
    </row>
    <row r="599" ht="15" customHeight="1">
      <c r="A599" t="inlineStr">
        <is>
          <t>A 70785-2021</t>
        </is>
      </c>
      <c r="B599" s="1" t="n">
        <v>44537</v>
      </c>
      <c r="C599" s="1" t="n">
        <v>46076</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6438-2022</t>
        </is>
      </c>
      <c r="B600" s="1" t="n">
        <v>44601.32209490741</v>
      </c>
      <c r="C600" s="1" t="n">
        <v>46076</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4172-2022</t>
        </is>
      </c>
      <c r="B601" s="1" t="n">
        <v>44588</v>
      </c>
      <c r="C601" s="1" t="n">
        <v>46076</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45056-2022</t>
        </is>
      </c>
      <c r="B602" s="1" t="n">
        <v>44841.72731481482</v>
      </c>
      <c r="C602" s="1" t="n">
        <v>46076</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28765-2025</t>
        </is>
      </c>
      <c r="B603" s="1" t="n">
        <v>45820.41982638889</v>
      </c>
      <c r="C603" s="1" t="n">
        <v>46076</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28791-2025</t>
        </is>
      </c>
      <c r="B604" s="1" t="n">
        <v>45820</v>
      </c>
      <c r="C604" s="1" t="n">
        <v>46076</v>
      </c>
      <c r="D604" t="inlineStr">
        <is>
          <t>VÄRMLANDS LÄN</t>
        </is>
      </c>
      <c r="E604" t="inlineStr">
        <is>
          <t>TORSBY</t>
        </is>
      </c>
      <c r="G604" t="n">
        <v>6.4</v>
      </c>
      <c r="H604" t="n">
        <v>0</v>
      </c>
      <c r="I604" t="n">
        <v>0</v>
      </c>
      <c r="J604" t="n">
        <v>0</v>
      </c>
      <c r="K604" t="n">
        <v>0</v>
      </c>
      <c r="L604" t="n">
        <v>0</v>
      </c>
      <c r="M604" t="n">
        <v>0</v>
      </c>
      <c r="N604" t="n">
        <v>0</v>
      </c>
      <c r="O604" t="n">
        <v>0</v>
      </c>
      <c r="P604" t="n">
        <v>0</v>
      </c>
      <c r="Q604" t="n">
        <v>0</v>
      </c>
      <c r="R604" s="2" t="inlineStr"/>
    </row>
    <row r="605" ht="15" customHeight="1">
      <c r="A605" t="inlineStr">
        <is>
          <t>A 56811-2023</t>
        </is>
      </c>
      <c r="B605" s="1" t="n">
        <v>45244</v>
      </c>
      <c r="C605" s="1" t="n">
        <v>46076</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14120-2025</t>
        </is>
      </c>
      <c r="B606" s="1" t="n">
        <v>45740</v>
      </c>
      <c r="C606" s="1" t="n">
        <v>46076</v>
      </c>
      <c r="D606" t="inlineStr">
        <is>
          <t>VÄRMLANDS LÄN</t>
        </is>
      </c>
      <c r="E606" t="inlineStr">
        <is>
          <t>TORSBY</t>
        </is>
      </c>
      <c r="G606" t="n">
        <v>3.3</v>
      </c>
      <c r="H606" t="n">
        <v>0</v>
      </c>
      <c r="I606" t="n">
        <v>0</v>
      </c>
      <c r="J606" t="n">
        <v>0</v>
      </c>
      <c r="K606" t="n">
        <v>0</v>
      </c>
      <c r="L606" t="n">
        <v>0</v>
      </c>
      <c r="M606" t="n">
        <v>0</v>
      </c>
      <c r="N606" t="n">
        <v>0</v>
      </c>
      <c r="O606" t="n">
        <v>0</v>
      </c>
      <c r="P606" t="n">
        <v>0</v>
      </c>
      <c r="Q606" t="n">
        <v>0</v>
      </c>
      <c r="R606" s="2" t="inlineStr"/>
    </row>
    <row r="607" ht="15" customHeight="1">
      <c r="A607" t="inlineStr">
        <is>
          <t>A 28774-2025</t>
        </is>
      </c>
      <c r="B607" s="1" t="n">
        <v>45820.4434375</v>
      </c>
      <c r="C607" s="1" t="n">
        <v>46076</v>
      </c>
      <c r="D607" t="inlineStr">
        <is>
          <t>VÄRMLANDS LÄN</t>
        </is>
      </c>
      <c r="E607" t="inlineStr">
        <is>
          <t>TORSBY</t>
        </is>
      </c>
      <c r="G607" t="n">
        <v>7</v>
      </c>
      <c r="H607" t="n">
        <v>0</v>
      </c>
      <c r="I607" t="n">
        <v>0</v>
      </c>
      <c r="J607" t="n">
        <v>0</v>
      </c>
      <c r="K607" t="n">
        <v>0</v>
      </c>
      <c r="L607" t="n">
        <v>0</v>
      </c>
      <c r="M607" t="n">
        <v>0</v>
      </c>
      <c r="N607" t="n">
        <v>0</v>
      </c>
      <c r="O607" t="n">
        <v>0</v>
      </c>
      <c r="P607" t="n">
        <v>0</v>
      </c>
      <c r="Q607" t="n">
        <v>0</v>
      </c>
      <c r="R607" s="2" t="inlineStr"/>
    </row>
    <row r="608" ht="15" customHeight="1">
      <c r="A608" t="inlineStr">
        <is>
          <t>A 38905-2025</t>
        </is>
      </c>
      <c r="B608" s="1" t="n">
        <v>45884</v>
      </c>
      <c r="C608" s="1" t="n">
        <v>46076</v>
      </c>
      <c r="D608" t="inlineStr">
        <is>
          <t>VÄRMLANDS LÄN</t>
        </is>
      </c>
      <c r="E608" t="inlineStr">
        <is>
          <t>TORSBY</t>
        </is>
      </c>
      <c r="G608" t="n">
        <v>5.4</v>
      </c>
      <c r="H608" t="n">
        <v>0</v>
      </c>
      <c r="I608" t="n">
        <v>0</v>
      </c>
      <c r="J608" t="n">
        <v>0</v>
      </c>
      <c r="K608" t="n">
        <v>0</v>
      </c>
      <c r="L608" t="n">
        <v>0</v>
      </c>
      <c r="M608" t="n">
        <v>0</v>
      </c>
      <c r="N608" t="n">
        <v>0</v>
      </c>
      <c r="O608" t="n">
        <v>0</v>
      </c>
      <c r="P608" t="n">
        <v>0</v>
      </c>
      <c r="Q608" t="n">
        <v>0</v>
      </c>
      <c r="R608" s="2" t="inlineStr"/>
    </row>
    <row r="609" ht="15" customHeight="1">
      <c r="A609" t="inlineStr">
        <is>
          <t>A 56107-2024</t>
        </is>
      </c>
      <c r="B609" s="1" t="n">
        <v>45624.44055555556</v>
      </c>
      <c r="C609" s="1" t="n">
        <v>46076</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42414-2024</t>
        </is>
      </c>
      <c r="B610" s="1" t="n">
        <v>45565</v>
      </c>
      <c r="C610" s="1" t="n">
        <v>46076</v>
      </c>
      <c r="D610" t="inlineStr">
        <is>
          <t>VÄRMLANDS LÄN</t>
        </is>
      </c>
      <c r="E610" t="inlineStr">
        <is>
          <t>TORSBY</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26124-2024</t>
        </is>
      </c>
      <c r="B611" s="1" t="n">
        <v>45468</v>
      </c>
      <c r="C611" s="1" t="n">
        <v>46076</v>
      </c>
      <c r="D611" t="inlineStr">
        <is>
          <t>VÄRMLANDS LÄN</t>
        </is>
      </c>
      <c r="E611" t="inlineStr">
        <is>
          <t>TORSBY</t>
        </is>
      </c>
      <c r="G611" t="n">
        <v>5.7</v>
      </c>
      <c r="H611" t="n">
        <v>0</v>
      </c>
      <c r="I611" t="n">
        <v>0</v>
      </c>
      <c r="J611" t="n">
        <v>0</v>
      </c>
      <c r="K611" t="n">
        <v>0</v>
      </c>
      <c r="L611" t="n">
        <v>0</v>
      </c>
      <c r="M611" t="n">
        <v>0</v>
      </c>
      <c r="N611" t="n">
        <v>0</v>
      </c>
      <c r="O611" t="n">
        <v>0</v>
      </c>
      <c r="P611" t="n">
        <v>0</v>
      </c>
      <c r="Q611" t="n">
        <v>0</v>
      </c>
      <c r="R611" s="2" t="inlineStr"/>
    </row>
    <row r="612" ht="15" customHeight="1">
      <c r="A612" t="inlineStr">
        <is>
          <t>A 28898-2025</t>
        </is>
      </c>
      <c r="B612" s="1" t="n">
        <v>45820.63644675926</v>
      </c>
      <c r="C612" s="1" t="n">
        <v>46076</v>
      </c>
      <c r="D612" t="inlineStr">
        <is>
          <t>VÄRMLANDS LÄN</t>
        </is>
      </c>
      <c r="E612" t="inlineStr">
        <is>
          <t>TORSBY</t>
        </is>
      </c>
      <c r="G612" t="n">
        <v>6.2</v>
      </c>
      <c r="H612" t="n">
        <v>0</v>
      </c>
      <c r="I612" t="n">
        <v>0</v>
      </c>
      <c r="J612" t="n">
        <v>0</v>
      </c>
      <c r="K612" t="n">
        <v>0</v>
      </c>
      <c r="L612" t="n">
        <v>0</v>
      </c>
      <c r="M612" t="n">
        <v>0</v>
      </c>
      <c r="N612" t="n">
        <v>0</v>
      </c>
      <c r="O612" t="n">
        <v>0</v>
      </c>
      <c r="P612" t="n">
        <v>0</v>
      </c>
      <c r="Q612" t="n">
        <v>0</v>
      </c>
      <c r="R612" s="2" t="inlineStr"/>
    </row>
    <row r="613" ht="15" customHeight="1">
      <c r="A613" t="inlineStr">
        <is>
          <t>A 29071-2025</t>
        </is>
      </c>
      <c r="B613" s="1" t="n">
        <v>45821</v>
      </c>
      <c r="C613" s="1" t="n">
        <v>46076</v>
      </c>
      <c r="D613" t="inlineStr">
        <is>
          <t>VÄRMLANDS LÄN</t>
        </is>
      </c>
      <c r="E613" t="inlineStr">
        <is>
          <t>TORSBY</t>
        </is>
      </c>
      <c r="G613" t="n">
        <v>4.2</v>
      </c>
      <c r="H613" t="n">
        <v>0</v>
      </c>
      <c r="I613" t="n">
        <v>0</v>
      </c>
      <c r="J613" t="n">
        <v>0</v>
      </c>
      <c r="K613" t="n">
        <v>0</v>
      </c>
      <c r="L613" t="n">
        <v>0</v>
      </c>
      <c r="M613" t="n">
        <v>0</v>
      </c>
      <c r="N613" t="n">
        <v>0</v>
      </c>
      <c r="O613" t="n">
        <v>0</v>
      </c>
      <c r="P613" t="n">
        <v>0</v>
      </c>
      <c r="Q613" t="n">
        <v>0</v>
      </c>
      <c r="R613" s="2" t="inlineStr"/>
    </row>
    <row r="614" ht="15" customHeight="1">
      <c r="A614" t="inlineStr">
        <is>
          <t>A 11878-2024</t>
        </is>
      </c>
      <c r="B614" s="1" t="n">
        <v>45376.47877314815</v>
      </c>
      <c r="C614" s="1" t="n">
        <v>46076</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28761-2025</t>
        </is>
      </c>
      <c r="B615" s="1" t="n">
        <v>45820.41648148148</v>
      </c>
      <c r="C615" s="1" t="n">
        <v>46076</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28939-2025</t>
        </is>
      </c>
      <c r="B616" s="1" t="n">
        <v>45820.71350694444</v>
      </c>
      <c r="C616" s="1" t="n">
        <v>46076</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29063-2025</t>
        </is>
      </c>
      <c r="B617" s="1" t="n">
        <v>45821</v>
      </c>
      <c r="C617" s="1" t="n">
        <v>46076</v>
      </c>
      <c r="D617" t="inlineStr">
        <is>
          <t>VÄRMLANDS LÄN</t>
        </is>
      </c>
      <c r="E617" t="inlineStr">
        <is>
          <t>TORSBY</t>
        </is>
      </c>
      <c r="G617" t="n">
        <v>10.2</v>
      </c>
      <c r="H617" t="n">
        <v>0</v>
      </c>
      <c r="I617" t="n">
        <v>0</v>
      </c>
      <c r="J617" t="n">
        <v>0</v>
      </c>
      <c r="K617" t="n">
        <v>0</v>
      </c>
      <c r="L617" t="n">
        <v>0</v>
      </c>
      <c r="M617" t="n">
        <v>0</v>
      </c>
      <c r="N617" t="n">
        <v>0</v>
      </c>
      <c r="O617" t="n">
        <v>0</v>
      </c>
      <c r="P617" t="n">
        <v>0</v>
      </c>
      <c r="Q617" t="n">
        <v>0</v>
      </c>
      <c r="R617" s="2" t="inlineStr"/>
    </row>
    <row r="618" ht="15" customHeight="1">
      <c r="A618" t="inlineStr">
        <is>
          <t>A 28784-2025</t>
        </is>
      </c>
      <c r="B618" s="1" t="n">
        <v>45820</v>
      </c>
      <c r="C618" s="1" t="n">
        <v>46076</v>
      </c>
      <c r="D618" t="inlineStr">
        <is>
          <t>VÄRMLANDS LÄN</t>
        </is>
      </c>
      <c r="E618" t="inlineStr">
        <is>
          <t>TORSBY</t>
        </is>
      </c>
      <c r="G618" t="n">
        <v>3.5</v>
      </c>
      <c r="H618" t="n">
        <v>0</v>
      </c>
      <c r="I618" t="n">
        <v>0</v>
      </c>
      <c r="J618" t="n">
        <v>0</v>
      </c>
      <c r="K618" t="n">
        <v>0</v>
      </c>
      <c r="L618" t="n">
        <v>0</v>
      </c>
      <c r="M618" t="n">
        <v>0</v>
      </c>
      <c r="N618" t="n">
        <v>0</v>
      </c>
      <c r="O618" t="n">
        <v>0</v>
      </c>
      <c r="P618" t="n">
        <v>0</v>
      </c>
      <c r="Q618" t="n">
        <v>0</v>
      </c>
      <c r="R618" s="2" t="inlineStr"/>
    </row>
    <row r="619" ht="15" customHeight="1">
      <c r="A619" t="inlineStr">
        <is>
          <t>A 53381-2022</t>
        </is>
      </c>
      <c r="B619" s="1" t="n">
        <v>44879</v>
      </c>
      <c r="C619" s="1" t="n">
        <v>46076</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29512-2025</t>
        </is>
      </c>
      <c r="B620" s="1" t="n">
        <v>45825.31002314815</v>
      </c>
      <c r="C620" s="1" t="n">
        <v>46076</v>
      </c>
      <c r="D620" t="inlineStr">
        <is>
          <t>VÄRMLANDS LÄN</t>
        </is>
      </c>
      <c r="E620" t="inlineStr">
        <is>
          <t>TORSBY</t>
        </is>
      </c>
      <c r="F620" t="inlineStr">
        <is>
          <t>Bergvik skog väst AB</t>
        </is>
      </c>
      <c r="G620" t="n">
        <v>17.9</v>
      </c>
      <c r="H620" t="n">
        <v>0</v>
      </c>
      <c r="I620" t="n">
        <v>0</v>
      </c>
      <c r="J620" t="n">
        <v>0</v>
      </c>
      <c r="K620" t="n">
        <v>0</v>
      </c>
      <c r="L620" t="n">
        <v>0</v>
      </c>
      <c r="M620" t="n">
        <v>0</v>
      </c>
      <c r="N620" t="n">
        <v>0</v>
      </c>
      <c r="O620" t="n">
        <v>0</v>
      </c>
      <c r="P620" t="n">
        <v>0</v>
      </c>
      <c r="Q620" t="n">
        <v>0</v>
      </c>
      <c r="R620" s="2" t="inlineStr"/>
    </row>
    <row r="621" ht="15" customHeight="1">
      <c r="A621" t="inlineStr">
        <is>
          <t>A 41160-2023</t>
        </is>
      </c>
      <c r="B621" s="1" t="n">
        <v>45174</v>
      </c>
      <c r="C621" s="1" t="n">
        <v>46076</v>
      </c>
      <c r="D621" t="inlineStr">
        <is>
          <t>VÄRMLANDS LÄN</t>
        </is>
      </c>
      <c r="E621" t="inlineStr">
        <is>
          <t>TORSBY</t>
        </is>
      </c>
      <c r="F621" t="inlineStr">
        <is>
          <t>Kyrkan</t>
        </is>
      </c>
      <c r="G621" t="n">
        <v>2.7</v>
      </c>
      <c r="H621" t="n">
        <v>0</v>
      </c>
      <c r="I621" t="n">
        <v>0</v>
      </c>
      <c r="J621" t="n">
        <v>0</v>
      </c>
      <c r="K621" t="n">
        <v>0</v>
      </c>
      <c r="L621" t="n">
        <v>0</v>
      </c>
      <c r="M621" t="n">
        <v>0</v>
      </c>
      <c r="N621" t="n">
        <v>0</v>
      </c>
      <c r="O621" t="n">
        <v>0</v>
      </c>
      <c r="P621" t="n">
        <v>0</v>
      </c>
      <c r="Q621" t="n">
        <v>0</v>
      </c>
      <c r="R621" s="2" t="inlineStr"/>
    </row>
    <row r="622" ht="15" customHeight="1">
      <c r="A622" t="inlineStr">
        <is>
          <t>A 39208-2025</t>
        </is>
      </c>
      <c r="B622" s="1" t="n">
        <v>45888</v>
      </c>
      <c r="C622" s="1" t="n">
        <v>46076</v>
      </c>
      <c r="D622" t="inlineStr">
        <is>
          <t>VÄRMLANDS LÄN</t>
        </is>
      </c>
      <c r="E622" t="inlineStr">
        <is>
          <t>TORSBY</t>
        </is>
      </c>
      <c r="F622" t="inlineStr">
        <is>
          <t>Bergvik skog väst AB</t>
        </is>
      </c>
      <c r="G622" t="n">
        <v>39.1</v>
      </c>
      <c r="H622" t="n">
        <v>0</v>
      </c>
      <c r="I622" t="n">
        <v>0</v>
      </c>
      <c r="J622" t="n">
        <v>0</v>
      </c>
      <c r="K622" t="n">
        <v>0</v>
      </c>
      <c r="L622" t="n">
        <v>0</v>
      </c>
      <c r="M622" t="n">
        <v>0</v>
      </c>
      <c r="N622" t="n">
        <v>0</v>
      </c>
      <c r="O622" t="n">
        <v>0</v>
      </c>
      <c r="P622" t="n">
        <v>0</v>
      </c>
      <c r="Q622" t="n">
        <v>0</v>
      </c>
      <c r="R622" s="2" t="inlineStr"/>
    </row>
    <row r="623" ht="15" customHeight="1">
      <c r="A623" t="inlineStr">
        <is>
          <t>A 39451-2025</t>
        </is>
      </c>
      <c r="B623" s="1" t="n">
        <v>45889.72677083333</v>
      </c>
      <c r="C623" s="1" t="n">
        <v>46076</v>
      </c>
      <c r="D623" t="inlineStr">
        <is>
          <t>VÄRMLANDS LÄN</t>
        </is>
      </c>
      <c r="E623" t="inlineStr">
        <is>
          <t>TORSBY</t>
        </is>
      </c>
      <c r="F623" t="inlineStr">
        <is>
          <t>Bergvik skog väst AB</t>
        </is>
      </c>
      <c r="G623" t="n">
        <v>7.5</v>
      </c>
      <c r="H623" t="n">
        <v>0</v>
      </c>
      <c r="I623" t="n">
        <v>0</v>
      </c>
      <c r="J623" t="n">
        <v>0</v>
      </c>
      <c r="K623" t="n">
        <v>0</v>
      </c>
      <c r="L623" t="n">
        <v>0</v>
      </c>
      <c r="M623" t="n">
        <v>0</v>
      </c>
      <c r="N623" t="n">
        <v>0</v>
      </c>
      <c r="O623" t="n">
        <v>0</v>
      </c>
      <c r="P623" t="n">
        <v>0</v>
      </c>
      <c r="Q623" t="n">
        <v>0</v>
      </c>
      <c r="R623" s="2" t="inlineStr"/>
    </row>
    <row r="624" ht="15" customHeight="1">
      <c r="A624" t="inlineStr">
        <is>
          <t>A 51843-2022</t>
        </is>
      </c>
      <c r="B624" s="1" t="n">
        <v>44872</v>
      </c>
      <c r="C624" s="1" t="n">
        <v>46076</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29312-2025</t>
        </is>
      </c>
      <c r="B625" s="1" t="n">
        <v>45824</v>
      </c>
      <c r="C625" s="1" t="n">
        <v>46076</v>
      </c>
      <c r="D625" t="inlineStr">
        <is>
          <t>VÄRMLANDS LÄN</t>
        </is>
      </c>
      <c r="E625" t="inlineStr">
        <is>
          <t>TORSBY</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17488-2023</t>
        </is>
      </c>
      <c r="B626" s="1" t="n">
        <v>45036</v>
      </c>
      <c r="C626" s="1" t="n">
        <v>46076</v>
      </c>
      <c r="D626" t="inlineStr">
        <is>
          <t>VÄRMLANDS LÄN</t>
        </is>
      </c>
      <c r="E626" t="inlineStr">
        <is>
          <t>TORSBY</t>
        </is>
      </c>
      <c r="G626" t="n">
        <v>15.6</v>
      </c>
      <c r="H626" t="n">
        <v>0</v>
      </c>
      <c r="I626" t="n">
        <v>0</v>
      </c>
      <c r="J626" t="n">
        <v>0</v>
      </c>
      <c r="K626" t="n">
        <v>0</v>
      </c>
      <c r="L626" t="n">
        <v>0</v>
      </c>
      <c r="M626" t="n">
        <v>0</v>
      </c>
      <c r="N626" t="n">
        <v>0</v>
      </c>
      <c r="O626" t="n">
        <v>0</v>
      </c>
      <c r="P626" t="n">
        <v>0</v>
      </c>
      <c r="Q626" t="n">
        <v>0</v>
      </c>
      <c r="R626" s="2" t="inlineStr"/>
    </row>
    <row r="627" ht="15" customHeight="1">
      <c r="A627" t="inlineStr">
        <is>
          <t>A 6534-2025</t>
        </is>
      </c>
      <c r="B627" s="1" t="n">
        <v>45699</v>
      </c>
      <c r="C627" s="1" t="n">
        <v>46076</v>
      </c>
      <c r="D627" t="inlineStr">
        <is>
          <t>VÄRMLANDS LÄN</t>
        </is>
      </c>
      <c r="E627" t="inlineStr">
        <is>
          <t>TORSBY</t>
        </is>
      </c>
      <c r="F627" t="inlineStr">
        <is>
          <t>Kommuner</t>
        </is>
      </c>
      <c r="G627" t="n">
        <v>0.1</v>
      </c>
      <c r="H627" t="n">
        <v>0</v>
      </c>
      <c r="I627" t="n">
        <v>0</v>
      </c>
      <c r="J627" t="n">
        <v>0</v>
      </c>
      <c r="K627" t="n">
        <v>0</v>
      </c>
      <c r="L627" t="n">
        <v>0</v>
      </c>
      <c r="M627" t="n">
        <v>0</v>
      </c>
      <c r="N627" t="n">
        <v>0</v>
      </c>
      <c r="O627" t="n">
        <v>0</v>
      </c>
      <c r="P627" t="n">
        <v>0</v>
      </c>
      <c r="Q627" t="n">
        <v>0</v>
      </c>
      <c r="R627" s="2" t="inlineStr"/>
    </row>
    <row r="628" ht="15" customHeight="1">
      <c r="A628" t="inlineStr">
        <is>
          <t>A 39258-2025</t>
        </is>
      </c>
      <c r="B628" s="1" t="n">
        <v>45889</v>
      </c>
      <c r="C628" s="1" t="n">
        <v>46076</v>
      </c>
      <c r="D628" t="inlineStr">
        <is>
          <t>VÄRMLANDS LÄN</t>
        </is>
      </c>
      <c r="E628" t="inlineStr">
        <is>
          <t>TORSBY</t>
        </is>
      </c>
      <c r="F628" t="inlineStr">
        <is>
          <t>Bergvik skog väst AB</t>
        </is>
      </c>
      <c r="G628" t="n">
        <v>12.1</v>
      </c>
      <c r="H628" t="n">
        <v>0</v>
      </c>
      <c r="I628" t="n">
        <v>0</v>
      </c>
      <c r="J628" t="n">
        <v>0</v>
      </c>
      <c r="K628" t="n">
        <v>0</v>
      </c>
      <c r="L628" t="n">
        <v>0</v>
      </c>
      <c r="M628" t="n">
        <v>0</v>
      </c>
      <c r="N628" t="n">
        <v>0</v>
      </c>
      <c r="O628" t="n">
        <v>0</v>
      </c>
      <c r="P628" t="n">
        <v>0</v>
      </c>
      <c r="Q628" t="n">
        <v>0</v>
      </c>
      <c r="R628" s="2" t="inlineStr"/>
    </row>
    <row r="629" ht="15" customHeight="1">
      <c r="A629" t="inlineStr">
        <is>
          <t>A 7178-2025</t>
        </is>
      </c>
      <c r="B629" s="1" t="n">
        <v>45702.42493055556</v>
      </c>
      <c r="C629" s="1" t="n">
        <v>46076</v>
      </c>
      <c r="D629" t="inlineStr">
        <is>
          <t>VÄRMLANDS LÄN</t>
        </is>
      </c>
      <c r="E629" t="inlineStr">
        <is>
          <t>TORSBY</t>
        </is>
      </c>
      <c r="G629" t="n">
        <v>2.4</v>
      </c>
      <c r="H629" t="n">
        <v>0</v>
      </c>
      <c r="I629" t="n">
        <v>0</v>
      </c>
      <c r="J629" t="n">
        <v>0</v>
      </c>
      <c r="K629" t="n">
        <v>0</v>
      </c>
      <c r="L629" t="n">
        <v>0</v>
      </c>
      <c r="M629" t="n">
        <v>0</v>
      </c>
      <c r="N629" t="n">
        <v>0</v>
      </c>
      <c r="O629" t="n">
        <v>0</v>
      </c>
      <c r="P629" t="n">
        <v>0</v>
      </c>
      <c r="Q629" t="n">
        <v>0</v>
      </c>
      <c r="R629" s="2" t="inlineStr"/>
    </row>
    <row r="630" ht="15" customHeight="1">
      <c r="A630" t="inlineStr">
        <is>
          <t>A 22634-2023</t>
        </is>
      </c>
      <c r="B630" s="1" t="n">
        <v>45071</v>
      </c>
      <c r="C630" s="1" t="n">
        <v>46076</v>
      </c>
      <c r="D630" t="inlineStr">
        <is>
          <t>VÄRMLANDS LÄN</t>
        </is>
      </c>
      <c r="E630" t="inlineStr">
        <is>
          <t>TORSBY</t>
        </is>
      </c>
      <c r="F630" t="inlineStr">
        <is>
          <t>Bergvik skog väst AB</t>
        </is>
      </c>
      <c r="G630" t="n">
        <v>0.2</v>
      </c>
      <c r="H630" t="n">
        <v>0</v>
      </c>
      <c r="I630" t="n">
        <v>0</v>
      </c>
      <c r="J630" t="n">
        <v>0</v>
      </c>
      <c r="K630" t="n">
        <v>0</v>
      </c>
      <c r="L630" t="n">
        <v>0</v>
      </c>
      <c r="M630" t="n">
        <v>0</v>
      </c>
      <c r="N630" t="n">
        <v>0</v>
      </c>
      <c r="O630" t="n">
        <v>0</v>
      </c>
      <c r="P630" t="n">
        <v>0</v>
      </c>
      <c r="Q630" t="n">
        <v>0</v>
      </c>
      <c r="R630" s="2" t="inlineStr"/>
    </row>
    <row r="631" ht="15" customHeight="1">
      <c r="A631" t="inlineStr">
        <is>
          <t>A 7214-2025</t>
        </is>
      </c>
      <c r="B631" s="1" t="n">
        <v>45702</v>
      </c>
      <c r="C631" s="1" t="n">
        <v>46076</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29251-2025</t>
        </is>
      </c>
      <c r="B632" s="1" t="n">
        <v>45824</v>
      </c>
      <c r="C632" s="1" t="n">
        <v>46076</v>
      </c>
      <c r="D632" t="inlineStr">
        <is>
          <t>VÄRMLANDS LÄN</t>
        </is>
      </c>
      <c r="E632" t="inlineStr">
        <is>
          <t>TORSBY</t>
        </is>
      </c>
      <c r="G632" t="n">
        <v>8.1</v>
      </c>
      <c r="H632" t="n">
        <v>0</v>
      </c>
      <c r="I632" t="n">
        <v>0</v>
      </c>
      <c r="J632" t="n">
        <v>0</v>
      </c>
      <c r="K632" t="n">
        <v>0</v>
      </c>
      <c r="L632" t="n">
        <v>0</v>
      </c>
      <c r="M632" t="n">
        <v>0</v>
      </c>
      <c r="N632" t="n">
        <v>0</v>
      </c>
      <c r="O632" t="n">
        <v>0</v>
      </c>
      <c r="P632" t="n">
        <v>0</v>
      </c>
      <c r="Q632" t="n">
        <v>0</v>
      </c>
      <c r="R632" s="2" t="inlineStr"/>
    </row>
    <row r="633" ht="15" customHeight="1">
      <c r="A633" t="inlineStr">
        <is>
          <t>A 27347-2024</t>
        </is>
      </c>
      <c r="B633" s="1" t="n">
        <v>45473.59798611111</v>
      </c>
      <c r="C633" s="1" t="n">
        <v>46076</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41377-2021</t>
        </is>
      </c>
      <c r="B634" s="1" t="n">
        <v>44424.65148148148</v>
      </c>
      <c r="C634" s="1" t="n">
        <v>46076</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14023-2025</t>
        </is>
      </c>
      <c r="B635" s="1" t="n">
        <v>45740</v>
      </c>
      <c r="C635" s="1" t="n">
        <v>46076</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29587-2025</t>
        </is>
      </c>
      <c r="B636" s="1" t="n">
        <v>45825.39394675926</v>
      </c>
      <c r="C636" s="1" t="n">
        <v>46076</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39033-2025</t>
        </is>
      </c>
      <c r="B637" s="1" t="n">
        <v>45888</v>
      </c>
      <c r="C637" s="1" t="n">
        <v>46076</v>
      </c>
      <c r="D637" t="inlineStr">
        <is>
          <t>VÄRMLANDS LÄN</t>
        </is>
      </c>
      <c r="E637" t="inlineStr">
        <is>
          <t>TORSBY</t>
        </is>
      </c>
      <c r="G637" t="n">
        <v>6.4</v>
      </c>
      <c r="H637" t="n">
        <v>0</v>
      </c>
      <c r="I637" t="n">
        <v>0</v>
      </c>
      <c r="J637" t="n">
        <v>0</v>
      </c>
      <c r="K637" t="n">
        <v>0</v>
      </c>
      <c r="L637" t="n">
        <v>0</v>
      </c>
      <c r="M637" t="n">
        <v>0</v>
      </c>
      <c r="N637" t="n">
        <v>0</v>
      </c>
      <c r="O637" t="n">
        <v>0</v>
      </c>
      <c r="P637" t="n">
        <v>0</v>
      </c>
      <c r="Q637" t="n">
        <v>0</v>
      </c>
      <c r="R637" s="2" t="inlineStr"/>
    </row>
    <row r="638" ht="15" customHeight="1">
      <c r="A638" t="inlineStr">
        <is>
          <t>A 39039-2025</t>
        </is>
      </c>
      <c r="B638" s="1" t="n">
        <v>45888.42684027777</v>
      </c>
      <c r="C638" s="1" t="n">
        <v>46076</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54766-2023</t>
        </is>
      </c>
      <c r="B639" s="1" t="n">
        <v>45236</v>
      </c>
      <c r="C639" s="1" t="n">
        <v>46076</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29650-2025</t>
        </is>
      </c>
      <c r="B640" s="1" t="n">
        <v>45825.47546296296</v>
      </c>
      <c r="C640" s="1" t="n">
        <v>46076</v>
      </c>
      <c r="D640" t="inlineStr">
        <is>
          <t>VÄRMLANDS LÄN</t>
        </is>
      </c>
      <c r="E640" t="inlineStr">
        <is>
          <t>TORSBY</t>
        </is>
      </c>
      <c r="G640" t="n">
        <v>16.8</v>
      </c>
      <c r="H640" t="n">
        <v>0</v>
      </c>
      <c r="I640" t="n">
        <v>0</v>
      </c>
      <c r="J640" t="n">
        <v>0</v>
      </c>
      <c r="K640" t="n">
        <v>0</v>
      </c>
      <c r="L640" t="n">
        <v>0</v>
      </c>
      <c r="M640" t="n">
        <v>0</v>
      </c>
      <c r="N640" t="n">
        <v>0</v>
      </c>
      <c r="O640" t="n">
        <v>0</v>
      </c>
      <c r="P640" t="n">
        <v>0</v>
      </c>
      <c r="Q640" t="n">
        <v>0</v>
      </c>
      <c r="R640" s="2" t="inlineStr"/>
    </row>
    <row r="641" ht="15" customHeight="1">
      <c r="A641" t="inlineStr">
        <is>
          <t>A 28757-2025</t>
        </is>
      </c>
      <c r="B641" s="1" t="n">
        <v>45820</v>
      </c>
      <c r="C641" s="1" t="n">
        <v>46076</v>
      </c>
      <c r="D641" t="inlineStr">
        <is>
          <t>VÄRMLANDS LÄN</t>
        </is>
      </c>
      <c r="E641" t="inlineStr">
        <is>
          <t>TORSBY</t>
        </is>
      </c>
      <c r="G641" t="n">
        <v>12.1</v>
      </c>
      <c r="H641" t="n">
        <v>0</v>
      </c>
      <c r="I641" t="n">
        <v>0</v>
      </c>
      <c r="J641" t="n">
        <v>0</v>
      </c>
      <c r="K641" t="n">
        <v>0</v>
      </c>
      <c r="L641" t="n">
        <v>0</v>
      </c>
      <c r="M641" t="n">
        <v>0</v>
      </c>
      <c r="N641" t="n">
        <v>0</v>
      </c>
      <c r="O641" t="n">
        <v>0</v>
      </c>
      <c r="P641" t="n">
        <v>0</v>
      </c>
      <c r="Q641" t="n">
        <v>0</v>
      </c>
      <c r="R641" s="2" t="inlineStr"/>
    </row>
    <row r="642" ht="15" customHeight="1">
      <c r="A642" t="inlineStr">
        <is>
          <t>A 39059-2025</t>
        </is>
      </c>
      <c r="B642" s="1" t="n">
        <v>45888</v>
      </c>
      <c r="C642" s="1" t="n">
        <v>46076</v>
      </c>
      <c r="D642" t="inlineStr">
        <is>
          <t>VÄRMLANDS LÄN</t>
        </is>
      </c>
      <c r="E642" t="inlineStr">
        <is>
          <t>TORSBY</t>
        </is>
      </c>
      <c r="G642" t="n">
        <v>8.6</v>
      </c>
      <c r="H642" t="n">
        <v>0</v>
      </c>
      <c r="I642" t="n">
        <v>0</v>
      </c>
      <c r="J642" t="n">
        <v>0</v>
      </c>
      <c r="K642" t="n">
        <v>0</v>
      </c>
      <c r="L642" t="n">
        <v>0</v>
      </c>
      <c r="M642" t="n">
        <v>0</v>
      </c>
      <c r="N642" t="n">
        <v>0</v>
      </c>
      <c r="O642" t="n">
        <v>0</v>
      </c>
      <c r="P642" t="n">
        <v>0</v>
      </c>
      <c r="Q642" t="n">
        <v>0</v>
      </c>
      <c r="R642" s="2" t="inlineStr"/>
    </row>
    <row r="643" ht="15" customHeight="1">
      <c r="A643" t="inlineStr">
        <is>
          <t>A 29641-2025</t>
        </is>
      </c>
      <c r="B643" s="1" t="n">
        <v>45825.46285879629</v>
      </c>
      <c r="C643" s="1" t="n">
        <v>46076</v>
      </c>
      <c r="D643" t="inlineStr">
        <is>
          <t>VÄRMLANDS LÄN</t>
        </is>
      </c>
      <c r="E643" t="inlineStr">
        <is>
          <t>TORSBY</t>
        </is>
      </c>
      <c r="G643" t="n">
        <v>23.4</v>
      </c>
      <c r="H643" t="n">
        <v>0</v>
      </c>
      <c r="I643" t="n">
        <v>0</v>
      </c>
      <c r="J643" t="n">
        <v>0</v>
      </c>
      <c r="K643" t="n">
        <v>0</v>
      </c>
      <c r="L643" t="n">
        <v>0</v>
      </c>
      <c r="M643" t="n">
        <v>0</v>
      </c>
      <c r="N643" t="n">
        <v>0</v>
      </c>
      <c r="O643" t="n">
        <v>0</v>
      </c>
      <c r="P643" t="n">
        <v>0</v>
      </c>
      <c r="Q643" t="n">
        <v>0</v>
      </c>
      <c r="R643" s="2" t="inlineStr"/>
    </row>
    <row r="644" ht="15" customHeight="1">
      <c r="A644" t="inlineStr">
        <is>
          <t>A 9381-2024</t>
        </is>
      </c>
      <c r="B644" s="1" t="n">
        <v>45359</v>
      </c>
      <c r="C644" s="1" t="n">
        <v>46076</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29307-2025</t>
        </is>
      </c>
      <c r="B645" s="1" t="n">
        <v>45824</v>
      </c>
      <c r="C645" s="1" t="n">
        <v>46076</v>
      </c>
      <c r="D645" t="inlineStr">
        <is>
          <t>VÄRMLANDS LÄN</t>
        </is>
      </c>
      <c r="E645" t="inlineStr">
        <is>
          <t>TORSBY</t>
        </is>
      </c>
      <c r="F645" t="inlineStr">
        <is>
          <t>Övriga Aktiebolag</t>
        </is>
      </c>
      <c r="G645" t="n">
        <v>3.7</v>
      </c>
      <c r="H645" t="n">
        <v>0</v>
      </c>
      <c r="I645" t="n">
        <v>0</v>
      </c>
      <c r="J645" t="n">
        <v>0</v>
      </c>
      <c r="K645" t="n">
        <v>0</v>
      </c>
      <c r="L645" t="n">
        <v>0</v>
      </c>
      <c r="M645" t="n">
        <v>0</v>
      </c>
      <c r="N645" t="n">
        <v>0</v>
      </c>
      <c r="O645" t="n">
        <v>0</v>
      </c>
      <c r="P645" t="n">
        <v>0</v>
      </c>
      <c r="Q645" t="n">
        <v>0</v>
      </c>
      <c r="R645" s="2" t="inlineStr"/>
    </row>
    <row r="646" ht="15" customHeight="1">
      <c r="A646" t="inlineStr">
        <is>
          <t>A 39321-2025</t>
        </is>
      </c>
      <c r="B646" s="1" t="n">
        <v>45889</v>
      </c>
      <c r="C646" s="1" t="n">
        <v>46076</v>
      </c>
      <c r="D646" t="inlineStr">
        <is>
          <t>VÄRMLANDS LÄN</t>
        </is>
      </c>
      <c r="E646" t="inlineStr">
        <is>
          <t>TORSBY</t>
        </is>
      </c>
      <c r="F646" t="inlineStr">
        <is>
          <t>Bergvik skog väst AB</t>
        </is>
      </c>
      <c r="G646" t="n">
        <v>47.1</v>
      </c>
      <c r="H646" t="n">
        <v>0</v>
      </c>
      <c r="I646" t="n">
        <v>0</v>
      </c>
      <c r="J646" t="n">
        <v>0</v>
      </c>
      <c r="K646" t="n">
        <v>0</v>
      </c>
      <c r="L646" t="n">
        <v>0</v>
      </c>
      <c r="M646" t="n">
        <v>0</v>
      </c>
      <c r="N646" t="n">
        <v>0</v>
      </c>
      <c r="O646" t="n">
        <v>0</v>
      </c>
      <c r="P646" t="n">
        <v>0</v>
      </c>
      <c r="Q646" t="n">
        <v>0</v>
      </c>
      <c r="R646" s="2" t="inlineStr"/>
    </row>
    <row r="647" ht="15" customHeight="1">
      <c r="A647" t="inlineStr">
        <is>
          <t>A 29403-2025</t>
        </is>
      </c>
      <c r="B647" s="1" t="n">
        <v>45824.61469907407</v>
      </c>
      <c r="C647" s="1" t="n">
        <v>46076</v>
      </c>
      <c r="D647" t="inlineStr">
        <is>
          <t>VÄRMLANDS LÄN</t>
        </is>
      </c>
      <c r="E647" t="inlineStr">
        <is>
          <t>TORSBY</t>
        </is>
      </c>
      <c r="F647" t="inlineStr">
        <is>
          <t>Bergvik skog väst AB</t>
        </is>
      </c>
      <c r="G647" t="n">
        <v>7.7</v>
      </c>
      <c r="H647" t="n">
        <v>0</v>
      </c>
      <c r="I647" t="n">
        <v>0</v>
      </c>
      <c r="J647" t="n">
        <v>0</v>
      </c>
      <c r="K647" t="n">
        <v>0</v>
      </c>
      <c r="L647" t="n">
        <v>0</v>
      </c>
      <c r="M647" t="n">
        <v>0</v>
      </c>
      <c r="N647" t="n">
        <v>0</v>
      </c>
      <c r="O647" t="n">
        <v>0</v>
      </c>
      <c r="P647" t="n">
        <v>0</v>
      </c>
      <c r="Q647" t="n">
        <v>0</v>
      </c>
      <c r="R647" s="2" t="inlineStr"/>
    </row>
    <row r="648" ht="15" customHeight="1">
      <c r="A648" t="inlineStr">
        <is>
          <t>A 38979-2025</t>
        </is>
      </c>
      <c r="B648" s="1" t="n">
        <v>45887.99758101852</v>
      </c>
      <c r="C648" s="1" t="n">
        <v>46076</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29702-2025</t>
        </is>
      </c>
      <c r="B649" s="1" t="n">
        <v>45825.55667824074</v>
      </c>
      <c r="C649" s="1" t="n">
        <v>46076</v>
      </c>
      <c r="D649" t="inlineStr">
        <is>
          <t>VÄRMLANDS LÄN</t>
        </is>
      </c>
      <c r="E649" t="inlineStr">
        <is>
          <t>TORSBY</t>
        </is>
      </c>
      <c r="G649" t="n">
        <v>8.6</v>
      </c>
      <c r="H649" t="n">
        <v>0</v>
      </c>
      <c r="I649" t="n">
        <v>0</v>
      </c>
      <c r="J649" t="n">
        <v>0</v>
      </c>
      <c r="K649" t="n">
        <v>0</v>
      </c>
      <c r="L649" t="n">
        <v>0</v>
      </c>
      <c r="M649" t="n">
        <v>0</v>
      </c>
      <c r="N649" t="n">
        <v>0</v>
      </c>
      <c r="O649" t="n">
        <v>0</v>
      </c>
      <c r="P649" t="n">
        <v>0</v>
      </c>
      <c r="Q649" t="n">
        <v>0</v>
      </c>
      <c r="R649" s="2" t="inlineStr"/>
    </row>
    <row r="650" ht="15" customHeight="1">
      <c r="A650" t="inlineStr">
        <is>
          <t>A 20847-2023</t>
        </is>
      </c>
      <c r="B650" s="1" t="n">
        <v>45056</v>
      </c>
      <c r="C650" s="1" t="n">
        <v>46076</v>
      </c>
      <c r="D650" t="inlineStr">
        <is>
          <t>VÄRMLANDS LÄN</t>
        </is>
      </c>
      <c r="E650" t="inlineStr">
        <is>
          <t>TORSBY</t>
        </is>
      </c>
      <c r="G650" t="n">
        <v>13.9</v>
      </c>
      <c r="H650" t="n">
        <v>0</v>
      </c>
      <c r="I650" t="n">
        <v>0</v>
      </c>
      <c r="J650" t="n">
        <v>0</v>
      </c>
      <c r="K650" t="n">
        <v>0</v>
      </c>
      <c r="L650" t="n">
        <v>0</v>
      </c>
      <c r="M650" t="n">
        <v>0</v>
      </c>
      <c r="N650" t="n">
        <v>0</v>
      </c>
      <c r="O650" t="n">
        <v>0</v>
      </c>
      <c r="P650" t="n">
        <v>0</v>
      </c>
      <c r="Q650" t="n">
        <v>0</v>
      </c>
      <c r="R650" s="2" t="inlineStr"/>
    </row>
    <row r="651" ht="15" customHeight="1">
      <c r="A651" t="inlineStr">
        <is>
          <t>A 51823-2024</t>
        </is>
      </c>
      <c r="B651" s="1" t="n">
        <v>45607</v>
      </c>
      <c r="C651" s="1" t="n">
        <v>46076</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39454-2025</t>
        </is>
      </c>
      <c r="B652" s="1" t="n">
        <v>45889.7462962963</v>
      </c>
      <c r="C652" s="1" t="n">
        <v>46076</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39815-2025</t>
        </is>
      </c>
      <c r="B653" s="1" t="n">
        <v>45891.52760416667</v>
      </c>
      <c r="C653" s="1" t="n">
        <v>46076</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39652-2025</t>
        </is>
      </c>
      <c r="B654" s="1" t="n">
        <v>45890.61689814815</v>
      </c>
      <c r="C654" s="1" t="n">
        <v>46076</v>
      </c>
      <c r="D654" t="inlineStr">
        <is>
          <t>VÄRMLANDS LÄN</t>
        </is>
      </c>
      <c r="E654" t="inlineStr">
        <is>
          <t>TORSBY</t>
        </is>
      </c>
      <c r="G654" t="n">
        <v>3.1</v>
      </c>
      <c r="H654" t="n">
        <v>0</v>
      </c>
      <c r="I654" t="n">
        <v>0</v>
      </c>
      <c r="J654" t="n">
        <v>0</v>
      </c>
      <c r="K654" t="n">
        <v>0</v>
      </c>
      <c r="L654" t="n">
        <v>0</v>
      </c>
      <c r="M654" t="n">
        <v>0</v>
      </c>
      <c r="N654" t="n">
        <v>0</v>
      </c>
      <c r="O654" t="n">
        <v>0</v>
      </c>
      <c r="P654" t="n">
        <v>0</v>
      </c>
      <c r="Q654" t="n">
        <v>0</v>
      </c>
      <c r="R654" s="2" t="inlineStr"/>
    </row>
    <row r="655" ht="15" customHeight="1">
      <c r="A655" t="inlineStr">
        <is>
          <t>A 54777-2023</t>
        </is>
      </c>
      <c r="B655" s="1" t="n">
        <v>45236</v>
      </c>
      <c r="C655" s="1" t="n">
        <v>46076</v>
      </c>
      <c r="D655" t="inlineStr">
        <is>
          <t>VÄRMLANDS LÄN</t>
        </is>
      </c>
      <c r="E655" t="inlineStr">
        <is>
          <t>TORSBY</t>
        </is>
      </c>
      <c r="F655" t="inlineStr">
        <is>
          <t>Bergvik skog väst AB</t>
        </is>
      </c>
      <c r="G655" t="n">
        <v>7.9</v>
      </c>
      <c r="H655" t="n">
        <v>0</v>
      </c>
      <c r="I655" t="n">
        <v>0</v>
      </c>
      <c r="J655" t="n">
        <v>0</v>
      </c>
      <c r="K655" t="n">
        <v>0</v>
      </c>
      <c r="L655" t="n">
        <v>0</v>
      </c>
      <c r="M655" t="n">
        <v>0</v>
      </c>
      <c r="N655" t="n">
        <v>0</v>
      </c>
      <c r="O655" t="n">
        <v>0</v>
      </c>
      <c r="P655" t="n">
        <v>0</v>
      </c>
      <c r="Q655" t="n">
        <v>0</v>
      </c>
      <c r="R655" s="2" t="inlineStr"/>
    </row>
    <row r="656" ht="15" customHeight="1">
      <c r="A656" t="inlineStr">
        <is>
          <t>A 18595-2025</t>
        </is>
      </c>
      <c r="B656" s="1" t="n">
        <v>45763</v>
      </c>
      <c r="C656" s="1" t="n">
        <v>46076</v>
      </c>
      <c r="D656" t="inlineStr">
        <is>
          <t>VÄRMLANDS LÄN</t>
        </is>
      </c>
      <c r="E656" t="inlineStr">
        <is>
          <t>TORSBY</t>
        </is>
      </c>
      <c r="F656" t="inlineStr">
        <is>
          <t>Kyrkan</t>
        </is>
      </c>
      <c r="G656" t="n">
        <v>7.9</v>
      </c>
      <c r="H656" t="n">
        <v>0</v>
      </c>
      <c r="I656" t="n">
        <v>0</v>
      </c>
      <c r="J656" t="n">
        <v>0</v>
      </c>
      <c r="K656" t="n">
        <v>0</v>
      </c>
      <c r="L656" t="n">
        <v>0</v>
      </c>
      <c r="M656" t="n">
        <v>0</v>
      </c>
      <c r="N656" t="n">
        <v>0</v>
      </c>
      <c r="O656" t="n">
        <v>0</v>
      </c>
      <c r="P656" t="n">
        <v>0</v>
      </c>
      <c r="Q656" t="n">
        <v>0</v>
      </c>
      <c r="R656" s="2" t="inlineStr"/>
    </row>
    <row r="657" ht="15" customHeight="1">
      <c r="A657" t="inlineStr">
        <is>
          <t>A 39743-2025</t>
        </is>
      </c>
      <c r="B657" s="1" t="n">
        <v>45891</v>
      </c>
      <c r="C657" s="1" t="n">
        <v>46076</v>
      </c>
      <c r="D657" t="inlineStr">
        <is>
          <t>VÄRMLANDS LÄN</t>
        </is>
      </c>
      <c r="E657" t="inlineStr">
        <is>
          <t>TORSBY</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39731-2025</t>
        </is>
      </c>
      <c r="B658" s="1" t="n">
        <v>45891</v>
      </c>
      <c r="C658" s="1" t="n">
        <v>46076</v>
      </c>
      <c r="D658" t="inlineStr">
        <is>
          <t>VÄRMLANDS LÄN</t>
        </is>
      </c>
      <c r="E658" t="inlineStr">
        <is>
          <t>TORSBY</t>
        </is>
      </c>
      <c r="F658" t="inlineStr">
        <is>
          <t>Bergvik skog väst AB</t>
        </is>
      </c>
      <c r="G658" t="n">
        <v>4.6</v>
      </c>
      <c r="H658" t="n">
        <v>0</v>
      </c>
      <c r="I658" t="n">
        <v>0</v>
      </c>
      <c r="J658" t="n">
        <v>0</v>
      </c>
      <c r="K658" t="n">
        <v>0</v>
      </c>
      <c r="L658" t="n">
        <v>0</v>
      </c>
      <c r="M658" t="n">
        <v>0</v>
      </c>
      <c r="N658" t="n">
        <v>0</v>
      </c>
      <c r="O658" t="n">
        <v>0</v>
      </c>
      <c r="P658" t="n">
        <v>0</v>
      </c>
      <c r="Q658" t="n">
        <v>0</v>
      </c>
      <c r="R658" s="2" t="inlineStr"/>
    </row>
    <row r="659" ht="15" customHeight="1">
      <c r="A659" t="inlineStr">
        <is>
          <t>A 39499-2025</t>
        </is>
      </c>
      <c r="B659" s="1" t="n">
        <v>45890</v>
      </c>
      <c r="C659" s="1" t="n">
        <v>46076</v>
      </c>
      <c r="D659" t="inlineStr">
        <is>
          <t>VÄRMLANDS LÄN</t>
        </is>
      </c>
      <c r="E659" t="inlineStr">
        <is>
          <t>TORSBY</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39845-2025</t>
        </is>
      </c>
      <c r="B660" s="1" t="n">
        <v>45891</v>
      </c>
      <c r="C660" s="1" t="n">
        <v>46076</v>
      </c>
      <c r="D660" t="inlineStr">
        <is>
          <t>VÄRMLANDS LÄN</t>
        </is>
      </c>
      <c r="E660" t="inlineStr">
        <is>
          <t>TORSBY</t>
        </is>
      </c>
      <c r="F660" t="inlineStr">
        <is>
          <t>Bergvik skog väst AB</t>
        </is>
      </c>
      <c r="G660" t="n">
        <v>14.1</v>
      </c>
      <c r="H660" t="n">
        <v>0</v>
      </c>
      <c r="I660" t="n">
        <v>0</v>
      </c>
      <c r="J660" t="n">
        <v>0</v>
      </c>
      <c r="K660" t="n">
        <v>0</v>
      </c>
      <c r="L660" t="n">
        <v>0</v>
      </c>
      <c r="M660" t="n">
        <v>0</v>
      </c>
      <c r="N660" t="n">
        <v>0</v>
      </c>
      <c r="O660" t="n">
        <v>0</v>
      </c>
      <c r="P660" t="n">
        <v>0</v>
      </c>
      <c r="Q660" t="n">
        <v>0</v>
      </c>
      <c r="R660" s="2" t="inlineStr"/>
    </row>
    <row r="661" ht="15" customHeight="1">
      <c r="A661" t="inlineStr">
        <is>
          <t>A 58304-2024</t>
        </is>
      </c>
      <c r="B661" s="1" t="n">
        <v>45632</v>
      </c>
      <c r="C661" s="1" t="n">
        <v>46076</v>
      </c>
      <c r="D661" t="inlineStr">
        <is>
          <t>VÄRMLANDS LÄN</t>
        </is>
      </c>
      <c r="E661" t="inlineStr">
        <is>
          <t>TORSBY</t>
        </is>
      </c>
      <c r="F661" t="inlineStr">
        <is>
          <t>Bergvik skog väst AB</t>
        </is>
      </c>
      <c r="G661" t="n">
        <v>1.9</v>
      </c>
      <c r="H661" t="n">
        <v>0</v>
      </c>
      <c r="I661" t="n">
        <v>0</v>
      </c>
      <c r="J661" t="n">
        <v>0</v>
      </c>
      <c r="K661" t="n">
        <v>0</v>
      </c>
      <c r="L661" t="n">
        <v>0</v>
      </c>
      <c r="M661" t="n">
        <v>0</v>
      </c>
      <c r="N661" t="n">
        <v>0</v>
      </c>
      <c r="O661" t="n">
        <v>0</v>
      </c>
      <c r="P661" t="n">
        <v>0</v>
      </c>
      <c r="Q661" t="n">
        <v>0</v>
      </c>
      <c r="R661" s="2" t="inlineStr"/>
    </row>
    <row r="662" ht="15" customHeight="1">
      <c r="A662" t="inlineStr">
        <is>
          <t>A 15398-2025</t>
        </is>
      </c>
      <c r="B662" s="1" t="n">
        <v>45747.44309027777</v>
      </c>
      <c r="C662" s="1" t="n">
        <v>46076</v>
      </c>
      <c r="D662" t="inlineStr">
        <is>
          <t>VÄRMLANDS LÄN</t>
        </is>
      </c>
      <c r="E662" t="inlineStr">
        <is>
          <t>TORSBY</t>
        </is>
      </c>
      <c r="G662" t="n">
        <v>8</v>
      </c>
      <c r="H662" t="n">
        <v>0</v>
      </c>
      <c r="I662" t="n">
        <v>0</v>
      </c>
      <c r="J662" t="n">
        <v>0</v>
      </c>
      <c r="K662" t="n">
        <v>0</v>
      </c>
      <c r="L662" t="n">
        <v>0</v>
      </c>
      <c r="M662" t="n">
        <v>0</v>
      </c>
      <c r="N662" t="n">
        <v>0</v>
      </c>
      <c r="O662" t="n">
        <v>0</v>
      </c>
      <c r="P662" t="n">
        <v>0</v>
      </c>
      <c r="Q662" t="n">
        <v>0</v>
      </c>
      <c r="R662" s="2" t="inlineStr"/>
    </row>
    <row r="663" ht="15" customHeight="1">
      <c r="A663" t="inlineStr">
        <is>
          <t>A 25949-2024</t>
        </is>
      </c>
      <c r="B663" s="1" t="n">
        <v>45467.6442824074</v>
      </c>
      <c r="C663" s="1" t="n">
        <v>46076</v>
      </c>
      <c r="D663" t="inlineStr">
        <is>
          <t>VÄRMLANDS LÄN</t>
        </is>
      </c>
      <c r="E663" t="inlineStr">
        <is>
          <t>TORSBY</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30078-2025</t>
        </is>
      </c>
      <c r="B664" s="1" t="n">
        <v>45826.64291666666</v>
      </c>
      <c r="C664" s="1" t="n">
        <v>46076</v>
      </c>
      <c r="D664" t="inlineStr">
        <is>
          <t>VÄRMLANDS LÄN</t>
        </is>
      </c>
      <c r="E664" t="inlineStr">
        <is>
          <t>TORSBY</t>
        </is>
      </c>
      <c r="G664" t="n">
        <v>1</v>
      </c>
      <c r="H664" t="n">
        <v>0</v>
      </c>
      <c r="I664" t="n">
        <v>0</v>
      </c>
      <c r="J664" t="n">
        <v>0</v>
      </c>
      <c r="K664" t="n">
        <v>0</v>
      </c>
      <c r="L664" t="n">
        <v>0</v>
      </c>
      <c r="M664" t="n">
        <v>0</v>
      </c>
      <c r="N664" t="n">
        <v>0</v>
      </c>
      <c r="O664" t="n">
        <v>0</v>
      </c>
      <c r="P664" t="n">
        <v>0</v>
      </c>
      <c r="Q664" t="n">
        <v>0</v>
      </c>
      <c r="R664" s="2" t="inlineStr"/>
    </row>
    <row r="665" ht="15" customHeight="1">
      <c r="A665" t="inlineStr">
        <is>
          <t>A 39565-2025</t>
        </is>
      </c>
      <c r="B665" s="1" t="n">
        <v>45890</v>
      </c>
      <c r="C665" s="1" t="n">
        <v>46076</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30433-2025</t>
        </is>
      </c>
      <c r="B666" s="1" t="n">
        <v>45827</v>
      </c>
      <c r="C666" s="1" t="n">
        <v>46076</v>
      </c>
      <c r="D666" t="inlineStr">
        <is>
          <t>VÄRMLANDS LÄN</t>
        </is>
      </c>
      <c r="E666" t="inlineStr">
        <is>
          <t>TORSBY</t>
        </is>
      </c>
      <c r="G666" t="n">
        <v>13.4</v>
      </c>
      <c r="H666" t="n">
        <v>0</v>
      </c>
      <c r="I666" t="n">
        <v>0</v>
      </c>
      <c r="J666" t="n">
        <v>0</v>
      </c>
      <c r="K666" t="n">
        <v>0</v>
      </c>
      <c r="L666" t="n">
        <v>0</v>
      </c>
      <c r="M666" t="n">
        <v>0</v>
      </c>
      <c r="N666" t="n">
        <v>0</v>
      </c>
      <c r="O666" t="n">
        <v>0</v>
      </c>
      <c r="P666" t="n">
        <v>0</v>
      </c>
      <c r="Q666" t="n">
        <v>0</v>
      </c>
      <c r="R666" s="2" t="inlineStr"/>
    </row>
    <row r="667" ht="15" customHeight="1">
      <c r="A667" t="inlineStr">
        <is>
          <t>A 37401-2022</t>
        </is>
      </c>
      <c r="B667" s="1" t="n">
        <v>44809</v>
      </c>
      <c r="C667" s="1" t="n">
        <v>46076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30074-2025</t>
        </is>
      </c>
      <c r="B668" s="1" t="n">
        <v>45826.63672453703</v>
      </c>
      <c r="C668" s="1" t="n">
        <v>46076</v>
      </c>
      <c r="D668" t="inlineStr">
        <is>
          <t>VÄRMLANDS LÄN</t>
        </is>
      </c>
      <c r="E668" t="inlineStr">
        <is>
          <t>TORSBY</t>
        </is>
      </c>
      <c r="G668" t="n">
        <v>2.3</v>
      </c>
      <c r="H668" t="n">
        <v>0</v>
      </c>
      <c r="I668" t="n">
        <v>0</v>
      </c>
      <c r="J668" t="n">
        <v>0</v>
      </c>
      <c r="K668" t="n">
        <v>0</v>
      </c>
      <c r="L668" t="n">
        <v>0</v>
      </c>
      <c r="M668" t="n">
        <v>0</v>
      </c>
      <c r="N668" t="n">
        <v>0</v>
      </c>
      <c r="O668" t="n">
        <v>0</v>
      </c>
      <c r="P668" t="n">
        <v>0</v>
      </c>
      <c r="Q668" t="n">
        <v>0</v>
      </c>
      <c r="R668" s="2" t="inlineStr"/>
    </row>
    <row r="669" ht="15" customHeight="1">
      <c r="A669" t="inlineStr">
        <is>
          <t>A 30380-2025</t>
        </is>
      </c>
      <c r="B669" s="1" t="n">
        <v>45827</v>
      </c>
      <c r="C669" s="1" t="n">
        <v>46076</v>
      </c>
      <c r="D669" t="inlineStr">
        <is>
          <t>VÄRMLANDS LÄN</t>
        </is>
      </c>
      <c r="E669" t="inlineStr">
        <is>
          <t>TORSBY</t>
        </is>
      </c>
      <c r="G669" t="n">
        <v>5.8</v>
      </c>
      <c r="H669" t="n">
        <v>0</v>
      </c>
      <c r="I669" t="n">
        <v>0</v>
      </c>
      <c r="J669" t="n">
        <v>0</v>
      </c>
      <c r="K669" t="n">
        <v>0</v>
      </c>
      <c r="L669" t="n">
        <v>0</v>
      </c>
      <c r="M669" t="n">
        <v>0</v>
      </c>
      <c r="N669" t="n">
        <v>0</v>
      </c>
      <c r="O669" t="n">
        <v>0</v>
      </c>
      <c r="P669" t="n">
        <v>0</v>
      </c>
      <c r="Q669" t="n">
        <v>0</v>
      </c>
      <c r="R669" s="2" t="inlineStr"/>
    </row>
    <row r="670" ht="15" customHeight="1">
      <c r="A670" t="inlineStr">
        <is>
          <t>A 39473-2025</t>
        </is>
      </c>
      <c r="B670" s="1" t="n">
        <v>45890</v>
      </c>
      <c r="C670" s="1" t="n">
        <v>46076</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39919-2025</t>
        </is>
      </c>
      <c r="B671" s="1" t="n">
        <v>45891.66664351852</v>
      </c>
      <c r="C671" s="1" t="n">
        <v>46076</v>
      </c>
      <c r="D671" t="inlineStr">
        <is>
          <t>VÄRMLANDS LÄN</t>
        </is>
      </c>
      <c r="E671" t="inlineStr">
        <is>
          <t>TORSBY</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30199-2025</t>
        </is>
      </c>
      <c r="B672" s="1" t="n">
        <v>45827</v>
      </c>
      <c r="C672" s="1" t="n">
        <v>46076</v>
      </c>
      <c r="D672" t="inlineStr">
        <is>
          <t>VÄRMLANDS LÄN</t>
        </is>
      </c>
      <c r="E672" t="inlineStr">
        <is>
          <t>TORSBY</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7069-2022</t>
        </is>
      </c>
      <c r="B673" s="1" t="n">
        <v>44603</v>
      </c>
      <c r="C673" s="1" t="n">
        <v>46076</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21255-2023</t>
        </is>
      </c>
      <c r="B674" s="1" t="n">
        <v>45058</v>
      </c>
      <c r="C674" s="1" t="n">
        <v>46076</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2387-2025</t>
        </is>
      </c>
      <c r="B675" s="1" t="n">
        <v>45674</v>
      </c>
      <c r="C675" s="1" t="n">
        <v>46076</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30377-2025</t>
        </is>
      </c>
      <c r="B676" s="1" t="n">
        <v>45827</v>
      </c>
      <c r="C676" s="1" t="n">
        <v>46076</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30388-2025</t>
        </is>
      </c>
      <c r="B677" s="1" t="n">
        <v>45827.5734837963</v>
      </c>
      <c r="C677" s="1" t="n">
        <v>46076</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24580-2025</t>
        </is>
      </c>
      <c r="B678" s="1" t="n">
        <v>45798</v>
      </c>
      <c r="C678" s="1" t="n">
        <v>46076</v>
      </c>
      <c r="D678" t="inlineStr">
        <is>
          <t>VÄRMLANDS LÄN</t>
        </is>
      </c>
      <c r="E678" t="inlineStr">
        <is>
          <t>TORSBY</t>
        </is>
      </c>
      <c r="G678" t="n">
        <v>12.2</v>
      </c>
      <c r="H678" t="n">
        <v>0</v>
      </c>
      <c r="I678" t="n">
        <v>0</v>
      </c>
      <c r="J678" t="n">
        <v>0</v>
      </c>
      <c r="K678" t="n">
        <v>0</v>
      </c>
      <c r="L678" t="n">
        <v>0</v>
      </c>
      <c r="M678" t="n">
        <v>0</v>
      </c>
      <c r="N678" t="n">
        <v>0</v>
      </c>
      <c r="O678" t="n">
        <v>0</v>
      </c>
      <c r="P678" t="n">
        <v>0</v>
      </c>
      <c r="Q678" t="n">
        <v>0</v>
      </c>
      <c r="R678" s="2" t="inlineStr"/>
    </row>
    <row r="679" ht="15" customHeight="1">
      <c r="A679" t="inlineStr">
        <is>
          <t>A 30153-2025</t>
        </is>
      </c>
      <c r="B679" s="1" t="n">
        <v>45827.31736111111</v>
      </c>
      <c r="C679" s="1" t="n">
        <v>46076</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62090-2024</t>
        </is>
      </c>
      <c r="B680" s="1" t="n">
        <v>45656</v>
      </c>
      <c r="C680" s="1" t="n">
        <v>46076</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62092-2024</t>
        </is>
      </c>
      <c r="B681" s="1" t="n">
        <v>45656</v>
      </c>
      <c r="C681" s="1" t="n">
        <v>46076</v>
      </c>
      <c r="D681" t="inlineStr">
        <is>
          <t>VÄRMLANDS LÄN</t>
        </is>
      </c>
      <c r="E681" t="inlineStr">
        <is>
          <t>TORSBY</t>
        </is>
      </c>
      <c r="G681" t="n">
        <v>3.7</v>
      </c>
      <c r="H681" t="n">
        <v>0</v>
      </c>
      <c r="I681" t="n">
        <v>0</v>
      </c>
      <c r="J681" t="n">
        <v>0</v>
      </c>
      <c r="K681" t="n">
        <v>0</v>
      </c>
      <c r="L681" t="n">
        <v>0</v>
      </c>
      <c r="M681" t="n">
        <v>0</v>
      </c>
      <c r="N681" t="n">
        <v>0</v>
      </c>
      <c r="O681" t="n">
        <v>0</v>
      </c>
      <c r="P681" t="n">
        <v>0</v>
      </c>
      <c r="Q681" t="n">
        <v>0</v>
      </c>
      <c r="R681" s="2" t="inlineStr"/>
    </row>
    <row r="682" ht="15" customHeight="1">
      <c r="A682" t="inlineStr">
        <is>
          <t>A 30026-2025</t>
        </is>
      </c>
      <c r="B682" s="1" t="n">
        <v>45826.5637037037</v>
      </c>
      <c r="C682" s="1" t="n">
        <v>46076</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40034-2025</t>
        </is>
      </c>
      <c r="B683" s="1" t="n">
        <v>45894.38159722222</v>
      </c>
      <c r="C683" s="1" t="n">
        <v>46076</v>
      </c>
      <c r="D683" t="inlineStr">
        <is>
          <t>VÄRMLANDS LÄN</t>
        </is>
      </c>
      <c r="E683" t="inlineStr">
        <is>
          <t>TORSBY</t>
        </is>
      </c>
      <c r="G683" t="n">
        <v>5.3</v>
      </c>
      <c r="H683" t="n">
        <v>0</v>
      </c>
      <c r="I683" t="n">
        <v>0</v>
      </c>
      <c r="J683" t="n">
        <v>0</v>
      </c>
      <c r="K683" t="n">
        <v>0</v>
      </c>
      <c r="L683" t="n">
        <v>0</v>
      </c>
      <c r="M683" t="n">
        <v>0</v>
      </c>
      <c r="N683" t="n">
        <v>0</v>
      </c>
      <c r="O683" t="n">
        <v>0</v>
      </c>
      <c r="P683" t="n">
        <v>0</v>
      </c>
      <c r="Q683" t="n">
        <v>0</v>
      </c>
      <c r="R683" s="2" t="inlineStr"/>
    </row>
    <row r="684" ht="15" customHeight="1">
      <c r="A684" t="inlineStr">
        <is>
          <t>A 30151-2025</t>
        </is>
      </c>
      <c r="B684" s="1" t="n">
        <v>45827</v>
      </c>
      <c r="C684" s="1" t="n">
        <v>46076</v>
      </c>
      <c r="D684" t="inlineStr">
        <is>
          <t>VÄRMLANDS LÄN</t>
        </is>
      </c>
      <c r="E684" t="inlineStr">
        <is>
          <t>TORSBY</t>
        </is>
      </c>
      <c r="G684" t="n">
        <v>4.1</v>
      </c>
      <c r="H684" t="n">
        <v>0</v>
      </c>
      <c r="I684" t="n">
        <v>0</v>
      </c>
      <c r="J684" t="n">
        <v>0</v>
      </c>
      <c r="K684" t="n">
        <v>0</v>
      </c>
      <c r="L684" t="n">
        <v>0</v>
      </c>
      <c r="M684" t="n">
        <v>0</v>
      </c>
      <c r="N684" t="n">
        <v>0</v>
      </c>
      <c r="O684" t="n">
        <v>0</v>
      </c>
      <c r="P684" t="n">
        <v>0</v>
      </c>
      <c r="Q684" t="n">
        <v>0</v>
      </c>
      <c r="R684" s="2" t="inlineStr"/>
    </row>
    <row r="685" ht="15" customHeight="1">
      <c r="A685" t="inlineStr">
        <is>
          <t>A 30214-2025</t>
        </is>
      </c>
      <c r="B685" s="1" t="n">
        <v>45827</v>
      </c>
      <c r="C685" s="1" t="n">
        <v>46076</v>
      </c>
      <c r="D685" t="inlineStr">
        <is>
          <t>VÄRMLANDS LÄN</t>
        </is>
      </c>
      <c r="E685" t="inlineStr">
        <is>
          <t>TORSBY</t>
        </is>
      </c>
      <c r="F685" t="inlineStr">
        <is>
          <t>Bergvik skog väst AB</t>
        </is>
      </c>
      <c r="G685" t="n">
        <v>13.9</v>
      </c>
      <c r="H685" t="n">
        <v>0</v>
      </c>
      <c r="I685" t="n">
        <v>0</v>
      </c>
      <c r="J685" t="n">
        <v>0</v>
      </c>
      <c r="K685" t="n">
        <v>0</v>
      </c>
      <c r="L685" t="n">
        <v>0</v>
      </c>
      <c r="M685" t="n">
        <v>0</v>
      </c>
      <c r="N685" t="n">
        <v>0</v>
      </c>
      <c r="O685" t="n">
        <v>0</v>
      </c>
      <c r="P685" t="n">
        <v>0</v>
      </c>
      <c r="Q685" t="n">
        <v>0</v>
      </c>
      <c r="R685" s="2" t="inlineStr"/>
    </row>
    <row r="686" ht="15" customHeight="1">
      <c r="A686" t="inlineStr">
        <is>
          <t>A 40195-2025</t>
        </is>
      </c>
      <c r="B686" s="1" t="n">
        <v>45894.65922453703</v>
      </c>
      <c r="C686" s="1" t="n">
        <v>46076</v>
      </c>
      <c r="D686" t="inlineStr">
        <is>
          <t>VÄRMLANDS LÄN</t>
        </is>
      </c>
      <c r="E686" t="inlineStr">
        <is>
          <t>TORSBY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30333-2025</t>
        </is>
      </c>
      <c r="B687" s="1" t="n">
        <v>45827</v>
      </c>
      <c r="C687" s="1" t="n">
        <v>46076</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32988-2024</t>
        </is>
      </c>
      <c r="B688" s="1" t="n">
        <v>45517.46616898148</v>
      </c>
      <c r="C688" s="1" t="n">
        <v>46076</v>
      </c>
      <c r="D688" t="inlineStr">
        <is>
          <t>VÄRMLANDS LÄN</t>
        </is>
      </c>
      <c r="E688" t="inlineStr">
        <is>
          <t>TORSBY</t>
        </is>
      </c>
      <c r="G688" t="n">
        <v>1</v>
      </c>
      <c r="H688" t="n">
        <v>0</v>
      </c>
      <c r="I688" t="n">
        <v>0</v>
      </c>
      <c r="J688" t="n">
        <v>0</v>
      </c>
      <c r="K688" t="n">
        <v>0</v>
      </c>
      <c r="L688" t="n">
        <v>0</v>
      </c>
      <c r="M688" t="n">
        <v>0</v>
      </c>
      <c r="N688" t="n">
        <v>0</v>
      </c>
      <c r="O688" t="n">
        <v>0</v>
      </c>
      <c r="P688" t="n">
        <v>0</v>
      </c>
      <c r="Q688" t="n">
        <v>0</v>
      </c>
      <c r="R688" s="2" t="inlineStr"/>
    </row>
    <row r="689" ht="15" customHeight="1">
      <c r="A689" t="inlineStr">
        <is>
          <t>A 30607-2025</t>
        </is>
      </c>
      <c r="B689" s="1" t="n">
        <v>45831.4584375</v>
      </c>
      <c r="C689" s="1" t="n">
        <v>46076</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22421-2024</t>
        </is>
      </c>
      <c r="B690" s="1" t="n">
        <v>45446.70890046296</v>
      </c>
      <c r="C690" s="1" t="n">
        <v>46076</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40051-2025</t>
        </is>
      </c>
      <c r="B691" s="1" t="n">
        <v>45894.40730324074</v>
      </c>
      <c r="C691" s="1" t="n">
        <v>46076</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18115-2025</t>
        </is>
      </c>
      <c r="B692" s="1" t="n">
        <v>45761</v>
      </c>
      <c r="C692" s="1" t="n">
        <v>46076</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30717-2025</t>
        </is>
      </c>
      <c r="B693" s="1" t="n">
        <v>45831.56103009259</v>
      </c>
      <c r="C693" s="1" t="n">
        <v>46076</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59872-2023</t>
        </is>
      </c>
      <c r="B694" s="1" t="n">
        <v>45257.58666666667</v>
      </c>
      <c r="C694" s="1" t="n">
        <v>46076</v>
      </c>
      <c r="D694" t="inlineStr">
        <is>
          <t>VÄRMLANDS LÄN</t>
        </is>
      </c>
      <c r="E694" t="inlineStr">
        <is>
          <t>TORSBY</t>
        </is>
      </c>
      <c r="F694" t="inlineStr">
        <is>
          <t>Bergvik skog väst AB</t>
        </is>
      </c>
      <c r="G694" t="n">
        <v>3.1</v>
      </c>
      <c r="H694" t="n">
        <v>0</v>
      </c>
      <c r="I694" t="n">
        <v>0</v>
      </c>
      <c r="J694" t="n">
        <v>0</v>
      </c>
      <c r="K694" t="n">
        <v>0</v>
      </c>
      <c r="L694" t="n">
        <v>0</v>
      </c>
      <c r="M694" t="n">
        <v>0</v>
      </c>
      <c r="N694" t="n">
        <v>0</v>
      </c>
      <c r="O694" t="n">
        <v>0</v>
      </c>
      <c r="P694" t="n">
        <v>0</v>
      </c>
      <c r="Q694" t="n">
        <v>0</v>
      </c>
      <c r="R694" s="2" t="inlineStr"/>
    </row>
    <row r="695" ht="15" customHeight="1">
      <c r="A695" t="inlineStr">
        <is>
          <t>A 18096-2025</t>
        </is>
      </c>
      <c r="B695" s="1" t="n">
        <v>45761</v>
      </c>
      <c r="C695" s="1" t="n">
        <v>46076</v>
      </c>
      <c r="D695" t="inlineStr">
        <is>
          <t>VÄRMLANDS LÄN</t>
        </is>
      </c>
      <c r="E695" t="inlineStr">
        <is>
          <t>TORSBY</t>
        </is>
      </c>
      <c r="G695" t="n">
        <v>3.6</v>
      </c>
      <c r="H695" t="n">
        <v>0</v>
      </c>
      <c r="I695" t="n">
        <v>0</v>
      </c>
      <c r="J695" t="n">
        <v>0</v>
      </c>
      <c r="K695" t="n">
        <v>0</v>
      </c>
      <c r="L695" t="n">
        <v>0</v>
      </c>
      <c r="M695" t="n">
        <v>0</v>
      </c>
      <c r="N695" t="n">
        <v>0</v>
      </c>
      <c r="O695" t="n">
        <v>0</v>
      </c>
      <c r="P695" t="n">
        <v>0</v>
      </c>
      <c r="Q695" t="n">
        <v>0</v>
      </c>
      <c r="R695" s="2" t="inlineStr"/>
    </row>
    <row r="696" ht="15" customHeight="1">
      <c r="A696" t="inlineStr">
        <is>
          <t>A 43157-2021</t>
        </is>
      </c>
      <c r="B696" s="1" t="n">
        <v>44431</v>
      </c>
      <c r="C696" s="1" t="n">
        <v>46076</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24827-2025</t>
        </is>
      </c>
      <c r="B697" s="1" t="n">
        <v>45799</v>
      </c>
      <c r="C697" s="1" t="n">
        <v>46076</v>
      </c>
      <c r="D697" t="inlineStr">
        <is>
          <t>VÄRMLANDS LÄN</t>
        </is>
      </c>
      <c r="E697" t="inlineStr">
        <is>
          <t>TORSBY</t>
        </is>
      </c>
      <c r="G697" t="n">
        <v>27.5</v>
      </c>
      <c r="H697" t="n">
        <v>0</v>
      </c>
      <c r="I697" t="n">
        <v>0</v>
      </c>
      <c r="J697" t="n">
        <v>0</v>
      </c>
      <c r="K697" t="n">
        <v>0</v>
      </c>
      <c r="L697" t="n">
        <v>0</v>
      </c>
      <c r="M697" t="n">
        <v>0</v>
      </c>
      <c r="N697" t="n">
        <v>0</v>
      </c>
      <c r="O697" t="n">
        <v>0</v>
      </c>
      <c r="P697" t="n">
        <v>0</v>
      </c>
      <c r="Q697" t="n">
        <v>0</v>
      </c>
      <c r="R697" s="2" t="inlineStr"/>
    </row>
    <row r="698" ht="15" customHeight="1">
      <c r="A698" t="inlineStr">
        <is>
          <t>A 17024-2024</t>
        </is>
      </c>
      <c r="B698" s="1" t="n">
        <v>45412.38322916667</v>
      </c>
      <c r="C698" s="1" t="n">
        <v>46076</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28035-2024</t>
        </is>
      </c>
      <c r="B699" s="1" t="n">
        <v>45476</v>
      </c>
      <c r="C699" s="1" t="n">
        <v>46076</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30560-2025</t>
        </is>
      </c>
      <c r="B700" s="1" t="n">
        <v>45831.39497685185</v>
      </c>
      <c r="C700" s="1" t="n">
        <v>46076</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40128-2025</t>
        </is>
      </c>
      <c r="B701" s="1" t="n">
        <v>45894</v>
      </c>
      <c r="C701" s="1" t="n">
        <v>46076</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40729-2025</t>
        </is>
      </c>
      <c r="B702" s="1" t="n">
        <v>45897.35421296296</v>
      </c>
      <c r="C702" s="1" t="n">
        <v>46076</v>
      </c>
      <c r="D702" t="inlineStr">
        <is>
          <t>VÄRMLANDS LÄN</t>
        </is>
      </c>
      <c r="E702" t="inlineStr">
        <is>
          <t>TORSBY</t>
        </is>
      </c>
      <c r="F702" t="inlineStr">
        <is>
          <t>Bergvik skog väst AB</t>
        </is>
      </c>
      <c r="G702" t="n">
        <v>25.4</v>
      </c>
      <c r="H702" t="n">
        <v>0</v>
      </c>
      <c r="I702" t="n">
        <v>0</v>
      </c>
      <c r="J702" t="n">
        <v>0</v>
      </c>
      <c r="K702" t="n">
        <v>0</v>
      </c>
      <c r="L702" t="n">
        <v>0</v>
      </c>
      <c r="M702" t="n">
        <v>0</v>
      </c>
      <c r="N702" t="n">
        <v>0</v>
      </c>
      <c r="O702" t="n">
        <v>0</v>
      </c>
      <c r="P702" t="n">
        <v>0</v>
      </c>
      <c r="Q702" t="n">
        <v>0</v>
      </c>
      <c r="R702" s="2" t="inlineStr"/>
    </row>
    <row r="703" ht="15" customHeight="1">
      <c r="A703" t="inlineStr">
        <is>
          <t>A 30738-2025</t>
        </is>
      </c>
      <c r="B703" s="1" t="n">
        <v>45831.57583333334</v>
      </c>
      <c r="C703" s="1" t="n">
        <v>46076</v>
      </c>
      <c r="D703" t="inlineStr">
        <is>
          <t>VÄRMLANDS LÄN</t>
        </is>
      </c>
      <c r="E703" t="inlineStr">
        <is>
          <t>TORSBY</t>
        </is>
      </c>
      <c r="G703" t="n">
        <v>8.1</v>
      </c>
      <c r="H703" t="n">
        <v>0</v>
      </c>
      <c r="I703" t="n">
        <v>0</v>
      </c>
      <c r="J703" t="n">
        <v>0</v>
      </c>
      <c r="K703" t="n">
        <v>0</v>
      </c>
      <c r="L703" t="n">
        <v>0</v>
      </c>
      <c r="M703" t="n">
        <v>0</v>
      </c>
      <c r="N703" t="n">
        <v>0</v>
      </c>
      <c r="O703" t="n">
        <v>0</v>
      </c>
      <c r="P703" t="n">
        <v>0</v>
      </c>
      <c r="Q703" t="n">
        <v>0</v>
      </c>
      <c r="R703" s="2" t="inlineStr"/>
    </row>
    <row r="704" ht="15" customHeight="1">
      <c r="A704" t="inlineStr">
        <is>
          <t>A 52801-2024</t>
        </is>
      </c>
      <c r="B704" s="1" t="n">
        <v>45610.56784722222</v>
      </c>
      <c r="C704" s="1" t="n">
        <v>46076</v>
      </c>
      <c r="D704" t="inlineStr">
        <is>
          <t>VÄRMLANDS LÄN</t>
        </is>
      </c>
      <c r="E704" t="inlineStr">
        <is>
          <t>TORSBY</t>
        </is>
      </c>
      <c r="G704" t="n">
        <v>7.4</v>
      </c>
      <c r="H704" t="n">
        <v>0</v>
      </c>
      <c r="I704" t="n">
        <v>0</v>
      </c>
      <c r="J704" t="n">
        <v>0</v>
      </c>
      <c r="K704" t="n">
        <v>0</v>
      </c>
      <c r="L704" t="n">
        <v>0</v>
      </c>
      <c r="M704" t="n">
        <v>0</v>
      </c>
      <c r="N704" t="n">
        <v>0</v>
      </c>
      <c r="O704" t="n">
        <v>0</v>
      </c>
      <c r="P704" t="n">
        <v>0</v>
      </c>
      <c r="Q704" t="n">
        <v>0</v>
      </c>
      <c r="R704" s="2" t="inlineStr"/>
    </row>
    <row r="705" ht="15" customHeight="1">
      <c r="A705" t="inlineStr">
        <is>
          <t>A 30789-2024</t>
        </is>
      </c>
      <c r="B705" s="1" t="n">
        <v>45497.178125</v>
      </c>
      <c r="C705" s="1" t="n">
        <v>46076</v>
      </c>
      <c r="D705" t="inlineStr">
        <is>
          <t>VÄRMLANDS LÄN</t>
        </is>
      </c>
      <c r="E705" t="inlineStr">
        <is>
          <t>TORSBY</t>
        </is>
      </c>
      <c r="G705" t="n">
        <v>5.2</v>
      </c>
      <c r="H705" t="n">
        <v>0</v>
      </c>
      <c r="I705" t="n">
        <v>0</v>
      </c>
      <c r="J705" t="n">
        <v>0</v>
      </c>
      <c r="K705" t="n">
        <v>0</v>
      </c>
      <c r="L705" t="n">
        <v>0</v>
      </c>
      <c r="M705" t="n">
        <v>0</v>
      </c>
      <c r="N705" t="n">
        <v>0</v>
      </c>
      <c r="O705" t="n">
        <v>0</v>
      </c>
      <c r="P705" t="n">
        <v>0</v>
      </c>
      <c r="Q705" t="n">
        <v>0</v>
      </c>
      <c r="R705" s="2" t="inlineStr"/>
    </row>
    <row r="706" ht="15" customHeight="1">
      <c r="A706" t="inlineStr">
        <is>
          <t>A 31101-2025</t>
        </is>
      </c>
      <c r="B706" s="1" t="n">
        <v>45832</v>
      </c>
      <c r="C706" s="1" t="n">
        <v>46076</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27101-2024</t>
        </is>
      </c>
      <c r="B707" s="1" t="n">
        <v>45471</v>
      </c>
      <c r="C707" s="1" t="n">
        <v>46076</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27116-2024</t>
        </is>
      </c>
      <c r="B708" s="1" t="n">
        <v>45471.5056712963</v>
      </c>
      <c r="C708" s="1" t="n">
        <v>46076</v>
      </c>
      <c r="D708" t="inlineStr">
        <is>
          <t>VÄRMLANDS LÄN</t>
        </is>
      </c>
      <c r="E708" t="inlineStr">
        <is>
          <t>TORSBY</t>
        </is>
      </c>
      <c r="G708" t="n">
        <v>0.3</v>
      </c>
      <c r="H708" t="n">
        <v>0</v>
      </c>
      <c r="I708" t="n">
        <v>0</v>
      </c>
      <c r="J708" t="n">
        <v>0</v>
      </c>
      <c r="K708" t="n">
        <v>0</v>
      </c>
      <c r="L708" t="n">
        <v>0</v>
      </c>
      <c r="M708" t="n">
        <v>0</v>
      </c>
      <c r="N708" t="n">
        <v>0</v>
      </c>
      <c r="O708" t="n">
        <v>0</v>
      </c>
      <c r="P708" t="n">
        <v>0</v>
      </c>
      <c r="Q708" t="n">
        <v>0</v>
      </c>
      <c r="R708" s="2" t="inlineStr"/>
    </row>
    <row r="709" ht="15" customHeight="1">
      <c r="A709" t="inlineStr">
        <is>
          <t>A 31547-2025</t>
        </is>
      </c>
      <c r="B709" s="1" t="n">
        <v>45833.63733796297</v>
      </c>
      <c r="C709" s="1" t="n">
        <v>46076</v>
      </c>
      <c r="D709" t="inlineStr">
        <is>
          <t>VÄRMLANDS LÄN</t>
        </is>
      </c>
      <c r="E709" t="inlineStr">
        <is>
          <t>TORSBY</t>
        </is>
      </c>
      <c r="F709" t="inlineStr">
        <is>
          <t>Bergvik skog väst AB</t>
        </is>
      </c>
      <c r="G709" t="n">
        <v>7.9</v>
      </c>
      <c r="H709" t="n">
        <v>0</v>
      </c>
      <c r="I709" t="n">
        <v>0</v>
      </c>
      <c r="J709" t="n">
        <v>0</v>
      </c>
      <c r="K709" t="n">
        <v>0</v>
      </c>
      <c r="L709" t="n">
        <v>0</v>
      </c>
      <c r="M709" t="n">
        <v>0</v>
      </c>
      <c r="N709" t="n">
        <v>0</v>
      </c>
      <c r="O709" t="n">
        <v>0</v>
      </c>
      <c r="P709" t="n">
        <v>0</v>
      </c>
      <c r="Q709" t="n">
        <v>0</v>
      </c>
      <c r="R709" s="2" t="inlineStr"/>
    </row>
    <row r="710" ht="15" customHeight="1">
      <c r="A710" t="inlineStr">
        <is>
          <t>A 40519-2025</t>
        </is>
      </c>
      <c r="B710" s="1" t="n">
        <v>45896.3640162037</v>
      </c>
      <c r="C710" s="1" t="n">
        <v>46076</v>
      </c>
      <c r="D710" t="inlineStr">
        <is>
          <t>VÄRMLANDS LÄN</t>
        </is>
      </c>
      <c r="E710" t="inlineStr">
        <is>
          <t>TORSBY</t>
        </is>
      </c>
      <c r="F710" t="inlineStr">
        <is>
          <t>Bergvik skog väst AB</t>
        </is>
      </c>
      <c r="G710" t="n">
        <v>0.4</v>
      </c>
      <c r="H710" t="n">
        <v>0</v>
      </c>
      <c r="I710" t="n">
        <v>0</v>
      </c>
      <c r="J710" t="n">
        <v>0</v>
      </c>
      <c r="K710" t="n">
        <v>0</v>
      </c>
      <c r="L710" t="n">
        <v>0</v>
      </c>
      <c r="M710" t="n">
        <v>0</v>
      </c>
      <c r="N710" t="n">
        <v>0</v>
      </c>
      <c r="O710" t="n">
        <v>0</v>
      </c>
      <c r="P710" t="n">
        <v>0</v>
      </c>
      <c r="Q710" t="n">
        <v>0</v>
      </c>
      <c r="R710" s="2" t="inlineStr"/>
    </row>
    <row r="711" ht="15" customHeight="1">
      <c r="A711" t="inlineStr">
        <is>
          <t>A 31335-2025</t>
        </is>
      </c>
      <c r="B711" s="1" t="n">
        <v>45833.42608796297</v>
      </c>
      <c r="C711" s="1" t="n">
        <v>46076</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30974-2025</t>
        </is>
      </c>
      <c r="B712" s="1" t="n">
        <v>45832.46305555556</v>
      </c>
      <c r="C712" s="1" t="n">
        <v>46076</v>
      </c>
      <c r="D712" t="inlineStr">
        <is>
          <t>VÄRMLANDS LÄN</t>
        </is>
      </c>
      <c r="E712" t="inlineStr">
        <is>
          <t>TORSBY</t>
        </is>
      </c>
      <c r="G712" t="n">
        <v>29.2</v>
      </c>
      <c r="H712" t="n">
        <v>0</v>
      </c>
      <c r="I712" t="n">
        <v>0</v>
      </c>
      <c r="J712" t="n">
        <v>0</v>
      </c>
      <c r="K712" t="n">
        <v>0</v>
      </c>
      <c r="L712" t="n">
        <v>0</v>
      </c>
      <c r="M712" t="n">
        <v>0</v>
      </c>
      <c r="N712" t="n">
        <v>0</v>
      </c>
      <c r="O712" t="n">
        <v>0</v>
      </c>
      <c r="P712" t="n">
        <v>0</v>
      </c>
      <c r="Q712" t="n">
        <v>0</v>
      </c>
      <c r="R712" s="2" t="inlineStr"/>
    </row>
    <row r="713" ht="15" customHeight="1">
      <c r="A713" t="inlineStr">
        <is>
          <t>A 47619-2024</t>
        </is>
      </c>
      <c r="B713" s="1" t="n">
        <v>45588.32371527778</v>
      </c>
      <c r="C713" s="1" t="n">
        <v>46076</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41130-2022</t>
        </is>
      </c>
      <c r="B714" s="1" t="n">
        <v>44825</v>
      </c>
      <c r="C714" s="1" t="n">
        <v>46076</v>
      </c>
      <c r="D714" t="inlineStr">
        <is>
          <t>VÄRMLANDS LÄN</t>
        </is>
      </c>
      <c r="E714" t="inlineStr">
        <is>
          <t>TORSBY</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41148-2025</t>
        </is>
      </c>
      <c r="B715" s="1" t="n">
        <v>45898</v>
      </c>
      <c r="C715" s="1" t="n">
        <v>46076</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25866-2025</t>
        </is>
      </c>
      <c r="B716" s="1" t="n">
        <v>45804.48143518518</v>
      </c>
      <c r="C716" s="1" t="n">
        <v>46076</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2009-2025</t>
        </is>
      </c>
      <c r="B717" s="1" t="n">
        <v>45672</v>
      </c>
      <c r="C717" s="1" t="n">
        <v>46076</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41168-2025</t>
        </is>
      </c>
      <c r="B718" s="1" t="n">
        <v>45898</v>
      </c>
      <c r="C718" s="1" t="n">
        <v>46076</v>
      </c>
      <c r="D718" t="inlineStr">
        <is>
          <t>VÄRMLANDS LÄN</t>
        </is>
      </c>
      <c r="E718" t="inlineStr">
        <is>
          <t>TORSBY</t>
        </is>
      </c>
      <c r="F718" t="inlineStr">
        <is>
          <t>Övriga Aktiebolag</t>
        </is>
      </c>
      <c r="G718" t="n">
        <v>5</v>
      </c>
      <c r="H718" t="n">
        <v>0</v>
      </c>
      <c r="I718" t="n">
        <v>0</v>
      </c>
      <c r="J718" t="n">
        <v>0</v>
      </c>
      <c r="K718" t="n">
        <v>0</v>
      </c>
      <c r="L718" t="n">
        <v>0</v>
      </c>
      <c r="M718" t="n">
        <v>0</v>
      </c>
      <c r="N718" t="n">
        <v>0</v>
      </c>
      <c r="O718" t="n">
        <v>0</v>
      </c>
      <c r="P718" t="n">
        <v>0</v>
      </c>
      <c r="Q718" t="n">
        <v>0</v>
      </c>
      <c r="R718" s="2" t="inlineStr"/>
    </row>
    <row r="719" ht="15" customHeight="1">
      <c r="A719" t="inlineStr">
        <is>
          <t>A 11672-2025</t>
        </is>
      </c>
      <c r="B719" s="1" t="n">
        <v>45727</v>
      </c>
      <c r="C719" s="1" t="n">
        <v>46076</v>
      </c>
      <c r="D719" t="inlineStr">
        <is>
          <t>VÄRMLANDS LÄN</t>
        </is>
      </c>
      <c r="E719" t="inlineStr">
        <is>
          <t>TORSBY</t>
        </is>
      </c>
      <c r="G719" t="n">
        <v>4.3</v>
      </c>
      <c r="H719" t="n">
        <v>0</v>
      </c>
      <c r="I719" t="n">
        <v>0</v>
      </c>
      <c r="J719" t="n">
        <v>0</v>
      </c>
      <c r="K719" t="n">
        <v>0</v>
      </c>
      <c r="L719" t="n">
        <v>0</v>
      </c>
      <c r="M719" t="n">
        <v>0</v>
      </c>
      <c r="N719" t="n">
        <v>0</v>
      </c>
      <c r="O719" t="n">
        <v>0</v>
      </c>
      <c r="P719" t="n">
        <v>0</v>
      </c>
      <c r="Q719" t="n">
        <v>0</v>
      </c>
      <c r="R719" s="2" t="inlineStr"/>
    </row>
    <row r="720" ht="15" customHeight="1">
      <c r="A720" t="inlineStr">
        <is>
          <t>A 41416-2025</t>
        </is>
      </c>
      <c r="B720" s="1" t="n">
        <v>45901</v>
      </c>
      <c r="C720" s="1" t="n">
        <v>46076</v>
      </c>
      <c r="D720" t="inlineStr">
        <is>
          <t>VÄRMLANDS LÄN</t>
        </is>
      </c>
      <c r="E720" t="inlineStr">
        <is>
          <t>TORSBY</t>
        </is>
      </c>
      <c r="G720" t="n">
        <v>7.8</v>
      </c>
      <c r="H720" t="n">
        <v>0</v>
      </c>
      <c r="I720" t="n">
        <v>0</v>
      </c>
      <c r="J720" t="n">
        <v>0</v>
      </c>
      <c r="K720" t="n">
        <v>0</v>
      </c>
      <c r="L720" t="n">
        <v>0</v>
      </c>
      <c r="M720" t="n">
        <v>0</v>
      </c>
      <c r="N720" t="n">
        <v>0</v>
      </c>
      <c r="O720" t="n">
        <v>0</v>
      </c>
      <c r="P720" t="n">
        <v>0</v>
      </c>
      <c r="Q720" t="n">
        <v>0</v>
      </c>
      <c r="R720" s="2" t="inlineStr"/>
    </row>
    <row r="721" ht="15" customHeight="1">
      <c r="A721" t="inlineStr">
        <is>
          <t>A 31416-2025</t>
        </is>
      </c>
      <c r="B721" s="1" t="n">
        <v>45833.48278935185</v>
      </c>
      <c r="C721" s="1" t="n">
        <v>46076</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14581-2023</t>
        </is>
      </c>
      <c r="B722" s="1" t="n">
        <v>45013.52122685185</v>
      </c>
      <c r="C722" s="1" t="n">
        <v>46076</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41232-2025</t>
        </is>
      </c>
      <c r="B723" s="1" t="n">
        <v>45898</v>
      </c>
      <c r="C723" s="1" t="n">
        <v>46076</v>
      </c>
      <c r="D723" t="inlineStr">
        <is>
          <t>VÄRMLANDS LÄN</t>
        </is>
      </c>
      <c r="E723" t="inlineStr">
        <is>
          <t>TORSBY</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33149-2025</t>
        </is>
      </c>
      <c r="B724" s="1" t="n">
        <v>45840.54246527778</v>
      </c>
      <c r="C724" s="1" t="n">
        <v>46076</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54865-2022</t>
        </is>
      </c>
      <c r="B725" s="1" t="n">
        <v>44884</v>
      </c>
      <c r="C725" s="1" t="n">
        <v>46076</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41137-2025</t>
        </is>
      </c>
      <c r="B726" s="1" t="n">
        <v>45898</v>
      </c>
      <c r="C726" s="1" t="n">
        <v>46076</v>
      </c>
      <c r="D726" t="inlineStr">
        <is>
          <t>VÄRMLANDS LÄN</t>
        </is>
      </c>
      <c r="E726" t="inlineStr">
        <is>
          <t>TORSBY</t>
        </is>
      </c>
      <c r="F726" t="inlineStr">
        <is>
          <t>Övriga Aktiebolag</t>
        </is>
      </c>
      <c r="G726" t="n">
        <v>3.3</v>
      </c>
      <c r="H726" t="n">
        <v>0</v>
      </c>
      <c r="I726" t="n">
        <v>0</v>
      </c>
      <c r="J726" t="n">
        <v>0</v>
      </c>
      <c r="K726" t="n">
        <v>0</v>
      </c>
      <c r="L726" t="n">
        <v>0</v>
      </c>
      <c r="M726" t="n">
        <v>0</v>
      </c>
      <c r="N726" t="n">
        <v>0</v>
      </c>
      <c r="O726" t="n">
        <v>0</v>
      </c>
      <c r="P726" t="n">
        <v>0</v>
      </c>
      <c r="Q726" t="n">
        <v>0</v>
      </c>
      <c r="R726" s="2" t="inlineStr"/>
    </row>
    <row r="727" ht="15" customHeight="1">
      <c r="A727" t="inlineStr">
        <is>
          <t>A 50494-2024</t>
        </is>
      </c>
      <c r="B727" s="1" t="n">
        <v>45601.50818287037</v>
      </c>
      <c r="C727" s="1" t="n">
        <v>46076</v>
      </c>
      <c r="D727" t="inlineStr">
        <is>
          <t>VÄRMLANDS LÄN</t>
        </is>
      </c>
      <c r="E727" t="inlineStr">
        <is>
          <t>TORSBY</t>
        </is>
      </c>
      <c r="G727" t="n">
        <v>5.4</v>
      </c>
      <c r="H727" t="n">
        <v>0</v>
      </c>
      <c r="I727" t="n">
        <v>0</v>
      </c>
      <c r="J727" t="n">
        <v>0</v>
      </c>
      <c r="K727" t="n">
        <v>0</v>
      </c>
      <c r="L727" t="n">
        <v>0</v>
      </c>
      <c r="M727" t="n">
        <v>0</v>
      </c>
      <c r="N727" t="n">
        <v>0</v>
      </c>
      <c r="O727" t="n">
        <v>0</v>
      </c>
      <c r="P727" t="n">
        <v>0</v>
      </c>
      <c r="Q727" t="n">
        <v>0</v>
      </c>
      <c r="R727" s="2" t="inlineStr"/>
    </row>
    <row r="728" ht="15" customHeight="1">
      <c r="A728" t="inlineStr">
        <is>
          <t>A 18897-2024</t>
        </is>
      </c>
      <c r="B728" s="1" t="n">
        <v>45427.34046296297</v>
      </c>
      <c r="C728" s="1" t="n">
        <v>46076</v>
      </c>
      <c r="D728" t="inlineStr">
        <is>
          <t>VÄRMLANDS LÄN</t>
        </is>
      </c>
      <c r="E728" t="inlineStr">
        <is>
          <t>TORSBY</t>
        </is>
      </c>
      <c r="F728" t="inlineStr">
        <is>
          <t>Övriga statliga verk och myndigheter</t>
        </is>
      </c>
      <c r="G728" t="n">
        <v>4.6</v>
      </c>
      <c r="H728" t="n">
        <v>0</v>
      </c>
      <c r="I728" t="n">
        <v>0</v>
      </c>
      <c r="J728" t="n">
        <v>0</v>
      </c>
      <c r="K728" t="n">
        <v>0</v>
      </c>
      <c r="L728" t="n">
        <v>0</v>
      </c>
      <c r="M728" t="n">
        <v>0</v>
      </c>
      <c r="N728" t="n">
        <v>0</v>
      </c>
      <c r="O728" t="n">
        <v>0</v>
      </c>
      <c r="P728" t="n">
        <v>0</v>
      </c>
      <c r="Q728" t="n">
        <v>0</v>
      </c>
      <c r="R728" s="2" t="inlineStr"/>
    </row>
    <row r="729" ht="15" customHeight="1">
      <c r="A729" t="inlineStr">
        <is>
          <t>A 41124-2025</t>
        </is>
      </c>
      <c r="B729" s="1" t="n">
        <v>45898.47166666666</v>
      </c>
      <c r="C729" s="1" t="n">
        <v>46076</v>
      </c>
      <c r="D729" t="inlineStr">
        <is>
          <t>VÄRMLANDS LÄN</t>
        </is>
      </c>
      <c r="E729" t="inlineStr">
        <is>
          <t>TORSBY</t>
        </is>
      </c>
      <c r="F729" t="inlineStr">
        <is>
          <t>Bergvik skog väst AB</t>
        </is>
      </c>
      <c r="G729" t="n">
        <v>8.9</v>
      </c>
      <c r="H729" t="n">
        <v>0</v>
      </c>
      <c r="I729" t="n">
        <v>0</v>
      </c>
      <c r="J729" t="n">
        <v>0</v>
      </c>
      <c r="K729" t="n">
        <v>0</v>
      </c>
      <c r="L729" t="n">
        <v>0</v>
      </c>
      <c r="M729" t="n">
        <v>0</v>
      </c>
      <c r="N729" t="n">
        <v>0</v>
      </c>
      <c r="O729" t="n">
        <v>0</v>
      </c>
      <c r="P729" t="n">
        <v>0</v>
      </c>
      <c r="Q729" t="n">
        <v>0</v>
      </c>
      <c r="R729" s="2" t="inlineStr"/>
    </row>
    <row r="730" ht="15" customHeight="1">
      <c r="A730" t="inlineStr">
        <is>
          <t>A 61157-2023</t>
        </is>
      </c>
      <c r="B730" s="1" t="n">
        <v>45261.98796296296</v>
      </c>
      <c r="C730" s="1" t="n">
        <v>46076</v>
      </c>
      <c r="D730" t="inlineStr">
        <is>
          <t>VÄRMLANDS LÄN</t>
        </is>
      </c>
      <c r="E730" t="inlineStr">
        <is>
          <t>TORSBY</t>
        </is>
      </c>
      <c r="G730" t="n">
        <v>1.9</v>
      </c>
      <c r="H730" t="n">
        <v>0</v>
      </c>
      <c r="I730" t="n">
        <v>0</v>
      </c>
      <c r="J730" t="n">
        <v>0</v>
      </c>
      <c r="K730" t="n">
        <v>0</v>
      </c>
      <c r="L730" t="n">
        <v>0</v>
      </c>
      <c r="M730" t="n">
        <v>0</v>
      </c>
      <c r="N730" t="n">
        <v>0</v>
      </c>
      <c r="O730" t="n">
        <v>0</v>
      </c>
      <c r="P730" t="n">
        <v>0</v>
      </c>
      <c r="Q730" t="n">
        <v>0</v>
      </c>
      <c r="R730" s="2" t="inlineStr"/>
    </row>
    <row r="731" ht="15" customHeight="1">
      <c r="A731" t="inlineStr">
        <is>
          <t>A 41209-2025</t>
        </is>
      </c>
      <c r="B731" s="1" t="n">
        <v>45898</v>
      </c>
      <c r="C731" s="1" t="n">
        <v>46076</v>
      </c>
      <c r="D731" t="inlineStr">
        <is>
          <t>VÄRMLANDS LÄN</t>
        </is>
      </c>
      <c r="E731" t="inlineStr">
        <is>
          <t>TORSBY</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2662-2024</t>
        </is>
      </c>
      <c r="B732" s="1" t="n">
        <v>45314.38747685185</v>
      </c>
      <c r="C732" s="1" t="n">
        <v>46076</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32298-2025</t>
        </is>
      </c>
      <c r="B733" s="1" t="n">
        <v>45835.7144675926</v>
      </c>
      <c r="C733" s="1" t="n">
        <v>46076</v>
      </c>
      <c r="D733" t="inlineStr">
        <is>
          <t>VÄRMLANDS LÄN</t>
        </is>
      </c>
      <c r="E733" t="inlineStr">
        <is>
          <t>TORSBY</t>
        </is>
      </c>
      <c r="G733" t="n">
        <v>19.2</v>
      </c>
      <c r="H733" t="n">
        <v>0</v>
      </c>
      <c r="I733" t="n">
        <v>0</v>
      </c>
      <c r="J733" t="n">
        <v>0</v>
      </c>
      <c r="K733" t="n">
        <v>0</v>
      </c>
      <c r="L733" t="n">
        <v>0</v>
      </c>
      <c r="M733" t="n">
        <v>0</v>
      </c>
      <c r="N733" t="n">
        <v>0</v>
      </c>
      <c r="O733" t="n">
        <v>0</v>
      </c>
      <c r="P733" t="n">
        <v>0</v>
      </c>
      <c r="Q733" t="n">
        <v>0</v>
      </c>
      <c r="R733" s="2" t="inlineStr"/>
    </row>
    <row r="734" ht="15" customHeight="1">
      <c r="A734" t="inlineStr">
        <is>
          <t>A 8033-2022</t>
        </is>
      </c>
      <c r="B734" s="1" t="n">
        <v>44609.43644675926</v>
      </c>
      <c r="C734" s="1" t="n">
        <v>46076</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41478-2025</t>
        </is>
      </c>
      <c r="B735" s="1" t="n">
        <v>45901</v>
      </c>
      <c r="C735" s="1" t="n">
        <v>46076</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41293-2025</t>
        </is>
      </c>
      <c r="B736" s="1" t="n">
        <v>45898</v>
      </c>
      <c r="C736" s="1" t="n">
        <v>46076</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31850-2025</t>
        </is>
      </c>
      <c r="B737" s="1" t="n">
        <v>45834</v>
      </c>
      <c r="C737" s="1" t="n">
        <v>46076</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41189-2025</t>
        </is>
      </c>
      <c r="B738" s="1" t="n">
        <v>45898</v>
      </c>
      <c r="C738" s="1" t="n">
        <v>46076</v>
      </c>
      <c r="D738" t="inlineStr">
        <is>
          <t>VÄRMLANDS LÄN</t>
        </is>
      </c>
      <c r="E738" t="inlineStr">
        <is>
          <t>TORSBY</t>
        </is>
      </c>
      <c r="F738" t="inlineStr">
        <is>
          <t>Övriga Aktiebolag</t>
        </is>
      </c>
      <c r="G738" t="n">
        <v>10.3</v>
      </c>
      <c r="H738" t="n">
        <v>0</v>
      </c>
      <c r="I738" t="n">
        <v>0</v>
      </c>
      <c r="J738" t="n">
        <v>0</v>
      </c>
      <c r="K738" t="n">
        <v>0</v>
      </c>
      <c r="L738" t="n">
        <v>0</v>
      </c>
      <c r="M738" t="n">
        <v>0</v>
      </c>
      <c r="N738" t="n">
        <v>0</v>
      </c>
      <c r="O738" t="n">
        <v>0</v>
      </c>
      <c r="P738" t="n">
        <v>0</v>
      </c>
      <c r="Q738" t="n">
        <v>0</v>
      </c>
      <c r="R738" s="2" t="inlineStr"/>
    </row>
    <row r="739" ht="15" customHeight="1">
      <c r="A739" t="inlineStr">
        <is>
          <t>A 41194-2025</t>
        </is>
      </c>
      <c r="B739" s="1" t="n">
        <v>45898.57028935185</v>
      </c>
      <c r="C739" s="1" t="n">
        <v>46076</v>
      </c>
      <c r="D739" t="inlineStr">
        <is>
          <t>VÄRMLANDS LÄN</t>
        </is>
      </c>
      <c r="E739" t="inlineStr">
        <is>
          <t>TORSBY</t>
        </is>
      </c>
      <c r="F739" t="inlineStr">
        <is>
          <t>Bergvik skog väst AB</t>
        </is>
      </c>
      <c r="G739" t="n">
        <v>5.6</v>
      </c>
      <c r="H739" t="n">
        <v>0</v>
      </c>
      <c r="I739" t="n">
        <v>0</v>
      </c>
      <c r="J739" t="n">
        <v>0</v>
      </c>
      <c r="K739" t="n">
        <v>0</v>
      </c>
      <c r="L739" t="n">
        <v>0</v>
      </c>
      <c r="M739" t="n">
        <v>0</v>
      </c>
      <c r="N739" t="n">
        <v>0</v>
      </c>
      <c r="O739" t="n">
        <v>0</v>
      </c>
      <c r="P739" t="n">
        <v>0</v>
      </c>
      <c r="Q739" t="n">
        <v>0</v>
      </c>
      <c r="R739" s="2" t="inlineStr"/>
    </row>
    <row r="740" ht="15" customHeight="1">
      <c r="A740" t="inlineStr">
        <is>
          <t>A 32084-2025</t>
        </is>
      </c>
      <c r="B740" s="1" t="n">
        <v>45835.45379629629</v>
      </c>
      <c r="C740" s="1" t="n">
        <v>46076</v>
      </c>
      <c r="D740" t="inlineStr">
        <is>
          <t>VÄRMLANDS LÄN</t>
        </is>
      </c>
      <c r="E740" t="inlineStr">
        <is>
          <t>TORSBY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46166-2024</t>
        </is>
      </c>
      <c r="B741" s="1" t="n">
        <v>45581</v>
      </c>
      <c r="C741" s="1" t="n">
        <v>46076</v>
      </c>
      <c r="D741" t="inlineStr">
        <is>
          <t>VÄRMLANDS LÄN</t>
        </is>
      </c>
      <c r="E741" t="inlineStr">
        <is>
          <t>TORSBY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24111-2025</t>
        </is>
      </c>
      <c r="B742" s="1" t="n">
        <v>45796.60822916667</v>
      </c>
      <c r="C742" s="1" t="n">
        <v>46076</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1166-2023</t>
        </is>
      </c>
      <c r="B743" s="1" t="n">
        <v>44935</v>
      </c>
      <c r="C743" s="1" t="n">
        <v>46076</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28329-2024</t>
        </is>
      </c>
      <c r="B744" s="1" t="n">
        <v>45477</v>
      </c>
      <c r="C744" s="1" t="n">
        <v>46076</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11121-2024</t>
        </is>
      </c>
      <c r="B745" s="1" t="n">
        <v>45371.40634259259</v>
      </c>
      <c r="C745" s="1" t="n">
        <v>46076</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59097-2022</t>
        </is>
      </c>
      <c r="B746" s="1" t="n">
        <v>44904</v>
      </c>
      <c r="C746" s="1" t="n">
        <v>46076</v>
      </c>
      <c r="D746" t="inlineStr">
        <is>
          <t>VÄRMLANDS LÄN</t>
        </is>
      </c>
      <c r="E746" t="inlineStr">
        <is>
          <t>TORSBY</t>
        </is>
      </c>
      <c r="G746" t="n">
        <v>6.6</v>
      </c>
      <c r="H746" t="n">
        <v>0</v>
      </c>
      <c r="I746" t="n">
        <v>0</v>
      </c>
      <c r="J746" t="n">
        <v>0</v>
      </c>
      <c r="K746" t="n">
        <v>0</v>
      </c>
      <c r="L746" t="n">
        <v>0</v>
      </c>
      <c r="M746" t="n">
        <v>0</v>
      </c>
      <c r="N746" t="n">
        <v>0</v>
      </c>
      <c r="O746" t="n">
        <v>0</v>
      </c>
      <c r="P746" t="n">
        <v>0</v>
      </c>
      <c r="Q746" t="n">
        <v>0</v>
      </c>
      <c r="R746" s="2" t="inlineStr"/>
    </row>
    <row r="747" ht="15" customHeight="1">
      <c r="A747" t="inlineStr">
        <is>
          <t>A 31906-2025</t>
        </is>
      </c>
      <c r="B747" s="1" t="n">
        <v>45834.69046296296</v>
      </c>
      <c r="C747" s="1" t="n">
        <v>46076</v>
      </c>
      <c r="D747" t="inlineStr">
        <is>
          <t>VÄRMLANDS LÄN</t>
        </is>
      </c>
      <c r="E747" t="inlineStr">
        <is>
          <t>TORSBY</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24576-2025</t>
        </is>
      </c>
      <c r="B748" s="1" t="n">
        <v>45798</v>
      </c>
      <c r="C748" s="1" t="n">
        <v>46076</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32054-2025</t>
        </is>
      </c>
      <c r="B749" s="1" t="n">
        <v>45835</v>
      </c>
      <c r="C749" s="1" t="n">
        <v>46076</v>
      </c>
      <c r="D749" t="inlineStr">
        <is>
          <t>VÄRMLANDS LÄN</t>
        </is>
      </c>
      <c r="E749" t="inlineStr">
        <is>
          <t>TORSBY</t>
        </is>
      </c>
      <c r="G749" t="n">
        <v>13.1</v>
      </c>
      <c r="H749" t="n">
        <v>0</v>
      </c>
      <c r="I749" t="n">
        <v>0</v>
      </c>
      <c r="J749" t="n">
        <v>0</v>
      </c>
      <c r="K749" t="n">
        <v>0</v>
      </c>
      <c r="L749" t="n">
        <v>0</v>
      </c>
      <c r="M749" t="n">
        <v>0</v>
      </c>
      <c r="N749" t="n">
        <v>0</v>
      </c>
      <c r="O749" t="n">
        <v>0</v>
      </c>
      <c r="P749" t="n">
        <v>0</v>
      </c>
      <c r="Q749" t="n">
        <v>0</v>
      </c>
      <c r="R749" s="2" t="inlineStr"/>
    </row>
    <row r="750" ht="15" customHeight="1">
      <c r="A750" t="inlineStr">
        <is>
          <t>A 34353-2025</t>
        </is>
      </c>
      <c r="B750" s="1" t="n">
        <v>45846.4775</v>
      </c>
      <c r="C750" s="1" t="n">
        <v>46076</v>
      </c>
      <c r="D750" t="inlineStr">
        <is>
          <t>VÄRMLANDS LÄN</t>
        </is>
      </c>
      <c r="E750" t="inlineStr">
        <is>
          <t>TORSBY</t>
        </is>
      </c>
      <c r="G750" t="n">
        <v>14.5</v>
      </c>
      <c r="H750" t="n">
        <v>0</v>
      </c>
      <c r="I750" t="n">
        <v>0</v>
      </c>
      <c r="J750" t="n">
        <v>0</v>
      </c>
      <c r="K750" t="n">
        <v>0</v>
      </c>
      <c r="L750" t="n">
        <v>0</v>
      </c>
      <c r="M750" t="n">
        <v>0</v>
      </c>
      <c r="N750" t="n">
        <v>0</v>
      </c>
      <c r="O750" t="n">
        <v>0</v>
      </c>
      <c r="P750" t="n">
        <v>0</v>
      </c>
      <c r="Q750" t="n">
        <v>0</v>
      </c>
      <c r="R750" s="2" t="inlineStr"/>
    </row>
    <row r="751" ht="15" customHeight="1">
      <c r="A751" t="inlineStr">
        <is>
          <t>A 9942-2025</t>
        </is>
      </c>
      <c r="B751" s="1" t="n">
        <v>45719</v>
      </c>
      <c r="C751" s="1" t="n">
        <v>46076</v>
      </c>
      <c r="D751" t="inlineStr">
        <is>
          <t>VÄRMLANDS LÄN</t>
        </is>
      </c>
      <c r="E751" t="inlineStr">
        <is>
          <t>TORSBY</t>
        </is>
      </c>
      <c r="G751" t="n">
        <v>2.6</v>
      </c>
      <c r="H751" t="n">
        <v>0</v>
      </c>
      <c r="I751" t="n">
        <v>0</v>
      </c>
      <c r="J751" t="n">
        <v>0</v>
      </c>
      <c r="K751" t="n">
        <v>0</v>
      </c>
      <c r="L751" t="n">
        <v>0</v>
      </c>
      <c r="M751" t="n">
        <v>0</v>
      </c>
      <c r="N751" t="n">
        <v>0</v>
      </c>
      <c r="O751" t="n">
        <v>0</v>
      </c>
      <c r="P751" t="n">
        <v>0</v>
      </c>
      <c r="Q751" t="n">
        <v>0</v>
      </c>
      <c r="R751" s="2" t="inlineStr"/>
    </row>
    <row r="752" ht="15" customHeight="1">
      <c r="A752" t="inlineStr">
        <is>
          <t>A 41376-2025</t>
        </is>
      </c>
      <c r="B752" s="1" t="n">
        <v>45900.84105324074</v>
      </c>
      <c r="C752" s="1" t="n">
        <v>46076</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31672-2025</t>
        </is>
      </c>
      <c r="B753" s="1" t="n">
        <v>45834.36979166666</v>
      </c>
      <c r="C753" s="1" t="n">
        <v>46076</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41471-2025</t>
        </is>
      </c>
      <c r="B754" s="1" t="n">
        <v>45901.46770833333</v>
      </c>
      <c r="C754" s="1" t="n">
        <v>46076</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41711-2025</t>
        </is>
      </c>
      <c r="B755" s="1" t="n">
        <v>45902.43106481482</v>
      </c>
      <c r="C755" s="1" t="n">
        <v>46076</v>
      </c>
      <c r="D755" t="inlineStr">
        <is>
          <t>VÄRMLANDS LÄN</t>
        </is>
      </c>
      <c r="E755" t="inlineStr">
        <is>
          <t>TORSBY</t>
        </is>
      </c>
      <c r="G755" t="n">
        <v>11.1</v>
      </c>
      <c r="H755" t="n">
        <v>0</v>
      </c>
      <c r="I755" t="n">
        <v>0</v>
      </c>
      <c r="J755" t="n">
        <v>0</v>
      </c>
      <c r="K755" t="n">
        <v>0</v>
      </c>
      <c r="L755" t="n">
        <v>0</v>
      </c>
      <c r="M755" t="n">
        <v>0</v>
      </c>
      <c r="N755" t="n">
        <v>0</v>
      </c>
      <c r="O755" t="n">
        <v>0</v>
      </c>
      <c r="P755" t="n">
        <v>0</v>
      </c>
      <c r="Q755" t="n">
        <v>0</v>
      </c>
      <c r="R755" s="2" t="inlineStr"/>
    </row>
    <row r="756" ht="15" customHeight="1">
      <c r="A756" t="inlineStr">
        <is>
          <t>A 31902-2025</t>
        </is>
      </c>
      <c r="B756" s="1" t="n">
        <v>45834.68592592593</v>
      </c>
      <c r="C756" s="1" t="n">
        <v>46076</v>
      </c>
      <c r="D756" t="inlineStr">
        <is>
          <t>VÄRMLANDS LÄN</t>
        </is>
      </c>
      <c r="E756" t="inlineStr">
        <is>
          <t>TORSBY</t>
        </is>
      </c>
      <c r="G756" t="n">
        <v>27.1</v>
      </c>
      <c r="H756" t="n">
        <v>0</v>
      </c>
      <c r="I756" t="n">
        <v>0</v>
      </c>
      <c r="J756" t="n">
        <v>0</v>
      </c>
      <c r="K756" t="n">
        <v>0</v>
      </c>
      <c r="L756" t="n">
        <v>0</v>
      </c>
      <c r="M756" t="n">
        <v>0</v>
      </c>
      <c r="N756" t="n">
        <v>0</v>
      </c>
      <c r="O756" t="n">
        <v>0</v>
      </c>
      <c r="P756" t="n">
        <v>0</v>
      </c>
      <c r="Q756" t="n">
        <v>0</v>
      </c>
      <c r="R756" s="2" t="inlineStr"/>
    </row>
    <row r="757" ht="15" customHeight="1">
      <c r="A757" t="inlineStr">
        <is>
          <t>A 32134-2025</t>
        </is>
      </c>
      <c r="B757" s="1" t="n">
        <v>45835.5102662037</v>
      </c>
      <c r="C757" s="1" t="n">
        <v>46076</v>
      </c>
      <c r="D757" t="inlineStr">
        <is>
          <t>VÄRMLANDS LÄN</t>
        </is>
      </c>
      <c r="E757" t="inlineStr">
        <is>
          <t>TORSBY</t>
        </is>
      </c>
      <c r="G757" t="n">
        <v>8.5</v>
      </c>
      <c r="H757" t="n">
        <v>0</v>
      </c>
      <c r="I757" t="n">
        <v>0</v>
      </c>
      <c r="J757" t="n">
        <v>0</v>
      </c>
      <c r="K757" t="n">
        <v>0</v>
      </c>
      <c r="L757" t="n">
        <v>0</v>
      </c>
      <c r="M757" t="n">
        <v>0</v>
      </c>
      <c r="N757" t="n">
        <v>0</v>
      </c>
      <c r="O757" t="n">
        <v>0</v>
      </c>
      <c r="P757" t="n">
        <v>0</v>
      </c>
      <c r="Q757" t="n">
        <v>0</v>
      </c>
      <c r="R757" s="2" t="inlineStr"/>
    </row>
    <row r="758" ht="15" customHeight="1">
      <c r="A758" t="inlineStr">
        <is>
          <t>A 41895-2025</t>
        </is>
      </c>
      <c r="B758" s="1" t="n">
        <v>45903.38645833333</v>
      </c>
      <c r="C758" s="1" t="n">
        <v>46076</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33078-2024</t>
        </is>
      </c>
      <c r="B759" s="1" t="n">
        <v>45517</v>
      </c>
      <c r="C759" s="1" t="n">
        <v>46076</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32191-2025</t>
        </is>
      </c>
      <c r="B760" s="1" t="n">
        <v>45835.57099537037</v>
      </c>
      <c r="C760" s="1" t="n">
        <v>46076</v>
      </c>
      <c r="D760" t="inlineStr">
        <is>
          <t>VÄRMLANDS LÄN</t>
        </is>
      </c>
      <c r="E760" t="inlineStr">
        <is>
          <t>TORSBY</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36175-2024</t>
        </is>
      </c>
      <c r="B761" s="1" t="n">
        <v>45534.40834490741</v>
      </c>
      <c r="C761" s="1" t="n">
        <v>46076</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41958-2025</t>
        </is>
      </c>
      <c r="B762" s="1" t="n">
        <v>45903.46856481482</v>
      </c>
      <c r="C762" s="1" t="n">
        <v>46076</v>
      </c>
      <c r="D762" t="inlineStr">
        <is>
          <t>VÄRMLANDS LÄN</t>
        </is>
      </c>
      <c r="E762" t="inlineStr">
        <is>
          <t>TORSBY</t>
        </is>
      </c>
      <c r="F762" t="inlineStr">
        <is>
          <t>Bergvik skog väst AB</t>
        </is>
      </c>
      <c r="G762" t="n">
        <v>15.8</v>
      </c>
      <c r="H762" t="n">
        <v>0</v>
      </c>
      <c r="I762" t="n">
        <v>0</v>
      </c>
      <c r="J762" t="n">
        <v>0</v>
      </c>
      <c r="K762" t="n">
        <v>0</v>
      </c>
      <c r="L762" t="n">
        <v>0</v>
      </c>
      <c r="M762" t="n">
        <v>0</v>
      </c>
      <c r="N762" t="n">
        <v>0</v>
      </c>
      <c r="O762" t="n">
        <v>0</v>
      </c>
      <c r="P762" t="n">
        <v>0</v>
      </c>
      <c r="Q762" t="n">
        <v>0</v>
      </c>
      <c r="R762" s="2" t="inlineStr"/>
    </row>
    <row r="763" ht="15" customHeight="1">
      <c r="A763" t="inlineStr">
        <is>
          <t>A 42662-2024</t>
        </is>
      </c>
      <c r="B763" s="1" t="n">
        <v>45566</v>
      </c>
      <c r="C763" s="1" t="n">
        <v>46076</v>
      </c>
      <c r="D763" t="inlineStr">
        <is>
          <t>VÄRMLANDS LÄN</t>
        </is>
      </c>
      <c r="E763" t="inlineStr">
        <is>
          <t>TORSBY</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42108-2025</t>
        </is>
      </c>
      <c r="B764" s="1" t="n">
        <v>45903</v>
      </c>
      <c r="C764" s="1" t="n">
        <v>46076</v>
      </c>
      <c r="D764" t="inlineStr">
        <is>
          <t>VÄRMLANDS LÄN</t>
        </is>
      </c>
      <c r="E764" t="inlineStr">
        <is>
          <t>TORSBY</t>
        </is>
      </c>
      <c r="F764" t="inlineStr">
        <is>
          <t>Bergvik skog väst AB</t>
        </is>
      </c>
      <c r="G764" t="n">
        <v>13.5</v>
      </c>
      <c r="H764" t="n">
        <v>0</v>
      </c>
      <c r="I764" t="n">
        <v>0</v>
      </c>
      <c r="J764" t="n">
        <v>0</v>
      </c>
      <c r="K764" t="n">
        <v>0</v>
      </c>
      <c r="L764" t="n">
        <v>0</v>
      </c>
      <c r="M764" t="n">
        <v>0</v>
      </c>
      <c r="N764" t="n">
        <v>0</v>
      </c>
      <c r="O764" t="n">
        <v>0</v>
      </c>
      <c r="P764" t="n">
        <v>0</v>
      </c>
      <c r="Q764" t="n">
        <v>0</v>
      </c>
      <c r="R764" s="2" t="inlineStr"/>
    </row>
    <row r="765" ht="15" customHeight="1">
      <c r="A765" t="inlineStr">
        <is>
          <t>A 31630-2025</t>
        </is>
      </c>
      <c r="B765" s="1" t="n">
        <v>45834.32670138889</v>
      </c>
      <c r="C765" s="1" t="n">
        <v>46076</v>
      </c>
      <c r="D765" t="inlineStr">
        <is>
          <t>VÄRMLANDS LÄN</t>
        </is>
      </c>
      <c r="E765" t="inlineStr">
        <is>
          <t>TORSBY</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41744-2025</t>
        </is>
      </c>
      <c r="B766" s="1" t="n">
        <v>45902</v>
      </c>
      <c r="C766" s="1" t="n">
        <v>46076</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41627-2025</t>
        </is>
      </c>
      <c r="B767" s="1" t="n">
        <v>45901.79328703704</v>
      </c>
      <c r="C767" s="1" t="n">
        <v>46076</v>
      </c>
      <c r="D767" t="inlineStr">
        <is>
          <t>VÄRMLANDS LÄN</t>
        </is>
      </c>
      <c r="E767" t="inlineStr">
        <is>
          <t>TORSBY</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20633-2024</t>
        </is>
      </c>
      <c r="B768" s="1" t="n">
        <v>45436</v>
      </c>
      <c r="C768" s="1" t="n">
        <v>46076</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45231-2023</t>
        </is>
      </c>
      <c r="B769" s="1" t="n">
        <v>45191</v>
      </c>
      <c r="C769" s="1" t="n">
        <v>46076</v>
      </c>
      <c r="D769" t="inlineStr">
        <is>
          <t>VÄRMLANDS LÄN</t>
        </is>
      </c>
      <c r="E769" t="inlineStr">
        <is>
          <t>TORSBY</t>
        </is>
      </c>
      <c r="F769" t="inlineStr">
        <is>
          <t>Bergvik skog väst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40590-2021</t>
        </is>
      </c>
      <c r="B770" s="1" t="n">
        <v>44420</v>
      </c>
      <c r="C770" s="1" t="n">
        <v>46076</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10218-2023</t>
        </is>
      </c>
      <c r="B771" s="1" t="n">
        <v>44986.59697916666</v>
      </c>
      <c r="C771" s="1" t="n">
        <v>46076</v>
      </c>
      <c r="D771" t="inlineStr">
        <is>
          <t>VÄRMLANDS LÄN</t>
        </is>
      </c>
      <c r="E771" t="inlineStr">
        <is>
          <t>TORSBY</t>
        </is>
      </c>
      <c r="G771" t="n">
        <v>0.6</v>
      </c>
      <c r="H771" t="n">
        <v>0</v>
      </c>
      <c r="I771" t="n">
        <v>0</v>
      </c>
      <c r="J771" t="n">
        <v>0</v>
      </c>
      <c r="K771" t="n">
        <v>0</v>
      </c>
      <c r="L771" t="n">
        <v>0</v>
      </c>
      <c r="M771" t="n">
        <v>0</v>
      </c>
      <c r="N771" t="n">
        <v>0</v>
      </c>
      <c r="O771" t="n">
        <v>0</v>
      </c>
      <c r="P771" t="n">
        <v>0</v>
      </c>
      <c r="Q771" t="n">
        <v>0</v>
      </c>
      <c r="R771" s="2" t="inlineStr"/>
    </row>
    <row r="772" ht="15" customHeight="1">
      <c r="A772" t="inlineStr">
        <is>
          <t>A 32618-2025</t>
        </is>
      </c>
      <c r="B772" s="1" t="n">
        <v>45838.6435300926</v>
      </c>
      <c r="C772" s="1" t="n">
        <v>46076</v>
      </c>
      <c r="D772" t="inlineStr">
        <is>
          <t>VÄRMLANDS LÄN</t>
        </is>
      </c>
      <c r="E772" t="inlineStr">
        <is>
          <t>TORSBY</t>
        </is>
      </c>
      <c r="G772" t="n">
        <v>4.1</v>
      </c>
      <c r="H772" t="n">
        <v>0</v>
      </c>
      <c r="I772" t="n">
        <v>0</v>
      </c>
      <c r="J772" t="n">
        <v>0</v>
      </c>
      <c r="K772" t="n">
        <v>0</v>
      </c>
      <c r="L772" t="n">
        <v>0</v>
      </c>
      <c r="M772" t="n">
        <v>0</v>
      </c>
      <c r="N772" t="n">
        <v>0</v>
      </c>
      <c r="O772" t="n">
        <v>0</v>
      </c>
      <c r="P772" t="n">
        <v>0</v>
      </c>
      <c r="Q772" t="n">
        <v>0</v>
      </c>
      <c r="R772" s="2" t="inlineStr"/>
    </row>
    <row r="773" ht="15" customHeight="1">
      <c r="A773" t="inlineStr">
        <is>
          <t>A 41740-2025</t>
        </is>
      </c>
      <c r="B773" s="1" t="n">
        <v>45902</v>
      </c>
      <c r="C773" s="1" t="n">
        <v>46076</v>
      </c>
      <c r="D773" t="inlineStr">
        <is>
          <t>VÄRMLANDS LÄN</t>
        </is>
      </c>
      <c r="E773" t="inlineStr">
        <is>
          <t>TORSBY</t>
        </is>
      </c>
      <c r="G773" t="n">
        <v>0.8</v>
      </c>
      <c r="H773" t="n">
        <v>0</v>
      </c>
      <c r="I773" t="n">
        <v>0</v>
      </c>
      <c r="J773" t="n">
        <v>0</v>
      </c>
      <c r="K773" t="n">
        <v>0</v>
      </c>
      <c r="L773" t="n">
        <v>0</v>
      </c>
      <c r="M773" t="n">
        <v>0</v>
      </c>
      <c r="N773" t="n">
        <v>0</v>
      </c>
      <c r="O773" t="n">
        <v>0</v>
      </c>
      <c r="P773" t="n">
        <v>0</v>
      </c>
      <c r="Q773" t="n">
        <v>0</v>
      </c>
      <c r="R773" s="2" t="inlineStr"/>
    </row>
    <row r="774" ht="15" customHeight="1">
      <c r="A774" t="inlineStr">
        <is>
          <t>A 41746-2025</t>
        </is>
      </c>
      <c r="B774" s="1" t="n">
        <v>45902.48660879629</v>
      </c>
      <c r="C774" s="1" t="n">
        <v>46076</v>
      </c>
      <c r="D774" t="inlineStr">
        <is>
          <t>VÄRMLANDS LÄN</t>
        </is>
      </c>
      <c r="E774" t="inlineStr">
        <is>
          <t>TORSBY</t>
        </is>
      </c>
      <c r="G774" t="n">
        <v>3</v>
      </c>
      <c r="H774" t="n">
        <v>0</v>
      </c>
      <c r="I774" t="n">
        <v>0</v>
      </c>
      <c r="J774" t="n">
        <v>0</v>
      </c>
      <c r="K774" t="n">
        <v>0</v>
      </c>
      <c r="L774" t="n">
        <v>0</v>
      </c>
      <c r="M774" t="n">
        <v>0</v>
      </c>
      <c r="N774" t="n">
        <v>0</v>
      </c>
      <c r="O774" t="n">
        <v>0</v>
      </c>
      <c r="P774" t="n">
        <v>0</v>
      </c>
      <c r="Q774" t="n">
        <v>0</v>
      </c>
      <c r="R774" s="2" t="inlineStr"/>
    </row>
    <row r="775" ht="15" customHeight="1">
      <c r="A775" t="inlineStr">
        <is>
          <t>A 46698-2024</t>
        </is>
      </c>
      <c r="B775" s="1" t="n">
        <v>45583.43209490741</v>
      </c>
      <c r="C775" s="1" t="n">
        <v>46076</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41634-2025</t>
        </is>
      </c>
      <c r="B776" s="1" t="n">
        <v>45902</v>
      </c>
      <c r="C776" s="1" t="n">
        <v>46076</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41975-2025</t>
        </is>
      </c>
      <c r="B777" s="1" t="n">
        <v>45903.49732638889</v>
      </c>
      <c r="C777" s="1" t="n">
        <v>46076</v>
      </c>
      <c r="D777" t="inlineStr">
        <is>
          <t>VÄRMLANDS LÄN</t>
        </is>
      </c>
      <c r="E777" t="inlineStr">
        <is>
          <t>TORSBY</t>
        </is>
      </c>
      <c r="F777" t="inlineStr">
        <is>
          <t>Bergvik skog väst AB</t>
        </is>
      </c>
      <c r="G777" t="n">
        <v>10.4</v>
      </c>
      <c r="H777" t="n">
        <v>0</v>
      </c>
      <c r="I777" t="n">
        <v>0</v>
      </c>
      <c r="J777" t="n">
        <v>0</v>
      </c>
      <c r="K777" t="n">
        <v>0</v>
      </c>
      <c r="L777" t="n">
        <v>0</v>
      </c>
      <c r="M777" t="n">
        <v>0</v>
      </c>
      <c r="N777" t="n">
        <v>0</v>
      </c>
      <c r="O777" t="n">
        <v>0</v>
      </c>
      <c r="P777" t="n">
        <v>0</v>
      </c>
      <c r="Q777" t="n">
        <v>0</v>
      </c>
      <c r="R777" s="2" t="inlineStr"/>
    </row>
    <row r="778" ht="15" customHeight="1">
      <c r="A778" t="inlineStr">
        <is>
          <t>A 1708-2025</t>
        </is>
      </c>
      <c r="B778" s="1" t="n">
        <v>45670</v>
      </c>
      <c r="C778" s="1" t="n">
        <v>46076</v>
      </c>
      <c r="D778" t="inlineStr">
        <is>
          <t>VÄRMLANDS LÄN</t>
        </is>
      </c>
      <c r="E778" t="inlineStr">
        <is>
          <t>TORSBY</t>
        </is>
      </c>
      <c r="G778" t="n">
        <v>7.7</v>
      </c>
      <c r="H778" t="n">
        <v>0</v>
      </c>
      <c r="I778" t="n">
        <v>0</v>
      </c>
      <c r="J778" t="n">
        <v>0</v>
      </c>
      <c r="K778" t="n">
        <v>0</v>
      </c>
      <c r="L778" t="n">
        <v>0</v>
      </c>
      <c r="M778" t="n">
        <v>0</v>
      </c>
      <c r="N778" t="n">
        <v>0</v>
      </c>
      <c r="O778" t="n">
        <v>0</v>
      </c>
      <c r="P778" t="n">
        <v>0</v>
      </c>
      <c r="Q778" t="n">
        <v>0</v>
      </c>
      <c r="R778" s="2" t="inlineStr"/>
    </row>
    <row r="779" ht="15" customHeight="1">
      <c r="A779" t="inlineStr">
        <is>
          <t>A 42354-2025</t>
        </is>
      </c>
      <c r="B779" s="1" t="n">
        <v>45904</v>
      </c>
      <c r="C779" s="1" t="n">
        <v>46076</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15085-2023</t>
        </is>
      </c>
      <c r="B780" s="1" t="n">
        <v>45016</v>
      </c>
      <c r="C780" s="1" t="n">
        <v>46076</v>
      </c>
      <c r="D780" t="inlineStr">
        <is>
          <t>VÄRMLANDS LÄN</t>
        </is>
      </c>
      <c r="E780" t="inlineStr">
        <is>
          <t>TORSBY</t>
        </is>
      </c>
      <c r="G780" t="n">
        <v>2.2</v>
      </c>
      <c r="H780" t="n">
        <v>0</v>
      </c>
      <c r="I780" t="n">
        <v>0</v>
      </c>
      <c r="J780" t="n">
        <v>0</v>
      </c>
      <c r="K780" t="n">
        <v>0</v>
      </c>
      <c r="L780" t="n">
        <v>0</v>
      </c>
      <c r="M780" t="n">
        <v>0</v>
      </c>
      <c r="N780" t="n">
        <v>0</v>
      </c>
      <c r="O780" t="n">
        <v>0</v>
      </c>
      <c r="P780" t="n">
        <v>0</v>
      </c>
      <c r="Q780" t="n">
        <v>0</v>
      </c>
      <c r="R780" s="2" t="inlineStr"/>
    </row>
    <row r="781" ht="15" customHeight="1">
      <c r="A781" t="inlineStr">
        <is>
          <t>A 32995-2025</t>
        </is>
      </c>
      <c r="B781" s="1" t="n">
        <v>45839</v>
      </c>
      <c r="C781" s="1" t="n">
        <v>46076</v>
      </c>
      <c r="D781" t="inlineStr">
        <is>
          <t>VÄRMLANDS LÄN</t>
        </is>
      </c>
      <c r="E781" t="inlineStr">
        <is>
          <t>TORSBY</t>
        </is>
      </c>
      <c r="G781" t="n">
        <v>5.5</v>
      </c>
      <c r="H781" t="n">
        <v>0</v>
      </c>
      <c r="I781" t="n">
        <v>0</v>
      </c>
      <c r="J781" t="n">
        <v>0</v>
      </c>
      <c r="K781" t="n">
        <v>0</v>
      </c>
      <c r="L781" t="n">
        <v>0</v>
      </c>
      <c r="M781" t="n">
        <v>0</v>
      </c>
      <c r="N781" t="n">
        <v>0</v>
      </c>
      <c r="O781" t="n">
        <v>0</v>
      </c>
      <c r="P781" t="n">
        <v>0</v>
      </c>
      <c r="Q781" t="n">
        <v>0</v>
      </c>
      <c r="R781" s="2" t="inlineStr"/>
    </row>
    <row r="782" ht="15" customHeight="1">
      <c r="A782" t="inlineStr">
        <is>
          <t>A 42563-2025</t>
        </is>
      </c>
      <c r="B782" s="1" t="n">
        <v>45905.60097222222</v>
      </c>
      <c r="C782" s="1" t="n">
        <v>46076</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44083-2023</t>
        </is>
      </c>
      <c r="B783" s="1" t="n">
        <v>45182</v>
      </c>
      <c r="C783" s="1" t="n">
        <v>46076</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32348-2025</t>
        </is>
      </c>
      <c r="B784" s="1" t="n">
        <v>45837.47078703704</v>
      </c>
      <c r="C784" s="1" t="n">
        <v>46076</v>
      </c>
      <c r="D784" t="inlineStr">
        <is>
          <t>VÄRMLANDS LÄN</t>
        </is>
      </c>
      <c r="E784" t="inlineStr">
        <is>
          <t>TORSBY</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42308-2025</t>
        </is>
      </c>
      <c r="B785" s="1" t="n">
        <v>45904</v>
      </c>
      <c r="C785" s="1" t="n">
        <v>46076</v>
      </c>
      <c r="D785" t="inlineStr">
        <is>
          <t>VÄRMLANDS LÄN</t>
        </is>
      </c>
      <c r="E785" t="inlineStr">
        <is>
          <t>TORSBY</t>
        </is>
      </c>
      <c r="G785" t="n">
        <v>4.4</v>
      </c>
      <c r="H785" t="n">
        <v>0</v>
      </c>
      <c r="I785" t="n">
        <v>0</v>
      </c>
      <c r="J785" t="n">
        <v>0</v>
      </c>
      <c r="K785" t="n">
        <v>0</v>
      </c>
      <c r="L785" t="n">
        <v>0</v>
      </c>
      <c r="M785" t="n">
        <v>0</v>
      </c>
      <c r="N785" t="n">
        <v>0</v>
      </c>
      <c r="O785" t="n">
        <v>0</v>
      </c>
      <c r="P785" t="n">
        <v>0</v>
      </c>
      <c r="Q785" t="n">
        <v>0</v>
      </c>
      <c r="R785" s="2" t="inlineStr"/>
    </row>
    <row r="786" ht="15" customHeight="1">
      <c r="A786" t="inlineStr">
        <is>
          <t>A 47141-2022</t>
        </is>
      </c>
      <c r="B786" s="1" t="n">
        <v>44852.56548611111</v>
      </c>
      <c r="C786" s="1" t="n">
        <v>46076</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42149-2025</t>
        </is>
      </c>
      <c r="B787" s="1" t="n">
        <v>45904.38109953704</v>
      </c>
      <c r="C787" s="1" t="n">
        <v>46076</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42834-2024</t>
        </is>
      </c>
      <c r="B788" s="1" t="n">
        <v>45566</v>
      </c>
      <c r="C788" s="1" t="n">
        <v>46076</v>
      </c>
      <c r="D788" t="inlineStr">
        <is>
          <t>VÄRMLANDS LÄN</t>
        </is>
      </c>
      <c r="E788" t="inlineStr">
        <is>
          <t>TORSBY</t>
        </is>
      </c>
      <c r="G788" t="n">
        <v>5.8</v>
      </c>
      <c r="H788" t="n">
        <v>0</v>
      </c>
      <c r="I788" t="n">
        <v>0</v>
      </c>
      <c r="J788" t="n">
        <v>0</v>
      </c>
      <c r="K788" t="n">
        <v>0</v>
      </c>
      <c r="L788" t="n">
        <v>0</v>
      </c>
      <c r="M788" t="n">
        <v>0</v>
      </c>
      <c r="N788" t="n">
        <v>0</v>
      </c>
      <c r="O788" t="n">
        <v>0</v>
      </c>
      <c r="P788" t="n">
        <v>0</v>
      </c>
      <c r="Q788" t="n">
        <v>0</v>
      </c>
      <c r="R788" s="2" t="inlineStr"/>
    </row>
    <row r="789" ht="15" customHeight="1">
      <c r="A789" t="inlineStr">
        <is>
          <t>A 42296-2025</t>
        </is>
      </c>
      <c r="B789" s="1" t="n">
        <v>45904.63361111111</v>
      </c>
      <c r="C789" s="1" t="n">
        <v>46076</v>
      </c>
      <c r="D789" t="inlineStr">
        <is>
          <t>VÄRMLANDS LÄN</t>
        </is>
      </c>
      <c r="E789" t="inlineStr">
        <is>
          <t>TORSBY</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12574-2025</t>
        </is>
      </c>
      <c r="B790" s="1" t="n">
        <v>45732</v>
      </c>
      <c r="C790" s="1" t="n">
        <v>46076</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32331-2025</t>
        </is>
      </c>
      <c r="B791" s="1" t="n">
        <v>45836.50674768518</v>
      </c>
      <c r="C791" s="1" t="n">
        <v>46076</v>
      </c>
      <c r="D791" t="inlineStr">
        <is>
          <t>VÄRMLANDS LÄN</t>
        </is>
      </c>
      <c r="E791" t="inlineStr">
        <is>
          <t>TORSBY</t>
        </is>
      </c>
      <c r="G791" t="n">
        <v>4.8</v>
      </c>
      <c r="H791" t="n">
        <v>0</v>
      </c>
      <c r="I791" t="n">
        <v>0</v>
      </c>
      <c r="J791" t="n">
        <v>0</v>
      </c>
      <c r="K791" t="n">
        <v>0</v>
      </c>
      <c r="L791" t="n">
        <v>0</v>
      </c>
      <c r="M791" t="n">
        <v>0</v>
      </c>
      <c r="N791" t="n">
        <v>0</v>
      </c>
      <c r="O791" t="n">
        <v>0</v>
      </c>
      <c r="P791" t="n">
        <v>0</v>
      </c>
      <c r="Q791" t="n">
        <v>0</v>
      </c>
      <c r="R791" s="2" t="inlineStr"/>
    </row>
    <row r="792" ht="15" customHeight="1">
      <c r="A792" t="inlineStr">
        <is>
          <t>A 32342-2025</t>
        </is>
      </c>
      <c r="B792" s="1" t="n">
        <v>45837.34560185186</v>
      </c>
      <c r="C792" s="1" t="n">
        <v>46076</v>
      </c>
      <c r="D792" t="inlineStr">
        <is>
          <t>VÄRMLANDS LÄN</t>
        </is>
      </c>
      <c r="E792" t="inlineStr">
        <is>
          <t>TORSBY</t>
        </is>
      </c>
      <c r="G792" t="n">
        <v>8.1</v>
      </c>
      <c r="H792" t="n">
        <v>0</v>
      </c>
      <c r="I792" t="n">
        <v>0</v>
      </c>
      <c r="J792" t="n">
        <v>0</v>
      </c>
      <c r="K792" t="n">
        <v>0</v>
      </c>
      <c r="L792" t="n">
        <v>0</v>
      </c>
      <c r="M792" t="n">
        <v>0</v>
      </c>
      <c r="N792" t="n">
        <v>0</v>
      </c>
      <c r="O792" t="n">
        <v>0</v>
      </c>
      <c r="P792" t="n">
        <v>0</v>
      </c>
      <c r="Q792" t="n">
        <v>0</v>
      </c>
      <c r="R792" s="2" t="inlineStr"/>
    </row>
    <row r="793" ht="15" customHeight="1">
      <c r="A793" t="inlineStr">
        <is>
          <t>A 42349-2025</t>
        </is>
      </c>
      <c r="B793" s="1" t="n">
        <v>45904</v>
      </c>
      <c r="C793" s="1" t="n">
        <v>46076</v>
      </c>
      <c r="D793" t="inlineStr">
        <is>
          <t>VÄRMLANDS LÄN</t>
        </is>
      </c>
      <c r="E793" t="inlineStr">
        <is>
          <t>TORSBY</t>
        </is>
      </c>
      <c r="G793" t="n">
        <v>0.2</v>
      </c>
      <c r="H793" t="n">
        <v>0</v>
      </c>
      <c r="I793" t="n">
        <v>0</v>
      </c>
      <c r="J793" t="n">
        <v>0</v>
      </c>
      <c r="K793" t="n">
        <v>0</v>
      </c>
      <c r="L793" t="n">
        <v>0</v>
      </c>
      <c r="M793" t="n">
        <v>0</v>
      </c>
      <c r="N793" t="n">
        <v>0</v>
      </c>
      <c r="O793" t="n">
        <v>0</v>
      </c>
      <c r="P793" t="n">
        <v>0</v>
      </c>
      <c r="Q793" t="n">
        <v>0</v>
      </c>
      <c r="R793" s="2" t="inlineStr"/>
    </row>
    <row r="794" ht="15" customHeight="1">
      <c r="A794" t="inlineStr">
        <is>
          <t>A 32433-2025</t>
        </is>
      </c>
      <c r="B794" s="1" t="n">
        <v>45838.37252314815</v>
      </c>
      <c r="C794" s="1" t="n">
        <v>46076</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32710-2025</t>
        </is>
      </c>
      <c r="B795" s="1" t="n">
        <v>45839.36722222222</v>
      </c>
      <c r="C795" s="1" t="n">
        <v>46076</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42304-2025</t>
        </is>
      </c>
      <c r="B796" s="1" t="n">
        <v>45904</v>
      </c>
      <c r="C796" s="1" t="n">
        <v>46076</v>
      </c>
      <c r="D796" t="inlineStr">
        <is>
          <t>VÄRMLANDS LÄN</t>
        </is>
      </c>
      <c r="E796" t="inlineStr">
        <is>
          <t>TORSBY</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42305-2025</t>
        </is>
      </c>
      <c r="B797" s="1" t="n">
        <v>45904.64886574074</v>
      </c>
      <c r="C797" s="1" t="n">
        <v>46076</v>
      </c>
      <c r="D797" t="inlineStr">
        <is>
          <t>VÄRMLANDS LÄN</t>
        </is>
      </c>
      <c r="E797" t="inlineStr">
        <is>
          <t>TORSBY</t>
        </is>
      </c>
      <c r="F797" t="inlineStr">
        <is>
          <t>Bergvik skog väst AB</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42352-2025</t>
        </is>
      </c>
      <c r="B798" s="1" t="n">
        <v>45904</v>
      </c>
      <c r="C798" s="1" t="n">
        <v>46076</v>
      </c>
      <c r="D798" t="inlineStr">
        <is>
          <t>VÄRMLANDS LÄN</t>
        </is>
      </c>
      <c r="E798" t="inlineStr">
        <is>
          <t>TORSBY</t>
        </is>
      </c>
      <c r="G798" t="n">
        <v>0.1</v>
      </c>
      <c r="H798" t="n">
        <v>0</v>
      </c>
      <c r="I798" t="n">
        <v>0</v>
      </c>
      <c r="J798" t="n">
        <v>0</v>
      </c>
      <c r="K798" t="n">
        <v>0</v>
      </c>
      <c r="L798" t="n">
        <v>0</v>
      </c>
      <c r="M798" t="n">
        <v>0</v>
      </c>
      <c r="N798" t="n">
        <v>0</v>
      </c>
      <c r="O798" t="n">
        <v>0</v>
      </c>
      <c r="P798" t="n">
        <v>0</v>
      </c>
      <c r="Q798" t="n">
        <v>0</v>
      </c>
      <c r="R798" s="2" t="inlineStr"/>
    </row>
    <row r="799" ht="15" customHeight="1">
      <c r="A799" t="inlineStr">
        <is>
          <t>A 32622-2025</t>
        </is>
      </c>
      <c r="B799" s="1" t="n">
        <v>45838</v>
      </c>
      <c r="C799" s="1" t="n">
        <v>46076</v>
      </c>
      <c r="D799" t="inlineStr">
        <is>
          <t>VÄRMLANDS LÄN</t>
        </is>
      </c>
      <c r="E799" t="inlineStr">
        <is>
          <t>TORSBY</t>
        </is>
      </c>
      <c r="G799" t="n">
        <v>4.6</v>
      </c>
      <c r="H799" t="n">
        <v>0</v>
      </c>
      <c r="I799" t="n">
        <v>0</v>
      </c>
      <c r="J799" t="n">
        <v>0</v>
      </c>
      <c r="K799" t="n">
        <v>0</v>
      </c>
      <c r="L799" t="n">
        <v>0</v>
      </c>
      <c r="M799" t="n">
        <v>0</v>
      </c>
      <c r="N799" t="n">
        <v>0</v>
      </c>
      <c r="O799" t="n">
        <v>0</v>
      </c>
      <c r="P799" t="n">
        <v>0</v>
      </c>
      <c r="Q799" t="n">
        <v>0</v>
      </c>
      <c r="R799" s="2" t="inlineStr"/>
    </row>
    <row r="800" ht="15" customHeight="1">
      <c r="A800" t="inlineStr">
        <is>
          <t>A 42499-2025</t>
        </is>
      </c>
      <c r="B800" s="1" t="n">
        <v>45905.5194675926</v>
      </c>
      <c r="C800" s="1" t="n">
        <v>46076</v>
      </c>
      <c r="D800" t="inlineStr">
        <is>
          <t>VÄRMLANDS LÄN</t>
        </is>
      </c>
      <c r="E800" t="inlineStr">
        <is>
          <t>TORSBY</t>
        </is>
      </c>
      <c r="F800" t="inlineStr">
        <is>
          <t>Bergvik skog väst AB</t>
        </is>
      </c>
      <c r="G800" t="n">
        <v>3.3</v>
      </c>
      <c r="H800" t="n">
        <v>0</v>
      </c>
      <c r="I800" t="n">
        <v>0</v>
      </c>
      <c r="J800" t="n">
        <v>0</v>
      </c>
      <c r="K800" t="n">
        <v>0</v>
      </c>
      <c r="L800" t="n">
        <v>0</v>
      </c>
      <c r="M800" t="n">
        <v>0</v>
      </c>
      <c r="N800" t="n">
        <v>0</v>
      </c>
      <c r="O800" t="n">
        <v>0</v>
      </c>
      <c r="P800" t="n">
        <v>0</v>
      </c>
      <c r="Q800" t="n">
        <v>0</v>
      </c>
      <c r="R800" s="2" t="inlineStr"/>
    </row>
    <row r="801" ht="15" customHeight="1">
      <c r="A801" t="inlineStr">
        <is>
          <t>A 42350-2025</t>
        </is>
      </c>
      <c r="B801" s="1" t="n">
        <v>45904</v>
      </c>
      <c r="C801" s="1" t="n">
        <v>46076</v>
      </c>
      <c r="D801" t="inlineStr">
        <is>
          <t>VÄRMLANDS LÄN</t>
        </is>
      </c>
      <c r="E801" t="inlineStr">
        <is>
          <t>TORSBY</t>
        </is>
      </c>
      <c r="G801" t="n">
        <v>0.2</v>
      </c>
      <c r="H801" t="n">
        <v>0</v>
      </c>
      <c r="I801" t="n">
        <v>0</v>
      </c>
      <c r="J801" t="n">
        <v>0</v>
      </c>
      <c r="K801" t="n">
        <v>0</v>
      </c>
      <c r="L801" t="n">
        <v>0</v>
      </c>
      <c r="M801" t="n">
        <v>0</v>
      </c>
      <c r="N801" t="n">
        <v>0</v>
      </c>
      <c r="O801" t="n">
        <v>0</v>
      </c>
      <c r="P801" t="n">
        <v>0</v>
      </c>
      <c r="Q801" t="n">
        <v>0</v>
      </c>
      <c r="R801" s="2" t="inlineStr"/>
    </row>
    <row r="802" ht="15" customHeight="1">
      <c r="A802" t="inlineStr">
        <is>
          <t>A 18684-2025</t>
        </is>
      </c>
      <c r="B802" s="1" t="n">
        <v>45763.61064814815</v>
      </c>
      <c r="C802" s="1" t="n">
        <v>46076</v>
      </c>
      <c r="D802" t="inlineStr">
        <is>
          <t>VÄRMLANDS LÄN</t>
        </is>
      </c>
      <c r="E802" t="inlineStr">
        <is>
          <t>TORSBY</t>
        </is>
      </c>
      <c r="G802" t="n">
        <v>4.5</v>
      </c>
      <c r="H802" t="n">
        <v>0</v>
      </c>
      <c r="I802" t="n">
        <v>0</v>
      </c>
      <c r="J802" t="n">
        <v>0</v>
      </c>
      <c r="K802" t="n">
        <v>0</v>
      </c>
      <c r="L802" t="n">
        <v>0</v>
      </c>
      <c r="M802" t="n">
        <v>0</v>
      </c>
      <c r="N802" t="n">
        <v>0</v>
      </c>
      <c r="O802" t="n">
        <v>0</v>
      </c>
      <c r="P802" t="n">
        <v>0</v>
      </c>
      <c r="Q802" t="n">
        <v>0</v>
      </c>
      <c r="R802" s="2" t="inlineStr"/>
    </row>
    <row r="803" ht="15" customHeight="1">
      <c r="A803" t="inlineStr">
        <is>
          <t>A 32555-2025</t>
        </is>
      </c>
      <c r="B803" s="1" t="n">
        <v>45838.56084490741</v>
      </c>
      <c r="C803" s="1" t="n">
        <v>46076</v>
      </c>
      <c r="D803" t="inlineStr">
        <is>
          <t>VÄRMLANDS LÄN</t>
        </is>
      </c>
      <c r="E803" t="inlineStr">
        <is>
          <t>TORSBY</t>
        </is>
      </c>
      <c r="G803" t="n">
        <v>3.8</v>
      </c>
      <c r="H803" t="n">
        <v>0</v>
      </c>
      <c r="I803" t="n">
        <v>0</v>
      </c>
      <c r="J803" t="n">
        <v>0</v>
      </c>
      <c r="K803" t="n">
        <v>0</v>
      </c>
      <c r="L803" t="n">
        <v>0</v>
      </c>
      <c r="M803" t="n">
        <v>0</v>
      </c>
      <c r="N803" t="n">
        <v>0</v>
      </c>
      <c r="O803" t="n">
        <v>0</v>
      </c>
      <c r="P803" t="n">
        <v>0</v>
      </c>
      <c r="Q803" t="n">
        <v>0</v>
      </c>
      <c r="R803" s="2" t="inlineStr"/>
    </row>
    <row r="804" ht="15" customHeight="1">
      <c r="A804" t="inlineStr">
        <is>
          <t>A 46343-2024</t>
        </is>
      </c>
      <c r="B804" s="1" t="n">
        <v>45582</v>
      </c>
      <c r="C804" s="1" t="n">
        <v>46076</v>
      </c>
      <c r="D804" t="inlineStr">
        <is>
          <t>VÄRMLANDS LÄN</t>
        </is>
      </c>
      <c r="E804" t="inlineStr">
        <is>
          <t>TORSBY</t>
        </is>
      </c>
      <c r="G804" t="n">
        <v>1.7</v>
      </c>
      <c r="H804" t="n">
        <v>0</v>
      </c>
      <c r="I804" t="n">
        <v>0</v>
      </c>
      <c r="J804" t="n">
        <v>0</v>
      </c>
      <c r="K804" t="n">
        <v>0</v>
      </c>
      <c r="L804" t="n">
        <v>0</v>
      </c>
      <c r="M804" t="n">
        <v>0</v>
      </c>
      <c r="N804" t="n">
        <v>0</v>
      </c>
      <c r="O804" t="n">
        <v>0</v>
      </c>
      <c r="P804" t="n">
        <v>0</v>
      </c>
      <c r="Q804" t="n">
        <v>0</v>
      </c>
      <c r="R804" s="2" t="inlineStr"/>
    </row>
    <row r="805" ht="15" customHeight="1">
      <c r="A805" t="inlineStr">
        <is>
          <t>A 42496-2025</t>
        </is>
      </c>
      <c r="B805" s="1" t="n">
        <v>45905.50864583333</v>
      </c>
      <c r="C805" s="1" t="n">
        <v>46076</v>
      </c>
      <c r="D805" t="inlineStr">
        <is>
          <t>VÄRMLANDS LÄN</t>
        </is>
      </c>
      <c r="E805" t="inlineStr">
        <is>
          <t>TORSBY</t>
        </is>
      </c>
      <c r="G805" t="n">
        <v>3.9</v>
      </c>
      <c r="H805" t="n">
        <v>0</v>
      </c>
      <c r="I805" t="n">
        <v>0</v>
      </c>
      <c r="J805" t="n">
        <v>0</v>
      </c>
      <c r="K805" t="n">
        <v>0</v>
      </c>
      <c r="L805" t="n">
        <v>0</v>
      </c>
      <c r="M805" t="n">
        <v>0</v>
      </c>
      <c r="N805" t="n">
        <v>0</v>
      </c>
      <c r="O805" t="n">
        <v>0</v>
      </c>
      <c r="P805" t="n">
        <v>0</v>
      </c>
      <c r="Q805" t="n">
        <v>0</v>
      </c>
      <c r="R805" s="2" t="inlineStr"/>
    </row>
    <row r="806" ht="15" customHeight="1">
      <c r="A806" t="inlineStr">
        <is>
          <t>A 3678-2024</t>
        </is>
      </c>
      <c r="B806" s="1" t="n">
        <v>45321.37844907407</v>
      </c>
      <c r="C806" s="1" t="n">
        <v>46076</v>
      </c>
      <c r="D806" t="inlineStr">
        <is>
          <t>VÄRMLANDS LÄN</t>
        </is>
      </c>
      <c r="E806" t="inlineStr">
        <is>
          <t>TORSBY</t>
        </is>
      </c>
      <c r="G806" t="n">
        <v>24.6</v>
      </c>
      <c r="H806" t="n">
        <v>0</v>
      </c>
      <c r="I806" t="n">
        <v>0</v>
      </c>
      <c r="J806" t="n">
        <v>0</v>
      </c>
      <c r="K806" t="n">
        <v>0</v>
      </c>
      <c r="L806" t="n">
        <v>0</v>
      </c>
      <c r="M806" t="n">
        <v>0</v>
      </c>
      <c r="N806" t="n">
        <v>0</v>
      </c>
      <c r="O806" t="n">
        <v>0</v>
      </c>
      <c r="P806" t="n">
        <v>0</v>
      </c>
      <c r="Q806" t="n">
        <v>0</v>
      </c>
      <c r="R806" s="2" t="inlineStr"/>
    </row>
    <row r="807" ht="15" customHeight="1">
      <c r="A807" t="inlineStr">
        <is>
          <t>A 51386-2023</t>
        </is>
      </c>
      <c r="B807" s="1" t="n">
        <v>45219.65394675926</v>
      </c>
      <c r="C807" s="1" t="n">
        <v>46076</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42152-2025</t>
        </is>
      </c>
      <c r="B808" s="1" t="n">
        <v>45904.3884375</v>
      </c>
      <c r="C808" s="1" t="n">
        <v>46076</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54885-2022</t>
        </is>
      </c>
      <c r="B809" s="1" t="n">
        <v>44886</v>
      </c>
      <c r="C809" s="1" t="n">
        <v>46076</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42273-2025</t>
        </is>
      </c>
      <c r="B810" s="1" t="n">
        <v>45904.60708333334</v>
      </c>
      <c r="C810" s="1" t="n">
        <v>46076</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39648-2023</t>
        </is>
      </c>
      <c r="B811" s="1" t="n">
        <v>45167.5528587963</v>
      </c>
      <c r="C811" s="1" t="n">
        <v>46076</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42529-2025</t>
        </is>
      </c>
      <c r="B812" s="1" t="n">
        <v>45905.55716435185</v>
      </c>
      <c r="C812" s="1" t="n">
        <v>46076</v>
      </c>
      <c r="D812" t="inlineStr">
        <is>
          <t>VÄRMLANDS LÄN</t>
        </is>
      </c>
      <c r="E812" t="inlineStr">
        <is>
          <t>TORSBY</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42742-2025</t>
        </is>
      </c>
      <c r="B813" s="1" t="n">
        <v>45908</v>
      </c>
      <c r="C813" s="1" t="n">
        <v>46076</v>
      </c>
      <c r="D813" t="inlineStr">
        <is>
          <t>VÄRMLANDS LÄN</t>
        </is>
      </c>
      <c r="E813" t="inlineStr">
        <is>
          <t>TORSBY</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34534-2024</t>
        </is>
      </c>
      <c r="B814" s="1" t="n">
        <v>45525</v>
      </c>
      <c r="C814" s="1" t="n">
        <v>46076</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32343-2025</t>
        </is>
      </c>
      <c r="B815" s="1" t="n">
        <v>45837.37171296297</v>
      </c>
      <c r="C815" s="1" t="n">
        <v>46076</v>
      </c>
      <c r="D815" t="inlineStr">
        <is>
          <t>VÄRMLANDS LÄN</t>
        </is>
      </c>
      <c r="E815" t="inlineStr">
        <is>
          <t>TORSBY</t>
        </is>
      </c>
      <c r="G815" t="n">
        <v>11.4</v>
      </c>
      <c r="H815" t="n">
        <v>0</v>
      </c>
      <c r="I815" t="n">
        <v>0</v>
      </c>
      <c r="J815" t="n">
        <v>0</v>
      </c>
      <c r="K815" t="n">
        <v>0</v>
      </c>
      <c r="L815" t="n">
        <v>0</v>
      </c>
      <c r="M815" t="n">
        <v>0</v>
      </c>
      <c r="N815" t="n">
        <v>0</v>
      </c>
      <c r="O815" t="n">
        <v>0</v>
      </c>
      <c r="P815" t="n">
        <v>0</v>
      </c>
      <c r="Q815" t="n">
        <v>0</v>
      </c>
      <c r="R815" s="2" t="inlineStr"/>
    </row>
    <row r="816" ht="15" customHeight="1">
      <c r="A816" t="inlineStr">
        <is>
          <t>A 32345-2025</t>
        </is>
      </c>
      <c r="B816" s="1" t="n">
        <v>45837.44293981481</v>
      </c>
      <c r="C816" s="1" t="n">
        <v>46076</v>
      </c>
      <c r="D816" t="inlineStr">
        <is>
          <t>VÄRMLANDS LÄN</t>
        </is>
      </c>
      <c r="E816" t="inlineStr">
        <is>
          <t>TORSBY</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42886-2025</t>
        </is>
      </c>
      <c r="B817" s="1" t="n">
        <v>45908.65288194444</v>
      </c>
      <c r="C817" s="1" t="n">
        <v>46076</v>
      </c>
      <c r="D817" t="inlineStr">
        <is>
          <t>VÄRMLANDS LÄN</t>
        </is>
      </c>
      <c r="E817" t="inlineStr">
        <is>
          <t>TORSBY</t>
        </is>
      </c>
      <c r="G817" t="n">
        <v>5.8</v>
      </c>
      <c r="H817" t="n">
        <v>0</v>
      </c>
      <c r="I817" t="n">
        <v>0</v>
      </c>
      <c r="J817" t="n">
        <v>0</v>
      </c>
      <c r="K817" t="n">
        <v>0</v>
      </c>
      <c r="L817" t="n">
        <v>0</v>
      </c>
      <c r="M817" t="n">
        <v>0</v>
      </c>
      <c r="N817" t="n">
        <v>0</v>
      </c>
      <c r="O817" t="n">
        <v>0</v>
      </c>
      <c r="P817" t="n">
        <v>0</v>
      </c>
      <c r="Q817" t="n">
        <v>0</v>
      </c>
      <c r="R817" s="2" t="inlineStr"/>
    </row>
    <row r="818" ht="15" customHeight="1">
      <c r="A818" t="inlineStr">
        <is>
          <t>A 42966-2025</t>
        </is>
      </c>
      <c r="B818" s="1" t="n">
        <v>45909.38825231481</v>
      </c>
      <c r="C818" s="1" t="n">
        <v>46076</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38298-2021</t>
        </is>
      </c>
      <c r="B819" s="1" t="n">
        <v>44406</v>
      </c>
      <c r="C819" s="1" t="n">
        <v>46076</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32339-2025</t>
        </is>
      </c>
      <c r="B820" s="1" t="n">
        <v>45836.68836805555</v>
      </c>
      <c r="C820" s="1" t="n">
        <v>46076</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42965-2025</t>
        </is>
      </c>
      <c r="B821" s="1" t="n">
        <v>45909.37575231482</v>
      </c>
      <c r="C821" s="1" t="n">
        <v>46076</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43128-2021</t>
        </is>
      </c>
      <c r="B822" s="1" t="n">
        <v>44431.65930555556</v>
      </c>
      <c r="C822" s="1" t="n">
        <v>46076</v>
      </c>
      <c r="D822" t="inlineStr">
        <is>
          <t>VÄRMLANDS LÄN</t>
        </is>
      </c>
      <c r="E822" t="inlineStr">
        <is>
          <t>TORSBY</t>
        </is>
      </c>
      <c r="G822" t="n">
        <v>10.9</v>
      </c>
      <c r="H822" t="n">
        <v>0</v>
      </c>
      <c r="I822" t="n">
        <v>0</v>
      </c>
      <c r="J822" t="n">
        <v>0</v>
      </c>
      <c r="K822" t="n">
        <v>0</v>
      </c>
      <c r="L822" t="n">
        <v>0</v>
      </c>
      <c r="M822" t="n">
        <v>0</v>
      </c>
      <c r="N822" t="n">
        <v>0</v>
      </c>
      <c r="O822" t="n">
        <v>0</v>
      </c>
      <c r="P822" t="n">
        <v>0</v>
      </c>
      <c r="Q822" t="n">
        <v>0</v>
      </c>
      <c r="R822" s="2" t="inlineStr"/>
    </row>
    <row r="823" ht="15" customHeight="1">
      <c r="A823" t="inlineStr">
        <is>
          <t>A 33196-2025</t>
        </is>
      </c>
      <c r="B823" s="1" t="n">
        <v>45840.60381944444</v>
      </c>
      <c r="C823" s="1" t="n">
        <v>46076</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42931-2025</t>
        </is>
      </c>
      <c r="B824" s="1" t="n">
        <v>45909</v>
      </c>
      <c r="C824" s="1" t="n">
        <v>46076</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33146-2025</t>
        </is>
      </c>
      <c r="B825" s="1" t="n">
        <v>45840.53549768519</v>
      </c>
      <c r="C825" s="1" t="n">
        <v>46076</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43055-2025</t>
        </is>
      </c>
      <c r="B826" s="1" t="n">
        <v>45909</v>
      </c>
      <c r="C826" s="1" t="n">
        <v>46076</v>
      </c>
      <c r="D826" t="inlineStr">
        <is>
          <t>VÄRMLANDS LÄN</t>
        </is>
      </c>
      <c r="E826" t="inlineStr">
        <is>
          <t>TORSBY</t>
        </is>
      </c>
      <c r="F826" t="inlineStr">
        <is>
          <t>Bergvik skog väst AB</t>
        </is>
      </c>
      <c r="G826" t="n">
        <v>20.1</v>
      </c>
      <c r="H826" t="n">
        <v>0</v>
      </c>
      <c r="I826" t="n">
        <v>0</v>
      </c>
      <c r="J826" t="n">
        <v>0</v>
      </c>
      <c r="K826" t="n">
        <v>0</v>
      </c>
      <c r="L826" t="n">
        <v>0</v>
      </c>
      <c r="M826" t="n">
        <v>0</v>
      </c>
      <c r="N826" t="n">
        <v>0</v>
      </c>
      <c r="O826" t="n">
        <v>0</v>
      </c>
      <c r="P826" t="n">
        <v>0</v>
      </c>
      <c r="Q826" t="n">
        <v>0</v>
      </c>
      <c r="R826" s="2" t="inlineStr"/>
    </row>
    <row r="827" ht="15" customHeight="1">
      <c r="A827" t="inlineStr">
        <is>
          <t>A 24717-2024</t>
        </is>
      </c>
      <c r="B827" s="1" t="n">
        <v>45460</v>
      </c>
      <c r="C827" s="1" t="n">
        <v>46076</v>
      </c>
      <c r="D827" t="inlineStr">
        <is>
          <t>VÄRMLANDS LÄN</t>
        </is>
      </c>
      <c r="E827" t="inlineStr">
        <is>
          <t>TORSBY</t>
        </is>
      </c>
      <c r="F827" t="inlineStr">
        <is>
          <t>Övriga statliga verk och myndigheter</t>
        </is>
      </c>
      <c r="G827" t="n">
        <v>2.1</v>
      </c>
      <c r="H827" t="n">
        <v>0</v>
      </c>
      <c r="I827" t="n">
        <v>0</v>
      </c>
      <c r="J827" t="n">
        <v>0</v>
      </c>
      <c r="K827" t="n">
        <v>0</v>
      </c>
      <c r="L827" t="n">
        <v>0</v>
      </c>
      <c r="M827" t="n">
        <v>0</v>
      </c>
      <c r="N827" t="n">
        <v>0</v>
      </c>
      <c r="O827" t="n">
        <v>0</v>
      </c>
      <c r="P827" t="n">
        <v>0</v>
      </c>
      <c r="Q827" t="n">
        <v>0</v>
      </c>
      <c r="R827" s="2" t="inlineStr"/>
    </row>
    <row r="828" ht="15" customHeight="1">
      <c r="A828" t="inlineStr">
        <is>
          <t>A 42932-2025</t>
        </is>
      </c>
      <c r="B828" s="1" t="n">
        <v>45909</v>
      </c>
      <c r="C828" s="1" t="n">
        <v>46076</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42705-2025</t>
        </is>
      </c>
      <c r="B829" s="1" t="n">
        <v>45908.37063657407</v>
      </c>
      <c r="C829" s="1" t="n">
        <v>46076</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33192-2025</t>
        </is>
      </c>
      <c r="B830" s="1" t="n">
        <v>45840.60081018518</v>
      </c>
      <c r="C830" s="1" t="n">
        <v>46076</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33712-2025</t>
        </is>
      </c>
      <c r="B831" s="1" t="n">
        <v>45841</v>
      </c>
      <c r="C831" s="1" t="n">
        <v>46076</v>
      </c>
      <c r="D831" t="inlineStr">
        <is>
          <t>VÄRMLANDS LÄN</t>
        </is>
      </c>
      <c r="E831" t="inlineStr">
        <is>
          <t>TORSBY</t>
        </is>
      </c>
      <c r="F831" t="inlineStr">
        <is>
          <t>Bergvik skog väst AB</t>
        </is>
      </c>
      <c r="G831" t="n">
        <v>10.3</v>
      </c>
      <c r="H831" t="n">
        <v>0</v>
      </c>
      <c r="I831" t="n">
        <v>0</v>
      </c>
      <c r="J831" t="n">
        <v>0</v>
      </c>
      <c r="K831" t="n">
        <v>0</v>
      </c>
      <c r="L831" t="n">
        <v>0</v>
      </c>
      <c r="M831" t="n">
        <v>0</v>
      </c>
      <c r="N831" t="n">
        <v>0</v>
      </c>
      <c r="O831" t="n">
        <v>0</v>
      </c>
      <c r="P831" t="n">
        <v>0</v>
      </c>
      <c r="Q831" t="n">
        <v>0</v>
      </c>
      <c r="R831" s="2" t="inlineStr"/>
    </row>
    <row r="832" ht="15" customHeight="1">
      <c r="A832" t="inlineStr">
        <is>
          <t>A 33221-2025</t>
        </is>
      </c>
      <c r="B832" s="1" t="n">
        <v>45840.63471064815</v>
      </c>
      <c r="C832" s="1" t="n">
        <v>46076</v>
      </c>
      <c r="D832" t="inlineStr">
        <is>
          <t>VÄRMLANDS LÄN</t>
        </is>
      </c>
      <c r="E832" t="inlineStr">
        <is>
          <t>TORSBY</t>
        </is>
      </c>
      <c r="F832" t="inlineStr">
        <is>
          <t>Bergvik skog väst AB</t>
        </is>
      </c>
      <c r="G832" t="n">
        <v>4.9</v>
      </c>
      <c r="H832" t="n">
        <v>0</v>
      </c>
      <c r="I832" t="n">
        <v>0</v>
      </c>
      <c r="J832" t="n">
        <v>0</v>
      </c>
      <c r="K832" t="n">
        <v>0</v>
      </c>
      <c r="L832" t="n">
        <v>0</v>
      </c>
      <c r="M832" t="n">
        <v>0</v>
      </c>
      <c r="N832" t="n">
        <v>0</v>
      </c>
      <c r="O832" t="n">
        <v>0</v>
      </c>
      <c r="P832" t="n">
        <v>0</v>
      </c>
      <c r="Q832" t="n">
        <v>0</v>
      </c>
      <c r="R832" s="2" t="inlineStr"/>
    </row>
    <row r="833" ht="15" customHeight="1">
      <c r="A833" t="inlineStr">
        <is>
          <t>A 42720-2025</t>
        </is>
      </c>
      <c r="B833" s="1" t="n">
        <v>45908.39427083333</v>
      </c>
      <c r="C833" s="1" t="n">
        <v>46076</v>
      </c>
      <c r="D833" t="inlineStr">
        <is>
          <t>VÄRMLANDS LÄN</t>
        </is>
      </c>
      <c r="E833" t="inlineStr">
        <is>
          <t>TORSBY</t>
        </is>
      </c>
      <c r="F833" t="inlineStr">
        <is>
          <t>Bergvik skog väst AB</t>
        </is>
      </c>
      <c r="G833" t="n">
        <v>6.8</v>
      </c>
      <c r="H833" t="n">
        <v>0</v>
      </c>
      <c r="I833" t="n">
        <v>0</v>
      </c>
      <c r="J833" t="n">
        <v>0</v>
      </c>
      <c r="K833" t="n">
        <v>0</v>
      </c>
      <c r="L833" t="n">
        <v>0</v>
      </c>
      <c r="M833" t="n">
        <v>0</v>
      </c>
      <c r="N833" t="n">
        <v>0</v>
      </c>
      <c r="O833" t="n">
        <v>0</v>
      </c>
      <c r="P833" t="n">
        <v>0</v>
      </c>
      <c r="Q833" t="n">
        <v>0</v>
      </c>
      <c r="R833" s="2" t="inlineStr"/>
    </row>
    <row r="834" ht="15" customHeight="1">
      <c r="A834" t="inlineStr">
        <is>
          <t>A 24170-2023</t>
        </is>
      </c>
      <c r="B834" s="1" t="n">
        <v>45079</v>
      </c>
      <c r="C834" s="1" t="n">
        <v>46076</v>
      </c>
      <c r="D834" t="inlineStr">
        <is>
          <t>VÄRMLANDS LÄN</t>
        </is>
      </c>
      <c r="E834" t="inlineStr">
        <is>
          <t>TORSBY</t>
        </is>
      </c>
      <c r="F834" t="inlineStr">
        <is>
          <t>Bergvik skog väst AB</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33567-2025</t>
        </is>
      </c>
      <c r="B835" s="1" t="n">
        <v>45841.58232638889</v>
      </c>
      <c r="C835" s="1" t="n">
        <v>46076</v>
      </c>
      <c r="D835" t="inlineStr">
        <is>
          <t>VÄRMLANDS LÄN</t>
        </is>
      </c>
      <c r="E835" t="inlineStr">
        <is>
          <t>TORSBY</t>
        </is>
      </c>
      <c r="G835" t="n">
        <v>1.2</v>
      </c>
      <c r="H835" t="n">
        <v>0</v>
      </c>
      <c r="I835" t="n">
        <v>0</v>
      </c>
      <c r="J835" t="n">
        <v>0</v>
      </c>
      <c r="K835" t="n">
        <v>0</v>
      </c>
      <c r="L835" t="n">
        <v>0</v>
      </c>
      <c r="M835" t="n">
        <v>0</v>
      </c>
      <c r="N835" t="n">
        <v>0</v>
      </c>
      <c r="O835" t="n">
        <v>0</v>
      </c>
      <c r="P835" t="n">
        <v>0</v>
      </c>
      <c r="Q835" t="n">
        <v>0</v>
      </c>
      <c r="R835" s="2" t="inlineStr"/>
    </row>
    <row r="836" ht="15" customHeight="1">
      <c r="A836" t="inlineStr">
        <is>
          <t>A 52689-2024</t>
        </is>
      </c>
      <c r="B836" s="1" t="n">
        <v>45610.39621527777</v>
      </c>
      <c r="C836" s="1" t="n">
        <v>46076</v>
      </c>
      <c r="D836" t="inlineStr">
        <is>
          <t>VÄRMLANDS LÄN</t>
        </is>
      </c>
      <c r="E836" t="inlineStr">
        <is>
          <t>TORSBY</t>
        </is>
      </c>
      <c r="G836" t="n">
        <v>1.2</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46076</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8018-2025</t>
        </is>
      </c>
      <c r="B838" s="1" t="n">
        <v>45707</v>
      </c>
      <c r="C838" s="1" t="n">
        <v>46076</v>
      </c>
      <c r="D838" t="inlineStr">
        <is>
          <t>VÄRMLANDS LÄN</t>
        </is>
      </c>
      <c r="E838" t="inlineStr">
        <is>
          <t>TORSBY</t>
        </is>
      </c>
      <c r="G838" t="n">
        <v>22.6</v>
      </c>
      <c r="H838" t="n">
        <v>0</v>
      </c>
      <c r="I838" t="n">
        <v>0</v>
      </c>
      <c r="J838" t="n">
        <v>0</v>
      </c>
      <c r="K838" t="n">
        <v>0</v>
      </c>
      <c r="L838" t="n">
        <v>0</v>
      </c>
      <c r="M838" t="n">
        <v>0</v>
      </c>
      <c r="N838" t="n">
        <v>0</v>
      </c>
      <c r="O838" t="n">
        <v>0</v>
      </c>
      <c r="P838" t="n">
        <v>0</v>
      </c>
      <c r="Q838" t="n">
        <v>0</v>
      </c>
      <c r="R838" s="2" t="inlineStr"/>
    </row>
    <row r="839" ht="15" customHeight="1">
      <c r="A839" t="inlineStr">
        <is>
          <t>A 49717-2023</t>
        </is>
      </c>
      <c r="B839" s="1" t="n">
        <v>45208</v>
      </c>
      <c r="C839" s="1" t="n">
        <v>46076</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33189-2025</t>
        </is>
      </c>
      <c r="B840" s="1" t="n">
        <v>45840.59884259259</v>
      </c>
      <c r="C840" s="1" t="n">
        <v>46076</v>
      </c>
      <c r="D840" t="inlineStr">
        <is>
          <t>VÄRMLANDS LÄN</t>
        </is>
      </c>
      <c r="E840" t="inlineStr">
        <is>
          <t>TORSBY</t>
        </is>
      </c>
      <c r="G840" t="n">
        <v>2.7</v>
      </c>
      <c r="H840" t="n">
        <v>0</v>
      </c>
      <c r="I840" t="n">
        <v>0</v>
      </c>
      <c r="J840" t="n">
        <v>0</v>
      </c>
      <c r="K840" t="n">
        <v>0</v>
      </c>
      <c r="L840" t="n">
        <v>0</v>
      </c>
      <c r="M840" t="n">
        <v>0</v>
      </c>
      <c r="N840" t="n">
        <v>0</v>
      </c>
      <c r="O840" t="n">
        <v>0</v>
      </c>
      <c r="P840" t="n">
        <v>0</v>
      </c>
      <c r="Q840" t="n">
        <v>0</v>
      </c>
      <c r="R840" s="2" t="inlineStr"/>
    </row>
    <row r="841" ht="15" customHeight="1">
      <c r="A841" t="inlineStr">
        <is>
          <t>A 32983-2025</t>
        </is>
      </c>
      <c r="B841" s="1" t="n">
        <v>45839.92967592592</v>
      </c>
      <c r="C841" s="1" t="n">
        <v>46076</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42961-2025</t>
        </is>
      </c>
      <c r="B842" s="1" t="n">
        <v>45909.36737268518</v>
      </c>
      <c r="C842" s="1" t="n">
        <v>46076</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40470-2023</t>
        </is>
      </c>
      <c r="B843" s="1" t="n">
        <v>45170</v>
      </c>
      <c r="C843" s="1" t="n">
        <v>46076</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33161-2025</t>
        </is>
      </c>
      <c r="B844" s="1" t="n">
        <v>45840.56846064814</v>
      </c>
      <c r="C844" s="1" t="n">
        <v>46076</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1092-2025</t>
        </is>
      </c>
      <c r="B845" s="1" t="n">
        <v>45666.6333912037</v>
      </c>
      <c r="C845" s="1" t="n">
        <v>46076</v>
      </c>
      <c r="D845" t="inlineStr">
        <is>
          <t>VÄRMLANDS LÄN</t>
        </is>
      </c>
      <c r="E845" t="inlineStr">
        <is>
          <t>TORSBY</t>
        </is>
      </c>
      <c r="G845" t="n">
        <v>2.6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44326.67366898148</v>
      </c>
      <c r="C846" s="1" t="n">
        <v>46076</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46076</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34268-2025</t>
        </is>
      </c>
      <c r="B848" s="1" t="n">
        <v>45845</v>
      </c>
      <c r="C848" s="1" t="n">
        <v>46076</v>
      </c>
      <c r="D848" t="inlineStr">
        <is>
          <t>VÄRMLANDS LÄN</t>
        </is>
      </c>
      <c r="E848" t="inlineStr">
        <is>
          <t>TORSBY</t>
        </is>
      </c>
      <c r="F848" t="inlineStr">
        <is>
          <t>Bergvik skog väst AB</t>
        </is>
      </c>
      <c r="G848" t="n">
        <v>19.7</v>
      </c>
      <c r="H848" t="n">
        <v>0</v>
      </c>
      <c r="I848" t="n">
        <v>0</v>
      </c>
      <c r="J848" t="n">
        <v>0</v>
      </c>
      <c r="K848" t="n">
        <v>0</v>
      </c>
      <c r="L848" t="n">
        <v>0</v>
      </c>
      <c r="M848" t="n">
        <v>0</v>
      </c>
      <c r="N848" t="n">
        <v>0</v>
      </c>
      <c r="O848" t="n">
        <v>0</v>
      </c>
      <c r="P848" t="n">
        <v>0</v>
      </c>
      <c r="Q848" t="n">
        <v>0</v>
      </c>
      <c r="R848" s="2" t="inlineStr"/>
    </row>
    <row r="849" ht="15" customHeight="1">
      <c r="A849" t="inlineStr">
        <is>
          <t>A 63032-2023</t>
        </is>
      </c>
      <c r="B849" s="1" t="n">
        <v>45272.72728009259</v>
      </c>
      <c r="C849" s="1" t="n">
        <v>46076</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43608-2025</t>
        </is>
      </c>
      <c r="B850" s="1" t="n">
        <v>45911.67491898148</v>
      </c>
      <c r="C850" s="1" t="n">
        <v>46076</v>
      </c>
      <c r="D850" t="inlineStr">
        <is>
          <t>VÄRMLANDS LÄN</t>
        </is>
      </c>
      <c r="E850" t="inlineStr">
        <is>
          <t>TORSBY</t>
        </is>
      </c>
      <c r="F850" t="inlineStr">
        <is>
          <t>Bergvik skog väst AB</t>
        </is>
      </c>
      <c r="G850" t="n">
        <v>6</v>
      </c>
      <c r="H850" t="n">
        <v>0</v>
      </c>
      <c r="I850" t="n">
        <v>0</v>
      </c>
      <c r="J850" t="n">
        <v>0</v>
      </c>
      <c r="K850" t="n">
        <v>0</v>
      </c>
      <c r="L850" t="n">
        <v>0</v>
      </c>
      <c r="M850" t="n">
        <v>0</v>
      </c>
      <c r="N850" t="n">
        <v>0</v>
      </c>
      <c r="O850" t="n">
        <v>0</v>
      </c>
      <c r="P850" t="n">
        <v>0</v>
      </c>
      <c r="Q850" t="n">
        <v>0</v>
      </c>
      <c r="R850" s="2" t="inlineStr"/>
    </row>
    <row r="851" ht="15" customHeight="1">
      <c r="A851" t="inlineStr">
        <is>
          <t>A 43304-2025</t>
        </is>
      </c>
      <c r="B851" s="1" t="n">
        <v>45910.63630787037</v>
      </c>
      <c r="C851" s="1" t="n">
        <v>46076</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33897-2025</t>
        </is>
      </c>
      <c r="B852" s="1" t="n">
        <v>45842</v>
      </c>
      <c r="C852" s="1" t="n">
        <v>46076</v>
      </c>
      <c r="D852" t="inlineStr">
        <is>
          <t>VÄRMLANDS LÄN</t>
        </is>
      </c>
      <c r="E852" t="inlineStr">
        <is>
          <t>TORSBY</t>
        </is>
      </c>
      <c r="G852" t="n">
        <v>13.7</v>
      </c>
      <c r="H852" t="n">
        <v>0</v>
      </c>
      <c r="I852" t="n">
        <v>0</v>
      </c>
      <c r="J852" t="n">
        <v>0</v>
      </c>
      <c r="K852" t="n">
        <v>0</v>
      </c>
      <c r="L852" t="n">
        <v>0</v>
      </c>
      <c r="M852" t="n">
        <v>0</v>
      </c>
      <c r="N852" t="n">
        <v>0</v>
      </c>
      <c r="O852" t="n">
        <v>0</v>
      </c>
      <c r="P852" t="n">
        <v>0</v>
      </c>
      <c r="Q852" t="n">
        <v>0</v>
      </c>
      <c r="R852" s="2" t="inlineStr"/>
    </row>
    <row r="853" ht="15" customHeight="1">
      <c r="A853" t="inlineStr">
        <is>
          <t>A 34140-2025</t>
        </is>
      </c>
      <c r="B853" s="1" t="n">
        <v>45845.54896990741</v>
      </c>
      <c r="C853" s="1" t="n">
        <v>46076</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34500-2024</t>
        </is>
      </c>
      <c r="B854" s="1" t="n">
        <v>45525</v>
      </c>
      <c r="C854" s="1" t="n">
        <v>46076</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56634-2024</t>
        </is>
      </c>
      <c r="B855" s="1" t="n">
        <v>45625.68491898148</v>
      </c>
      <c r="C855" s="1" t="n">
        <v>46076</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43313-2025</t>
        </is>
      </c>
      <c r="B856" s="1" t="n">
        <v>45910</v>
      </c>
      <c r="C856" s="1" t="n">
        <v>46076</v>
      </c>
      <c r="D856" t="inlineStr">
        <is>
          <t>VÄRMLANDS LÄN</t>
        </is>
      </c>
      <c r="E856" t="inlineStr">
        <is>
          <t>TORSBY</t>
        </is>
      </c>
      <c r="F856" t="inlineStr">
        <is>
          <t>Övriga Aktiebolag</t>
        </is>
      </c>
      <c r="G856" t="n">
        <v>9.5</v>
      </c>
      <c r="H856" t="n">
        <v>0</v>
      </c>
      <c r="I856" t="n">
        <v>0</v>
      </c>
      <c r="J856" t="n">
        <v>0</v>
      </c>
      <c r="K856" t="n">
        <v>0</v>
      </c>
      <c r="L856" t="n">
        <v>0</v>
      </c>
      <c r="M856" t="n">
        <v>0</v>
      </c>
      <c r="N856" t="n">
        <v>0</v>
      </c>
      <c r="O856" t="n">
        <v>0</v>
      </c>
      <c r="P856" t="n">
        <v>0</v>
      </c>
      <c r="Q856" t="n">
        <v>0</v>
      </c>
      <c r="R856" s="2" t="inlineStr"/>
    </row>
    <row r="857" ht="15" customHeight="1">
      <c r="A857" t="inlineStr">
        <is>
          <t>A 64432-2023</t>
        </is>
      </c>
      <c r="B857" s="1" t="n">
        <v>45280.67184027778</v>
      </c>
      <c r="C857" s="1" t="n">
        <v>46076</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8281-2023</t>
        </is>
      </c>
      <c r="B858" s="1" t="n">
        <v>44974</v>
      </c>
      <c r="C858" s="1" t="n">
        <v>46076</v>
      </c>
      <c r="D858" t="inlineStr">
        <is>
          <t>VÄRMLANDS LÄN</t>
        </is>
      </c>
      <c r="E858" t="inlineStr">
        <is>
          <t>TORSBY</t>
        </is>
      </c>
      <c r="G858" t="n">
        <v>1.9</v>
      </c>
      <c r="H858" t="n">
        <v>0</v>
      </c>
      <c r="I858" t="n">
        <v>0</v>
      </c>
      <c r="J858" t="n">
        <v>0</v>
      </c>
      <c r="K858" t="n">
        <v>0</v>
      </c>
      <c r="L858" t="n">
        <v>0</v>
      </c>
      <c r="M858" t="n">
        <v>0</v>
      </c>
      <c r="N858" t="n">
        <v>0</v>
      </c>
      <c r="O858" t="n">
        <v>0</v>
      </c>
      <c r="P858" t="n">
        <v>0</v>
      </c>
      <c r="Q858" t="n">
        <v>0</v>
      </c>
      <c r="R858" s="2" t="inlineStr"/>
    </row>
    <row r="859" ht="15" customHeight="1">
      <c r="A859" t="inlineStr">
        <is>
          <t>A 43787-2025</t>
        </is>
      </c>
      <c r="B859" s="1" t="n">
        <v>45912</v>
      </c>
      <c r="C859" s="1" t="n">
        <v>46076</v>
      </c>
      <c r="D859" t="inlineStr">
        <is>
          <t>VÄRMLANDS LÄN</t>
        </is>
      </c>
      <c r="E859" t="inlineStr">
        <is>
          <t>TORSBY</t>
        </is>
      </c>
      <c r="G859" t="n">
        <v>13.1</v>
      </c>
      <c r="H859" t="n">
        <v>0</v>
      </c>
      <c r="I859" t="n">
        <v>0</v>
      </c>
      <c r="J859" t="n">
        <v>0</v>
      </c>
      <c r="K859" t="n">
        <v>0</v>
      </c>
      <c r="L859" t="n">
        <v>0</v>
      </c>
      <c r="M859" t="n">
        <v>0</v>
      </c>
      <c r="N859" t="n">
        <v>0</v>
      </c>
      <c r="O859" t="n">
        <v>0</v>
      </c>
      <c r="P859" t="n">
        <v>0</v>
      </c>
      <c r="Q859" t="n">
        <v>0</v>
      </c>
      <c r="R859" s="2" t="inlineStr"/>
    </row>
    <row r="860" ht="15" customHeight="1">
      <c r="A860" t="inlineStr">
        <is>
          <t>A 34136-2025</t>
        </is>
      </c>
      <c r="B860" s="1" t="n">
        <v>45845.54184027778</v>
      </c>
      <c r="C860" s="1" t="n">
        <v>46076</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44156-2025</t>
        </is>
      </c>
      <c r="B861" s="1" t="n">
        <v>45915.59539351852</v>
      </c>
      <c r="C861" s="1" t="n">
        <v>46076</v>
      </c>
      <c r="D861" t="inlineStr">
        <is>
          <t>VÄRMLANDS LÄN</t>
        </is>
      </c>
      <c r="E861" t="inlineStr">
        <is>
          <t>TORSBY</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34179-2025</t>
        </is>
      </c>
      <c r="B862" s="1" t="n">
        <v>45845</v>
      </c>
      <c r="C862" s="1" t="n">
        <v>46076</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6708-2023</t>
        </is>
      </c>
      <c r="B863" s="1" t="n">
        <v>44960</v>
      </c>
      <c r="C863" s="1" t="n">
        <v>46076</v>
      </c>
      <c r="D863" t="inlineStr">
        <is>
          <t>VÄRMLANDS LÄN</t>
        </is>
      </c>
      <c r="E863" t="inlineStr">
        <is>
          <t>TORSBY</t>
        </is>
      </c>
      <c r="G863" t="n">
        <v>3</v>
      </c>
      <c r="H863" t="n">
        <v>0</v>
      </c>
      <c r="I863" t="n">
        <v>0</v>
      </c>
      <c r="J863" t="n">
        <v>0</v>
      </c>
      <c r="K863" t="n">
        <v>0</v>
      </c>
      <c r="L863" t="n">
        <v>0</v>
      </c>
      <c r="M863" t="n">
        <v>0</v>
      </c>
      <c r="N863" t="n">
        <v>0</v>
      </c>
      <c r="O863" t="n">
        <v>0</v>
      </c>
      <c r="P863" t="n">
        <v>0</v>
      </c>
      <c r="Q863" t="n">
        <v>0</v>
      </c>
      <c r="R863" s="2" t="inlineStr"/>
    </row>
    <row r="864" ht="15" customHeight="1">
      <c r="A864" t="inlineStr">
        <is>
          <t>A 6711-2023</t>
        </is>
      </c>
      <c r="B864" s="1" t="n">
        <v>44960</v>
      </c>
      <c r="C864" s="1" t="n">
        <v>46076</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44233-2025</t>
        </is>
      </c>
      <c r="B865" s="1" t="n">
        <v>45915.65515046296</v>
      </c>
      <c r="C865" s="1" t="n">
        <v>46076</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6715-2023</t>
        </is>
      </c>
      <c r="B866" s="1" t="n">
        <v>44960</v>
      </c>
      <c r="C866" s="1" t="n">
        <v>46076</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34145-2025</t>
        </is>
      </c>
      <c r="B867" s="1" t="n">
        <v>45845.55372685185</v>
      </c>
      <c r="C867" s="1" t="n">
        <v>46076</v>
      </c>
      <c r="D867" t="inlineStr">
        <is>
          <t>VÄRMLANDS LÄN</t>
        </is>
      </c>
      <c r="E867" t="inlineStr">
        <is>
          <t>TORSBY</t>
        </is>
      </c>
      <c r="G867" t="n">
        <v>19.2</v>
      </c>
      <c r="H867" t="n">
        <v>0</v>
      </c>
      <c r="I867" t="n">
        <v>0</v>
      </c>
      <c r="J867" t="n">
        <v>0</v>
      </c>
      <c r="K867" t="n">
        <v>0</v>
      </c>
      <c r="L867" t="n">
        <v>0</v>
      </c>
      <c r="M867" t="n">
        <v>0</v>
      </c>
      <c r="N867" t="n">
        <v>0</v>
      </c>
      <c r="O867" t="n">
        <v>0</v>
      </c>
      <c r="P867" t="n">
        <v>0</v>
      </c>
      <c r="Q867" t="n">
        <v>0</v>
      </c>
      <c r="R867" s="2" t="inlineStr"/>
    </row>
    <row r="868" ht="15" customHeight="1">
      <c r="A868" t="inlineStr">
        <is>
          <t>A 30074-2024</t>
        </is>
      </c>
      <c r="B868" s="1" t="n">
        <v>45489</v>
      </c>
      <c r="C868" s="1" t="n">
        <v>46076</v>
      </c>
      <c r="D868" t="inlineStr">
        <is>
          <t>VÄRMLANDS LÄN</t>
        </is>
      </c>
      <c r="E868" t="inlineStr">
        <is>
          <t>TORSBY</t>
        </is>
      </c>
      <c r="F868" t="inlineStr">
        <is>
          <t>Kyrkan</t>
        </is>
      </c>
      <c r="G868" t="n">
        <v>6.5</v>
      </c>
      <c r="H868" t="n">
        <v>0</v>
      </c>
      <c r="I868" t="n">
        <v>0</v>
      </c>
      <c r="J868" t="n">
        <v>0</v>
      </c>
      <c r="K868" t="n">
        <v>0</v>
      </c>
      <c r="L868" t="n">
        <v>0</v>
      </c>
      <c r="M868" t="n">
        <v>0</v>
      </c>
      <c r="N868" t="n">
        <v>0</v>
      </c>
      <c r="O868" t="n">
        <v>0</v>
      </c>
      <c r="P868" t="n">
        <v>0</v>
      </c>
      <c r="Q868" t="n">
        <v>0</v>
      </c>
      <c r="R868" s="2" t="inlineStr"/>
    </row>
    <row r="869" ht="15" customHeight="1">
      <c r="A869" t="inlineStr">
        <is>
          <t>A 44133-2025</t>
        </is>
      </c>
      <c r="B869" s="1" t="n">
        <v>45915</v>
      </c>
      <c r="C869" s="1" t="n">
        <v>46076</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34137-2025</t>
        </is>
      </c>
      <c r="B870" s="1" t="n">
        <v>45845.54340277778</v>
      </c>
      <c r="C870" s="1" t="n">
        <v>46076</v>
      </c>
      <c r="D870" t="inlineStr">
        <is>
          <t>VÄRMLANDS LÄN</t>
        </is>
      </c>
      <c r="E870" t="inlineStr">
        <is>
          <t>TORSBY</t>
        </is>
      </c>
      <c r="G870" t="n">
        <v>1.2</v>
      </c>
      <c r="H870" t="n">
        <v>0</v>
      </c>
      <c r="I870" t="n">
        <v>0</v>
      </c>
      <c r="J870" t="n">
        <v>0</v>
      </c>
      <c r="K870" t="n">
        <v>0</v>
      </c>
      <c r="L870" t="n">
        <v>0</v>
      </c>
      <c r="M870" t="n">
        <v>0</v>
      </c>
      <c r="N870" t="n">
        <v>0</v>
      </c>
      <c r="O870" t="n">
        <v>0</v>
      </c>
      <c r="P870" t="n">
        <v>0</v>
      </c>
      <c r="Q870" t="n">
        <v>0</v>
      </c>
      <c r="R870" s="2" t="inlineStr"/>
    </row>
    <row r="871" ht="15" customHeight="1">
      <c r="A871" t="inlineStr">
        <is>
          <t>A 34138-2025</t>
        </is>
      </c>
      <c r="B871" s="1" t="n">
        <v>45845.54486111111</v>
      </c>
      <c r="C871" s="1" t="n">
        <v>46076</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34146-2025</t>
        </is>
      </c>
      <c r="B872" s="1" t="n">
        <v>45845.56008101852</v>
      </c>
      <c r="C872" s="1" t="n">
        <v>46076</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34046-2025</t>
        </is>
      </c>
      <c r="B873" s="1" t="n">
        <v>45845.38671296297</v>
      </c>
      <c r="C873" s="1" t="n">
        <v>46076</v>
      </c>
      <c r="D873" t="inlineStr">
        <is>
          <t>VÄRMLANDS LÄN</t>
        </is>
      </c>
      <c r="E873" t="inlineStr">
        <is>
          <t>TORSBY</t>
        </is>
      </c>
      <c r="G873" t="n">
        <v>3.5</v>
      </c>
      <c r="H873" t="n">
        <v>0</v>
      </c>
      <c r="I873" t="n">
        <v>0</v>
      </c>
      <c r="J873" t="n">
        <v>0</v>
      </c>
      <c r="K873" t="n">
        <v>0</v>
      </c>
      <c r="L873" t="n">
        <v>0</v>
      </c>
      <c r="M873" t="n">
        <v>0</v>
      </c>
      <c r="N873" t="n">
        <v>0</v>
      </c>
      <c r="O873" t="n">
        <v>0</v>
      </c>
      <c r="P873" t="n">
        <v>0</v>
      </c>
      <c r="Q873" t="n">
        <v>0</v>
      </c>
      <c r="R873" s="2" t="inlineStr"/>
    </row>
    <row r="874" ht="15" customHeight="1">
      <c r="A874" t="inlineStr">
        <is>
          <t>A 56815-2023</t>
        </is>
      </c>
      <c r="B874" s="1" t="n">
        <v>45244</v>
      </c>
      <c r="C874" s="1" t="n">
        <v>46076</v>
      </c>
      <c r="D874" t="inlineStr">
        <is>
          <t>VÄRMLANDS LÄN</t>
        </is>
      </c>
      <c r="E874" t="inlineStr">
        <is>
          <t>TORSBY</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34398-2025</t>
        </is>
      </c>
      <c r="B875" s="1" t="n">
        <v>45846.60688657407</v>
      </c>
      <c r="C875" s="1" t="n">
        <v>46076</v>
      </c>
      <c r="D875" t="inlineStr">
        <is>
          <t>VÄRMLANDS LÄN</t>
        </is>
      </c>
      <c r="E875" t="inlineStr">
        <is>
          <t>TORSBY</t>
        </is>
      </c>
      <c r="F875" t="inlineStr">
        <is>
          <t>Bergvik skog väst AB</t>
        </is>
      </c>
      <c r="G875" t="n">
        <v>22.3</v>
      </c>
      <c r="H875" t="n">
        <v>0</v>
      </c>
      <c r="I875" t="n">
        <v>0</v>
      </c>
      <c r="J875" t="n">
        <v>0</v>
      </c>
      <c r="K875" t="n">
        <v>0</v>
      </c>
      <c r="L875" t="n">
        <v>0</v>
      </c>
      <c r="M875" t="n">
        <v>0</v>
      </c>
      <c r="N875" t="n">
        <v>0</v>
      </c>
      <c r="O875" t="n">
        <v>0</v>
      </c>
      <c r="P875" t="n">
        <v>0</v>
      </c>
      <c r="Q875" t="n">
        <v>0</v>
      </c>
      <c r="R875" s="2" t="inlineStr"/>
    </row>
    <row r="876" ht="15" customHeight="1">
      <c r="A876" t="inlineStr">
        <is>
          <t>A 34399-2025</t>
        </is>
      </c>
      <c r="B876" s="1" t="n">
        <v>45846.610625</v>
      </c>
      <c r="C876" s="1" t="n">
        <v>46076</v>
      </c>
      <c r="D876" t="inlineStr">
        <is>
          <t>VÄRMLANDS LÄN</t>
        </is>
      </c>
      <c r="E876" t="inlineStr">
        <is>
          <t>TORSBY</t>
        </is>
      </c>
      <c r="F876" t="inlineStr">
        <is>
          <t>Bergvik skog väst AB</t>
        </is>
      </c>
      <c r="G876" t="n">
        <v>10.2</v>
      </c>
      <c r="H876" t="n">
        <v>0</v>
      </c>
      <c r="I876" t="n">
        <v>0</v>
      </c>
      <c r="J876" t="n">
        <v>0</v>
      </c>
      <c r="K876" t="n">
        <v>0</v>
      </c>
      <c r="L876" t="n">
        <v>0</v>
      </c>
      <c r="M876" t="n">
        <v>0</v>
      </c>
      <c r="N876" t="n">
        <v>0</v>
      </c>
      <c r="O876" t="n">
        <v>0</v>
      </c>
      <c r="P876" t="n">
        <v>0</v>
      </c>
      <c r="Q876" t="n">
        <v>0</v>
      </c>
      <c r="R876" s="2" t="inlineStr"/>
    </row>
    <row r="877" ht="15" customHeight="1">
      <c r="A877" t="inlineStr">
        <is>
          <t>A 65713-2021</t>
        </is>
      </c>
      <c r="B877" s="1" t="n">
        <v>44516</v>
      </c>
      <c r="C877" s="1" t="n">
        <v>46076</v>
      </c>
      <c r="D877" t="inlineStr">
        <is>
          <t>VÄRMLANDS LÄN</t>
        </is>
      </c>
      <c r="E877" t="inlineStr">
        <is>
          <t>TORSBY</t>
        </is>
      </c>
      <c r="G877" t="n">
        <v>7</v>
      </c>
      <c r="H877" t="n">
        <v>0</v>
      </c>
      <c r="I877" t="n">
        <v>0</v>
      </c>
      <c r="J877" t="n">
        <v>0</v>
      </c>
      <c r="K877" t="n">
        <v>0</v>
      </c>
      <c r="L877" t="n">
        <v>0</v>
      </c>
      <c r="M877" t="n">
        <v>0</v>
      </c>
      <c r="N877" t="n">
        <v>0</v>
      </c>
      <c r="O877" t="n">
        <v>0</v>
      </c>
      <c r="P877" t="n">
        <v>0</v>
      </c>
      <c r="Q877" t="n">
        <v>0</v>
      </c>
      <c r="R877" s="2" t="inlineStr"/>
    </row>
    <row r="878" ht="15" customHeight="1">
      <c r="A878" t="inlineStr">
        <is>
          <t>A 44055-2025</t>
        </is>
      </c>
      <c r="B878" s="1" t="n">
        <v>45915.52358796296</v>
      </c>
      <c r="C878" s="1" t="n">
        <v>46076</v>
      </c>
      <c r="D878" t="inlineStr">
        <is>
          <t>VÄRMLANDS LÄN</t>
        </is>
      </c>
      <c r="E878" t="inlineStr">
        <is>
          <t>TORSBY</t>
        </is>
      </c>
      <c r="F878" t="inlineStr">
        <is>
          <t>Kyrkan</t>
        </is>
      </c>
      <c r="G878" t="n">
        <v>5.4</v>
      </c>
      <c r="H878" t="n">
        <v>0</v>
      </c>
      <c r="I878" t="n">
        <v>0</v>
      </c>
      <c r="J878" t="n">
        <v>0</v>
      </c>
      <c r="K878" t="n">
        <v>0</v>
      </c>
      <c r="L878" t="n">
        <v>0</v>
      </c>
      <c r="M878" t="n">
        <v>0</v>
      </c>
      <c r="N878" t="n">
        <v>0</v>
      </c>
      <c r="O878" t="n">
        <v>0</v>
      </c>
      <c r="P878" t="n">
        <v>0</v>
      </c>
      <c r="Q878" t="n">
        <v>0</v>
      </c>
      <c r="R878" s="2" t="inlineStr"/>
    </row>
    <row r="879" ht="15" customHeight="1">
      <c r="A879" t="inlineStr">
        <is>
          <t>A 34355-2025</t>
        </is>
      </c>
      <c r="B879" s="1" t="n">
        <v>45846.48114583334</v>
      </c>
      <c r="C879" s="1" t="n">
        <v>46076</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34358-2025</t>
        </is>
      </c>
      <c r="B880" s="1" t="n">
        <v>45846.48637731482</v>
      </c>
      <c r="C880" s="1" t="n">
        <v>46076</v>
      </c>
      <c r="D880" t="inlineStr">
        <is>
          <t>VÄRMLANDS LÄN</t>
        </is>
      </c>
      <c r="E880" t="inlineStr">
        <is>
          <t>TORSBY</t>
        </is>
      </c>
      <c r="G880" t="n">
        <v>5.3</v>
      </c>
      <c r="H880" t="n">
        <v>0</v>
      </c>
      <c r="I880" t="n">
        <v>0</v>
      </c>
      <c r="J880" t="n">
        <v>0</v>
      </c>
      <c r="K880" t="n">
        <v>0</v>
      </c>
      <c r="L880" t="n">
        <v>0</v>
      </c>
      <c r="M880" t="n">
        <v>0</v>
      </c>
      <c r="N880" t="n">
        <v>0</v>
      </c>
      <c r="O880" t="n">
        <v>0</v>
      </c>
      <c r="P880" t="n">
        <v>0</v>
      </c>
      <c r="Q880" t="n">
        <v>0</v>
      </c>
      <c r="R880" s="2" t="inlineStr"/>
    </row>
    <row r="881" ht="15" customHeight="1">
      <c r="A881" t="inlineStr">
        <is>
          <t>A 34365-2025</t>
        </is>
      </c>
      <c r="B881" s="1" t="n">
        <v>45846.49326388889</v>
      </c>
      <c r="C881" s="1" t="n">
        <v>46076</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34451-2025</t>
        </is>
      </c>
      <c r="B882" s="1" t="n">
        <v>45846.85114583333</v>
      </c>
      <c r="C882" s="1" t="n">
        <v>46076</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34480-2025</t>
        </is>
      </c>
      <c r="B883" s="1" t="n">
        <v>45847.37582175926</v>
      </c>
      <c r="C883" s="1" t="n">
        <v>46076</v>
      </c>
      <c r="D883" t="inlineStr">
        <is>
          <t>VÄRMLANDS LÄN</t>
        </is>
      </c>
      <c r="E883" t="inlineStr">
        <is>
          <t>TORSBY</t>
        </is>
      </c>
      <c r="F883" t="inlineStr">
        <is>
          <t>Övriga Aktiebolag</t>
        </is>
      </c>
      <c r="G883" t="n">
        <v>13.4</v>
      </c>
      <c r="H883" t="n">
        <v>0</v>
      </c>
      <c r="I883" t="n">
        <v>0</v>
      </c>
      <c r="J883" t="n">
        <v>0</v>
      </c>
      <c r="K883" t="n">
        <v>0</v>
      </c>
      <c r="L883" t="n">
        <v>0</v>
      </c>
      <c r="M883" t="n">
        <v>0</v>
      </c>
      <c r="N883" t="n">
        <v>0</v>
      </c>
      <c r="O883" t="n">
        <v>0</v>
      </c>
      <c r="P883" t="n">
        <v>0</v>
      </c>
      <c r="Q883" t="n">
        <v>0</v>
      </c>
      <c r="R883" s="2" t="inlineStr"/>
    </row>
    <row r="884" ht="15" customHeight="1">
      <c r="A884" t="inlineStr">
        <is>
          <t>A 34495-2025</t>
        </is>
      </c>
      <c r="B884" s="1" t="n">
        <v>45847.42686342593</v>
      </c>
      <c r="C884" s="1" t="n">
        <v>46076</v>
      </c>
      <c r="D884" t="inlineStr">
        <is>
          <t>VÄRMLANDS LÄN</t>
        </is>
      </c>
      <c r="E884" t="inlineStr">
        <is>
          <t>TORSBY</t>
        </is>
      </c>
      <c r="F884" t="inlineStr">
        <is>
          <t>Övriga Aktiebolag</t>
        </is>
      </c>
      <c r="G884" t="n">
        <v>3.4</v>
      </c>
      <c r="H884" t="n">
        <v>0</v>
      </c>
      <c r="I884" t="n">
        <v>0</v>
      </c>
      <c r="J884" t="n">
        <v>0</v>
      </c>
      <c r="K884" t="n">
        <v>0</v>
      </c>
      <c r="L884" t="n">
        <v>0</v>
      </c>
      <c r="M884" t="n">
        <v>0</v>
      </c>
      <c r="N884" t="n">
        <v>0</v>
      </c>
      <c r="O884" t="n">
        <v>0</v>
      </c>
      <c r="P884" t="n">
        <v>0</v>
      </c>
      <c r="Q884" t="n">
        <v>0</v>
      </c>
      <c r="R884" s="2" t="inlineStr"/>
    </row>
    <row r="885" ht="15" customHeight="1">
      <c r="A885" t="inlineStr">
        <is>
          <t>A 34517-2025</t>
        </is>
      </c>
      <c r="B885" s="1" t="n">
        <v>45847.46900462963</v>
      </c>
      <c r="C885" s="1" t="n">
        <v>46076</v>
      </c>
      <c r="D885" t="inlineStr">
        <is>
          <t>VÄRMLANDS LÄN</t>
        </is>
      </c>
      <c r="E885" t="inlineStr">
        <is>
          <t>TORSBY</t>
        </is>
      </c>
      <c r="F885" t="inlineStr">
        <is>
          <t>Övriga Aktiebolag</t>
        </is>
      </c>
      <c r="G885" t="n">
        <v>13.5</v>
      </c>
      <c r="H885" t="n">
        <v>0</v>
      </c>
      <c r="I885" t="n">
        <v>0</v>
      </c>
      <c r="J885" t="n">
        <v>0</v>
      </c>
      <c r="K885" t="n">
        <v>0</v>
      </c>
      <c r="L885" t="n">
        <v>0</v>
      </c>
      <c r="M885" t="n">
        <v>0</v>
      </c>
      <c r="N885" t="n">
        <v>0</v>
      </c>
      <c r="O885" t="n">
        <v>0</v>
      </c>
      <c r="P885" t="n">
        <v>0</v>
      </c>
      <c r="Q885" t="n">
        <v>0</v>
      </c>
      <c r="R885" s="2" t="inlineStr"/>
    </row>
    <row r="886" ht="15" customHeight="1">
      <c r="A886" t="inlineStr">
        <is>
          <t>A 1104-2025</t>
        </is>
      </c>
      <c r="B886" s="1" t="n">
        <v>45666</v>
      </c>
      <c r="C886" s="1" t="n">
        <v>46076</v>
      </c>
      <c r="D886" t="inlineStr">
        <is>
          <t>VÄRMLANDS LÄN</t>
        </is>
      </c>
      <c r="E886" t="inlineStr">
        <is>
          <t>TORSBY</t>
        </is>
      </c>
      <c r="G886" t="n">
        <v>6.9</v>
      </c>
      <c r="H886" t="n">
        <v>0</v>
      </c>
      <c r="I886" t="n">
        <v>0</v>
      </c>
      <c r="J886" t="n">
        <v>0</v>
      </c>
      <c r="K886" t="n">
        <v>0</v>
      </c>
      <c r="L886" t="n">
        <v>0</v>
      </c>
      <c r="M886" t="n">
        <v>0</v>
      </c>
      <c r="N886" t="n">
        <v>0</v>
      </c>
      <c r="O886" t="n">
        <v>0</v>
      </c>
      <c r="P886" t="n">
        <v>0</v>
      </c>
      <c r="Q886" t="n">
        <v>0</v>
      </c>
      <c r="R886" s="2" t="inlineStr"/>
    </row>
    <row r="887" ht="15" customHeight="1">
      <c r="A887" t="inlineStr">
        <is>
          <t>A 44220-2025</t>
        </is>
      </c>
      <c r="B887" s="1" t="n">
        <v>45915</v>
      </c>
      <c r="C887" s="1" t="n">
        <v>46076</v>
      </c>
      <c r="D887" t="inlineStr">
        <is>
          <t>VÄRMLANDS LÄN</t>
        </is>
      </c>
      <c r="E887" t="inlineStr">
        <is>
          <t>TORSBY</t>
        </is>
      </c>
      <c r="F887" t="inlineStr">
        <is>
          <t>Kommuner</t>
        </is>
      </c>
      <c r="G887" t="n">
        <v>4.9</v>
      </c>
      <c r="H887" t="n">
        <v>0</v>
      </c>
      <c r="I887" t="n">
        <v>0</v>
      </c>
      <c r="J887" t="n">
        <v>0</v>
      </c>
      <c r="K887" t="n">
        <v>0</v>
      </c>
      <c r="L887" t="n">
        <v>0</v>
      </c>
      <c r="M887" t="n">
        <v>0</v>
      </c>
      <c r="N887" t="n">
        <v>0</v>
      </c>
      <c r="O887" t="n">
        <v>0</v>
      </c>
      <c r="P887" t="n">
        <v>0</v>
      </c>
      <c r="Q887" t="n">
        <v>0</v>
      </c>
      <c r="R887" s="2" t="inlineStr"/>
    </row>
    <row r="888" ht="15" customHeight="1">
      <c r="A888" t="inlineStr">
        <is>
          <t>A 34388-2025</t>
        </is>
      </c>
      <c r="B888" s="1" t="n">
        <v>45846.57305555556</v>
      </c>
      <c r="C888" s="1" t="n">
        <v>46076</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43831-2025</t>
        </is>
      </c>
      <c r="B889" s="1" t="n">
        <v>45912.62987268518</v>
      </c>
      <c r="C889" s="1" t="n">
        <v>46076</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13723-2023</t>
        </is>
      </c>
      <c r="B890" s="1" t="n">
        <v>45007</v>
      </c>
      <c r="C890" s="1" t="n">
        <v>46076</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24657-2024</t>
        </is>
      </c>
      <c r="B891" s="1" t="n">
        <v>45460</v>
      </c>
      <c r="C891" s="1" t="n">
        <v>46076</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34372-2025</t>
        </is>
      </c>
      <c r="B892" s="1" t="n">
        <v>45846.5134837963</v>
      </c>
      <c r="C892" s="1" t="n">
        <v>46076</v>
      </c>
      <c r="D892" t="inlineStr">
        <is>
          <t>VÄRMLANDS LÄN</t>
        </is>
      </c>
      <c r="E892" t="inlineStr">
        <is>
          <t>TORSBY</t>
        </is>
      </c>
      <c r="G892" t="n">
        <v>4.3</v>
      </c>
      <c r="H892" t="n">
        <v>0</v>
      </c>
      <c r="I892" t="n">
        <v>0</v>
      </c>
      <c r="J892" t="n">
        <v>0</v>
      </c>
      <c r="K892" t="n">
        <v>0</v>
      </c>
      <c r="L892" t="n">
        <v>0</v>
      </c>
      <c r="M892" t="n">
        <v>0</v>
      </c>
      <c r="N892" t="n">
        <v>0</v>
      </c>
      <c r="O892" t="n">
        <v>0</v>
      </c>
      <c r="P892" t="n">
        <v>0</v>
      </c>
      <c r="Q892" t="n">
        <v>0</v>
      </c>
      <c r="R892" s="2" t="inlineStr"/>
    </row>
    <row r="893" ht="15" customHeight="1">
      <c r="A893" t="inlineStr">
        <is>
          <t>A 52532-2023</t>
        </is>
      </c>
      <c r="B893" s="1" t="n">
        <v>45225.54318287037</v>
      </c>
      <c r="C893" s="1" t="n">
        <v>46076</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13006-2025</t>
        </is>
      </c>
      <c r="B894" s="1" t="n">
        <v>45734.51652777778</v>
      </c>
      <c r="C894" s="1" t="n">
        <v>46076</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34363-2025</t>
        </is>
      </c>
      <c r="B895" s="1" t="n">
        <v>45846.49144675926</v>
      </c>
      <c r="C895" s="1" t="n">
        <v>46076</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34370-2025</t>
        </is>
      </c>
      <c r="B896" s="1" t="n">
        <v>45846.51056712963</v>
      </c>
      <c r="C896" s="1" t="n">
        <v>46076</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59425-2021</t>
        </is>
      </c>
      <c r="B897" s="1" t="n">
        <v>44491.43469907407</v>
      </c>
      <c r="C897" s="1" t="n">
        <v>46076</v>
      </c>
      <c r="D897" t="inlineStr">
        <is>
          <t>VÄRMLANDS LÄN</t>
        </is>
      </c>
      <c r="E897" t="inlineStr">
        <is>
          <t>TORSBY</t>
        </is>
      </c>
      <c r="F897" t="inlineStr">
        <is>
          <t>Bergvik skog väst AB</t>
        </is>
      </c>
      <c r="G897" t="n">
        <v>14.9</v>
      </c>
      <c r="H897" t="n">
        <v>0</v>
      </c>
      <c r="I897" t="n">
        <v>0</v>
      </c>
      <c r="J897" t="n">
        <v>0</v>
      </c>
      <c r="K897" t="n">
        <v>0</v>
      </c>
      <c r="L897" t="n">
        <v>0</v>
      </c>
      <c r="M897" t="n">
        <v>0</v>
      </c>
      <c r="N897" t="n">
        <v>0</v>
      </c>
      <c r="O897" t="n">
        <v>0</v>
      </c>
      <c r="P897" t="n">
        <v>0</v>
      </c>
      <c r="Q897" t="n">
        <v>0</v>
      </c>
      <c r="R897" s="2" t="inlineStr"/>
    </row>
    <row r="898" ht="15" customHeight="1">
      <c r="A898" t="inlineStr">
        <is>
          <t>A 43669-2025</t>
        </is>
      </c>
      <c r="B898" s="1" t="n">
        <v>45912.36299768519</v>
      </c>
      <c r="C898" s="1" t="n">
        <v>46076</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69878-2021</t>
        </is>
      </c>
      <c r="B899" s="1" t="n">
        <v>44532.82293981482</v>
      </c>
      <c r="C899" s="1" t="n">
        <v>46076</v>
      </c>
      <c r="D899" t="inlineStr">
        <is>
          <t>VÄRMLANDS LÄN</t>
        </is>
      </c>
      <c r="E899" t="inlineStr">
        <is>
          <t>TORSBY</t>
        </is>
      </c>
      <c r="G899" t="n">
        <v>0.6</v>
      </c>
      <c r="H899" t="n">
        <v>0</v>
      </c>
      <c r="I899" t="n">
        <v>0</v>
      </c>
      <c r="J899" t="n">
        <v>0</v>
      </c>
      <c r="K899" t="n">
        <v>0</v>
      </c>
      <c r="L899" t="n">
        <v>0</v>
      </c>
      <c r="M899" t="n">
        <v>0</v>
      </c>
      <c r="N899" t="n">
        <v>0</v>
      </c>
      <c r="O899" t="n">
        <v>0</v>
      </c>
      <c r="P899" t="n">
        <v>0</v>
      </c>
      <c r="Q899" t="n">
        <v>0</v>
      </c>
      <c r="R899" s="2" t="inlineStr"/>
    </row>
    <row r="900" ht="15" customHeight="1">
      <c r="A900" t="inlineStr">
        <is>
          <t>A 34533-2025</t>
        </is>
      </c>
      <c r="B900" s="1" t="n">
        <v>45847.50868055555</v>
      </c>
      <c r="C900" s="1" t="n">
        <v>46076</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21518-2024</t>
        </is>
      </c>
      <c r="B901" s="1" t="n">
        <v>45441</v>
      </c>
      <c r="C901" s="1" t="n">
        <v>46076</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44141-2025</t>
        </is>
      </c>
      <c r="B902" s="1" t="n">
        <v>45915</v>
      </c>
      <c r="C902" s="1" t="n">
        <v>46076</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44590-2025</t>
        </is>
      </c>
      <c r="B903" s="1" t="n">
        <v>45917.42607638889</v>
      </c>
      <c r="C903" s="1" t="n">
        <v>46076</v>
      </c>
      <c r="D903" t="inlineStr">
        <is>
          <t>VÄRMLANDS LÄN</t>
        </is>
      </c>
      <c r="E903" t="inlineStr">
        <is>
          <t>TORSBY</t>
        </is>
      </c>
      <c r="F903" t="inlineStr">
        <is>
          <t>Bergvik skog väst AB</t>
        </is>
      </c>
      <c r="G903" t="n">
        <v>10.3</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46076</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34846-2025</t>
        </is>
      </c>
      <c r="B905" s="1" t="n">
        <v>45849.41454861111</v>
      </c>
      <c r="C905" s="1" t="n">
        <v>46076</v>
      </c>
      <c r="D905" t="inlineStr">
        <is>
          <t>VÄRMLANDS LÄN</t>
        </is>
      </c>
      <c r="E905" t="inlineStr">
        <is>
          <t>TORSBY</t>
        </is>
      </c>
      <c r="F905" t="inlineStr">
        <is>
          <t>Bergvik skog väst AB</t>
        </is>
      </c>
      <c r="G905" t="n">
        <v>12.2</v>
      </c>
      <c r="H905" t="n">
        <v>0</v>
      </c>
      <c r="I905" t="n">
        <v>0</v>
      </c>
      <c r="J905" t="n">
        <v>0</v>
      </c>
      <c r="K905" t="n">
        <v>0</v>
      </c>
      <c r="L905" t="n">
        <v>0</v>
      </c>
      <c r="M905" t="n">
        <v>0</v>
      </c>
      <c r="N905" t="n">
        <v>0</v>
      </c>
      <c r="O905" t="n">
        <v>0</v>
      </c>
      <c r="P905" t="n">
        <v>0</v>
      </c>
      <c r="Q905" t="n">
        <v>0</v>
      </c>
      <c r="R905" s="2" t="inlineStr"/>
    </row>
    <row r="906" ht="15" customHeight="1">
      <c r="A906" t="inlineStr">
        <is>
          <t>A 21790-2023</t>
        </is>
      </c>
      <c r="B906" s="1" t="n">
        <v>45067</v>
      </c>
      <c r="C906" s="1" t="n">
        <v>46076</v>
      </c>
      <c r="D906" t="inlineStr">
        <is>
          <t>VÄRMLANDS LÄN</t>
        </is>
      </c>
      <c r="E906" t="inlineStr">
        <is>
          <t>TORSBY</t>
        </is>
      </c>
      <c r="F906" t="inlineStr">
        <is>
          <t>Övriga statliga verk och myndigheter</t>
        </is>
      </c>
      <c r="G906" t="n">
        <v>1.1</v>
      </c>
      <c r="H906" t="n">
        <v>0</v>
      </c>
      <c r="I906" t="n">
        <v>0</v>
      </c>
      <c r="J906" t="n">
        <v>0</v>
      </c>
      <c r="K906" t="n">
        <v>0</v>
      </c>
      <c r="L906" t="n">
        <v>0</v>
      </c>
      <c r="M906" t="n">
        <v>0</v>
      </c>
      <c r="N906" t="n">
        <v>0</v>
      </c>
      <c r="O906" t="n">
        <v>0</v>
      </c>
      <c r="P906" t="n">
        <v>0</v>
      </c>
      <c r="Q906" t="n">
        <v>0</v>
      </c>
      <c r="R906" s="2" t="inlineStr"/>
    </row>
    <row r="907" ht="15" customHeight="1">
      <c r="A907" t="inlineStr">
        <is>
          <t>A 44507-2025</t>
        </is>
      </c>
      <c r="B907" s="1" t="n">
        <v>45916</v>
      </c>
      <c r="C907" s="1" t="n">
        <v>46076</v>
      </c>
      <c r="D907" t="inlineStr">
        <is>
          <t>VÄRMLANDS LÄN</t>
        </is>
      </c>
      <c r="E907" t="inlineStr">
        <is>
          <t>TORSBY</t>
        </is>
      </c>
      <c r="F907" t="inlineStr">
        <is>
          <t>Bergvik skog väst AB</t>
        </is>
      </c>
      <c r="G907" t="n">
        <v>10.9</v>
      </c>
      <c r="H907" t="n">
        <v>0</v>
      </c>
      <c r="I907" t="n">
        <v>0</v>
      </c>
      <c r="J907" t="n">
        <v>0</v>
      </c>
      <c r="K907" t="n">
        <v>0</v>
      </c>
      <c r="L907" t="n">
        <v>0</v>
      </c>
      <c r="M907" t="n">
        <v>0</v>
      </c>
      <c r="N907" t="n">
        <v>0</v>
      </c>
      <c r="O907" t="n">
        <v>0</v>
      </c>
      <c r="P907" t="n">
        <v>0</v>
      </c>
      <c r="Q907" t="n">
        <v>0</v>
      </c>
      <c r="R907" s="2" t="inlineStr"/>
    </row>
    <row r="908" ht="15" customHeight="1">
      <c r="A908" t="inlineStr">
        <is>
          <t>A 44286-2025</t>
        </is>
      </c>
      <c r="B908" s="1" t="n">
        <v>45916</v>
      </c>
      <c r="C908" s="1" t="n">
        <v>46076</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44290-2025</t>
        </is>
      </c>
      <c r="B909" s="1" t="n">
        <v>45916.35228009259</v>
      </c>
      <c r="C909" s="1" t="n">
        <v>46076</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29936-2024</t>
        </is>
      </c>
      <c r="B910" s="1" t="n">
        <v>45488</v>
      </c>
      <c r="C910" s="1" t="n">
        <v>46076</v>
      </c>
      <c r="D910" t="inlineStr">
        <is>
          <t>VÄRMLANDS LÄN</t>
        </is>
      </c>
      <c r="E910" t="inlineStr">
        <is>
          <t>TORSBY</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44273-2025</t>
        </is>
      </c>
      <c r="B911" s="1" t="n">
        <v>45916</v>
      </c>
      <c r="C911" s="1" t="n">
        <v>46076</v>
      </c>
      <c r="D911" t="inlineStr">
        <is>
          <t>VÄRMLANDS LÄN</t>
        </is>
      </c>
      <c r="E911" t="inlineStr">
        <is>
          <t>TORSBY</t>
        </is>
      </c>
      <c r="G911" t="n">
        <v>1.5</v>
      </c>
      <c r="H911" t="n">
        <v>0</v>
      </c>
      <c r="I911" t="n">
        <v>0</v>
      </c>
      <c r="J911" t="n">
        <v>0</v>
      </c>
      <c r="K911" t="n">
        <v>0</v>
      </c>
      <c r="L911" t="n">
        <v>0</v>
      </c>
      <c r="M911" t="n">
        <v>0</v>
      </c>
      <c r="N911" t="n">
        <v>0</v>
      </c>
      <c r="O911" t="n">
        <v>0</v>
      </c>
      <c r="P911" t="n">
        <v>0</v>
      </c>
      <c r="Q911" t="n">
        <v>0</v>
      </c>
      <c r="R911" s="2" t="inlineStr"/>
    </row>
    <row r="912" ht="15" customHeight="1">
      <c r="A912" t="inlineStr">
        <is>
          <t>A 40807-2024</t>
        </is>
      </c>
      <c r="B912" s="1" t="n">
        <v>45558</v>
      </c>
      <c r="C912" s="1" t="n">
        <v>46076</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44374-2025</t>
        </is>
      </c>
      <c r="B913" s="1" t="n">
        <v>45916.47035879629</v>
      </c>
      <c r="C913" s="1" t="n">
        <v>46076</v>
      </c>
      <c r="D913" t="inlineStr">
        <is>
          <t>VÄRMLANDS LÄN</t>
        </is>
      </c>
      <c r="E913" t="inlineStr">
        <is>
          <t>TORSBY</t>
        </is>
      </c>
      <c r="F913" t="inlineStr">
        <is>
          <t>Bergvik skog väst AB</t>
        </is>
      </c>
      <c r="G913" t="n">
        <v>10.5</v>
      </c>
      <c r="H913" t="n">
        <v>0</v>
      </c>
      <c r="I913" t="n">
        <v>0</v>
      </c>
      <c r="J913" t="n">
        <v>0</v>
      </c>
      <c r="K913" t="n">
        <v>0</v>
      </c>
      <c r="L913" t="n">
        <v>0</v>
      </c>
      <c r="M913" t="n">
        <v>0</v>
      </c>
      <c r="N913" t="n">
        <v>0</v>
      </c>
      <c r="O913" t="n">
        <v>0</v>
      </c>
      <c r="P913" t="n">
        <v>0</v>
      </c>
      <c r="Q913" t="n">
        <v>0</v>
      </c>
      <c r="R913" s="2" t="inlineStr"/>
    </row>
    <row r="914" ht="15" customHeight="1">
      <c r="A914" t="inlineStr">
        <is>
          <t>A 44522-2025</t>
        </is>
      </c>
      <c r="B914" s="1" t="n">
        <v>45916</v>
      </c>
      <c r="C914" s="1" t="n">
        <v>46076</v>
      </c>
      <c r="D914" t="inlineStr">
        <is>
          <t>VÄRMLANDS LÄN</t>
        </is>
      </c>
      <c r="E914" t="inlineStr">
        <is>
          <t>TORSBY</t>
        </is>
      </c>
      <c r="G914" t="n">
        <v>3.9</v>
      </c>
      <c r="H914" t="n">
        <v>0</v>
      </c>
      <c r="I914" t="n">
        <v>0</v>
      </c>
      <c r="J914" t="n">
        <v>0</v>
      </c>
      <c r="K914" t="n">
        <v>0</v>
      </c>
      <c r="L914" t="n">
        <v>0</v>
      </c>
      <c r="M914" t="n">
        <v>0</v>
      </c>
      <c r="N914" t="n">
        <v>0</v>
      </c>
      <c r="O914" t="n">
        <v>0</v>
      </c>
      <c r="P914" t="n">
        <v>0</v>
      </c>
      <c r="Q914" t="n">
        <v>0</v>
      </c>
      <c r="R914" s="2" t="inlineStr"/>
    </row>
    <row r="915" ht="15" customHeight="1">
      <c r="A915" t="inlineStr">
        <is>
          <t>A 31316-2025</t>
        </is>
      </c>
      <c r="B915" s="1" t="n">
        <v>45833.40241898148</v>
      </c>
      <c r="C915" s="1" t="n">
        <v>46076</v>
      </c>
      <c r="D915" t="inlineStr">
        <is>
          <t>VÄRMLANDS LÄN</t>
        </is>
      </c>
      <c r="E915" t="inlineStr">
        <is>
          <t>TORSBY</t>
        </is>
      </c>
      <c r="G915" t="n">
        <v>1.4</v>
      </c>
      <c r="H915" t="n">
        <v>0</v>
      </c>
      <c r="I915" t="n">
        <v>0</v>
      </c>
      <c r="J915" t="n">
        <v>0</v>
      </c>
      <c r="K915" t="n">
        <v>0</v>
      </c>
      <c r="L915" t="n">
        <v>0</v>
      </c>
      <c r="M915" t="n">
        <v>0</v>
      </c>
      <c r="N915" t="n">
        <v>0</v>
      </c>
      <c r="O915" t="n">
        <v>0</v>
      </c>
      <c r="P915" t="n">
        <v>0</v>
      </c>
      <c r="Q915" t="n">
        <v>0</v>
      </c>
      <c r="R915" s="2" t="inlineStr"/>
    </row>
    <row r="916" ht="15" customHeight="1">
      <c r="A916" t="inlineStr">
        <is>
          <t>A 34997-2025</t>
        </is>
      </c>
      <c r="B916" s="1" t="n">
        <v>45849.87340277778</v>
      </c>
      <c r="C916" s="1" t="n">
        <v>46076</v>
      </c>
      <c r="D916" t="inlineStr">
        <is>
          <t>VÄRMLANDS LÄN</t>
        </is>
      </c>
      <c r="E916" t="inlineStr">
        <is>
          <t>TORSBY</t>
        </is>
      </c>
      <c r="G916" t="n">
        <v>24.4</v>
      </c>
      <c r="H916" t="n">
        <v>0</v>
      </c>
      <c r="I916" t="n">
        <v>0</v>
      </c>
      <c r="J916" t="n">
        <v>0</v>
      </c>
      <c r="K916" t="n">
        <v>0</v>
      </c>
      <c r="L916" t="n">
        <v>0</v>
      </c>
      <c r="M916" t="n">
        <v>0</v>
      </c>
      <c r="N916" t="n">
        <v>0</v>
      </c>
      <c r="O916" t="n">
        <v>0</v>
      </c>
      <c r="P916" t="n">
        <v>0</v>
      </c>
      <c r="Q916" t="n">
        <v>0</v>
      </c>
      <c r="R916" s="2" t="inlineStr"/>
    </row>
    <row r="917" ht="15" customHeight="1">
      <c r="A917" t="inlineStr">
        <is>
          <t>A 35185-2025</t>
        </is>
      </c>
      <c r="B917" s="1" t="n">
        <v>45853.30383101852</v>
      </c>
      <c r="C917" s="1" t="n">
        <v>46076</v>
      </c>
      <c r="D917" t="inlineStr">
        <is>
          <t>VÄRMLANDS LÄN</t>
        </is>
      </c>
      <c r="E917" t="inlineStr">
        <is>
          <t>TORSBY</t>
        </is>
      </c>
      <c r="F917" t="inlineStr">
        <is>
          <t>Bergvik skog väst AB</t>
        </is>
      </c>
      <c r="G917" t="n">
        <v>4</v>
      </c>
      <c r="H917" t="n">
        <v>0</v>
      </c>
      <c r="I917" t="n">
        <v>0</v>
      </c>
      <c r="J917" t="n">
        <v>0</v>
      </c>
      <c r="K917" t="n">
        <v>0</v>
      </c>
      <c r="L917" t="n">
        <v>0</v>
      </c>
      <c r="M917" t="n">
        <v>0</v>
      </c>
      <c r="N917" t="n">
        <v>0</v>
      </c>
      <c r="O917" t="n">
        <v>0</v>
      </c>
      <c r="P917" t="n">
        <v>0</v>
      </c>
      <c r="Q917" t="n">
        <v>0</v>
      </c>
      <c r="R917" s="2" t="inlineStr"/>
    </row>
    <row r="918" ht="15" customHeight="1">
      <c r="A918" t="inlineStr">
        <is>
          <t>A 44288-2025</t>
        </is>
      </c>
      <c r="B918" s="1" t="n">
        <v>45916.3500462963</v>
      </c>
      <c r="C918" s="1" t="n">
        <v>46076</v>
      </c>
      <c r="D918" t="inlineStr">
        <is>
          <t>VÄRMLANDS LÄN</t>
        </is>
      </c>
      <c r="E918" t="inlineStr">
        <is>
          <t>TORSBY</t>
        </is>
      </c>
      <c r="G918" t="n">
        <v>3.2</v>
      </c>
      <c r="H918" t="n">
        <v>0</v>
      </c>
      <c r="I918" t="n">
        <v>0</v>
      </c>
      <c r="J918" t="n">
        <v>0</v>
      </c>
      <c r="K918" t="n">
        <v>0</v>
      </c>
      <c r="L918" t="n">
        <v>0</v>
      </c>
      <c r="M918" t="n">
        <v>0</v>
      </c>
      <c r="N918" t="n">
        <v>0</v>
      </c>
      <c r="O918" t="n">
        <v>0</v>
      </c>
      <c r="P918" t="n">
        <v>0</v>
      </c>
      <c r="Q918" t="n">
        <v>0</v>
      </c>
      <c r="R918" s="2" t="inlineStr"/>
    </row>
    <row r="919" ht="15" customHeight="1">
      <c r="A919" t="inlineStr">
        <is>
          <t>A 5351-2024</t>
        </is>
      </c>
      <c r="B919" s="1" t="n">
        <v>45331.45199074074</v>
      </c>
      <c r="C919" s="1" t="n">
        <v>46076</v>
      </c>
      <c r="D919" t="inlineStr">
        <is>
          <t>VÄRMLANDS LÄN</t>
        </is>
      </c>
      <c r="E919" t="inlineStr">
        <is>
          <t>TORSBY</t>
        </is>
      </c>
      <c r="G919" t="n">
        <v>8.9</v>
      </c>
      <c r="H919" t="n">
        <v>0</v>
      </c>
      <c r="I919" t="n">
        <v>0</v>
      </c>
      <c r="J919" t="n">
        <v>0</v>
      </c>
      <c r="K919" t="n">
        <v>0</v>
      </c>
      <c r="L919" t="n">
        <v>0</v>
      </c>
      <c r="M919" t="n">
        <v>0</v>
      </c>
      <c r="N919" t="n">
        <v>0</v>
      </c>
      <c r="O919" t="n">
        <v>0</v>
      </c>
      <c r="P919" t="n">
        <v>0</v>
      </c>
      <c r="Q919" t="n">
        <v>0</v>
      </c>
      <c r="R919" s="2" t="inlineStr"/>
    </row>
    <row r="920" ht="15" customHeight="1">
      <c r="A920" t="inlineStr">
        <is>
          <t>A 19159-2025</t>
        </is>
      </c>
      <c r="B920" s="1" t="n">
        <v>45769</v>
      </c>
      <c r="C920" s="1" t="n">
        <v>46076</v>
      </c>
      <c r="D920" t="inlineStr">
        <is>
          <t>VÄRMLANDS LÄN</t>
        </is>
      </c>
      <c r="E920" t="inlineStr">
        <is>
          <t>TORSBY</t>
        </is>
      </c>
      <c r="F920" t="inlineStr">
        <is>
          <t>Bergvik skog väst AB</t>
        </is>
      </c>
      <c r="G920" t="n">
        <v>10.2</v>
      </c>
      <c r="H920" t="n">
        <v>0</v>
      </c>
      <c r="I920" t="n">
        <v>0</v>
      </c>
      <c r="J920" t="n">
        <v>0</v>
      </c>
      <c r="K920" t="n">
        <v>0</v>
      </c>
      <c r="L920" t="n">
        <v>0</v>
      </c>
      <c r="M920" t="n">
        <v>0</v>
      </c>
      <c r="N920" t="n">
        <v>0</v>
      </c>
      <c r="O920" t="n">
        <v>0</v>
      </c>
      <c r="P920" t="n">
        <v>0</v>
      </c>
      <c r="Q920" t="n">
        <v>0</v>
      </c>
      <c r="R920" s="2" t="inlineStr"/>
    </row>
    <row r="921" ht="15" customHeight="1">
      <c r="A921" t="inlineStr">
        <is>
          <t>A 44710-2025</t>
        </is>
      </c>
      <c r="B921" s="1" t="n">
        <v>45917.61743055555</v>
      </c>
      <c r="C921" s="1" t="n">
        <v>46076</v>
      </c>
      <c r="D921" t="inlineStr">
        <is>
          <t>VÄRMLANDS LÄN</t>
        </is>
      </c>
      <c r="E921" t="inlineStr">
        <is>
          <t>TORSBY</t>
        </is>
      </c>
      <c r="G921" t="n">
        <v>7.5</v>
      </c>
      <c r="H921" t="n">
        <v>0</v>
      </c>
      <c r="I921" t="n">
        <v>0</v>
      </c>
      <c r="J921" t="n">
        <v>0</v>
      </c>
      <c r="K921" t="n">
        <v>0</v>
      </c>
      <c r="L921" t="n">
        <v>0</v>
      </c>
      <c r="M921" t="n">
        <v>0</v>
      </c>
      <c r="N921" t="n">
        <v>0</v>
      </c>
      <c r="O921" t="n">
        <v>0</v>
      </c>
      <c r="P921" t="n">
        <v>0</v>
      </c>
      <c r="Q921" t="n">
        <v>0</v>
      </c>
      <c r="R921" s="2" t="inlineStr"/>
    </row>
    <row r="922" ht="15" customHeight="1">
      <c r="A922" t="inlineStr">
        <is>
          <t>A 46221-2023</t>
        </is>
      </c>
      <c r="B922" s="1" t="n">
        <v>45196.66636574074</v>
      </c>
      <c r="C922" s="1" t="n">
        <v>46076</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20985-2024</t>
        </is>
      </c>
      <c r="B923" s="1" t="n">
        <v>45439</v>
      </c>
      <c r="C923" s="1" t="n">
        <v>46076</v>
      </c>
      <c r="D923" t="inlineStr">
        <is>
          <t>VÄRMLANDS LÄN</t>
        </is>
      </c>
      <c r="E923" t="inlineStr">
        <is>
          <t>TORSBY</t>
        </is>
      </c>
      <c r="G923" t="n">
        <v>3.2</v>
      </c>
      <c r="H923" t="n">
        <v>0</v>
      </c>
      <c r="I923" t="n">
        <v>0</v>
      </c>
      <c r="J923" t="n">
        <v>0</v>
      </c>
      <c r="K923" t="n">
        <v>0</v>
      </c>
      <c r="L923" t="n">
        <v>0</v>
      </c>
      <c r="M923" t="n">
        <v>0</v>
      </c>
      <c r="N923" t="n">
        <v>0</v>
      </c>
      <c r="O923" t="n">
        <v>0</v>
      </c>
      <c r="P923" t="n">
        <v>0</v>
      </c>
      <c r="Q923" t="n">
        <v>0</v>
      </c>
      <c r="R923" s="2" t="inlineStr"/>
    </row>
    <row r="924" ht="15" customHeight="1">
      <c r="A924" t="inlineStr">
        <is>
          <t>A 64664-2023</t>
        </is>
      </c>
      <c r="B924" s="1" t="n">
        <v>45281.60710648148</v>
      </c>
      <c r="C924" s="1" t="n">
        <v>46076</v>
      </c>
      <c r="D924" t="inlineStr">
        <is>
          <t>VÄRMLANDS LÄN</t>
        </is>
      </c>
      <c r="E924" t="inlineStr">
        <is>
          <t>TORSBY</t>
        </is>
      </c>
      <c r="F924" t="inlineStr">
        <is>
          <t>Bergvik skog väst AB</t>
        </is>
      </c>
      <c r="G924" t="n">
        <v>1</v>
      </c>
      <c r="H924" t="n">
        <v>0</v>
      </c>
      <c r="I924" t="n">
        <v>0</v>
      </c>
      <c r="J924" t="n">
        <v>0</v>
      </c>
      <c r="K924" t="n">
        <v>0</v>
      </c>
      <c r="L924" t="n">
        <v>0</v>
      </c>
      <c r="M924" t="n">
        <v>0</v>
      </c>
      <c r="N924" t="n">
        <v>0</v>
      </c>
      <c r="O924" t="n">
        <v>0</v>
      </c>
      <c r="P924" t="n">
        <v>0</v>
      </c>
      <c r="Q924" t="n">
        <v>0</v>
      </c>
      <c r="R924" s="2" t="inlineStr"/>
    </row>
    <row r="925" ht="15" customHeight="1">
      <c r="A925" t="inlineStr">
        <is>
          <t>A 35191-2025</t>
        </is>
      </c>
      <c r="B925" s="1" t="n">
        <v>45853.3469675926</v>
      </c>
      <c r="C925" s="1" t="n">
        <v>46076</v>
      </c>
      <c r="D925" t="inlineStr">
        <is>
          <t>VÄRMLANDS LÄN</t>
        </is>
      </c>
      <c r="E925" t="inlineStr">
        <is>
          <t>TORSBY</t>
        </is>
      </c>
      <c r="F925" t="inlineStr">
        <is>
          <t>Bergvik skog väst AB</t>
        </is>
      </c>
      <c r="G925" t="n">
        <v>9.9</v>
      </c>
      <c r="H925" t="n">
        <v>0</v>
      </c>
      <c r="I925" t="n">
        <v>0</v>
      </c>
      <c r="J925" t="n">
        <v>0</v>
      </c>
      <c r="K925" t="n">
        <v>0</v>
      </c>
      <c r="L925" t="n">
        <v>0</v>
      </c>
      <c r="M925" t="n">
        <v>0</v>
      </c>
      <c r="N925" t="n">
        <v>0</v>
      </c>
      <c r="O925" t="n">
        <v>0</v>
      </c>
      <c r="P925" t="n">
        <v>0</v>
      </c>
      <c r="Q925" t="n">
        <v>0</v>
      </c>
      <c r="R925" s="2" t="inlineStr"/>
    </row>
    <row r="926" ht="15" customHeight="1">
      <c r="A926" t="inlineStr">
        <is>
          <t>A 51199-2023</t>
        </is>
      </c>
      <c r="B926" s="1" t="n">
        <v>45219.42247685185</v>
      </c>
      <c r="C926" s="1" t="n">
        <v>46076</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42481-2025</t>
        </is>
      </c>
      <c r="B927" s="1" t="n">
        <v>45904</v>
      </c>
      <c r="C927" s="1" t="n">
        <v>46076</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30735-2025</t>
        </is>
      </c>
      <c r="B928" s="1" t="n">
        <v>45831.57479166667</v>
      </c>
      <c r="C928" s="1" t="n">
        <v>46076</v>
      </c>
      <c r="D928" t="inlineStr">
        <is>
          <t>VÄRMLANDS LÄN</t>
        </is>
      </c>
      <c r="E928" t="inlineStr">
        <is>
          <t>TORSBY</t>
        </is>
      </c>
      <c r="F928" t="inlineStr">
        <is>
          <t>Bergvik skog väst AB</t>
        </is>
      </c>
      <c r="G928" t="n">
        <v>11.2</v>
      </c>
      <c r="H928" t="n">
        <v>0</v>
      </c>
      <c r="I928" t="n">
        <v>0</v>
      </c>
      <c r="J928" t="n">
        <v>0</v>
      </c>
      <c r="K928" t="n">
        <v>0</v>
      </c>
      <c r="L928" t="n">
        <v>0</v>
      </c>
      <c r="M928" t="n">
        <v>0</v>
      </c>
      <c r="N928" t="n">
        <v>0</v>
      </c>
      <c r="O928" t="n">
        <v>0</v>
      </c>
      <c r="P928" t="n">
        <v>0</v>
      </c>
      <c r="Q928" t="n">
        <v>0</v>
      </c>
      <c r="R928" s="2" t="inlineStr"/>
    </row>
    <row r="929" ht="15" customHeight="1">
      <c r="A929" t="inlineStr">
        <is>
          <t>A 35194-2025</t>
        </is>
      </c>
      <c r="B929" s="1" t="n">
        <v>45853.35740740741</v>
      </c>
      <c r="C929" s="1" t="n">
        <v>46076</v>
      </c>
      <c r="D929" t="inlineStr">
        <is>
          <t>VÄRMLANDS LÄN</t>
        </is>
      </c>
      <c r="E929" t="inlineStr">
        <is>
          <t>TORSBY</t>
        </is>
      </c>
      <c r="G929" t="n">
        <v>5.9</v>
      </c>
      <c r="H929" t="n">
        <v>0</v>
      </c>
      <c r="I929" t="n">
        <v>0</v>
      </c>
      <c r="J929" t="n">
        <v>0</v>
      </c>
      <c r="K929" t="n">
        <v>0</v>
      </c>
      <c r="L929" t="n">
        <v>0</v>
      </c>
      <c r="M929" t="n">
        <v>0</v>
      </c>
      <c r="N929" t="n">
        <v>0</v>
      </c>
      <c r="O929" t="n">
        <v>0</v>
      </c>
      <c r="P929" t="n">
        <v>0</v>
      </c>
      <c r="Q929" t="n">
        <v>0</v>
      </c>
      <c r="R929" s="2" t="inlineStr"/>
    </row>
    <row r="930" ht="15" customHeight="1">
      <c r="A930" t="inlineStr">
        <is>
          <t>A 45245-2025</t>
        </is>
      </c>
      <c r="B930" s="1" t="n">
        <v>45919.60621527778</v>
      </c>
      <c r="C930" s="1" t="n">
        <v>46076</v>
      </c>
      <c r="D930" t="inlineStr">
        <is>
          <t>VÄRMLANDS LÄN</t>
        </is>
      </c>
      <c r="E930" t="inlineStr">
        <is>
          <t>TORSBY</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44995-2025</t>
        </is>
      </c>
      <c r="B931" s="1" t="n">
        <v>45918</v>
      </c>
      <c r="C931" s="1" t="n">
        <v>46076</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c r="U931">
        <f>HYPERLINK("https://klasma.github.io/Logging_1737/knärot/A 44995-2025 karta knärot.png", "A 44995-2025")</f>
        <v/>
      </c>
      <c r="V931">
        <f>HYPERLINK("https://klasma.github.io/Logging_1737/klagomål/A 44995-2025 FSC-klagomål.docx", "A 44995-2025")</f>
        <v/>
      </c>
      <c r="W931">
        <f>HYPERLINK("https://klasma.github.io/Logging_1737/klagomålsmail/A 44995-2025 FSC-klagomål mail.docx", "A 44995-2025")</f>
        <v/>
      </c>
      <c r="X931">
        <f>HYPERLINK("https://klasma.github.io/Logging_1737/tillsyn/A 44995-2025 tillsynsbegäran.docx", "A 44995-2025")</f>
        <v/>
      </c>
      <c r="Y931">
        <f>HYPERLINK("https://klasma.github.io/Logging_1737/tillsynsmail/A 44995-2025 tillsynsbegäran mail.docx", "A 44995-2025")</f>
        <v/>
      </c>
    </row>
    <row r="932" ht="15" customHeight="1">
      <c r="A932" t="inlineStr">
        <is>
          <t>A 45043-2025</t>
        </is>
      </c>
      <c r="B932" s="1" t="n">
        <v>45918.92902777778</v>
      </c>
      <c r="C932" s="1" t="n">
        <v>46076</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45268-2025</t>
        </is>
      </c>
      <c r="B933" s="1" t="n">
        <v>45919.66782407407</v>
      </c>
      <c r="C933" s="1" t="n">
        <v>46076</v>
      </c>
      <c r="D933" t="inlineStr">
        <is>
          <t>VÄRMLANDS LÄN</t>
        </is>
      </c>
      <c r="E933" t="inlineStr">
        <is>
          <t>TORSBY</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45269-2025</t>
        </is>
      </c>
      <c r="B934" s="1" t="n">
        <v>45919.67443287037</v>
      </c>
      <c r="C934" s="1" t="n">
        <v>46076</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35408-2025</t>
        </is>
      </c>
      <c r="B935" s="1" t="n">
        <v>45855.37256944444</v>
      </c>
      <c r="C935" s="1" t="n">
        <v>46076</v>
      </c>
      <c r="D935" t="inlineStr">
        <is>
          <t>VÄRMLANDS LÄN</t>
        </is>
      </c>
      <c r="E935" t="inlineStr">
        <is>
          <t>TORSBY</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46076</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35334-2025</t>
        </is>
      </c>
      <c r="B937" s="1" t="n">
        <v>45854.57973379629</v>
      </c>
      <c r="C937" s="1" t="n">
        <v>46076</v>
      </c>
      <c r="D937" t="inlineStr">
        <is>
          <t>VÄRMLANDS LÄN</t>
        </is>
      </c>
      <c r="E937" t="inlineStr">
        <is>
          <t>TORSBY</t>
        </is>
      </c>
      <c r="F937" t="inlineStr">
        <is>
          <t>Bergvik skog väst AB</t>
        </is>
      </c>
      <c r="G937" t="n">
        <v>1.4</v>
      </c>
      <c r="H937" t="n">
        <v>0</v>
      </c>
      <c r="I937" t="n">
        <v>0</v>
      </c>
      <c r="J937" t="n">
        <v>0</v>
      </c>
      <c r="K937" t="n">
        <v>0</v>
      </c>
      <c r="L937" t="n">
        <v>0</v>
      </c>
      <c r="M937" t="n">
        <v>0</v>
      </c>
      <c r="N937" t="n">
        <v>0</v>
      </c>
      <c r="O937" t="n">
        <v>0</v>
      </c>
      <c r="P937" t="n">
        <v>0</v>
      </c>
      <c r="Q937" t="n">
        <v>0</v>
      </c>
      <c r="R937" s="2" t="inlineStr"/>
    </row>
    <row r="938" ht="15" customHeight="1">
      <c r="A938" t="inlineStr">
        <is>
          <t>A 45093-2025</t>
        </is>
      </c>
      <c r="B938" s="1" t="n">
        <v>45919.38398148148</v>
      </c>
      <c r="C938" s="1" t="n">
        <v>46076</v>
      </c>
      <c r="D938" t="inlineStr">
        <is>
          <t>VÄRMLANDS LÄN</t>
        </is>
      </c>
      <c r="E938" t="inlineStr">
        <is>
          <t>TORSBY</t>
        </is>
      </c>
      <c r="G938" t="n">
        <v>4.2</v>
      </c>
      <c r="H938" t="n">
        <v>0</v>
      </c>
      <c r="I938" t="n">
        <v>0</v>
      </c>
      <c r="J938" t="n">
        <v>0</v>
      </c>
      <c r="K938" t="n">
        <v>0</v>
      </c>
      <c r="L938" t="n">
        <v>0</v>
      </c>
      <c r="M938" t="n">
        <v>0</v>
      </c>
      <c r="N938" t="n">
        <v>0</v>
      </c>
      <c r="O938" t="n">
        <v>0</v>
      </c>
      <c r="P938" t="n">
        <v>0</v>
      </c>
      <c r="Q938" t="n">
        <v>0</v>
      </c>
      <c r="R938" s="2" t="inlineStr"/>
    </row>
    <row r="939" ht="15" customHeight="1">
      <c r="A939" t="inlineStr">
        <is>
          <t>A 44808-2025</t>
        </is>
      </c>
      <c r="B939" s="1" t="n">
        <v>45918</v>
      </c>
      <c r="C939" s="1" t="n">
        <v>46076</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38084-2023</t>
        </is>
      </c>
      <c r="B940" s="1" t="n">
        <v>45160</v>
      </c>
      <c r="C940" s="1" t="n">
        <v>46076</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35367-2025</t>
        </is>
      </c>
      <c r="B941" s="1" t="n">
        <v>45854</v>
      </c>
      <c r="C941" s="1" t="n">
        <v>46076</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45108-2025</t>
        </is>
      </c>
      <c r="B942" s="1" t="n">
        <v>45919.41467592592</v>
      </c>
      <c r="C942" s="1" t="n">
        <v>46076</v>
      </c>
      <c r="D942" t="inlineStr">
        <is>
          <t>VÄRMLANDS LÄN</t>
        </is>
      </c>
      <c r="E942" t="inlineStr">
        <is>
          <t>TORSBY</t>
        </is>
      </c>
      <c r="F942" t="inlineStr">
        <is>
          <t>Bergvik skog väst AB</t>
        </is>
      </c>
      <c r="G942" t="n">
        <v>24.4</v>
      </c>
      <c r="H942" t="n">
        <v>0</v>
      </c>
      <c r="I942" t="n">
        <v>0</v>
      </c>
      <c r="J942" t="n">
        <v>0</v>
      </c>
      <c r="K942" t="n">
        <v>0</v>
      </c>
      <c r="L942" t="n">
        <v>0</v>
      </c>
      <c r="M942" t="n">
        <v>0</v>
      </c>
      <c r="N942" t="n">
        <v>0</v>
      </c>
      <c r="O942" t="n">
        <v>0</v>
      </c>
      <c r="P942" t="n">
        <v>0</v>
      </c>
      <c r="Q942" t="n">
        <v>0</v>
      </c>
      <c r="R942" s="2" t="inlineStr"/>
    </row>
    <row r="943" ht="15" customHeight="1">
      <c r="A943" t="inlineStr">
        <is>
          <t>A 45133-2025</t>
        </is>
      </c>
      <c r="B943" s="1" t="n">
        <v>45919.4447337963</v>
      </c>
      <c r="C943" s="1" t="n">
        <v>46076</v>
      </c>
      <c r="D943" t="inlineStr">
        <is>
          <t>VÄRMLANDS LÄN</t>
        </is>
      </c>
      <c r="E943" t="inlineStr">
        <is>
          <t>TORSBY</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44794-2025</t>
        </is>
      </c>
      <c r="B944" s="1" t="n">
        <v>45918.34465277778</v>
      </c>
      <c r="C944" s="1" t="n">
        <v>46076</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44817-2025</t>
        </is>
      </c>
      <c r="B945" s="1" t="n">
        <v>45918</v>
      </c>
      <c r="C945" s="1" t="n">
        <v>46076</v>
      </c>
      <c r="D945" t="inlineStr">
        <is>
          <t>VÄRMLANDS LÄN</t>
        </is>
      </c>
      <c r="E945" t="inlineStr">
        <is>
          <t>TORSBY</t>
        </is>
      </c>
      <c r="F945" t="inlineStr">
        <is>
          <t>Bergvik skog väst AB</t>
        </is>
      </c>
      <c r="G945" t="n">
        <v>6.2</v>
      </c>
      <c r="H945" t="n">
        <v>0</v>
      </c>
      <c r="I945" t="n">
        <v>0</v>
      </c>
      <c r="J945" t="n">
        <v>0</v>
      </c>
      <c r="K945" t="n">
        <v>0</v>
      </c>
      <c r="L945" t="n">
        <v>0</v>
      </c>
      <c r="M945" t="n">
        <v>0</v>
      </c>
      <c r="N945" t="n">
        <v>0</v>
      </c>
      <c r="O945" t="n">
        <v>0</v>
      </c>
      <c r="P945" t="n">
        <v>0</v>
      </c>
      <c r="Q945" t="n">
        <v>0</v>
      </c>
      <c r="R945" s="2" t="inlineStr"/>
    </row>
    <row r="946" ht="15" customHeight="1">
      <c r="A946" t="inlineStr">
        <is>
          <t>A 44292-2025</t>
        </is>
      </c>
      <c r="B946" s="1" t="n">
        <v>45915</v>
      </c>
      <c r="C946" s="1" t="n">
        <v>46076</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18339-2024</t>
        </is>
      </c>
      <c r="B947" s="1" t="n">
        <v>45422.58119212963</v>
      </c>
      <c r="C947" s="1" t="n">
        <v>46076</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16003-2025</t>
        </is>
      </c>
      <c r="B948" s="1" t="n">
        <v>45749</v>
      </c>
      <c r="C948" s="1" t="n">
        <v>46076</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44901-2025</t>
        </is>
      </c>
      <c r="B949" s="1" t="n">
        <v>45918</v>
      </c>
      <c r="C949" s="1" t="n">
        <v>46076</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21516-2022</t>
        </is>
      </c>
      <c r="B950" s="1" t="n">
        <v>44706</v>
      </c>
      <c r="C950" s="1" t="n">
        <v>46076</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12440-2025</t>
        </is>
      </c>
      <c r="B951" s="1" t="n">
        <v>45730</v>
      </c>
      <c r="C951" s="1" t="n">
        <v>46076</v>
      </c>
      <c r="D951" t="inlineStr">
        <is>
          <t>VÄRMLANDS LÄN</t>
        </is>
      </c>
      <c r="E951" t="inlineStr">
        <is>
          <t>TORSBY</t>
        </is>
      </c>
      <c r="G951" t="n">
        <v>4.7</v>
      </c>
      <c r="H951" t="n">
        <v>0</v>
      </c>
      <c r="I951" t="n">
        <v>0</v>
      </c>
      <c r="J951" t="n">
        <v>0</v>
      </c>
      <c r="K951" t="n">
        <v>0</v>
      </c>
      <c r="L951" t="n">
        <v>0</v>
      </c>
      <c r="M951" t="n">
        <v>0</v>
      </c>
      <c r="N951" t="n">
        <v>0</v>
      </c>
      <c r="O951" t="n">
        <v>0</v>
      </c>
      <c r="P951" t="n">
        <v>0</v>
      </c>
      <c r="Q951" t="n">
        <v>0</v>
      </c>
      <c r="R951" s="2" t="inlineStr"/>
    </row>
    <row r="952" ht="15" customHeight="1">
      <c r="A952" t="inlineStr">
        <is>
          <t>A 5052-2025</t>
        </is>
      </c>
      <c r="B952" s="1" t="n">
        <v>45691</v>
      </c>
      <c r="C952" s="1" t="n">
        <v>46076</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44976-2025</t>
        </is>
      </c>
      <c r="B953" s="1" t="n">
        <v>45918</v>
      </c>
      <c r="C953" s="1" t="n">
        <v>46076</v>
      </c>
      <c r="D953" t="inlineStr">
        <is>
          <t>VÄRMLANDS LÄN</t>
        </is>
      </c>
      <c r="E953" t="inlineStr">
        <is>
          <t>TORSBY</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3397-2022</t>
        </is>
      </c>
      <c r="B954" s="1" t="n">
        <v>44585</v>
      </c>
      <c r="C954" s="1" t="n">
        <v>46076</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17562-2024</t>
        </is>
      </c>
      <c r="B955" s="1" t="n">
        <v>45415</v>
      </c>
      <c r="C955" s="1" t="n">
        <v>46076</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45380-2025</t>
        </is>
      </c>
      <c r="B956" s="1" t="n">
        <v>45922</v>
      </c>
      <c r="C956" s="1" t="n">
        <v>46076</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35552-2025</t>
        </is>
      </c>
      <c r="B957" s="1" t="n">
        <v>45856.49702546297</v>
      </c>
      <c r="C957" s="1" t="n">
        <v>46076</v>
      </c>
      <c r="D957" t="inlineStr">
        <is>
          <t>VÄRMLANDS LÄN</t>
        </is>
      </c>
      <c r="E957" t="inlineStr">
        <is>
          <t>TORSBY</t>
        </is>
      </c>
      <c r="F957" t="inlineStr">
        <is>
          <t>Bergvik skog väst AB</t>
        </is>
      </c>
      <c r="G957" t="n">
        <v>12.3</v>
      </c>
      <c r="H957" t="n">
        <v>0</v>
      </c>
      <c r="I957" t="n">
        <v>0</v>
      </c>
      <c r="J957" t="n">
        <v>0</v>
      </c>
      <c r="K957" t="n">
        <v>0</v>
      </c>
      <c r="L957" t="n">
        <v>0</v>
      </c>
      <c r="M957" t="n">
        <v>0</v>
      </c>
      <c r="N957" t="n">
        <v>0</v>
      </c>
      <c r="O957" t="n">
        <v>0</v>
      </c>
      <c r="P957" t="n">
        <v>0</v>
      </c>
      <c r="Q957" t="n">
        <v>0</v>
      </c>
      <c r="R957" s="2" t="inlineStr"/>
    </row>
    <row r="958" ht="15" customHeight="1">
      <c r="A958" t="inlineStr">
        <is>
          <t>A 35817-2025</t>
        </is>
      </c>
      <c r="B958" s="1" t="n">
        <v>45861.44365740741</v>
      </c>
      <c r="C958" s="1" t="n">
        <v>46076</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1123-2023</t>
        </is>
      </c>
      <c r="B959" s="1" t="n">
        <v>44935</v>
      </c>
      <c r="C959" s="1" t="n">
        <v>46076</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9704-2025</t>
        </is>
      </c>
      <c r="B960" s="1" t="n">
        <v>45716.38378472222</v>
      </c>
      <c r="C960" s="1" t="n">
        <v>46076</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45425-2025</t>
        </is>
      </c>
      <c r="B961" s="1" t="n">
        <v>45922.45195601852</v>
      </c>
      <c r="C961" s="1" t="n">
        <v>46076</v>
      </c>
      <c r="D961" t="inlineStr">
        <is>
          <t>VÄRMLANDS LÄN</t>
        </is>
      </c>
      <c r="E961" t="inlineStr">
        <is>
          <t>TORSBY</t>
        </is>
      </c>
      <c r="F961" t="inlineStr">
        <is>
          <t>Bergvik skog väst AB</t>
        </is>
      </c>
      <c r="G961" t="n">
        <v>6.3</v>
      </c>
      <c r="H961" t="n">
        <v>0</v>
      </c>
      <c r="I961" t="n">
        <v>0</v>
      </c>
      <c r="J961" t="n">
        <v>0</v>
      </c>
      <c r="K961" t="n">
        <v>0</v>
      </c>
      <c r="L961" t="n">
        <v>0</v>
      </c>
      <c r="M961" t="n">
        <v>0</v>
      </c>
      <c r="N961" t="n">
        <v>0</v>
      </c>
      <c r="O961" t="n">
        <v>0</v>
      </c>
      <c r="P961" t="n">
        <v>0</v>
      </c>
      <c r="Q961" t="n">
        <v>0</v>
      </c>
      <c r="R961" s="2" t="inlineStr"/>
    </row>
    <row r="962" ht="15" customHeight="1">
      <c r="A962" t="inlineStr">
        <is>
          <t>A 52447-2022</t>
        </is>
      </c>
      <c r="B962" s="1" t="n">
        <v>44874</v>
      </c>
      <c r="C962" s="1" t="n">
        <v>46076</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45357-2025</t>
        </is>
      </c>
      <c r="B963" s="1" t="n">
        <v>45922.36716435185</v>
      </c>
      <c r="C963" s="1" t="n">
        <v>46076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45360-2025</t>
        </is>
      </c>
      <c r="B964" s="1" t="n">
        <v>45922.37266203704</v>
      </c>
      <c r="C964" s="1" t="n">
        <v>46076</v>
      </c>
      <c r="D964" t="inlineStr">
        <is>
          <t>VÄRMLANDS LÄN</t>
        </is>
      </c>
      <c r="E964" t="inlineStr">
        <is>
          <t>TORSBY</t>
        </is>
      </c>
      <c r="F964" t="inlineStr">
        <is>
          <t>Kommuner</t>
        </is>
      </c>
      <c r="G964" t="n">
        <v>1.1</v>
      </c>
      <c r="H964" t="n">
        <v>0</v>
      </c>
      <c r="I964" t="n">
        <v>0</v>
      </c>
      <c r="J964" t="n">
        <v>0</v>
      </c>
      <c r="K964" t="n">
        <v>0</v>
      </c>
      <c r="L964" t="n">
        <v>0</v>
      </c>
      <c r="M964" t="n">
        <v>0</v>
      </c>
      <c r="N964" t="n">
        <v>0</v>
      </c>
      <c r="O964" t="n">
        <v>0</v>
      </c>
      <c r="P964" t="n">
        <v>0</v>
      </c>
      <c r="Q964" t="n">
        <v>0</v>
      </c>
      <c r="R964" s="2" t="inlineStr"/>
    </row>
    <row r="965" ht="15" customHeight="1">
      <c r="A965" t="inlineStr">
        <is>
          <t>A 45615-2025</t>
        </is>
      </c>
      <c r="B965" s="1" t="n">
        <v>45921</v>
      </c>
      <c r="C965" s="1" t="n">
        <v>46076</v>
      </c>
      <c r="D965" t="inlineStr">
        <is>
          <t>VÄRMLANDS LÄN</t>
        </is>
      </c>
      <c r="E965" t="inlineStr">
        <is>
          <t>TORSBY</t>
        </is>
      </c>
      <c r="G965" t="n">
        <v>7</v>
      </c>
      <c r="H965" t="n">
        <v>0</v>
      </c>
      <c r="I965" t="n">
        <v>0</v>
      </c>
      <c r="J965" t="n">
        <v>0</v>
      </c>
      <c r="K965" t="n">
        <v>0</v>
      </c>
      <c r="L965" t="n">
        <v>0</v>
      </c>
      <c r="M965" t="n">
        <v>0</v>
      </c>
      <c r="N965" t="n">
        <v>0</v>
      </c>
      <c r="O965" t="n">
        <v>0</v>
      </c>
      <c r="P965" t="n">
        <v>0</v>
      </c>
      <c r="Q965" t="n">
        <v>0</v>
      </c>
      <c r="R965" s="2" t="inlineStr"/>
    </row>
    <row r="966" ht="15" customHeight="1">
      <c r="A966" t="inlineStr">
        <is>
          <t>A 24630-2024</t>
        </is>
      </c>
      <c r="B966" s="1" t="n">
        <v>45460.51149305556</v>
      </c>
      <c r="C966" s="1" t="n">
        <v>46076</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14800-2025</t>
        </is>
      </c>
      <c r="B967" s="1" t="n">
        <v>45743</v>
      </c>
      <c r="C967" s="1" t="n">
        <v>46076</v>
      </c>
      <c r="D967" t="inlineStr">
        <is>
          <t>VÄRMLANDS LÄN</t>
        </is>
      </c>
      <c r="E967" t="inlineStr">
        <is>
          <t>TORSBY</t>
        </is>
      </c>
      <c r="G967" t="n">
        <v>4.2</v>
      </c>
      <c r="H967" t="n">
        <v>0</v>
      </c>
      <c r="I967" t="n">
        <v>0</v>
      </c>
      <c r="J967" t="n">
        <v>0</v>
      </c>
      <c r="K967" t="n">
        <v>0</v>
      </c>
      <c r="L967" t="n">
        <v>0</v>
      </c>
      <c r="M967" t="n">
        <v>0</v>
      </c>
      <c r="N967" t="n">
        <v>0</v>
      </c>
      <c r="O967" t="n">
        <v>0</v>
      </c>
      <c r="P967" t="n">
        <v>0</v>
      </c>
      <c r="Q967" t="n">
        <v>0</v>
      </c>
      <c r="R967" s="2" t="inlineStr"/>
    </row>
    <row r="968" ht="15" customHeight="1">
      <c r="A968" t="inlineStr">
        <is>
          <t>A 35855-2025</t>
        </is>
      </c>
      <c r="B968" s="1" t="n">
        <v>45861.61864583333</v>
      </c>
      <c r="C968" s="1" t="n">
        <v>46076</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38086-2023</t>
        </is>
      </c>
      <c r="B969" s="1" t="n">
        <v>45160</v>
      </c>
      <c r="C969" s="1" t="n">
        <v>46076</v>
      </c>
      <c r="D969" t="inlineStr">
        <is>
          <t>VÄRMLANDS LÄN</t>
        </is>
      </c>
      <c r="E969" t="inlineStr">
        <is>
          <t>TORSBY</t>
        </is>
      </c>
      <c r="G969" t="n">
        <v>6.2</v>
      </c>
      <c r="H969" t="n">
        <v>0</v>
      </c>
      <c r="I969" t="n">
        <v>0</v>
      </c>
      <c r="J969" t="n">
        <v>0</v>
      </c>
      <c r="K969" t="n">
        <v>0</v>
      </c>
      <c r="L969" t="n">
        <v>0</v>
      </c>
      <c r="M969" t="n">
        <v>0</v>
      </c>
      <c r="N969" t="n">
        <v>0</v>
      </c>
      <c r="O969" t="n">
        <v>0</v>
      </c>
      <c r="P969" t="n">
        <v>0</v>
      </c>
      <c r="Q969" t="n">
        <v>0</v>
      </c>
      <c r="R969" s="2" t="inlineStr"/>
    </row>
    <row r="970" ht="15" customHeight="1">
      <c r="A970" t="inlineStr">
        <is>
          <t>A 9723-2025</t>
        </is>
      </c>
      <c r="B970" s="1" t="n">
        <v>45715</v>
      </c>
      <c r="C970" s="1" t="n">
        <v>46076</v>
      </c>
      <c r="D970" t="inlineStr">
        <is>
          <t>VÄRMLANDS LÄN</t>
        </is>
      </c>
      <c r="E970" t="inlineStr">
        <is>
          <t>TORSBY</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364-2025</t>
        </is>
      </c>
      <c r="B971" s="1" t="n">
        <v>45661</v>
      </c>
      <c r="C971" s="1" t="n">
        <v>46076</v>
      </c>
      <c r="D971" t="inlineStr">
        <is>
          <t>VÄRMLANDS LÄN</t>
        </is>
      </c>
      <c r="E971" t="inlineStr">
        <is>
          <t>TORSBY</t>
        </is>
      </c>
      <c r="G971" t="n">
        <v>5.9</v>
      </c>
      <c r="H971" t="n">
        <v>0</v>
      </c>
      <c r="I971" t="n">
        <v>0</v>
      </c>
      <c r="J971" t="n">
        <v>0</v>
      </c>
      <c r="K971" t="n">
        <v>0</v>
      </c>
      <c r="L971" t="n">
        <v>0</v>
      </c>
      <c r="M971" t="n">
        <v>0</v>
      </c>
      <c r="N971" t="n">
        <v>0</v>
      </c>
      <c r="O971" t="n">
        <v>0</v>
      </c>
      <c r="P971" t="n">
        <v>0</v>
      </c>
      <c r="Q971" t="n">
        <v>0</v>
      </c>
      <c r="R971" s="2" t="inlineStr"/>
    </row>
    <row r="972" ht="15" customHeight="1">
      <c r="A972" t="inlineStr">
        <is>
          <t>A 45489-2025</t>
        </is>
      </c>
      <c r="B972" s="1" t="n">
        <v>45921</v>
      </c>
      <c r="C972" s="1" t="n">
        <v>46076</v>
      </c>
      <c r="D972" t="inlineStr">
        <is>
          <t>VÄRMLANDS LÄN</t>
        </is>
      </c>
      <c r="E972" t="inlineStr">
        <is>
          <t>TORSBY</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45490-2025</t>
        </is>
      </c>
      <c r="B973" s="1" t="n">
        <v>45921</v>
      </c>
      <c r="C973" s="1" t="n">
        <v>46076</v>
      </c>
      <c r="D973" t="inlineStr">
        <is>
          <t>VÄRMLANDS LÄN</t>
        </is>
      </c>
      <c r="E973" t="inlineStr">
        <is>
          <t>TORSBY</t>
        </is>
      </c>
      <c r="G973" t="n">
        <v>5.2</v>
      </c>
      <c r="H973" t="n">
        <v>0</v>
      </c>
      <c r="I973" t="n">
        <v>0</v>
      </c>
      <c r="J973" t="n">
        <v>0</v>
      </c>
      <c r="K973" t="n">
        <v>0</v>
      </c>
      <c r="L973" t="n">
        <v>0</v>
      </c>
      <c r="M973" t="n">
        <v>0</v>
      </c>
      <c r="N973" t="n">
        <v>0</v>
      </c>
      <c r="O973" t="n">
        <v>0</v>
      </c>
      <c r="P973" t="n">
        <v>0</v>
      </c>
      <c r="Q973" t="n">
        <v>0</v>
      </c>
      <c r="R973" s="2" t="inlineStr"/>
    </row>
    <row r="974" ht="15" customHeight="1">
      <c r="A974" t="inlineStr">
        <is>
          <t>A 45508-2025</t>
        </is>
      </c>
      <c r="B974" s="1" t="n">
        <v>45922</v>
      </c>
      <c r="C974" s="1" t="n">
        <v>46076</v>
      </c>
      <c r="D974" t="inlineStr">
        <is>
          <t>VÄRMLANDS LÄN</t>
        </is>
      </c>
      <c r="E974" t="inlineStr">
        <is>
          <t>TORSBY</t>
        </is>
      </c>
      <c r="G974" t="n">
        <v>2.5</v>
      </c>
      <c r="H974" t="n">
        <v>0</v>
      </c>
      <c r="I974" t="n">
        <v>0</v>
      </c>
      <c r="J974" t="n">
        <v>0</v>
      </c>
      <c r="K974" t="n">
        <v>0</v>
      </c>
      <c r="L974" t="n">
        <v>0</v>
      </c>
      <c r="M974" t="n">
        <v>0</v>
      </c>
      <c r="N974" t="n">
        <v>0</v>
      </c>
      <c r="O974" t="n">
        <v>0</v>
      </c>
      <c r="P974" t="n">
        <v>0</v>
      </c>
      <c r="Q974" t="n">
        <v>0</v>
      </c>
      <c r="R974" s="2" t="inlineStr"/>
    </row>
    <row r="975" ht="15" customHeight="1">
      <c r="A975" t="inlineStr">
        <is>
          <t>A 45679-2025</t>
        </is>
      </c>
      <c r="B975" s="1" t="n">
        <v>45923.36864583333</v>
      </c>
      <c r="C975" s="1" t="n">
        <v>46076</v>
      </c>
      <c r="D975" t="inlineStr">
        <is>
          <t>VÄRMLANDS LÄN</t>
        </is>
      </c>
      <c r="E975" t="inlineStr">
        <is>
          <t>TORSBY</t>
        </is>
      </c>
      <c r="F975" t="inlineStr">
        <is>
          <t>Bergvik skog väst AB</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45825-2025</t>
        </is>
      </c>
      <c r="B976" s="1" t="n">
        <v>45923.59983796296</v>
      </c>
      <c r="C976" s="1" t="n">
        <v>46076</v>
      </c>
      <c r="D976" t="inlineStr">
        <is>
          <t>VÄRMLANDS LÄN</t>
        </is>
      </c>
      <c r="E976" t="inlineStr">
        <is>
          <t>TORSBY</t>
        </is>
      </c>
      <c r="G976" t="n">
        <v>11.4</v>
      </c>
      <c r="H976" t="n">
        <v>0</v>
      </c>
      <c r="I976" t="n">
        <v>0</v>
      </c>
      <c r="J976" t="n">
        <v>0</v>
      </c>
      <c r="K976" t="n">
        <v>0</v>
      </c>
      <c r="L976" t="n">
        <v>0</v>
      </c>
      <c r="M976" t="n">
        <v>0</v>
      </c>
      <c r="N976" t="n">
        <v>0</v>
      </c>
      <c r="O976" t="n">
        <v>0</v>
      </c>
      <c r="P976" t="n">
        <v>0</v>
      </c>
      <c r="Q976" t="n">
        <v>0</v>
      </c>
      <c r="R976" s="2" t="inlineStr"/>
    </row>
    <row r="977" ht="15" customHeight="1">
      <c r="A977" t="inlineStr">
        <is>
          <t>A 35980-2025</t>
        </is>
      </c>
      <c r="B977" s="1" t="n">
        <v>45863</v>
      </c>
      <c r="C977" s="1" t="n">
        <v>46076</v>
      </c>
      <c r="D977" t="inlineStr">
        <is>
          <t>VÄRMLANDS LÄN</t>
        </is>
      </c>
      <c r="E977" t="inlineStr">
        <is>
          <t>TORSBY</t>
        </is>
      </c>
      <c r="F977" t="inlineStr">
        <is>
          <t>Bergvik skog väst AB</t>
        </is>
      </c>
      <c r="G977" t="n">
        <v>2.7</v>
      </c>
      <c r="H977" t="n">
        <v>0</v>
      </c>
      <c r="I977" t="n">
        <v>0</v>
      </c>
      <c r="J977" t="n">
        <v>0</v>
      </c>
      <c r="K977" t="n">
        <v>0</v>
      </c>
      <c r="L977" t="n">
        <v>0</v>
      </c>
      <c r="M977" t="n">
        <v>0</v>
      </c>
      <c r="N977" t="n">
        <v>0</v>
      </c>
      <c r="O977" t="n">
        <v>0</v>
      </c>
      <c r="P977" t="n">
        <v>0</v>
      </c>
      <c r="Q977" t="n">
        <v>0</v>
      </c>
      <c r="R977" s="2" t="inlineStr"/>
    </row>
    <row r="978" ht="15" customHeight="1">
      <c r="A978" t="inlineStr">
        <is>
          <t>A 52062-2024</t>
        </is>
      </c>
      <c r="B978" s="1" t="n">
        <v>45608</v>
      </c>
      <c r="C978" s="1" t="n">
        <v>46076</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35965-2025</t>
        </is>
      </c>
      <c r="B979" s="1" t="n">
        <v>45863.39790509259</v>
      </c>
      <c r="C979" s="1" t="n">
        <v>46076</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35987-2025</t>
        </is>
      </c>
      <c r="B980" s="1" t="n">
        <v>45863.46144675926</v>
      </c>
      <c r="C980" s="1" t="n">
        <v>46076</v>
      </c>
      <c r="D980" t="inlineStr">
        <is>
          <t>VÄRMLANDS LÄN</t>
        </is>
      </c>
      <c r="E980" t="inlineStr">
        <is>
          <t>TORSBY</t>
        </is>
      </c>
      <c r="G980" t="n">
        <v>5.5</v>
      </c>
      <c r="H980" t="n">
        <v>0</v>
      </c>
      <c r="I980" t="n">
        <v>0</v>
      </c>
      <c r="J980" t="n">
        <v>0</v>
      </c>
      <c r="K980" t="n">
        <v>0</v>
      </c>
      <c r="L980" t="n">
        <v>0</v>
      </c>
      <c r="M980" t="n">
        <v>0</v>
      </c>
      <c r="N980" t="n">
        <v>0</v>
      </c>
      <c r="O980" t="n">
        <v>0</v>
      </c>
      <c r="P980" t="n">
        <v>0</v>
      </c>
      <c r="Q980" t="n">
        <v>0</v>
      </c>
      <c r="R980" s="2" t="inlineStr"/>
    </row>
    <row r="981" ht="15" customHeight="1">
      <c r="A981" t="inlineStr">
        <is>
          <t>A 22464-2021</t>
        </is>
      </c>
      <c r="B981" s="1" t="n">
        <v>44326.67932870371</v>
      </c>
      <c r="C981" s="1" t="n">
        <v>46076</v>
      </c>
      <c r="D981" t="inlineStr">
        <is>
          <t>VÄRMLANDS LÄN</t>
        </is>
      </c>
      <c r="E981" t="inlineStr">
        <is>
          <t>TORSBY</t>
        </is>
      </c>
      <c r="G981" t="n">
        <v>6</v>
      </c>
      <c r="H981" t="n">
        <v>0</v>
      </c>
      <c r="I981" t="n">
        <v>0</v>
      </c>
      <c r="J981" t="n">
        <v>0</v>
      </c>
      <c r="K981" t="n">
        <v>0</v>
      </c>
      <c r="L981" t="n">
        <v>0</v>
      </c>
      <c r="M981" t="n">
        <v>0</v>
      </c>
      <c r="N981" t="n">
        <v>0</v>
      </c>
      <c r="O981" t="n">
        <v>0</v>
      </c>
      <c r="P981" t="n">
        <v>0</v>
      </c>
      <c r="Q981" t="n">
        <v>0</v>
      </c>
      <c r="R981" s="2" t="inlineStr"/>
    </row>
    <row r="982" ht="15" customHeight="1">
      <c r="A982" t="inlineStr">
        <is>
          <t>A 45967-2025</t>
        </is>
      </c>
      <c r="B982" s="1" t="n">
        <v>45924</v>
      </c>
      <c r="C982" s="1" t="n">
        <v>46076</v>
      </c>
      <c r="D982" t="inlineStr">
        <is>
          <t>VÄRMLANDS LÄN</t>
        </is>
      </c>
      <c r="E982" t="inlineStr">
        <is>
          <t>TORSBY</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21585-2024</t>
        </is>
      </c>
      <c r="B983" s="1" t="n">
        <v>45441</v>
      </c>
      <c r="C983" s="1" t="n">
        <v>46076</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7378-2025</t>
        </is>
      </c>
      <c r="B984" s="1" t="n">
        <v>45705</v>
      </c>
      <c r="C984" s="1" t="n">
        <v>46076</v>
      </c>
      <c r="D984" t="inlineStr">
        <is>
          <t>VÄRMLANDS LÄN</t>
        </is>
      </c>
      <c r="E984" t="inlineStr">
        <is>
          <t>TORSBY</t>
        </is>
      </c>
      <c r="G984" t="n">
        <v>3.7</v>
      </c>
      <c r="H984" t="n">
        <v>0</v>
      </c>
      <c r="I984" t="n">
        <v>0</v>
      </c>
      <c r="J984" t="n">
        <v>0</v>
      </c>
      <c r="K984" t="n">
        <v>0</v>
      </c>
      <c r="L984" t="n">
        <v>0</v>
      </c>
      <c r="M984" t="n">
        <v>0</v>
      </c>
      <c r="N984" t="n">
        <v>0</v>
      </c>
      <c r="O984" t="n">
        <v>0</v>
      </c>
      <c r="P984" t="n">
        <v>0</v>
      </c>
      <c r="Q984" t="n">
        <v>0</v>
      </c>
      <c r="R984" s="2" t="inlineStr"/>
    </row>
    <row r="985" ht="15" customHeight="1">
      <c r="A985" t="inlineStr">
        <is>
          <t>A 47694-2022</t>
        </is>
      </c>
      <c r="B985" s="1" t="n">
        <v>44854</v>
      </c>
      <c r="C985" s="1" t="n">
        <v>46076</v>
      </c>
      <c r="D985" t="inlineStr">
        <is>
          <t>VÄRMLANDS LÄN</t>
        </is>
      </c>
      <c r="E985" t="inlineStr">
        <is>
          <t>TORSBY</t>
        </is>
      </c>
      <c r="G985" t="n">
        <v>7.9</v>
      </c>
      <c r="H985" t="n">
        <v>0</v>
      </c>
      <c r="I985" t="n">
        <v>0</v>
      </c>
      <c r="J985" t="n">
        <v>0</v>
      </c>
      <c r="K985" t="n">
        <v>0</v>
      </c>
      <c r="L985" t="n">
        <v>0</v>
      </c>
      <c r="M985" t="n">
        <v>0</v>
      </c>
      <c r="N985" t="n">
        <v>0</v>
      </c>
      <c r="O985" t="n">
        <v>0</v>
      </c>
      <c r="P985" t="n">
        <v>0</v>
      </c>
      <c r="Q985" t="n">
        <v>0</v>
      </c>
      <c r="R985" s="2" t="inlineStr"/>
    </row>
    <row r="986" ht="15" customHeight="1">
      <c r="A986" t="inlineStr">
        <is>
          <t>A 30958-2025</t>
        </is>
      </c>
      <c r="B986" s="1" t="n">
        <v>45832.43880787037</v>
      </c>
      <c r="C986" s="1" t="n">
        <v>46076</v>
      </c>
      <c r="D986" t="inlineStr">
        <is>
          <t>VÄRMLANDS LÄN</t>
        </is>
      </c>
      <c r="E986" t="inlineStr">
        <is>
          <t>TORSBY</t>
        </is>
      </c>
      <c r="G986" t="n">
        <v>28.5</v>
      </c>
      <c r="H986" t="n">
        <v>0</v>
      </c>
      <c r="I986" t="n">
        <v>0</v>
      </c>
      <c r="J986" t="n">
        <v>0</v>
      </c>
      <c r="K986" t="n">
        <v>0</v>
      </c>
      <c r="L986" t="n">
        <v>0</v>
      </c>
      <c r="M986" t="n">
        <v>0</v>
      </c>
      <c r="N986" t="n">
        <v>0</v>
      </c>
      <c r="O986" t="n">
        <v>0</v>
      </c>
      <c r="P986" t="n">
        <v>0</v>
      </c>
      <c r="Q986" t="n">
        <v>0</v>
      </c>
      <c r="R986" s="2" t="inlineStr"/>
    </row>
    <row r="987" ht="15" customHeight="1">
      <c r="A987" t="inlineStr">
        <is>
          <t>A 46503-2025</t>
        </is>
      </c>
      <c r="B987" s="1" t="n">
        <v>45925</v>
      </c>
      <c r="C987" s="1" t="n">
        <v>46076</v>
      </c>
      <c r="D987" t="inlineStr">
        <is>
          <t>VÄRMLANDS LÄN</t>
        </is>
      </c>
      <c r="E987" t="inlineStr">
        <is>
          <t>TORSBY</t>
        </is>
      </c>
      <c r="G987" t="n">
        <v>5.4</v>
      </c>
      <c r="H987" t="n">
        <v>0</v>
      </c>
      <c r="I987" t="n">
        <v>0</v>
      </c>
      <c r="J987" t="n">
        <v>0</v>
      </c>
      <c r="K987" t="n">
        <v>0</v>
      </c>
      <c r="L987" t="n">
        <v>0</v>
      </c>
      <c r="M987" t="n">
        <v>0</v>
      </c>
      <c r="N987" t="n">
        <v>0</v>
      </c>
      <c r="O987" t="n">
        <v>0</v>
      </c>
      <c r="P987" t="n">
        <v>0</v>
      </c>
      <c r="Q987" t="n">
        <v>0</v>
      </c>
      <c r="R987" s="2" t="inlineStr"/>
    </row>
    <row r="988" ht="15" customHeight="1">
      <c r="A988" t="inlineStr">
        <is>
          <t>A 46293-2025</t>
        </is>
      </c>
      <c r="B988" s="1" t="n">
        <v>45925.39297453704</v>
      </c>
      <c r="C988" s="1" t="n">
        <v>46076</v>
      </c>
      <c r="D988" t="inlineStr">
        <is>
          <t>VÄRMLANDS LÄN</t>
        </is>
      </c>
      <c r="E988" t="inlineStr">
        <is>
          <t>TORSBY</t>
        </is>
      </c>
      <c r="G988" t="n">
        <v>24.3</v>
      </c>
      <c r="H988" t="n">
        <v>0</v>
      </c>
      <c r="I988" t="n">
        <v>0</v>
      </c>
      <c r="J988" t="n">
        <v>0</v>
      </c>
      <c r="K988" t="n">
        <v>0</v>
      </c>
      <c r="L988" t="n">
        <v>0</v>
      </c>
      <c r="M988" t="n">
        <v>0</v>
      </c>
      <c r="N988" t="n">
        <v>0</v>
      </c>
      <c r="O988" t="n">
        <v>0</v>
      </c>
      <c r="P988" t="n">
        <v>0</v>
      </c>
      <c r="Q988" t="n">
        <v>0</v>
      </c>
      <c r="R988" s="2" t="inlineStr"/>
    </row>
    <row r="989" ht="15" customHeight="1">
      <c r="A989" t="inlineStr">
        <is>
          <t>A 45966-2025</t>
        </is>
      </c>
      <c r="B989" s="1" t="n">
        <v>45924</v>
      </c>
      <c r="C989" s="1" t="n">
        <v>46076</v>
      </c>
      <c r="D989" t="inlineStr">
        <is>
          <t>VÄRMLANDS LÄN</t>
        </is>
      </c>
      <c r="E989" t="inlineStr">
        <is>
          <t>TORSBY</t>
        </is>
      </c>
      <c r="F989" t="inlineStr">
        <is>
          <t>Övriga Aktiebolag</t>
        </is>
      </c>
      <c r="G989" t="n">
        <v>1.5</v>
      </c>
      <c r="H989" t="n">
        <v>0</v>
      </c>
      <c r="I989" t="n">
        <v>0</v>
      </c>
      <c r="J989" t="n">
        <v>0</v>
      </c>
      <c r="K989" t="n">
        <v>0</v>
      </c>
      <c r="L989" t="n">
        <v>0</v>
      </c>
      <c r="M989" t="n">
        <v>0</v>
      </c>
      <c r="N989" t="n">
        <v>0</v>
      </c>
      <c r="O989" t="n">
        <v>0</v>
      </c>
      <c r="P989" t="n">
        <v>0</v>
      </c>
      <c r="Q989" t="n">
        <v>0</v>
      </c>
      <c r="R989" s="2" t="inlineStr"/>
    </row>
    <row r="990" ht="15" customHeight="1">
      <c r="A990" t="inlineStr">
        <is>
          <t>A 36287-2025</t>
        </is>
      </c>
      <c r="B990" s="1" t="n">
        <v>45867.65814814815</v>
      </c>
      <c r="C990" s="1" t="n">
        <v>46076</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30836-2025</t>
        </is>
      </c>
      <c r="B991" s="1" t="n">
        <v>45831.70571759259</v>
      </c>
      <c r="C991" s="1" t="n">
        <v>46076</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1432-2025</t>
        </is>
      </c>
      <c r="B992" s="1" t="n">
        <v>45669</v>
      </c>
      <c r="C992" s="1" t="n">
        <v>46076</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1435-2025</t>
        </is>
      </c>
      <c r="B993" s="1" t="n">
        <v>45669</v>
      </c>
      <c r="C993" s="1" t="n">
        <v>46076</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22687-2023</t>
        </is>
      </c>
      <c r="B994" s="1" t="n">
        <v>45071</v>
      </c>
      <c r="C994" s="1" t="n">
        <v>46076</v>
      </c>
      <c r="D994" t="inlineStr">
        <is>
          <t>VÄRMLANDS LÄN</t>
        </is>
      </c>
      <c r="E994" t="inlineStr">
        <is>
          <t>TORSBY</t>
        </is>
      </c>
      <c r="F994" t="inlineStr">
        <is>
          <t>Bergvik skog väst AB</t>
        </is>
      </c>
      <c r="G994" t="n">
        <v>5.8</v>
      </c>
      <c r="H994" t="n">
        <v>0</v>
      </c>
      <c r="I994" t="n">
        <v>0</v>
      </c>
      <c r="J994" t="n">
        <v>0</v>
      </c>
      <c r="K994" t="n">
        <v>0</v>
      </c>
      <c r="L994" t="n">
        <v>0</v>
      </c>
      <c r="M994" t="n">
        <v>0</v>
      </c>
      <c r="N994" t="n">
        <v>0</v>
      </c>
      <c r="O994" t="n">
        <v>0</v>
      </c>
      <c r="P994" t="n">
        <v>0</v>
      </c>
      <c r="Q994" t="n">
        <v>0</v>
      </c>
      <c r="R994" s="2" t="inlineStr"/>
    </row>
    <row r="995" ht="15" customHeight="1">
      <c r="A995" t="inlineStr">
        <is>
          <t>A 32624-2025</t>
        </is>
      </c>
      <c r="B995" s="1" t="n">
        <v>45838.64796296296</v>
      </c>
      <c r="C995" s="1" t="n">
        <v>46076</v>
      </c>
      <c r="D995" t="inlineStr">
        <is>
          <t>VÄRMLANDS LÄN</t>
        </is>
      </c>
      <c r="E995" t="inlineStr">
        <is>
          <t>TORSBY</t>
        </is>
      </c>
      <c r="G995" t="n">
        <v>4.9</v>
      </c>
      <c r="H995" t="n">
        <v>0</v>
      </c>
      <c r="I995" t="n">
        <v>0</v>
      </c>
      <c r="J995" t="n">
        <v>0</v>
      </c>
      <c r="K995" t="n">
        <v>0</v>
      </c>
      <c r="L995" t="n">
        <v>0</v>
      </c>
      <c r="M995" t="n">
        <v>0</v>
      </c>
      <c r="N995" t="n">
        <v>0</v>
      </c>
      <c r="O995" t="n">
        <v>0</v>
      </c>
      <c r="P995" t="n">
        <v>0</v>
      </c>
      <c r="Q995" t="n">
        <v>0</v>
      </c>
      <c r="R995" s="2" t="inlineStr"/>
    </row>
    <row r="996" ht="15" customHeight="1">
      <c r="A996" t="inlineStr">
        <is>
          <t>A 46334-2025</t>
        </is>
      </c>
      <c r="B996" s="1" t="n">
        <v>45925.45925925926</v>
      </c>
      <c r="C996" s="1" t="n">
        <v>46076</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46493-2025</t>
        </is>
      </c>
      <c r="B997" s="1" t="n">
        <v>45925</v>
      </c>
      <c r="C997" s="1" t="n">
        <v>46076</v>
      </c>
      <c r="D997" t="inlineStr">
        <is>
          <t>VÄRMLANDS LÄN</t>
        </is>
      </c>
      <c r="E997" t="inlineStr">
        <is>
          <t>TORSBY</t>
        </is>
      </c>
      <c r="G997" t="n">
        <v>0.3</v>
      </c>
      <c r="H997" t="n">
        <v>0</v>
      </c>
      <c r="I997" t="n">
        <v>0</v>
      </c>
      <c r="J997" t="n">
        <v>0</v>
      </c>
      <c r="K997" t="n">
        <v>0</v>
      </c>
      <c r="L997" t="n">
        <v>0</v>
      </c>
      <c r="M997" t="n">
        <v>0</v>
      </c>
      <c r="N997" t="n">
        <v>0</v>
      </c>
      <c r="O997" t="n">
        <v>0</v>
      </c>
      <c r="P997" t="n">
        <v>0</v>
      </c>
      <c r="Q997" t="n">
        <v>0</v>
      </c>
      <c r="R997" s="2" t="inlineStr"/>
    </row>
    <row r="998" ht="15" customHeight="1">
      <c r="A998" t="inlineStr">
        <is>
          <t>A 375-2025</t>
        </is>
      </c>
      <c r="B998" s="1" t="n">
        <v>45661</v>
      </c>
      <c r="C998" s="1" t="n">
        <v>46076</v>
      </c>
      <c r="D998" t="inlineStr">
        <is>
          <t>VÄRMLANDS LÄN</t>
        </is>
      </c>
      <c r="E998" t="inlineStr">
        <is>
          <t>TORSBY</t>
        </is>
      </c>
      <c r="G998" t="n">
        <v>5.5</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46076</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36258-2025</t>
        </is>
      </c>
      <c r="B1000" s="1" t="n">
        <v>45867.59559027778</v>
      </c>
      <c r="C1000" s="1" t="n">
        <v>46076</v>
      </c>
      <c r="D1000" t="inlineStr">
        <is>
          <t>VÄRMLANDS LÄN</t>
        </is>
      </c>
      <c r="E1000" t="inlineStr">
        <is>
          <t>TORSBY</t>
        </is>
      </c>
      <c r="F1000" t="inlineStr">
        <is>
          <t>Bergvik skog väst AB</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53652-2023</t>
        </is>
      </c>
      <c r="B1001" s="1" t="n">
        <v>45224</v>
      </c>
      <c r="C1001" s="1" t="n">
        <v>46076</v>
      </c>
      <c r="D1001" t="inlineStr">
        <is>
          <t>VÄRMLANDS LÄN</t>
        </is>
      </c>
      <c r="E1001" t="inlineStr">
        <is>
          <t>TORSBY</t>
        </is>
      </c>
      <c r="F1001" t="inlineStr">
        <is>
          <t>Övriga statliga verk och myndigheter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36288-2025</t>
        </is>
      </c>
      <c r="B1002" s="1" t="n">
        <v>45867.6619212963</v>
      </c>
      <c r="C1002" s="1" t="n">
        <v>46076</v>
      </c>
      <c r="D1002" t="inlineStr">
        <is>
          <t>VÄRMLANDS LÄN</t>
        </is>
      </c>
      <c r="E1002" t="inlineStr">
        <is>
          <t>TORSBY</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36289-2025</t>
        </is>
      </c>
      <c r="B1003" s="1" t="n">
        <v>45867.66329861111</v>
      </c>
      <c r="C1003" s="1" t="n">
        <v>46076</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36279-2025</t>
        </is>
      </c>
      <c r="B1004" s="1" t="n">
        <v>45867.638125</v>
      </c>
      <c r="C1004" s="1" t="n">
        <v>46076</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43599-2023</t>
        </is>
      </c>
      <c r="B1005" s="1" t="n">
        <v>45184</v>
      </c>
      <c r="C1005" s="1" t="n">
        <v>46076</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38076-2024</t>
        </is>
      </c>
      <c r="B1006" s="1" t="n">
        <v>45544</v>
      </c>
      <c r="C1006" s="1" t="n">
        <v>46076</v>
      </c>
      <c r="D1006" t="inlineStr">
        <is>
          <t>VÄRMLANDS LÄN</t>
        </is>
      </c>
      <c r="E1006" t="inlineStr">
        <is>
          <t>TORSBY</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20191-2025</t>
        </is>
      </c>
      <c r="B1007" s="1" t="n">
        <v>45772</v>
      </c>
      <c r="C1007" s="1" t="n">
        <v>46076</v>
      </c>
      <c r="D1007" t="inlineStr">
        <is>
          <t>VÄRMLANDS LÄN</t>
        </is>
      </c>
      <c r="E1007" t="inlineStr">
        <is>
          <t>TORSBY</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44325-2024</t>
        </is>
      </c>
      <c r="B1008" s="1" t="n">
        <v>45573</v>
      </c>
      <c r="C1008" s="1" t="n">
        <v>46076</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25961-2025</t>
        </is>
      </c>
      <c r="B1009" s="1" t="n">
        <v>45804</v>
      </c>
      <c r="C1009" s="1" t="n">
        <v>46076</v>
      </c>
      <c r="D1009" t="inlineStr">
        <is>
          <t>VÄRMLANDS LÄN</t>
        </is>
      </c>
      <c r="E1009" t="inlineStr">
        <is>
          <t>TORSBY</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9056-2023</t>
        </is>
      </c>
      <c r="B1010" s="1" t="n">
        <v>44979</v>
      </c>
      <c r="C1010" s="1" t="n">
        <v>46076</v>
      </c>
      <c r="D1010" t="inlineStr">
        <is>
          <t>VÄRMLANDS LÄN</t>
        </is>
      </c>
      <c r="E1010" t="inlineStr">
        <is>
          <t>TORSBY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46326-2025</t>
        </is>
      </c>
      <c r="B1011" s="1" t="n">
        <v>45925.45237268518</v>
      </c>
      <c r="C1011" s="1" t="n">
        <v>46076</v>
      </c>
      <c r="D1011" t="inlineStr">
        <is>
          <t>VÄRMLANDS LÄN</t>
        </is>
      </c>
      <c r="E1011" t="inlineStr">
        <is>
          <t>TORSBY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36477-2025</t>
        </is>
      </c>
      <c r="B1012" s="1" t="n">
        <v>45869</v>
      </c>
      <c r="C1012" s="1" t="n">
        <v>46076</v>
      </c>
      <c r="D1012" t="inlineStr">
        <is>
          <t>VÄRMLANDS LÄN</t>
        </is>
      </c>
      <c r="E1012" t="inlineStr">
        <is>
          <t>TORSBY</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46243-2025</t>
        </is>
      </c>
      <c r="B1013" s="1" t="n">
        <v>45925.32122685185</v>
      </c>
      <c r="C1013" s="1" t="n">
        <v>46076</v>
      </c>
      <c r="D1013" t="inlineStr">
        <is>
          <t>VÄRMLANDS LÄN</t>
        </is>
      </c>
      <c r="E1013" t="inlineStr">
        <is>
          <t>TORSBY</t>
        </is>
      </c>
      <c r="F1013" t="inlineStr">
        <is>
          <t>Bergvik skog väst AB</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46076</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36548-2025</t>
        </is>
      </c>
      <c r="B1015" s="1" t="n">
        <v>45869.74849537037</v>
      </c>
      <c r="C1015" s="1" t="n">
        <v>46076</v>
      </c>
      <c r="D1015" t="inlineStr">
        <is>
          <t>VÄRMLANDS LÄN</t>
        </is>
      </c>
      <c r="E1015" t="inlineStr">
        <is>
          <t>TORSBY</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46102-2025</t>
        </is>
      </c>
      <c r="B1016" s="1" t="n">
        <v>45924</v>
      </c>
      <c r="C1016" s="1" t="n">
        <v>46076</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46110-2025</t>
        </is>
      </c>
      <c r="B1017" s="1" t="n">
        <v>45924</v>
      </c>
      <c r="C1017" s="1" t="n">
        <v>46076</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38699-2022</t>
        </is>
      </c>
      <c r="B1018" s="1" t="n">
        <v>44814.53259259259</v>
      </c>
      <c r="C1018" s="1" t="n">
        <v>46076</v>
      </c>
      <c r="D1018" t="inlineStr">
        <is>
          <t>VÄRMLANDS LÄN</t>
        </is>
      </c>
      <c r="E1018" t="inlineStr">
        <is>
          <t>TORSBY</t>
        </is>
      </c>
      <c r="F1018" t="inlineStr">
        <is>
          <t>Bergvik skog väst AB</t>
        </is>
      </c>
      <c r="G1018" t="n">
        <v>22.6</v>
      </c>
      <c r="H1018" t="n">
        <v>0</v>
      </c>
      <c r="I1018" t="n">
        <v>0</v>
      </c>
      <c r="J1018" t="n">
        <v>0</v>
      </c>
      <c r="K1018" t="n">
        <v>0</v>
      </c>
      <c r="L1018" t="n">
        <v>0</v>
      </c>
      <c r="M1018" t="n">
        <v>0</v>
      </c>
      <c r="N1018" t="n">
        <v>0</v>
      </c>
      <c r="O1018" t="n">
        <v>0</v>
      </c>
      <c r="P1018" t="n">
        <v>0</v>
      </c>
      <c r="Q1018" t="n">
        <v>0</v>
      </c>
      <c r="R1018" s="2" t="inlineStr"/>
    </row>
    <row r="1019" ht="15" customHeight="1">
      <c r="A1019" t="inlineStr">
        <is>
          <t>A 36483-2025</t>
        </is>
      </c>
      <c r="B1019" s="1" t="n">
        <v>45869</v>
      </c>
      <c r="C1019" s="1" t="n">
        <v>46076</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36530-2025</t>
        </is>
      </c>
      <c r="B1020" s="1" t="n">
        <v>45869.61282407407</v>
      </c>
      <c r="C1020" s="1" t="n">
        <v>46076</v>
      </c>
      <c r="D1020" t="inlineStr">
        <is>
          <t>VÄRMLANDS LÄN</t>
        </is>
      </c>
      <c r="E1020" t="inlineStr">
        <is>
          <t>TORSBY</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46076</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11670-2025</t>
        </is>
      </c>
      <c r="B1022" s="1" t="n">
        <v>45727</v>
      </c>
      <c r="C1022" s="1" t="n">
        <v>46076</v>
      </c>
      <c r="D1022" t="inlineStr">
        <is>
          <t>VÄRMLANDS LÄN</t>
        </is>
      </c>
      <c r="E1022" t="inlineStr">
        <is>
          <t>TORSBY</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46865-2025</t>
        </is>
      </c>
      <c r="B1023" s="1" t="n">
        <v>45929</v>
      </c>
      <c r="C1023" s="1" t="n">
        <v>46076</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46695-2025</t>
        </is>
      </c>
      <c r="B1024" s="1" t="n">
        <v>45926</v>
      </c>
      <c r="C1024" s="1" t="n">
        <v>46076</v>
      </c>
      <c r="D1024" t="inlineStr">
        <is>
          <t>VÄRMLANDS LÄN</t>
        </is>
      </c>
      <c r="E1024" t="inlineStr">
        <is>
          <t>TORSBY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46658-2025</t>
        </is>
      </c>
      <c r="B1025" s="1" t="n">
        <v>45926.49914351852</v>
      </c>
      <c r="C1025" s="1" t="n">
        <v>46076</v>
      </c>
      <c r="D1025" t="inlineStr">
        <is>
          <t>VÄRMLANDS LÄN</t>
        </is>
      </c>
      <c r="E1025" t="inlineStr">
        <is>
          <t>TORSBY</t>
        </is>
      </c>
      <c r="F1025" t="inlineStr">
        <is>
          <t>Bergvik skog väst AB</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46578-2025</t>
        </is>
      </c>
      <c r="B1026" s="1" t="n">
        <v>45926.37353009259</v>
      </c>
      <c r="C1026" s="1" t="n">
        <v>46076</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20298-2023</t>
        </is>
      </c>
      <c r="B1027" s="1" t="n">
        <v>45056</v>
      </c>
      <c r="C1027" s="1" t="n">
        <v>46076</v>
      </c>
      <c r="D1027" t="inlineStr">
        <is>
          <t>VÄRMLANDS LÄN</t>
        </is>
      </c>
      <c r="E1027" t="inlineStr">
        <is>
          <t>TORSBY</t>
        </is>
      </c>
      <c r="F1027" t="inlineStr">
        <is>
          <t>Kyrkan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47047-2025</t>
        </is>
      </c>
      <c r="B1028" s="1" t="n">
        <v>45929</v>
      </c>
      <c r="C1028" s="1" t="n">
        <v>46076</v>
      </c>
      <c r="D1028" t="inlineStr">
        <is>
          <t>VÄRMLANDS LÄN</t>
        </is>
      </c>
      <c r="E1028" t="inlineStr">
        <is>
          <t>TORSBY</t>
        </is>
      </c>
      <c r="F1028" t="inlineStr">
        <is>
          <t>Kyrkan</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46702-2025</t>
        </is>
      </c>
      <c r="B1029" s="1" t="n">
        <v>45926</v>
      </c>
      <c r="C1029" s="1" t="n">
        <v>46076</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60525-2023</t>
        </is>
      </c>
      <c r="B1030" s="1" t="n">
        <v>45259</v>
      </c>
      <c r="C1030" s="1" t="n">
        <v>46076</v>
      </c>
      <c r="D1030" t="inlineStr">
        <is>
          <t>VÄRMLANDS LÄN</t>
        </is>
      </c>
      <c r="E1030" t="inlineStr">
        <is>
          <t>TORSBY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1512-2025</t>
        </is>
      </c>
      <c r="B1031" s="1" t="n">
        <v>45670.45255787037</v>
      </c>
      <c r="C1031" s="1" t="n">
        <v>46076</v>
      </c>
      <c r="D1031" t="inlineStr">
        <is>
          <t>VÄRMLANDS LÄN</t>
        </is>
      </c>
      <c r="E1031" t="inlineStr">
        <is>
          <t>TORSBY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55428-2022</t>
        </is>
      </c>
      <c r="B1032" s="1" t="n">
        <v>44887.60894675926</v>
      </c>
      <c r="C1032" s="1" t="n">
        <v>46076</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43037-2024</t>
        </is>
      </c>
      <c r="B1033" s="1" t="n">
        <v>45567</v>
      </c>
      <c r="C1033" s="1" t="n">
        <v>46076</v>
      </c>
      <c r="D1033" t="inlineStr">
        <is>
          <t>VÄRMLANDS LÄN</t>
        </is>
      </c>
      <c r="E1033" t="inlineStr">
        <is>
          <t>TORSBY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46550-2025</t>
        </is>
      </c>
      <c r="B1034" s="1" t="n">
        <v>45926</v>
      </c>
      <c r="C1034" s="1" t="n">
        <v>46076</v>
      </c>
      <c r="D1034" t="inlineStr">
        <is>
          <t>VÄRMLANDS LÄN</t>
        </is>
      </c>
      <c r="E1034" t="inlineStr">
        <is>
          <t>TORSBY</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23572-2023</t>
        </is>
      </c>
      <c r="B1035" s="1" t="n">
        <v>45077</v>
      </c>
      <c r="C1035" s="1" t="n">
        <v>46076</v>
      </c>
      <c r="D1035" t="inlineStr">
        <is>
          <t>VÄRMLANDS LÄN</t>
        </is>
      </c>
      <c r="E1035" t="inlineStr">
        <is>
          <t>TORSBY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53499-2023</t>
        </is>
      </c>
      <c r="B1036" s="1" t="n">
        <v>45223</v>
      </c>
      <c r="C1036" s="1" t="n">
        <v>46076</v>
      </c>
      <c r="D1036" t="inlineStr">
        <is>
          <t>VÄRMLANDS LÄN</t>
        </is>
      </c>
      <c r="E1036" t="inlineStr">
        <is>
          <t>TORSBY</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54528-2023</t>
        </is>
      </c>
      <c r="B1037" s="1" t="n">
        <v>45233.59122685185</v>
      </c>
      <c r="C1037" s="1" t="n">
        <v>46076</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52239-2024</t>
        </is>
      </c>
      <c r="B1038" s="1" t="n">
        <v>45608.61837962963</v>
      </c>
      <c r="C1038" s="1" t="n">
        <v>46076</v>
      </c>
      <c r="D1038" t="inlineStr">
        <is>
          <t>VÄRMLANDS LÄN</t>
        </is>
      </c>
      <c r="E1038" t="inlineStr">
        <is>
          <t>TORSBY</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46424-2023</t>
        </is>
      </c>
      <c r="B1039" s="1" t="n">
        <v>45197.56141203704</v>
      </c>
      <c r="C1039" s="1" t="n">
        <v>46076</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47049-2025</t>
        </is>
      </c>
      <c r="B1040" s="1" t="n">
        <v>45929.6130324074</v>
      </c>
      <c r="C1040" s="1" t="n">
        <v>46076</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8025-2025</t>
        </is>
      </c>
      <c r="B1041" s="1" t="n">
        <v>45707</v>
      </c>
      <c r="C1041" s="1" t="n">
        <v>46076</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47545-2025</t>
        </is>
      </c>
      <c r="B1042" s="1" t="n">
        <v>45931</v>
      </c>
      <c r="C1042" s="1" t="n">
        <v>46076</v>
      </c>
      <c r="D1042" t="inlineStr">
        <is>
          <t>VÄRMLANDS LÄN</t>
        </is>
      </c>
      <c r="E1042" t="inlineStr">
        <is>
          <t>TORSBY</t>
        </is>
      </c>
      <c r="F1042" t="inlineStr">
        <is>
          <t>Bergvik skog väst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47624-2025</t>
        </is>
      </c>
      <c r="B1043" s="1" t="n">
        <v>45931.48381944445</v>
      </c>
      <c r="C1043" s="1" t="n">
        <v>46076</v>
      </c>
      <c r="D1043" t="inlineStr">
        <is>
          <t>VÄRMLANDS LÄN</t>
        </is>
      </c>
      <c r="E1043" t="inlineStr">
        <is>
          <t>TORSBY</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36498-2025</t>
        </is>
      </c>
      <c r="B1044" s="1" t="n">
        <v>45869</v>
      </c>
      <c r="C1044" s="1" t="n">
        <v>46076</v>
      </c>
      <c r="D1044" t="inlineStr">
        <is>
          <t>VÄRMLANDS LÄN</t>
        </is>
      </c>
      <c r="E1044" t="inlineStr">
        <is>
          <t>TORSBY</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36500-2025</t>
        </is>
      </c>
      <c r="B1045" s="1" t="n">
        <v>45869</v>
      </c>
      <c r="C1045" s="1" t="n">
        <v>46076</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47621-2025</t>
        </is>
      </c>
      <c r="B1046" s="1" t="n">
        <v>45931.48322916667</v>
      </c>
      <c r="C1046" s="1" t="n">
        <v>46076</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34667-2022</t>
        </is>
      </c>
      <c r="B1047" s="1" t="n">
        <v>44795</v>
      </c>
      <c r="C1047" s="1" t="n">
        <v>46076</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46076</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22030-2023</t>
        </is>
      </c>
      <c r="B1049" s="1" t="n">
        <v>45069</v>
      </c>
      <c r="C1049" s="1" t="n">
        <v>46076</v>
      </c>
      <c r="D1049" t="inlineStr">
        <is>
          <t>VÄRMLANDS LÄN</t>
        </is>
      </c>
      <c r="E1049" t="inlineStr">
        <is>
          <t>TORSBY</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60385-2024</t>
        </is>
      </c>
      <c r="B1050" s="1" t="n">
        <v>45643</v>
      </c>
      <c r="C1050" s="1" t="n">
        <v>46076</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47494-2025</t>
        </is>
      </c>
      <c r="B1051" s="1" t="n">
        <v>45930.78428240741</v>
      </c>
      <c r="C1051" s="1" t="n">
        <v>46076</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47495-2025</t>
        </is>
      </c>
      <c r="B1052" s="1" t="n">
        <v>45930.79185185185</v>
      </c>
      <c r="C1052" s="1" t="n">
        <v>46076</v>
      </c>
      <c r="D1052" t="inlineStr">
        <is>
          <t>VÄRMLANDS LÄN</t>
        </is>
      </c>
      <c r="E1052" t="inlineStr">
        <is>
          <t>TORSBY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34256-2024</t>
        </is>
      </c>
      <c r="B1053" s="1" t="n">
        <v>45524.59434027778</v>
      </c>
      <c r="C1053" s="1" t="n">
        <v>46076</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30531-2023</t>
        </is>
      </c>
      <c r="B1054" s="1" t="n">
        <v>45111.68223379629</v>
      </c>
      <c r="C1054" s="1" t="n">
        <v>46076</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36920-2025</t>
        </is>
      </c>
      <c r="B1055" s="1" t="n">
        <v>45874</v>
      </c>
      <c r="C1055" s="1" t="n">
        <v>46076</v>
      </c>
      <c r="D1055" t="inlineStr">
        <is>
          <t>VÄRMLANDS LÄN</t>
        </is>
      </c>
      <c r="E1055" t="inlineStr">
        <is>
          <t>TORSBY</t>
        </is>
      </c>
      <c r="F1055" t="inlineStr">
        <is>
          <t>Bergvik skog väst AB</t>
        </is>
      </c>
      <c r="G1055" t="n">
        <v>15.9</v>
      </c>
      <c r="H1055" t="n">
        <v>0</v>
      </c>
      <c r="I1055" t="n">
        <v>0</v>
      </c>
      <c r="J1055" t="n">
        <v>0</v>
      </c>
      <c r="K1055" t="n">
        <v>0</v>
      </c>
      <c r="L1055" t="n">
        <v>0</v>
      </c>
      <c r="M1055" t="n">
        <v>0</v>
      </c>
      <c r="N1055" t="n">
        <v>0</v>
      </c>
      <c r="O1055" t="n">
        <v>0</v>
      </c>
      <c r="P1055" t="n">
        <v>0</v>
      </c>
      <c r="Q1055" t="n">
        <v>0</v>
      </c>
      <c r="R1055" s="2" t="inlineStr"/>
    </row>
    <row r="1056" ht="15" customHeight="1">
      <c r="A1056" t="inlineStr">
        <is>
          <t>A 47736-2025</t>
        </is>
      </c>
      <c r="B1056" s="1" t="n">
        <v>45931.63822916667</v>
      </c>
      <c r="C1056" s="1" t="n">
        <v>46076</v>
      </c>
      <c r="D1056" t="inlineStr">
        <is>
          <t>VÄRMLANDS LÄN</t>
        </is>
      </c>
      <c r="E1056" t="inlineStr">
        <is>
          <t>TORSBY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36856-2025</t>
        </is>
      </c>
      <c r="B1057" s="1" t="n">
        <v>45874.40421296296</v>
      </c>
      <c r="C1057" s="1" t="n">
        <v>46076</v>
      </c>
      <c r="D1057" t="inlineStr">
        <is>
          <t>VÄRMLANDS LÄN</t>
        </is>
      </c>
      <c r="E1057" t="inlineStr">
        <is>
          <t>TORSBY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46076</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39390-2023</t>
        </is>
      </c>
      <c r="B1059" s="1" t="n">
        <v>45166.65104166666</v>
      </c>
      <c r="C1059" s="1" t="n">
        <v>46076</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48375-2025</t>
        </is>
      </c>
      <c r="B1060" s="1" t="n">
        <v>45933.71201388889</v>
      </c>
      <c r="C1060" s="1" t="n">
        <v>46076</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37260-2025</t>
        </is>
      </c>
      <c r="B1061" s="1" t="n">
        <v>45876</v>
      </c>
      <c r="C1061" s="1" t="n">
        <v>46076</v>
      </c>
      <c r="D1061" t="inlineStr">
        <is>
          <t>VÄRMLANDS LÄN</t>
        </is>
      </c>
      <c r="E1061" t="inlineStr">
        <is>
          <t>TORSBY</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15126-2024</t>
        </is>
      </c>
      <c r="B1062" s="1" t="n">
        <v>45399</v>
      </c>
      <c r="C1062" s="1" t="n">
        <v>46076</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15127-2024</t>
        </is>
      </c>
      <c r="B1063" s="1" t="n">
        <v>45399.76815972223</v>
      </c>
      <c r="C1063" s="1" t="n">
        <v>46076</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48202-2025</t>
        </is>
      </c>
      <c r="B1064" s="1" t="n">
        <v>45933.48121527778</v>
      </c>
      <c r="C1064" s="1" t="n">
        <v>46076</v>
      </c>
      <c r="D1064" t="inlineStr">
        <is>
          <t>VÄRMLANDS LÄN</t>
        </is>
      </c>
      <c r="E1064" t="inlineStr">
        <is>
          <t>TORSBY</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20898-2023</t>
        </is>
      </c>
      <c r="B1065" s="1" t="n">
        <v>45059</v>
      </c>
      <c r="C1065" s="1" t="n">
        <v>46076</v>
      </c>
      <c r="D1065" t="inlineStr">
        <is>
          <t>VÄRMLANDS LÄN</t>
        </is>
      </c>
      <c r="E1065" t="inlineStr">
        <is>
          <t>TORSBY</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60314-2023</t>
        </is>
      </c>
      <c r="B1066" s="1" t="n">
        <v>45258.87101851852</v>
      </c>
      <c r="C1066" s="1" t="n">
        <v>46076</v>
      </c>
      <c r="D1066" t="inlineStr">
        <is>
          <t>VÄRMLANDS LÄN</t>
        </is>
      </c>
      <c r="E1066" t="inlineStr">
        <is>
          <t>TORSBY</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41270-2023</t>
        </is>
      </c>
      <c r="B1067" s="1" t="n">
        <v>45174.54952546296</v>
      </c>
      <c r="C1067" s="1" t="n">
        <v>46076</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32932-2024</t>
        </is>
      </c>
      <c r="B1068" s="1" t="n">
        <v>45517.31537037037</v>
      </c>
      <c r="C1068" s="1" t="n">
        <v>46076</v>
      </c>
      <c r="D1068" t="inlineStr">
        <is>
          <t>VÄRMLANDS LÄN</t>
        </is>
      </c>
      <c r="E1068" t="inlineStr">
        <is>
          <t>TORSBY</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50852-2023</t>
        </is>
      </c>
      <c r="B1069" s="1" t="n">
        <v>45218.29837962963</v>
      </c>
      <c r="C1069" s="1" t="n">
        <v>46076</v>
      </c>
      <c r="D1069" t="inlineStr">
        <is>
          <t>VÄRMLANDS LÄN</t>
        </is>
      </c>
      <c r="E1069" t="inlineStr">
        <is>
          <t>TORSBY</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27677-2024</t>
        </is>
      </c>
      <c r="B1070" s="1" t="n">
        <v>45475</v>
      </c>
      <c r="C1070" s="1" t="n">
        <v>46076</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27678-2024</t>
        </is>
      </c>
      <c r="B1071" s="1" t="n">
        <v>45475</v>
      </c>
      <c r="C1071" s="1" t="n">
        <v>46076</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26042-2024</t>
        </is>
      </c>
      <c r="B1072" s="1" t="n">
        <v>45468.29846064815</v>
      </c>
      <c r="C1072" s="1" t="n">
        <v>46076</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15464-2025</t>
        </is>
      </c>
      <c r="B1073" s="1" t="n">
        <v>45747</v>
      </c>
      <c r="C1073" s="1" t="n">
        <v>46076</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52580-2023</t>
        </is>
      </c>
      <c r="B1074" s="1" t="n">
        <v>45225.59354166667</v>
      </c>
      <c r="C1074" s="1" t="n">
        <v>46076</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52591-2023</t>
        </is>
      </c>
      <c r="B1075" s="1" t="n">
        <v>45225</v>
      </c>
      <c r="C1075" s="1" t="n">
        <v>46076</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52982-2023</t>
        </is>
      </c>
      <c r="B1076" s="1" t="n">
        <v>45226.61299768519</v>
      </c>
      <c r="C1076" s="1" t="n">
        <v>46076</v>
      </c>
      <c r="D1076" t="inlineStr">
        <is>
          <t>VÄRMLANDS LÄN</t>
        </is>
      </c>
      <c r="E1076" t="inlineStr">
        <is>
          <t>TORSBY</t>
        </is>
      </c>
      <c r="G1076" t="n">
        <v>35.5</v>
      </c>
      <c r="H1076" t="n">
        <v>0</v>
      </c>
      <c r="I1076" t="n">
        <v>0</v>
      </c>
      <c r="J1076" t="n">
        <v>0</v>
      </c>
      <c r="K1076" t="n">
        <v>0</v>
      </c>
      <c r="L1076" t="n">
        <v>0</v>
      </c>
      <c r="M1076" t="n">
        <v>0</v>
      </c>
      <c r="N1076" t="n">
        <v>0</v>
      </c>
      <c r="O1076" t="n">
        <v>0</v>
      </c>
      <c r="P1076" t="n">
        <v>0</v>
      </c>
      <c r="Q1076" t="n">
        <v>0</v>
      </c>
      <c r="R1076" s="2" t="inlineStr"/>
    </row>
    <row r="1077" ht="15" customHeight="1">
      <c r="A1077" t="inlineStr">
        <is>
          <t>A 58976-2024</t>
        </is>
      </c>
      <c r="B1077" s="1" t="n">
        <v>45636.6081712963</v>
      </c>
      <c r="C1077" s="1" t="n">
        <v>46076</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59613-2024</t>
        </is>
      </c>
      <c r="B1078" s="1" t="n">
        <v>45638</v>
      </c>
      <c r="C1078" s="1" t="n">
        <v>46076</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20872-2024</t>
        </is>
      </c>
      <c r="B1079" s="1" t="n">
        <v>45439.44173611111</v>
      </c>
      <c r="C1079" s="1" t="n">
        <v>46076</v>
      </c>
      <c r="D1079" t="inlineStr">
        <is>
          <t>VÄRMLANDS LÄN</t>
        </is>
      </c>
      <c r="E1079" t="inlineStr">
        <is>
          <t>TORSBY</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8054-2022</t>
        </is>
      </c>
      <c r="B1080" s="1" t="n">
        <v>44609</v>
      </c>
      <c r="C1080" s="1" t="n">
        <v>46076</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48721-2024</t>
        </is>
      </c>
      <c r="B1081" s="1" t="n">
        <v>45593.54752314815</v>
      </c>
      <c r="C1081" s="1" t="n">
        <v>46076</v>
      </c>
      <c r="D1081" t="inlineStr">
        <is>
          <t>VÄRMLANDS LÄN</t>
        </is>
      </c>
      <c r="E1081" t="inlineStr">
        <is>
          <t>TORSBY</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54033-2021</t>
        </is>
      </c>
      <c r="B1082" s="1" t="n">
        <v>44470.38454861111</v>
      </c>
      <c r="C1082" s="1" t="n">
        <v>46076</v>
      </c>
      <c r="D1082" t="inlineStr">
        <is>
          <t>VÄRMLANDS LÄN</t>
        </is>
      </c>
      <c r="E1082" t="inlineStr">
        <is>
          <t>TORSBY</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58062-2021</t>
        </is>
      </c>
      <c r="B1083" s="1" t="n">
        <v>44487</v>
      </c>
      <c r="C1083" s="1" t="n">
        <v>46076</v>
      </c>
      <c r="D1083" t="inlineStr">
        <is>
          <t>VÄRMLANDS LÄN</t>
        </is>
      </c>
      <c r="E1083" t="inlineStr">
        <is>
          <t>TORSBY</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59941-2023</t>
        </is>
      </c>
      <c r="B1084" s="1" t="n">
        <v>45257.67721064815</v>
      </c>
      <c r="C1084" s="1" t="n">
        <v>46076</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49840-2024</t>
        </is>
      </c>
      <c r="B1085" s="1" t="n">
        <v>45597</v>
      </c>
      <c r="C1085" s="1" t="n">
        <v>46076</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13561-2023</t>
        </is>
      </c>
      <c r="B1086" s="1" t="n">
        <v>45006.47429398148</v>
      </c>
      <c r="C1086" s="1" t="n">
        <v>46076</v>
      </c>
      <c r="D1086" t="inlineStr">
        <is>
          <t>VÄRMLANDS LÄN</t>
        </is>
      </c>
      <c r="E1086" t="inlineStr">
        <is>
          <t>TORSBY</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18411-2023</t>
        </is>
      </c>
      <c r="B1087" s="1" t="n">
        <v>45042</v>
      </c>
      <c r="C1087" s="1" t="n">
        <v>46076</v>
      </c>
      <c r="D1087" t="inlineStr">
        <is>
          <t>VÄRMLANDS LÄN</t>
        </is>
      </c>
      <c r="E1087" t="inlineStr">
        <is>
          <t>TORSBY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19675-2023</t>
        </is>
      </c>
      <c r="B1088" s="1" t="n">
        <v>45051</v>
      </c>
      <c r="C1088" s="1" t="n">
        <v>46076</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57216-2023</t>
        </is>
      </c>
      <c r="B1089" s="1" t="n">
        <v>45245</v>
      </c>
      <c r="C1089" s="1" t="n">
        <v>46076</v>
      </c>
      <c r="D1089" t="inlineStr">
        <is>
          <t>VÄRMLANDS LÄN</t>
        </is>
      </c>
      <c r="E1089" t="inlineStr">
        <is>
          <t>TORSBY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6653-2025</t>
        </is>
      </c>
      <c r="B1090" s="1" t="n">
        <v>45700.42601851852</v>
      </c>
      <c r="C1090" s="1" t="n">
        <v>46076</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61565-2024</t>
        </is>
      </c>
      <c r="B1091" s="1" t="n">
        <v>45646</v>
      </c>
      <c r="C1091" s="1" t="n">
        <v>46076</v>
      </c>
      <c r="D1091" t="inlineStr">
        <is>
          <t>VÄRMLANDS LÄN</t>
        </is>
      </c>
      <c r="E1091" t="inlineStr">
        <is>
          <t>TORSBY</t>
        </is>
      </c>
      <c r="F1091" t="inlineStr">
        <is>
          <t>Bergvik skog väst AB</t>
        </is>
      </c>
      <c r="G1091" t="n">
        <v>14.4</v>
      </c>
      <c r="H1091" t="n">
        <v>0</v>
      </c>
      <c r="I1091" t="n">
        <v>0</v>
      </c>
      <c r="J1091" t="n">
        <v>0</v>
      </c>
      <c r="K1091" t="n">
        <v>0</v>
      </c>
      <c r="L1091" t="n">
        <v>0</v>
      </c>
      <c r="M1091" t="n">
        <v>0</v>
      </c>
      <c r="N1091" t="n">
        <v>0</v>
      </c>
      <c r="O1091" t="n">
        <v>0</v>
      </c>
      <c r="P1091" t="n">
        <v>0</v>
      </c>
      <c r="Q1091" t="n">
        <v>0</v>
      </c>
      <c r="R1091" s="2" t="inlineStr"/>
    </row>
    <row r="1092" ht="15" customHeight="1">
      <c r="A1092" t="inlineStr">
        <is>
          <t>A 49073-2022</t>
        </is>
      </c>
      <c r="B1092" s="1" t="n">
        <v>44860</v>
      </c>
      <c r="C1092" s="1" t="n">
        <v>46076</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12528-2025</t>
        </is>
      </c>
      <c r="B1093" s="1" t="n">
        <v>45730</v>
      </c>
      <c r="C1093" s="1" t="n">
        <v>46076</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12554-2025</t>
        </is>
      </c>
      <c r="B1094" s="1" t="n">
        <v>45731</v>
      </c>
      <c r="C1094" s="1" t="n">
        <v>46076</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46915-2024</t>
        </is>
      </c>
      <c r="B1095" s="1" t="n">
        <v>45583</v>
      </c>
      <c r="C1095" s="1" t="n">
        <v>46076</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37300-2025</t>
        </is>
      </c>
      <c r="B1096" s="1" t="n">
        <v>45876</v>
      </c>
      <c r="C1096" s="1" t="n">
        <v>46076</v>
      </c>
      <c r="D1096" t="inlineStr">
        <is>
          <t>VÄRMLANDS LÄN</t>
        </is>
      </c>
      <c r="E1096" t="inlineStr">
        <is>
          <t>TORSBY</t>
        </is>
      </c>
      <c r="F1096" t="inlineStr">
        <is>
          <t>Bergvik skog väst AB</t>
        </is>
      </c>
      <c r="G1096" t="n">
        <v>33.6</v>
      </c>
      <c r="H1096" t="n">
        <v>0</v>
      </c>
      <c r="I1096" t="n">
        <v>0</v>
      </c>
      <c r="J1096" t="n">
        <v>0</v>
      </c>
      <c r="K1096" t="n">
        <v>0</v>
      </c>
      <c r="L1096" t="n">
        <v>0</v>
      </c>
      <c r="M1096" t="n">
        <v>0</v>
      </c>
      <c r="N1096" t="n">
        <v>0</v>
      </c>
      <c r="O1096" t="n">
        <v>0</v>
      </c>
      <c r="P1096" t="n">
        <v>0</v>
      </c>
      <c r="Q1096" t="n">
        <v>0</v>
      </c>
      <c r="R1096" s="2" t="inlineStr"/>
    </row>
    <row r="1097" ht="15" customHeight="1">
      <c r="A1097" t="inlineStr">
        <is>
          <t>A 36782-2024</t>
        </is>
      </c>
      <c r="B1097" s="1" t="n">
        <v>45538</v>
      </c>
      <c r="C1097" s="1" t="n">
        <v>46076</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36790-2024</t>
        </is>
      </c>
      <c r="B1098" s="1" t="n">
        <v>45538.43484953704</v>
      </c>
      <c r="C1098" s="1" t="n">
        <v>46076</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50372-2024</t>
        </is>
      </c>
      <c r="B1099" s="1" t="n">
        <v>45601.25935185186</v>
      </c>
      <c r="C1099" s="1" t="n">
        <v>46076</v>
      </c>
      <c r="D1099" t="inlineStr">
        <is>
          <t>VÄRMLANDS LÄN</t>
        </is>
      </c>
      <c r="E1099" t="inlineStr">
        <is>
          <t>TORSBY</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49845-2024</t>
        </is>
      </c>
      <c r="B1100" s="1" t="n">
        <v>45597</v>
      </c>
      <c r="C1100" s="1" t="n">
        <v>46076</v>
      </c>
      <c r="D1100" t="inlineStr">
        <is>
          <t>VÄRMLANDS LÄN</t>
        </is>
      </c>
      <c r="E1100" t="inlineStr">
        <is>
          <t>TORSBY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37273-2025</t>
        </is>
      </c>
      <c r="B1101" s="1" t="n">
        <v>45876</v>
      </c>
      <c r="C1101" s="1" t="n">
        <v>46076</v>
      </c>
      <c r="D1101" t="inlineStr">
        <is>
          <t>VÄRMLANDS LÄN</t>
        </is>
      </c>
      <c r="E1101" t="inlineStr">
        <is>
          <t>TORSBY</t>
        </is>
      </c>
      <c r="F1101" t="inlineStr">
        <is>
          <t>Bergvik skog väst AB</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50147-2023</t>
        </is>
      </c>
      <c r="B1102" s="1" t="n">
        <v>45215</v>
      </c>
      <c r="C1102" s="1" t="n">
        <v>46076</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37334-2025</t>
        </is>
      </c>
      <c r="B1103" s="1" t="n">
        <v>45876.66663194444</v>
      </c>
      <c r="C1103" s="1" t="n">
        <v>46076</v>
      </c>
      <c r="D1103" t="inlineStr">
        <is>
          <t>VÄRMLANDS LÄN</t>
        </is>
      </c>
      <c r="E1103" t="inlineStr">
        <is>
          <t>TORSBY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37339-2025</t>
        </is>
      </c>
      <c r="B1104" s="1" t="n">
        <v>45876.68457175926</v>
      </c>
      <c r="C1104" s="1" t="n">
        <v>46076</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11447-2022</t>
        </is>
      </c>
      <c r="B1105" s="1" t="n">
        <v>44630</v>
      </c>
      <c r="C1105" s="1" t="n">
        <v>46076</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47927-2025</t>
        </is>
      </c>
      <c r="B1106" s="1" t="n">
        <v>45932.54604166667</v>
      </c>
      <c r="C1106" s="1" t="n">
        <v>46076</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37381-2025</t>
        </is>
      </c>
      <c r="B1107" s="1" t="n">
        <v>45877</v>
      </c>
      <c r="C1107" s="1" t="n">
        <v>46076</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54029-2021</t>
        </is>
      </c>
      <c r="B1108" s="1" t="n">
        <v>44470.37834490741</v>
      </c>
      <c r="C1108" s="1" t="n">
        <v>46076</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48214-2025</t>
        </is>
      </c>
      <c r="B1109" s="1" t="n">
        <v>45933.49465277778</v>
      </c>
      <c r="C1109" s="1" t="n">
        <v>46076</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54160-2022</t>
        </is>
      </c>
      <c r="B1110" s="1" t="n">
        <v>44881</v>
      </c>
      <c r="C1110" s="1" t="n">
        <v>46076</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46076</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46076</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50138-2023</t>
        </is>
      </c>
      <c r="B1113" s="1" t="n">
        <v>45215.66738425926</v>
      </c>
      <c r="C1113" s="1" t="n">
        <v>46076</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7927-2024</t>
        </is>
      </c>
      <c r="B1114" s="1" t="n">
        <v>45350</v>
      </c>
      <c r="C1114" s="1" t="n">
        <v>46076</v>
      </c>
      <c r="D1114" t="inlineStr">
        <is>
          <t>VÄRMLANDS LÄN</t>
        </is>
      </c>
      <c r="E1114" t="inlineStr">
        <is>
          <t>TORSBY</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44470-2024</t>
        </is>
      </c>
      <c r="B1115" s="1" t="n">
        <v>45574</v>
      </c>
      <c r="C1115" s="1" t="n">
        <v>46076</v>
      </c>
      <c r="D1115" t="inlineStr">
        <is>
          <t>VÄRMLANDS LÄN</t>
        </is>
      </c>
      <c r="E1115" t="inlineStr">
        <is>
          <t>TORSBY</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37230-2025</t>
        </is>
      </c>
      <c r="B1116" s="1" t="n">
        <v>45876</v>
      </c>
      <c r="C1116" s="1" t="n">
        <v>46076</v>
      </c>
      <c r="D1116" t="inlineStr">
        <is>
          <t>VÄRMLANDS LÄN</t>
        </is>
      </c>
      <c r="E1116" t="inlineStr">
        <is>
          <t>TORSBY</t>
        </is>
      </c>
      <c r="F1116" t="inlineStr">
        <is>
          <t>Bergvik skog väst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31493-2021</t>
        </is>
      </c>
      <c r="B1117" s="1" t="n">
        <v>44369</v>
      </c>
      <c r="C1117" s="1" t="n">
        <v>46076</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44497-2023</t>
        </is>
      </c>
      <c r="B1118" s="1" t="n">
        <v>45189.45701388889</v>
      </c>
      <c r="C1118" s="1" t="n">
        <v>46076</v>
      </c>
      <c r="D1118" t="inlineStr">
        <is>
          <t>VÄRMLANDS LÄN</t>
        </is>
      </c>
      <c r="E1118" t="inlineStr">
        <is>
          <t>TORSBY</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40718-2022</t>
        </is>
      </c>
      <c r="B1119" s="1" t="n">
        <v>44824.49635416667</v>
      </c>
      <c r="C1119" s="1" t="n">
        <v>46076</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12402-2025</t>
        </is>
      </c>
      <c r="B1120" s="1" t="n">
        <v>45730.4228125</v>
      </c>
      <c r="C1120" s="1" t="n">
        <v>46076</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22386-2025</t>
        </is>
      </c>
      <c r="B1121" s="1" t="n">
        <v>45786.50703703704</v>
      </c>
      <c r="C1121" s="1" t="n">
        <v>46076</v>
      </c>
      <c r="D1121" t="inlineStr">
        <is>
          <t>VÄRMLANDS LÄN</t>
        </is>
      </c>
      <c r="E1121" t="inlineStr">
        <is>
          <t>TORSBY</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30299-2025</t>
        </is>
      </c>
      <c r="B1122" s="1" t="n">
        <v>45827</v>
      </c>
      <c r="C1122" s="1" t="n">
        <v>46076</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37348-2025</t>
        </is>
      </c>
      <c r="B1123" s="1" t="n">
        <v>45876.71136574074</v>
      </c>
      <c r="C1123" s="1" t="n">
        <v>46076</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17879-2024</t>
        </is>
      </c>
      <c r="B1124" s="1" t="n">
        <v>45419</v>
      </c>
      <c r="C1124" s="1" t="n">
        <v>46076</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36674-2023</t>
        </is>
      </c>
      <c r="B1125" s="1" t="n">
        <v>45153.5908912037</v>
      </c>
      <c r="C1125" s="1" t="n">
        <v>46076</v>
      </c>
      <c r="D1125" t="inlineStr">
        <is>
          <t>VÄRMLANDS LÄN</t>
        </is>
      </c>
      <c r="E1125" t="inlineStr">
        <is>
          <t>TORSBY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28005-2024</t>
        </is>
      </c>
      <c r="B1126" s="1" t="n">
        <v>45476</v>
      </c>
      <c r="C1126" s="1" t="n">
        <v>46076</v>
      </c>
      <c r="D1126" t="inlineStr">
        <is>
          <t>VÄRMLANDS LÄN</t>
        </is>
      </c>
      <c r="E1126" t="inlineStr">
        <is>
          <t>TORSBY</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41936-2024</t>
        </is>
      </c>
      <c r="B1127" s="1" t="n">
        <v>45561</v>
      </c>
      <c r="C1127" s="1" t="n">
        <v>46076</v>
      </c>
      <c r="D1127" t="inlineStr">
        <is>
          <t>VÄRMLANDS LÄN</t>
        </is>
      </c>
      <c r="E1127" t="inlineStr">
        <is>
          <t>TORSBY</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37236-2025</t>
        </is>
      </c>
      <c r="B1128" s="1" t="n">
        <v>45876.36116898148</v>
      </c>
      <c r="C1128" s="1" t="n">
        <v>46076</v>
      </c>
      <c r="D1128" t="inlineStr">
        <is>
          <t>VÄRMLANDS LÄN</t>
        </is>
      </c>
      <c r="E1128" t="inlineStr">
        <is>
          <t>TORSBY</t>
        </is>
      </c>
      <c r="F1128" t="inlineStr">
        <is>
          <t>Bergvik skog väst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45152-2023</t>
        </is>
      </c>
      <c r="B1129" s="1" t="n">
        <v>45191</v>
      </c>
      <c r="C1129" s="1" t="n">
        <v>46076</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46076</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24150-2021</t>
        </is>
      </c>
      <c r="B1131" s="1" t="n">
        <v>44336</v>
      </c>
      <c r="C1131" s="1" t="n">
        <v>46076</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8447-2023</t>
        </is>
      </c>
      <c r="B1132" s="1" t="n">
        <v>44977</v>
      </c>
      <c r="C1132" s="1" t="n">
        <v>46076</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37583-2025</t>
        </is>
      </c>
      <c r="B1133" s="1" t="n">
        <v>45880</v>
      </c>
      <c r="C1133" s="1" t="n">
        <v>46076</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48180-2025</t>
        </is>
      </c>
      <c r="B1134" s="1" t="n">
        <v>45933.45245370371</v>
      </c>
      <c r="C1134" s="1" t="n">
        <v>46076</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37566-2025</t>
        </is>
      </c>
      <c r="B1135" s="1" t="n">
        <v>45880</v>
      </c>
      <c r="C1135" s="1" t="n">
        <v>46076</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53583-2024</t>
        </is>
      </c>
      <c r="B1136" s="1" t="n">
        <v>45614.66449074074</v>
      </c>
      <c r="C1136" s="1" t="n">
        <v>46076</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37937-2025</t>
        </is>
      </c>
      <c r="B1137" s="1" t="n">
        <v>45881</v>
      </c>
      <c r="C1137" s="1" t="n">
        <v>46076</v>
      </c>
      <c r="D1137" t="inlineStr">
        <is>
          <t>VÄRMLANDS LÄN</t>
        </is>
      </c>
      <c r="E1137" t="inlineStr">
        <is>
          <t>TORSBY</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37546-2025</t>
        </is>
      </c>
      <c r="B1138" s="1" t="n">
        <v>45879</v>
      </c>
      <c r="C1138" s="1" t="n">
        <v>46076</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37547-2025</t>
        </is>
      </c>
      <c r="B1139" s="1" t="n">
        <v>45879</v>
      </c>
      <c r="C1139" s="1" t="n">
        <v>46076</v>
      </c>
      <c r="D1139" t="inlineStr">
        <is>
          <t>VÄRMLANDS LÄN</t>
        </is>
      </c>
      <c r="E1139" t="inlineStr">
        <is>
          <t>TORSBY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37904-2025</t>
        </is>
      </c>
      <c r="B1140" s="1" t="n">
        <v>45881</v>
      </c>
      <c r="C1140" s="1" t="n">
        <v>46076</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37908-2025</t>
        </is>
      </c>
      <c r="B1141" s="1" t="n">
        <v>45881.5732175926</v>
      </c>
      <c r="C1141" s="1" t="n">
        <v>46076</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37945-2025</t>
        </is>
      </c>
      <c r="B1142" s="1" t="n">
        <v>45881</v>
      </c>
      <c r="C1142" s="1" t="n">
        <v>46076</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37575-2025</t>
        </is>
      </c>
      <c r="B1143" s="1" t="n">
        <v>45880.38028935185</v>
      </c>
      <c r="C1143" s="1" t="n">
        <v>46076</v>
      </c>
      <c r="D1143" t="inlineStr">
        <is>
          <t>VÄRMLANDS LÄN</t>
        </is>
      </c>
      <c r="E1143" t="inlineStr">
        <is>
          <t>TORSBY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37760-2025</t>
        </is>
      </c>
      <c r="B1144" s="1" t="n">
        <v>45880</v>
      </c>
      <c r="C1144" s="1" t="n">
        <v>46076</v>
      </c>
      <c r="D1144" t="inlineStr">
        <is>
          <t>VÄRMLANDS LÄN</t>
        </is>
      </c>
      <c r="E1144" t="inlineStr">
        <is>
          <t>TORSBY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21581-2024</t>
        </is>
      </c>
      <c r="B1145" s="1" t="n">
        <v>45441</v>
      </c>
      <c r="C1145" s="1" t="n">
        <v>46076</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37927-2025</t>
        </is>
      </c>
      <c r="B1146" s="1" t="n">
        <v>45881.58063657407</v>
      </c>
      <c r="C1146" s="1" t="n">
        <v>46076</v>
      </c>
      <c r="D1146" t="inlineStr">
        <is>
          <t>VÄRMLANDS LÄN</t>
        </is>
      </c>
      <c r="E1146" t="inlineStr">
        <is>
          <t>TORSBY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37736-2025</t>
        </is>
      </c>
      <c r="B1147" s="1" t="n">
        <v>45880</v>
      </c>
      <c r="C1147" s="1" t="n">
        <v>46076</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8979-2025</t>
        </is>
      </c>
      <c r="B1148" s="1" t="n">
        <v>45713</v>
      </c>
      <c r="C1148" s="1" t="n">
        <v>46076</v>
      </c>
      <c r="D1148" t="inlineStr">
        <is>
          <t>VÄRMLANDS LÄN</t>
        </is>
      </c>
      <c r="E1148" t="inlineStr">
        <is>
          <t>TORSBY</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39003-2021</t>
        </is>
      </c>
      <c r="B1149" s="1" t="n">
        <v>44412</v>
      </c>
      <c r="C1149" s="1" t="n">
        <v>46076</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60148-2024</t>
        </is>
      </c>
      <c r="B1150" s="1" t="n">
        <v>45642</v>
      </c>
      <c r="C1150" s="1" t="n">
        <v>46076</v>
      </c>
      <c r="D1150" t="inlineStr">
        <is>
          <t>VÄRMLANDS LÄN</t>
        </is>
      </c>
      <c r="E1150" t="inlineStr">
        <is>
          <t>TORSBY</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1803-2024</t>
        </is>
      </c>
      <c r="B1151" s="1" t="n">
        <v>45307</v>
      </c>
      <c r="C1151" s="1" t="n">
        <v>46076</v>
      </c>
      <c r="D1151" t="inlineStr">
        <is>
          <t>VÄRMLANDS LÄN</t>
        </is>
      </c>
      <c r="E1151" t="inlineStr">
        <is>
          <t>TORSBY</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38056-2025</t>
        </is>
      </c>
      <c r="B1152" s="1" t="n">
        <v>45882</v>
      </c>
      <c r="C1152" s="1" t="n">
        <v>46076</v>
      </c>
      <c r="D1152" t="inlineStr">
        <is>
          <t>VÄRMLANDS LÄN</t>
        </is>
      </c>
      <c r="E1152" t="inlineStr">
        <is>
          <t>TORSBY</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48499-2025</t>
        </is>
      </c>
      <c r="B1153" s="1" t="n">
        <v>45936.37533564815</v>
      </c>
      <c r="C1153" s="1" t="n">
        <v>46076</v>
      </c>
      <c r="D1153" t="inlineStr">
        <is>
          <t>VÄRMLANDS LÄN</t>
        </is>
      </c>
      <c r="E1153" t="inlineStr">
        <is>
          <t>TORSBY</t>
        </is>
      </c>
      <c r="F1153" t="inlineStr">
        <is>
          <t>Bergvik skog väst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48903-2024</t>
        </is>
      </c>
      <c r="B1154" s="1" t="n">
        <v>45594</v>
      </c>
      <c r="C1154" s="1" t="n">
        <v>46076</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38315-2025</t>
        </is>
      </c>
      <c r="B1155" s="1" t="n">
        <v>45883.47824074074</v>
      </c>
      <c r="C1155" s="1" t="n">
        <v>46076</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20182-2021</t>
        </is>
      </c>
      <c r="B1156" s="1" t="n">
        <v>44312</v>
      </c>
      <c r="C1156" s="1" t="n">
        <v>46076</v>
      </c>
      <c r="D1156" t="inlineStr">
        <is>
          <t>VÄRMLANDS LÄN</t>
        </is>
      </c>
      <c r="E1156" t="inlineStr">
        <is>
          <t>TORSBY</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49159-2025</t>
        </is>
      </c>
      <c r="B1157" s="1" t="n">
        <v>45938.35060185185</v>
      </c>
      <c r="C1157" s="1" t="n">
        <v>46076</v>
      </c>
      <c r="D1157" t="inlineStr">
        <is>
          <t>VÄRMLANDS LÄN</t>
        </is>
      </c>
      <c r="E1157" t="inlineStr">
        <is>
          <t>TORSBY</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49167-2025</t>
        </is>
      </c>
      <c r="B1158" s="1" t="n">
        <v>45938</v>
      </c>
      <c r="C1158" s="1" t="n">
        <v>46076</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40036-2022</t>
        </is>
      </c>
      <c r="B1159" s="1" t="n">
        <v>44820.43179398148</v>
      </c>
      <c r="C1159" s="1" t="n">
        <v>46076</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48947-2025</t>
        </is>
      </c>
      <c r="B1160" s="1" t="n">
        <v>45937.54157407407</v>
      </c>
      <c r="C1160" s="1" t="n">
        <v>46076</v>
      </c>
      <c r="D1160" t="inlineStr">
        <is>
          <t>VÄRMLANDS LÄN</t>
        </is>
      </c>
      <c r="E1160" t="inlineStr">
        <is>
          <t>TORSBY</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40987-2024</t>
        </is>
      </c>
      <c r="B1161" s="1" t="n">
        <v>45558</v>
      </c>
      <c r="C1161" s="1" t="n">
        <v>46076</v>
      </c>
      <c r="D1161" t="inlineStr">
        <is>
          <t>VÄRMLANDS LÄN</t>
        </is>
      </c>
      <c r="E1161" t="inlineStr">
        <is>
          <t>TORSBY</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43256-2024</t>
        </is>
      </c>
      <c r="B1162" s="1" t="n">
        <v>45568</v>
      </c>
      <c r="C1162" s="1" t="n">
        <v>46076</v>
      </c>
      <c r="D1162" t="inlineStr">
        <is>
          <t>VÄRMLANDS LÄN</t>
        </is>
      </c>
      <c r="E1162" t="inlineStr">
        <is>
          <t>TORSBY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38397-2025</t>
        </is>
      </c>
      <c r="B1163" s="1" t="n">
        <v>45883</v>
      </c>
      <c r="C1163" s="1" t="n">
        <v>46076</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53368-2024</t>
        </is>
      </c>
      <c r="B1164" s="1" t="n">
        <v>45614</v>
      </c>
      <c r="C1164" s="1" t="n">
        <v>46076</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32343-2024</t>
        </is>
      </c>
      <c r="B1165" s="1" t="n">
        <v>45512.520625</v>
      </c>
      <c r="C1165" s="1" t="n">
        <v>46076</v>
      </c>
      <c r="D1165" t="inlineStr">
        <is>
          <t>VÄRMLANDS LÄN</t>
        </is>
      </c>
      <c r="E1165" t="inlineStr">
        <is>
          <t>TORSBY</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38249-2025</t>
        </is>
      </c>
      <c r="B1166" s="1" t="n">
        <v>45883</v>
      </c>
      <c r="C1166" s="1" t="n">
        <v>46076</v>
      </c>
      <c r="D1166" t="inlineStr">
        <is>
          <t>VÄRMLANDS LÄN</t>
        </is>
      </c>
      <c r="E1166" t="inlineStr">
        <is>
          <t>TORSBY</t>
        </is>
      </c>
      <c r="F1166" t="inlineStr">
        <is>
          <t>Bergvik skog väst AB</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31830-2024</t>
        </is>
      </c>
      <c r="B1167" s="1" t="n">
        <v>45509</v>
      </c>
      <c r="C1167" s="1" t="n">
        <v>46076</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49108-2025</t>
        </is>
      </c>
      <c r="B1168" s="1" t="n">
        <v>45937.74528935185</v>
      </c>
      <c r="C1168" s="1" t="n">
        <v>46076</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49109-2025</t>
        </is>
      </c>
      <c r="B1169" s="1" t="n">
        <v>45937.74931712963</v>
      </c>
      <c r="C1169" s="1" t="n">
        <v>46076</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37818-2025</t>
        </is>
      </c>
      <c r="B1170" s="1" t="n">
        <v>45881</v>
      </c>
      <c r="C1170" s="1" t="n">
        <v>46076</v>
      </c>
      <c r="D1170" t="inlineStr">
        <is>
          <t>VÄRMLANDS LÄN</t>
        </is>
      </c>
      <c r="E1170" t="inlineStr">
        <is>
          <t>TORSBY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38165-2025</t>
        </is>
      </c>
      <c r="B1171" s="1" t="n">
        <v>45882.63063657407</v>
      </c>
      <c r="C1171" s="1" t="n">
        <v>46076</v>
      </c>
      <c r="D1171" t="inlineStr">
        <is>
          <t>VÄRMLANDS LÄN</t>
        </is>
      </c>
      <c r="E1171" t="inlineStr">
        <is>
          <t>TORSBY</t>
        </is>
      </c>
      <c r="F1171" t="inlineStr">
        <is>
          <t>Bergvik skog väst AB</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49181-2025</t>
        </is>
      </c>
      <c r="B1172" s="1" t="n">
        <v>45938.38640046296</v>
      </c>
      <c r="C1172" s="1" t="n">
        <v>46076</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57809-2024</t>
        </is>
      </c>
      <c r="B1173" s="1" t="n">
        <v>45631</v>
      </c>
      <c r="C1173" s="1" t="n">
        <v>46076</v>
      </c>
      <c r="D1173" t="inlineStr">
        <is>
          <t>VÄRMLANDS LÄN</t>
        </is>
      </c>
      <c r="E1173" t="inlineStr">
        <is>
          <t>TORSBY</t>
        </is>
      </c>
      <c r="F1173" t="inlineStr">
        <is>
          <t>Bergvik skog väst AB</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49311-2025</t>
        </is>
      </c>
      <c r="B1174" s="1" t="n">
        <v>45938.56336805555</v>
      </c>
      <c r="C1174" s="1" t="n">
        <v>46076</v>
      </c>
      <c r="D1174" t="inlineStr">
        <is>
          <t>VÄRMLANDS LÄN</t>
        </is>
      </c>
      <c r="E1174" t="inlineStr">
        <is>
          <t>TORSBY</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37878-2025</t>
        </is>
      </c>
      <c r="B1175" s="1" t="n">
        <v>45881</v>
      </c>
      <c r="C1175" s="1" t="n">
        <v>46076</v>
      </c>
      <c r="D1175" t="inlineStr">
        <is>
          <t>VÄRMLANDS LÄN</t>
        </is>
      </c>
      <c r="E1175" t="inlineStr">
        <is>
          <t>TORSBY</t>
        </is>
      </c>
      <c r="F1175" t="inlineStr">
        <is>
          <t>Bergvik skog väst AB</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42428-2024</t>
        </is>
      </c>
      <c r="B1176" s="1" t="n">
        <v>45565</v>
      </c>
      <c r="C1176" s="1" t="n">
        <v>46076</v>
      </c>
      <c r="D1176" t="inlineStr">
        <is>
          <t>VÄRMLANDS LÄN</t>
        </is>
      </c>
      <c r="E1176" t="inlineStr">
        <is>
          <t>TORSBY</t>
        </is>
      </c>
      <c r="F1176" t="inlineStr">
        <is>
          <t>Bergvik skog väst AB</t>
        </is>
      </c>
      <c r="G1176" t="n">
        <v>20.7</v>
      </c>
      <c r="H1176" t="n">
        <v>0</v>
      </c>
      <c r="I1176" t="n">
        <v>0</v>
      </c>
      <c r="J1176" t="n">
        <v>0</v>
      </c>
      <c r="K1176" t="n">
        <v>0</v>
      </c>
      <c r="L1176" t="n">
        <v>0</v>
      </c>
      <c r="M1176" t="n">
        <v>0</v>
      </c>
      <c r="N1176" t="n">
        <v>0</v>
      </c>
      <c r="O1176" t="n">
        <v>0</v>
      </c>
      <c r="P1176" t="n">
        <v>0</v>
      </c>
      <c r="Q1176" t="n">
        <v>0</v>
      </c>
      <c r="R1176" s="2" t="inlineStr"/>
    </row>
    <row r="1177" ht="15" customHeight="1">
      <c r="A1177" t="inlineStr">
        <is>
          <t>A 38232-2025</t>
        </is>
      </c>
      <c r="B1177" s="1" t="n">
        <v>45883</v>
      </c>
      <c r="C1177" s="1" t="n">
        <v>46076</v>
      </c>
      <c r="D1177" t="inlineStr">
        <is>
          <t>VÄRMLANDS LÄN</t>
        </is>
      </c>
      <c r="E1177" t="inlineStr">
        <is>
          <t>TORSBY</t>
        </is>
      </c>
      <c r="F1177" t="inlineStr">
        <is>
          <t>Bergvik skog väst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48991-2025</t>
        </is>
      </c>
      <c r="B1178" s="1" t="n">
        <v>45937.58141203703</v>
      </c>
      <c r="C1178" s="1" t="n">
        <v>46076</v>
      </c>
      <c r="D1178" t="inlineStr">
        <is>
          <t>VÄRMLANDS LÄN</t>
        </is>
      </c>
      <c r="E1178" t="inlineStr">
        <is>
          <t>TORSBY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32138-2024</t>
        </is>
      </c>
      <c r="B1179" s="1" t="n">
        <v>45511</v>
      </c>
      <c r="C1179" s="1" t="n">
        <v>46076</v>
      </c>
      <c r="D1179" t="inlineStr">
        <is>
          <t>VÄRMLANDS LÄN</t>
        </is>
      </c>
      <c r="E1179" t="inlineStr">
        <is>
          <t>TORSBY</t>
        </is>
      </c>
      <c r="F1179" t="inlineStr">
        <is>
          <t>Bergvik skog väst AB</t>
        </is>
      </c>
      <c r="G1179" t="n">
        <v>26.3</v>
      </c>
      <c r="H1179" t="n">
        <v>0</v>
      </c>
      <c r="I1179" t="n">
        <v>0</v>
      </c>
      <c r="J1179" t="n">
        <v>0</v>
      </c>
      <c r="K1179" t="n">
        <v>0</v>
      </c>
      <c r="L1179" t="n">
        <v>0</v>
      </c>
      <c r="M1179" t="n">
        <v>0</v>
      </c>
      <c r="N1179" t="n">
        <v>0</v>
      </c>
      <c r="O1179" t="n">
        <v>0</v>
      </c>
      <c r="P1179" t="n">
        <v>0</v>
      </c>
      <c r="Q1179" t="n">
        <v>0</v>
      </c>
      <c r="R1179" s="2" t="inlineStr"/>
    </row>
    <row r="1180" ht="15" customHeight="1">
      <c r="A1180" t="inlineStr">
        <is>
          <t>A 41065-2022</t>
        </is>
      </c>
      <c r="B1180" s="1" t="n">
        <v>44825.59258101852</v>
      </c>
      <c r="C1180" s="1" t="n">
        <v>46076</v>
      </c>
      <c r="D1180" t="inlineStr">
        <is>
          <t>VÄRMLANDS LÄN</t>
        </is>
      </c>
      <c r="E1180" t="inlineStr">
        <is>
          <t>TORSBY</t>
        </is>
      </c>
      <c r="F1180" t="inlineStr">
        <is>
          <t>Kommuner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20130-2023</t>
        </is>
      </c>
      <c r="B1181" s="1" t="n">
        <v>45055.38503472223</v>
      </c>
      <c r="C1181" s="1" t="n">
        <v>46076</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36239-2023</t>
        </is>
      </c>
      <c r="B1182" s="1" t="n">
        <v>45150</v>
      </c>
      <c r="C1182" s="1" t="n">
        <v>46076</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49272-2025</t>
        </is>
      </c>
      <c r="B1183" s="1" t="n">
        <v>45938.50574074074</v>
      </c>
      <c r="C1183" s="1" t="n">
        <v>46076</v>
      </c>
      <c r="D1183" t="inlineStr">
        <is>
          <t>VÄRMLANDS LÄN</t>
        </is>
      </c>
      <c r="E1183" t="inlineStr">
        <is>
          <t>TORSBY</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49313-2025</t>
        </is>
      </c>
      <c r="B1184" s="1" t="n">
        <v>45938.56460648148</v>
      </c>
      <c r="C1184" s="1" t="n">
        <v>46076</v>
      </c>
      <c r="D1184" t="inlineStr">
        <is>
          <t>VÄRMLANDS LÄN</t>
        </is>
      </c>
      <c r="E1184" t="inlineStr">
        <is>
          <t>TORSBY</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49203-2025</t>
        </is>
      </c>
      <c r="B1185" s="1" t="n">
        <v>45938</v>
      </c>
      <c r="C1185" s="1" t="n">
        <v>46076</v>
      </c>
      <c r="D1185" t="inlineStr">
        <is>
          <t>VÄRMLANDS LÄN</t>
        </is>
      </c>
      <c r="E1185" t="inlineStr">
        <is>
          <t>TORSBY</t>
        </is>
      </c>
      <c r="F1185" t="inlineStr">
        <is>
          <t>Bergvik skog väst AB</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14292-2023</t>
        </is>
      </c>
      <c r="B1186" s="1" t="n">
        <v>45011</v>
      </c>
      <c r="C1186" s="1" t="n">
        <v>46076</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14293-2023</t>
        </is>
      </c>
      <c r="B1187" s="1" t="n">
        <v>45011</v>
      </c>
      <c r="C1187" s="1" t="n">
        <v>46076</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49622-2025</t>
        </is>
      </c>
      <c r="B1188" s="1" t="n">
        <v>45939</v>
      </c>
      <c r="C1188" s="1" t="n">
        <v>46076</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2195-2025</t>
        </is>
      </c>
      <c r="B1189" s="1" t="n">
        <v>45673.38138888889</v>
      </c>
      <c r="C1189" s="1" t="n">
        <v>46076</v>
      </c>
      <c r="D1189" t="inlineStr">
        <is>
          <t>VÄRMLANDS LÄN</t>
        </is>
      </c>
      <c r="E1189" t="inlineStr">
        <is>
          <t>TORSBY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49636-2025</t>
        </is>
      </c>
      <c r="B1190" s="1" t="n">
        <v>45939</v>
      </c>
      <c r="C1190" s="1" t="n">
        <v>46076</v>
      </c>
      <c r="D1190" t="inlineStr">
        <is>
          <t>VÄRMLANDS LÄN</t>
        </is>
      </c>
      <c r="E1190" t="inlineStr">
        <is>
          <t>TORSBY</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49344-2025</t>
        </is>
      </c>
      <c r="B1191" s="1" t="n">
        <v>45938.60028935185</v>
      </c>
      <c r="C1191" s="1" t="n">
        <v>46076</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49681-2025</t>
        </is>
      </c>
      <c r="B1192" s="1" t="n">
        <v>45939</v>
      </c>
      <c r="C1192" s="1" t="n">
        <v>46076</v>
      </c>
      <c r="D1192" t="inlineStr">
        <is>
          <t>VÄRMLANDS LÄN</t>
        </is>
      </c>
      <c r="E1192" t="inlineStr">
        <is>
          <t>TORSBY</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2699-2022</t>
        </is>
      </c>
      <c r="B1193" s="1" t="n">
        <v>44580.62828703703</v>
      </c>
      <c r="C1193" s="1" t="n">
        <v>46076</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6532-2025</t>
        </is>
      </c>
      <c r="B1194" s="1" t="n">
        <v>45699</v>
      </c>
      <c r="C1194" s="1" t="n">
        <v>46076</v>
      </c>
      <c r="D1194" t="inlineStr">
        <is>
          <t>VÄRMLANDS LÄN</t>
        </is>
      </c>
      <c r="E1194" t="inlineStr">
        <is>
          <t>TORSBY</t>
        </is>
      </c>
      <c r="F1194" t="inlineStr">
        <is>
          <t>Kommuner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49453-2025</t>
        </is>
      </c>
      <c r="B1195" s="1" t="n">
        <v>45939</v>
      </c>
      <c r="C1195" s="1" t="n">
        <v>46076</v>
      </c>
      <c r="D1195" t="inlineStr">
        <is>
          <t>VÄRMLANDS LÄN</t>
        </is>
      </c>
      <c r="E1195" t="inlineStr">
        <is>
          <t>TORSBY</t>
        </is>
      </c>
      <c r="F1195" t="inlineStr">
        <is>
          <t>Bergvik skog väst AB</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49638-2025</t>
        </is>
      </c>
      <c r="B1196" s="1" t="n">
        <v>45939.61236111111</v>
      </c>
      <c r="C1196" s="1" t="n">
        <v>46076</v>
      </c>
      <c r="D1196" t="inlineStr">
        <is>
          <t>VÄRMLANDS LÄN</t>
        </is>
      </c>
      <c r="E1196" t="inlineStr">
        <is>
          <t>TORSBY</t>
        </is>
      </c>
      <c r="F1196" t="inlineStr">
        <is>
          <t>Bergvik skog väst AB</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49107-2025</t>
        </is>
      </c>
      <c r="B1197" s="1" t="n">
        <v>45937.74091435185</v>
      </c>
      <c r="C1197" s="1" t="n">
        <v>46076</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49504-2025</t>
        </is>
      </c>
      <c r="B1198" s="1" t="n">
        <v>45939</v>
      </c>
      <c r="C1198" s="1" t="n">
        <v>46076</v>
      </c>
      <c r="D1198" t="inlineStr">
        <is>
          <t>VÄRMLANDS LÄN</t>
        </is>
      </c>
      <c r="E1198" t="inlineStr">
        <is>
          <t>TORSBY</t>
        </is>
      </c>
      <c r="F1198" t="inlineStr">
        <is>
          <t>Bergvik skog väst AB</t>
        </is>
      </c>
      <c r="G1198" t="n">
        <v>35.8</v>
      </c>
      <c r="H1198" t="n">
        <v>0</v>
      </c>
      <c r="I1198" t="n">
        <v>0</v>
      </c>
      <c r="J1198" t="n">
        <v>0</v>
      </c>
      <c r="K1198" t="n">
        <v>0</v>
      </c>
      <c r="L1198" t="n">
        <v>0</v>
      </c>
      <c r="M1198" t="n">
        <v>0</v>
      </c>
      <c r="N1198" t="n">
        <v>0</v>
      </c>
      <c r="O1198" t="n">
        <v>0</v>
      </c>
      <c r="P1198" t="n">
        <v>0</v>
      </c>
      <c r="Q1198" t="n">
        <v>0</v>
      </c>
      <c r="R1198" s="2" t="inlineStr"/>
    </row>
    <row r="1199" ht="15" customHeight="1">
      <c r="A1199" t="inlineStr">
        <is>
          <t>A 49237-2025</t>
        </is>
      </c>
      <c r="B1199" s="1" t="n">
        <v>45938</v>
      </c>
      <c r="C1199" s="1" t="n">
        <v>46076</v>
      </c>
      <c r="D1199" t="inlineStr">
        <is>
          <t>VÄRMLANDS LÄN</t>
        </is>
      </c>
      <c r="E1199" t="inlineStr">
        <is>
          <t>TORSBY</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49250-2025</t>
        </is>
      </c>
      <c r="B1200" s="1" t="n">
        <v>45938</v>
      </c>
      <c r="C1200" s="1" t="n">
        <v>46076</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53744-2024</t>
        </is>
      </c>
      <c r="B1201" s="1" t="n">
        <v>45615</v>
      </c>
      <c r="C1201" s="1" t="n">
        <v>46076</v>
      </c>
      <c r="D1201" t="inlineStr">
        <is>
          <t>VÄRMLANDS LÄN</t>
        </is>
      </c>
      <c r="E1201" t="inlineStr">
        <is>
          <t>TORSBY</t>
        </is>
      </c>
      <c r="G1201" t="n">
        <v>16.9</v>
      </c>
      <c r="H1201" t="n">
        <v>0</v>
      </c>
      <c r="I1201" t="n">
        <v>0</v>
      </c>
      <c r="J1201" t="n">
        <v>0</v>
      </c>
      <c r="K1201" t="n">
        <v>0</v>
      </c>
      <c r="L1201" t="n">
        <v>0</v>
      </c>
      <c r="M1201" t="n">
        <v>0</v>
      </c>
      <c r="N1201" t="n">
        <v>0</v>
      </c>
      <c r="O1201" t="n">
        <v>0</v>
      </c>
      <c r="P1201" t="n">
        <v>0</v>
      </c>
      <c r="Q1201" t="n">
        <v>0</v>
      </c>
      <c r="R1201" s="2" t="inlineStr"/>
    </row>
    <row r="1202" ht="15" customHeight="1">
      <c r="A1202" t="inlineStr">
        <is>
          <t>A 33848-2023</t>
        </is>
      </c>
      <c r="B1202" s="1" t="n">
        <v>45133.68835648148</v>
      </c>
      <c r="C1202" s="1" t="n">
        <v>46076</v>
      </c>
      <c r="D1202" t="inlineStr">
        <is>
          <t>VÄRMLANDS LÄN</t>
        </is>
      </c>
      <c r="E1202" t="inlineStr">
        <is>
          <t>TORSBY</t>
        </is>
      </c>
      <c r="F1202" t="inlineStr">
        <is>
          <t>Bergvik skog väst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49854-2025</t>
        </is>
      </c>
      <c r="B1203" s="1" t="n">
        <v>45940.50342592593</v>
      </c>
      <c r="C1203" s="1" t="n">
        <v>46076</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66978-2021</t>
        </is>
      </c>
      <c r="B1204" s="1" t="n">
        <v>44522</v>
      </c>
      <c r="C1204" s="1" t="n">
        <v>46076</v>
      </c>
      <c r="D1204" t="inlineStr">
        <is>
          <t>VÄRMLANDS LÄN</t>
        </is>
      </c>
      <c r="E1204" t="inlineStr">
        <is>
          <t>TORSBY</t>
        </is>
      </c>
      <c r="F1204" t="inlineStr">
        <is>
          <t>Kommuner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18480-2025</t>
        </is>
      </c>
      <c r="B1205" s="1" t="n">
        <v>45762.9171412037</v>
      </c>
      <c r="C1205" s="1" t="n">
        <v>46076</v>
      </c>
      <c r="D1205" t="inlineStr">
        <is>
          <t>VÄRMLANDS LÄN</t>
        </is>
      </c>
      <c r="E1205" t="inlineStr">
        <is>
          <t>TORSBY</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15488-2023</t>
        </is>
      </c>
      <c r="B1206" s="1" t="n">
        <v>45020</v>
      </c>
      <c r="C1206" s="1" t="n">
        <v>46076</v>
      </c>
      <c r="D1206" t="inlineStr">
        <is>
          <t>VÄRMLANDS LÄN</t>
        </is>
      </c>
      <c r="E1206" t="inlineStr">
        <is>
          <t>TORSBY</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56473-2022</t>
        </is>
      </c>
      <c r="B1207" s="1" t="n">
        <v>44893</v>
      </c>
      <c r="C1207" s="1" t="n">
        <v>46076</v>
      </c>
      <c r="D1207" t="inlineStr">
        <is>
          <t>VÄRMLANDS LÄN</t>
        </is>
      </c>
      <c r="E1207" t="inlineStr">
        <is>
          <t>TORSBY</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44699-2025</t>
        </is>
      </c>
      <c r="B1208" s="1" t="n">
        <v>45917</v>
      </c>
      <c r="C1208" s="1" t="n">
        <v>46076</v>
      </c>
      <c r="D1208" t="inlineStr">
        <is>
          <t>VÄRMLANDS LÄN</t>
        </is>
      </c>
      <c r="E1208" t="inlineStr">
        <is>
          <t>TORSBY</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38497-2025</t>
        </is>
      </c>
      <c r="B1209" s="1" t="n">
        <v>45884</v>
      </c>
      <c r="C1209" s="1" t="n">
        <v>46076</v>
      </c>
      <c r="D1209" t="inlineStr">
        <is>
          <t>VÄRMLANDS LÄN</t>
        </is>
      </c>
      <c r="E1209" t="inlineStr">
        <is>
          <t>TORSBY</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9793-2024</t>
        </is>
      </c>
      <c r="B1210" s="1" t="n">
        <v>45362.71013888889</v>
      </c>
      <c r="C1210" s="1" t="n">
        <v>46076</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16362-2025</t>
        </is>
      </c>
      <c r="B1211" s="1" t="n">
        <v>45751</v>
      </c>
      <c r="C1211" s="1" t="n">
        <v>46076</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38143-2025</t>
        </is>
      </c>
      <c r="B1212" s="1" t="n">
        <v>45882</v>
      </c>
      <c r="C1212" s="1" t="n">
        <v>46076</v>
      </c>
      <c r="D1212" t="inlineStr">
        <is>
          <t>VÄRMLANDS LÄN</t>
        </is>
      </c>
      <c r="E1212" t="inlineStr">
        <is>
          <t>TORSBY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20321-2023</t>
        </is>
      </c>
      <c r="B1213" s="1" t="n">
        <v>45056.45232638889</v>
      </c>
      <c r="C1213" s="1" t="n">
        <v>46076</v>
      </c>
      <c r="D1213" t="inlineStr">
        <is>
          <t>VÄRMLANDS LÄN</t>
        </is>
      </c>
      <c r="E1213" t="inlineStr">
        <is>
          <t>TORSBY</t>
        </is>
      </c>
      <c r="F1213" t="inlineStr">
        <is>
          <t>Kyrkan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17941-2021</t>
        </is>
      </c>
      <c r="B1214" s="1" t="n">
        <v>44301</v>
      </c>
      <c r="C1214" s="1" t="n">
        <v>46076</v>
      </c>
      <c r="D1214" t="inlineStr">
        <is>
          <t>VÄRMLANDS LÄN</t>
        </is>
      </c>
      <c r="E1214" t="inlineStr">
        <is>
          <t>TORSBY</t>
        </is>
      </c>
      <c r="F1214" t="inlineStr">
        <is>
          <t>Kommuner</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50373-2025</t>
        </is>
      </c>
      <c r="B1215" s="1" t="n">
        <v>45944.59106481481</v>
      </c>
      <c r="C1215" s="1" t="n">
        <v>46076</v>
      </c>
      <c r="D1215" t="inlineStr">
        <is>
          <t>VÄRMLANDS LÄN</t>
        </is>
      </c>
      <c r="E1215" t="inlineStr">
        <is>
          <t>TORSBY</t>
        </is>
      </c>
      <c r="F1215" t="inlineStr">
        <is>
          <t>Bergvik skog väst AB</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50400-2025</t>
        </is>
      </c>
      <c r="B1216" s="1" t="n">
        <v>45944.63516203704</v>
      </c>
      <c r="C1216" s="1" t="n">
        <v>46076</v>
      </c>
      <c r="D1216" t="inlineStr">
        <is>
          <t>VÄRMLANDS LÄN</t>
        </is>
      </c>
      <c r="E1216" t="inlineStr">
        <is>
          <t>TORSBY</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10589-2024</t>
        </is>
      </c>
      <c r="B1217" s="1" t="n">
        <v>45366</v>
      </c>
      <c r="C1217" s="1" t="n">
        <v>46076</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21587-2024</t>
        </is>
      </c>
      <c r="B1218" s="1" t="n">
        <v>45441</v>
      </c>
      <c r="C1218" s="1" t="n">
        <v>46076</v>
      </c>
      <c r="D1218" t="inlineStr">
        <is>
          <t>VÄRMLANDS LÄN</t>
        </is>
      </c>
      <c r="E1218" t="inlineStr">
        <is>
          <t>TORSBY</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17001-2024</t>
        </is>
      </c>
      <c r="B1219" s="1" t="n">
        <v>45412.35605324074</v>
      </c>
      <c r="C1219" s="1" t="n">
        <v>46076</v>
      </c>
      <c r="D1219" t="inlineStr">
        <is>
          <t>VÄRMLANDS LÄN</t>
        </is>
      </c>
      <c r="E1219" t="inlineStr">
        <is>
          <t>TORSBY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17018-2025</t>
        </is>
      </c>
      <c r="B1220" s="1" t="n">
        <v>45755</v>
      </c>
      <c r="C1220" s="1" t="n">
        <v>46076</v>
      </c>
      <c r="D1220" t="inlineStr">
        <is>
          <t>VÄRMLANDS LÄN</t>
        </is>
      </c>
      <c r="E1220" t="inlineStr">
        <is>
          <t>TORSBY</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38662-2025</t>
        </is>
      </c>
      <c r="B1221" s="1" t="n">
        <v>45884.61193287037</v>
      </c>
      <c r="C1221" s="1" t="n">
        <v>46076</v>
      </c>
      <c r="D1221" t="inlineStr">
        <is>
          <t>VÄRMLANDS LÄN</t>
        </is>
      </c>
      <c r="E1221" t="inlineStr">
        <is>
          <t>TORSBY</t>
        </is>
      </c>
      <c r="F1221" t="inlineStr">
        <is>
          <t>Bergvik skog väst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58707-2024</t>
        </is>
      </c>
      <c r="B1222" s="1" t="n">
        <v>45635</v>
      </c>
      <c r="C1222" s="1" t="n">
        <v>46076</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39069-2022</t>
        </is>
      </c>
      <c r="B1223" s="1" t="n">
        <v>44816</v>
      </c>
      <c r="C1223" s="1" t="n">
        <v>46076</v>
      </c>
      <c r="D1223" t="inlineStr">
        <is>
          <t>VÄRMLANDS LÄN</t>
        </is>
      </c>
      <c r="E1223" t="inlineStr">
        <is>
          <t>TORSBY</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40788-2022</t>
        </is>
      </c>
      <c r="B1224" s="1" t="n">
        <v>44824</v>
      </c>
      <c r="C1224" s="1" t="n">
        <v>46076</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50906-2025</t>
        </is>
      </c>
      <c r="B1225" s="1" t="n">
        <v>45946.65119212963</v>
      </c>
      <c r="C1225" s="1" t="n">
        <v>46076</v>
      </c>
      <c r="D1225" t="inlineStr">
        <is>
          <t>VÄRMLANDS LÄN</t>
        </is>
      </c>
      <c r="E1225" t="inlineStr">
        <is>
          <t>TORSBY</t>
        </is>
      </c>
      <c r="F1225" t="inlineStr">
        <is>
          <t>Kommuner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50918-2025</t>
        </is>
      </c>
      <c r="B1226" s="1" t="n">
        <v>45946.66516203704</v>
      </c>
      <c r="C1226" s="1" t="n">
        <v>46076</v>
      </c>
      <c r="D1226" t="inlineStr">
        <is>
          <t>VÄRMLANDS LÄN</t>
        </is>
      </c>
      <c r="E1226" t="inlineStr">
        <is>
          <t>TORSBY</t>
        </is>
      </c>
      <c r="F1226" t="inlineStr">
        <is>
          <t>Kommuner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50927-2025</t>
        </is>
      </c>
      <c r="B1227" s="1" t="n">
        <v>45946.67895833333</v>
      </c>
      <c r="C1227" s="1" t="n">
        <v>46076</v>
      </c>
      <c r="D1227" t="inlineStr">
        <is>
          <t>VÄRMLANDS LÄN</t>
        </is>
      </c>
      <c r="E1227" t="inlineStr">
        <is>
          <t>TORSBY</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52483-2022</t>
        </is>
      </c>
      <c r="B1228" s="1" t="n">
        <v>44874.48637731482</v>
      </c>
      <c r="C1228" s="1" t="n">
        <v>46076</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48762-2023</t>
        </is>
      </c>
      <c r="B1229" s="1" t="n">
        <v>45208</v>
      </c>
      <c r="C1229" s="1" t="n">
        <v>46076</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51215-2025</t>
        </is>
      </c>
      <c r="B1230" s="1" t="n">
        <v>45947.64357638889</v>
      </c>
      <c r="C1230" s="1" t="n">
        <v>46076</v>
      </c>
      <c r="D1230" t="inlineStr">
        <is>
          <t>VÄRMLANDS LÄN</t>
        </is>
      </c>
      <c r="E1230" t="inlineStr">
        <is>
          <t>TORSBY</t>
        </is>
      </c>
      <c r="F1230" t="inlineStr">
        <is>
          <t>Bergvik skog väst AB</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51219-2025</t>
        </is>
      </c>
      <c r="B1231" s="1" t="n">
        <v>45947.64710648148</v>
      </c>
      <c r="C1231" s="1" t="n">
        <v>46076</v>
      </c>
      <c r="D1231" t="inlineStr">
        <is>
          <t>VÄRMLANDS LÄN</t>
        </is>
      </c>
      <c r="E1231" t="inlineStr">
        <is>
          <t>TORSBY</t>
        </is>
      </c>
      <c r="F1231" t="inlineStr">
        <is>
          <t>Bergvik skog väst AB</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51661-2024</t>
        </is>
      </c>
      <c r="B1232" s="1" t="n">
        <v>45606.74392361111</v>
      </c>
      <c r="C1232" s="1" t="n">
        <v>46076</v>
      </c>
      <c r="D1232" t="inlineStr">
        <is>
          <t>VÄRMLANDS LÄN</t>
        </is>
      </c>
      <c r="E1232" t="inlineStr">
        <is>
          <t>TORSBY</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51663-2024</t>
        </is>
      </c>
      <c r="B1233" s="1" t="n">
        <v>45606.76396990741</v>
      </c>
      <c r="C1233" s="1" t="n">
        <v>46076</v>
      </c>
      <c r="D1233" t="inlineStr">
        <is>
          <t>VÄRMLANDS LÄN</t>
        </is>
      </c>
      <c r="E1233" t="inlineStr">
        <is>
          <t>TORSBY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51113-2025</t>
        </is>
      </c>
      <c r="B1234" s="1" t="n">
        <v>45947.51290509259</v>
      </c>
      <c r="C1234" s="1" t="n">
        <v>46076</v>
      </c>
      <c r="D1234" t="inlineStr">
        <is>
          <t>VÄRMLANDS LÄN</t>
        </is>
      </c>
      <c r="E1234" t="inlineStr">
        <is>
          <t>TORSBY</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3098-2023</t>
        </is>
      </c>
      <c r="B1235" s="1" t="n">
        <v>44946.46096064815</v>
      </c>
      <c r="C1235" s="1" t="n">
        <v>46076</v>
      </c>
      <c r="D1235" t="inlineStr">
        <is>
          <t>VÄRMLANDS LÄN</t>
        </is>
      </c>
      <c r="E1235" t="inlineStr">
        <is>
          <t>TORSBY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3103-2023</t>
        </is>
      </c>
      <c r="B1236" s="1" t="n">
        <v>44946</v>
      </c>
      <c r="C1236" s="1" t="n">
        <v>46076</v>
      </c>
      <c r="D1236" t="inlineStr">
        <is>
          <t>VÄRMLANDS LÄN</t>
        </is>
      </c>
      <c r="E1236" t="inlineStr">
        <is>
          <t>TORSBY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38795-2025</t>
        </is>
      </c>
      <c r="B1237" s="1" t="n">
        <v>45887</v>
      </c>
      <c r="C1237" s="1" t="n">
        <v>46076</v>
      </c>
      <c r="D1237" t="inlineStr">
        <is>
          <t>VÄRMLANDS LÄN</t>
        </is>
      </c>
      <c r="E1237" t="inlineStr">
        <is>
          <t>TORSBY</t>
        </is>
      </c>
      <c r="F1237" t="inlineStr">
        <is>
          <t>Bergvik skog väst AB</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50892-2025</t>
        </is>
      </c>
      <c r="B1238" s="1" t="n">
        <v>45946.63763888889</v>
      </c>
      <c r="C1238" s="1" t="n">
        <v>46076</v>
      </c>
      <c r="D1238" t="inlineStr">
        <is>
          <t>VÄRMLANDS LÄN</t>
        </is>
      </c>
      <c r="E1238" t="inlineStr">
        <is>
          <t>TORSBY</t>
        </is>
      </c>
      <c r="F1238" t="inlineStr">
        <is>
          <t>Kommuner</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50921-2025</t>
        </is>
      </c>
      <c r="B1239" s="1" t="n">
        <v>45946.67092592592</v>
      </c>
      <c r="C1239" s="1" t="n">
        <v>46076</v>
      </c>
      <c r="D1239" t="inlineStr">
        <is>
          <t>VÄRMLANDS LÄN</t>
        </is>
      </c>
      <c r="E1239" t="inlineStr">
        <is>
          <t>TORSBY</t>
        </is>
      </c>
      <c r="F1239" t="inlineStr">
        <is>
          <t>Kommuner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50750-2025</t>
        </is>
      </c>
      <c r="B1240" s="1" t="n">
        <v>45946.39091435185</v>
      </c>
      <c r="C1240" s="1" t="n">
        <v>46076</v>
      </c>
      <c r="D1240" t="inlineStr">
        <is>
          <t>VÄRMLANDS LÄN</t>
        </is>
      </c>
      <c r="E1240" t="inlineStr">
        <is>
          <t>TORSBY</t>
        </is>
      </c>
      <c r="F1240" t="inlineStr">
        <is>
          <t>Bergvik skog väst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17941-2021</t>
        </is>
      </c>
      <c r="B1241" s="1" t="n">
        <v>44301</v>
      </c>
      <c r="C1241" s="1" t="n">
        <v>46076</v>
      </c>
      <c r="D1241" t="inlineStr">
        <is>
          <t>VÄRMLANDS LÄN</t>
        </is>
      </c>
      <c r="E1241" t="inlineStr">
        <is>
          <t>TORSBY</t>
        </is>
      </c>
      <c r="F1241" t="inlineStr">
        <is>
          <t>Kommuner</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51793-2025</t>
        </is>
      </c>
      <c r="B1242" s="1" t="n">
        <v>45951.71525462963</v>
      </c>
      <c r="C1242" s="1" t="n">
        <v>46076</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15660-2025</t>
        </is>
      </c>
      <c r="B1243" s="1" t="n">
        <v>45748</v>
      </c>
      <c r="C1243" s="1" t="n">
        <v>46076</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20737-2023</t>
        </is>
      </c>
      <c r="B1244" s="1" t="n">
        <v>45058</v>
      </c>
      <c r="C1244" s="1" t="n">
        <v>46076</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62250-2023</t>
        </is>
      </c>
      <c r="B1245" s="1" t="n">
        <v>45266</v>
      </c>
      <c r="C1245" s="1" t="n">
        <v>46076</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51694-2025</t>
        </is>
      </c>
      <c r="B1246" s="1" t="n">
        <v>45951.54628472222</v>
      </c>
      <c r="C1246" s="1" t="n">
        <v>46076</v>
      </c>
      <c r="D1246" t="inlineStr">
        <is>
          <t>VÄRMLANDS LÄN</t>
        </is>
      </c>
      <c r="E1246" t="inlineStr">
        <is>
          <t>TORSBY</t>
        </is>
      </c>
      <c r="F1246" t="inlineStr">
        <is>
          <t>Bergvik skog väst AB</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8428-2025</t>
        </is>
      </c>
      <c r="B1247" s="1" t="n">
        <v>45709.41995370371</v>
      </c>
      <c r="C1247" s="1" t="n">
        <v>46076</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51587-2025</t>
        </is>
      </c>
      <c r="B1248" s="1" t="n">
        <v>45951.35355324074</v>
      </c>
      <c r="C1248" s="1" t="n">
        <v>46076</v>
      </c>
      <c r="D1248" t="inlineStr">
        <is>
          <t>VÄRMLANDS LÄN</t>
        </is>
      </c>
      <c r="E1248" t="inlineStr">
        <is>
          <t>TORSBY</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51659-2025</t>
        </is>
      </c>
      <c r="B1249" s="1" t="n">
        <v>45951.47482638889</v>
      </c>
      <c r="C1249" s="1" t="n">
        <v>46076</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32496-2022</t>
        </is>
      </c>
      <c r="B1250" s="1" t="n">
        <v>44782</v>
      </c>
      <c r="C1250" s="1" t="n">
        <v>46076</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57071-2022</t>
        </is>
      </c>
      <c r="B1251" s="1" t="n">
        <v>44895.42334490741</v>
      </c>
      <c r="C1251" s="1" t="n">
        <v>46076</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51637-2025</t>
        </is>
      </c>
      <c r="B1252" s="1" t="n">
        <v>45951.43625</v>
      </c>
      <c r="C1252" s="1" t="n">
        <v>46076</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51754-2025</t>
        </is>
      </c>
      <c r="B1253" s="1" t="n">
        <v>45951.62231481481</v>
      </c>
      <c r="C1253" s="1" t="n">
        <v>46076</v>
      </c>
      <c r="D1253" t="inlineStr">
        <is>
          <t>VÄRMLANDS LÄN</t>
        </is>
      </c>
      <c r="E1253" t="inlineStr">
        <is>
          <t>TORSBY</t>
        </is>
      </c>
      <c r="F1253" t="inlineStr">
        <is>
          <t>Bergvik skog väst AB</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11195-2025</t>
        </is>
      </c>
      <c r="B1254" s="1" t="n">
        <v>45725.85177083333</v>
      </c>
      <c r="C1254" s="1" t="n">
        <v>46076</v>
      </c>
      <c r="D1254" t="inlineStr">
        <is>
          <t>VÄRMLANDS LÄN</t>
        </is>
      </c>
      <c r="E1254" t="inlineStr">
        <is>
          <t>TORSBY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56170-2023</t>
        </is>
      </c>
      <c r="B1255" s="1" t="n">
        <v>45240.62975694444</v>
      </c>
      <c r="C1255" s="1" t="n">
        <v>46076</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9578-2023</t>
        </is>
      </c>
      <c r="B1256" s="1" t="n">
        <v>44982.69790509259</v>
      </c>
      <c r="C1256" s="1" t="n">
        <v>46076</v>
      </c>
      <c r="D1256" t="inlineStr">
        <is>
          <t>VÄRMLANDS LÄN</t>
        </is>
      </c>
      <c r="E1256" t="inlineStr">
        <is>
          <t>TORSBY</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47241-2023</t>
        </is>
      </c>
      <c r="B1257" s="1" t="n">
        <v>45202.39821759259</v>
      </c>
      <c r="C1257" s="1" t="n">
        <v>46076</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55811-2021</t>
        </is>
      </c>
      <c r="B1258" s="1" t="n">
        <v>44476</v>
      </c>
      <c r="C1258" s="1" t="n">
        <v>46076</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52067-2025</t>
        </is>
      </c>
      <c r="B1259" s="1" t="n">
        <v>45952.64248842592</v>
      </c>
      <c r="C1259" s="1" t="n">
        <v>46076</v>
      </c>
      <c r="D1259" t="inlineStr">
        <is>
          <t>VÄRMLANDS LÄN</t>
        </is>
      </c>
      <c r="E1259" t="inlineStr">
        <is>
          <t>TORSBY</t>
        </is>
      </c>
      <c r="F1259" t="inlineStr">
        <is>
          <t>Bergvik skog väst AB</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52261-2025</t>
        </is>
      </c>
      <c r="B1260" s="1" t="n">
        <v>45952</v>
      </c>
      <c r="C1260" s="1" t="n">
        <v>46076</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57980-2023</t>
        </is>
      </c>
      <c r="B1261" s="1" t="n">
        <v>45247.59328703704</v>
      </c>
      <c r="C1261" s="1" t="n">
        <v>46076</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52277-2025</t>
        </is>
      </c>
      <c r="B1262" s="1" t="n">
        <v>45953.55915509259</v>
      </c>
      <c r="C1262" s="1" t="n">
        <v>46076</v>
      </c>
      <c r="D1262" t="inlineStr">
        <is>
          <t>VÄRMLANDS LÄN</t>
        </is>
      </c>
      <c r="E1262" t="inlineStr">
        <is>
          <t>TORSBY</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25090-2023</t>
        </is>
      </c>
      <c r="B1263" s="1" t="n">
        <v>45086</v>
      </c>
      <c r="C1263" s="1" t="n">
        <v>46076</v>
      </c>
      <c r="D1263" t="inlineStr">
        <is>
          <t>VÄRMLANDS LÄN</t>
        </is>
      </c>
      <c r="E1263" t="inlineStr">
        <is>
          <t>TORSBY</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51819-2025</t>
        </is>
      </c>
      <c r="B1264" s="1" t="n">
        <v>45951.88194444445</v>
      </c>
      <c r="C1264" s="1" t="n">
        <v>46076</v>
      </c>
      <c r="D1264" t="inlineStr">
        <is>
          <t>VÄRMLANDS LÄN</t>
        </is>
      </c>
      <c r="E1264" t="inlineStr">
        <is>
          <t>TORSBY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15315-2024</t>
        </is>
      </c>
      <c r="B1265" s="1" t="n">
        <v>45400</v>
      </c>
      <c r="C1265" s="1" t="n">
        <v>46076</v>
      </c>
      <c r="D1265" t="inlineStr">
        <is>
          <t>VÄRMLANDS LÄN</t>
        </is>
      </c>
      <c r="E1265" t="inlineStr">
        <is>
          <t>TORSBY</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51873-2025</t>
        </is>
      </c>
      <c r="B1266" s="1" t="n">
        <v>45952.39040509259</v>
      </c>
      <c r="C1266" s="1" t="n">
        <v>46076</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52364-2025</t>
        </is>
      </c>
      <c r="B1267" s="1" t="n">
        <v>45952</v>
      </c>
      <c r="C1267" s="1" t="n">
        <v>46076</v>
      </c>
      <c r="D1267" t="inlineStr">
        <is>
          <t>VÄRMLANDS LÄN</t>
        </is>
      </c>
      <c r="E1267" t="inlineStr">
        <is>
          <t>TORSBY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51914-2025</t>
        </is>
      </c>
      <c r="B1268" s="1" t="n">
        <v>45952.47380787037</v>
      </c>
      <c r="C1268" s="1" t="n">
        <v>46076</v>
      </c>
      <c r="D1268" t="inlineStr">
        <is>
          <t>VÄRMLANDS LÄN</t>
        </is>
      </c>
      <c r="E1268" t="inlineStr">
        <is>
          <t>TORSBY</t>
        </is>
      </c>
      <c r="F1268" t="inlineStr">
        <is>
          <t>Kyrkan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51927-2025</t>
        </is>
      </c>
      <c r="B1269" s="1" t="n">
        <v>45952.49587962963</v>
      </c>
      <c r="C1269" s="1" t="n">
        <v>46076</v>
      </c>
      <c r="D1269" t="inlineStr">
        <is>
          <t>VÄRMLANDS LÄN</t>
        </is>
      </c>
      <c r="E1269" t="inlineStr">
        <is>
          <t>TORSBY</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52089-2025</t>
        </is>
      </c>
      <c r="B1270" s="1" t="n">
        <v>45952.67644675926</v>
      </c>
      <c r="C1270" s="1" t="n">
        <v>46076</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46233-2023</t>
        </is>
      </c>
      <c r="B1271" s="1" t="n">
        <v>45196.69575231482</v>
      </c>
      <c r="C1271" s="1" t="n">
        <v>46076</v>
      </c>
      <c r="D1271" t="inlineStr">
        <is>
          <t>VÄRMLANDS LÄN</t>
        </is>
      </c>
      <c r="E1271" t="inlineStr">
        <is>
          <t>TORSBY</t>
        </is>
      </c>
      <c r="F1271" t="inlineStr">
        <is>
          <t>Kyrkan</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36850-2024</t>
        </is>
      </c>
      <c r="B1272" s="1" t="n">
        <v>45538</v>
      </c>
      <c r="C1272" s="1" t="n">
        <v>46076</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13924-2025</t>
        </is>
      </c>
      <c r="B1273" s="1" t="n">
        <v>45737</v>
      </c>
      <c r="C1273" s="1" t="n">
        <v>46076</v>
      </c>
      <c r="D1273" t="inlineStr">
        <is>
          <t>VÄRMLANDS LÄN</t>
        </is>
      </c>
      <c r="E1273" t="inlineStr">
        <is>
          <t>TORSBY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52359-2025</t>
        </is>
      </c>
      <c r="B1274" s="1" t="n">
        <v>45952</v>
      </c>
      <c r="C1274" s="1" t="n">
        <v>46076</v>
      </c>
      <c r="D1274" t="inlineStr">
        <is>
          <t>VÄRMLANDS LÄN</t>
        </is>
      </c>
      <c r="E1274" t="inlineStr">
        <is>
          <t>TORSBY</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51944-2025</t>
        </is>
      </c>
      <c r="B1275" s="1" t="n">
        <v>45952.52608796296</v>
      </c>
      <c r="C1275" s="1" t="n">
        <v>46076</v>
      </c>
      <c r="D1275" t="inlineStr">
        <is>
          <t>VÄRMLANDS LÄN</t>
        </is>
      </c>
      <c r="E1275" t="inlineStr">
        <is>
          <t>TORSBY</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52026-2025</t>
        </is>
      </c>
      <c r="B1276" s="1" t="n">
        <v>45952</v>
      </c>
      <c r="C1276" s="1" t="n">
        <v>46076</v>
      </c>
      <c r="D1276" t="inlineStr">
        <is>
          <t>VÄRMLANDS LÄN</t>
        </is>
      </c>
      <c r="E1276" t="inlineStr">
        <is>
          <t>TORSBY</t>
        </is>
      </c>
      <c r="F1276" t="inlineStr">
        <is>
          <t>Bergvik skog väst AB</t>
        </is>
      </c>
      <c r="G1276" t="n">
        <v>15.7</v>
      </c>
      <c r="H1276" t="n">
        <v>0</v>
      </c>
      <c r="I1276" t="n">
        <v>0</v>
      </c>
      <c r="J1276" t="n">
        <v>0</v>
      </c>
      <c r="K1276" t="n">
        <v>0</v>
      </c>
      <c r="L1276" t="n">
        <v>0</v>
      </c>
      <c r="M1276" t="n">
        <v>0</v>
      </c>
      <c r="N1276" t="n">
        <v>0</v>
      </c>
      <c r="O1276" t="n">
        <v>0</v>
      </c>
      <c r="P1276" t="n">
        <v>0</v>
      </c>
      <c r="Q1276" t="n">
        <v>0</v>
      </c>
      <c r="R1276" s="2" t="inlineStr"/>
    </row>
    <row r="1277" ht="15" customHeight="1">
      <c r="A1277" t="inlineStr">
        <is>
          <t>A 52045-2025</t>
        </is>
      </c>
      <c r="B1277" s="1" t="n">
        <v>45952.61650462963</v>
      </c>
      <c r="C1277" s="1" t="n">
        <v>46076</v>
      </c>
      <c r="D1277" t="inlineStr">
        <is>
          <t>VÄRMLANDS LÄN</t>
        </is>
      </c>
      <c r="E1277" t="inlineStr">
        <is>
          <t>TORSBY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52358-2025</t>
        </is>
      </c>
      <c r="B1278" s="1" t="n">
        <v>45952</v>
      </c>
      <c r="C1278" s="1" t="n">
        <v>46076</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52762-2025</t>
        </is>
      </c>
      <c r="B1279" s="1" t="n">
        <v>45957.39813657408</v>
      </c>
      <c r="C1279" s="1" t="n">
        <v>46076</v>
      </c>
      <c r="D1279" t="inlineStr">
        <is>
          <t>VÄRMLANDS LÄN</t>
        </is>
      </c>
      <c r="E1279" t="inlineStr">
        <is>
          <t>TORSBY</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52493-2025</t>
        </is>
      </c>
      <c r="B1280" s="1" t="n">
        <v>45954.48518518519</v>
      </c>
      <c r="C1280" s="1" t="n">
        <v>46076</v>
      </c>
      <c r="D1280" t="inlineStr">
        <is>
          <t>VÄRMLANDS LÄN</t>
        </is>
      </c>
      <c r="E1280" t="inlineStr">
        <is>
          <t>TORSBY</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52796-2025</t>
        </is>
      </c>
      <c r="B1281" s="1" t="n">
        <v>45957.43682870371</v>
      </c>
      <c r="C1281" s="1" t="n">
        <v>46076</v>
      </c>
      <c r="D1281" t="inlineStr">
        <is>
          <t>VÄRMLANDS LÄN</t>
        </is>
      </c>
      <c r="E1281" t="inlineStr">
        <is>
          <t>TORSBY</t>
        </is>
      </c>
      <c r="G1281" t="n">
        <v>17.7</v>
      </c>
      <c r="H1281" t="n">
        <v>0</v>
      </c>
      <c r="I1281" t="n">
        <v>0</v>
      </c>
      <c r="J1281" t="n">
        <v>0</v>
      </c>
      <c r="K1281" t="n">
        <v>0</v>
      </c>
      <c r="L1281" t="n">
        <v>0</v>
      </c>
      <c r="M1281" t="n">
        <v>0</v>
      </c>
      <c r="N1281" t="n">
        <v>0</v>
      </c>
      <c r="O1281" t="n">
        <v>0</v>
      </c>
      <c r="P1281" t="n">
        <v>0</v>
      </c>
      <c r="Q1281" t="n">
        <v>0</v>
      </c>
      <c r="R1281" s="2" t="inlineStr"/>
    </row>
    <row r="1282" ht="15" customHeight="1">
      <c r="A1282" t="inlineStr">
        <is>
          <t>A 52822-2025</t>
        </is>
      </c>
      <c r="B1282" s="1" t="n">
        <v>45957.45693287037</v>
      </c>
      <c r="C1282" s="1" t="n">
        <v>46076</v>
      </c>
      <c r="D1282" t="inlineStr">
        <is>
          <t>VÄRMLANDS LÄN</t>
        </is>
      </c>
      <c r="E1282" t="inlineStr">
        <is>
          <t>TORSBY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52918-2025</t>
        </is>
      </c>
      <c r="B1283" s="1" t="n">
        <v>45957.6122337963</v>
      </c>
      <c r="C1283" s="1" t="n">
        <v>46076</v>
      </c>
      <c r="D1283" t="inlineStr">
        <is>
          <t>VÄRMLANDS LÄN</t>
        </is>
      </c>
      <c r="E1283" t="inlineStr">
        <is>
          <t>TORSBY</t>
        </is>
      </c>
      <c r="F1283" t="inlineStr">
        <is>
          <t>Bergvik skog väst AB</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52747-2025</t>
        </is>
      </c>
      <c r="B1284" s="1" t="n">
        <v>45957.38515046296</v>
      </c>
      <c r="C1284" s="1" t="n">
        <v>46076</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52843-2025</t>
        </is>
      </c>
      <c r="B1285" s="1" t="n">
        <v>45957</v>
      </c>
      <c r="C1285" s="1" t="n">
        <v>46076</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52564-2025</t>
        </is>
      </c>
      <c r="B1286" s="1" t="n">
        <v>45954</v>
      </c>
      <c r="C1286" s="1" t="n">
        <v>46076</v>
      </c>
      <c r="D1286" t="inlineStr">
        <is>
          <t>VÄRMLANDS LÄN</t>
        </is>
      </c>
      <c r="E1286" t="inlineStr">
        <is>
          <t>TORSBY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52587-2025</t>
        </is>
      </c>
      <c r="B1287" s="1" t="n">
        <v>45954.63325231482</v>
      </c>
      <c r="C1287" s="1" t="n">
        <v>46076</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52931-2025</t>
        </is>
      </c>
      <c r="B1288" s="1" t="n">
        <v>45957.62225694444</v>
      </c>
      <c r="C1288" s="1" t="n">
        <v>46076</v>
      </c>
      <c r="D1288" t="inlineStr">
        <is>
          <t>VÄRMLANDS LÄN</t>
        </is>
      </c>
      <c r="E1288" t="inlineStr">
        <is>
          <t>TORSBY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52981-2025</t>
        </is>
      </c>
      <c r="B1289" s="1" t="n">
        <v>45957.68748842592</v>
      </c>
      <c r="C1289" s="1" t="n">
        <v>46076</v>
      </c>
      <c r="D1289" t="inlineStr">
        <is>
          <t>VÄRMLANDS LÄN</t>
        </is>
      </c>
      <c r="E1289" t="inlineStr">
        <is>
          <t>TORSBY</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7643-2025</t>
        </is>
      </c>
      <c r="B1290" s="1" t="n">
        <v>45705.78703703704</v>
      </c>
      <c r="C1290" s="1" t="n">
        <v>46076</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52731-2025</t>
        </is>
      </c>
      <c r="B1291" s="1" t="n">
        <v>45957.36682870371</v>
      </c>
      <c r="C1291" s="1" t="n">
        <v>46076</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11259-2024</t>
        </is>
      </c>
      <c r="B1292" s="1" t="n">
        <v>45371</v>
      </c>
      <c r="C1292" s="1" t="n">
        <v>46076</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52737-2025</t>
        </is>
      </c>
      <c r="B1293" s="1" t="n">
        <v>45957.37336805555</v>
      </c>
      <c r="C1293" s="1" t="n">
        <v>46076</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52577-2025</t>
        </is>
      </c>
      <c r="B1294" s="1" t="n">
        <v>45954</v>
      </c>
      <c r="C1294" s="1" t="n">
        <v>46076</v>
      </c>
      <c r="D1294" t="inlineStr">
        <is>
          <t>VÄRMLANDS LÄN</t>
        </is>
      </c>
      <c r="E1294" t="inlineStr">
        <is>
          <t>TORSBY</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52609-2025</t>
        </is>
      </c>
      <c r="B1295" s="1" t="n">
        <v>45954.66649305556</v>
      </c>
      <c r="C1295" s="1" t="n">
        <v>46076</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52947-2025</t>
        </is>
      </c>
      <c r="B1296" s="1" t="n">
        <v>45954</v>
      </c>
      <c r="C1296" s="1" t="n">
        <v>46076</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52994-2025</t>
        </is>
      </c>
      <c r="B1297" s="1" t="n">
        <v>45957.72753472222</v>
      </c>
      <c r="C1297" s="1" t="n">
        <v>46076</v>
      </c>
      <c r="D1297" t="inlineStr">
        <is>
          <t>VÄRMLANDS LÄN</t>
        </is>
      </c>
      <c r="E1297" t="inlineStr">
        <is>
          <t>TORSBY</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34405-2023</t>
        </is>
      </c>
      <c r="B1298" s="1" t="n">
        <v>45139.55131944444</v>
      </c>
      <c r="C1298" s="1" t="n">
        <v>46076</v>
      </c>
      <c r="D1298" t="inlineStr">
        <is>
          <t>VÄRMLANDS LÄN</t>
        </is>
      </c>
      <c r="E1298" t="inlineStr">
        <is>
          <t>TORSBY</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52512-2025</t>
        </is>
      </c>
      <c r="B1299" s="1" t="n">
        <v>45954.50771990741</v>
      </c>
      <c r="C1299" s="1" t="n">
        <v>46076</v>
      </c>
      <c r="D1299" t="inlineStr">
        <is>
          <t>VÄRMLANDS LÄN</t>
        </is>
      </c>
      <c r="E1299" t="inlineStr">
        <is>
          <t>TORSBY</t>
        </is>
      </c>
      <c r="F1299" t="inlineStr">
        <is>
          <t>Bergvik skog väst AB</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52436-2025</t>
        </is>
      </c>
      <c r="B1300" s="1" t="n">
        <v>45954.39688657408</v>
      </c>
      <c r="C1300" s="1" t="n">
        <v>46076</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34697-2024</t>
        </is>
      </c>
      <c r="B1301" s="1" t="n">
        <v>45526.55518518519</v>
      </c>
      <c r="C1301" s="1" t="n">
        <v>46076</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52982-2025</t>
        </is>
      </c>
      <c r="B1302" s="1" t="n">
        <v>45957.69270833334</v>
      </c>
      <c r="C1302" s="1" t="n">
        <v>46076</v>
      </c>
      <c r="D1302" t="inlineStr">
        <is>
          <t>VÄRMLANDS LÄN</t>
        </is>
      </c>
      <c r="E1302" t="inlineStr">
        <is>
          <t>TORSBY</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52995-2025</t>
        </is>
      </c>
      <c r="B1303" s="1" t="n">
        <v>45957</v>
      </c>
      <c r="C1303" s="1" t="n">
        <v>46076</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52489-2025</t>
        </is>
      </c>
      <c r="B1304" s="1" t="n">
        <v>45954.48056712963</v>
      </c>
      <c r="C1304" s="1" t="n">
        <v>46076</v>
      </c>
      <c r="D1304" t="inlineStr">
        <is>
          <t>VÄRMLANDS LÄN</t>
        </is>
      </c>
      <c r="E1304" t="inlineStr">
        <is>
          <t>TORSBY</t>
        </is>
      </c>
      <c r="F1304" t="inlineStr">
        <is>
          <t>Bergvik skog väst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52787-2025</t>
        </is>
      </c>
      <c r="B1305" s="1" t="n">
        <v>45957.42736111111</v>
      </c>
      <c r="C1305" s="1" t="n">
        <v>46076</v>
      </c>
      <c r="D1305" t="inlineStr">
        <is>
          <t>VÄRMLANDS LÄN</t>
        </is>
      </c>
      <c r="E1305" t="inlineStr">
        <is>
          <t>TORSBY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52847-2025</t>
        </is>
      </c>
      <c r="B1306" s="1" t="n">
        <v>45957.48972222222</v>
      </c>
      <c r="C1306" s="1" t="n">
        <v>46076</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60383-2024</t>
        </is>
      </c>
      <c r="B1307" s="1" t="n">
        <v>45643.47674768518</v>
      </c>
      <c r="C1307" s="1" t="n">
        <v>46076</v>
      </c>
      <c r="D1307" t="inlineStr">
        <is>
          <t>VÄRMLANDS LÄN</t>
        </is>
      </c>
      <c r="E1307" t="inlineStr">
        <is>
          <t>TORSBY</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60386-2024</t>
        </is>
      </c>
      <c r="B1308" s="1" t="n">
        <v>45643</v>
      </c>
      <c r="C1308" s="1" t="n">
        <v>46076</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52509-2025</t>
        </is>
      </c>
      <c r="B1309" s="1" t="n">
        <v>45954.50586805555</v>
      </c>
      <c r="C1309" s="1" t="n">
        <v>46076</v>
      </c>
      <c r="D1309" t="inlineStr">
        <is>
          <t>VÄRMLANDS LÄN</t>
        </is>
      </c>
      <c r="E1309" t="inlineStr">
        <is>
          <t>TORSBY</t>
        </is>
      </c>
      <c r="F1309" t="inlineStr">
        <is>
          <t>Bergvik skog väst AB</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45548-2024</t>
        </is>
      </c>
      <c r="B1310" s="1" t="n">
        <v>45579</v>
      </c>
      <c r="C1310" s="1" t="n">
        <v>46076</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52852-2025</t>
        </is>
      </c>
      <c r="B1311" s="1" t="n">
        <v>45957.49319444445</v>
      </c>
      <c r="C1311" s="1" t="n">
        <v>46076</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52891-2025</t>
        </is>
      </c>
      <c r="B1312" s="1" t="n">
        <v>45957.57776620371</v>
      </c>
      <c r="C1312" s="1" t="n">
        <v>46076</v>
      </c>
      <c r="D1312" t="inlineStr">
        <is>
          <t>VÄRMLANDS LÄN</t>
        </is>
      </c>
      <c r="E1312" t="inlineStr">
        <is>
          <t>TORSBY</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17065-2025</t>
        </is>
      </c>
      <c r="B1313" s="1" t="n">
        <v>45754</v>
      </c>
      <c r="C1313" s="1" t="n">
        <v>46076</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52741-2025</t>
        </is>
      </c>
      <c r="B1314" s="1" t="n">
        <v>45957.3778587963</v>
      </c>
      <c r="C1314" s="1" t="n">
        <v>46076</v>
      </c>
      <c r="D1314" t="inlineStr">
        <is>
          <t>VÄRMLANDS LÄN</t>
        </is>
      </c>
      <c r="E1314" t="inlineStr">
        <is>
          <t>TORSBY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52754-2025</t>
        </is>
      </c>
      <c r="B1315" s="1" t="n">
        <v>45957.39010416667</v>
      </c>
      <c r="C1315" s="1" t="n">
        <v>46076</v>
      </c>
      <c r="D1315" t="inlineStr">
        <is>
          <t>VÄRMLANDS LÄN</t>
        </is>
      </c>
      <c r="E1315" t="inlineStr">
        <is>
          <t>TORSBY</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52772-2025</t>
        </is>
      </c>
      <c r="B1316" s="1" t="n">
        <v>45957.41255787037</v>
      </c>
      <c r="C1316" s="1" t="n">
        <v>46076</v>
      </c>
      <c r="D1316" t="inlineStr">
        <is>
          <t>VÄRMLANDS LÄN</t>
        </is>
      </c>
      <c r="E1316" t="inlineStr">
        <is>
          <t>TORSBY</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52774-2025</t>
        </is>
      </c>
      <c r="B1317" s="1" t="n">
        <v>45957.41480324074</v>
      </c>
      <c r="C1317" s="1" t="n">
        <v>46076</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60477-2024</t>
        </is>
      </c>
      <c r="B1318" s="1" t="n">
        <v>45643</v>
      </c>
      <c r="C1318" s="1" t="n">
        <v>46076</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57647-2023</t>
        </is>
      </c>
      <c r="B1319" s="1" t="n">
        <v>45246.59627314815</v>
      </c>
      <c r="C1319" s="1" t="n">
        <v>46076</v>
      </c>
      <c r="D1319" t="inlineStr">
        <is>
          <t>VÄRMLANDS LÄN</t>
        </is>
      </c>
      <c r="E1319" t="inlineStr">
        <is>
          <t>TORSBY</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53113-2025</t>
        </is>
      </c>
      <c r="B1320" s="1" t="n">
        <v>45958.44431712963</v>
      </c>
      <c r="C1320" s="1" t="n">
        <v>46076</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53123-2025</t>
        </is>
      </c>
      <c r="B1321" s="1" t="n">
        <v>45958.45204861111</v>
      </c>
      <c r="C1321" s="1" t="n">
        <v>46076</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21089-2022</t>
        </is>
      </c>
      <c r="B1322" s="1" t="n">
        <v>44704</v>
      </c>
      <c r="C1322" s="1" t="n">
        <v>46076</v>
      </c>
      <c r="D1322" t="inlineStr">
        <is>
          <t>VÄRMLANDS LÄN</t>
        </is>
      </c>
      <c r="E1322" t="inlineStr">
        <is>
          <t>TORSBY</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53331-2024</t>
        </is>
      </c>
      <c r="B1323" s="1" t="n">
        <v>45614</v>
      </c>
      <c r="C1323" s="1" t="n">
        <v>46076</v>
      </c>
      <c r="D1323" t="inlineStr">
        <is>
          <t>VÄRMLANDS LÄN</t>
        </is>
      </c>
      <c r="E1323" t="inlineStr">
        <is>
          <t>TORSBY</t>
        </is>
      </c>
      <c r="F1323" t="inlineStr">
        <is>
          <t>Bergvik skog väst AB</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53383-2025</t>
        </is>
      </c>
      <c r="B1324" s="1" t="n">
        <v>45959.54097222222</v>
      </c>
      <c r="C1324" s="1" t="n">
        <v>46076</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53107-2025</t>
        </is>
      </c>
      <c r="B1325" s="1" t="n">
        <v>45958.43576388889</v>
      </c>
      <c r="C1325" s="1" t="n">
        <v>46076</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53165-2025</t>
        </is>
      </c>
      <c r="B1326" s="1" t="n">
        <v>45958.50232638889</v>
      </c>
      <c r="C1326" s="1" t="n">
        <v>46076</v>
      </c>
      <c r="D1326" t="inlineStr">
        <is>
          <t>VÄRMLANDS LÄN</t>
        </is>
      </c>
      <c r="E1326" t="inlineStr">
        <is>
          <t>TORSBY</t>
        </is>
      </c>
      <c r="F1326" t="inlineStr">
        <is>
          <t>Bergvik skog väst AB</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53266-2025</t>
        </is>
      </c>
      <c r="B1327" s="1" t="n">
        <v>45958.6834837963</v>
      </c>
      <c r="C1327" s="1" t="n">
        <v>46076</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16591-2024</t>
        </is>
      </c>
      <c r="B1328" s="1" t="n">
        <v>45408.49420138889</v>
      </c>
      <c r="C1328" s="1" t="n">
        <v>46076</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53014-2025</t>
        </is>
      </c>
      <c r="B1329" s="1" t="n">
        <v>45957.81865740741</v>
      </c>
      <c r="C1329" s="1" t="n">
        <v>46076</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53049-2025</t>
        </is>
      </c>
      <c r="B1330" s="1" t="n">
        <v>45958.36173611111</v>
      </c>
      <c r="C1330" s="1" t="n">
        <v>46076</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53272-2025</t>
        </is>
      </c>
      <c r="B1331" s="1" t="n">
        <v>45958.71019675926</v>
      </c>
      <c r="C1331" s="1" t="n">
        <v>46076</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56021-2023</t>
        </is>
      </c>
      <c r="B1332" s="1" t="n">
        <v>45240</v>
      </c>
      <c r="C1332" s="1" t="n">
        <v>46076</v>
      </c>
      <c r="D1332" t="inlineStr">
        <is>
          <t>VÄRMLANDS LÄN</t>
        </is>
      </c>
      <c r="E1332" t="inlineStr">
        <is>
          <t>TORSBY</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32340-2024</t>
        </is>
      </c>
      <c r="B1333" s="1" t="n">
        <v>45512.50826388889</v>
      </c>
      <c r="C1333" s="1" t="n">
        <v>46076</v>
      </c>
      <c r="D1333" t="inlineStr">
        <is>
          <t>VÄRMLANDS LÄN</t>
        </is>
      </c>
      <c r="E1333" t="inlineStr">
        <is>
          <t>TORSBY</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53605-2025</t>
        </is>
      </c>
      <c r="B1334" s="1" t="n">
        <v>45960.46434027778</v>
      </c>
      <c r="C1334" s="1" t="n">
        <v>46076</v>
      </c>
      <c r="D1334" t="inlineStr">
        <is>
          <t>VÄRMLANDS LÄN</t>
        </is>
      </c>
      <c r="E1334" t="inlineStr">
        <is>
          <t>TORSBY</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36917-2024</t>
        </is>
      </c>
      <c r="B1335" s="1" t="n">
        <v>45538.65065972223</v>
      </c>
      <c r="C1335" s="1" t="n">
        <v>46076</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36922-2024</t>
        </is>
      </c>
      <c r="B1336" s="1" t="n">
        <v>45538</v>
      </c>
      <c r="C1336" s="1" t="n">
        <v>46076</v>
      </c>
      <c r="D1336" t="inlineStr">
        <is>
          <t>VÄRMLANDS LÄN</t>
        </is>
      </c>
      <c r="E1336" t="inlineStr">
        <is>
          <t>TORSBY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53493-2025</t>
        </is>
      </c>
      <c r="B1337" s="1" t="n">
        <v>45960</v>
      </c>
      <c r="C1337" s="1" t="n">
        <v>46076</v>
      </c>
      <c r="D1337" t="inlineStr">
        <is>
          <t>VÄRMLANDS LÄN</t>
        </is>
      </c>
      <c r="E1337" t="inlineStr">
        <is>
          <t>TORSBY</t>
        </is>
      </c>
      <c r="F1337" t="inlineStr">
        <is>
          <t>Bergvik skog väst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53677-2025</t>
        </is>
      </c>
      <c r="B1338" s="1" t="n">
        <v>45960.56180555555</v>
      </c>
      <c r="C1338" s="1" t="n">
        <v>46076</v>
      </c>
      <c r="D1338" t="inlineStr">
        <is>
          <t>VÄRMLANDS LÄN</t>
        </is>
      </c>
      <c r="E1338" t="inlineStr">
        <is>
          <t>TORSBY</t>
        </is>
      </c>
      <c r="F1338" t="inlineStr">
        <is>
          <t>Bergvik skog väst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53520-2025</t>
        </is>
      </c>
      <c r="B1339" s="1" t="n">
        <v>45960.35893518518</v>
      </c>
      <c r="C1339" s="1" t="n">
        <v>46076</v>
      </c>
      <c r="D1339" t="inlineStr">
        <is>
          <t>VÄRMLANDS LÄN</t>
        </is>
      </c>
      <c r="E1339" t="inlineStr">
        <is>
          <t>TORSBY</t>
        </is>
      </c>
      <c r="F1339" t="inlineStr">
        <is>
          <t>Bergvik skog väst AB</t>
        </is>
      </c>
      <c r="G1339" t="n">
        <v>16.5</v>
      </c>
      <c r="H1339" t="n">
        <v>0</v>
      </c>
      <c r="I1339" t="n">
        <v>0</v>
      </c>
      <c r="J1339" t="n">
        <v>0</v>
      </c>
      <c r="K1339" t="n">
        <v>0</v>
      </c>
      <c r="L1339" t="n">
        <v>0</v>
      </c>
      <c r="M1339" t="n">
        <v>0</v>
      </c>
      <c r="N1339" t="n">
        <v>0</v>
      </c>
      <c r="O1339" t="n">
        <v>0</v>
      </c>
      <c r="P1339" t="n">
        <v>0</v>
      </c>
      <c r="Q1339" t="n">
        <v>0</v>
      </c>
      <c r="R1339" s="2" t="inlineStr"/>
    </row>
    <row r="1340" ht="15" customHeight="1">
      <c r="A1340" t="inlineStr">
        <is>
          <t>A 58956-2022</t>
        </is>
      </c>
      <c r="B1340" s="1" t="n">
        <v>44903.65895833333</v>
      </c>
      <c r="C1340" s="1" t="n">
        <v>46076</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345-2023</t>
        </is>
      </c>
      <c r="B1341" s="1" t="n">
        <v>44923</v>
      </c>
      <c r="C1341" s="1" t="n">
        <v>46076</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53763-2025</t>
        </is>
      </c>
      <c r="B1342" s="1" t="n">
        <v>45960.67592592593</v>
      </c>
      <c r="C1342" s="1" t="n">
        <v>46076</v>
      </c>
      <c r="D1342" t="inlineStr">
        <is>
          <t>VÄRMLANDS LÄN</t>
        </is>
      </c>
      <c r="E1342" t="inlineStr">
        <is>
          <t>TORSBY</t>
        </is>
      </c>
      <c r="F1342" t="inlineStr">
        <is>
          <t>Bergvik skog väst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53596-2025</t>
        </is>
      </c>
      <c r="B1343" s="1" t="n">
        <v>45960.44909722222</v>
      </c>
      <c r="C1343" s="1" t="n">
        <v>46076</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53848-2025</t>
        </is>
      </c>
      <c r="B1344" s="1" t="n">
        <v>45961.36832175926</v>
      </c>
      <c r="C1344" s="1" t="n">
        <v>46076</v>
      </c>
      <c r="D1344" t="inlineStr">
        <is>
          <t>VÄRMLANDS LÄN</t>
        </is>
      </c>
      <c r="E1344" t="inlineStr">
        <is>
          <t>TORSBY</t>
        </is>
      </c>
      <c r="G1344" t="n">
        <v>19.1</v>
      </c>
      <c r="H1344" t="n">
        <v>0</v>
      </c>
      <c r="I1344" t="n">
        <v>0</v>
      </c>
      <c r="J1344" t="n">
        <v>0</v>
      </c>
      <c r="K1344" t="n">
        <v>0</v>
      </c>
      <c r="L1344" t="n">
        <v>0</v>
      </c>
      <c r="M1344" t="n">
        <v>0</v>
      </c>
      <c r="N1344" t="n">
        <v>0</v>
      </c>
      <c r="O1344" t="n">
        <v>0</v>
      </c>
      <c r="P1344" t="n">
        <v>0</v>
      </c>
      <c r="Q1344" t="n">
        <v>0</v>
      </c>
      <c r="R1344" s="2" t="inlineStr"/>
    </row>
    <row r="1345" ht="15" customHeight="1">
      <c r="A1345" t="inlineStr">
        <is>
          <t>A 11872-2025</t>
        </is>
      </c>
      <c r="B1345" s="1" t="n">
        <v>45728.43021990741</v>
      </c>
      <c r="C1345" s="1" t="n">
        <v>46076</v>
      </c>
      <c r="D1345" t="inlineStr">
        <is>
          <t>VÄRMLANDS LÄN</t>
        </is>
      </c>
      <c r="E1345" t="inlineStr">
        <is>
          <t>TORSBY</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9203-2024</t>
        </is>
      </c>
      <c r="B1346" s="1" t="n">
        <v>45358</v>
      </c>
      <c r="C1346" s="1" t="n">
        <v>46076</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53601-2025</t>
        </is>
      </c>
      <c r="B1347" s="1" t="n">
        <v>45960.45984953704</v>
      </c>
      <c r="C1347" s="1" t="n">
        <v>46076</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27090-2024</t>
        </is>
      </c>
      <c r="B1348" s="1" t="n">
        <v>45471</v>
      </c>
      <c r="C1348" s="1" t="n">
        <v>46076</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54412-2025</t>
        </is>
      </c>
      <c r="B1349" s="1" t="n">
        <v>45965.46076388889</v>
      </c>
      <c r="C1349" s="1" t="n">
        <v>46076</v>
      </c>
      <c r="D1349" t="inlineStr">
        <is>
          <t>VÄRMLANDS LÄN</t>
        </is>
      </c>
      <c r="E1349" t="inlineStr">
        <is>
          <t>TORSBY</t>
        </is>
      </c>
      <c r="F1349" t="inlineStr">
        <is>
          <t>Bergvik skog väst AB</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53748-2024</t>
        </is>
      </c>
      <c r="B1350" s="1" t="n">
        <v>45615.48322916667</v>
      </c>
      <c r="C1350" s="1" t="n">
        <v>46076</v>
      </c>
      <c r="D1350" t="inlineStr">
        <is>
          <t>VÄRMLANDS LÄN</t>
        </is>
      </c>
      <c r="E1350" t="inlineStr">
        <is>
          <t>TORSBY</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53358-2024</t>
        </is>
      </c>
      <c r="B1351" s="1" t="n">
        <v>45614</v>
      </c>
      <c r="C1351" s="1" t="n">
        <v>46076</v>
      </c>
      <c r="D1351" t="inlineStr">
        <is>
          <t>VÄRMLANDS LÄN</t>
        </is>
      </c>
      <c r="E1351" t="inlineStr">
        <is>
          <t>TORSBY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54101-2025</t>
        </is>
      </c>
      <c r="B1352" s="1" t="n">
        <v>45964.42424768519</v>
      </c>
      <c r="C1352" s="1" t="n">
        <v>46076</v>
      </c>
      <c r="D1352" t="inlineStr">
        <is>
          <t>VÄRMLANDS LÄN</t>
        </is>
      </c>
      <c r="E1352" t="inlineStr">
        <is>
          <t>TORSBY</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54079-2025</t>
        </is>
      </c>
      <c r="B1353" s="1" t="n">
        <v>45964</v>
      </c>
      <c r="C1353" s="1" t="n">
        <v>46076</v>
      </c>
      <c r="D1353" t="inlineStr">
        <is>
          <t>VÄRMLANDS LÄN</t>
        </is>
      </c>
      <c r="E1353" t="inlineStr">
        <is>
          <t>TORSBY</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54144-2025</t>
        </is>
      </c>
      <c r="B1354" s="1" t="n">
        <v>45964.48305555555</v>
      </c>
      <c r="C1354" s="1" t="n">
        <v>46076</v>
      </c>
      <c r="D1354" t="inlineStr">
        <is>
          <t>VÄRMLANDS LÄN</t>
        </is>
      </c>
      <c r="E1354" t="inlineStr">
        <is>
          <t>TORSBY</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44423-2024</t>
        </is>
      </c>
      <c r="B1355" s="1" t="n">
        <v>45573</v>
      </c>
      <c r="C1355" s="1" t="n">
        <v>46076</v>
      </c>
      <c r="D1355" t="inlineStr">
        <is>
          <t>VÄRMLANDS LÄN</t>
        </is>
      </c>
      <c r="E1355" t="inlineStr">
        <is>
          <t>TORSBY</t>
        </is>
      </c>
      <c r="G1355" t="n">
        <v>34.1</v>
      </c>
      <c r="H1355" t="n">
        <v>0</v>
      </c>
      <c r="I1355" t="n">
        <v>0</v>
      </c>
      <c r="J1355" t="n">
        <v>0</v>
      </c>
      <c r="K1355" t="n">
        <v>0</v>
      </c>
      <c r="L1355" t="n">
        <v>0</v>
      </c>
      <c r="M1355" t="n">
        <v>0</v>
      </c>
      <c r="N1355" t="n">
        <v>0</v>
      </c>
      <c r="O1355" t="n">
        <v>0</v>
      </c>
      <c r="P1355" t="n">
        <v>0</v>
      </c>
      <c r="Q1355" t="n">
        <v>0</v>
      </c>
      <c r="R1355" s="2" t="inlineStr"/>
    </row>
    <row r="1356" ht="15" customHeight="1">
      <c r="A1356" t="inlineStr">
        <is>
          <t>A 25579-2023</t>
        </is>
      </c>
      <c r="B1356" s="1" t="n">
        <v>45089.62266203704</v>
      </c>
      <c r="C1356" s="1" t="n">
        <v>46076</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7283-2023</t>
        </is>
      </c>
      <c r="B1357" s="1" t="n">
        <v>44970</v>
      </c>
      <c r="C1357" s="1" t="n">
        <v>46076</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54091-2025</t>
        </is>
      </c>
      <c r="B1358" s="1" t="n">
        <v>45964.39363425926</v>
      </c>
      <c r="C1358" s="1" t="n">
        <v>46076</v>
      </c>
      <c r="D1358" t="inlineStr">
        <is>
          <t>VÄRMLANDS LÄN</t>
        </is>
      </c>
      <c r="E1358" t="inlineStr">
        <is>
          <t>TORSBY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54532-2023</t>
        </is>
      </c>
      <c r="B1359" s="1" t="n">
        <v>45233</v>
      </c>
      <c r="C1359" s="1" t="n">
        <v>46076</v>
      </c>
      <c r="D1359" t="inlineStr">
        <is>
          <t>VÄRMLANDS LÄN</t>
        </is>
      </c>
      <c r="E1359" t="inlineStr">
        <is>
          <t>TORSBY</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54071-2025</t>
        </is>
      </c>
      <c r="B1360" s="1" t="n">
        <v>45962</v>
      </c>
      <c r="C1360" s="1" t="n">
        <v>46076</v>
      </c>
      <c r="D1360" t="inlineStr">
        <is>
          <t>VÄRMLANDS LÄN</t>
        </is>
      </c>
      <c r="E1360" t="inlineStr">
        <is>
          <t>TORSBY</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54505-2025</t>
        </is>
      </c>
      <c r="B1361" s="1" t="n">
        <v>45965.6169212963</v>
      </c>
      <c r="C1361" s="1" t="n">
        <v>46076</v>
      </c>
      <c r="D1361" t="inlineStr">
        <is>
          <t>VÄRMLANDS LÄN</t>
        </is>
      </c>
      <c r="E1361" t="inlineStr">
        <is>
          <t>TORSBY</t>
        </is>
      </c>
      <c r="F1361" t="inlineStr">
        <is>
          <t>Bergvik skog väst AB</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54168-2025</t>
        </is>
      </c>
      <c r="B1362" s="1" t="n">
        <v>45964.52528935186</v>
      </c>
      <c r="C1362" s="1" t="n">
        <v>46076</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15899-2024</t>
        </is>
      </c>
      <c r="B1363" s="1" t="n">
        <v>45405.4034837963</v>
      </c>
      <c r="C1363" s="1" t="n">
        <v>46076</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46076</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25264-2024</t>
        </is>
      </c>
      <c r="B1365" s="1" t="n">
        <v>45462.61859953704</v>
      </c>
      <c r="C1365" s="1" t="n">
        <v>46076</v>
      </c>
      <c r="D1365" t="inlineStr">
        <is>
          <t>VÄRMLANDS LÄN</t>
        </is>
      </c>
      <c r="E1365" t="inlineStr">
        <is>
          <t>TORSBY</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55071-2025</t>
        </is>
      </c>
      <c r="B1366" s="1" t="n">
        <v>45967</v>
      </c>
      <c r="C1366" s="1" t="n">
        <v>46076</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53714-2025</t>
        </is>
      </c>
      <c r="B1367" s="1" t="n">
        <v>45960</v>
      </c>
      <c r="C1367" s="1" t="n">
        <v>46076</v>
      </c>
      <c r="D1367" t="inlineStr">
        <is>
          <t>VÄRMLANDS LÄN</t>
        </is>
      </c>
      <c r="E1367" t="inlineStr">
        <is>
          <t>TORSBY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13586-2023</t>
        </is>
      </c>
      <c r="B1368" s="1" t="n">
        <v>45006</v>
      </c>
      <c r="C1368" s="1" t="n">
        <v>46076</v>
      </c>
      <c r="D1368" t="inlineStr">
        <is>
          <t>VÄRMLANDS LÄN</t>
        </is>
      </c>
      <c r="E1368" t="inlineStr">
        <is>
          <t>TORSBY</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62510-2023</t>
        </is>
      </c>
      <c r="B1369" s="1" t="n">
        <v>45268.61853009259</v>
      </c>
      <c r="C1369" s="1" t="n">
        <v>46076</v>
      </c>
      <c r="D1369" t="inlineStr">
        <is>
          <t>VÄRMLANDS LÄN</t>
        </is>
      </c>
      <c r="E1369" t="inlineStr">
        <is>
          <t>TORSBY</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54732-2025</t>
        </is>
      </c>
      <c r="B1370" s="1" t="n">
        <v>45966.56212962963</v>
      </c>
      <c r="C1370" s="1" t="n">
        <v>46076</v>
      </c>
      <c r="D1370" t="inlineStr">
        <is>
          <t>VÄRMLANDS LÄN</t>
        </is>
      </c>
      <c r="E1370" t="inlineStr">
        <is>
          <t>TORSBY</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54734-2025</t>
        </is>
      </c>
      <c r="B1371" s="1" t="n">
        <v>45966.56431712963</v>
      </c>
      <c r="C1371" s="1" t="n">
        <v>46076</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54784-2025</t>
        </is>
      </c>
      <c r="B1372" s="1" t="n">
        <v>45966.62114583333</v>
      </c>
      <c r="C1372" s="1" t="n">
        <v>46076</v>
      </c>
      <c r="D1372" t="inlineStr">
        <is>
          <t>VÄRMLANDS LÄN</t>
        </is>
      </c>
      <c r="E1372" t="inlineStr">
        <is>
          <t>TORSBY</t>
        </is>
      </c>
      <c r="F1372" t="inlineStr">
        <is>
          <t>Bergvik skog väst AB</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51644-2025</t>
        </is>
      </c>
      <c r="B1373" s="1" t="n">
        <v>45951</v>
      </c>
      <c r="C1373" s="1" t="n">
        <v>46076</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15083-2024</t>
        </is>
      </c>
      <c r="B1374" s="1" t="n">
        <v>45399.63163194444</v>
      </c>
      <c r="C1374" s="1" t="n">
        <v>46076</v>
      </c>
      <c r="D1374" t="inlineStr">
        <is>
          <t>VÄRMLANDS LÄN</t>
        </is>
      </c>
      <c r="E1374" t="inlineStr">
        <is>
          <t>TORSBY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54729-2025</t>
        </is>
      </c>
      <c r="B1375" s="1" t="n">
        <v>45966</v>
      </c>
      <c r="C1375" s="1" t="n">
        <v>46076</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41022-2023</t>
        </is>
      </c>
      <c r="B1376" s="1" t="n">
        <v>45173</v>
      </c>
      <c r="C1376" s="1" t="n">
        <v>46076</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27115-2024</t>
        </is>
      </c>
      <c r="B1377" s="1" t="n">
        <v>45471</v>
      </c>
      <c r="C1377" s="1" t="n">
        <v>46076</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46076</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54780-2025</t>
        </is>
      </c>
      <c r="B1379" s="1" t="n">
        <v>45966</v>
      </c>
      <c r="C1379" s="1" t="n">
        <v>46076</v>
      </c>
      <c r="D1379" t="inlineStr">
        <is>
          <t>VÄRMLANDS LÄN</t>
        </is>
      </c>
      <c r="E1379" t="inlineStr">
        <is>
          <t>TORSBY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54692-2025</t>
        </is>
      </c>
      <c r="B1380" s="1" t="n">
        <v>45966</v>
      </c>
      <c r="C1380" s="1" t="n">
        <v>46076</v>
      </c>
      <c r="D1380" t="inlineStr">
        <is>
          <t>VÄRMLANDS LÄN</t>
        </is>
      </c>
      <c r="E1380" t="inlineStr">
        <is>
          <t>TORSBY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54996-2025</t>
        </is>
      </c>
      <c r="B1381" s="1" t="n">
        <v>45967</v>
      </c>
      <c r="C1381" s="1" t="n">
        <v>46076</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54609-2024</t>
        </is>
      </c>
      <c r="B1382" s="1" t="n">
        <v>45617</v>
      </c>
      <c r="C1382" s="1" t="n">
        <v>46076</v>
      </c>
      <c r="D1382" t="inlineStr">
        <is>
          <t>VÄRMLANDS LÄN</t>
        </is>
      </c>
      <c r="E1382" t="inlineStr">
        <is>
          <t>TORSBY</t>
        </is>
      </c>
      <c r="F1382" t="inlineStr">
        <is>
          <t>Kommuner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52357-2025</t>
        </is>
      </c>
      <c r="B1383" s="1" t="n">
        <v>45952</v>
      </c>
      <c r="C1383" s="1" t="n">
        <v>46076</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52362-2025</t>
        </is>
      </c>
      <c r="B1384" s="1" t="n">
        <v>45952</v>
      </c>
      <c r="C1384" s="1" t="n">
        <v>46076</v>
      </c>
      <c r="D1384" t="inlineStr">
        <is>
          <t>VÄRMLANDS LÄN</t>
        </is>
      </c>
      <c r="E1384" t="inlineStr">
        <is>
          <t>TORSBY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67933-2021</t>
        </is>
      </c>
      <c r="B1385" s="1" t="n">
        <v>44525</v>
      </c>
      <c r="C1385" s="1" t="n">
        <v>46076</v>
      </c>
      <c r="D1385" t="inlineStr">
        <is>
          <t>VÄRMLANDS LÄN</t>
        </is>
      </c>
      <c r="E1385" t="inlineStr">
        <is>
          <t>TORSBY</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34164-2024</t>
        </is>
      </c>
      <c r="B1386" s="1" t="n">
        <v>45524.41924768518</v>
      </c>
      <c r="C1386" s="1" t="n">
        <v>46076</v>
      </c>
      <c r="D1386" t="inlineStr">
        <is>
          <t>VÄRMLANDS LÄN</t>
        </is>
      </c>
      <c r="E1386" t="inlineStr">
        <is>
          <t>TORSBY</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4219-2024</t>
        </is>
      </c>
      <c r="B1387" s="1" t="n">
        <v>45324</v>
      </c>
      <c r="C1387" s="1" t="n">
        <v>46076</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55269-2025</t>
        </is>
      </c>
      <c r="B1388" s="1" t="n">
        <v>45968</v>
      </c>
      <c r="C1388" s="1" t="n">
        <v>46076</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13262-2024</t>
        </is>
      </c>
      <c r="B1389" s="1" t="n">
        <v>45386.59236111111</v>
      </c>
      <c r="C1389" s="1" t="n">
        <v>46076</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55386-2025</t>
        </is>
      </c>
      <c r="B1390" s="1" t="n">
        <v>45971</v>
      </c>
      <c r="C1390" s="1" t="n">
        <v>46076</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3223-2025</t>
        </is>
      </c>
      <c r="B1391" s="1" t="n">
        <v>45679</v>
      </c>
      <c r="C1391" s="1" t="n">
        <v>46076</v>
      </c>
      <c r="D1391" t="inlineStr">
        <is>
          <t>VÄRMLANDS LÄN</t>
        </is>
      </c>
      <c r="E1391" t="inlineStr">
        <is>
          <t>TORSBY</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3226-2025</t>
        </is>
      </c>
      <c r="B1392" s="1" t="n">
        <v>45679.48003472222</v>
      </c>
      <c r="C1392" s="1" t="n">
        <v>46076</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46076</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60133-2023</t>
        </is>
      </c>
      <c r="B1394" s="1" t="n">
        <v>45258</v>
      </c>
      <c r="C1394" s="1" t="n">
        <v>46076</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7133-2023</t>
        </is>
      </c>
      <c r="B1395" s="1" t="n">
        <v>44970.43622685185</v>
      </c>
      <c r="C1395" s="1" t="n">
        <v>46076</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55296-2025</t>
        </is>
      </c>
      <c r="B1396" s="1" t="n">
        <v>45969.53423611111</v>
      </c>
      <c r="C1396" s="1" t="n">
        <v>46076</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57393-2022</t>
        </is>
      </c>
      <c r="B1397" s="1" t="n">
        <v>44896.47630787037</v>
      </c>
      <c r="C1397" s="1" t="n">
        <v>46076</v>
      </c>
      <c r="D1397" t="inlineStr">
        <is>
          <t>VÄRMLANDS LÄN</t>
        </is>
      </c>
      <c r="E1397" t="inlineStr">
        <is>
          <t>TORSBY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62258-2023</t>
        </is>
      </c>
      <c r="B1398" s="1" t="n">
        <v>45266</v>
      </c>
      <c r="C1398" s="1" t="n">
        <v>46076</v>
      </c>
      <c r="D1398" t="inlineStr">
        <is>
          <t>VÄRMLANDS LÄN</t>
        </is>
      </c>
      <c r="E1398" t="inlineStr">
        <is>
          <t>TORSBY</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55139-2025</t>
        </is>
      </c>
      <c r="B1399" s="1" t="n">
        <v>45968.42827546296</v>
      </c>
      <c r="C1399" s="1" t="n">
        <v>46076</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55178-2025</t>
        </is>
      </c>
      <c r="B1400" s="1" t="n">
        <v>45968</v>
      </c>
      <c r="C1400" s="1" t="n">
        <v>46076</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19743-2025</t>
        </is>
      </c>
      <c r="B1401" s="1" t="n">
        <v>45771.37554398148</v>
      </c>
      <c r="C1401" s="1" t="n">
        <v>46076</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55622-2025</t>
        </is>
      </c>
      <c r="B1402" s="1" t="n">
        <v>45971</v>
      </c>
      <c r="C1402" s="1" t="n">
        <v>46076</v>
      </c>
      <c r="D1402" t="inlineStr">
        <is>
          <t>VÄRMLANDS LÄN</t>
        </is>
      </c>
      <c r="E1402" t="inlineStr">
        <is>
          <t>TORSBY</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46076</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15022-2025</t>
        </is>
      </c>
      <c r="B1404" s="1" t="n">
        <v>45743</v>
      </c>
      <c r="C1404" s="1" t="n">
        <v>46076</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11364-2023</t>
        </is>
      </c>
      <c r="B1405" s="1" t="n">
        <v>44993.43150462963</v>
      </c>
      <c r="C1405" s="1" t="n">
        <v>46076</v>
      </c>
      <c r="D1405" t="inlineStr">
        <is>
          <t>VÄRMLANDS LÄN</t>
        </is>
      </c>
      <c r="E1405" t="inlineStr">
        <is>
          <t>TORSBY</t>
        </is>
      </c>
      <c r="G1405" t="n">
        <v>31.9</v>
      </c>
      <c r="H1405" t="n">
        <v>0</v>
      </c>
      <c r="I1405" t="n">
        <v>0</v>
      </c>
      <c r="J1405" t="n">
        <v>0</v>
      </c>
      <c r="K1405" t="n">
        <v>0</v>
      </c>
      <c r="L1405" t="n">
        <v>0</v>
      </c>
      <c r="M1405" t="n">
        <v>0</v>
      </c>
      <c r="N1405" t="n">
        <v>0</v>
      </c>
      <c r="O1405" t="n">
        <v>0</v>
      </c>
      <c r="P1405" t="n">
        <v>0</v>
      </c>
      <c r="Q1405" t="n">
        <v>0</v>
      </c>
      <c r="R1405" s="2" t="inlineStr"/>
    </row>
    <row r="1406" ht="15" customHeight="1">
      <c r="A1406" t="inlineStr">
        <is>
          <t>A 46503-2024</t>
        </is>
      </c>
      <c r="B1406" s="1" t="n">
        <v>45582</v>
      </c>
      <c r="C1406" s="1" t="n">
        <v>46076</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56098-2025</t>
        </is>
      </c>
      <c r="B1407" s="1" t="n">
        <v>45973</v>
      </c>
      <c r="C1407" s="1" t="n">
        <v>46076</v>
      </c>
      <c r="D1407" t="inlineStr">
        <is>
          <t>VÄRMLANDS LÄN</t>
        </is>
      </c>
      <c r="E1407" t="inlineStr">
        <is>
          <t>TORSBY</t>
        </is>
      </c>
      <c r="F1407" t="inlineStr">
        <is>
          <t>Kyrkan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56129-2025</t>
        </is>
      </c>
      <c r="B1408" s="1" t="n">
        <v>45973</v>
      </c>
      <c r="C1408" s="1" t="n">
        <v>46076</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54076-2025</t>
        </is>
      </c>
      <c r="B1409" s="1" t="n">
        <v>45964</v>
      </c>
      <c r="C1409" s="1" t="n">
        <v>46076</v>
      </c>
      <c r="D1409" t="inlineStr">
        <is>
          <t>VÄRMLANDS LÄN</t>
        </is>
      </c>
      <c r="E1409" t="inlineStr">
        <is>
          <t>TORSBY</t>
        </is>
      </c>
      <c r="F1409" t="inlineStr">
        <is>
          <t>Övriga statliga verk och myndigheter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55953-2025</t>
        </is>
      </c>
      <c r="B1410" s="1" t="n">
        <v>45973</v>
      </c>
      <c r="C1410" s="1" t="n">
        <v>46076</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55958-2025</t>
        </is>
      </c>
      <c r="B1411" s="1" t="n">
        <v>45973</v>
      </c>
      <c r="C1411" s="1" t="n">
        <v>46076</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55938-2025</t>
        </is>
      </c>
      <c r="B1412" s="1" t="n">
        <v>45973.44658564815</v>
      </c>
      <c r="C1412" s="1" t="n">
        <v>46076</v>
      </c>
      <c r="D1412" t="inlineStr">
        <is>
          <t>VÄRMLANDS LÄN</t>
        </is>
      </c>
      <c r="E1412" t="inlineStr">
        <is>
          <t>TORSBY</t>
        </is>
      </c>
      <c r="F1412" t="inlineStr">
        <is>
          <t>Bergvik skog väst AB</t>
        </is>
      </c>
      <c r="G1412" t="n">
        <v>21.2</v>
      </c>
      <c r="H1412" t="n">
        <v>0</v>
      </c>
      <c r="I1412" t="n">
        <v>0</v>
      </c>
      <c r="J1412" t="n">
        <v>0</v>
      </c>
      <c r="K1412" t="n">
        <v>0</v>
      </c>
      <c r="L1412" t="n">
        <v>0</v>
      </c>
      <c r="M1412" t="n">
        <v>0</v>
      </c>
      <c r="N1412" t="n">
        <v>0</v>
      </c>
      <c r="O1412" t="n">
        <v>0</v>
      </c>
      <c r="P1412" t="n">
        <v>0</v>
      </c>
      <c r="Q1412" t="n">
        <v>0</v>
      </c>
      <c r="R1412" s="2" t="inlineStr"/>
    </row>
    <row r="1413" ht="15" customHeight="1">
      <c r="A1413" t="inlineStr">
        <is>
          <t>A 56033-2025</t>
        </is>
      </c>
      <c r="B1413" s="1" t="n">
        <v>45973.6066087963</v>
      </c>
      <c r="C1413" s="1" t="n">
        <v>46076</v>
      </c>
      <c r="D1413" t="inlineStr">
        <is>
          <t>VÄRMLANDS LÄN</t>
        </is>
      </c>
      <c r="E1413" t="inlineStr">
        <is>
          <t>TORSBY</t>
        </is>
      </c>
      <c r="F1413" t="inlineStr">
        <is>
          <t>Bergvik skog väst AB</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56052-2025</t>
        </is>
      </c>
      <c r="B1414" s="1" t="n">
        <v>45973.63180555555</v>
      </c>
      <c r="C1414" s="1" t="n">
        <v>46076</v>
      </c>
      <c r="D1414" t="inlineStr">
        <is>
          <t>VÄRMLANDS LÄN</t>
        </is>
      </c>
      <c r="E1414" t="inlineStr">
        <is>
          <t>TORSBY</t>
        </is>
      </c>
      <c r="F1414" t="inlineStr">
        <is>
          <t>Bergvik skog väst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55664-2025</t>
        </is>
      </c>
      <c r="B1415" s="1" t="n">
        <v>45972.39621527777</v>
      </c>
      <c r="C1415" s="1" t="n">
        <v>46076</v>
      </c>
      <c r="D1415" t="inlineStr">
        <is>
          <t>VÄRMLANDS LÄN</t>
        </is>
      </c>
      <c r="E1415" t="inlineStr">
        <is>
          <t>TORSBY</t>
        </is>
      </c>
      <c r="F1415" t="inlineStr">
        <is>
          <t>Bergvik skog väst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14369-2025</t>
        </is>
      </c>
      <c r="B1416" s="1" t="n">
        <v>45741</v>
      </c>
      <c r="C1416" s="1" t="n">
        <v>46076</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55675-2025</t>
        </is>
      </c>
      <c r="B1417" s="1" t="n">
        <v>45972.4175</v>
      </c>
      <c r="C1417" s="1" t="n">
        <v>46076</v>
      </c>
      <c r="D1417" t="inlineStr">
        <is>
          <t>VÄRMLANDS LÄN</t>
        </is>
      </c>
      <c r="E1417" t="inlineStr">
        <is>
          <t>TORSBY</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54822-2023</t>
        </is>
      </c>
      <c r="B1418" s="1" t="n">
        <v>45229</v>
      </c>
      <c r="C1418" s="1" t="n">
        <v>46076</v>
      </c>
      <c r="D1418" t="inlineStr">
        <is>
          <t>VÄRMLANDS LÄN</t>
        </is>
      </c>
      <c r="E1418" t="inlineStr">
        <is>
          <t>TORSBY</t>
        </is>
      </c>
      <c r="F1418" t="inlineStr">
        <is>
          <t>Övriga Aktiebolag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36775-2024</t>
        </is>
      </c>
      <c r="B1419" s="1" t="n">
        <v>45538</v>
      </c>
      <c r="C1419" s="1" t="n">
        <v>46076</v>
      </c>
      <c r="D1419" t="inlineStr">
        <is>
          <t>VÄRMLANDS LÄN</t>
        </is>
      </c>
      <c r="E1419" t="inlineStr">
        <is>
          <t>TORSBY</t>
        </is>
      </c>
      <c r="F1419" t="inlineStr">
        <is>
          <t>Kyrkan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56130-2025</t>
        </is>
      </c>
      <c r="B1420" s="1" t="n">
        <v>45973</v>
      </c>
      <c r="C1420" s="1" t="n">
        <v>46076</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55863-2025</t>
        </is>
      </c>
      <c r="B1421" s="1" t="n">
        <v>45973.3465162037</v>
      </c>
      <c r="C1421" s="1" t="n">
        <v>46076</v>
      </c>
      <c r="D1421" t="inlineStr">
        <is>
          <t>VÄRMLANDS LÄN</t>
        </is>
      </c>
      <c r="E1421" t="inlineStr">
        <is>
          <t>TORSBY</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14730-2024</t>
        </is>
      </c>
      <c r="B1422" s="1" t="n">
        <v>45397.58518518518</v>
      </c>
      <c r="C1422" s="1" t="n">
        <v>46076</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36758-2024</t>
        </is>
      </c>
      <c r="B1423" s="1" t="n">
        <v>45538.35525462963</v>
      </c>
      <c r="C1423" s="1" t="n">
        <v>46076</v>
      </c>
      <c r="D1423" t="inlineStr">
        <is>
          <t>VÄRMLANDS LÄN</t>
        </is>
      </c>
      <c r="E1423" t="inlineStr">
        <is>
          <t>TORSBY</t>
        </is>
      </c>
      <c r="F1423" t="inlineStr">
        <is>
          <t>Kyrkan</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2390-2025</t>
        </is>
      </c>
      <c r="B1424" s="1" t="n">
        <v>45674.32071759259</v>
      </c>
      <c r="C1424" s="1" t="n">
        <v>46076</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56187-2025</t>
        </is>
      </c>
      <c r="B1425" s="1" t="n">
        <v>45974.42451388889</v>
      </c>
      <c r="C1425" s="1" t="n">
        <v>46076</v>
      </c>
      <c r="D1425" t="inlineStr">
        <is>
          <t>VÄRMLANDS LÄN</t>
        </is>
      </c>
      <c r="E1425" t="inlineStr">
        <is>
          <t>TORSBY</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14613-2025</t>
        </is>
      </c>
      <c r="B1426" s="1" t="n">
        <v>45742.39615740741</v>
      </c>
      <c r="C1426" s="1" t="n">
        <v>46076</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56263-2025</t>
        </is>
      </c>
      <c r="B1427" s="1" t="n">
        <v>45974.57358796296</v>
      </c>
      <c r="C1427" s="1" t="n">
        <v>46076</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56575-2025</t>
        </is>
      </c>
      <c r="B1428" s="1" t="n">
        <v>45975</v>
      </c>
      <c r="C1428" s="1" t="n">
        <v>46076</v>
      </c>
      <c r="D1428" t="inlineStr">
        <is>
          <t>VÄRMLANDS LÄN</t>
        </is>
      </c>
      <c r="E1428" t="inlineStr">
        <is>
          <t>TORSBY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37279-2022</t>
        </is>
      </c>
      <c r="B1429" s="1" t="n">
        <v>44807</v>
      </c>
      <c r="C1429" s="1" t="n">
        <v>46076</v>
      </c>
      <c r="D1429" t="inlineStr">
        <is>
          <t>VÄRMLANDS LÄN</t>
        </is>
      </c>
      <c r="E1429" t="inlineStr">
        <is>
          <t>TORSBY</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56258-2025</t>
        </is>
      </c>
      <c r="B1430" s="1" t="n">
        <v>45974.56655092593</v>
      </c>
      <c r="C1430" s="1" t="n">
        <v>46076</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37340-2022</t>
        </is>
      </c>
      <c r="B1431" s="1" t="n">
        <v>44809</v>
      </c>
      <c r="C1431" s="1" t="n">
        <v>46076</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59236-2023</t>
        </is>
      </c>
      <c r="B1432" s="1" t="n">
        <v>45253</v>
      </c>
      <c r="C1432" s="1" t="n">
        <v>46076</v>
      </c>
      <c r="D1432" t="inlineStr">
        <is>
          <t>VÄRMLANDS LÄN</t>
        </is>
      </c>
      <c r="E1432" t="inlineStr">
        <is>
          <t>TORSBY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56786-2025</t>
        </is>
      </c>
      <c r="B1433" s="1" t="n">
        <v>45978.4254050926</v>
      </c>
      <c r="C1433" s="1" t="n">
        <v>46076</v>
      </c>
      <c r="D1433" t="inlineStr">
        <is>
          <t>VÄRMLANDS LÄN</t>
        </is>
      </c>
      <c r="E1433" t="inlineStr">
        <is>
          <t>TORSBY</t>
        </is>
      </c>
      <c r="F1433" t="inlineStr">
        <is>
          <t>Bergvik skog väst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8022-2025</t>
        </is>
      </c>
      <c r="B1434" s="1" t="n">
        <v>45707.57733796296</v>
      </c>
      <c r="C1434" s="1" t="n">
        <v>46076</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36184-2024</t>
        </is>
      </c>
      <c r="B1435" s="1" t="n">
        <v>45534.4178125</v>
      </c>
      <c r="C1435" s="1" t="n">
        <v>46076</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57137-2025</t>
        </is>
      </c>
      <c r="B1436" s="1" t="n">
        <v>45979</v>
      </c>
      <c r="C1436" s="1" t="n">
        <v>46076</v>
      </c>
      <c r="D1436" t="inlineStr">
        <is>
          <t>VÄRMLANDS LÄN</t>
        </is>
      </c>
      <c r="E1436" t="inlineStr">
        <is>
          <t>TORSBY</t>
        </is>
      </c>
      <c r="F1436" t="inlineStr">
        <is>
          <t>Övriga statliga verk och myndigheter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56761-2025</t>
        </is>
      </c>
      <c r="B1437" s="1" t="n">
        <v>45978.37505787037</v>
      </c>
      <c r="C1437" s="1" t="n">
        <v>46076</v>
      </c>
      <c r="D1437" t="inlineStr">
        <is>
          <t>VÄRMLANDS LÄN</t>
        </is>
      </c>
      <c r="E1437" t="inlineStr">
        <is>
          <t>TORSBY</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56772-2025</t>
        </is>
      </c>
      <c r="B1438" s="1" t="n">
        <v>45978</v>
      </c>
      <c r="C1438" s="1" t="n">
        <v>46076</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56778-2025</t>
        </is>
      </c>
      <c r="B1439" s="1" t="n">
        <v>45978</v>
      </c>
      <c r="C1439" s="1" t="n">
        <v>46076</v>
      </c>
      <c r="D1439" t="inlineStr">
        <is>
          <t>VÄRMLANDS LÄN</t>
        </is>
      </c>
      <c r="E1439" t="inlineStr">
        <is>
          <t>TORSBY</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14801-2025</t>
        </is>
      </c>
      <c r="B1440" s="1" t="n">
        <v>45743</v>
      </c>
      <c r="C1440" s="1" t="n">
        <v>46076</v>
      </c>
      <c r="D1440" t="inlineStr">
        <is>
          <t>VÄRMLANDS LÄN</t>
        </is>
      </c>
      <c r="E1440" t="inlineStr">
        <is>
          <t>TORSBY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56747-2025</t>
        </is>
      </c>
      <c r="B1441" s="1" t="n">
        <v>45978</v>
      </c>
      <c r="C1441" s="1" t="n">
        <v>46076</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57370-2025</t>
        </is>
      </c>
      <c r="B1442" s="1" t="n">
        <v>45979</v>
      </c>
      <c r="C1442" s="1" t="n">
        <v>46076</v>
      </c>
      <c r="D1442" t="inlineStr">
        <is>
          <t>VÄRMLANDS LÄN</t>
        </is>
      </c>
      <c r="E1442" t="inlineStr">
        <is>
          <t>TORSBY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56889-2025</t>
        </is>
      </c>
      <c r="B1443" s="1" t="n">
        <v>45978</v>
      </c>
      <c r="C1443" s="1" t="n">
        <v>46076</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56848-2025</t>
        </is>
      </c>
      <c r="B1444" s="1" t="n">
        <v>45978.4887037037</v>
      </c>
      <c r="C1444" s="1" t="n">
        <v>46076</v>
      </c>
      <c r="D1444" t="inlineStr">
        <is>
          <t>VÄRMLANDS LÄN</t>
        </is>
      </c>
      <c r="E1444" t="inlineStr">
        <is>
          <t>TORSBY</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23818-2022</t>
        </is>
      </c>
      <c r="B1445" s="1" t="n">
        <v>44722</v>
      </c>
      <c r="C1445" s="1" t="n">
        <v>46076</v>
      </c>
      <c r="D1445" t="inlineStr">
        <is>
          <t>VÄRMLANDS LÄN</t>
        </is>
      </c>
      <c r="E1445" t="inlineStr">
        <is>
          <t>TORSBY</t>
        </is>
      </c>
      <c r="G1445" t="n">
        <v>23.5</v>
      </c>
      <c r="H1445" t="n">
        <v>0</v>
      </c>
      <c r="I1445" t="n">
        <v>0</v>
      </c>
      <c r="J1445" t="n">
        <v>0</v>
      </c>
      <c r="K1445" t="n">
        <v>0</v>
      </c>
      <c r="L1445" t="n">
        <v>0</v>
      </c>
      <c r="M1445" t="n">
        <v>0</v>
      </c>
      <c r="N1445" t="n">
        <v>0</v>
      </c>
      <c r="O1445" t="n">
        <v>0</v>
      </c>
      <c r="P1445" t="n">
        <v>0</v>
      </c>
      <c r="Q1445" t="n">
        <v>0</v>
      </c>
      <c r="R1445" s="2" t="inlineStr"/>
    </row>
    <row r="1446" ht="15" customHeight="1">
      <c r="A1446" t="inlineStr">
        <is>
          <t>A 57073-2025</t>
        </is>
      </c>
      <c r="B1446" s="1" t="n">
        <v>45979</v>
      </c>
      <c r="C1446" s="1" t="n">
        <v>46076</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56784-2025</t>
        </is>
      </c>
      <c r="B1447" s="1" t="n">
        <v>45978.41734953703</v>
      </c>
      <c r="C1447" s="1" t="n">
        <v>46076</v>
      </c>
      <c r="D1447" t="inlineStr">
        <is>
          <t>VÄRMLANDS LÄN</t>
        </is>
      </c>
      <c r="E1447" t="inlineStr">
        <is>
          <t>TORSBY</t>
        </is>
      </c>
      <c r="F1447" t="inlineStr">
        <is>
          <t>Bergvik skog väst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56785-2025</t>
        </is>
      </c>
      <c r="B1448" s="1" t="n">
        <v>45978.42228009259</v>
      </c>
      <c r="C1448" s="1" t="n">
        <v>46076</v>
      </c>
      <c r="D1448" t="inlineStr">
        <is>
          <t>VÄRMLANDS LÄN</t>
        </is>
      </c>
      <c r="E1448" t="inlineStr">
        <is>
          <t>TORSBY</t>
        </is>
      </c>
      <c r="F1448" t="inlineStr">
        <is>
          <t>Bergvik skog väst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17548-2023</t>
        </is>
      </c>
      <c r="B1449" s="1" t="n">
        <v>45036</v>
      </c>
      <c r="C1449" s="1" t="n">
        <v>46076</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65134-2023</t>
        </is>
      </c>
      <c r="B1450" s="1" t="n">
        <v>45288.52010416667</v>
      </c>
      <c r="C1450" s="1" t="n">
        <v>46076</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58246-2025</t>
        </is>
      </c>
      <c r="B1451" s="1" t="n">
        <v>45981</v>
      </c>
      <c r="C1451" s="1" t="n">
        <v>46076</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57364-2025</t>
        </is>
      </c>
      <c r="B1452" s="1" t="n">
        <v>45980</v>
      </c>
      <c r="C1452" s="1" t="n">
        <v>46076</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57348-2025</t>
        </is>
      </c>
      <c r="B1453" s="1" t="n">
        <v>45980.35927083333</v>
      </c>
      <c r="C1453" s="1" t="n">
        <v>46076</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40573-2024</t>
        </is>
      </c>
      <c r="B1454" s="1" t="n">
        <v>45555.69518518518</v>
      </c>
      <c r="C1454" s="1" t="n">
        <v>46076</v>
      </c>
      <c r="D1454" t="inlineStr">
        <is>
          <t>VÄRMLANDS LÄN</t>
        </is>
      </c>
      <c r="E1454" t="inlineStr">
        <is>
          <t>TORSBY</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502-2024</t>
        </is>
      </c>
      <c r="B1455" s="1" t="n">
        <v>45299</v>
      </c>
      <c r="C1455" s="1" t="n">
        <v>46076</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4302-2025</t>
        </is>
      </c>
      <c r="B1456" s="1" t="n">
        <v>45685.67939814815</v>
      </c>
      <c r="C1456" s="1" t="n">
        <v>46076</v>
      </c>
      <c r="D1456" t="inlineStr">
        <is>
          <t>VÄRMLANDS LÄN</t>
        </is>
      </c>
      <c r="E1456" t="inlineStr">
        <is>
          <t>TORSBY</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57695-2025</t>
        </is>
      </c>
      <c r="B1457" s="1" t="n">
        <v>45981.45201388889</v>
      </c>
      <c r="C1457" s="1" t="n">
        <v>46076</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57787-2025</t>
        </is>
      </c>
      <c r="B1458" s="1" t="n">
        <v>45981</v>
      </c>
      <c r="C1458" s="1" t="n">
        <v>46076</v>
      </c>
      <c r="D1458" t="inlineStr">
        <is>
          <t>VÄRMLANDS LÄN</t>
        </is>
      </c>
      <c r="E1458" t="inlineStr">
        <is>
          <t>TORSBY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2797-2025</t>
        </is>
      </c>
      <c r="B1459" s="1" t="n">
        <v>45677</v>
      </c>
      <c r="C1459" s="1" t="n">
        <v>46076</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63158-2023</t>
        </is>
      </c>
      <c r="B1460" s="1" t="n">
        <v>45273.51715277778</v>
      </c>
      <c r="C1460" s="1" t="n">
        <v>46076</v>
      </c>
      <c r="D1460" t="inlineStr">
        <is>
          <t>VÄRMLANDS LÄN</t>
        </is>
      </c>
      <c r="E1460" t="inlineStr">
        <is>
          <t>TORSBY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34568-2022</t>
        </is>
      </c>
      <c r="B1461" s="1" t="n">
        <v>44795.28277777778</v>
      </c>
      <c r="C1461" s="1" t="n">
        <v>46076</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57935-2025</t>
        </is>
      </c>
      <c r="B1462" s="1" t="n">
        <v>45981</v>
      </c>
      <c r="C1462" s="1" t="n">
        <v>46076</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57446-2025</t>
        </is>
      </c>
      <c r="B1463" s="1" t="n">
        <v>45980</v>
      </c>
      <c r="C1463" s="1" t="n">
        <v>46076</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4516-2025</t>
        </is>
      </c>
      <c r="B1464" s="1" t="n">
        <v>45686.88212962963</v>
      </c>
      <c r="C1464" s="1" t="n">
        <v>46076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4517-2025</t>
        </is>
      </c>
      <c r="B1465" s="1" t="n">
        <v>45686</v>
      </c>
      <c r="C1465" s="1" t="n">
        <v>46076</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25537-2022</t>
        </is>
      </c>
      <c r="B1466" s="1" t="n">
        <v>44732</v>
      </c>
      <c r="C1466" s="1" t="n">
        <v>46076</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57642-2023</t>
        </is>
      </c>
      <c r="B1467" s="1" t="n">
        <v>45246.5915625</v>
      </c>
      <c r="C1467" s="1" t="n">
        <v>46076</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58013-2023</t>
        </is>
      </c>
      <c r="B1468" s="1" t="n">
        <v>45247.62346064814</v>
      </c>
      <c r="C1468" s="1" t="n">
        <v>46076</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36290-2022</t>
        </is>
      </c>
      <c r="B1469" s="1" t="n">
        <v>44803</v>
      </c>
      <c r="C1469" s="1" t="n">
        <v>46076</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58396-2025</t>
        </is>
      </c>
      <c r="B1470" s="1" t="n">
        <v>45985</v>
      </c>
      <c r="C1470" s="1" t="n">
        <v>46076</v>
      </c>
      <c r="D1470" t="inlineStr">
        <is>
          <t>VÄRMLANDS LÄN</t>
        </is>
      </c>
      <c r="E1470" t="inlineStr">
        <is>
          <t>TORSBY</t>
        </is>
      </c>
      <c r="F1470" t="inlineStr">
        <is>
          <t>Bergvik skog väst AB</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39075-2024</t>
        </is>
      </c>
      <c r="B1471" s="1" t="n">
        <v>45548</v>
      </c>
      <c r="C1471" s="1" t="n">
        <v>46076</v>
      </c>
      <c r="D1471" t="inlineStr">
        <is>
          <t>VÄRMLANDS LÄN</t>
        </is>
      </c>
      <c r="E1471" t="inlineStr">
        <is>
          <t>TORSBY</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40007-2023</t>
        </is>
      </c>
      <c r="B1472" s="1" t="n">
        <v>45168</v>
      </c>
      <c r="C1472" s="1" t="n">
        <v>46076</v>
      </c>
      <c r="D1472" t="inlineStr">
        <is>
          <t>VÄRMLANDS LÄN</t>
        </is>
      </c>
      <c r="E1472" t="inlineStr">
        <is>
          <t>TORSBY</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7745-2023</t>
        </is>
      </c>
      <c r="B1473" s="1" t="n">
        <v>44973.35336805556</v>
      </c>
      <c r="C1473" s="1" t="n">
        <v>46076</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58537-2025</t>
        </is>
      </c>
      <c r="B1474" s="1" t="n">
        <v>45985</v>
      </c>
      <c r="C1474" s="1" t="n">
        <v>46076</v>
      </c>
      <c r="D1474" t="inlineStr">
        <is>
          <t>VÄRMLANDS LÄN</t>
        </is>
      </c>
      <c r="E1474" t="inlineStr">
        <is>
          <t>TORSBY</t>
        </is>
      </c>
      <c r="F1474" t="inlineStr">
        <is>
          <t>Övriga statliga verk och myndigheter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58540-2025</t>
        </is>
      </c>
      <c r="B1475" s="1" t="n">
        <v>45985</v>
      </c>
      <c r="C1475" s="1" t="n">
        <v>46076</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22826-2022</t>
        </is>
      </c>
      <c r="B1476" s="1" t="n">
        <v>44714</v>
      </c>
      <c r="C1476" s="1" t="n">
        <v>46076</v>
      </c>
      <c r="D1476" t="inlineStr">
        <is>
          <t>VÄRMLANDS LÄN</t>
        </is>
      </c>
      <c r="E1476" t="inlineStr">
        <is>
          <t>TORSBY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34717-2024</t>
        </is>
      </c>
      <c r="B1477" s="1" t="n">
        <v>45526.56409722222</v>
      </c>
      <c r="C1477" s="1" t="n">
        <v>46076</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14304-2023</t>
        </is>
      </c>
      <c r="B1478" s="1" t="n">
        <v>45011.76541666667</v>
      </c>
      <c r="C1478" s="1" t="n">
        <v>46076</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33620-2024</t>
        </is>
      </c>
      <c r="B1479" s="1" t="n">
        <v>45520.41530092592</v>
      </c>
      <c r="C1479" s="1" t="n">
        <v>46076</v>
      </c>
      <c r="D1479" t="inlineStr">
        <is>
          <t>VÄRMLANDS LÄN</t>
        </is>
      </c>
      <c r="E1479" t="inlineStr">
        <is>
          <t>TORSBY</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42613-2023</t>
        </is>
      </c>
      <c r="B1480" s="1" t="n">
        <v>45181</v>
      </c>
      <c r="C1480" s="1" t="n">
        <v>46076</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40971-2023</t>
        </is>
      </c>
      <c r="B1481" s="1" t="n">
        <v>45173</v>
      </c>
      <c r="C1481" s="1" t="n">
        <v>46076</v>
      </c>
      <c r="D1481" t="inlineStr">
        <is>
          <t>VÄRMLANDS LÄN</t>
        </is>
      </c>
      <c r="E1481" t="inlineStr">
        <is>
          <t>TORSBY</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57931-2025</t>
        </is>
      </c>
      <c r="B1482" s="1" t="n">
        <v>45981.90670138889</v>
      </c>
      <c r="C1482" s="1" t="n">
        <v>46076</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18314-2025</t>
        </is>
      </c>
      <c r="B1483" s="1" t="n">
        <v>45762.44986111111</v>
      </c>
      <c r="C1483" s="1" t="n">
        <v>46076</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58363-2025</t>
        </is>
      </c>
      <c r="B1484" s="1" t="n">
        <v>45985</v>
      </c>
      <c r="C1484" s="1" t="n">
        <v>46076</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34961-2024</t>
        </is>
      </c>
      <c r="B1485" s="1" t="n">
        <v>45527.48923611111</v>
      </c>
      <c r="C1485" s="1" t="n">
        <v>46076</v>
      </c>
      <c r="D1485" t="inlineStr">
        <is>
          <t>VÄRMLANDS LÄN</t>
        </is>
      </c>
      <c r="E1485" t="inlineStr">
        <is>
          <t>TORSBY</t>
        </is>
      </c>
      <c r="F1485" t="inlineStr">
        <is>
          <t>Bergvik skog väst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39746-2024</t>
        </is>
      </c>
      <c r="B1486" s="1" t="n">
        <v>45552</v>
      </c>
      <c r="C1486" s="1" t="n">
        <v>46076</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58978-2025</t>
        </is>
      </c>
      <c r="B1487" s="1" t="n">
        <v>45987</v>
      </c>
      <c r="C1487" s="1" t="n">
        <v>46076</v>
      </c>
      <c r="D1487" t="inlineStr">
        <is>
          <t>VÄRMLANDS LÄN</t>
        </is>
      </c>
      <c r="E1487" t="inlineStr">
        <is>
          <t>TORSBY</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58836-2025</t>
        </is>
      </c>
      <c r="B1488" s="1" t="n">
        <v>45987.35586805556</v>
      </c>
      <c r="C1488" s="1" t="n">
        <v>46076</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15460-2022</t>
        </is>
      </c>
      <c r="B1489" s="1" t="n">
        <v>44661</v>
      </c>
      <c r="C1489" s="1" t="n">
        <v>46076</v>
      </c>
      <c r="D1489" t="inlineStr">
        <is>
          <t>VÄRMLANDS LÄN</t>
        </is>
      </c>
      <c r="E1489" t="inlineStr">
        <is>
          <t>TORSBY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51987-2024</t>
        </is>
      </c>
      <c r="B1490" s="1" t="n">
        <v>45607</v>
      </c>
      <c r="C1490" s="1" t="n">
        <v>46076</v>
      </c>
      <c r="D1490" t="inlineStr">
        <is>
          <t>VÄRMLANDS LÄN</t>
        </is>
      </c>
      <c r="E1490" t="inlineStr">
        <is>
          <t>TORSBY</t>
        </is>
      </c>
      <c r="G1490" t="n">
        <v>17.7</v>
      </c>
      <c r="H1490" t="n">
        <v>0</v>
      </c>
      <c r="I1490" t="n">
        <v>0</v>
      </c>
      <c r="J1490" t="n">
        <v>0</v>
      </c>
      <c r="K1490" t="n">
        <v>0</v>
      </c>
      <c r="L1490" t="n">
        <v>0</v>
      </c>
      <c r="M1490" t="n">
        <v>0</v>
      </c>
      <c r="N1490" t="n">
        <v>0</v>
      </c>
      <c r="O1490" t="n">
        <v>0</v>
      </c>
      <c r="P1490" t="n">
        <v>0</v>
      </c>
      <c r="Q1490" t="n">
        <v>0</v>
      </c>
      <c r="R1490" s="2" t="inlineStr"/>
    </row>
    <row r="1491" ht="15" customHeight="1">
      <c r="A1491" t="inlineStr">
        <is>
          <t>A 57726-2022</t>
        </is>
      </c>
      <c r="B1491" s="1" t="n">
        <v>44897.56420138889</v>
      </c>
      <c r="C1491" s="1" t="n">
        <v>46076</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58678-2025</t>
        </is>
      </c>
      <c r="B1492" s="1" t="n">
        <v>45986.56342592592</v>
      </c>
      <c r="C1492" s="1" t="n">
        <v>46076</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58919-2025</t>
        </is>
      </c>
      <c r="B1493" s="1" t="n">
        <v>45987</v>
      </c>
      <c r="C1493" s="1" t="n">
        <v>46076</v>
      </c>
      <c r="D1493" t="inlineStr">
        <is>
          <t>VÄRMLANDS LÄN</t>
        </is>
      </c>
      <c r="E1493" t="inlineStr">
        <is>
          <t>TORSBY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58625-2025</t>
        </is>
      </c>
      <c r="B1494" s="1" t="n">
        <v>45986.4740625</v>
      </c>
      <c r="C1494" s="1" t="n">
        <v>46076</v>
      </c>
      <c r="D1494" t="inlineStr">
        <is>
          <t>VÄRMLANDS LÄN</t>
        </is>
      </c>
      <c r="E1494" t="inlineStr">
        <is>
          <t>TORSBY</t>
        </is>
      </c>
      <c r="F1494" t="inlineStr">
        <is>
          <t>Kyrkan</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59009-2025</t>
        </is>
      </c>
      <c r="B1495" s="1" t="n">
        <v>45987</v>
      </c>
      <c r="C1495" s="1" t="n">
        <v>46076</v>
      </c>
      <c r="D1495" t="inlineStr">
        <is>
          <t>VÄRMLANDS LÄN</t>
        </is>
      </c>
      <c r="E1495" t="inlineStr">
        <is>
          <t>TORSBY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58928-2025</t>
        </is>
      </c>
      <c r="B1496" s="1" t="n">
        <v>45987</v>
      </c>
      <c r="C1496" s="1" t="n">
        <v>46076</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58840-2025</t>
        </is>
      </c>
      <c r="B1497" s="1" t="n">
        <v>45987.36246527778</v>
      </c>
      <c r="C1497" s="1" t="n">
        <v>46076</v>
      </c>
      <c r="D1497" t="inlineStr">
        <is>
          <t>VÄRMLANDS LÄN</t>
        </is>
      </c>
      <c r="E1497" t="inlineStr">
        <is>
          <t>TORSBY</t>
        </is>
      </c>
      <c r="F1497" t="inlineStr">
        <is>
          <t>Bergvik skog väst AB</t>
        </is>
      </c>
      <c r="G1497" t="n">
        <v>18.9</v>
      </c>
      <c r="H1497" t="n">
        <v>0</v>
      </c>
      <c r="I1497" t="n">
        <v>0</v>
      </c>
      <c r="J1497" t="n">
        <v>0</v>
      </c>
      <c r="K1497" t="n">
        <v>0</v>
      </c>
      <c r="L1497" t="n">
        <v>0</v>
      </c>
      <c r="M1497" t="n">
        <v>0</v>
      </c>
      <c r="N1497" t="n">
        <v>0</v>
      </c>
      <c r="O1497" t="n">
        <v>0</v>
      </c>
      <c r="P1497" t="n">
        <v>0</v>
      </c>
      <c r="Q1497" t="n">
        <v>0</v>
      </c>
      <c r="R1497" s="2" t="inlineStr"/>
    </row>
    <row r="1498" ht="15" customHeight="1">
      <c r="A1498" t="inlineStr">
        <is>
          <t>A 58903-2025</t>
        </is>
      </c>
      <c r="B1498" s="1" t="n">
        <v>45987.50533564815</v>
      </c>
      <c r="C1498" s="1" t="n">
        <v>46076</v>
      </c>
      <c r="D1498" t="inlineStr">
        <is>
          <t>VÄRMLANDS LÄN</t>
        </is>
      </c>
      <c r="E1498" t="inlineStr">
        <is>
          <t>TORSBY</t>
        </is>
      </c>
      <c r="F1498" t="inlineStr">
        <is>
          <t>Bergvik skog väst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58897-2025</t>
        </is>
      </c>
      <c r="B1499" s="1" t="n">
        <v>45987.49574074074</v>
      </c>
      <c r="C1499" s="1" t="n">
        <v>46076</v>
      </c>
      <c r="D1499" t="inlineStr">
        <is>
          <t>VÄRMLANDS LÄN</t>
        </is>
      </c>
      <c r="E1499" t="inlineStr">
        <is>
          <t>TORSBY</t>
        </is>
      </c>
      <c r="F1499" t="inlineStr">
        <is>
          <t>Bergvik skog väst AB</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58899-2025</t>
        </is>
      </c>
      <c r="B1500" s="1" t="n">
        <v>45987.500625</v>
      </c>
      <c r="C1500" s="1" t="n">
        <v>46076</v>
      </c>
      <c r="D1500" t="inlineStr">
        <is>
          <t>VÄRMLANDS LÄN</t>
        </is>
      </c>
      <c r="E1500" t="inlineStr">
        <is>
          <t>TORSBY</t>
        </is>
      </c>
      <c r="F1500" t="inlineStr">
        <is>
          <t>Bergvik skog väst AB</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20528-2023</t>
        </is>
      </c>
      <c r="B1501" s="1" t="n">
        <v>45057</v>
      </c>
      <c r="C1501" s="1" t="n">
        <v>46076</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18876-2023</t>
        </is>
      </c>
      <c r="B1502" s="1" t="n">
        <v>45044.50101851852</v>
      </c>
      <c r="C1502" s="1" t="n">
        <v>46076</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28624-2024</t>
        </is>
      </c>
      <c r="B1503" s="1" t="n">
        <v>45478.44297453704</v>
      </c>
      <c r="C1503" s="1" t="n">
        <v>46076</v>
      </c>
      <c r="D1503" t="inlineStr">
        <is>
          <t>VÄRMLANDS LÄN</t>
        </is>
      </c>
      <c r="E1503" t="inlineStr">
        <is>
          <t>TORSBY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58901-2025</t>
        </is>
      </c>
      <c r="B1504" s="1" t="n">
        <v>45987.50243055556</v>
      </c>
      <c r="C1504" s="1" t="n">
        <v>46076</v>
      </c>
      <c r="D1504" t="inlineStr">
        <is>
          <t>VÄRMLANDS LÄN</t>
        </is>
      </c>
      <c r="E1504" t="inlineStr">
        <is>
          <t>TORSBY</t>
        </is>
      </c>
      <c r="F1504" t="inlineStr">
        <is>
          <t>Bergvik skog väst AB</t>
        </is>
      </c>
      <c r="G1504" t="n">
        <v>25.3</v>
      </c>
      <c r="H1504" t="n">
        <v>0</v>
      </c>
      <c r="I1504" t="n">
        <v>0</v>
      </c>
      <c r="J1504" t="n">
        <v>0</v>
      </c>
      <c r="K1504" t="n">
        <v>0</v>
      </c>
      <c r="L1504" t="n">
        <v>0</v>
      </c>
      <c r="M1504" t="n">
        <v>0</v>
      </c>
      <c r="N1504" t="n">
        <v>0</v>
      </c>
      <c r="O1504" t="n">
        <v>0</v>
      </c>
      <c r="P1504" t="n">
        <v>0</v>
      </c>
      <c r="Q1504" t="n">
        <v>0</v>
      </c>
      <c r="R1504" s="2" t="inlineStr"/>
    </row>
    <row r="1505" ht="15" customHeight="1">
      <c r="A1505" t="inlineStr">
        <is>
          <t>A 11214-2024</t>
        </is>
      </c>
      <c r="B1505" s="1" t="n">
        <v>45371</v>
      </c>
      <c r="C1505" s="1" t="n">
        <v>46076</v>
      </c>
      <c r="D1505" t="inlineStr">
        <is>
          <t>VÄRMLANDS LÄN</t>
        </is>
      </c>
      <c r="E1505" t="inlineStr">
        <is>
          <t>TORSBY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58538-2025</t>
        </is>
      </c>
      <c r="B1506" s="1" t="n">
        <v>45985.89356481482</v>
      </c>
      <c r="C1506" s="1" t="n">
        <v>46076</v>
      </c>
      <c r="D1506" t="inlineStr">
        <is>
          <t>VÄRMLANDS LÄN</t>
        </is>
      </c>
      <c r="E1506" t="inlineStr">
        <is>
          <t>TORSBY</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58864-2025</t>
        </is>
      </c>
      <c r="B1507" s="1" t="n">
        <v>45987.44736111111</v>
      </c>
      <c r="C1507" s="1" t="n">
        <v>46076</v>
      </c>
      <c r="D1507" t="inlineStr">
        <is>
          <t>VÄRMLANDS LÄN</t>
        </is>
      </c>
      <c r="E1507" t="inlineStr">
        <is>
          <t>TORSBY</t>
        </is>
      </c>
      <c r="F1507" t="inlineStr">
        <is>
          <t>Kyrkan</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43179-2023</t>
        </is>
      </c>
      <c r="B1508" s="1" t="n">
        <v>45183.37615740741</v>
      </c>
      <c r="C1508" s="1" t="n">
        <v>46076</v>
      </c>
      <c r="D1508" t="inlineStr">
        <is>
          <t>VÄRMLANDS LÄN</t>
        </is>
      </c>
      <c r="E1508" t="inlineStr">
        <is>
          <t>TORSBY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59030-2025</t>
        </is>
      </c>
      <c r="B1509" s="1" t="n">
        <v>45988</v>
      </c>
      <c r="C1509" s="1" t="n">
        <v>46076</v>
      </c>
      <c r="D1509" t="inlineStr">
        <is>
          <t>VÄRMLANDS LÄN</t>
        </is>
      </c>
      <c r="E1509" t="inlineStr">
        <is>
          <t>TORSBY</t>
        </is>
      </c>
      <c r="F1509" t="inlineStr">
        <is>
          <t>Kyrkan</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59536-2025</t>
        </is>
      </c>
      <c r="B1510" s="1" t="n">
        <v>45989</v>
      </c>
      <c r="C1510" s="1" t="n">
        <v>46076</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56299-2025</t>
        </is>
      </c>
      <c r="B1511" s="1" t="n">
        <v>45974</v>
      </c>
      <c r="C1511" s="1" t="n">
        <v>46076</v>
      </c>
      <c r="D1511" t="inlineStr">
        <is>
          <t>VÄRMLANDS LÄN</t>
        </is>
      </c>
      <c r="E1511" t="inlineStr">
        <is>
          <t>TORSBY</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2308-2024</t>
        </is>
      </c>
      <c r="B1512" s="1" t="n">
        <v>45310</v>
      </c>
      <c r="C1512" s="1" t="n">
        <v>46076</v>
      </c>
      <c r="D1512" t="inlineStr">
        <is>
          <t>VÄRMLANDS LÄN</t>
        </is>
      </c>
      <c r="E1512" t="inlineStr">
        <is>
          <t>TORSBY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46195-2023</t>
        </is>
      </c>
      <c r="B1513" s="1" t="n">
        <v>45196</v>
      </c>
      <c r="C1513" s="1" t="n">
        <v>46076</v>
      </c>
      <c r="D1513" t="inlineStr">
        <is>
          <t>VÄRMLANDS LÄN</t>
        </is>
      </c>
      <c r="E1513" t="inlineStr">
        <is>
          <t>TORSBY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18959-2024</t>
        </is>
      </c>
      <c r="B1514" s="1" t="n">
        <v>45427.53032407408</v>
      </c>
      <c r="C1514" s="1" t="n">
        <v>46076</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59744-2025</t>
        </is>
      </c>
      <c r="B1515" s="1" t="n">
        <v>45992</v>
      </c>
      <c r="C1515" s="1" t="n">
        <v>46076</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19630-2025</t>
        </is>
      </c>
      <c r="B1516" s="1" t="n">
        <v>45770.64239583333</v>
      </c>
      <c r="C1516" s="1" t="n">
        <v>46076</v>
      </c>
      <c r="D1516" t="inlineStr">
        <is>
          <t>VÄRMLANDS LÄN</t>
        </is>
      </c>
      <c r="E1516" t="inlineStr">
        <is>
          <t>TORSBY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59685-2025</t>
        </is>
      </c>
      <c r="B1517" s="1" t="n">
        <v>45992.47407407407</v>
      </c>
      <c r="C1517" s="1" t="n">
        <v>46076</v>
      </c>
      <c r="D1517" t="inlineStr">
        <is>
          <t>VÄRMLANDS LÄN</t>
        </is>
      </c>
      <c r="E1517" t="inlineStr">
        <is>
          <t>TORSBY</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59729-2025</t>
        </is>
      </c>
      <c r="B1518" s="1" t="n">
        <v>45992</v>
      </c>
      <c r="C1518" s="1" t="n">
        <v>46076</v>
      </c>
      <c r="D1518" t="inlineStr">
        <is>
          <t>VÄRMLANDS LÄN</t>
        </is>
      </c>
      <c r="E1518" t="inlineStr">
        <is>
          <t>TORSBY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1635-2026</t>
        </is>
      </c>
      <c r="B1519" s="1" t="n">
        <v>46034.491875</v>
      </c>
      <c r="C1519" s="1" t="n">
        <v>46076</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29921-2022</t>
        </is>
      </c>
      <c r="B1520" s="1" t="n">
        <v>44756</v>
      </c>
      <c r="C1520" s="1" t="n">
        <v>46076</v>
      </c>
      <c r="D1520" t="inlineStr">
        <is>
          <t>VÄRMLANDS LÄN</t>
        </is>
      </c>
      <c r="E1520" t="inlineStr">
        <is>
          <t>TORSBY</t>
        </is>
      </c>
      <c r="F1520" t="inlineStr">
        <is>
          <t>Kommuner</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64641-2023</t>
        </is>
      </c>
      <c r="B1521" s="1" t="n">
        <v>45281.55908564815</v>
      </c>
      <c r="C1521" s="1" t="n">
        <v>46076</v>
      </c>
      <c r="D1521" t="inlineStr">
        <is>
          <t>VÄRMLANDS LÄN</t>
        </is>
      </c>
      <c r="E1521" t="inlineStr">
        <is>
          <t>TORSBY</t>
        </is>
      </c>
      <c r="F1521" t="inlineStr">
        <is>
          <t>Bergvik skog väst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59864-2025</t>
        </is>
      </c>
      <c r="B1522" s="1" t="n">
        <v>45992.83108796296</v>
      </c>
      <c r="C1522" s="1" t="n">
        <v>46076</v>
      </c>
      <c r="D1522" t="inlineStr">
        <is>
          <t>VÄRMLANDS LÄN</t>
        </is>
      </c>
      <c r="E1522" t="inlineStr">
        <is>
          <t>TORSBY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59913-2025</t>
        </is>
      </c>
      <c r="B1523" s="1" t="n">
        <v>45993.36527777778</v>
      </c>
      <c r="C1523" s="1" t="n">
        <v>46076</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11569-2025</t>
        </is>
      </c>
      <c r="B1524" s="1" t="n">
        <v>45727.37971064815</v>
      </c>
      <c r="C1524" s="1" t="n">
        <v>46076</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2005-2026</t>
        </is>
      </c>
      <c r="B1525" s="1" t="n">
        <v>46035.69554398148</v>
      </c>
      <c r="C1525" s="1" t="n">
        <v>46076</v>
      </c>
      <c r="D1525" t="inlineStr">
        <is>
          <t>VÄRMLANDS LÄN</t>
        </is>
      </c>
      <c r="E1525" t="inlineStr">
        <is>
          <t>TORSBY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16427-2023</t>
        </is>
      </c>
      <c r="B1526" s="1" t="n">
        <v>45022</v>
      </c>
      <c r="C1526" s="1" t="n">
        <v>46076</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34434-2022</t>
        </is>
      </c>
      <c r="B1527" s="1" t="n">
        <v>44792</v>
      </c>
      <c r="C1527" s="1" t="n">
        <v>46076</v>
      </c>
      <c r="D1527" t="inlineStr">
        <is>
          <t>VÄRMLANDS LÄN</t>
        </is>
      </c>
      <c r="E1527" t="inlineStr">
        <is>
          <t>TORSBY</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7636-2024</t>
        </is>
      </c>
      <c r="B1528" s="1" t="n">
        <v>45348</v>
      </c>
      <c r="C1528" s="1" t="n">
        <v>46076</v>
      </c>
      <c r="D1528" t="inlineStr">
        <is>
          <t>VÄRMLANDS LÄN</t>
        </is>
      </c>
      <c r="E1528" t="inlineStr">
        <is>
          <t>TORSBY</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3590-2024</t>
        </is>
      </c>
      <c r="B1529" s="1" t="n">
        <v>45320</v>
      </c>
      <c r="C1529" s="1" t="n">
        <v>46076</v>
      </c>
      <c r="D1529" t="inlineStr">
        <is>
          <t>VÄRMLANDS LÄN</t>
        </is>
      </c>
      <c r="E1529" t="inlineStr">
        <is>
          <t>TORSBY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60479-2025</t>
        </is>
      </c>
      <c r="B1530" s="1" t="n">
        <v>45995.59563657407</v>
      </c>
      <c r="C1530" s="1" t="n">
        <v>46076</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60485-2025</t>
        </is>
      </c>
      <c r="B1531" s="1" t="n">
        <v>45995.59924768518</v>
      </c>
      <c r="C1531" s="1" t="n">
        <v>46076</v>
      </c>
      <c r="D1531" t="inlineStr">
        <is>
          <t>VÄRMLANDS LÄN</t>
        </is>
      </c>
      <c r="E1531" t="inlineStr">
        <is>
          <t>TORSBY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18258-2025</t>
        </is>
      </c>
      <c r="B1532" s="1" t="n">
        <v>45762.35762731481</v>
      </c>
      <c r="C1532" s="1" t="n">
        <v>46076</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37822-2023</t>
        </is>
      </c>
      <c r="B1533" s="1" t="n">
        <v>45160.30215277777</v>
      </c>
      <c r="C1533" s="1" t="n">
        <v>46076</v>
      </c>
      <c r="D1533" t="inlineStr">
        <is>
          <t>VÄRMLANDS LÄN</t>
        </is>
      </c>
      <c r="E1533" t="inlineStr">
        <is>
          <t>TORSBY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2057-2026</t>
        </is>
      </c>
      <c r="B1534" s="1" t="n">
        <v>46033</v>
      </c>
      <c r="C1534" s="1" t="n">
        <v>46076</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1428-2026</t>
        </is>
      </c>
      <c r="B1535" s="1" t="n">
        <v>46032</v>
      </c>
      <c r="C1535" s="1" t="n">
        <v>46076</v>
      </c>
      <c r="D1535" t="inlineStr">
        <is>
          <t>VÄRMLANDS LÄN</t>
        </is>
      </c>
      <c r="E1535" t="inlineStr">
        <is>
          <t>TORSBY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60189-2025</t>
        </is>
      </c>
      <c r="B1536" s="1" t="n">
        <v>45994</v>
      </c>
      <c r="C1536" s="1" t="n">
        <v>46076</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2510-2026</t>
        </is>
      </c>
      <c r="B1537" s="1" t="n">
        <v>46037</v>
      </c>
      <c r="C1537" s="1" t="n">
        <v>46076</v>
      </c>
      <c r="D1537" t="inlineStr">
        <is>
          <t>VÄRMLANDS LÄN</t>
        </is>
      </c>
      <c r="E1537" t="inlineStr">
        <is>
          <t>TORSBY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60392-2025</t>
        </is>
      </c>
      <c r="B1538" s="1" t="n">
        <v>45995.38917824074</v>
      </c>
      <c r="C1538" s="1" t="n">
        <v>46076</v>
      </c>
      <c r="D1538" t="inlineStr">
        <is>
          <t>VÄRMLANDS LÄN</t>
        </is>
      </c>
      <c r="E1538" t="inlineStr">
        <is>
          <t>TORSBY</t>
        </is>
      </c>
      <c r="F1538" t="inlineStr">
        <is>
          <t>Bergvik skog väst AB</t>
        </is>
      </c>
      <c r="G1538" t="n">
        <v>32.3</v>
      </c>
      <c r="H1538" t="n">
        <v>0</v>
      </c>
      <c r="I1538" t="n">
        <v>0</v>
      </c>
      <c r="J1538" t="n">
        <v>0</v>
      </c>
      <c r="K1538" t="n">
        <v>0</v>
      </c>
      <c r="L1538" t="n">
        <v>0</v>
      </c>
      <c r="M1538" t="n">
        <v>0</v>
      </c>
      <c r="N1538" t="n">
        <v>0</v>
      </c>
      <c r="O1538" t="n">
        <v>0</v>
      </c>
      <c r="P1538" t="n">
        <v>0</v>
      </c>
      <c r="Q1538" t="n">
        <v>0</v>
      </c>
      <c r="R1538" s="2" t="inlineStr"/>
    </row>
    <row r="1539" ht="15" customHeight="1">
      <c r="A1539" t="inlineStr">
        <is>
          <t>A 60459-2025</t>
        </is>
      </c>
      <c r="B1539" s="1" t="n">
        <v>45995.54590277778</v>
      </c>
      <c r="C1539" s="1" t="n">
        <v>46076</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60411-2025</t>
        </is>
      </c>
      <c r="B1540" s="1" t="n">
        <v>45995</v>
      </c>
      <c r="C1540" s="1" t="n">
        <v>46076</v>
      </c>
      <c r="D1540" t="inlineStr">
        <is>
          <t>VÄRMLANDS LÄN</t>
        </is>
      </c>
      <c r="E1540" t="inlineStr">
        <is>
          <t>TORSBY</t>
        </is>
      </c>
      <c r="F1540" t="inlineStr">
        <is>
          <t>Bergvik skog väst AB</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60414-2025</t>
        </is>
      </c>
      <c r="B1541" s="1" t="n">
        <v>45995</v>
      </c>
      <c r="C1541" s="1" t="n">
        <v>46076</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21825-2024</t>
        </is>
      </c>
      <c r="B1542" s="1" t="n">
        <v>45442</v>
      </c>
      <c r="C1542" s="1" t="n">
        <v>46076</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60486-2025</t>
        </is>
      </c>
      <c r="B1543" s="1" t="n">
        <v>45995.60109953704</v>
      </c>
      <c r="C1543" s="1" t="n">
        <v>46076</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20721-2023</t>
        </is>
      </c>
      <c r="B1544" s="1" t="n">
        <v>45058</v>
      </c>
      <c r="C1544" s="1" t="n">
        <v>46076</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2279-2026</t>
        </is>
      </c>
      <c r="B1545" s="1" t="n">
        <v>46036.57755787037</v>
      </c>
      <c r="C1545" s="1" t="n">
        <v>46076</v>
      </c>
      <c r="D1545" t="inlineStr">
        <is>
          <t>VÄRMLANDS LÄN</t>
        </is>
      </c>
      <c r="E1545" t="inlineStr">
        <is>
          <t>TORSBY</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16369-2024</t>
        </is>
      </c>
      <c r="B1546" s="1" t="n">
        <v>45407</v>
      </c>
      <c r="C1546" s="1" t="n">
        <v>46076</v>
      </c>
      <c r="D1546" t="inlineStr">
        <is>
          <t>VÄRMLANDS LÄN</t>
        </is>
      </c>
      <c r="E1546" t="inlineStr">
        <is>
          <t>TORSBY</t>
        </is>
      </c>
      <c r="F1546" t="inlineStr">
        <is>
          <t>Kommuner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60461-2025</t>
        </is>
      </c>
      <c r="B1547" s="1" t="n">
        <v>45995.54976851852</v>
      </c>
      <c r="C1547" s="1" t="n">
        <v>46076</v>
      </c>
      <c r="D1547" t="inlineStr">
        <is>
          <t>VÄRMLANDS LÄN</t>
        </is>
      </c>
      <c r="E1547" t="inlineStr">
        <is>
          <t>TORSBY</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42615-2021</t>
        </is>
      </c>
      <c r="B1548" s="1" t="n">
        <v>44428</v>
      </c>
      <c r="C1548" s="1" t="n">
        <v>46076</v>
      </c>
      <c r="D1548" t="inlineStr">
        <is>
          <t>VÄRMLANDS LÄN</t>
        </is>
      </c>
      <c r="E1548" t="inlineStr">
        <is>
          <t>TORSBY</t>
        </is>
      </c>
      <c r="F1548" t="inlineStr">
        <is>
          <t>Bergvik skog väst AB</t>
        </is>
      </c>
      <c r="G1548" t="n">
        <v>37.2</v>
      </c>
      <c r="H1548" t="n">
        <v>0</v>
      </c>
      <c r="I1548" t="n">
        <v>0</v>
      </c>
      <c r="J1548" t="n">
        <v>0</v>
      </c>
      <c r="K1548" t="n">
        <v>0</v>
      </c>
      <c r="L1548" t="n">
        <v>0</v>
      </c>
      <c r="M1548" t="n">
        <v>0</v>
      </c>
      <c r="N1548" t="n">
        <v>0</v>
      </c>
      <c r="O1548" t="n">
        <v>0</v>
      </c>
      <c r="P1548" t="n">
        <v>0</v>
      </c>
      <c r="Q1548" t="n">
        <v>0</v>
      </c>
      <c r="R1548" s="2" t="inlineStr"/>
    </row>
    <row r="1549" ht="15" customHeight="1">
      <c r="A1549" t="inlineStr">
        <is>
          <t>A 18337-2024</t>
        </is>
      </c>
      <c r="B1549" s="1" t="n">
        <v>45422</v>
      </c>
      <c r="C1549" s="1" t="n">
        <v>46076</v>
      </c>
      <c r="D1549" t="inlineStr">
        <is>
          <t>VÄRMLANDS LÄN</t>
        </is>
      </c>
      <c r="E1549" t="inlineStr">
        <is>
          <t>TORSBY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43111-2022</t>
        </is>
      </c>
      <c r="B1550" s="1" t="n">
        <v>44833</v>
      </c>
      <c r="C1550" s="1" t="n">
        <v>46076</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2865-2026</t>
        </is>
      </c>
      <c r="B1551" s="1" t="n">
        <v>46038.49953703704</v>
      </c>
      <c r="C1551" s="1" t="n">
        <v>46076</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2856-2026</t>
        </is>
      </c>
      <c r="B1552" s="1" t="n">
        <v>46038.48686342593</v>
      </c>
      <c r="C1552" s="1" t="n">
        <v>46076</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392-2025</t>
        </is>
      </c>
      <c r="B1553" s="1" t="n">
        <v>45663.35111111111</v>
      </c>
      <c r="C1553" s="1" t="n">
        <v>46076</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2768-2026</t>
        </is>
      </c>
      <c r="B1554" s="1" t="n">
        <v>46038</v>
      </c>
      <c r="C1554" s="1" t="n">
        <v>46076</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19964-2025</t>
        </is>
      </c>
      <c r="B1555" s="1" t="n">
        <v>45771.67315972222</v>
      </c>
      <c r="C1555" s="1" t="n">
        <v>46076</v>
      </c>
      <c r="D1555" t="inlineStr">
        <is>
          <t>VÄRMLANDS LÄN</t>
        </is>
      </c>
      <c r="E1555" t="inlineStr">
        <is>
          <t>TORSBY</t>
        </is>
      </c>
      <c r="F1555" t="inlineStr">
        <is>
          <t>Bergvik skog väst AB</t>
        </is>
      </c>
      <c r="G1555" t="n">
        <v>23.8</v>
      </c>
      <c r="H1555" t="n">
        <v>0</v>
      </c>
      <c r="I1555" t="n">
        <v>0</v>
      </c>
      <c r="J1555" t="n">
        <v>0</v>
      </c>
      <c r="K1555" t="n">
        <v>0</v>
      </c>
      <c r="L1555" t="n">
        <v>0</v>
      </c>
      <c r="M1555" t="n">
        <v>0</v>
      </c>
      <c r="N1555" t="n">
        <v>0</v>
      </c>
      <c r="O1555" t="n">
        <v>0</v>
      </c>
      <c r="P1555" t="n">
        <v>0</v>
      </c>
      <c r="Q1555" t="n">
        <v>0</v>
      </c>
      <c r="R1555" s="2" t="inlineStr"/>
    </row>
    <row r="1556" ht="15" customHeight="1">
      <c r="A1556" t="inlineStr">
        <is>
          <t>A 1828-2026</t>
        </is>
      </c>
      <c r="B1556" s="1" t="n">
        <v>46035</v>
      </c>
      <c r="C1556" s="1" t="n">
        <v>46076</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27273-2024</t>
        </is>
      </c>
      <c r="B1557" s="1" t="n">
        <v>45471.84013888889</v>
      </c>
      <c r="C1557" s="1" t="n">
        <v>46076</v>
      </c>
      <c r="D1557" t="inlineStr">
        <is>
          <t>VÄRMLANDS LÄN</t>
        </is>
      </c>
      <c r="E1557" t="inlineStr">
        <is>
          <t>TORSBY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27275-2024</t>
        </is>
      </c>
      <c r="B1558" s="1" t="n">
        <v>45471.85645833334</v>
      </c>
      <c r="C1558" s="1" t="n">
        <v>46076</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2845-2026</t>
        </is>
      </c>
      <c r="B1559" s="1" t="n">
        <v>46038.47104166666</v>
      </c>
      <c r="C1559" s="1" t="n">
        <v>46076</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60593-2025</t>
        </is>
      </c>
      <c r="B1560" s="1" t="n">
        <v>45996.34353009259</v>
      </c>
      <c r="C1560" s="1" t="n">
        <v>46076</v>
      </c>
      <c r="D1560" t="inlineStr">
        <is>
          <t>VÄRMLANDS LÄN</t>
        </is>
      </c>
      <c r="E1560" t="inlineStr">
        <is>
          <t>TORSBY</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46038.49465277778</v>
      </c>
      <c r="C1561" s="1" t="n">
        <v>46076</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1947-2023</t>
        </is>
      </c>
      <c r="B1562" s="1" t="n">
        <v>44939</v>
      </c>
      <c r="C1562" s="1" t="n">
        <v>46076</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60537-2024</t>
        </is>
      </c>
      <c r="B1563" s="1" t="n">
        <v>45643.77138888889</v>
      </c>
      <c r="C1563" s="1" t="n">
        <v>46076</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44342-2024</t>
        </is>
      </c>
      <c r="B1564" s="1" t="n">
        <v>45573.61793981482</v>
      </c>
      <c r="C1564" s="1" t="n">
        <v>46076</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52809-2024</t>
        </is>
      </c>
      <c r="B1565" s="1" t="n">
        <v>45610</v>
      </c>
      <c r="C1565" s="1" t="n">
        <v>46076</v>
      </c>
      <c r="D1565" t="inlineStr">
        <is>
          <t>VÄRMLANDS LÄN</t>
        </is>
      </c>
      <c r="E1565" t="inlineStr">
        <is>
          <t>TORSBY</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60592-2025</t>
        </is>
      </c>
      <c r="B1566" s="1" t="n">
        <v>45996</v>
      </c>
      <c r="C1566" s="1" t="n">
        <v>46076</v>
      </c>
      <c r="D1566" t="inlineStr">
        <is>
          <t>VÄRMLANDS LÄN</t>
        </is>
      </c>
      <c r="E1566" t="inlineStr">
        <is>
          <t>TORSBY</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10979-2025</t>
        </is>
      </c>
      <c r="B1567" s="1" t="n">
        <v>45723.39988425926</v>
      </c>
      <c r="C1567" s="1" t="n">
        <v>46076</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3680-2026</t>
        </is>
      </c>
      <c r="B1568" s="1" t="n">
        <v>46043.42990740741</v>
      </c>
      <c r="C1568" s="1" t="n">
        <v>46076</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3417-2026</t>
        </is>
      </c>
      <c r="B1569" s="1" t="n">
        <v>46042.42310185185</v>
      </c>
      <c r="C1569" s="1" t="n">
        <v>46076</v>
      </c>
      <c r="D1569" t="inlineStr">
        <is>
          <t>VÄRMLANDS LÄN</t>
        </is>
      </c>
      <c r="E1569" t="inlineStr">
        <is>
          <t>TORSBY</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27292-2024</t>
        </is>
      </c>
      <c r="B1570" s="1" t="n">
        <v>45471.93378472222</v>
      </c>
      <c r="C1570" s="1" t="n">
        <v>46076</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61497-2025</t>
        </is>
      </c>
      <c r="B1571" s="1" t="n">
        <v>46001</v>
      </c>
      <c r="C1571" s="1" t="n">
        <v>46076</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53570-2024</t>
        </is>
      </c>
      <c r="B1572" s="1" t="n">
        <v>45614.65956018519</v>
      </c>
      <c r="C1572" s="1" t="n">
        <v>46076</v>
      </c>
      <c r="D1572" t="inlineStr">
        <is>
          <t>VÄRMLANDS LÄN</t>
        </is>
      </c>
      <c r="E1572" t="inlineStr">
        <is>
          <t>TORSBY</t>
        </is>
      </c>
      <c r="G1572" t="n">
        <v>15.5</v>
      </c>
      <c r="H1572" t="n">
        <v>0</v>
      </c>
      <c r="I1572" t="n">
        <v>0</v>
      </c>
      <c r="J1572" t="n">
        <v>0</v>
      </c>
      <c r="K1572" t="n">
        <v>0</v>
      </c>
      <c r="L1572" t="n">
        <v>0</v>
      </c>
      <c r="M1572" t="n">
        <v>0</v>
      </c>
      <c r="N1572" t="n">
        <v>0</v>
      </c>
      <c r="O1572" t="n">
        <v>0</v>
      </c>
      <c r="P1572" t="n">
        <v>0</v>
      </c>
      <c r="Q1572" t="n">
        <v>0</v>
      </c>
      <c r="R1572" s="2" t="inlineStr"/>
    </row>
    <row r="1573" ht="15" customHeight="1">
      <c r="A1573" t="inlineStr">
        <is>
          <t>A 53044-2024</t>
        </is>
      </c>
      <c r="B1573" s="1" t="n">
        <v>45611.44701388889</v>
      </c>
      <c r="C1573" s="1" t="n">
        <v>46076</v>
      </c>
      <c r="D1573" t="inlineStr">
        <is>
          <t>VÄRMLANDS LÄN</t>
        </is>
      </c>
      <c r="E1573" t="inlineStr">
        <is>
          <t>TORSBY</t>
        </is>
      </c>
      <c r="F1573" t="inlineStr">
        <is>
          <t>Kyrkan</t>
        </is>
      </c>
      <c r="G1573" t="n">
        <v>25.8</v>
      </c>
      <c r="H1573" t="n">
        <v>0</v>
      </c>
      <c r="I1573" t="n">
        <v>0</v>
      </c>
      <c r="J1573" t="n">
        <v>0</v>
      </c>
      <c r="K1573" t="n">
        <v>0</v>
      </c>
      <c r="L1573" t="n">
        <v>0</v>
      </c>
      <c r="M1573" t="n">
        <v>0</v>
      </c>
      <c r="N1573" t="n">
        <v>0</v>
      </c>
      <c r="O1573" t="n">
        <v>0</v>
      </c>
      <c r="P1573" t="n">
        <v>0</v>
      </c>
      <c r="Q1573" t="n">
        <v>0</v>
      </c>
      <c r="R1573" s="2" t="inlineStr"/>
    </row>
    <row r="1574" ht="15" customHeight="1">
      <c r="A1574" t="inlineStr">
        <is>
          <t>A 3658-2026</t>
        </is>
      </c>
      <c r="B1574" s="1" t="n">
        <v>46043.38148148148</v>
      </c>
      <c r="C1574" s="1" t="n">
        <v>46076</v>
      </c>
      <c r="D1574" t="inlineStr">
        <is>
          <t>VÄRMLANDS LÄN</t>
        </is>
      </c>
      <c r="E1574" t="inlineStr">
        <is>
          <t>TORSBY</t>
        </is>
      </c>
      <c r="F1574" t="inlineStr">
        <is>
          <t>Kommuner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17039-2025</t>
        </is>
      </c>
      <c r="B1575" s="1" t="n">
        <v>45754</v>
      </c>
      <c r="C1575" s="1" t="n">
        <v>46076</v>
      </c>
      <c r="D1575" t="inlineStr">
        <is>
          <t>VÄRMLANDS LÄN</t>
        </is>
      </c>
      <c r="E1575" t="inlineStr">
        <is>
          <t>TORSBY</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17062-2025</t>
        </is>
      </c>
      <c r="B1576" s="1" t="n">
        <v>45754</v>
      </c>
      <c r="C1576" s="1" t="n">
        <v>46076</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61531-2025</t>
        </is>
      </c>
      <c r="B1577" s="1" t="n">
        <v>46001</v>
      </c>
      <c r="C1577" s="1" t="n">
        <v>46076</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3411-2026</t>
        </is>
      </c>
      <c r="B1578" s="1" t="n">
        <v>46042.41546296296</v>
      </c>
      <c r="C1578" s="1" t="n">
        <v>46076</v>
      </c>
      <c r="D1578" t="inlineStr">
        <is>
          <t>VÄRMLANDS LÄN</t>
        </is>
      </c>
      <c r="E1578" t="inlineStr">
        <is>
          <t>TORSBY</t>
        </is>
      </c>
      <c r="F1578" t="inlineStr">
        <is>
          <t>Bergvik skog väst AB</t>
        </is>
      </c>
      <c r="G1578" t="n">
        <v>22.9</v>
      </c>
      <c r="H1578" t="n">
        <v>0</v>
      </c>
      <c r="I1578" t="n">
        <v>0</v>
      </c>
      <c r="J1578" t="n">
        <v>0</v>
      </c>
      <c r="K1578" t="n">
        <v>0</v>
      </c>
      <c r="L1578" t="n">
        <v>0</v>
      </c>
      <c r="M1578" t="n">
        <v>0</v>
      </c>
      <c r="N1578" t="n">
        <v>0</v>
      </c>
      <c r="O1578" t="n">
        <v>0</v>
      </c>
      <c r="P1578" t="n">
        <v>0</v>
      </c>
      <c r="Q1578" t="n">
        <v>0</v>
      </c>
      <c r="R1578" s="2" t="inlineStr"/>
    </row>
    <row r="1579" ht="15" customHeight="1">
      <c r="A1579" t="inlineStr">
        <is>
          <t>A 2008-2026</t>
        </is>
      </c>
      <c r="B1579" s="1" t="n">
        <v>46035</v>
      </c>
      <c r="C1579" s="1" t="n">
        <v>46076</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3414-2026</t>
        </is>
      </c>
      <c r="B1580" s="1" t="n">
        <v>46042.41920138889</v>
      </c>
      <c r="C1580" s="1" t="n">
        <v>46076</v>
      </c>
      <c r="D1580" t="inlineStr">
        <is>
          <t>VÄRMLANDS LÄN</t>
        </is>
      </c>
      <c r="E1580" t="inlineStr">
        <is>
          <t>TORSBY</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60346-2025</t>
        </is>
      </c>
      <c r="B1581" s="1" t="n">
        <v>45995</v>
      </c>
      <c r="C1581" s="1" t="n">
        <v>46076</v>
      </c>
      <c r="D1581" t="inlineStr">
        <is>
          <t>VÄRMLANDS LÄN</t>
        </is>
      </c>
      <c r="E1581" t="inlineStr">
        <is>
          <t>TORSBY</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11575-2024</t>
        </is>
      </c>
      <c r="B1582" s="1" t="n">
        <v>45373</v>
      </c>
      <c r="C1582" s="1" t="n">
        <v>46076</v>
      </c>
      <c r="D1582" t="inlineStr">
        <is>
          <t>VÄRMLANDS LÄN</t>
        </is>
      </c>
      <c r="E1582" t="inlineStr">
        <is>
          <t>TORSBY</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14413-2025</t>
        </is>
      </c>
      <c r="B1583" s="1" t="n">
        <v>45741</v>
      </c>
      <c r="C1583" s="1" t="n">
        <v>46076</v>
      </c>
      <c r="D1583" t="inlineStr">
        <is>
          <t>VÄRMLANDS LÄN</t>
        </is>
      </c>
      <c r="E1583" t="inlineStr">
        <is>
          <t>TORSBY</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39642-2021</t>
        </is>
      </c>
      <c r="B1584" s="1" t="n">
        <v>44417</v>
      </c>
      <c r="C1584" s="1" t="n">
        <v>46076</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14945-2023</t>
        </is>
      </c>
      <c r="B1585" s="1" t="n">
        <v>45014</v>
      </c>
      <c r="C1585" s="1" t="n">
        <v>46076</v>
      </c>
      <c r="D1585" t="inlineStr">
        <is>
          <t>VÄRMLANDS LÄN</t>
        </is>
      </c>
      <c r="E1585" t="inlineStr">
        <is>
          <t>TORSBY</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55100-2023</t>
        </is>
      </c>
      <c r="B1586" s="1" t="n">
        <v>45237.45715277778</v>
      </c>
      <c r="C1586" s="1" t="n">
        <v>46076</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61361-2025</t>
        </is>
      </c>
      <c r="B1587" s="1" t="n">
        <v>46001.42508101852</v>
      </c>
      <c r="C1587" s="1" t="n">
        <v>46076</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61365-2025</t>
        </is>
      </c>
      <c r="B1588" s="1" t="n">
        <v>46001</v>
      </c>
      <c r="C1588" s="1" t="n">
        <v>46076</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59423-2024</t>
        </is>
      </c>
      <c r="B1589" s="1" t="n">
        <v>45638</v>
      </c>
      <c r="C1589" s="1" t="n">
        <v>46076</v>
      </c>
      <c r="D1589" t="inlineStr">
        <is>
          <t>VÄRMLANDS LÄN</t>
        </is>
      </c>
      <c r="E1589" t="inlineStr">
        <is>
          <t>TORSBY</t>
        </is>
      </c>
      <c r="G1589" t="n">
        <v>23.7</v>
      </c>
      <c r="H1589" t="n">
        <v>0</v>
      </c>
      <c r="I1589" t="n">
        <v>0</v>
      </c>
      <c r="J1589" t="n">
        <v>0</v>
      </c>
      <c r="K1589" t="n">
        <v>0</v>
      </c>
      <c r="L1589" t="n">
        <v>0</v>
      </c>
      <c r="M1589" t="n">
        <v>0</v>
      </c>
      <c r="N1589" t="n">
        <v>0</v>
      </c>
      <c r="O1589" t="n">
        <v>0</v>
      </c>
      <c r="P1589" t="n">
        <v>0</v>
      </c>
      <c r="Q1589" t="n">
        <v>0</v>
      </c>
      <c r="R1589" s="2" t="inlineStr"/>
    </row>
    <row r="1590" ht="15" customHeight="1">
      <c r="A1590" t="inlineStr">
        <is>
          <t>A 61388-2025</t>
        </is>
      </c>
      <c r="B1590" s="1" t="n">
        <v>46001</v>
      </c>
      <c r="C1590" s="1" t="n">
        <v>46076</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61367-2025</t>
        </is>
      </c>
      <c r="B1591" s="1" t="n">
        <v>46001</v>
      </c>
      <c r="C1591" s="1" t="n">
        <v>46076</v>
      </c>
      <c r="D1591" t="inlineStr">
        <is>
          <t>VÄRMLANDS LÄN</t>
        </is>
      </c>
      <c r="E1591" t="inlineStr">
        <is>
          <t>TORSBY</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61368-2025</t>
        </is>
      </c>
      <c r="B1592" s="1" t="n">
        <v>46001</v>
      </c>
      <c r="C1592" s="1" t="n">
        <v>46076</v>
      </c>
      <c r="D1592" t="inlineStr">
        <is>
          <t>VÄRMLANDS LÄN</t>
        </is>
      </c>
      <c r="E1592" t="inlineStr">
        <is>
          <t>TORSBY</t>
        </is>
      </c>
      <c r="F1592" t="inlineStr">
        <is>
          <t>Bergvik skog väst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61463-2025</t>
        </is>
      </c>
      <c r="B1593" s="1" t="n">
        <v>46001.60186342592</v>
      </c>
      <c r="C1593" s="1" t="n">
        <v>46076</v>
      </c>
      <c r="D1593" t="inlineStr">
        <is>
          <t>VÄRMLANDS LÄN</t>
        </is>
      </c>
      <c r="E1593" t="inlineStr">
        <is>
          <t>TORSBY</t>
        </is>
      </c>
      <c r="F1593" t="inlineStr">
        <is>
          <t>Bergvik skog väst AB</t>
        </is>
      </c>
      <c r="G1593" t="n">
        <v>33.8</v>
      </c>
      <c r="H1593" t="n">
        <v>0</v>
      </c>
      <c r="I1593" t="n">
        <v>0</v>
      </c>
      <c r="J1593" t="n">
        <v>0</v>
      </c>
      <c r="K1593" t="n">
        <v>0</v>
      </c>
      <c r="L1593" t="n">
        <v>0</v>
      </c>
      <c r="M1593" t="n">
        <v>0</v>
      </c>
      <c r="N1593" t="n">
        <v>0</v>
      </c>
      <c r="O1593" t="n">
        <v>0</v>
      </c>
      <c r="P1593" t="n">
        <v>0</v>
      </c>
      <c r="Q1593" t="n">
        <v>0</v>
      </c>
      <c r="R1593" s="2" t="inlineStr"/>
    </row>
    <row r="1594" ht="15" customHeight="1">
      <c r="A1594" t="inlineStr">
        <is>
          <t>A 3606-2026</t>
        </is>
      </c>
      <c r="B1594" s="1" t="n">
        <v>46042.88337962963</v>
      </c>
      <c r="C1594" s="1" t="n">
        <v>46076</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61504-2025</t>
        </is>
      </c>
      <c r="B1595" s="1" t="n">
        <v>46001</v>
      </c>
      <c r="C1595" s="1" t="n">
        <v>46076</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3737-2026</t>
        </is>
      </c>
      <c r="B1596" s="1" t="n">
        <v>46043.52572916666</v>
      </c>
      <c r="C1596" s="1" t="n">
        <v>46076</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61510-2025</t>
        </is>
      </c>
      <c r="B1597" s="1" t="n">
        <v>46001</v>
      </c>
      <c r="C1597" s="1" t="n">
        <v>46076</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27086-2024</t>
        </is>
      </c>
      <c r="B1598" s="1" t="n">
        <v>45471</v>
      </c>
      <c r="C1598" s="1" t="n">
        <v>46076</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46076</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34966-2024</t>
        </is>
      </c>
      <c r="B1600" s="1" t="n">
        <v>45527.49600694444</v>
      </c>
      <c r="C1600" s="1" t="n">
        <v>46076</v>
      </c>
      <c r="D1600" t="inlineStr">
        <is>
          <t>VÄRMLANDS LÄN</t>
        </is>
      </c>
      <c r="E1600" t="inlineStr">
        <is>
          <t>TORSBY</t>
        </is>
      </c>
      <c r="F1600" t="inlineStr">
        <is>
          <t>Bergvik skog väst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62007-2025</t>
        </is>
      </c>
      <c r="B1601" s="1" t="n">
        <v>46003</v>
      </c>
      <c r="C1601" s="1" t="n">
        <v>46076</v>
      </c>
      <c r="D1601" t="inlineStr">
        <is>
          <t>VÄRMLANDS LÄN</t>
        </is>
      </c>
      <c r="E1601" t="inlineStr">
        <is>
          <t>TORSBY</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44670-2023</t>
        </is>
      </c>
      <c r="B1602" s="1" t="n">
        <v>45189</v>
      </c>
      <c r="C1602" s="1" t="n">
        <v>46076</v>
      </c>
      <c r="D1602" t="inlineStr">
        <is>
          <t>VÄRMLANDS LÄN</t>
        </is>
      </c>
      <c r="E1602" t="inlineStr">
        <is>
          <t>TORSBY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44710-2023</t>
        </is>
      </c>
      <c r="B1603" s="1" t="n">
        <v>45190</v>
      </c>
      <c r="C1603" s="1" t="n">
        <v>46076</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16488-2024</t>
        </is>
      </c>
      <c r="B1604" s="1" t="n">
        <v>45408.34597222223</v>
      </c>
      <c r="C1604" s="1" t="n">
        <v>46076</v>
      </c>
      <c r="D1604" t="inlineStr">
        <is>
          <t>VÄRMLANDS LÄN</t>
        </is>
      </c>
      <c r="E1604" t="inlineStr">
        <is>
          <t>TORSBY</t>
        </is>
      </c>
      <c r="F1604" t="inlineStr">
        <is>
          <t>Bergvik skog väst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16592-2024</t>
        </is>
      </c>
      <c r="B1605" s="1" t="n">
        <v>45408.49623842593</v>
      </c>
      <c r="C1605" s="1" t="n">
        <v>46076</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54014-2024</t>
        </is>
      </c>
      <c r="B1606" s="1" t="n">
        <v>45616.38003472222</v>
      </c>
      <c r="C1606" s="1" t="n">
        <v>46076</v>
      </c>
      <c r="D1606" t="inlineStr">
        <is>
          <t>VÄRMLANDS LÄN</t>
        </is>
      </c>
      <c r="E1606" t="inlineStr">
        <is>
          <t>TORSBY</t>
        </is>
      </c>
      <c r="F1606" t="inlineStr">
        <is>
          <t>Kommuner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62010-2025</t>
        </is>
      </c>
      <c r="B1607" s="1" t="n">
        <v>46003.67737268518</v>
      </c>
      <c r="C1607" s="1" t="n">
        <v>46076</v>
      </c>
      <c r="D1607" t="inlineStr">
        <is>
          <t>VÄRMLANDS LÄN</t>
        </is>
      </c>
      <c r="E1607" t="inlineStr">
        <is>
          <t>TORSBY</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44448-2024</t>
        </is>
      </c>
      <c r="B1608" s="1" t="n">
        <v>45574</v>
      </c>
      <c r="C1608" s="1" t="n">
        <v>46076</v>
      </c>
      <c r="D1608" t="inlineStr">
        <is>
          <t>VÄRMLANDS LÄN</t>
        </is>
      </c>
      <c r="E1608" t="inlineStr">
        <is>
          <t>TORSBY</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62005-2025</t>
        </is>
      </c>
      <c r="B1609" s="1" t="n">
        <v>46003</v>
      </c>
      <c r="C1609" s="1" t="n">
        <v>46076</v>
      </c>
      <c r="D1609" t="inlineStr">
        <is>
          <t>VÄRMLANDS LÄN</t>
        </is>
      </c>
      <c r="E1609" t="inlineStr">
        <is>
          <t>TORSBY</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739-2022</t>
        </is>
      </c>
      <c r="B1610" s="1" t="n">
        <v>44568</v>
      </c>
      <c r="C1610" s="1" t="n">
        <v>46076</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36318-2022</t>
        </is>
      </c>
      <c r="B1611" s="1" t="n">
        <v>44803</v>
      </c>
      <c r="C1611" s="1" t="n">
        <v>46076</v>
      </c>
      <c r="D1611" t="inlineStr">
        <is>
          <t>VÄRMLANDS LÄN</t>
        </is>
      </c>
      <c r="E1611" t="inlineStr">
        <is>
          <t>TORSBY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4171-2026</t>
        </is>
      </c>
      <c r="B1612" s="1" t="n">
        <v>46044.6733912037</v>
      </c>
      <c r="C1612" s="1" t="n">
        <v>46076</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3940-2026</t>
        </is>
      </c>
      <c r="B1613" s="1" t="n">
        <v>46043.88917824074</v>
      </c>
      <c r="C1613" s="1" t="n">
        <v>46076</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50380-2024</t>
        </is>
      </c>
      <c r="B1614" s="1" t="n">
        <v>45601.30582175926</v>
      </c>
      <c r="C1614" s="1" t="n">
        <v>46076</v>
      </c>
      <c r="D1614" t="inlineStr">
        <is>
          <t>VÄRMLANDS LÄN</t>
        </is>
      </c>
      <c r="E1614" t="inlineStr">
        <is>
          <t>TORSBY</t>
        </is>
      </c>
      <c r="F1614" t="inlineStr">
        <is>
          <t>Bergvik skog väst AB</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32444-2022</t>
        </is>
      </c>
      <c r="B1615" s="1" t="n">
        <v>44782</v>
      </c>
      <c r="C1615" s="1" t="n">
        <v>46076</v>
      </c>
      <c r="D1615" t="inlineStr">
        <is>
          <t>VÄRMLANDS LÄN</t>
        </is>
      </c>
      <c r="E1615" t="inlineStr">
        <is>
          <t>TORSBY</t>
        </is>
      </c>
      <c r="F1615" t="inlineStr">
        <is>
          <t>Bergvik skog väst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62016-2025</t>
        </is>
      </c>
      <c r="B1616" s="1" t="n">
        <v>46003.68759259259</v>
      </c>
      <c r="C1616" s="1" t="n">
        <v>46076</v>
      </c>
      <c r="D1616" t="inlineStr">
        <is>
          <t>VÄRMLANDS LÄN</t>
        </is>
      </c>
      <c r="E1616" t="inlineStr">
        <is>
          <t>TORSBY</t>
        </is>
      </c>
      <c r="F1616" t="inlineStr">
        <is>
          <t>Kommuner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62015-2025</t>
        </is>
      </c>
      <c r="B1617" s="1" t="n">
        <v>46003</v>
      </c>
      <c r="C1617" s="1" t="n">
        <v>46076</v>
      </c>
      <c r="D1617" t="inlineStr">
        <is>
          <t>VÄRMLANDS LÄN</t>
        </is>
      </c>
      <c r="E1617" t="inlineStr">
        <is>
          <t>TORSBY</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15773-2023</t>
        </is>
      </c>
      <c r="B1618" s="1" t="n">
        <v>45021</v>
      </c>
      <c r="C1618" s="1" t="n">
        <v>46076</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62401-2025</t>
        </is>
      </c>
      <c r="B1619" s="1" t="n">
        <v>46007</v>
      </c>
      <c r="C1619" s="1" t="n">
        <v>46076</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62186-2025</t>
        </is>
      </c>
      <c r="B1620" s="1" t="n">
        <v>46006</v>
      </c>
      <c r="C1620" s="1" t="n">
        <v>46076</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4703-2026</t>
        </is>
      </c>
      <c r="B1621" s="1" t="n">
        <v>46048.45079861111</v>
      </c>
      <c r="C1621" s="1" t="n">
        <v>46076</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62120-2025</t>
        </is>
      </c>
      <c r="B1622" s="1" t="n">
        <v>46006.44184027778</v>
      </c>
      <c r="C1622" s="1" t="n">
        <v>46076</v>
      </c>
      <c r="D1622" t="inlineStr">
        <is>
          <t>VÄRMLANDS LÄN</t>
        </is>
      </c>
      <c r="E1622" t="inlineStr">
        <is>
          <t>TORSBY</t>
        </is>
      </c>
      <c r="F1622" t="inlineStr">
        <is>
          <t>Övriga statliga verk och myndigheter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15992-2023</t>
        </is>
      </c>
      <c r="B1623" s="1" t="n">
        <v>45023.5066087963</v>
      </c>
      <c r="C1623" s="1" t="n">
        <v>46076</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16044-2023</t>
        </is>
      </c>
      <c r="B1624" s="1" t="n">
        <v>45027</v>
      </c>
      <c r="C1624" s="1" t="n">
        <v>46076</v>
      </c>
      <c r="D1624" t="inlineStr">
        <is>
          <t>VÄRMLANDS LÄN</t>
        </is>
      </c>
      <c r="E1624" t="inlineStr">
        <is>
          <t>TORSBY</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62363-2025</t>
        </is>
      </c>
      <c r="B1625" s="1" t="n">
        <v>46006</v>
      </c>
      <c r="C1625" s="1" t="n">
        <v>46076</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10288-2025</t>
        </is>
      </c>
      <c r="B1626" s="1" t="n">
        <v>45720.41396990741</v>
      </c>
      <c r="C1626" s="1" t="n">
        <v>46076</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14367-2025</t>
        </is>
      </c>
      <c r="B1627" s="1" t="n">
        <v>45741.38988425926</v>
      </c>
      <c r="C1627" s="1" t="n">
        <v>46076</v>
      </c>
      <c r="D1627" t="inlineStr">
        <is>
          <t>VÄRMLANDS LÄN</t>
        </is>
      </c>
      <c r="E1627" t="inlineStr">
        <is>
          <t>TORSBY</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14419-2025</t>
        </is>
      </c>
      <c r="B1628" s="1" t="n">
        <v>45741</v>
      </c>
      <c r="C1628" s="1" t="n">
        <v>46076</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36050-2023</t>
        </is>
      </c>
      <c r="B1629" s="1" t="n">
        <v>45149</v>
      </c>
      <c r="C1629" s="1" t="n">
        <v>46076</v>
      </c>
      <c r="D1629" t="inlineStr">
        <is>
          <t>VÄRMLANDS LÄN</t>
        </is>
      </c>
      <c r="E1629" t="inlineStr">
        <is>
          <t>TORSBY</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11187-2024</t>
        </is>
      </c>
      <c r="B1630" s="1" t="n">
        <v>45371</v>
      </c>
      <c r="C1630" s="1" t="n">
        <v>46076</v>
      </c>
      <c r="D1630" t="inlineStr">
        <is>
          <t>VÄRMLANDS LÄN</t>
        </is>
      </c>
      <c r="E1630" t="inlineStr">
        <is>
          <t>TORSBY</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67457-2021</t>
        </is>
      </c>
      <c r="B1631" s="1" t="n">
        <v>44524</v>
      </c>
      <c r="C1631" s="1" t="n">
        <v>46076</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21308-2024</t>
        </is>
      </c>
      <c r="B1632" s="1" t="n">
        <v>45440</v>
      </c>
      <c r="C1632" s="1" t="n">
        <v>46076</v>
      </c>
      <c r="D1632" t="inlineStr">
        <is>
          <t>VÄRMLANDS LÄN</t>
        </is>
      </c>
      <c r="E1632" t="inlineStr">
        <is>
          <t>TORSBY</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2559-2026</t>
        </is>
      </c>
      <c r="B1633" s="1" t="n">
        <v>46037</v>
      </c>
      <c r="C1633" s="1" t="n">
        <v>46076</v>
      </c>
      <c r="D1633" t="inlineStr">
        <is>
          <t>VÄRMLANDS LÄN</t>
        </is>
      </c>
      <c r="E1633" t="inlineStr">
        <is>
          <t>TORSBY</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9067-2023</t>
        </is>
      </c>
      <c r="B1634" s="1" t="n">
        <v>44979</v>
      </c>
      <c r="C1634" s="1" t="n">
        <v>46076</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19887-2024</t>
        </is>
      </c>
      <c r="B1635" s="1" t="n">
        <v>45433</v>
      </c>
      <c r="C1635" s="1" t="n">
        <v>46076</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2351-2026</t>
        </is>
      </c>
      <c r="B1636" s="1" t="n">
        <v>46036</v>
      </c>
      <c r="C1636" s="1" t="n">
        <v>46076</v>
      </c>
      <c r="D1636" t="inlineStr">
        <is>
          <t>VÄRMLANDS LÄN</t>
        </is>
      </c>
      <c r="E1636" t="inlineStr">
        <is>
          <t>TORSBY</t>
        </is>
      </c>
      <c r="F1636" t="inlineStr">
        <is>
          <t>Bergvik skog väst AB</t>
        </is>
      </c>
      <c r="G1636" t="n">
        <v>13.2</v>
      </c>
      <c r="H1636" t="n">
        <v>0</v>
      </c>
      <c r="I1636" t="n">
        <v>0</v>
      </c>
      <c r="J1636" t="n">
        <v>0</v>
      </c>
      <c r="K1636" t="n">
        <v>0</v>
      </c>
      <c r="L1636" t="n">
        <v>0</v>
      </c>
      <c r="M1636" t="n">
        <v>0</v>
      </c>
      <c r="N1636" t="n">
        <v>0</v>
      </c>
      <c r="O1636" t="n">
        <v>0</v>
      </c>
      <c r="P1636" t="n">
        <v>0</v>
      </c>
      <c r="Q1636" t="n">
        <v>0</v>
      </c>
      <c r="R1636" s="2" t="inlineStr"/>
    </row>
    <row r="1637" ht="15" customHeight="1">
      <c r="A1637" t="inlineStr">
        <is>
          <t>A 5084-2026</t>
        </is>
      </c>
      <c r="B1637" s="1" t="n">
        <v>46049.54569444444</v>
      </c>
      <c r="C1637" s="1" t="n">
        <v>46076</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24965-2023</t>
        </is>
      </c>
      <c r="B1638" s="1" t="n">
        <v>45085</v>
      </c>
      <c r="C1638" s="1" t="n">
        <v>46076</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24969-2023</t>
        </is>
      </c>
      <c r="B1639" s="1" t="n">
        <v>45085.61429398148</v>
      </c>
      <c r="C1639" s="1" t="n">
        <v>46076</v>
      </c>
      <c r="D1639" t="inlineStr">
        <is>
          <t>VÄRMLANDS LÄN</t>
        </is>
      </c>
      <c r="E1639" t="inlineStr">
        <is>
          <t>TORSBY</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43137-2024</t>
        </is>
      </c>
      <c r="B1640" s="1" t="n">
        <v>45567</v>
      </c>
      <c r="C1640" s="1" t="n">
        <v>46076</v>
      </c>
      <c r="D1640" t="inlineStr">
        <is>
          <t>VÄRMLANDS LÄN</t>
        </is>
      </c>
      <c r="E1640" t="inlineStr">
        <is>
          <t>TORSBY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17554-2023</t>
        </is>
      </c>
      <c r="B1641" s="1" t="n">
        <v>45034</v>
      </c>
      <c r="C1641" s="1" t="n">
        <v>46076</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44150-2023</t>
        </is>
      </c>
      <c r="B1642" s="1" t="n">
        <v>45188.47791666666</v>
      </c>
      <c r="C1642" s="1" t="n">
        <v>46076</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62518-2025</t>
        </is>
      </c>
      <c r="B1643" s="1" t="n">
        <v>46007</v>
      </c>
      <c r="C1643" s="1" t="n">
        <v>46076</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62538-2025</t>
        </is>
      </c>
      <c r="B1644" s="1" t="n">
        <v>46007</v>
      </c>
      <c r="C1644" s="1" t="n">
        <v>46076</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62559-2025</t>
        </is>
      </c>
      <c r="B1645" s="1" t="n">
        <v>46007</v>
      </c>
      <c r="C1645" s="1" t="n">
        <v>46076</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62366-2025</t>
        </is>
      </c>
      <c r="B1646" s="1" t="n">
        <v>46006</v>
      </c>
      <c r="C1646" s="1" t="n">
        <v>46076</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46076</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62568-2025</t>
        </is>
      </c>
      <c r="B1648" s="1" t="n">
        <v>46007</v>
      </c>
      <c r="C1648" s="1" t="n">
        <v>46076</v>
      </c>
      <c r="D1648" t="inlineStr">
        <is>
          <t>VÄRMLANDS LÄN</t>
        </is>
      </c>
      <c r="E1648" t="inlineStr">
        <is>
          <t>TORSBY</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5088-2026</t>
        </is>
      </c>
      <c r="B1649" s="1" t="n">
        <v>46049.55236111111</v>
      </c>
      <c r="C1649" s="1" t="n">
        <v>46076</v>
      </c>
      <c r="D1649" t="inlineStr">
        <is>
          <t>VÄRMLANDS LÄN</t>
        </is>
      </c>
      <c r="E1649" t="inlineStr">
        <is>
          <t>TORSBY</t>
        </is>
      </c>
      <c r="F1649" t="inlineStr">
        <is>
          <t>Bergvik skog väst AB</t>
        </is>
      </c>
      <c r="G1649" t="n">
        <v>18.3</v>
      </c>
      <c r="H1649" t="n">
        <v>0</v>
      </c>
      <c r="I1649" t="n">
        <v>0</v>
      </c>
      <c r="J1649" t="n">
        <v>0</v>
      </c>
      <c r="K1649" t="n">
        <v>0</v>
      </c>
      <c r="L1649" t="n">
        <v>0</v>
      </c>
      <c r="M1649" t="n">
        <v>0</v>
      </c>
      <c r="N1649" t="n">
        <v>0</v>
      </c>
      <c r="O1649" t="n">
        <v>0</v>
      </c>
      <c r="P1649" t="n">
        <v>0</v>
      </c>
      <c r="Q1649" t="n">
        <v>0</v>
      </c>
      <c r="R1649" s="2" t="inlineStr"/>
    </row>
    <row r="1650" ht="15" customHeight="1">
      <c r="A1650" t="inlineStr">
        <is>
          <t>A 62507-2023</t>
        </is>
      </c>
      <c r="B1650" s="1" t="n">
        <v>45267</v>
      </c>
      <c r="C1650" s="1" t="n">
        <v>46076</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2960-2026</t>
        </is>
      </c>
      <c r="B1651" s="1" t="n">
        <v>46038</v>
      </c>
      <c r="C1651" s="1" t="n">
        <v>46076</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5493-2026</t>
        </is>
      </c>
      <c r="B1652" s="1" t="n">
        <v>46050</v>
      </c>
      <c r="C1652" s="1" t="n">
        <v>46076</v>
      </c>
      <c r="D1652" t="inlineStr">
        <is>
          <t>VÄRMLANDS LÄN</t>
        </is>
      </c>
      <c r="E1652" t="inlineStr">
        <is>
          <t>TORSBY</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2966-2026</t>
        </is>
      </c>
      <c r="B1653" s="1" t="n">
        <v>46038</v>
      </c>
      <c r="C1653" s="1" t="n">
        <v>46076</v>
      </c>
      <c r="D1653" t="inlineStr">
        <is>
          <t>VÄRMLANDS LÄN</t>
        </is>
      </c>
      <c r="E1653" t="inlineStr">
        <is>
          <t>TORSBY</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15087-2023</t>
        </is>
      </c>
      <c r="B1654" s="1" t="n">
        <v>45016</v>
      </c>
      <c r="C1654" s="1" t="n">
        <v>46076</v>
      </c>
      <c r="D1654" t="inlineStr">
        <is>
          <t>VÄRMLANDS LÄN</t>
        </is>
      </c>
      <c r="E1654" t="inlineStr">
        <is>
          <t>TORSBY</t>
        </is>
      </c>
      <c r="F1654" t="inlineStr">
        <is>
          <t>Bergvik skog väst AB</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44262-2023</t>
        </is>
      </c>
      <c r="B1655" s="1" t="n">
        <v>45188.59809027778</v>
      </c>
      <c r="C1655" s="1" t="n">
        <v>46076</v>
      </c>
      <c r="D1655" t="inlineStr">
        <is>
          <t>VÄRMLANDS LÄN</t>
        </is>
      </c>
      <c r="E1655" t="inlineStr">
        <is>
          <t>TORSBY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4789-2026</t>
        </is>
      </c>
      <c r="B1656" s="1" t="n">
        <v>46048</v>
      </c>
      <c r="C1656" s="1" t="n">
        <v>46076</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3211-2026</t>
        </is>
      </c>
      <c r="B1657" s="1" t="n">
        <v>46041</v>
      </c>
      <c r="C1657" s="1" t="n">
        <v>46076</v>
      </c>
      <c r="D1657" t="inlineStr">
        <is>
          <t>VÄRMLANDS LÄN</t>
        </is>
      </c>
      <c r="E1657" t="inlineStr">
        <is>
          <t>TORSBY</t>
        </is>
      </c>
      <c r="F1657" t="inlineStr">
        <is>
          <t>Bergvik skog väst AB</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63036-2025</t>
        </is>
      </c>
      <c r="B1658" s="1" t="n">
        <v>46009.61314814815</v>
      </c>
      <c r="C1658" s="1" t="n">
        <v>46076</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5554-2026</t>
        </is>
      </c>
      <c r="B1659" s="1" t="n">
        <v>46050.72899305556</v>
      </c>
      <c r="C1659" s="1" t="n">
        <v>46076</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20647-2024</t>
        </is>
      </c>
      <c r="B1660" s="1" t="n">
        <v>45436</v>
      </c>
      <c r="C1660" s="1" t="n">
        <v>46076</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17898-2023</t>
        </is>
      </c>
      <c r="B1661" s="1" t="n">
        <v>45039.72086805556</v>
      </c>
      <c r="C1661" s="1" t="n">
        <v>46076</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13785-2023</t>
        </is>
      </c>
      <c r="B1662" s="1" t="n">
        <v>45007</v>
      </c>
      <c r="C1662" s="1" t="n">
        <v>46076</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35134-2022</t>
        </is>
      </c>
      <c r="B1663" s="1" t="n">
        <v>44797</v>
      </c>
      <c r="C1663" s="1" t="n">
        <v>46076</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8048-2022</t>
        </is>
      </c>
      <c r="B1664" s="1" t="n">
        <v>44609</v>
      </c>
      <c r="C1664" s="1" t="n">
        <v>46076</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4988-2026</t>
        </is>
      </c>
      <c r="B1665" s="1" t="n">
        <v>46049</v>
      </c>
      <c r="C1665" s="1" t="n">
        <v>46076</v>
      </c>
      <c r="D1665" t="inlineStr">
        <is>
          <t>VÄRMLANDS LÄN</t>
        </is>
      </c>
      <c r="E1665" t="inlineStr">
        <is>
          <t>TORSBY</t>
        </is>
      </c>
      <c r="F1665" t="inlineStr">
        <is>
          <t>Bergvik skog väst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5553-2026</t>
        </is>
      </c>
      <c r="B1666" s="1" t="n">
        <v>46050.72769675926</v>
      </c>
      <c r="C1666" s="1" t="n">
        <v>46076</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55794-2021</t>
        </is>
      </c>
      <c r="B1667" s="1" t="n">
        <v>44476</v>
      </c>
      <c r="C1667" s="1" t="n">
        <v>46076</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5562-2026</t>
        </is>
      </c>
      <c r="B1668" s="1" t="n">
        <v>46050</v>
      </c>
      <c r="C1668" s="1" t="n">
        <v>46076</v>
      </c>
      <c r="D1668" t="inlineStr">
        <is>
          <t>VÄRMLANDS LÄN</t>
        </is>
      </c>
      <c r="E1668" t="inlineStr">
        <is>
          <t>TORSBY</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4782-2026</t>
        </is>
      </c>
      <c r="B1669" s="1" t="n">
        <v>46048</v>
      </c>
      <c r="C1669" s="1" t="n">
        <v>46076</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41631-2024</t>
        </is>
      </c>
      <c r="B1670" s="1" t="n">
        <v>45560</v>
      </c>
      <c r="C1670" s="1" t="n">
        <v>46076</v>
      </c>
      <c r="D1670" t="inlineStr">
        <is>
          <t>VÄRMLANDS LÄN</t>
        </is>
      </c>
      <c r="E1670" t="inlineStr">
        <is>
          <t>TORSBY</t>
        </is>
      </c>
      <c r="F1670" t="inlineStr">
        <is>
          <t>Bergvik skog väst AB</t>
        </is>
      </c>
      <c r="G1670" t="n">
        <v>16.3</v>
      </c>
      <c r="H1670" t="n">
        <v>0</v>
      </c>
      <c r="I1670" t="n">
        <v>0</v>
      </c>
      <c r="J1670" t="n">
        <v>0</v>
      </c>
      <c r="K1670" t="n">
        <v>0</v>
      </c>
      <c r="L1670" t="n">
        <v>0</v>
      </c>
      <c r="M1670" t="n">
        <v>0</v>
      </c>
      <c r="N1670" t="n">
        <v>0</v>
      </c>
      <c r="O1670" t="n">
        <v>0</v>
      </c>
      <c r="P1670" t="n">
        <v>0</v>
      </c>
      <c r="Q1670" t="n">
        <v>0</v>
      </c>
      <c r="R1670" s="2" t="inlineStr"/>
    </row>
    <row r="1671" ht="15" customHeight="1">
      <c r="A1671" t="inlineStr">
        <is>
          <t>A 70658-2021</t>
        </is>
      </c>
      <c r="B1671" s="1" t="n">
        <v>44537.52368055555</v>
      </c>
      <c r="C1671" s="1" t="n">
        <v>46076</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63098-2025</t>
        </is>
      </c>
      <c r="B1672" s="1" t="n">
        <v>46009.69278935185</v>
      </c>
      <c r="C1672" s="1" t="n">
        <v>46076</v>
      </c>
      <c r="D1672" t="inlineStr">
        <is>
          <t>VÄRMLANDS LÄN</t>
        </is>
      </c>
      <c r="E1672" t="inlineStr">
        <is>
          <t>TORSBY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1979-2023</t>
        </is>
      </c>
      <c r="B1673" s="1" t="n">
        <v>44939</v>
      </c>
      <c r="C1673" s="1" t="n">
        <v>46076</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46909-2024</t>
        </is>
      </c>
      <c r="B1674" s="1" t="n">
        <v>45583</v>
      </c>
      <c r="C1674" s="1" t="n">
        <v>46076</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62629-2025</t>
        </is>
      </c>
      <c r="B1675" s="1" t="n">
        <v>46008</v>
      </c>
      <c r="C1675" s="1" t="n">
        <v>46076</v>
      </c>
      <c r="D1675" t="inlineStr">
        <is>
          <t>VÄRMLANDS LÄN</t>
        </is>
      </c>
      <c r="E1675" t="inlineStr">
        <is>
          <t>TORSBY</t>
        </is>
      </c>
      <c r="F1675" t="inlineStr">
        <is>
          <t>Bergvik skog väst AB</t>
        </is>
      </c>
      <c r="G1675" t="n">
        <v>16.2</v>
      </c>
      <c r="H1675" t="n">
        <v>0</v>
      </c>
      <c r="I1675" t="n">
        <v>0</v>
      </c>
      <c r="J1675" t="n">
        <v>0</v>
      </c>
      <c r="K1675" t="n">
        <v>0</v>
      </c>
      <c r="L1675" t="n">
        <v>0</v>
      </c>
      <c r="M1675" t="n">
        <v>0</v>
      </c>
      <c r="N1675" t="n">
        <v>0</v>
      </c>
      <c r="O1675" t="n">
        <v>0</v>
      </c>
      <c r="P1675" t="n">
        <v>0</v>
      </c>
      <c r="Q1675" t="n">
        <v>0</v>
      </c>
      <c r="R1675" s="2" t="inlineStr"/>
    </row>
    <row r="1676" ht="15" customHeight="1">
      <c r="A1676" t="inlineStr">
        <is>
          <t>A 26887-2024</t>
        </is>
      </c>
      <c r="B1676" s="1" t="n">
        <v>45470.64864583333</v>
      </c>
      <c r="C1676" s="1" t="n">
        <v>46076</v>
      </c>
      <c r="D1676" t="inlineStr">
        <is>
          <t>VÄRMLANDS LÄN</t>
        </is>
      </c>
      <c r="E1676" t="inlineStr">
        <is>
          <t>TORSBY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58727-2021</t>
        </is>
      </c>
      <c r="B1677" s="1" t="n">
        <v>44489.49052083334</v>
      </c>
      <c r="C1677" s="1" t="n">
        <v>46076</v>
      </c>
      <c r="D1677" t="inlineStr">
        <is>
          <t>VÄRMLANDS LÄN</t>
        </is>
      </c>
      <c r="E1677" t="inlineStr">
        <is>
          <t>TORSBY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2687-2026</t>
        </is>
      </c>
      <c r="B1678" s="1" t="n">
        <v>46037</v>
      </c>
      <c r="C1678" s="1" t="n">
        <v>46076</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5720-2026</t>
        </is>
      </c>
      <c r="B1679" s="1" t="n">
        <v>46051.54165509259</v>
      </c>
      <c r="C1679" s="1" t="n">
        <v>46076</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3884-2026</t>
        </is>
      </c>
      <c r="B1680" s="1" t="n">
        <v>46043</v>
      </c>
      <c r="C1680" s="1" t="n">
        <v>46076</v>
      </c>
      <c r="D1680" t="inlineStr">
        <is>
          <t>VÄRMLANDS LÄN</t>
        </is>
      </c>
      <c r="E1680" t="inlineStr">
        <is>
          <t>TORSBY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5714-2026</t>
        </is>
      </c>
      <c r="B1681" s="1" t="n">
        <v>46051.52498842592</v>
      </c>
      <c r="C1681" s="1" t="n">
        <v>46076</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3685-2026</t>
        </is>
      </c>
      <c r="B1682" s="1" t="n">
        <v>46043</v>
      </c>
      <c r="C1682" s="1" t="n">
        <v>46076</v>
      </c>
      <c r="D1682" t="inlineStr">
        <is>
          <t>VÄRMLANDS LÄN</t>
        </is>
      </c>
      <c r="E1682" t="inlineStr">
        <is>
          <t>TORSBY</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5193-2026</t>
        </is>
      </c>
      <c r="B1683" s="1" t="n">
        <v>46049</v>
      </c>
      <c r="C1683" s="1" t="n">
        <v>46076</v>
      </c>
      <c r="D1683" t="inlineStr">
        <is>
          <t>VÄRMLANDS LÄN</t>
        </is>
      </c>
      <c r="E1683" t="inlineStr">
        <is>
          <t>TORSBY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63379-2025</t>
        </is>
      </c>
      <c r="B1684" s="1" t="n">
        <v>46010.75222222223</v>
      </c>
      <c r="C1684" s="1" t="n">
        <v>46076</v>
      </c>
      <c r="D1684" t="inlineStr">
        <is>
          <t>VÄRMLANDS LÄN</t>
        </is>
      </c>
      <c r="E1684" t="inlineStr">
        <is>
          <t>TORSBY</t>
        </is>
      </c>
      <c r="F1684" t="inlineStr">
        <is>
          <t>Bergvik skog väst AB</t>
        </is>
      </c>
      <c r="G1684" t="n">
        <v>21.9</v>
      </c>
      <c r="H1684" t="n">
        <v>0</v>
      </c>
      <c r="I1684" t="n">
        <v>0</v>
      </c>
      <c r="J1684" t="n">
        <v>0</v>
      </c>
      <c r="K1684" t="n">
        <v>0</v>
      </c>
      <c r="L1684" t="n">
        <v>0</v>
      </c>
      <c r="M1684" t="n">
        <v>0</v>
      </c>
      <c r="N1684" t="n">
        <v>0</v>
      </c>
      <c r="O1684" t="n">
        <v>0</v>
      </c>
      <c r="P1684" t="n">
        <v>0</v>
      </c>
      <c r="Q1684" t="n">
        <v>0</v>
      </c>
      <c r="R1684" s="2" t="inlineStr"/>
    </row>
    <row r="1685" ht="15" customHeight="1">
      <c r="A1685" t="inlineStr">
        <is>
          <t>A 36700-2021</t>
        </is>
      </c>
      <c r="B1685" s="1" t="n">
        <v>44392</v>
      </c>
      <c r="C1685" s="1" t="n">
        <v>46076</v>
      </c>
      <c r="D1685" t="inlineStr">
        <is>
          <t>VÄRMLANDS LÄN</t>
        </is>
      </c>
      <c r="E1685" t="inlineStr">
        <is>
          <t>TORSBY</t>
        </is>
      </c>
      <c r="F1685" t="inlineStr">
        <is>
          <t>Bergvik skog väst AB</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46076</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43943-2022</t>
        </is>
      </c>
      <c r="B1687" s="1" t="n">
        <v>44838</v>
      </c>
      <c r="C1687" s="1" t="n">
        <v>46076</v>
      </c>
      <c r="D1687" t="inlineStr">
        <is>
          <t>VÄRMLANDS LÄN</t>
        </is>
      </c>
      <c r="E1687" t="inlineStr">
        <is>
          <t>TORSBY</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47651-2024</t>
        </is>
      </c>
      <c r="B1688" s="1" t="n">
        <v>45588</v>
      </c>
      <c r="C1688" s="1" t="n">
        <v>46076</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6322-2026</t>
        </is>
      </c>
      <c r="B1689" s="1" t="n">
        <v>46055.58591435185</v>
      </c>
      <c r="C1689" s="1" t="n">
        <v>46076</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61367-2022</t>
        </is>
      </c>
      <c r="B1690" s="1" t="n">
        <v>44915.82997685186</v>
      </c>
      <c r="C1690" s="1" t="n">
        <v>46076</v>
      </c>
      <c r="D1690" t="inlineStr">
        <is>
          <t>VÄRMLANDS LÄN</t>
        </is>
      </c>
      <c r="E1690" t="inlineStr">
        <is>
          <t>TORSBY</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24244-2023</t>
        </is>
      </c>
      <c r="B1691" s="1" t="n">
        <v>45079.61969907407</v>
      </c>
      <c r="C1691" s="1" t="n">
        <v>46076</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30110-2023</t>
        </is>
      </c>
      <c r="B1692" s="1" t="n">
        <v>45110</v>
      </c>
      <c r="C1692" s="1" t="n">
        <v>46076</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5639-2026</t>
        </is>
      </c>
      <c r="B1693" s="1" t="n">
        <v>46051</v>
      </c>
      <c r="C1693" s="1" t="n">
        <v>46076</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44340-2022</t>
        </is>
      </c>
      <c r="B1694" s="1" t="n">
        <v>44838</v>
      </c>
      <c r="C1694" s="1" t="n">
        <v>46076</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62210-2023</t>
        </is>
      </c>
      <c r="B1695" s="1" t="n">
        <v>45267.49430555556</v>
      </c>
      <c r="C1695" s="1" t="n">
        <v>46076</v>
      </c>
      <c r="D1695" t="inlineStr">
        <is>
          <t>VÄRMLANDS LÄN</t>
        </is>
      </c>
      <c r="E1695" t="inlineStr">
        <is>
          <t>TORSBY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67147-2021</t>
        </is>
      </c>
      <c r="B1696" s="1" t="n">
        <v>44523</v>
      </c>
      <c r="C1696" s="1" t="n">
        <v>46076</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49206-2022</t>
        </is>
      </c>
      <c r="B1697" s="1" t="n">
        <v>44860.95984953704</v>
      </c>
      <c r="C1697" s="1" t="n">
        <v>46076</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18101-2022</t>
        </is>
      </c>
      <c r="B1698" s="1" t="n">
        <v>44684</v>
      </c>
      <c r="C1698" s="1" t="n">
        <v>46076</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63512-2025</t>
        </is>
      </c>
      <c r="B1699" s="1" t="n">
        <v>46013</v>
      </c>
      <c r="C1699" s="1" t="n">
        <v>46076</v>
      </c>
      <c r="D1699" t="inlineStr">
        <is>
          <t>VÄRMLANDS LÄN</t>
        </is>
      </c>
      <c r="E1699" t="inlineStr">
        <is>
          <t>TORSBY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25328-2025</t>
        </is>
      </c>
      <c r="B1700" s="1" t="n">
        <v>45800</v>
      </c>
      <c r="C1700" s="1" t="n">
        <v>46076</v>
      </c>
      <c r="D1700" t="inlineStr">
        <is>
          <t>VÄRMLANDS LÄN</t>
        </is>
      </c>
      <c r="E1700" t="inlineStr">
        <is>
          <t>TORSBY</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6084-2026</t>
        </is>
      </c>
      <c r="B1701" s="1" t="n">
        <v>46052.69313657407</v>
      </c>
      <c r="C1701" s="1" t="n">
        <v>46076</v>
      </c>
      <c r="D1701" t="inlineStr">
        <is>
          <t>VÄRMLANDS LÄN</t>
        </is>
      </c>
      <c r="E1701" t="inlineStr">
        <is>
          <t>TORSBY</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21076-2023</t>
        </is>
      </c>
      <c r="B1702" s="1" t="n">
        <v>45061</v>
      </c>
      <c r="C1702" s="1" t="n">
        <v>46076</v>
      </c>
      <c r="D1702" t="inlineStr">
        <is>
          <t>VÄRMLANDS LÄN</t>
        </is>
      </c>
      <c r="E1702" t="inlineStr">
        <is>
          <t>TORSBY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64602-2023</t>
        </is>
      </c>
      <c r="B1703" s="1" t="n">
        <v>45281.50085648148</v>
      </c>
      <c r="C1703" s="1" t="n">
        <v>46076</v>
      </c>
      <c r="D1703" t="inlineStr">
        <is>
          <t>VÄRMLANDS LÄN</t>
        </is>
      </c>
      <c r="E1703" t="inlineStr">
        <is>
          <t>TORSBY</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18244-2023</t>
        </is>
      </c>
      <c r="B1704" s="1" t="n">
        <v>45041</v>
      </c>
      <c r="C1704" s="1" t="n">
        <v>46076</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15170-2025</t>
        </is>
      </c>
      <c r="B1705" s="1" t="n">
        <v>45743</v>
      </c>
      <c r="C1705" s="1" t="n">
        <v>46076</v>
      </c>
      <c r="D1705" t="inlineStr">
        <is>
          <t>VÄRMLANDS LÄN</t>
        </is>
      </c>
      <c r="E1705" t="inlineStr">
        <is>
          <t>TORSBY</t>
        </is>
      </c>
      <c r="G1705" t="n">
        <v>12.5</v>
      </c>
      <c r="H1705" t="n">
        <v>0</v>
      </c>
      <c r="I1705" t="n">
        <v>0</v>
      </c>
      <c r="J1705" t="n">
        <v>0</v>
      </c>
      <c r="K1705" t="n">
        <v>0</v>
      </c>
      <c r="L1705" t="n">
        <v>0</v>
      </c>
      <c r="M1705" t="n">
        <v>0</v>
      </c>
      <c r="N1705" t="n">
        <v>0</v>
      </c>
      <c r="O1705" t="n">
        <v>0</v>
      </c>
      <c r="P1705" t="n">
        <v>0</v>
      </c>
      <c r="Q1705" t="n">
        <v>0</v>
      </c>
      <c r="R1705" s="2" t="inlineStr"/>
    </row>
    <row r="1706" ht="15" customHeight="1">
      <c r="A1706" t="inlineStr">
        <is>
          <t>A 63507-2025</t>
        </is>
      </c>
      <c r="B1706" s="1" t="n">
        <v>46013</v>
      </c>
      <c r="C1706" s="1" t="n">
        <v>46076</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63390-2025</t>
        </is>
      </c>
      <c r="B1707" s="1" t="n">
        <v>46011</v>
      </c>
      <c r="C1707" s="1" t="n">
        <v>46076</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46076</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19148-2025</t>
        </is>
      </c>
      <c r="B1709" s="1" t="n">
        <v>45769</v>
      </c>
      <c r="C1709" s="1" t="n">
        <v>46076</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18883-2024</t>
        </is>
      </c>
      <c r="B1710" s="1" t="n">
        <v>45426</v>
      </c>
      <c r="C1710" s="1" t="n">
        <v>46076</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54452-2022</t>
        </is>
      </c>
      <c r="B1711" s="1" t="n">
        <v>44880</v>
      </c>
      <c r="C1711" s="1" t="n">
        <v>46076</v>
      </c>
      <c r="D1711" t="inlineStr">
        <is>
          <t>VÄRMLANDS LÄN</t>
        </is>
      </c>
      <c r="E1711" t="inlineStr">
        <is>
          <t>TORSBY</t>
        </is>
      </c>
      <c r="F1711" t="inlineStr">
        <is>
          <t>Kyrkan</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45176.60533564815</v>
      </c>
      <c r="C1712" s="1" t="n">
        <v>46076</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63626-2025</t>
        </is>
      </c>
      <c r="B1713" s="1" t="n">
        <v>46014</v>
      </c>
      <c r="C1713" s="1" t="n">
        <v>46076</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41264-2022</t>
        </is>
      </c>
      <c r="B1714" s="1" t="n">
        <v>44823</v>
      </c>
      <c r="C1714" s="1" t="n">
        <v>46076</v>
      </c>
      <c r="D1714" t="inlineStr">
        <is>
          <t>VÄRMLANDS LÄN</t>
        </is>
      </c>
      <c r="E1714" t="inlineStr">
        <is>
          <t>TORSBY</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64902-2021</t>
        </is>
      </c>
      <c r="B1715" s="1" t="n">
        <v>44512.64336805556</v>
      </c>
      <c r="C1715" s="1" t="n">
        <v>46076</v>
      </c>
      <c r="D1715" t="inlineStr">
        <is>
          <t>VÄRMLANDS LÄN</t>
        </is>
      </c>
      <c r="E1715" t="inlineStr">
        <is>
          <t>TORSBY</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61546-2024</t>
        </is>
      </c>
      <c r="B1716" s="1" t="n">
        <v>45645</v>
      </c>
      <c r="C1716" s="1" t="n">
        <v>46076</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6603-2026</t>
        </is>
      </c>
      <c r="B1717" s="1" t="n">
        <v>46056.47186342593</v>
      </c>
      <c r="C1717" s="1" t="n">
        <v>46076</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276-2024</t>
        </is>
      </c>
      <c r="B1718" s="1" t="n">
        <v>45295</v>
      </c>
      <c r="C1718" s="1" t="n">
        <v>46076</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63609-2025</t>
        </is>
      </c>
      <c r="B1719" s="1" t="n">
        <v>46014.34188657408</v>
      </c>
      <c r="C1719" s="1" t="n">
        <v>46076</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63636-2025</t>
        </is>
      </c>
      <c r="B1720" s="1" t="n">
        <v>46014</v>
      </c>
      <c r="C1720" s="1" t="n">
        <v>46076</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11135-2024</t>
        </is>
      </c>
      <c r="B1721" s="1" t="n">
        <v>45371</v>
      </c>
      <c r="C1721" s="1" t="n">
        <v>46076</v>
      </c>
      <c r="D1721" t="inlineStr">
        <is>
          <t>VÄRMLANDS LÄN</t>
        </is>
      </c>
      <c r="E1721" t="inlineStr">
        <is>
          <t>TORSBY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63617-2025</t>
        </is>
      </c>
      <c r="B1722" s="1" t="n">
        <v>46014.34938657407</v>
      </c>
      <c r="C1722" s="1" t="n">
        <v>46076</v>
      </c>
      <c r="D1722" t="inlineStr">
        <is>
          <t>VÄRMLANDS LÄN</t>
        </is>
      </c>
      <c r="E1722" t="inlineStr">
        <is>
          <t>TORSBY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63622-2025</t>
        </is>
      </c>
      <c r="B1723" s="1" t="n">
        <v>46014</v>
      </c>
      <c r="C1723" s="1" t="n">
        <v>46076</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21258-2023</t>
        </is>
      </c>
      <c r="B1724" s="1" t="n">
        <v>45058</v>
      </c>
      <c r="C1724" s="1" t="n">
        <v>46076</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53988-2022</t>
        </is>
      </c>
      <c r="B1725" s="1" t="n">
        <v>44876</v>
      </c>
      <c r="C1725" s="1" t="n">
        <v>46076</v>
      </c>
      <c r="D1725" t="inlineStr">
        <is>
          <t>VÄRMLANDS LÄN</t>
        </is>
      </c>
      <c r="E1725" t="inlineStr">
        <is>
          <t>TORSBY</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63697-2025</t>
        </is>
      </c>
      <c r="B1726" s="1" t="n">
        <v>46014</v>
      </c>
      <c r="C1726" s="1" t="n">
        <v>46076</v>
      </c>
      <c r="D1726" t="inlineStr">
        <is>
          <t>VÄRMLANDS LÄN</t>
        </is>
      </c>
      <c r="E1726" t="inlineStr">
        <is>
          <t>TORSBY</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61128-2022</t>
        </is>
      </c>
      <c r="B1727" s="1" t="n">
        <v>44915.4455787037</v>
      </c>
      <c r="C1727" s="1" t="n">
        <v>46076</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21390-2023</t>
        </is>
      </c>
      <c r="B1728" s="1" t="n">
        <v>45063</v>
      </c>
      <c r="C1728" s="1" t="n">
        <v>46076</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5979-2026</t>
        </is>
      </c>
      <c r="B1729" s="1" t="n">
        <v>46052</v>
      </c>
      <c r="C1729" s="1" t="n">
        <v>46076</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7215-2025</t>
        </is>
      </c>
      <c r="B1730" s="1" t="n">
        <v>45702</v>
      </c>
      <c r="C1730" s="1" t="n">
        <v>46076</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7394-2026</t>
        </is>
      </c>
      <c r="B1731" s="1" t="n">
        <v>46059.37266203704</v>
      </c>
      <c r="C1731" s="1" t="n">
        <v>46076</v>
      </c>
      <c r="D1731" t="inlineStr">
        <is>
          <t>VÄRMLANDS LÄN</t>
        </is>
      </c>
      <c r="E1731" t="inlineStr">
        <is>
          <t>TORSBY</t>
        </is>
      </c>
      <c r="F1731" t="inlineStr">
        <is>
          <t>Bergvik skog väst AB</t>
        </is>
      </c>
      <c r="G1731" t="n">
        <v>15.3</v>
      </c>
      <c r="H1731" t="n">
        <v>0</v>
      </c>
      <c r="I1731" t="n">
        <v>0</v>
      </c>
      <c r="J1731" t="n">
        <v>0</v>
      </c>
      <c r="K1731" t="n">
        <v>0</v>
      </c>
      <c r="L1731" t="n">
        <v>0</v>
      </c>
      <c r="M1731" t="n">
        <v>0</v>
      </c>
      <c r="N1731" t="n">
        <v>0</v>
      </c>
      <c r="O1731" t="n">
        <v>0</v>
      </c>
      <c r="P1731" t="n">
        <v>0</v>
      </c>
      <c r="Q1731" t="n">
        <v>0</v>
      </c>
      <c r="R1731" s="2" t="inlineStr"/>
    </row>
    <row r="1732" ht="15" customHeight="1">
      <c r="A1732" t="inlineStr">
        <is>
          <t>A 56101-2024</t>
        </is>
      </c>
      <c r="B1732" s="1" t="n">
        <v>45624</v>
      </c>
      <c r="C1732" s="1" t="n">
        <v>46076</v>
      </c>
      <c r="D1732" t="inlineStr">
        <is>
          <t>VÄRMLANDS LÄN</t>
        </is>
      </c>
      <c r="E1732" t="inlineStr">
        <is>
          <t>TORSBY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45849-2024</t>
        </is>
      </c>
      <c r="B1733" s="1" t="n">
        <v>45580</v>
      </c>
      <c r="C1733" s="1" t="n">
        <v>46076</v>
      </c>
      <c r="D1733" t="inlineStr">
        <is>
          <t>VÄRMLANDS LÄN</t>
        </is>
      </c>
      <c r="E1733" t="inlineStr">
        <is>
          <t>TORSBY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41781-2022</t>
        </is>
      </c>
      <c r="B1734" s="1" t="n">
        <v>44827.70537037037</v>
      </c>
      <c r="C1734" s="1" t="n">
        <v>46076</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3387-2025</t>
        </is>
      </c>
      <c r="B1735" s="1" t="n">
        <v>45680</v>
      </c>
      <c r="C1735" s="1" t="n">
        <v>46076</v>
      </c>
      <c r="D1735" t="inlineStr">
        <is>
          <t>VÄRMLANDS LÄN</t>
        </is>
      </c>
      <c r="E1735" t="inlineStr">
        <is>
          <t>TORSBY</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5983-2026</t>
        </is>
      </c>
      <c r="B1736" s="1" t="n">
        <v>46052</v>
      </c>
      <c r="C1736" s="1" t="n">
        <v>46076</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55522-2023</t>
        </is>
      </c>
      <c r="B1737" s="1" t="n">
        <v>45238</v>
      </c>
      <c r="C1737" s="1" t="n">
        <v>46076</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5976-2026</t>
        </is>
      </c>
      <c r="B1738" s="1" t="n">
        <v>46052</v>
      </c>
      <c r="C1738" s="1" t="n">
        <v>46076</v>
      </c>
      <c r="D1738" t="inlineStr">
        <is>
          <t>VÄRMLANDS LÄN</t>
        </is>
      </c>
      <c r="E1738" t="inlineStr">
        <is>
          <t>TORSBY</t>
        </is>
      </c>
      <c r="F1738" t="inlineStr">
        <is>
          <t>Bergvik skog väst AB</t>
        </is>
      </c>
      <c r="G1738" t="n">
        <v>18.4</v>
      </c>
      <c r="H1738" t="n">
        <v>0</v>
      </c>
      <c r="I1738" t="n">
        <v>0</v>
      </c>
      <c r="J1738" t="n">
        <v>0</v>
      </c>
      <c r="K1738" t="n">
        <v>0</v>
      </c>
      <c r="L1738" t="n">
        <v>0</v>
      </c>
      <c r="M1738" t="n">
        <v>0</v>
      </c>
      <c r="N1738" t="n">
        <v>0</v>
      </c>
      <c r="O1738" t="n">
        <v>0</v>
      </c>
      <c r="P1738" t="n">
        <v>0</v>
      </c>
      <c r="Q1738" t="n">
        <v>0</v>
      </c>
      <c r="R1738" s="2" t="inlineStr"/>
    </row>
    <row r="1739" ht="15" customHeight="1">
      <c r="A1739" t="inlineStr">
        <is>
          <t>A 44659-2024</t>
        </is>
      </c>
      <c r="B1739" s="1" t="n">
        <v>45574</v>
      </c>
      <c r="C1739" s="1" t="n">
        <v>46076</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26166-2024</t>
        </is>
      </c>
      <c r="B1740" s="1" t="n">
        <v>45468.55357638889</v>
      </c>
      <c r="C1740" s="1" t="n">
        <v>46076</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6828-2024</t>
        </is>
      </c>
      <c r="B1741" s="1" t="n">
        <v>45342</v>
      </c>
      <c r="C1741" s="1" t="n">
        <v>46076</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7190-2026</t>
        </is>
      </c>
      <c r="B1742" s="1" t="n">
        <v>46058.49616898148</v>
      </c>
      <c r="C1742" s="1" t="n">
        <v>46076</v>
      </c>
      <c r="D1742" t="inlineStr">
        <is>
          <t>VÄRMLANDS LÄN</t>
        </is>
      </c>
      <c r="E1742" t="inlineStr">
        <is>
          <t>TORSBY</t>
        </is>
      </c>
      <c r="F1742" t="inlineStr">
        <is>
          <t>Bergvik skog väst AB</t>
        </is>
      </c>
      <c r="G1742" t="n">
        <v>18.2</v>
      </c>
      <c r="H1742" t="n">
        <v>0</v>
      </c>
      <c r="I1742" t="n">
        <v>0</v>
      </c>
      <c r="J1742" t="n">
        <v>0</v>
      </c>
      <c r="K1742" t="n">
        <v>0</v>
      </c>
      <c r="L1742" t="n">
        <v>0</v>
      </c>
      <c r="M1742" t="n">
        <v>0</v>
      </c>
      <c r="N1742" t="n">
        <v>0</v>
      </c>
      <c r="O1742" t="n">
        <v>0</v>
      </c>
      <c r="P1742" t="n">
        <v>0</v>
      </c>
      <c r="Q1742" t="n">
        <v>0</v>
      </c>
      <c r="R1742" s="2" t="inlineStr"/>
    </row>
    <row r="1743" ht="15" customHeight="1">
      <c r="A1743" t="inlineStr">
        <is>
          <t>A 7322-2026</t>
        </is>
      </c>
      <c r="B1743" s="1" t="n">
        <v>46058.6759837963</v>
      </c>
      <c r="C1743" s="1" t="n">
        <v>46076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33268-2023</t>
        </is>
      </c>
      <c r="B1744" s="1" t="n">
        <v>45127.58094907407</v>
      </c>
      <c r="C1744" s="1" t="n">
        <v>46076</v>
      </c>
      <c r="D1744" t="inlineStr">
        <is>
          <t>VÄRMLANDS LÄN</t>
        </is>
      </c>
      <c r="E1744" t="inlineStr">
        <is>
          <t>TORSBY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50445-2023</t>
        </is>
      </c>
      <c r="B1745" s="1" t="n">
        <v>45216</v>
      </c>
      <c r="C1745" s="1" t="n">
        <v>46076</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63781-2025</t>
        </is>
      </c>
      <c r="B1746" s="1" t="n">
        <v>46019.56042824074</v>
      </c>
      <c r="C1746" s="1" t="n">
        <v>46076</v>
      </c>
      <c r="D1746" t="inlineStr">
        <is>
          <t>VÄRMLANDS LÄN</t>
        </is>
      </c>
      <c r="E1746" t="inlineStr">
        <is>
          <t>TORSBY</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64042-2025</t>
        </is>
      </c>
      <c r="B1747" s="1" t="n">
        <v>46021</v>
      </c>
      <c r="C1747" s="1" t="n">
        <v>46076</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22426-2024</t>
        </is>
      </c>
      <c r="B1748" s="1" t="n">
        <v>45446</v>
      </c>
      <c r="C1748" s="1" t="n">
        <v>46076</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60454-2024</t>
        </is>
      </c>
      <c r="B1749" s="1" t="n">
        <v>45643</v>
      </c>
      <c r="C1749" s="1" t="n">
        <v>46076</v>
      </c>
      <c r="D1749" t="inlineStr">
        <is>
          <t>VÄRMLANDS LÄN</t>
        </is>
      </c>
      <c r="E1749" t="inlineStr">
        <is>
          <t>TORSBY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60458-2024</t>
        </is>
      </c>
      <c r="B1750" s="1" t="n">
        <v>45643</v>
      </c>
      <c r="C1750" s="1" t="n">
        <v>46076</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8038-2026</t>
        </is>
      </c>
      <c r="B1751" s="1" t="n">
        <v>46063.59967592593</v>
      </c>
      <c r="C1751" s="1" t="n">
        <v>46076</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10587-2024</t>
        </is>
      </c>
      <c r="B1752" s="1" t="n">
        <v>45366</v>
      </c>
      <c r="C1752" s="1" t="n">
        <v>46076</v>
      </c>
      <c r="D1752" t="inlineStr">
        <is>
          <t>VÄRMLANDS LÄN</t>
        </is>
      </c>
      <c r="E1752" t="inlineStr">
        <is>
          <t>TORSBY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63908-2025</t>
        </is>
      </c>
      <c r="B1753" s="1" t="n">
        <v>46020</v>
      </c>
      <c r="C1753" s="1" t="n">
        <v>46076</v>
      </c>
      <c r="D1753" t="inlineStr">
        <is>
          <t>VÄRMLANDS LÄN</t>
        </is>
      </c>
      <c r="E1753" t="inlineStr">
        <is>
          <t>TORSBY</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1095-2025</t>
        </is>
      </c>
      <c r="B1754" s="1" t="n">
        <v>45666.63681712963</v>
      </c>
      <c r="C1754" s="1" t="n">
        <v>46076</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53705-2021</t>
        </is>
      </c>
      <c r="B1755" s="1" t="n">
        <v>44469</v>
      </c>
      <c r="C1755" s="1" t="n">
        <v>46076</v>
      </c>
      <c r="D1755" t="inlineStr">
        <is>
          <t>VÄRMLANDS LÄN</t>
        </is>
      </c>
      <c r="E1755" t="inlineStr">
        <is>
          <t>TORSBY</t>
        </is>
      </c>
      <c r="F1755" t="inlineStr">
        <is>
          <t>Kyrkan</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53396-2024</t>
        </is>
      </c>
      <c r="B1756" s="1" t="n">
        <v>45614</v>
      </c>
      <c r="C1756" s="1" t="n">
        <v>46076</v>
      </c>
      <c r="D1756" t="inlineStr">
        <is>
          <t>VÄRMLANDS LÄN</t>
        </is>
      </c>
      <c r="E1756" t="inlineStr">
        <is>
          <t>TORSBY</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60781-2024</t>
        </is>
      </c>
      <c r="B1757" s="1" t="n">
        <v>45642</v>
      </c>
      <c r="C1757" s="1" t="n">
        <v>46076</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7623-2026</t>
        </is>
      </c>
      <c r="B1758" s="1" t="n">
        <v>46062</v>
      </c>
      <c r="C1758" s="1" t="n">
        <v>46076</v>
      </c>
      <c r="D1758" t="inlineStr">
        <is>
          <t>VÄRMLANDS LÄN</t>
        </is>
      </c>
      <c r="E1758" t="inlineStr">
        <is>
          <t>TORSBY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21280-2024</t>
        </is>
      </c>
      <c r="B1759" s="1" t="n">
        <v>45440</v>
      </c>
      <c r="C1759" s="1" t="n">
        <v>46076</v>
      </c>
      <c r="D1759" t="inlineStr">
        <is>
          <t>VÄRMLANDS LÄN</t>
        </is>
      </c>
      <c r="E1759" t="inlineStr">
        <is>
          <t>TORSBY</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36327-2021</t>
        </is>
      </c>
      <c r="B1760" s="1" t="n">
        <v>44390</v>
      </c>
      <c r="C1760" s="1" t="n">
        <v>46076</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27346-2024</t>
        </is>
      </c>
      <c r="B1761" s="1" t="n">
        <v>45473.58984953703</v>
      </c>
      <c r="C1761" s="1" t="n">
        <v>46076</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27349-2024</t>
        </is>
      </c>
      <c r="B1762" s="1" t="n">
        <v>45473.65679398148</v>
      </c>
      <c r="C1762" s="1" t="n">
        <v>46076</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44532-2022</t>
        </is>
      </c>
      <c r="B1763" s="1" t="n">
        <v>44840</v>
      </c>
      <c r="C1763" s="1" t="n">
        <v>46076</v>
      </c>
      <c r="D1763" t="inlineStr">
        <is>
          <t>VÄRMLANDS LÄN</t>
        </is>
      </c>
      <c r="E1763" t="inlineStr">
        <is>
          <t>TORSBY</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16073-2024</t>
        </is>
      </c>
      <c r="B1764" s="1" t="n">
        <v>45406</v>
      </c>
      <c r="C1764" s="1" t="n">
        <v>46076</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1042-2024</t>
        </is>
      </c>
      <c r="B1765" s="1" t="n">
        <v>45301</v>
      </c>
      <c r="C1765" s="1" t="n">
        <v>46076</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48540-2024</t>
        </is>
      </c>
      <c r="B1766" s="1" t="n">
        <v>45593</v>
      </c>
      <c r="C1766" s="1" t="n">
        <v>46076</v>
      </c>
      <c r="D1766" t="inlineStr">
        <is>
          <t>VÄRMLANDS LÄN</t>
        </is>
      </c>
      <c r="E1766" t="inlineStr">
        <is>
          <t>TORSBY</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43060-2021</t>
        </is>
      </c>
      <c r="B1767" s="1" t="n">
        <v>44431</v>
      </c>
      <c r="C1767" s="1" t="n">
        <v>46076</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58948-2024</t>
        </is>
      </c>
      <c r="B1768" s="1" t="n">
        <v>45636</v>
      </c>
      <c r="C1768" s="1" t="n">
        <v>46076</v>
      </c>
      <c r="D1768" t="inlineStr">
        <is>
          <t>VÄRMLANDS LÄN</t>
        </is>
      </c>
      <c r="E1768" t="inlineStr">
        <is>
          <t>TORSBY</t>
        </is>
      </c>
      <c r="F1768" t="inlineStr">
        <is>
          <t>Bergvik skog väst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18676-2025</t>
        </is>
      </c>
      <c r="B1769" s="1" t="n">
        <v>45763</v>
      </c>
      <c r="C1769" s="1" t="n">
        <v>46076</v>
      </c>
      <c r="D1769" t="inlineStr">
        <is>
          <t>VÄRMLANDS LÄN</t>
        </is>
      </c>
      <c r="E1769" t="inlineStr">
        <is>
          <t>TORSBY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59256-2023</t>
        </is>
      </c>
      <c r="B1770" s="1" t="n">
        <v>45251</v>
      </c>
      <c r="C1770" s="1" t="n">
        <v>46076</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8297-2026</t>
        </is>
      </c>
      <c r="B1771" s="1" t="n">
        <v>46064.575625</v>
      </c>
      <c r="C1771" s="1" t="n">
        <v>46076</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55836-2024</t>
        </is>
      </c>
      <c r="B1772" s="1" t="n">
        <v>45623.49150462963</v>
      </c>
      <c r="C1772" s="1" t="n">
        <v>46076</v>
      </c>
      <c r="D1772" t="inlineStr">
        <is>
          <t>VÄRMLANDS LÄN</t>
        </is>
      </c>
      <c r="E1772" t="inlineStr">
        <is>
          <t>TORSBY</t>
        </is>
      </c>
      <c r="F1772" t="inlineStr">
        <is>
          <t>Kommuner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8164-2026</t>
        </is>
      </c>
      <c r="B1773" s="1" t="n">
        <v>46064.38511574074</v>
      </c>
      <c r="C1773" s="1" t="n">
        <v>46076</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7311-2026</t>
        </is>
      </c>
      <c r="B1774" s="1" t="n">
        <v>46058</v>
      </c>
      <c r="C1774" s="1" t="n">
        <v>46076</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37357-2023</t>
        </is>
      </c>
      <c r="B1775" s="1" t="n">
        <v>45156.48006944444</v>
      </c>
      <c r="C1775" s="1" t="n">
        <v>46076</v>
      </c>
      <c r="D1775" t="inlineStr">
        <is>
          <t>VÄRMLANDS LÄN</t>
        </is>
      </c>
      <c r="E1775" t="inlineStr">
        <is>
          <t>TORSBY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8147-2026</t>
        </is>
      </c>
      <c r="B1776" s="1" t="n">
        <v>46064.35064814815</v>
      </c>
      <c r="C1776" s="1" t="n">
        <v>46076</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5763-2023</t>
        </is>
      </c>
      <c r="B1777" s="1" t="n">
        <v>44963.36383101852</v>
      </c>
      <c r="C1777" s="1" t="n">
        <v>46076</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38467-2021</t>
        </is>
      </c>
      <c r="B1778" s="1" t="n">
        <v>44405</v>
      </c>
      <c r="C1778" s="1" t="n">
        <v>46076</v>
      </c>
      <c r="D1778" t="inlineStr">
        <is>
          <t>VÄRMLANDS LÄN</t>
        </is>
      </c>
      <c r="E1778" t="inlineStr">
        <is>
          <t>TORSBY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63177-2023</t>
        </is>
      </c>
      <c r="B1779" s="1" t="n">
        <v>45272</v>
      </c>
      <c r="C1779" s="1" t="n">
        <v>46076</v>
      </c>
      <c r="D1779" t="inlineStr">
        <is>
          <t>VÄRMLANDS LÄN</t>
        </is>
      </c>
      <c r="E1779" t="inlineStr">
        <is>
          <t>TORSBY</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9904-2024</t>
        </is>
      </c>
      <c r="B1780" s="1" t="n">
        <v>45363</v>
      </c>
      <c r="C1780" s="1" t="n">
        <v>46076</v>
      </c>
      <c r="D1780" t="inlineStr">
        <is>
          <t>VÄRMLANDS LÄN</t>
        </is>
      </c>
      <c r="E1780" t="inlineStr">
        <is>
          <t>TORSBY</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8222-2026</t>
        </is>
      </c>
      <c r="B1781" s="1" t="n">
        <v>46064.46728009259</v>
      </c>
      <c r="C1781" s="1" t="n">
        <v>46076</v>
      </c>
      <c r="D1781" t="inlineStr">
        <is>
          <t>VÄRMLANDS LÄN</t>
        </is>
      </c>
      <c r="E1781" t="inlineStr">
        <is>
          <t>TORSBY</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8263-2026</t>
        </is>
      </c>
      <c r="B1782" s="1" t="n">
        <v>46064.5361574074</v>
      </c>
      <c r="C1782" s="1" t="n">
        <v>46076</v>
      </c>
      <c r="D1782" t="inlineStr">
        <is>
          <t>VÄRMLANDS LÄN</t>
        </is>
      </c>
      <c r="E1782" t="inlineStr">
        <is>
          <t>TORSBY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9908-2024</t>
        </is>
      </c>
      <c r="B1783" s="1" t="n">
        <v>45363</v>
      </c>
      <c r="C1783" s="1" t="n">
        <v>46076</v>
      </c>
      <c r="D1783" t="inlineStr">
        <is>
          <t>VÄRMLANDS LÄN</t>
        </is>
      </c>
      <c r="E1783" t="inlineStr">
        <is>
          <t>TORSBY</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8317-2026</t>
        </is>
      </c>
      <c r="B1784" s="1" t="n">
        <v>46064.60416666666</v>
      </c>
      <c r="C1784" s="1" t="n">
        <v>46076</v>
      </c>
      <c r="D1784" t="inlineStr">
        <is>
          <t>VÄRMLANDS LÄN</t>
        </is>
      </c>
      <c r="E1784" t="inlineStr">
        <is>
          <t>TORSBY</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4585-2023</t>
        </is>
      </c>
      <c r="B1785" s="1" t="n">
        <v>44956.79790509259</v>
      </c>
      <c r="C1785" s="1" t="n">
        <v>46076</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29925-2024</t>
        </is>
      </c>
      <c r="B1786" s="1" t="n">
        <v>45488</v>
      </c>
      <c r="C1786" s="1" t="n">
        <v>46076</v>
      </c>
      <c r="D1786" t="inlineStr">
        <is>
          <t>VÄRMLANDS LÄN</t>
        </is>
      </c>
      <c r="E1786" t="inlineStr">
        <is>
          <t>TORSBY</t>
        </is>
      </c>
      <c r="F1786" t="inlineStr">
        <is>
          <t>Kyrkan</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15101-2024</t>
        </is>
      </c>
      <c r="B1787" s="1" t="n">
        <v>45399.66148148148</v>
      </c>
      <c r="C1787" s="1" t="n">
        <v>46076</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8165-2026</t>
        </is>
      </c>
      <c r="B1788" s="1" t="n">
        <v>46064.38872685185</v>
      </c>
      <c r="C1788" s="1" t="n">
        <v>46076</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41253-2021</t>
        </is>
      </c>
      <c r="B1789" s="1" t="n">
        <v>44424</v>
      </c>
      <c r="C1789" s="1" t="n">
        <v>46076</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52669-2024</t>
        </is>
      </c>
      <c r="B1790" s="1" t="n">
        <v>45610</v>
      </c>
      <c r="C1790" s="1" t="n">
        <v>46076</v>
      </c>
      <c r="D1790" t="inlineStr">
        <is>
          <t>VÄRMLANDS LÄN</t>
        </is>
      </c>
      <c r="E1790" t="inlineStr">
        <is>
          <t>TORSBY</t>
        </is>
      </c>
      <c r="F1790" t="inlineStr">
        <is>
          <t>Kyrkan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8149-2026</t>
        </is>
      </c>
      <c r="B1791" s="1" t="n">
        <v>46064.3527662037</v>
      </c>
      <c r="C1791" s="1" t="n">
        <v>46076</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23804-2022</t>
        </is>
      </c>
      <c r="B1792" s="1" t="n">
        <v>44722</v>
      </c>
      <c r="C1792" s="1" t="n">
        <v>46076</v>
      </c>
      <c r="D1792" t="inlineStr">
        <is>
          <t>VÄRMLANDS LÄN</t>
        </is>
      </c>
      <c r="E1792" t="inlineStr">
        <is>
          <t>TORSBY</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42457-2024</t>
        </is>
      </c>
      <c r="B1793" s="1" t="n">
        <v>45565.46346064815</v>
      </c>
      <c r="C1793" s="1" t="n">
        <v>46076</v>
      </c>
      <c r="D1793" t="inlineStr">
        <is>
          <t>VÄRMLANDS LÄN</t>
        </is>
      </c>
      <c r="E1793" t="inlineStr">
        <is>
          <t>TORSBY</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8728-2024</t>
        </is>
      </c>
      <c r="B1794" s="1" t="n">
        <v>45356.42799768518</v>
      </c>
      <c r="C1794" s="1" t="n">
        <v>46076</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8224-2026</t>
        </is>
      </c>
      <c r="B1795" s="1" t="n">
        <v>46064.47239583333</v>
      </c>
      <c r="C1795" s="1" t="n">
        <v>46076</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3409-2026</t>
        </is>
      </c>
      <c r="B1796" s="1" t="n">
        <v>46042</v>
      </c>
      <c r="C1796" s="1" t="n">
        <v>46076</v>
      </c>
      <c r="D1796" t="inlineStr">
        <is>
          <t>VÄRMLANDS LÄN</t>
        </is>
      </c>
      <c r="E1796" t="inlineStr">
        <is>
          <t>TORSBY</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39771-2024</t>
        </is>
      </c>
      <c r="B1797" s="1" t="n">
        <v>45552</v>
      </c>
      <c r="C1797" s="1" t="n">
        <v>46076</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8967-2026</t>
        </is>
      </c>
      <c r="B1798" s="1" t="n">
        <v>46069.4278587963</v>
      </c>
      <c r="C1798" s="1" t="n">
        <v>46076</v>
      </c>
      <c r="D1798" t="inlineStr">
        <is>
          <t>VÄRMLANDS LÄN</t>
        </is>
      </c>
      <c r="E1798" t="inlineStr">
        <is>
          <t>TORSBY</t>
        </is>
      </c>
      <c r="F1798" t="inlineStr">
        <is>
          <t>Bergvik skog väst AB</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71679-2021</t>
        </is>
      </c>
      <c r="B1799" s="1" t="n">
        <v>44543</v>
      </c>
      <c r="C1799" s="1" t="n">
        <v>46076</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22124-2022</t>
        </is>
      </c>
      <c r="B1800" s="1" t="n">
        <v>44712</v>
      </c>
      <c r="C1800" s="1" t="n">
        <v>46076</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22943-2023</t>
        </is>
      </c>
      <c r="B1801" s="1" t="n">
        <v>45072</v>
      </c>
      <c r="C1801" s="1" t="n">
        <v>46076</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38497-2024</t>
        </is>
      </c>
      <c r="B1802" s="1" t="n">
        <v>45546.51869212963</v>
      </c>
      <c r="C1802" s="1" t="n">
        <v>46076</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8736-2026</t>
        </is>
      </c>
      <c r="B1803" s="1" t="n">
        <v>46066.50328703703</v>
      </c>
      <c r="C1803" s="1" t="n">
        <v>46076</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17931-2024</t>
        </is>
      </c>
      <c r="B1804" s="1" t="n">
        <v>45419</v>
      </c>
      <c r="C1804" s="1" t="n">
        <v>46076</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54006-2024</t>
        </is>
      </c>
      <c r="B1805" s="1" t="n">
        <v>45616.3717824074</v>
      </c>
      <c r="C1805" s="1" t="n">
        <v>46076</v>
      </c>
      <c r="D1805" t="inlineStr">
        <is>
          <t>VÄRMLANDS LÄN</t>
        </is>
      </c>
      <c r="E1805" t="inlineStr">
        <is>
          <t>TORSBY</t>
        </is>
      </c>
      <c r="F1805" t="inlineStr">
        <is>
          <t>Kommuner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235-2026</t>
        </is>
      </c>
      <c r="B1806" s="1" t="n">
        <v>46027</v>
      </c>
      <c r="C1806" s="1" t="n">
        <v>46076</v>
      </c>
      <c r="D1806" t="inlineStr">
        <is>
          <t>VÄRMLANDS LÄN</t>
        </is>
      </c>
      <c r="E1806" t="inlineStr">
        <is>
          <t>TORSBY</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8705-2026</t>
        </is>
      </c>
      <c r="B1807" s="1" t="n">
        <v>46066.47086805556</v>
      </c>
      <c r="C1807" s="1" t="n">
        <v>46076</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46076</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72-2026</t>
        </is>
      </c>
      <c r="B1809" s="1" t="n">
        <v>46024.46258101852</v>
      </c>
      <c r="C1809" s="1" t="n">
        <v>46076</v>
      </c>
      <c r="D1809" t="inlineStr">
        <is>
          <t>VÄRMLANDS LÄN</t>
        </is>
      </c>
      <c r="E1809" t="inlineStr">
        <is>
          <t>TORSBY</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8016-2023</t>
        </is>
      </c>
      <c r="B1810" s="1" t="n">
        <v>44973</v>
      </c>
      <c r="C1810" s="1" t="n">
        <v>46076</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68136-2021</t>
        </is>
      </c>
      <c r="B1811" s="1" t="n">
        <v>44526.40984953703</v>
      </c>
      <c r="C1811" s="1" t="n">
        <v>46076</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40227-2024</t>
        </is>
      </c>
      <c r="B1812" s="1" t="n">
        <v>45554</v>
      </c>
      <c r="C1812" s="1" t="n">
        <v>46076</v>
      </c>
      <c r="D1812" t="inlineStr">
        <is>
          <t>VÄRMLANDS LÄN</t>
        </is>
      </c>
      <c r="E1812" t="inlineStr">
        <is>
          <t>TORSBY</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8958-2026</t>
        </is>
      </c>
      <c r="B1813" s="1" t="n">
        <v>46069.40876157407</v>
      </c>
      <c r="C1813" s="1" t="n">
        <v>46076</v>
      </c>
      <c r="D1813" t="inlineStr">
        <is>
          <t>VÄRMLANDS LÄN</t>
        </is>
      </c>
      <c r="E1813" t="inlineStr">
        <is>
          <t>TORSBY</t>
        </is>
      </c>
      <c r="F1813" t="inlineStr">
        <is>
          <t>Bergvik skog väst AB</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41501-2024</t>
        </is>
      </c>
      <c r="B1814" s="1" t="n">
        <v>45560</v>
      </c>
      <c r="C1814" s="1" t="n">
        <v>46076</v>
      </c>
      <c r="D1814" t="inlineStr">
        <is>
          <t>VÄRMLANDS LÄN</t>
        </is>
      </c>
      <c r="E1814" t="inlineStr">
        <is>
          <t>TORSBY</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3922-2024</t>
        </is>
      </c>
      <c r="B1815" s="1" t="n">
        <v>45322.57271990741</v>
      </c>
      <c r="C1815" s="1" t="n">
        <v>46076</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38-2026</t>
        </is>
      </c>
      <c r="B1816" s="1" t="n">
        <v>46024</v>
      </c>
      <c r="C1816" s="1" t="n">
        <v>46076</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17944-2021</t>
        </is>
      </c>
      <c r="B1817" s="1" t="n">
        <v>44301</v>
      </c>
      <c r="C1817" s="1" t="n">
        <v>46076</v>
      </c>
      <c r="D1817" t="inlineStr">
        <is>
          <t>VÄRMLANDS LÄN</t>
        </is>
      </c>
      <c r="E1817" t="inlineStr">
        <is>
          <t>TORSBY</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27195-2023</t>
        </is>
      </c>
      <c r="B1818" s="1" t="n">
        <v>45096</v>
      </c>
      <c r="C1818" s="1" t="n">
        <v>46076</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9240-2026</t>
        </is>
      </c>
      <c r="B1819" s="1" t="n">
        <v>46070.47997685185</v>
      </c>
      <c r="C1819" s="1" t="n">
        <v>46076</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60796-2024</t>
        </is>
      </c>
      <c r="B1820" s="1" t="n">
        <v>45642</v>
      </c>
      <c r="C1820" s="1" t="n">
        <v>46076</v>
      </c>
      <c r="D1820" t="inlineStr">
        <is>
          <t>VÄRMLANDS LÄN</t>
        </is>
      </c>
      <c r="E1820" t="inlineStr">
        <is>
          <t>TORSBY</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18344-2021</t>
        </is>
      </c>
      <c r="B1821" s="1" t="n">
        <v>44305</v>
      </c>
      <c r="C1821" s="1" t="n">
        <v>46076</v>
      </c>
      <c r="D1821" t="inlineStr">
        <is>
          <t>VÄRMLANDS LÄN</t>
        </is>
      </c>
      <c r="E1821" t="inlineStr">
        <is>
          <t>TORSBY</t>
        </is>
      </c>
      <c r="F1821" t="inlineStr">
        <is>
          <t>Kommuner</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57990-2023</t>
        </is>
      </c>
      <c r="B1822" s="1" t="n">
        <v>45247.60293981482</v>
      </c>
      <c r="C1822" s="1" t="n">
        <v>46076</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27223-2022</t>
        </is>
      </c>
      <c r="B1823" s="1" t="n">
        <v>44741</v>
      </c>
      <c r="C1823" s="1" t="n">
        <v>46076</v>
      </c>
      <c r="D1823" t="inlineStr">
        <is>
          <t>VÄRMLANDS LÄN</t>
        </is>
      </c>
      <c r="E1823" t="inlineStr">
        <is>
          <t>TORSBY</t>
        </is>
      </c>
      <c r="F1823" t="inlineStr">
        <is>
          <t>Bergvik skog väst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423-2024</t>
        </is>
      </c>
      <c r="B1824" s="1" t="n">
        <v>45296.53034722222</v>
      </c>
      <c r="C1824" s="1" t="n">
        <v>46076</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12365-2022</t>
        </is>
      </c>
      <c r="B1825" s="1" t="n">
        <v>44637.70670138889</v>
      </c>
      <c r="C1825" s="1" t="n">
        <v>46076</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637-2026</t>
        </is>
      </c>
      <c r="B1826" s="1" t="n">
        <v>46029</v>
      </c>
      <c r="C1826" s="1" t="n">
        <v>46076</v>
      </c>
      <c r="D1826" t="inlineStr">
        <is>
          <t>VÄRMLANDS LÄN</t>
        </is>
      </c>
      <c r="E1826" t="inlineStr">
        <is>
          <t>TORSBY</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58430-2023</t>
        </is>
      </c>
      <c r="B1827" s="1" t="n">
        <v>45250.80646990741</v>
      </c>
      <c r="C1827" s="1" t="n">
        <v>46076</v>
      </c>
      <c r="D1827" t="inlineStr">
        <is>
          <t>VÄRMLANDS LÄN</t>
        </is>
      </c>
      <c r="E1827" t="inlineStr">
        <is>
          <t>TORSBY</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27270-2024</t>
        </is>
      </c>
      <c r="B1828" s="1" t="n">
        <v>45471.81967592592</v>
      </c>
      <c r="C1828" s="1" t="n">
        <v>46076</v>
      </c>
      <c r="D1828" t="inlineStr">
        <is>
          <t>VÄRMLANDS LÄN</t>
        </is>
      </c>
      <c r="E1828" t="inlineStr">
        <is>
          <t>TORSBY</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40180-2024</t>
        </is>
      </c>
      <c r="B1829" s="1" t="n">
        <v>45554.55413194445</v>
      </c>
      <c r="C1829" s="1" t="n">
        <v>46076</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9248-2026</t>
        </is>
      </c>
      <c r="B1830" s="1" t="n">
        <v>46070.49686342593</v>
      </c>
      <c r="C1830" s="1" t="n">
        <v>46076</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10584-2023</t>
        </is>
      </c>
      <c r="B1831" s="1" t="n">
        <v>44988.36736111111</v>
      </c>
      <c r="C1831" s="1" t="n">
        <v>46076</v>
      </c>
      <c r="D1831" t="inlineStr">
        <is>
          <t>VÄRMLANDS LÄN</t>
        </is>
      </c>
      <c r="E1831" t="inlineStr">
        <is>
          <t>TORSBY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42632-2023</t>
        </is>
      </c>
      <c r="B1832" s="1" t="n">
        <v>45181</v>
      </c>
      <c r="C1832" s="1" t="n">
        <v>46076</v>
      </c>
      <c r="D1832" t="inlineStr">
        <is>
          <t>VÄRMLANDS LÄN</t>
        </is>
      </c>
      <c r="E1832" t="inlineStr">
        <is>
          <t>TORSBY</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42635-2023</t>
        </is>
      </c>
      <c r="B1833" s="1" t="n">
        <v>45181.49310185185</v>
      </c>
      <c r="C1833" s="1" t="n">
        <v>46076</v>
      </c>
      <c r="D1833" t="inlineStr">
        <is>
          <t>VÄRMLANDS LÄN</t>
        </is>
      </c>
      <c r="E1833" t="inlineStr">
        <is>
          <t>TORSBY</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4510-2023</t>
        </is>
      </c>
      <c r="B1834" s="1" t="n">
        <v>44956.57528935185</v>
      </c>
      <c r="C1834" s="1" t="n">
        <v>46076</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9245-2026</t>
        </is>
      </c>
      <c r="B1835" s="1" t="n">
        <v>46070.48952546297</v>
      </c>
      <c r="C1835" s="1" t="n">
        <v>46076</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748-2026</t>
        </is>
      </c>
      <c r="B1836" s="1" t="n">
        <v>46029</v>
      </c>
      <c r="C1836" s="1" t="n">
        <v>46076</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33499-2024</t>
        </is>
      </c>
      <c r="B1837" s="1" t="n">
        <v>45519.62280092593</v>
      </c>
      <c r="C1837" s="1" t="n">
        <v>46076</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31052-2023</t>
        </is>
      </c>
      <c r="B1838" s="1" t="n">
        <v>45113</v>
      </c>
      <c r="C1838" s="1" t="n">
        <v>46076</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27358-2024</t>
        </is>
      </c>
      <c r="B1839" s="1" t="n">
        <v>45473.71635416667</v>
      </c>
      <c r="C1839" s="1" t="n">
        <v>46076</v>
      </c>
      <c r="D1839" t="inlineStr">
        <is>
          <t>VÄRMLANDS LÄN</t>
        </is>
      </c>
      <c r="E1839" t="inlineStr">
        <is>
          <t>TORSBY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27360-2024</t>
        </is>
      </c>
      <c r="B1840" s="1" t="n">
        <v>45473</v>
      </c>
      <c r="C1840" s="1" t="n">
        <v>46076</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991-2026</t>
        </is>
      </c>
      <c r="B1841" s="1" t="n">
        <v>46030.58675925926</v>
      </c>
      <c r="C1841" s="1" t="n">
        <v>46076</v>
      </c>
      <c r="D1841" t="inlineStr">
        <is>
          <t>VÄRMLANDS LÄN</t>
        </is>
      </c>
      <c r="E1841" t="inlineStr">
        <is>
          <t>TORSBY</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39768-2024</t>
        </is>
      </c>
      <c r="B1842" s="1" t="n">
        <v>45552</v>
      </c>
      <c r="C1842" s="1" t="n">
        <v>46076</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1137-2026</t>
        </is>
      </c>
      <c r="B1843" s="1" t="n">
        <v>46030</v>
      </c>
      <c r="C1843" s="1" t="n">
        <v>46076</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1139-2026</t>
        </is>
      </c>
      <c r="B1844" s="1" t="n">
        <v>46030</v>
      </c>
      <c r="C1844" s="1" t="n">
        <v>46076</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31936-2023</t>
        </is>
      </c>
      <c r="B1845" s="1" t="n">
        <v>45107</v>
      </c>
      <c r="C1845" s="1" t="n">
        <v>46076</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54011-2024</t>
        </is>
      </c>
      <c r="B1846" s="1" t="n">
        <v>45616.37576388889</v>
      </c>
      <c r="C1846" s="1" t="n">
        <v>46076</v>
      </c>
      <c r="D1846" t="inlineStr">
        <is>
          <t>VÄRMLANDS LÄN</t>
        </is>
      </c>
      <c r="E1846" t="inlineStr">
        <is>
          <t>TORSBY</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54026-2024</t>
        </is>
      </c>
      <c r="B1847" s="1" t="n">
        <v>45616</v>
      </c>
      <c r="C1847" s="1" t="n">
        <v>46076</v>
      </c>
      <c r="D1847" t="inlineStr">
        <is>
          <t>VÄRMLANDS LÄN</t>
        </is>
      </c>
      <c r="E1847" t="inlineStr">
        <is>
          <t>TORSBY</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9752-2026</t>
        </is>
      </c>
      <c r="B1848" s="1" t="n">
        <v>46072.53912037037</v>
      </c>
      <c r="C1848" s="1" t="n">
        <v>46076</v>
      </c>
      <c r="D1848" t="inlineStr">
        <is>
          <t>VÄRMLANDS LÄN</t>
        </is>
      </c>
      <c r="E1848" t="inlineStr">
        <is>
          <t>TORSBY</t>
        </is>
      </c>
      <c r="G1848" t="n">
        <v>26.8</v>
      </c>
      <c r="H1848" t="n">
        <v>0</v>
      </c>
      <c r="I1848" t="n">
        <v>0</v>
      </c>
      <c r="J1848" t="n">
        <v>0</v>
      </c>
      <c r="K1848" t="n">
        <v>0</v>
      </c>
      <c r="L1848" t="n">
        <v>0</v>
      </c>
      <c r="M1848" t="n">
        <v>0</v>
      </c>
      <c r="N1848" t="n">
        <v>0</v>
      </c>
      <c r="O1848" t="n">
        <v>0</v>
      </c>
      <c r="P1848" t="n">
        <v>0</v>
      </c>
      <c r="Q1848" t="n">
        <v>0</v>
      </c>
      <c r="R1848" s="2" t="inlineStr"/>
    </row>
    <row r="1849" ht="15" customHeight="1">
      <c r="A1849" t="inlineStr">
        <is>
          <t>A 56509-2024</t>
        </is>
      </c>
      <c r="B1849" s="1" t="n">
        <v>45625</v>
      </c>
      <c r="C1849" s="1" t="n">
        <v>46076</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7356-2026</t>
        </is>
      </c>
      <c r="B1850" s="1" t="n">
        <v>46059.30347222222</v>
      </c>
      <c r="C1850" s="1" t="n">
        <v>46076</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46076</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40157-2024</t>
        </is>
      </c>
      <c r="B1852" s="1" t="n">
        <v>45554</v>
      </c>
      <c r="C1852" s="1" t="n">
        <v>46076</v>
      </c>
      <c r="D1852" t="inlineStr">
        <is>
          <t>VÄRMLANDS LÄN</t>
        </is>
      </c>
      <c r="E1852" t="inlineStr">
        <is>
          <t>TORSBY</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56880-2023</t>
        </is>
      </c>
      <c r="B1853" s="1" t="n">
        <v>45244</v>
      </c>
      <c r="C1853" s="1" t="n">
        <v>46076</v>
      </c>
      <c r="D1853" t="inlineStr">
        <is>
          <t>VÄRMLANDS LÄN</t>
        </is>
      </c>
      <c r="E1853" t="inlineStr">
        <is>
          <t>TORSBY</t>
        </is>
      </c>
      <c r="F1853" t="inlineStr">
        <is>
          <t>Övriga Aktiebolag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18447-2025</t>
        </is>
      </c>
      <c r="B1854" s="1" t="n">
        <v>45762</v>
      </c>
      <c r="C1854" s="1" t="n">
        <v>46076</v>
      </c>
      <c r="D1854" t="inlineStr">
        <is>
          <t>VÄRMLANDS LÄN</t>
        </is>
      </c>
      <c r="E1854" t="inlineStr">
        <is>
          <t>TORSBY</t>
        </is>
      </c>
      <c r="G1854" t="n">
        <v>12.8</v>
      </c>
      <c r="H1854" t="n">
        <v>0</v>
      </c>
      <c r="I1854" t="n">
        <v>0</v>
      </c>
      <c r="J1854" t="n">
        <v>0</v>
      </c>
      <c r="K1854" t="n">
        <v>0</v>
      </c>
      <c r="L1854" t="n">
        <v>0</v>
      </c>
      <c r="M1854" t="n">
        <v>0</v>
      </c>
      <c r="N1854" t="n">
        <v>0</v>
      </c>
      <c r="O1854" t="n">
        <v>0</v>
      </c>
      <c r="P1854" t="n">
        <v>0</v>
      </c>
      <c r="Q1854" t="n">
        <v>0</v>
      </c>
      <c r="R1854" s="2" t="inlineStr"/>
    </row>
    <row r="1855" ht="15" customHeight="1">
      <c r="A1855" t="inlineStr">
        <is>
          <t>A 40207-2023</t>
        </is>
      </c>
      <c r="B1855" s="1" t="n">
        <v>45169.44604166667</v>
      </c>
      <c r="C1855" s="1" t="n">
        <v>46076</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55485-2023</t>
        </is>
      </c>
      <c r="B1856" s="1" t="n">
        <v>45238.52023148148</v>
      </c>
      <c r="C1856" s="1" t="n">
        <v>46076</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54714-2023</t>
        </is>
      </c>
      <c r="B1857" s="1" t="n">
        <v>45236.3515162037</v>
      </c>
      <c r="C1857" s="1" t="n">
        <v>46076</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21094-2022</t>
        </is>
      </c>
      <c r="B1858" s="1" t="n">
        <v>44704</v>
      </c>
      <c r="C1858" s="1" t="n">
        <v>46076</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45218.50408564815</v>
      </c>
      <c r="C1859" s="1" t="n">
        <v>46076</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51836-2024</t>
        </is>
      </c>
      <c r="B1860" s="1" t="n">
        <v>45607</v>
      </c>
      <c r="C1860" s="1" t="n">
        <v>46076</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1045-2026</t>
        </is>
      </c>
      <c r="B1861" s="1" t="n">
        <v>46030</v>
      </c>
      <c r="C1861" s="1" t="n">
        <v>46076</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7362-2026</t>
        </is>
      </c>
      <c r="B1862" s="1" t="n">
        <v>46059.3088425926</v>
      </c>
      <c r="C1862" s="1" t="n">
        <v>46076</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20060-2025</t>
        </is>
      </c>
      <c r="B1863" s="1" t="n">
        <v>45772.41831018519</v>
      </c>
      <c r="C1863" s="1" t="n">
        <v>46076</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54489-2024</t>
        </is>
      </c>
      <c r="B1864" s="1" t="n">
        <v>45617.56674768519</v>
      </c>
      <c r="C1864" s="1" t="n">
        <v>46076</v>
      </c>
      <c r="D1864" t="inlineStr">
        <is>
          <t>VÄRMLANDS LÄN</t>
        </is>
      </c>
      <c r="E1864" t="inlineStr">
        <is>
          <t>TORSBY</t>
        </is>
      </c>
      <c r="F1864" t="inlineStr">
        <is>
          <t>Bergvik skog väst AB</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924-2024</t>
        </is>
      </c>
      <c r="B1865" s="1" t="n">
        <v>45301</v>
      </c>
      <c r="C1865" s="1" t="n">
        <v>46076</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11695-2021</t>
        </is>
      </c>
      <c r="B1866" s="1" t="n">
        <v>44264.87736111111</v>
      </c>
      <c r="C1866" s="1" t="n">
        <v>46076</v>
      </c>
      <c r="D1866" t="inlineStr">
        <is>
          <t>VÄRMLANDS LÄN</t>
        </is>
      </c>
      <c r="E1866" t="inlineStr">
        <is>
          <t>TORSBY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20309-2025</t>
        </is>
      </c>
      <c r="B1867" s="1" t="n">
        <v>45775.28427083333</v>
      </c>
      <c r="C1867" s="1" t="n">
        <v>46076</v>
      </c>
      <c r="D1867" t="inlineStr">
        <is>
          <t>VÄRMLANDS LÄN</t>
        </is>
      </c>
      <c r="E1867" t="inlineStr">
        <is>
          <t>TORSBY</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16498-2022</t>
        </is>
      </c>
      <c r="B1868" s="1" t="n">
        <v>44671</v>
      </c>
      <c r="C1868" s="1" t="n">
        <v>46076</v>
      </c>
      <c r="D1868" t="inlineStr">
        <is>
          <t>VÄRMLANDS LÄN</t>
        </is>
      </c>
      <c r="E1868" t="inlineStr">
        <is>
          <t>TORSBY</t>
        </is>
      </c>
      <c r="F1868" t="inlineStr">
        <is>
          <t>Kommuner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21411-2023</t>
        </is>
      </c>
      <c r="B1869" s="1" t="n">
        <v>45063.38505787037</v>
      </c>
      <c r="C1869" s="1" t="n">
        <v>46076</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1148-2026</t>
        </is>
      </c>
      <c r="B1870" s="1" t="n">
        <v>46030</v>
      </c>
      <c r="C1870" s="1" t="n">
        <v>46076</v>
      </c>
      <c r="D1870" t="inlineStr">
        <is>
          <t>VÄRMLANDS LÄN</t>
        </is>
      </c>
      <c r="E1870" t="inlineStr">
        <is>
          <t>TORSBY</t>
        </is>
      </c>
      <c r="F1870" t="inlineStr">
        <is>
          <t>Bergvik skog väst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48320-2022</t>
        </is>
      </c>
      <c r="B1871" s="1" t="n">
        <v>44853</v>
      </c>
      <c r="C1871" s="1" t="n">
        <v>46076</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3841-2022</t>
        </is>
      </c>
      <c r="B1872" s="1" t="n">
        <v>44587</v>
      </c>
      <c r="C1872" s="1" t="n">
        <v>46076</v>
      </c>
      <c r="D1872" t="inlineStr">
        <is>
          <t>VÄRMLANDS LÄN</t>
        </is>
      </c>
      <c r="E1872" t="inlineStr">
        <is>
          <t>TORSBY</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58185-2023</t>
        </is>
      </c>
      <c r="B1873" s="1" t="n">
        <v>45250.41873842593</v>
      </c>
      <c r="C1873" s="1" t="n">
        <v>46076</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27038-2024</t>
        </is>
      </c>
      <c r="B1874" s="1" t="n">
        <v>45471</v>
      </c>
      <c r="C1874" s="1" t="n">
        <v>46076</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27045-2024</t>
        </is>
      </c>
      <c r="B1875" s="1" t="n">
        <v>45471</v>
      </c>
      <c r="C1875" s="1" t="n">
        <v>46076</v>
      </c>
      <c r="D1875" t="inlineStr">
        <is>
          <t>VÄRMLANDS LÄN</t>
        </is>
      </c>
      <c r="E1875" t="inlineStr">
        <is>
          <t>TORSBY</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27920-2023</t>
        </is>
      </c>
      <c r="B1876" s="1" t="n">
        <v>45098.64269675926</v>
      </c>
      <c r="C1876" s="1" t="n">
        <v>46076</v>
      </c>
      <c r="D1876" t="inlineStr">
        <is>
          <t>VÄRMLANDS LÄN</t>
        </is>
      </c>
      <c r="E1876" t="inlineStr">
        <is>
          <t>TORSBY</t>
        </is>
      </c>
      <c r="F1876" t="inlineStr">
        <is>
          <t>Kyrkan</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14614-2025</t>
        </is>
      </c>
      <c r="B1877" s="1" t="n">
        <v>45742</v>
      </c>
      <c r="C1877" s="1" t="n">
        <v>46076</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24639-2023</t>
        </is>
      </c>
      <c r="B1878" s="1" t="n">
        <v>45084</v>
      </c>
      <c r="C1878" s="1" t="n">
        <v>46076</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57072-2022</t>
        </is>
      </c>
      <c r="B1879" s="1" t="n">
        <v>44895.4252662037</v>
      </c>
      <c r="C1879" s="1" t="n">
        <v>46076</v>
      </c>
      <c r="D1879" t="inlineStr">
        <is>
          <t>VÄRMLANDS LÄN</t>
        </is>
      </c>
      <c r="E1879" t="inlineStr">
        <is>
          <t>TORSBY</t>
        </is>
      </c>
      <c r="F1879" t="inlineStr">
        <is>
          <t>Övriga statliga verk och myndigheter</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18544-2023</t>
        </is>
      </c>
      <c r="B1880" s="1" t="n">
        <v>45041</v>
      </c>
      <c r="C1880" s="1" t="n">
        <v>46076</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52581-2024</t>
        </is>
      </c>
      <c r="B1881" s="1" t="n">
        <v>45609</v>
      </c>
      <c r="C1881" s="1" t="n">
        <v>46076</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44708-2022</t>
        </is>
      </c>
      <c r="B1882" s="1" t="n">
        <v>44840.73633101852</v>
      </c>
      <c r="C1882" s="1" t="n">
        <v>46076</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56970-2023</t>
        </is>
      </c>
      <c r="B1883" s="1" t="n">
        <v>45244.63689814815</v>
      </c>
      <c r="C1883" s="1" t="n">
        <v>46076</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38100-2024</t>
        </is>
      </c>
      <c r="B1884" s="1" t="n">
        <v>45545</v>
      </c>
      <c r="C1884" s="1" t="n">
        <v>46076</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41529-2024</t>
        </is>
      </c>
      <c r="B1885" s="1" t="n">
        <v>45560.48552083333</v>
      </c>
      <c r="C1885" s="1" t="n">
        <v>46076</v>
      </c>
      <c r="D1885" t="inlineStr">
        <is>
          <t>VÄRMLANDS LÄN</t>
        </is>
      </c>
      <c r="E1885" t="inlineStr">
        <is>
          <t>TORSBY</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56281-2022</t>
        </is>
      </c>
      <c r="B1886" s="1" t="n">
        <v>44890</v>
      </c>
      <c r="C1886" s="1" t="n">
        <v>46076</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47355-2023</t>
        </is>
      </c>
      <c r="B1887" s="1" t="n">
        <v>45202</v>
      </c>
      <c r="C1887" s="1" t="n">
        <v>46076</v>
      </c>
      <c r="D1887" t="inlineStr">
        <is>
          <t>VÄRMLANDS LÄN</t>
        </is>
      </c>
      <c r="E1887" t="inlineStr">
        <is>
          <t>TORSBY</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40997-2022</t>
        </is>
      </c>
      <c r="B1888" s="1" t="n">
        <v>44825.50576388889</v>
      </c>
      <c r="C1888" s="1" t="n">
        <v>46076</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39770-2024</t>
        </is>
      </c>
      <c r="B1889" s="1" t="n">
        <v>45552</v>
      </c>
      <c r="C1889" s="1" t="n">
        <v>46076</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18682-2024</t>
        </is>
      </c>
      <c r="B1890" s="1" t="n">
        <v>45426.37251157407</v>
      </c>
      <c r="C1890" s="1" t="n">
        <v>46076</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3542-2023</t>
        </is>
      </c>
      <c r="B1891" s="1" t="n">
        <v>44950</v>
      </c>
      <c r="C1891" s="1" t="n">
        <v>46076</v>
      </c>
      <c r="D1891" t="inlineStr">
        <is>
          <t>VÄRMLANDS LÄN</t>
        </is>
      </c>
      <c r="E1891" t="inlineStr">
        <is>
          <t>TORSBY</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60737-2022</t>
        </is>
      </c>
      <c r="B1892" s="1" t="n">
        <v>44913.88537037037</v>
      </c>
      <c r="C1892" s="1" t="n">
        <v>46076</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37929-2022</t>
        </is>
      </c>
      <c r="B1893" s="1" t="n">
        <v>44811.45628472222</v>
      </c>
      <c r="C1893" s="1" t="n">
        <v>46076</v>
      </c>
      <c r="D1893" t="inlineStr">
        <is>
          <t>VÄRMLANDS LÄN</t>
        </is>
      </c>
      <c r="E1893" t="inlineStr">
        <is>
          <t>TORSBY</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53297-2024</t>
        </is>
      </c>
      <c r="B1894" s="1" t="n">
        <v>45614.38802083334</v>
      </c>
      <c r="C1894" s="1" t="n">
        <v>46076</v>
      </c>
      <c r="D1894" t="inlineStr">
        <is>
          <t>VÄRMLANDS LÄN</t>
        </is>
      </c>
      <c r="E1894" t="inlineStr">
        <is>
          <t>TORSBY</t>
        </is>
      </c>
      <c r="F1894" t="inlineStr">
        <is>
          <t>Bergvik skog väst AB</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22973-2024</t>
        </is>
      </c>
      <c r="B1895" s="1" t="n">
        <v>45449</v>
      </c>
      <c r="C1895" s="1" t="n">
        <v>46076</v>
      </c>
      <c r="D1895" t="inlineStr">
        <is>
          <t>VÄRMLANDS LÄN</t>
        </is>
      </c>
      <c r="E1895" t="inlineStr">
        <is>
          <t>TORSBY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9057-2022</t>
        </is>
      </c>
      <c r="B1896" s="1" t="n">
        <v>44615</v>
      </c>
      <c r="C1896" s="1" t="n">
        <v>46076</v>
      </c>
      <c r="D1896" t="inlineStr">
        <is>
          <t>VÄRMLANDS LÄN</t>
        </is>
      </c>
      <c r="E1896" t="inlineStr">
        <is>
          <t>TORSBY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13189-2025</t>
        </is>
      </c>
      <c r="B1897" s="1" t="n">
        <v>45735.39708333334</v>
      </c>
      <c r="C1897" s="1" t="n">
        <v>46076</v>
      </c>
      <c r="D1897" t="inlineStr">
        <is>
          <t>VÄRMLANDS LÄN</t>
        </is>
      </c>
      <c r="E1897" t="inlineStr">
        <is>
          <t>TORSBY</t>
        </is>
      </c>
      <c r="G1897" t="n">
        <v>15.4</v>
      </c>
      <c r="H1897" t="n">
        <v>0</v>
      </c>
      <c r="I1897" t="n">
        <v>0</v>
      </c>
      <c r="J1897" t="n">
        <v>0</v>
      </c>
      <c r="K1897" t="n">
        <v>0</v>
      </c>
      <c r="L1897" t="n">
        <v>0</v>
      </c>
      <c r="M1897" t="n">
        <v>0</v>
      </c>
      <c r="N1897" t="n">
        <v>0</v>
      </c>
      <c r="O1897" t="n">
        <v>0</v>
      </c>
      <c r="P1897" t="n">
        <v>0</v>
      </c>
      <c r="Q1897" t="n">
        <v>0</v>
      </c>
      <c r="R1897" s="2" t="inlineStr"/>
    </row>
    <row r="1898" ht="15" customHeight="1">
      <c r="A1898" t="inlineStr">
        <is>
          <t>A 3326-2024</t>
        </is>
      </c>
      <c r="B1898" s="1" t="n">
        <v>45317</v>
      </c>
      <c r="C1898" s="1" t="n">
        <v>46076</v>
      </c>
      <c r="D1898" t="inlineStr">
        <is>
          <t>VÄRMLANDS LÄN</t>
        </is>
      </c>
      <c r="E1898" t="inlineStr">
        <is>
          <t>TORSBY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10329-2025</t>
        </is>
      </c>
      <c r="B1899" s="1" t="n">
        <v>45720</v>
      </c>
      <c r="C1899" s="1" t="n">
        <v>46076</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10343-2025</t>
        </is>
      </c>
      <c r="B1900" s="1" t="n">
        <v>45720</v>
      </c>
      <c r="C1900" s="1" t="n">
        <v>46076</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52901-2022</t>
        </is>
      </c>
      <c r="B1901" s="1" t="n">
        <v>44872</v>
      </c>
      <c r="C1901" s="1" t="n">
        <v>46076</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47077-2023</t>
        </is>
      </c>
      <c r="B1902" s="1" t="n">
        <v>45201</v>
      </c>
      <c r="C1902" s="1" t="n">
        <v>46076</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20745-2023</t>
        </is>
      </c>
      <c r="B1903" s="1" t="n">
        <v>45058</v>
      </c>
      <c r="C1903" s="1" t="n">
        <v>46076</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70926-2021</t>
        </is>
      </c>
      <c r="B1904" s="1" t="n">
        <v>44538</v>
      </c>
      <c r="C1904" s="1" t="n">
        <v>46076</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72200-2021</t>
        </is>
      </c>
      <c r="B1905" s="1" t="n">
        <v>44544.67358796296</v>
      </c>
      <c r="C1905" s="1" t="n">
        <v>46076</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52592-2024</t>
        </is>
      </c>
      <c r="B1906" s="1" t="n">
        <v>45609</v>
      </c>
      <c r="C1906" s="1" t="n">
        <v>46076</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18877-2022</t>
        </is>
      </c>
      <c r="B1907" s="1" t="n">
        <v>44690.52556712963</v>
      </c>
      <c r="C1907" s="1" t="n">
        <v>46076</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5830-2023</t>
        </is>
      </c>
      <c r="B1908" s="1" t="n">
        <v>44963</v>
      </c>
      <c r="C1908" s="1" t="n">
        <v>46076</v>
      </c>
      <c r="D1908" t="inlineStr">
        <is>
          <t>VÄRMLANDS LÄN</t>
        </is>
      </c>
      <c r="E1908" t="inlineStr">
        <is>
          <t>TORSBY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46076</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20175-2022</t>
        </is>
      </c>
      <c r="B1910" s="1" t="n">
        <v>44698</v>
      </c>
      <c r="C1910" s="1" t="n">
        <v>46076</v>
      </c>
      <c r="D1910" t="inlineStr">
        <is>
          <t>VÄRMLANDS LÄN</t>
        </is>
      </c>
      <c r="E1910" t="inlineStr">
        <is>
          <t>TORSBY</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6646-2024</t>
        </is>
      </c>
      <c r="B1911" s="1" t="n">
        <v>45341.66643518519</v>
      </c>
      <c r="C1911" s="1" t="n">
        <v>46076</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6648-2024</t>
        </is>
      </c>
      <c r="B1912" s="1" t="n">
        <v>45341</v>
      </c>
      <c r="C1912" s="1" t="n">
        <v>46076</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41841-2023</t>
        </is>
      </c>
      <c r="B1913" s="1" t="n">
        <v>45176.60436342593</v>
      </c>
      <c r="C1913" s="1" t="n">
        <v>46076</v>
      </c>
      <c r="D1913" t="inlineStr">
        <is>
          <t>VÄRMLANDS LÄN</t>
        </is>
      </c>
      <c r="E1913" t="inlineStr">
        <is>
          <t>TORSBY</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6713-2023</t>
        </is>
      </c>
      <c r="B1914" s="1" t="n">
        <v>44960</v>
      </c>
      <c r="C1914" s="1" t="n">
        <v>46076</v>
      </c>
      <c r="D1914" t="inlineStr">
        <is>
          <t>VÄRMLANDS LÄN</t>
        </is>
      </c>
      <c r="E1914" t="inlineStr">
        <is>
          <t>TORSBY</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63409-2023</t>
        </is>
      </c>
      <c r="B1915" s="1" t="n">
        <v>45274.51719907407</v>
      </c>
      <c r="C1915" s="1" t="n">
        <v>46076</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12051-2024</t>
        </is>
      </c>
      <c r="B1916" s="1" t="n">
        <v>45377</v>
      </c>
      <c r="C1916" s="1" t="n">
        <v>46076</v>
      </c>
      <c r="D1916" t="inlineStr">
        <is>
          <t>VÄRMLANDS LÄN</t>
        </is>
      </c>
      <c r="E1916" t="inlineStr">
        <is>
          <t>TORSBY</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73553-2021</t>
        </is>
      </c>
      <c r="B1917" s="1" t="n">
        <v>44551</v>
      </c>
      <c r="C1917" s="1" t="n">
        <v>46076</v>
      </c>
      <c r="D1917" t="inlineStr">
        <is>
          <t>VÄRMLANDS LÄN</t>
        </is>
      </c>
      <c r="E1917" t="inlineStr">
        <is>
          <t>TORSBY</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46076</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54306-2024</t>
        </is>
      </c>
      <c r="B1919" s="1" t="n">
        <v>45617</v>
      </c>
      <c r="C1919" s="1" t="n">
        <v>46076</v>
      </c>
      <c r="D1919" t="inlineStr">
        <is>
          <t>VÄRMLANDS LÄN</t>
        </is>
      </c>
      <c r="E1919" t="inlineStr">
        <is>
          <t>TORSBY</t>
        </is>
      </c>
      <c r="F1919" t="inlineStr">
        <is>
          <t>Bergvik skog väst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54265-2024</t>
        </is>
      </c>
      <c r="B1920" s="1" t="n">
        <v>45616</v>
      </c>
      <c r="C1920" s="1" t="n">
        <v>46076</v>
      </c>
      <c r="D1920" t="inlineStr">
        <is>
          <t>VÄRMLANDS LÄN</t>
        </is>
      </c>
      <c r="E1920" t="inlineStr">
        <is>
          <t>TORSBY</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1161-2025</t>
        </is>
      </c>
      <c r="B1921" s="1" t="n">
        <v>45666</v>
      </c>
      <c r="C1921" s="1" t="n">
        <v>46076</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14301-2025</t>
        </is>
      </c>
      <c r="B1922" s="1" t="n">
        <v>45740</v>
      </c>
      <c r="C1922" s="1" t="n">
        <v>46076</v>
      </c>
      <c r="D1922" t="inlineStr">
        <is>
          <t>VÄRMLANDS LÄN</t>
        </is>
      </c>
      <c r="E1922" t="inlineStr">
        <is>
          <t>TORSBY</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11395-2025</t>
        </is>
      </c>
      <c r="B1923" s="1" t="n">
        <v>45726.5728125</v>
      </c>
      <c r="C1923" s="1" t="n">
        <v>46076</v>
      </c>
      <c r="D1923" t="inlineStr">
        <is>
          <t>VÄRMLANDS LÄN</t>
        </is>
      </c>
      <c r="E1923" t="inlineStr">
        <is>
          <t>TORSBY</t>
        </is>
      </c>
      <c r="G1923" t="n">
        <v>25.3</v>
      </c>
      <c r="H1923" t="n">
        <v>0</v>
      </c>
      <c r="I1923" t="n">
        <v>0</v>
      </c>
      <c r="J1923" t="n">
        <v>0</v>
      </c>
      <c r="K1923" t="n">
        <v>0</v>
      </c>
      <c r="L1923" t="n">
        <v>0</v>
      </c>
      <c r="M1923" t="n">
        <v>0</v>
      </c>
      <c r="N1923" t="n">
        <v>0</v>
      </c>
      <c r="O1923" t="n">
        <v>0</v>
      </c>
      <c r="P1923" t="n">
        <v>0</v>
      </c>
      <c r="Q1923" t="n">
        <v>0</v>
      </c>
      <c r="R1923" s="2" t="inlineStr"/>
    </row>
    <row r="1924" ht="15" customHeight="1">
      <c r="A1924" t="inlineStr">
        <is>
          <t>A 19575-2025</t>
        </is>
      </c>
      <c r="B1924" s="1" t="n">
        <v>45770.55957175926</v>
      </c>
      <c r="C1924" s="1" t="n">
        <v>46076</v>
      </c>
      <c r="D1924" t="inlineStr">
        <is>
          <t>VÄRMLANDS LÄN</t>
        </is>
      </c>
      <c r="E1924" t="inlineStr">
        <is>
          <t>TORSBY</t>
        </is>
      </c>
      <c r="F1924" t="inlineStr">
        <is>
          <t>Bergvik skog väst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4908-2024</t>
        </is>
      </c>
      <c r="B1925" s="1" t="n">
        <v>45329</v>
      </c>
      <c r="C1925" s="1" t="n">
        <v>46076</v>
      </c>
      <c r="D1925" t="inlineStr">
        <is>
          <t>VÄRMLANDS LÄN</t>
        </is>
      </c>
      <c r="E1925" t="inlineStr">
        <is>
          <t>TORSBY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1100-2025</t>
        </is>
      </c>
      <c r="B1926" s="1" t="n">
        <v>45666.64099537037</v>
      </c>
      <c r="C1926" s="1" t="n">
        <v>46076</v>
      </c>
      <c r="D1926" t="inlineStr">
        <is>
          <t>VÄRMLANDS LÄN</t>
        </is>
      </c>
      <c r="E1926" t="inlineStr">
        <is>
          <t>TORSBY</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49982-2023</t>
        </is>
      </c>
      <c r="B1927" s="1" t="n">
        <v>45215.4216087963</v>
      </c>
      <c r="C1927" s="1" t="n">
        <v>46076</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48874-2024</t>
        </is>
      </c>
      <c r="B1928" s="1" t="n">
        <v>45594</v>
      </c>
      <c r="C1928" s="1" t="n">
        <v>46076</v>
      </c>
      <c r="D1928" t="inlineStr">
        <is>
          <t>VÄRMLANDS LÄN</t>
        </is>
      </c>
      <c r="E1928" t="inlineStr">
        <is>
          <t>TORSBY</t>
        </is>
      </c>
      <c r="F1928" t="inlineStr">
        <is>
          <t>Bergvik skog väst AB</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10027-2023</t>
        </is>
      </c>
      <c r="B1929" s="1" t="n">
        <v>44979</v>
      </c>
      <c r="C1929" s="1" t="n">
        <v>46076</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26343-2023</t>
        </is>
      </c>
      <c r="B1930" s="1" t="n">
        <v>45091</v>
      </c>
      <c r="C1930" s="1" t="n">
        <v>46076</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24148-2024</t>
        </is>
      </c>
      <c r="B1931" s="1" t="n">
        <v>45456</v>
      </c>
      <c r="C1931" s="1" t="n">
        <v>46076</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34427-2023</t>
        </is>
      </c>
      <c r="B1932" s="1" t="n">
        <v>45139.61741898148</v>
      </c>
      <c r="C1932" s="1" t="n">
        <v>46076</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12933-2023</t>
        </is>
      </c>
      <c r="B1933" s="1" t="n">
        <v>45001</v>
      </c>
      <c r="C1933" s="1" t="n">
        <v>46076</v>
      </c>
      <c r="D1933" t="inlineStr">
        <is>
          <t>VÄRMLANDS LÄN</t>
        </is>
      </c>
      <c r="E1933" t="inlineStr">
        <is>
          <t>TORSBY</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23264-2022</t>
        </is>
      </c>
      <c r="B1934" s="1" t="n">
        <v>44720.40818287037</v>
      </c>
      <c r="C1934" s="1" t="n">
        <v>46076</v>
      </c>
      <c r="D1934" t="inlineStr">
        <is>
          <t>VÄRMLANDS LÄN</t>
        </is>
      </c>
      <c r="E1934" t="inlineStr">
        <is>
          <t>TORSBY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9574-2023</t>
        </is>
      </c>
      <c r="B1935" s="1" t="n">
        <v>44982.55168981481</v>
      </c>
      <c r="C1935" s="1" t="n">
        <v>46076</v>
      </c>
      <c r="D1935" t="inlineStr">
        <is>
          <t>VÄRMLANDS LÄN</t>
        </is>
      </c>
      <c r="E1935" t="inlineStr">
        <is>
          <t>TORSBY</t>
        </is>
      </c>
      <c r="F1935" t="inlineStr">
        <is>
          <t>Övriga statliga verk och myndigheter</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35777-2024</t>
        </is>
      </c>
      <c r="B1936" s="1" t="n">
        <v>45532</v>
      </c>
      <c r="C1936" s="1" t="n">
        <v>46076</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37752-2022</t>
        </is>
      </c>
      <c r="B1937" s="1" t="n">
        <v>44810</v>
      </c>
      <c r="C1937" s="1" t="n">
        <v>46076</v>
      </c>
      <c r="D1937" t="inlineStr">
        <is>
          <t>VÄRMLANDS LÄN</t>
        </is>
      </c>
      <c r="E1937" t="inlineStr">
        <is>
          <t>TORSBY</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17841-2025</t>
        </is>
      </c>
      <c r="B1938" s="1" t="n">
        <v>45758</v>
      </c>
      <c r="C1938" s="1" t="n">
        <v>46076</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41156-2023</t>
        </is>
      </c>
      <c r="B1939" s="1" t="n">
        <v>45174</v>
      </c>
      <c r="C1939" s="1" t="n">
        <v>46076</v>
      </c>
      <c r="D1939" t="inlineStr">
        <is>
          <t>VÄRMLANDS LÄN</t>
        </is>
      </c>
      <c r="E1939" t="inlineStr">
        <is>
          <t>TORSBY</t>
        </is>
      </c>
      <c r="F1939" t="inlineStr">
        <is>
          <t>Kyrkan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64672-2023</t>
        </is>
      </c>
      <c r="B1940" s="1" t="n">
        <v>45281.61913194445</v>
      </c>
      <c r="C1940" s="1" t="n">
        <v>46076</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55031-2023</t>
        </is>
      </c>
      <c r="B1941" s="1" t="n">
        <v>45237.34733796296</v>
      </c>
      <c r="C1941" s="1" t="n">
        <v>46076</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9871-2024</t>
        </is>
      </c>
      <c r="B1942" s="1" t="n">
        <v>45363</v>
      </c>
      <c r="C1942" s="1" t="n">
        <v>46076</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29043-2023</t>
        </is>
      </c>
      <c r="B1943" s="1" t="n">
        <v>45104</v>
      </c>
      <c r="C1943" s="1" t="n">
        <v>46076</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60058-2023</t>
        </is>
      </c>
      <c r="B1944" s="1" t="n">
        <v>45258.37978009259</v>
      </c>
      <c r="C1944" s="1" t="n">
        <v>46076</v>
      </c>
      <c r="D1944" t="inlineStr">
        <is>
          <t>VÄRMLANDS LÄN</t>
        </is>
      </c>
      <c r="E1944" t="inlineStr">
        <is>
          <t>TORSBY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27363-2024</t>
        </is>
      </c>
      <c r="B1945" s="1" t="n">
        <v>45473</v>
      </c>
      <c r="C1945" s="1" t="n">
        <v>46076</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8197-2025</t>
        </is>
      </c>
      <c r="B1946" s="1" t="n">
        <v>45708.4318287037</v>
      </c>
      <c r="C1946" s="1" t="n">
        <v>46076</v>
      </c>
      <c r="D1946" t="inlineStr">
        <is>
          <t>VÄRMLANDS LÄN</t>
        </is>
      </c>
      <c r="E1946" t="inlineStr">
        <is>
          <t>TORSBY</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56571-2024</t>
        </is>
      </c>
      <c r="B1947" s="1" t="n">
        <v>45625</v>
      </c>
      <c r="C1947" s="1" t="n">
        <v>46076</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33232-2024</t>
        </is>
      </c>
      <c r="B1948" s="1" t="n">
        <v>45518</v>
      </c>
      <c r="C1948" s="1" t="n">
        <v>46076</v>
      </c>
      <c r="D1948" t="inlineStr">
        <is>
          <t>VÄRMLANDS LÄN</t>
        </is>
      </c>
      <c r="E1948" t="inlineStr">
        <is>
          <t>TORSBY</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48253-2024</t>
        </is>
      </c>
      <c r="B1949" s="1" t="n">
        <v>45590</v>
      </c>
      <c r="C1949" s="1" t="n">
        <v>46076</v>
      </c>
      <c r="D1949" t="inlineStr">
        <is>
          <t>VÄRMLANDS LÄN</t>
        </is>
      </c>
      <c r="E1949" t="inlineStr">
        <is>
          <t>TORSBY</t>
        </is>
      </c>
      <c r="F1949" t="inlineStr">
        <is>
          <t>Bergvik skog väst AB</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43301-2024</t>
        </is>
      </c>
      <c r="B1950" s="1" t="n">
        <v>45568</v>
      </c>
      <c r="C1950" s="1" t="n">
        <v>46076</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24004-2024</t>
        </is>
      </c>
      <c r="B1951" s="1" t="n">
        <v>45456</v>
      </c>
      <c r="C1951" s="1" t="n">
        <v>46076</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37623-2023</t>
        </is>
      </c>
      <c r="B1952" s="1" t="n">
        <v>45159.45560185185</v>
      </c>
      <c r="C1952" s="1" t="n">
        <v>46076</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42347-2021</t>
        </is>
      </c>
      <c r="B1953" s="1" t="n">
        <v>44427</v>
      </c>
      <c r="C1953" s="1" t="n">
        <v>46076</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23044-2024</t>
        </is>
      </c>
      <c r="B1954" s="1" t="n">
        <v>45450</v>
      </c>
      <c r="C1954" s="1" t="n">
        <v>46076</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18354-2021</t>
        </is>
      </c>
      <c r="B1955" s="1" t="n">
        <v>44305.56186342592</v>
      </c>
      <c r="C1955" s="1" t="n">
        <v>46076</v>
      </c>
      <c r="D1955" t="inlineStr">
        <is>
          <t>VÄRMLANDS LÄN</t>
        </is>
      </c>
      <c r="E1955" t="inlineStr">
        <is>
          <t>TORSBY</t>
        </is>
      </c>
      <c r="F1955" t="inlineStr">
        <is>
          <t>Kommuner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17184-2023</t>
        </is>
      </c>
      <c r="B1956" s="1" t="n">
        <v>45034.69127314815</v>
      </c>
      <c r="C1956" s="1" t="n">
        <v>46076</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44424-2024</t>
        </is>
      </c>
      <c r="B1957" s="1" t="n">
        <v>45573</v>
      </c>
      <c r="C1957" s="1" t="n">
        <v>46076</v>
      </c>
      <c r="D1957" t="inlineStr">
        <is>
          <t>VÄRMLANDS LÄN</t>
        </is>
      </c>
      <c r="E1957" t="inlineStr">
        <is>
          <t>TORSBY</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33853-2021</t>
        </is>
      </c>
      <c r="B1958" s="1" t="n">
        <v>44378.61460648148</v>
      </c>
      <c r="C1958" s="1" t="n">
        <v>46076</v>
      </c>
      <c r="D1958" t="inlineStr">
        <is>
          <t>VÄRMLANDS LÄN</t>
        </is>
      </c>
      <c r="E1958" t="inlineStr">
        <is>
          <t>TORSBY</t>
        </is>
      </c>
      <c r="F1958" t="inlineStr">
        <is>
          <t>Bergvik skog väst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49936-2024</t>
        </is>
      </c>
      <c r="B1959" s="1" t="n">
        <v>45597</v>
      </c>
      <c r="C1959" s="1" t="n">
        <v>46076</v>
      </c>
      <c r="D1959" t="inlineStr">
        <is>
          <t>VÄRMLANDS LÄN</t>
        </is>
      </c>
      <c r="E1959" t="inlineStr">
        <is>
          <t>TORSBY</t>
        </is>
      </c>
      <c r="F1959" t="inlineStr">
        <is>
          <t>Bergvik skog väst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33072-2023</t>
        </is>
      </c>
      <c r="B1960" s="1" t="n">
        <v>45126</v>
      </c>
      <c r="C1960" s="1" t="n">
        <v>46076</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46076</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3670-2023</t>
        </is>
      </c>
      <c r="B1962" s="1" t="n">
        <v>44950</v>
      </c>
      <c r="C1962" s="1" t="n">
        <v>46076</v>
      </c>
      <c r="D1962" t="inlineStr">
        <is>
          <t>VÄRMLANDS LÄN</t>
        </is>
      </c>
      <c r="E1962" t="inlineStr">
        <is>
          <t>TORSBY</t>
        </is>
      </c>
      <c r="G1962" t="n">
        <v>15.4</v>
      </c>
      <c r="H1962" t="n">
        <v>0</v>
      </c>
      <c r="I1962" t="n">
        <v>0</v>
      </c>
      <c r="J1962" t="n">
        <v>0</v>
      </c>
      <c r="K1962" t="n">
        <v>0</v>
      </c>
      <c r="L1962" t="n">
        <v>0</v>
      </c>
      <c r="M1962" t="n">
        <v>0</v>
      </c>
      <c r="N1962" t="n">
        <v>0</v>
      </c>
      <c r="O1962" t="n">
        <v>0</v>
      </c>
      <c r="P1962" t="n">
        <v>0</v>
      </c>
      <c r="Q1962" t="n">
        <v>0</v>
      </c>
      <c r="R1962" s="2" t="inlineStr"/>
    </row>
    <row r="1963" ht="15" customHeight="1">
      <c r="A1963" t="inlineStr">
        <is>
          <t>A 26979-2023</t>
        </is>
      </c>
      <c r="B1963" s="1" t="n">
        <v>45091</v>
      </c>
      <c r="C1963" s="1" t="n">
        <v>46076</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22702-2023</t>
        </is>
      </c>
      <c r="B1964" s="1" t="n">
        <v>45071</v>
      </c>
      <c r="C1964" s="1" t="n">
        <v>46076</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8188-2025</t>
        </is>
      </c>
      <c r="B1965" s="1" t="n">
        <v>45708.40246527778</v>
      </c>
      <c r="C1965" s="1" t="n">
        <v>46076</v>
      </c>
      <c r="D1965" t="inlineStr">
        <is>
          <t>VÄRMLANDS LÄN</t>
        </is>
      </c>
      <c r="E1965" t="inlineStr">
        <is>
          <t>TORSBY</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10888-2023</t>
        </is>
      </c>
      <c r="B1966" s="1" t="n">
        <v>44985</v>
      </c>
      <c r="C1966" s="1" t="n">
        <v>46076</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50608-2023</t>
        </is>
      </c>
      <c r="B1967" s="1" t="n">
        <v>45217</v>
      </c>
      <c r="C1967" s="1" t="n">
        <v>46076</v>
      </c>
      <c r="D1967" t="inlineStr">
        <is>
          <t>VÄRMLANDS LÄN</t>
        </is>
      </c>
      <c r="E1967" t="inlineStr">
        <is>
          <t>TORSBY</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56716-2023</t>
        </is>
      </c>
      <c r="B1968" s="1" t="n">
        <v>45238</v>
      </c>
      <c r="C1968" s="1" t="n">
        <v>46076</v>
      </c>
      <c r="D1968" t="inlineStr">
        <is>
          <t>VÄRMLANDS LÄN</t>
        </is>
      </c>
      <c r="E1968" t="inlineStr">
        <is>
          <t>TORSBY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54556-2023</t>
        </is>
      </c>
      <c r="B1969" s="1" t="n">
        <v>45233.63445601852</v>
      </c>
      <c r="C1969" s="1" t="n">
        <v>46076</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30700-2024</t>
        </is>
      </c>
      <c r="B1970" s="1" t="n">
        <v>45496.35869212963</v>
      </c>
      <c r="C1970" s="1" t="n">
        <v>46076</v>
      </c>
      <c r="D1970" t="inlineStr">
        <is>
          <t>VÄRMLANDS LÄN</t>
        </is>
      </c>
      <c r="E1970" t="inlineStr">
        <is>
          <t>TORSBY</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30705-2024</t>
        </is>
      </c>
      <c r="B1971" s="1" t="n">
        <v>45496.38092592593</v>
      </c>
      <c r="C1971" s="1" t="n">
        <v>46076</v>
      </c>
      <c r="D1971" t="inlineStr">
        <is>
          <t>VÄRMLANDS LÄN</t>
        </is>
      </c>
      <c r="E1971" t="inlineStr">
        <is>
          <t>TORSBY</t>
        </is>
      </c>
      <c r="F1971" t="inlineStr">
        <is>
          <t>Bergvik skog väst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26686-2022</t>
        </is>
      </c>
      <c r="B1972" s="1" t="n">
        <v>44739.67833333334</v>
      </c>
      <c r="C1972" s="1" t="n">
        <v>46076</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63266-2023</t>
        </is>
      </c>
      <c r="B1973" s="1" t="n">
        <v>45273.741875</v>
      </c>
      <c r="C1973" s="1" t="n">
        <v>46076</v>
      </c>
      <c r="D1973" t="inlineStr">
        <is>
          <t>VÄRMLANDS LÄN</t>
        </is>
      </c>
      <c r="E1973" t="inlineStr">
        <is>
          <t>TORSBY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38914-2022</t>
        </is>
      </c>
      <c r="B1974" s="1" t="n">
        <v>44816.61194444444</v>
      </c>
      <c r="C1974" s="1" t="n">
        <v>46076</v>
      </c>
      <c r="D1974" t="inlineStr">
        <is>
          <t>VÄRMLANDS LÄN</t>
        </is>
      </c>
      <c r="E1974" t="inlineStr">
        <is>
          <t>TORSBY</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38882-2022</t>
        </is>
      </c>
      <c r="B1975" s="1" t="n">
        <v>44816.565625</v>
      </c>
      <c r="C1975" s="1" t="n">
        <v>46076</v>
      </c>
      <c r="D1975" t="inlineStr">
        <is>
          <t>VÄRMLANDS LÄN</t>
        </is>
      </c>
      <c r="E1975" t="inlineStr">
        <is>
          <t>TORSBY</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10895-2024</t>
        </is>
      </c>
      <c r="B1976" s="1" t="n">
        <v>45370.34901620371</v>
      </c>
      <c r="C1976" s="1" t="n">
        <v>46076</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44170-2022</t>
        </is>
      </c>
      <c r="B1977" s="1" t="n">
        <v>44838</v>
      </c>
      <c r="C1977" s="1" t="n">
        <v>46076</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7907-2025</t>
        </is>
      </c>
      <c r="B1978" s="1" t="n">
        <v>45707</v>
      </c>
      <c r="C1978" s="1" t="n">
        <v>46076</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6529-2025</t>
        </is>
      </c>
      <c r="B1979" s="1" t="n">
        <v>45699</v>
      </c>
      <c r="C1979" s="1" t="n">
        <v>46076</v>
      </c>
      <c r="D1979" t="inlineStr">
        <is>
          <t>VÄRMLANDS LÄN</t>
        </is>
      </c>
      <c r="E1979" t="inlineStr">
        <is>
          <t>TORSBY</t>
        </is>
      </c>
      <c r="F1979" t="inlineStr">
        <is>
          <t>Kommuner</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33469-2024</t>
        </is>
      </c>
      <c r="B1980" s="1" t="n">
        <v>45519.5996875</v>
      </c>
      <c r="C1980" s="1" t="n">
        <v>46076</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3071-2022</t>
        </is>
      </c>
      <c r="B1981" s="1" t="n">
        <v>44582.42109953704</v>
      </c>
      <c r="C1981" s="1" t="n">
        <v>46076</v>
      </c>
      <c r="D1981" t="inlineStr">
        <is>
          <t>VÄRMLANDS LÄN</t>
        </is>
      </c>
      <c r="E1981" t="inlineStr">
        <is>
          <t>TORSBY</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15154-2025</t>
        </is>
      </c>
      <c r="B1982" s="1" t="n">
        <v>45744.46157407408</v>
      </c>
      <c r="C1982" s="1" t="n">
        <v>46076</v>
      </c>
      <c r="D1982" t="inlineStr">
        <is>
          <t>VÄRMLANDS LÄN</t>
        </is>
      </c>
      <c r="E1982" t="inlineStr">
        <is>
          <t>TORSBY</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19307-2022</t>
        </is>
      </c>
      <c r="B1983" s="1" t="n">
        <v>44692.55497685185</v>
      </c>
      <c r="C1983" s="1" t="n">
        <v>46076</v>
      </c>
      <c r="D1983" t="inlineStr">
        <is>
          <t>VÄRMLANDS LÄN</t>
        </is>
      </c>
      <c r="E1983" t="inlineStr">
        <is>
          <t>TORSBY</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58945-2024</t>
        </is>
      </c>
      <c r="B1984" s="1" t="n">
        <v>45636</v>
      </c>
      <c r="C1984" s="1" t="n">
        <v>46076</v>
      </c>
      <c r="D1984" t="inlineStr">
        <is>
          <t>VÄRMLANDS LÄN</t>
        </is>
      </c>
      <c r="E1984" t="inlineStr">
        <is>
          <t>TORSBY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46076</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61138-2022</t>
        </is>
      </c>
      <c r="B1986" s="1" t="n">
        <v>44915</v>
      </c>
      <c r="C1986" s="1" t="n">
        <v>46076</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3904-2025</t>
        </is>
      </c>
      <c r="B1987" s="1" t="n">
        <v>45684</v>
      </c>
      <c r="C1987" s="1" t="n">
        <v>46076</v>
      </c>
      <c r="D1987" t="inlineStr">
        <is>
          <t>VÄRMLANDS LÄN</t>
        </is>
      </c>
      <c r="E1987" t="inlineStr">
        <is>
          <t>TORSBY</t>
        </is>
      </c>
      <c r="F1987" t="inlineStr">
        <is>
          <t>Övriga statliga verk och myndigheter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3951-2025</t>
        </is>
      </c>
      <c r="B1988" s="1" t="n">
        <v>45684.49333333333</v>
      </c>
      <c r="C1988" s="1" t="n">
        <v>46076</v>
      </c>
      <c r="D1988" t="inlineStr">
        <is>
          <t>VÄRMLANDS LÄN</t>
        </is>
      </c>
      <c r="E1988" t="inlineStr">
        <is>
          <t>TORSBY</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4030-2024</t>
        </is>
      </c>
      <c r="B1989" s="1" t="n">
        <v>45323</v>
      </c>
      <c r="C1989" s="1" t="n">
        <v>46076</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11235-2024</t>
        </is>
      </c>
      <c r="B1990" s="1" t="n">
        <v>45371</v>
      </c>
      <c r="C1990" s="1" t="n">
        <v>46076</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11242-2024</t>
        </is>
      </c>
      <c r="B1991" s="1" t="n">
        <v>45371</v>
      </c>
      <c r="C1991" s="1" t="n">
        <v>46076</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11253-2024</t>
        </is>
      </c>
      <c r="B1992" s="1" t="n">
        <v>45371</v>
      </c>
      <c r="C1992" s="1" t="n">
        <v>46076</v>
      </c>
      <c r="D1992" t="inlineStr">
        <is>
          <t>VÄRMLANDS LÄN</t>
        </is>
      </c>
      <c r="E1992" t="inlineStr">
        <is>
          <t>TORSBY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38991-2023</t>
        </is>
      </c>
      <c r="B1993" s="1" t="n">
        <v>45163.65929398148</v>
      </c>
      <c r="C1993" s="1" t="n">
        <v>46076</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16949-2025</t>
        </is>
      </c>
      <c r="B1994" s="1" t="n">
        <v>45755</v>
      </c>
      <c r="C1994" s="1" t="n">
        <v>46076</v>
      </c>
      <c r="D1994" t="inlineStr">
        <is>
          <t>VÄRMLANDS LÄN</t>
        </is>
      </c>
      <c r="E1994" t="inlineStr">
        <is>
          <t>TORSBY</t>
        </is>
      </c>
      <c r="F1994" t="inlineStr">
        <is>
          <t>Bergvik skog väst AB</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55436-2022</t>
        </is>
      </c>
      <c r="B1995" s="1" t="n">
        <v>44887</v>
      </c>
      <c r="C1995" s="1" t="n">
        <v>46076</v>
      </c>
      <c r="D1995" t="inlineStr">
        <is>
          <t>VÄRMLANDS LÄN</t>
        </is>
      </c>
      <c r="E1995" t="inlineStr">
        <is>
          <t>TORSBY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1911-2022</t>
        </is>
      </c>
      <c r="B1996" s="1" t="n">
        <v>44575</v>
      </c>
      <c r="C1996" s="1" t="n">
        <v>46076</v>
      </c>
      <c r="D1996" t="inlineStr">
        <is>
          <t>VÄRMLANDS LÄN</t>
        </is>
      </c>
      <c r="E1996" t="inlineStr">
        <is>
          <t>TORSBY</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53921-2023</t>
        </is>
      </c>
      <c r="B1997" s="1" t="n">
        <v>45231</v>
      </c>
      <c r="C1997" s="1" t="n">
        <v>46076</v>
      </c>
      <c r="D1997" t="inlineStr">
        <is>
          <t>VÄRMLANDS LÄN</t>
        </is>
      </c>
      <c r="E1997" t="inlineStr">
        <is>
          <t>TORSBY</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3667-2023</t>
        </is>
      </c>
      <c r="B1998" s="1" t="n">
        <v>44950</v>
      </c>
      <c r="C1998" s="1" t="n">
        <v>46076</v>
      </c>
      <c r="D1998" t="inlineStr">
        <is>
          <t>VÄRMLANDS LÄN</t>
        </is>
      </c>
      <c r="E1998" t="inlineStr">
        <is>
          <t>TORSBY</t>
        </is>
      </c>
      <c r="G1998" t="n">
        <v>21.2</v>
      </c>
      <c r="H1998" t="n">
        <v>0</v>
      </c>
      <c r="I1998" t="n">
        <v>0</v>
      </c>
      <c r="J1998" t="n">
        <v>0</v>
      </c>
      <c r="K1998" t="n">
        <v>0</v>
      </c>
      <c r="L1998" t="n">
        <v>0</v>
      </c>
      <c r="M1998" t="n">
        <v>0</v>
      </c>
      <c r="N1998" t="n">
        <v>0</v>
      </c>
      <c r="O1998" t="n">
        <v>0</v>
      </c>
      <c r="P1998" t="n">
        <v>0</v>
      </c>
      <c r="Q1998" t="n">
        <v>0</v>
      </c>
      <c r="R1998" s="2" t="inlineStr"/>
    </row>
    <row r="1999" ht="15" customHeight="1">
      <c r="A1999" t="inlineStr">
        <is>
          <t>A 4342-2025</t>
        </is>
      </c>
      <c r="B1999" s="1" t="n">
        <v>45685</v>
      </c>
      <c r="C1999" s="1" t="n">
        <v>46076</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45812-2024</t>
        </is>
      </c>
      <c r="B2000" s="1" t="n">
        <v>45579</v>
      </c>
      <c r="C2000" s="1" t="n">
        <v>46076</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49814-2022</t>
        </is>
      </c>
      <c r="B2001" s="1" t="n">
        <v>44859</v>
      </c>
      <c r="C2001" s="1" t="n">
        <v>46076</v>
      </c>
      <c r="D2001" t="inlineStr">
        <is>
          <t>VÄRMLANDS LÄN</t>
        </is>
      </c>
      <c r="E2001" t="inlineStr">
        <is>
          <t>TORSBY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40541-2024</t>
        </is>
      </c>
      <c r="B2002" s="1" t="n">
        <v>45555.62736111111</v>
      </c>
      <c r="C2002" s="1" t="n">
        <v>46076</v>
      </c>
      <c r="D2002" t="inlineStr">
        <is>
          <t>VÄRMLANDS LÄN</t>
        </is>
      </c>
      <c r="E2002" t="inlineStr">
        <is>
          <t>TORSBY</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234-2024</t>
        </is>
      </c>
      <c r="B2003" s="1" t="n">
        <v>45294.8253587963</v>
      </c>
      <c r="C2003" s="1" t="n">
        <v>46076</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236-2024</t>
        </is>
      </c>
      <c r="B2004" s="1" t="n">
        <v>45294.85927083333</v>
      </c>
      <c r="C2004" s="1" t="n">
        <v>46076</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30104-2023</t>
        </is>
      </c>
      <c r="B2005" s="1" t="n">
        <v>45110</v>
      </c>
      <c r="C2005" s="1" t="n">
        <v>46076</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1839-2022</t>
        </is>
      </c>
      <c r="B2006" s="1" t="n">
        <v>44574</v>
      </c>
      <c r="C2006" s="1" t="n">
        <v>46076</v>
      </c>
      <c r="D2006" t="inlineStr">
        <is>
          <t>VÄRMLANDS LÄN</t>
        </is>
      </c>
      <c r="E2006" t="inlineStr">
        <is>
          <t>TORSBY</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21465-2022</t>
        </is>
      </c>
      <c r="B2007" s="1" t="n">
        <v>44706.38893518518</v>
      </c>
      <c r="C2007" s="1" t="n">
        <v>46076</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21078-2023</t>
        </is>
      </c>
      <c r="B2008" s="1" t="n">
        <v>45061</v>
      </c>
      <c r="C2008" s="1" t="n">
        <v>46076</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36718-2024</t>
        </is>
      </c>
      <c r="B2009" s="1" t="n">
        <v>45537</v>
      </c>
      <c r="C2009" s="1" t="n">
        <v>46076</v>
      </c>
      <c r="D2009" t="inlineStr">
        <is>
          <t>VÄRMLANDS LÄN</t>
        </is>
      </c>
      <c r="E2009" t="inlineStr">
        <is>
          <t>TORSBY</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15019-2025</t>
        </is>
      </c>
      <c r="B2010" s="1" t="n">
        <v>45743.63811342593</v>
      </c>
      <c r="C2010" s="1" t="n">
        <v>46076</v>
      </c>
      <c r="D2010" t="inlineStr">
        <is>
          <t>VÄRMLANDS LÄN</t>
        </is>
      </c>
      <c r="E2010" t="inlineStr">
        <is>
          <t>TORSBY</t>
        </is>
      </c>
      <c r="F2010" t="inlineStr">
        <is>
          <t>Övriga statliga verk och myndigheter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46076</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10608-2022</t>
        </is>
      </c>
      <c r="B2012" s="1" t="n">
        <v>44624</v>
      </c>
      <c r="C2012" s="1" t="n">
        <v>46076</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33429-2024</t>
        </is>
      </c>
      <c r="B2013" s="1" t="n">
        <v>45519.52792824074</v>
      </c>
      <c r="C2013" s="1" t="n">
        <v>46076</v>
      </c>
      <c r="D2013" t="inlineStr">
        <is>
          <t>VÄRMLANDS LÄN</t>
        </is>
      </c>
      <c r="E2013" t="inlineStr">
        <is>
          <t>TORSBY</t>
        </is>
      </c>
      <c r="F2013" t="inlineStr">
        <is>
          <t>Bergvik skog väst AB</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61073-2024</t>
        </is>
      </c>
      <c r="B2014" s="1" t="n">
        <v>45645.50665509259</v>
      </c>
      <c r="C2014" s="1" t="n">
        <v>46076</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1997-2025</t>
        </is>
      </c>
      <c r="B2015" s="1" t="n">
        <v>45672.44431712963</v>
      </c>
      <c r="C2015" s="1" t="n">
        <v>46076</v>
      </c>
      <c r="D2015" t="inlineStr">
        <is>
          <t>VÄRMLANDS LÄN</t>
        </is>
      </c>
      <c r="E2015" t="inlineStr">
        <is>
          <t>TORSBY</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25932-2024</t>
        </is>
      </c>
      <c r="B2016" s="1" t="n">
        <v>45467.62097222222</v>
      </c>
      <c r="C2016" s="1" t="n">
        <v>46076</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48185-2024</t>
        </is>
      </c>
      <c r="B2017" s="1" t="n">
        <v>45589.90284722222</v>
      </c>
      <c r="C2017" s="1" t="n">
        <v>46076</v>
      </c>
      <c r="D2017" t="inlineStr">
        <is>
          <t>VÄRMLANDS LÄN</t>
        </is>
      </c>
      <c r="E2017" t="inlineStr">
        <is>
          <t>TORSBY</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38541-2023</t>
        </is>
      </c>
      <c r="B2018" s="1" t="n">
        <v>45162</v>
      </c>
      <c r="C2018" s="1" t="n">
        <v>46076</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19878-2025</t>
        </is>
      </c>
      <c r="B2019" s="1" t="n">
        <v>45771.55361111111</v>
      </c>
      <c r="C2019" s="1" t="n">
        <v>46076</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2616-2025</t>
        </is>
      </c>
      <c r="B2020" s="1" t="n">
        <v>45675</v>
      </c>
      <c r="C2020" s="1" t="n">
        <v>46076</v>
      </c>
      <c r="D2020" t="inlineStr">
        <is>
          <t>VÄRMLANDS LÄN</t>
        </is>
      </c>
      <c r="E2020" t="inlineStr">
        <is>
          <t>TORSBY</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14026-2025</t>
        </is>
      </c>
      <c r="B2021" s="1" t="n">
        <v>45740.35003472222</v>
      </c>
      <c r="C2021" s="1" t="n">
        <v>46076</v>
      </c>
      <c r="D2021" t="inlineStr">
        <is>
          <t>VÄRMLANDS LÄN</t>
        </is>
      </c>
      <c r="E2021" t="inlineStr">
        <is>
          <t>TORSBY</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10579-2021</t>
        </is>
      </c>
      <c r="B2022" s="1" t="n">
        <v>44257</v>
      </c>
      <c r="C2022" s="1" t="n">
        <v>46076</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32747-2021</t>
        </is>
      </c>
      <c r="B2023" s="1" t="n">
        <v>44375</v>
      </c>
      <c r="C2023" s="1" t="n">
        <v>46076</v>
      </c>
      <c r="D2023" t="inlineStr">
        <is>
          <t>VÄRMLANDS LÄN</t>
        </is>
      </c>
      <c r="E2023" t="inlineStr">
        <is>
          <t>TORSBY</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9286-2025</t>
        </is>
      </c>
      <c r="B2024" s="1" t="n">
        <v>45714</v>
      </c>
      <c r="C2024" s="1" t="n">
        <v>46076</v>
      </c>
      <c r="D2024" t="inlineStr">
        <is>
          <t>VÄRMLANDS LÄN</t>
        </is>
      </c>
      <c r="E2024" t="inlineStr">
        <is>
          <t>TORSBY</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51505-2021</t>
        </is>
      </c>
      <c r="B2025" s="1" t="n">
        <v>44460</v>
      </c>
      <c r="C2025" s="1" t="n">
        <v>46076</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15052-2024</t>
        </is>
      </c>
      <c r="B2026" s="1" t="n">
        <v>45399.52613425926</v>
      </c>
      <c r="C2026" s="1" t="n">
        <v>46076</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19787-2025</t>
        </is>
      </c>
      <c r="B2027" s="1" t="n">
        <v>45771.4408912037</v>
      </c>
      <c r="C2027" s="1" t="n">
        <v>46076</v>
      </c>
      <c r="D2027" t="inlineStr">
        <is>
          <t>VÄRMLANDS LÄN</t>
        </is>
      </c>
      <c r="E2027" t="inlineStr">
        <is>
          <t>TORSBY</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49298-2024</t>
        </is>
      </c>
      <c r="B2028" s="1" t="n">
        <v>45595.54357638889</v>
      </c>
      <c r="C2028" s="1" t="n">
        <v>46076</v>
      </c>
      <c r="D2028" t="inlineStr">
        <is>
          <t>VÄRMLANDS LÄN</t>
        </is>
      </c>
      <c r="E2028" t="inlineStr">
        <is>
          <t>TORSBY</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1040-2024</t>
        </is>
      </c>
      <c r="B2029" s="1" t="n">
        <v>45301</v>
      </c>
      <c r="C2029" s="1" t="n">
        <v>46076</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14303-2023</t>
        </is>
      </c>
      <c r="B2030" s="1" t="n">
        <v>45011.75886574074</v>
      </c>
      <c r="C2030" s="1" t="n">
        <v>46076</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21828-2024</t>
        </is>
      </c>
      <c r="B2031" s="1" t="n">
        <v>45442</v>
      </c>
      <c r="C2031" s="1" t="n">
        <v>46076</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17153-2025</t>
        </is>
      </c>
      <c r="B2032" s="1" t="n">
        <v>45756</v>
      </c>
      <c r="C2032" s="1" t="n">
        <v>46076</v>
      </c>
      <c r="D2032" t="inlineStr">
        <is>
          <t>VÄRMLANDS LÄN</t>
        </is>
      </c>
      <c r="E2032" t="inlineStr">
        <is>
          <t>TORSBY</t>
        </is>
      </c>
      <c r="F2032" t="inlineStr">
        <is>
          <t>Bergvik skog väst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41671-2021</t>
        </is>
      </c>
      <c r="B2033" s="1" t="n">
        <v>44425</v>
      </c>
      <c r="C2033" s="1" t="n">
        <v>46076</v>
      </c>
      <c r="D2033" t="inlineStr">
        <is>
          <t>VÄRMLANDS LÄN</t>
        </is>
      </c>
      <c r="E2033" t="inlineStr">
        <is>
          <t>TORSBY</t>
        </is>
      </c>
      <c r="F2033" t="inlineStr">
        <is>
          <t>Övriga Aktiebolag</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13191-2025</t>
        </is>
      </c>
      <c r="B2034" s="1" t="n">
        <v>45735.40501157408</v>
      </c>
      <c r="C2034" s="1" t="n">
        <v>46076</v>
      </c>
      <c r="D2034" t="inlineStr">
        <is>
          <t>VÄRMLANDS LÄN</t>
        </is>
      </c>
      <c r="E2034" t="inlineStr">
        <is>
          <t>TORSBY</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33133-2024</t>
        </is>
      </c>
      <c r="B2035" s="1" t="n">
        <v>45518.31722222222</v>
      </c>
      <c r="C2035" s="1" t="n">
        <v>46076</v>
      </c>
      <c r="D2035" t="inlineStr">
        <is>
          <t>VÄRMLANDS LÄN</t>
        </is>
      </c>
      <c r="E2035" t="inlineStr">
        <is>
          <t>TORSBY</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14162-2025</t>
        </is>
      </c>
      <c r="B2036" s="1" t="n">
        <v>45740</v>
      </c>
      <c r="C2036" s="1" t="n">
        <v>46076</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43545-2024</t>
        </is>
      </c>
      <c r="B2037" s="1" t="n">
        <v>45569.36980324074</v>
      </c>
      <c r="C2037" s="1" t="n">
        <v>46076</v>
      </c>
      <c r="D2037" t="inlineStr">
        <is>
          <t>VÄRMLANDS LÄN</t>
        </is>
      </c>
      <c r="E2037" t="inlineStr">
        <is>
          <t>TORSBY</t>
        </is>
      </c>
      <c r="F2037" t="inlineStr">
        <is>
          <t>Bergvik skog väst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21365-2023</t>
        </is>
      </c>
      <c r="B2038" s="1" t="n">
        <v>45063.26761574074</v>
      </c>
      <c r="C2038" s="1" t="n">
        <v>46076</v>
      </c>
      <c r="D2038" t="inlineStr">
        <is>
          <t>VÄRMLANDS LÄN</t>
        </is>
      </c>
      <c r="E2038" t="inlineStr">
        <is>
          <t>TORSBY</t>
        </is>
      </c>
      <c r="F2038" t="inlineStr">
        <is>
          <t>Kyrkan</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19527-2023</t>
        </is>
      </c>
      <c r="B2039" s="1" t="n">
        <v>45050</v>
      </c>
      <c r="C2039" s="1" t="n">
        <v>46076</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4236-2023</t>
        </is>
      </c>
      <c r="B2040" s="1" t="n">
        <v>44953.48950231481</v>
      </c>
      <c r="C2040" s="1" t="n">
        <v>46076</v>
      </c>
      <c r="D2040" t="inlineStr">
        <is>
          <t>VÄRMLANDS LÄN</t>
        </is>
      </c>
      <c r="E2040" t="inlineStr">
        <is>
          <t>TORSBY</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4250-2023</t>
        </is>
      </c>
      <c r="B2041" s="1" t="n">
        <v>44953.51747685186</v>
      </c>
      <c r="C2041" s="1" t="n">
        <v>46076</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29256-2023</t>
        </is>
      </c>
      <c r="B2042" s="1" t="n">
        <v>45105.65310185185</v>
      </c>
      <c r="C2042" s="1" t="n">
        <v>46076</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29990-2022</t>
        </is>
      </c>
      <c r="B2043" s="1" t="n">
        <v>44756.73530092592</v>
      </c>
      <c r="C2043" s="1" t="n">
        <v>46076</v>
      </c>
      <c r="D2043" t="inlineStr">
        <is>
          <t>VÄRMLANDS LÄN</t>
        </is>
      </c>
      <c r="E2043" t="inlineStr">
        <is>
          <t>TORSBY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18308-2024</t>
        </is>
      </c>
      <c r="B2044" s="1" t="n">
        <v>45422</v>
      </c>
      <c r="C2044" s="1" t="n">
        <v>46076</v>
      </c>
      <c r="D2044" t="inlineStr">
        <is>
          <t>VÄRMLANDS LÄN</t>
        </is>
      </c>
      <c r="E2044" t="inlineStr">
        <is>
          <t>TORSBY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25355-2024</t>
        </is>
      </c>
      <c r="B2045" s="1" t="n">
        <v>45462.92868055555</v>
      </c>
      <c r="C2045" s="1" t="n">
        <v>46076</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12701-2024</t>
        </is>
      </c>
      <c r="B2046" s="1" t="n">
        <v>45384</v>
      </c>
      <c r="C2046" s="1" t="n">
        <v>46076</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39781-2022</t>
        </is>
      </c>
      <c r="B2047" s="1" t="n">
        <v>44819</v>
      </c>
      <c r="C2047" s="1" t="n">
        <v>46076</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6013-2024</t>
        </is>
      </c>
      <c r="B2048" s="1" t="n">
        <v>45336.60763888889</v>
      </c>
      <c r="C2048" s="1" t="n">
        <v>46076</v>
      </c>
      <c r="D2048" t="inlineStr">
        <is>
          <t>VÄRMLANDS LÄN</t>
        </is>
      </c>
      <c r="E2048" t="inlineStr">
        <is>
          <t>TORSBY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43289-2022</t>
        </is>
      </c>
      <c r="B2049" s="1" t="n">
        <v>44834.51623842592</v>
      </c>
      <c r="C2049" s="1" t="n">
        <v>46076</v>
      </c>
      <c r="D2049" t="inlineStr">
        <is>
          <t>VÄRMLANDS LÄN</t>
        </is>
      </c>
      <c r="E2049" t="inlineStr">
        <is>
          <t>TORSBY</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4707-2023</t>
        </is>
      </c>
      <c r="B2050" s="1" t="n">
        <v>44957</v>
      </c>
      <c r="C2050" s="1" t="n">
        <v>46076</v>
      </c>
      <c r="D2050" t="inlineStr">
        <is>
          <t>VÄRMLANDS LÄN</t>
        </is>
      </c>
      <c r="E2050" t="inlineStr">
        <is>
          <t>TORSBY</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35553-2023</t>
        </is>
      </c>
      <c r="B2051" s="1" t="n">
        <v>45147</v>
      </c>
      <c r="C2051" s="1" t="n">
        <v>46076</v>
      </c>
      <c r="D2051" t="inlineStr">
        <is>
          <t>VÄRMLANDS LÄN</t>
        </is>
      </c>
      <c r="E2051" t="inlineStr">
        <is>
          <t>TORSBY</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60272-2024</t>
        </is>
      </c>
      <c r="B2052" s="1" t="n">
        <v>45642</v>
      </c>
      <c r="C2052" s="1" t="n">
        <v>46076</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37075-2021</t>
        </is>
      </c>
      <c r="B2053" s="1" t="n">
        <v>44394</v>
      </c>
      <c r="C2053" s="1" t="n">
        <v>46076</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22565-2024</t>
        </is>
      </c>
      <c r="B2054" s="1" t="n">
        <v>45447</v>
      </c>
      <c r="C2054" s="1" t="n">
        <v>46076</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53460-2024</t>
        </is>
      </c>
      <c r="B2055" s="1" t="n">
        <v>45611</v>
      </c>
      <c r="C2055" s="1" t="n">
        <v>46076</v>
      </c>
      <c r="D2055" t="inlineStr">
        <is>
          <t>VÄRMLANDS LÄN</t>
        </is>
      </c>
      <c r="E2055" t="inlineStr">
        <is>
          <t>TORSBY</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46914-2024</t>
        </is>
      </c>
      <c r="B2056" s="1" t="n">
        <v>45583.7577662037</v>
      </c>
      <c r="C2056" s="1" t="n">
        <v>46076</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35057-2023</t>
        </is>
      </c>
      <c r="B2057" s="1" t="n">
        <v>45145.3909375</v>
      </c>
      <c r="C2057" s="1" t="n">
        <v>46076</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8012-2023</t>
        </is>
      </c>
      <c r="B2058" s="1" t="n">
        <v>44973</v>
      </c>
      <c r="C2058" s="1" t="n">
        <v>46076</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27446-2021</t>
        </is>
      </c>
      <c r="B2059" s="1" t="n">
        <v>44351</v>
      </c>
      <c r="C2059" s="1" t="n">
        <v>46076</v>
      </c>
      <c r="D2059" t="inlineStr">
        <is>
          <t>VÄRMLANDS LÄN</t>
        </is>
      </c>
      <c r="E2059" t="inlineStr">
        <is>
          <t>TORSBY</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28559-2021</t>
        </is>
      </c>
      <c r="B2060" s="1" t="n">
        <v>44356</v>
      </c>
      <c r="C2060" s="1" t="n">
        <v>46076</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21757-2024</t>
        </is>
      </c>
      <c r="B2061" s="1" t="n">
        <v>45442</v>
      </c>
      <c r="C2061" s="1" t="n">
        <v>46076</v>
      </c>
      <c r="D2061" t="inlineStr">
        <is>
          <t>VÄRMLANDS LÄN</t>
        </is>
      </c>
      <c r="E2061" t="inlineStr">
        <is>
          <t>TORSBY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34430-2023</t>
        </is>
      </c>
      <c r="B2062" s="1" t="n">
        <v>45139.62216435185</v>
      </c>
      <c r="C2062" s="1" t="n">
        <v>46076</v>
      </c>
      <c r="D2062" t="inlineStr">
        <is>
          <t>VÄRMLANDS LÄN</t>
        </is>
      </c>
      <c r="E2062" t="inlineStr">
        <is>
          <t>TORSBY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43988-2024</t>
        </is>
      </c>
      <c r="B2063" s="1" t="n">
        <v>45572</v>
      </c>
      <c r="C2063" s="1" t="n">
        <v>46076</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18331-2025</t>
        </is>
      </c>
      <c r="B2064" s="1" t="n">
        <v>45762</v>
      </c>
      <c r="C2064" s="1" t="n">
        <v>46076</v>
      </c>
      <c r="D2064" t="inlineStr">
        <is>
          <t>VÄRMLANDS LÄN</t>
        </is>
      </c>
      <c r="E2064" t="inlineStr">
        <is>
          <t>TORSBY</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47271-2021</t>
        </is>
      </c>
      <c r="B2065" s="1" t="n">
        <v>44447</v>
      </c>
      <c r="C2065" s="1" t="n">
        <v>46076</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50680-2023</t>
        </is>
      </c>
      <c r="B2066" s="1" t="n">
        <v>45217.5165625</v>
      </c>
      <c r="C2066" s="1" t="n">
        <v>46076</v>
      </c>
      <c r="D2066" t="inlineStr">
        <is>
          <t>VÄRMLANDS LÄN</t>
        </is>
      </c>
      <c r="E2066" t="inlineStr">
        <is>
          <t>TORSBY</t>
        </is>
      </c>
      <c r="F2066" t="inlineStr">
        <is>
          <t>Bergvik skog väst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21409-2023</t>
        </is>
      </c>
      <c r="B2067" s="1" t="n">
        <v>45063</v>
      </c>
      <c r="C2067" s="1" t="n">
        <v>46076</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15939-2021</t>
        </is>
      </c>
      <c r="B2068" s="1" t="n">
        <v>44287</v>
      </c>
      <c r="C2068" s="1" t="n">
        <v>46076</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14025-2025</t>
        </is>
      </c>
      <c r="B2069" s="1" t="n">
        <v>45740</v>
      </c>
      <c r="C2069" s="1" t="n">
        <v>46076</v>
      </c>
      <c r="D2069" t="inlineStr">
        <is>
          <t>VÄRMLANDS LÄN</t>
        </is>
      </c>
      <c r="E2069" t="inlineStr">
        <is>
          <t>TORSBY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42945-2024</t>
        </is>
      </c>
      <c r="B2070" s="1" t="n">
        <v>45567</v>
      </c>
      <c r="C2070" s="1" t="n">
        <v>46076</v>
      </c>
      <c r="D2070" t="inlineStr">
        <is>
          <t>VÄRMLANDS LÄN</t>
        </is>
      </c>
      <c r="E2070" t="inlineStr">
        <is>
          <t>TORSBY</t>
        </is>
      </c>
      <c r="F2070" t="inlineStr">
        <is>
          <t>Bergvik skog väst AB</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20725-2024</t>
        </is>
      </c>
      <c r="B2071" s="1" t="n">
        <v>45436.65284722222</v>
      </c>
      <c r="C2071" s="1" t="n">
        <v>46076</v>
      </c>
      <c r="D2071" t="inlineStr">
        <is>
          <t>VÄRMLANDS LÄN</t>
        </is>
      </c>
      <c r="E2071" t="inlineStr">
        <is>
          <t>TORSBY</t>
        </is>
      </c>
      <c r="F2071" t="inlineStr">
        <is>
          <t>Bergvik skog väst AB</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20461-2025</t>
        </is>
      </c>
      <c r="B2072" s="1" t="n">
        <v>45775.53158564815</v>
      </c>
      <c r="C2072" s="1" t="n">
        <v>46076</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11153-2024</t>
        </is>
      </c>
      <c r="B2073" s="1" t="n">
        <v>45371.4759837963</v>
      </c>
      <c r="C2073" s="1" t="n">
        <v>46076</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11211-2024</t>
        </is>
      </c>
      <c r="B2074" s="1" t="n">
        <v>45371</v>
      </c>
      <c r="C2074" s="1" t="n">
        <v>46076</v>
      </c>
      <c r="D2074" t="inlineStr">
        <is>
          <t>VÄRMLANDS LÄN</t>
        </is>
      </c>
      <c r="E2074" t="inlineStr">
        <is>
          <t>TORSBY</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31547-2023</t>
        </is>
      </c>
      <c r="B2075" s="1" t="n">
        <v>45117</v>
      </c>
      <c r="C2075" s="1" t="n">
        <v>46076</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22301-2023</t>
        </is>
      </c>
      <c r="B2076" s="1" t="n">
        <v>45070</v>
      </c>
      <c r="C2076" s="1" t="n">
        <v>46076</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14709-2023</t>
        </is>
      </c>
      <c r="B2077" s="1" t="n">
        <v>45014.41900462963</v>
      </c>
      <c r="C2077" s="1" t="n">
        <v>46076</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19489-2022</t>
        </is>
      </c>
      <c r="B2078" s="1" t="n">
        <v>44693</v>
      </c>
      <c r="C2078" s="1" t="n">
        <v>46076</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36558-2024</t>
        </is>
      </c>
      <c r="B2079" s="1" t="n">
        <v>45537</v>
      </c>
      <c r="C2079" s="1" t="n">
        <v>46076</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11581-2025</t>
        </is>
      </c>
      <c r="B2080" s="1" t="n">
        <v>45727</v>
      </c>
      <c r="C2080" s="1" t="n">
        <v>46076</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23073-2023</t>
        </is>
      </c>
      <c r="B2081" s="1" t="n">
        <v>45070</v>
      </c>
      <c r="C2081" s="1" t="n">
        <v>46076</v>
      </c>
      <c r="D2081" t="inlineStr">
        <is>
          <t>VÄRMLANDS LÄN</t>
        </is>
      </c>
      <c r="E2081" t="inlineStr">
        <is>
          <t>TORSBY</t>
        </is>
      </c>
      <c r="G2081" t="n">
        <v>15.1</v>
      </c>
      <c r="H2081" t="n">
        <v>0</v>
      </c>
      <c r="I2081" t="n">
        <v>0</v>
      </c>
      <c r="J2081" t="n">
        <v>0</v>
      </c>
      <c r="K2081" t="n">
        <v>0</v>
      </c>
      <c r="L2081" t="n">
        <v>0</v>
      </c>
      <c r="M2081" t="n">
        <v>0</v>
      </c>
      <c r="N2081" t="n">
        <v>0</v>
      </c>
      <c r="O2081" t="n">
        <v>0</v>
      </c>
      <c r="P2081" t="n">
        <v>0</v>
      </c>
      <c r="Q2081" t="n">
        <v>0</v>
      </c>
      <c r="R2081" s="2" t="inlineStr"/>
    </row>
    <row r="2082" ht="15" customHeight="1">
      <c r="A2082" t="inlineStr">
        <is>
          <t>A 63083-2023</t>
        </is>
      </c>
      <c r="B2082" s="1" t="n">
        <v>45273.348125</v>
      </c>
      <c r="C2082" s="1" t="n">
        <v>46076</v>
      </c>
      <c r="D2082" t="inlineStr">
        <is>
          <t>VÄRMLANDS LÄN</t>
        </is>
      </c>
      <c r="E2082" t="inlineStr">
        <is>
          <t>TORSBY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54004-2024</t>
        </is>
      </c>
      <c r="B2083" s="1" t="n">
        <v>45616.36659722222</v>
      </c>
      <c r="C2083" s="1" t="n">
        <v>46076</v>
      </c>
      <c r="D2083" t="inlineStr">
        <is>
          <t>VÄRMLANDS LÄN</t>
        </is>
      </c>
      <c r="E2083" t="inlineStr">
        <is>
          <t>TORSBY</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33862-2024</t>
        </is>
      </c>
      <c r="B2084" s="1" t="n">
        <v>45520.69163194444</v>
      </c>
      <c r="C2084" s="1" t="n">
        <v>46076</v>
      </c>
      <c r="D2084" t="inlineStr">
        <is>
          <t>VÄRMLANDS LÄN</t>
        </is>
      </c>
      <c r="E2084" t="inlineStr">
        <is>
          <t>TORSBY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57536-2024</t>
        </is>
      </c>
      <c r="B2085" s="1" t="n">
        <v>45630.43023148148</v>
      </c>
      <c r="C2085" s="1" t="n">
        <v>46076</v>
      </c>
      <c r="D2085" t="inlineStr">
        <is>
          <t>VÄRMLANDS LÄN</t>
        </is>
      </c>
      <c r="E2085" t="inlineStr">
        <is>
          <t>TORSBY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26086-2024</t>
        </is>
      </c>
      <c r="B2086" s="1" t="n">
        <v>45468</v>
      </c>
      <c r="C2086" s="1" t="n">
        <v>46076</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22536-2024</t>
        </is>
      </c>
      <c r="B2087" s="1" t="n">
        <v>45447</v>
      </c>
      <c r="C2087" s="1" t="n">
        <v>46076</v>
      </c>
      <c r="D2087" t="inlineStr">
        <is>
          <t>VÄRMLANDS LÄN</t>
        </is>
      </c>
      <c r="E2087" t="inlineStr">
        <is>
          <t>TORSBY</t>
        </is>
      </c>
      <c r="G2087" t="n">
        <v>25.2</v>
      </c>
      <c r="H2087" t="n">
        <v>0</v>
      </c>
      <c r="I2087" t="n">
        <v>0</v>
      </c>
      <c r="J2087" t="n">
        <v>0</v>
      </c>
      <c r="K2087" t="n">
        <v>0</v>
      </c>
      <c r="L2087" t="n">
        <v>0</v>
      </c>
      <c r="M2087" t="n">
        <v>0</v>
      </c>
      <c r="N2087" t="n">
        <v>0</v>
      </c>
      <c r="O2087" t="n">
        <v>0</v>
      </c>
      <c r="P2087" t="n">
        <v>0</v>
      </c>
      <c r="Q2087" t="n">
        <v>0</v>
      </c>
      <c r="R2087" s="2" t="inlineStr"/>
    </row>
    <row r="2088" ht="15" customHeight="1">
      <c r="A2088" t="inlineStr">
        <is>
          <t>A 62574-2022</t>
        </is>
      </c>
      <c r="B2088" s="1" t="n">
        <v>44924.85943287037</v>
      </c>
      <c r="C2088" s="1" t="n">
        <v>46076</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59005-2024</t>
        </is>
      </c>
      <c r="B2089" s="1" t="n">
        <v>45636.65234953703</v>
      </c>
      <c r="C2089" s="1" t="n">
        <v>46076</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21580-2024</t>
        </is>
      </c>
      <c r="B2090" s="1" t="n">
        <v>45441</v>
      </c>
      <c r="C2090" s="1" t="n">
        <v>46076</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45587-2023</t>
        </is>
      </c>
      <c r="B2091" s="1" t="n">
        <v>45194.62877314815</v>
      </c>
      <c r="C2091" s="1" t="n">
        <v>46076</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20393-2023</t>
        </is>
      </c>
      <c r="B2092" s="1" t="n">
        <v>45056</v>
      </c>
      <c r="C2092" s="1" t="n">
        <v>46076</v>
      </c>
      <c r="D2092" t="inlineStr">
        <is>
          <t>VÄRMLANDS LÄN</t>
        </is>
      </c>
      <c r="E2092" t="inlineStr">
        <is>
          <t>TORSBY</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14917-2023</t>
        </is>
      </c>
      <c r="B2093" s="1" t="n">
        <v>45015.39938657408</v>
      </c>
      <c r="C2093" s="1" t="n">
        <v>46076</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19614-2022</t>
        </is>
      </c>
      <c r="B2094" s="1" t="n">
        <v>44694</v>
      </c>
      <c r="C2094" s="1" t="n">
        <v>46076</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45306.48456018518</v>
      </c>
      <c r="C2095" s="1" t="n">
        <v>46076</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11842-2025</t>
        </is>
      </c>
      <c r="B2096" s="1" t="n">
        <v>45728.36950231482</v>
      </c>
      <c r="C2096" s="1" t="n">
        <v>46076</v>
      </c>
      <c r="D2096" t="inlineStr">
        <is>
          <t>VÄRMLANDS LÄN</t>
        </is>
      </c>
      <c r="E2096" t="inlineStr">
        <is>
          <t>TORSBY</t>
        </is>
      </c>
      <c r="F2096" t="inlineStr">
        <is>
          <t>Bergvik skog väst AB</t>
        </is>
      </c>
      <c r="G2096" t="n">
        <v>32.1</v>
      </c>
      <c r="H2096" t="n">
        <v>0</v>
      </c>
      <c r="I2096" t="n">
        <v>0</v>
      </c>
      <c r="J2096" t="n">
        <v>0</v>
      </c>
      <c r="K2096" t="n">
        <v>0</v>
      </c>
      <c r="L2096" t="n">
        <v>0</v>
      </c>
      <c r="M2096" t="n">
        <v>0</v>
      </c>
      <c r="N2096" t="n">
        <v>0</v>
      </c>
      <c r="O2096" t="n">
        <v>0</v>
      </c>
      <c r="P2096" t="n">
        <v>0</v>
      </c>
      <c r="Q2096" t="n">
        <v>0</v>
      </c>
      <c r="R2096" s="2" t="inlineStr"/>
    </row>
    <row r="2097" ht="15" customHeight="1">
      <c r="A2097" t="inlineStr">
        <is>
          <t>A 34968-2024</t>
        </is>
      </c>
      <c r="B2097" s="1" t="n">
        <v>45527.49986111111</v>
      </c>
      <c r="C2097" s="1" t="n">
        <v>46076</v>
      </c>
      <c r="D2097" t="inlineStr">
        <is>
          <t>VÄRMLANDS LÄN</t>
        </is>
      </c>
      <c r="E2097" t="inlineStr">
        <is>
          <t>TORSBY</t>
        </is>
      </c>
      <c r="F2097" t="inlineStr">
        <is>
          <t>Bergvik skog väst AB</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22705-2023</t>
        </is>
      </c>
      <c r="B2098" s="1" t="n">
        <v>45071</v>
      </c>
      <c r="C2098" s="1" t="n">
        <v>46076</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61206-2024</t>
        </is>
      </c>
      <c r="B2099" s="1" t="n">
        <v>45645.64626157407</v>
      </c>
      <c r="C2099" s="1" t="n">
        <v>46076</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59781-2023</t>
        </is>
      </c>
      <c r="B2100" s="1" t="n">
        <v>45257.44043981482</v>
      </c>
      <c r="C2100" s="1" t="n">
        <v>46076</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20843-2025</t>
        </is>
      </c>
      <c r="B2101" s="1" t="n">
        <v>45776.9233912037</v>
      </c>
      <c r="C2101" s="1" t="n">
        <v>46076</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20816-2025</t>
        </is>
      </c>
      <c r="B2102" s="1" t="n">
        <v>45776</v>
      </c>
      <c r="C2102" s="1" t="n">
        <v>46076</v>
      </c>
      <c r="D2102" t="inlineStr">
        <is>
          <t>VÄRMLANDS LÄN</t>
        </is>
      </c>
      <c r="E2102" t="inlineStr">
        <is>
          <t>TORSBY</t>
        </is>
      </c>
      <c r="F2102" t="inlineStr">
        <is>
          <t>Bergvik skog väst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20740-2025</t>
        </is>
      </c>
      <c r="B2103" s="1" t="n">
        <v>45776.54284722222</v>
      </c>
      <c r="C2103" s="1" t="n">
        <v>46076</v>
      </c>
      <c r="D2103" t="inlineStr">
        <is>
          <t>VÄRMLANDS LÄN</t>
        </is>
      </c>
      <c r="E2103" t="inlineStr">
        <is>
          <t>TORSBY</t>
        </is>
      </c>
      <c r="F2103" t="inlineStr">
        <is>
          <t>Bergvik skog väst AB</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20914-2025</t>
        </is>
      </c>
      <c r="B2104" s="1" t="n">
        <v>45777</v>
      </c>
      <c r="C2104" s="1" t="n">
        <v>46076</v>
      </c>
      <c r="D2104" t="inlineStr">
        <is>
          <t>VÄRMLANDS LÄN</t>
        </is>
      </c>
      <c r="E2104" t="inlineStr">
        <is>
          <t>TORSBY</t>
        </is>
      </c>
      <c r="F2104" t="inlineStr">
        <is>
          <t>Bergvik skog väst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20773-2025</t>
        </is>
      </c>
      <c r="B2105" s="1" t="n">
        <v>45776.59321759259</v>
      </c>
      <c r="C2105" s="1" t="n">
        <v>46076</v>
      </c>
      <c r="D2105" t="inlineStr">
        <is>
          <t>VÄRMLANDS LÄN</t>
        </is>
      </c>
      <c r="E2105" t="inlineStr">
        <is>
          <t>TORSBY</t>
        </is>
      </c>
      <c r="F2105" t="inlineStr">
        <is>
          <t>Bergvik skog väst AB</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21274-2025</t>
        </is>
      </c>
      <c r="B2106" s="1" t="n">
        <v>45779.62877314815</v>
      </c>
      <c r="C2106" s="1" t="n">
        <v>46076</v>
      </c>
      <c r="D2106" t="inlineStr">
        <is>
          <t>VÄRMLANDS LÄN</t>
        </is>
      </c>
      <c r="E2106" t="inlineStr">
        <is>
          <t>TORSBY</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21462-2025</t>
        </is>
      </c>
      <c r="B2107" s="1" t="n">
        <v>45782.56770833334</v>
      </c>
      <c r="C2107" s="1" t="n">
        <v>46076</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52057-2024</t>
        </is>
      </c>
      <c r="B2108" s="1" t="n">
        <v>45608</v>
      </c>
      <c r="C2108" s="1" t="n">
        <v>46076</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21808-2025</t>
        </is>
      </c>
      <c r="B2109" s="1" t="n">
        <v>45783.70846064815</v>
      </c>
      <c r="C2109" s="1" t="n">
        <v>46076</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21759-2025</t>
        </is>
      </c>
      <c r="B2110" s="1" t="n">
        <v>45783</v>
      </c>
      <c r="C2110" s="1" t="n">
        <v>46076</v>
      </c>
      <c r="D2110" t="inlineStr">
        <is>
          <t>VÄRMLANDS LÄN</t>
        </is>
      </c>
      <c r="E2110" t="inlineStr">
        <is>
          <t>TORSBY</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21324-2025</t>
        </is>
      </c>
      <c r="B2111" s="1" t="n">
        <v>45782.34947916667</v>
      </c>
      <c r="C2111" s="1" t="n">
        <v>46076</v>
      </c>
      <c r="D2111" t="inlineStr">
        <is>
          <t>VÄRMLANDS LÄN</t>
        </is>
      </c>
      <c r="E2111" t="inlineStr">
        <is>
          <t>TORSBY</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21576-2025</t>
        </is>
      </c>
      <c r="B2112" s="1" t="n">
        <v>45782.86440972222</v>
      </c>
      <c r="C2112" s="1" t="n">
        <v>46076</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41633-2021</t>
        </is>
      </c>
      <c r="B2113" s="1" t="n">
        <v>44425</v>
      </c>
      <c r="C2113" s="1" t="n">
        <v>46076</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25313-2024</t>
        </is>
      </c>
      <c r="B2114" s="1" t="n">
        <v>45462</v>
      </c>
      <c r="C2114" s="1" t="n">
        <v>46076</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33495-2024</t>
        </is>
      </c>
      <c r="B2115" s="1" t="n">
        <v>45519</v>
      </c>
      <c r="C2115" s="1" t="n">
        <v>46076</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33085-2024</t>
        </is>
      </c>
      <c r="B2116" s="1" t="n">
        <v>45517.67784722222</v>
      </c>
      <c r="C2116" s="1" t="n">
        <v>46076</v>
      </c>
      <c r="D2116" t="inlineStr">
        <is>
          <t>VÄRMLANDS LÄN</t>
        </is>
      </c>
      <c r="E2116" t="inlineStr">
        <is>
          <t>TORSBY</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6448-2025</t>
        </is>
      </c>
      <c r="B2117" s="1" t="n">
        <v>45699</v>
      </c>
      <c r="C2117" s="1" t="n">
        <v>46076</v>
      </c>
      <c r="D2117" t="inlineStr">
        <is>
          <t>VÄRMLANDS LÄN</t>
        </is>
      </c>
      <c r="E2117" t="inlineStr">
        <is>
          <t>TORSBY</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21744-2024</t>
        </is>
      </c>
      <c r="B2118" s="1" t="n">
        <v>45442</v>
      </c>
      <c r="C2118" s="1" t="n">
        <v>46076</v>
      </c>
      <c r="D2118" t="inlineStr">
        <is>
          <t>VÄRMLANDS LÄN</t>
        </is>
      </c>
      <c r="E2118" t="inlineStr">
        <is>
          <t>TORSBY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20170-2021</t>
        </is>
      </c>
      <c r="B2119" s="1" t="n">
        <v>44312</v>
      </c>
      <c r="C2119" s="1" t="n">
        <v>46076</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22090-2025</t>
        </is>
      </c>
      <c r="B2120" s="1" t="n">
        <v>45785.45212962963</v>
      </c>
      <c r="C2120" s="1" t="n">
        <v>46076</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21963-2025</t>
        </is>
      </c>
      <c r="B2121" s="1" t="n">
        <v>45784</v>
      </c>
      <c r="C2121" s="1" t="n">
        <v>46076</v>
      </c>
      <c r="D2121" t="inlineStr">
        <is>
          <t>VÄRMLANDS LÄN</t>
        </is>
      </c>
      <c r="E2121" t="inlineStr">
        <is>
          <t>TORSBY</t>
        </is>
      </c>
      <c r="F2121" t="inlineStr">
        <is>
          <t>Bergvik skog väst AB</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21974-2025</t>
        </is>
      </c>
      <c r="B2122" s="1" t="n">
        <v>45784.63689814815</v>
      </c>
      <c r="C2122" s="1" t="n">
        <v>46076</v>
      </c>
      <c r="D2122" t="inlineStr">
        <is>
          <t>VÄRMLANDS LÄN</t>
        </is>
      </c>
      <c r="E2122" t="inlineStr">
        <is>
          <t>TORSBY</t>
        </is>
      </c>
      <c r="F2122" t="inlineStr">
        <is>
          <t>Bergvik skog väst AB</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24113-2024</t>
        </is>
      </c>
      <c r="B2123" s="1" t="n">
        <v>45456.61590277778</v>
      </c>
      <c r="C2123" s="1" t="n">
        <v>46076</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55036-2024</t>
        </is>
      </c>
      <c r="B2124" s="1" t="n">
        <v>45621.38342592592</v>
      </c>
      <c r="C2124" s="1" t="n">
        <v>46076</v>
      </c>
      <c r="D2124" t="inlineStr">
        <is>
          <t>VÄRMLANDS LÄN</t>
        </is>
      </c>
      <c r="E2124" t="inlineStr">
        <is>
          <t>TORSBY</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19031-2021</t>
        </is>
      </c>
      <c r="B2125" s="1" t="n">
        <v>44308.51076388889</v>
      </c>
      <c r="C2125" s="1" t="n">
        <v>46076</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22178-2025</t>
        </is>
      </c>
      <c r="B2126" s="1" t="n">
        <v>45785</v>
      </c>
      <c r="C2126" s="1" t="n">
        <v>46076</v>
      </c>
      <c r="D2126" t="inlineStr">
        <is>
          <t>VÄRMLANDS LÄN</t>
        </is>
      </c>
      <c r="E2126" t="inlineStr">
        <is>
          <t>TORSBY</t>
        </is>
      </c>
      <c r="G2126" t="n">
        <v>25.5</v>
      </c>
      <c r="H2126" t="n">
        <v>0</v>
      </c>
      <c r="I2126" t="n">
        <v>0</v>
      </c>
      <c r="J2126" t="n">
        <v>0</v>
      </c>
      <c r="K2126" t="n">
        <v>0</v>
      </c>
      <c r="L2126" t="n">
        <v>0</v>
      </c>
      <c r="M2126" t="n">
        <v>0</v>
      </c>
      <c r="N2126" t="n">
        <v>0</v>
      </c>
      <c r="O2126" t="n">
        <v>0</v>
      </c>
      <c r="P2126" t="n">
        <v>0</v>
      </c>
      <c r="Q2126" t="n">
        <v>0</v>
      </c>
      <c r="R2126" s="2" t="inlineStr"/>
    </row>
    <row r="2127" ht="15" customHeight="1">
      <c r="A2127" t="inlineStr">
        <is>
          <t>A 73874-2021</t>
        </is>
      </c>
      <c r="B2127" s="1" t="n">
        <v>44553.39755787037</v>
      </c>
      <c r="C2127" s="1" t="n">
        <v>46076</v>
      </c>
      <c r="D2127" t="inlineStr">
        <is>
          <t>VÄRMLANDS LÄN</t>
        </is>
      </c>
      <c r="E2127" t="inlineStr">
        <is>
          <t>TORSBY</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22269-2025</t>
        </is>
      </c>
      <c r="B2128" s="1" t="n">
        <v>45785</v>
      </c>
      <c r="C2128" s="1" t="n">
        <v>46076</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22076-2025</t>
        </is>
      </c>
      <c r="B2129" s="1" t="n">
        <v>45785.41473379629</v>
      </c>
      <c r="C2129" s="1" t="n">
        <v>46076</v>
      </c>
      <c r="D2129" t="inlineStr">
        <is>
          <t>VÄRMLANDS LÄN</t>
        </is>
      </c>
      <c r="E2129" t="inlineStr">
        <is>
          <t>TORSBY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21858-2025</t>
        </is>
      </c>
      <c r="B2130" s="1" t="n">
        <v>45784.36265046296</v>
      </c>
      <c r="C2130" s="1" t="n">
        <v>46076</v>
      </c>
      <c r="D2130" t="inlineStr">
        <is>
          <t>VÄRMLANDS LÄN</t>
        </is>
      </c>
      <c r="E2130" t="inlineStr">
        <is>
          <t>TORSBY</t>
        </is>
      </c>
      <c r="F2130" t="inlineStr">
        <is>
          <t>Bergvik skog väst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29897-2024</t>
        </is>
      </c>
      <c r="B2131" s="1" t="n">
        <v>45487.51834490741</v>
      </c>
      <c r="C2131" s="1" t="n">
        <v>46076</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33088-2024</t>
        </is>
      </c>
      <c r="B2132" s="1" t="n">
        <v>45517</v>
      </c>
      <c r="C2132" s="1" t="n">
        <v>46076</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22715-2025</t>
        </is>
      </c>
      <c r="B2133" s="1" t="n">
        <v>45789.56496527778</v>
      </c>
      <c r="C2133" s="1" t="n">
        <v>46076</v>
      </c>
      <c r="D2133" t="inlineStr">
        <is>
          <t>VÄRMLANDS LÄN</t>
        </is>
      </c>
      <c r="E2133" t="inlineStr">
        <is>
          <t>TORSBY</t>
        </is>
      </c>
      <c r="F2133" t="inlineStr">
        <is>
          <t>Kyrkan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60626-2024</t>
        </is>
      </c>
      <c r="B2134" s="1" t="n">
        <v>45642</v>
      </c>
      <c r="C2134" s="1" t="n">
        <v>46076</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22596-2025</t>
        </is>
      </c>
      <c r="B2135" s="1" t="n">
        <v>45789.41362268518</v>
      </c>
      <c r="C2135" s="1" t="n">
        <v>46076</v>
      </c>
      <c r="D2135" t="inlineStr">
        <is>
          <t>VÄRMLANDS LÄN</t>
        </is>
      </c>
      <c r="E2135" t="inlineStr">
        <is>
          <t>TORSBY</t>
        </is>
      </c>
      <c r="F2135" t="inlineStr">
        <is>
          <t>Bergvik skog väst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22278-2025</t>
        </is>
      </c>
      <c r="B2136" s="1" t="n">
        <v>45786.33332175926</v>
      </c>
      <c r="C2136" s="1" t="n">
        <v>46076</v>
      </c>
      <c r="D2136" t="inlineStr">
        <is>
          <t>VÄRMLANDS LÄN</t>
        </is>
      </c>
      <c r="E2136" t="inlineStr">
        <is>
          <t>TORSBY</t>
        </is>
      </c>
      <c r="F2136" t="inlineStr">
        <is>
          <t>Bergvik skog väst AB</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22316-2025</t>
        </is>
      </c>
      <c r="B2137" s="1" t="n">
        <v>45786.39013888889</v>
      </c>
      <c r="C2137" s="1" t="n">
        <v>46076</v>
      </c>
      <c r="D2137" t="inlineStr">
        <is>
          <t>VÄRMLANDS LÄN</t>
        </is>
      </c>
      <c r="E2137" t="inlineStr">
        <is>
          <t>TORSBY</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22593-2025</t>
        </is>
      </c>
      <c r="B2138" s="1" t="n">
        <v>45789.41113425926</v>
      </c>
      <c r="C2138" s="1" t="n">
        <v>46076</v>
      </c>
      <c r="D2138" t="inlineStr">
        <is>
          <t>VÄRMLANDS LÄN</t>
        </is>
      </c>
      <c r="E2138" t="inlineStr">
        <is>
          <t>TORSBY</t>
        </is>
      </c>
      <c r="F2138" t="inlineStr">
        <is>
          <t>Bergvik skog väst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22708-2025</t>
        </is>
      </c>
      <c r="B2139" s="1" t="n">
        <v>45789.55561342592</v>
      </c>
      <c r="C2139" s="1" t="n">
        <v>46076</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15014-2025</t>
        </is>
      </c>
      <c r="B2140" s="1" t="n">
        <v>45743</v>
      </c>
      <c r="C2140" s="1" t="n">
        <v>46076</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19253-2025</t>
        </is>
      </c>
      <c r="B2141" s="1" t="n">
        <v>45769</v>
      </c>
      <c r="C2141" s="1" t="n">
        <v>46076</v>
      </c>
      <c r="D2141" t="inlineStr">
        <is>
          <t>VÄRMLANDS LÄN</t>
        </is>
      </c>
      <c r="E2141" t="inlineStr">
        <is>
          <t>TORSBY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22320-2025</t>
        </is>
      </c>
      <c r="B2142" s="1" t="n">
        <v>45786.40542824074</v>
      </c>
      <c r="C2142" s="1" t="n">
        <v>46076</v>
      </c>
      <c r="D2142" t="inlineStr">
        <is>
          <t>VÄRMLANDS LÄN</t>
        </is>
      </c>
      <c r="E2142" t="inlineStr">
        <is>
          <t>TORSBY</t>
        </is>
      </c>
      <c r="F2142" t="inlineStr">
        <is>
          <t>Bergvik skog väst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22339-2025</t>
        </is>
      </c>
      <c r="B2143" s="1" t="n">
        <v>45786</v>
      </c>
      <c r="C2143" s="1" t="n">
        <v>46076</v>
      </c>
      <c r="D2143" t="inlineStr">
        <is>
          <t>VÄRMLANDS LÄN</t>
        </is>
      </c>
      <c r="E2143" t="inlineStr">
        <is>
          <t>TORSBY</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22760-2025</t>
        </is>
      </c>
      <c r="B2144" s="1" t="n">
        <v>45789</v>
      </c>
      <c r="C2144" s="1" t="n">
        <v>46076</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22331-2025</t>
        </is>
      </c>
      <c r="B2145" s="1" t="n">
        <v>45786</v>
      </c>
      <c r="C2145" s="1" t="n">
        <v>46076</v>
      </c>
      <c r="D2145" t="inlineStr">
        <is>
          <t>VÄRMLANDS LÄN</t>
        </is>
      </c>
      <c r="E2145" t="inlineStr">
        <is>
          <t>TORSBY</t>
        </is>
      </c>
      <c r="F2145" t="inlineStr">
        <is>
          <t>Bergvik skog väst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22757-2025</t>
        </is>
      </c>
      <c r="B2146" s="1" t="n">
        <v>45789.61908564815</v>
      </c>
      <c r="C2146" s="1" t="n">
        <v>46076</v>
      </c>
      <c r="D2146" t="inlineStr">
        <is>
          <t>VÄRMLANDS LÄN</t>
        </is>
      </c>
      <c r="E2146" t="inlineStr">
        <is>
          <t>TORSBY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60207-2024</t>
        </is>
      </c>
      <c r="B2147" s="1" t="n">
        <v>45642.67428240741</v>
      </c>
      <c r="C2147" s="1" t="n">
        <v>46076</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23367-2025</t>
        </is>
      </c>
      <c r="B2148" s="1" t="n">
        <v>45791.69582175926</v>
      </c>
      <c r="C2148" s="1" t="n">
        <v>46076</v>
      </c>
      <c r="D2148" t="inlineStr">
        <is>
          <t>VÄRMLANDS LÄN</t>
        </is>
      </c>
      <c r="E2148" t="inlineStr">
        <is>
          <t>TORSBY</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7101-2025</t>
        </is>
      </c>
      <c r="B2149" s="1" t="n">
        <v>45701</v>
      </c>
      <c r="C2149" s="1" t="n">
        <v>46076</v>
      </c>
      <c r="D2149" t="inlineStr">
        <is>
          <t>VÄRMLANDS LÄN</t>
        </is>
      </c>
      <c r="E2149" t="inlineStr">
        <is>
          <t>TORSBY</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23287-2025</t>
        </is>
      </c>
      <c r="B2150" s="1" t="n">
        <v>45791.5816087963</v>
      </c>
      <c r="C2150" s="1" t="n">
        <v>46076</v>
      </c>
      <c r="D2150" t="inlineStr">
        <is>
          <t>VÄRMLANDS LÄN</t>
        </is>
      </c>
      <c r="E2150" t="inlineStr">
        <is>
          <t>TORSBY</t>
        </is>
      </c>
      <c r="F2150" t="inlineStr">
        <is>
          <t>Bergvik skog väst AB</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58259-2024</t>
        </is>
      </c>
      <c r="B2151" s="1" t="n">
        <v>45632.56155092592</v>
      </c>
      <c r="C2151" s="1" t="n">
        <v>46076</v>
      </c>
      <c r="D2151" t="inlineStr">
        <is>
          <t>VÄRMLANDS LÄN</t>
        </is>
      </c>
      <c r="E2151" t="inlineStr">
        <is>
          <t>TORSBY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22845-2025</t>
        </is>
      </c>
      <c r="B2152" s="1" t="n">
        <v>45790</v>
      </c>
      <c r="C2152" s="1" t="n">
        <v>46076</v>
      </c>
      <c r="D2152" t="inlineStr">
        <is>
          <t>VÄRMLANDS LÄN</t>
        </is>
      </c>
      <c r="E2152" t="inlineStr">
        <is>
          <t>TORSBY</t>
        </is>
      </c>
      <c r="F2152" t="inlineStr">
        <is>
          <t>Bergvik skog väst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34906-2024</t>
        </is>
      </c>
      <c r="B2153" s="1" t="n">
        <v>45527</v>
      </c>
      <c r="C2153" s="1" t="n">
        <v>46076</v>
      </c>
      <c r="D2153" t="inlineStr">
        <is>
          <t>VÄRMLANDS LÄN</t>
        </is>
      </c>
      <c r="E2153" t="inlineStr">
        <is>
          <t>TORSBY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22954-2025</t>
        </is>
      </c>
      <c r="B2154" s="1" t="n">
        <v>45790.5184375</v>
      </c>
      <c r="C2154" s="1" t="n">
        <v>46076</v>
      </c>
      <c r="D2154" t="inlineStr">
        <is>
          <t>VÄRMLANDS LÄN</t>
        </is>
      </c>
      <c r="E2154" t="inlineStr">
        <is>
          <t>TORSBY</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42403-2023</t>
        </is>
      </c>
      <c r="B2155" s="1" t="n">
        <v>45180.59174768518</v>
      </c>
      <c r="C2155" s="1" t="n">
        <v>46076</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34568-2024</t>
        </is>
      </c>
      <c r="B2156" s="1" t="n">
        <v>45526</v>
      </c>
      <c r="C2156" s="1" t="n">
        <v>46076</v>
      </c>
      <c r="D2156" t="inlineStr">
        <is>
          <t>VÄRMLANDS LÄN</t>
        </is>
      </c>
      <c r="E2156" t="inlineStr">
        <is>
          <t>TORSBY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54790-2024</t>
        </is>
      </c>
      <c r="B2157" s="1" t="n">
        <v>45618</v>
      </c>
      <c r="C2157" s="1" t="n">
        <v>46076</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14575-2025</t>
        </is>
      </c>
      <c r="B2158" s="1" t="n">
        <v>45742.29048611111</v>
      </c>
      <c r="C2158" s="1" t="n">
        <v>46076</v>
      </c>
      <c r="D2158" t="inlineStr">
        <is>
          <t>VÄRMLANDS LÄN</t>
        </is>
      </c>
      <c r="E2158" t="inlineStr">
        <is>
          <t>TORSBY</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4070-2024</t>
        </is>
      </c>
      <c r="B2159" s="1" t="n">
        <v>45323</v>
      </c>
      <c r="C2159" s="1" t="n">
        <v>46076</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30370-2023</t>
        </is>
      </c>
      <c r="B2160" s="1" t="n">
        <v>45111</v>
      </c>
      <c r="C2160" s="1" t="n">
        <v>46076</v>
      </c>
      <c r="D2160" t="inlineStr">
        <is>
          <t>VÄRMLANDS LÄN</t>
        </is>
      </c>
      <c r="E2160" t="inlineStr">
        <is>
          <t>TORSBY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2471-2023</t>
        </is>
      </c>
      <c r="B2161" s="1" t="n">
        <v>44943.48373842592</v>
      </c>
      <c r="C2161" s="1" t="n">
        <v>46076</v>
      </c>
      <c r="D2161" t="inlineStr">
        <is>
          <t>VÄRMLANDS LÄN</t>
        </is>
      </c>
      <c r="E2161" t="inlineStr">
        <is>
          <t>TORSBY</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23280-2025</t>
        </is>
      </c>
      <c r="B2162" s="1" t="n">
        <v>45791.57217592592</v>
      </c>
      <c r="C2162" s="1" t="n">
        <v>46076</v>
      </c>
      <c r="D2162" t="inlineStr">
        <is>
          <t>VÄRMLANDS LÄN</t>
        </is>
      </c>
      <c r="E2162" t="inlineStr">
        <is>
          <t>TORSBY</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31945-2024</t>
        </is>
      </c>
      <c r="B2163" s="1" t="n">
        <v>45510</v>
      </c>
      <c r="C2163" s="1" t="n">
        <v>46076</v>
      </c>
      <c r="D2163" t="inlineStr">
        <is>
          <t>VÄRMLANDS LÄN</t>
        </is>
      </c>
      <c r="E2163" t="inlineStr">
        <is>
          <t>TORSBY</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23557-2025</t>
        </is>
      </c>
      <c r="B2164" s="1" t="n">
        <v>45792.58086805556</v>
      </c>
      <c r="C2164" s="1" t="n">
        <v>46076</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42656-2023</t>
        </is>
      </c>
      <c r="B2165" s="1" t="n">
        <v>45181.53928240741</v>
      </c>
      <c r="C2165" s="1" t="n">
        <v>46076</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62957-2023</t>
        </is>
      </c>
      <c r="B2166" s="1" t="n">
        <v>45271</v>
      </c>
      <c r="C2166" s="1" t="n">
        <v>46076</v>
      </c>
      <c r="D2166" t="inlineStr">
        <is>
          <t>VÄRMLANDS LÄN</t>
        </is>
      </c>
      <c r="E2166" t="inlineStr">
        <is>
          <t>TORSBY</t>
        </is>
      </c>
      <c r="F2166" t="inlineStr">
        <is>
          <t>Övriga statliga verk och myndigheter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23677-2025</t>
        </is>
      </c>
      <c r="B2167" s="1" t="n">
        <v>45793.31969907408</v>
      </c>
      <c r="C2167" s="1" t="n">
        <v>46076</v>
      </c>
      <c r="D2167" t="inlineStr">
        <is>
          <t>VÄRMLANDS LÄN</t>
        </is>
      </c>
      <c r="E2167" t="inlineStr">
        <is>
          <t>TORSBY</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23741-2025</t>
        </is>
      </c>
      <c r="B2168" s="1" t="n">
        <v>45793</v>
      </c>
      <c r="C2168" s="1" t="n">
        <v>46076</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4078-2024</t>
        </is>
      </c>
      <c r="B2169" s="1" t="n">
        <v>45323</v>
      </c>
      <c r="C2169" s="1" t="n">
        <v>46076</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33069-2022</t>
        </is>
      </c>
      <c r="B2170" s="1" t="n">
        <v>44785</v>
      </c>
      <c r="C2170" s="1" t="n">
        <v>46076</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23455-2025</t>
        </is>
      </c>
      <c r="B2171" s="1" t="n">
        <v>45792.42520833333</v>
      </c>
      <c r="C2171" s="1" t="n">
        <v>46076</v>
      </c>
      <c r="D2171" t="inlineStr">
        <is>
          <t>VÄRMLANDS LÄN</t>
        </is>
      </c>
      <c r="E2171" t="inlineStr">
        <is>
          <t>TORSBY</t>
        </is>
      </c>
      <c r="F2171" t="inlineStr">
        <is>
          <t>Kyrkan</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42473-2023</t>
        </is>
      </c>
      <c r="B2172" s="1" t="n">
        <v>45180</v>
      </c>
      <c r="C2172" s="1" t="n">
        <v>46076</v>
      </c>
      <c r="D2172" t="inlineStr">
        <is>
          <t>VÄRMLANDS LÄN</t>
        </is>
      </c>
      <c r="E2172" t="inlineStr">
        <is>
          <t>TORSBY</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11427-2025</t>
        </is>
      </c>
      <c r="B2173" s="1" t="n">
        <v>45726</v>
      </c>
      <c r="C2173" s="1" t="n">
        <v>46076</v>
      </c>
      <c r="D2173" t="inlineStr">
        <is>
          <t>VÄRMLANDS LÄN</t>
        </is>
      </c>
      <c r="E2173" t="inlineStr">
        <is>
          <t>TORSBY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24069-2025</t>
        </is>
      </c>
      <c r="B2174" s="1" t="n">
        <v>45796.53997685185</v>
      </c>
      <c r="C2174" s="1" t="n">
        <v>46076</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37985-2022</t>
        </is>
      </c>
      <c r="B2175" s="1" t="n">
        <v>44811</v>
      </c>
      <c r="C2175" s="1" t="n">
        <v>46076</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14624-2023</t>
        </is>
      </c>
      <c r="B2176" s="1" t="n">
        <v>45013</v>
      </c>
      <c r="C2176" s="1" t="n">
        <v>46076</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24204-2025</t>
        </is>
      </c>
      <c r="B2177" s="1" t="n">
        <v>45797.31824074074</v>
      </c>
      <c r="C2177" s="1" t="n">
        <v>46076</v>
      </c>
      <c r="D2177" t="inlineStr">
        <is>
          <t>VÄRMLANDS LÄN</t>
        </is>
      </c>
      <c r="E2177" t="inlineStr">
        <is>
          <t>TORSBY</t>
        </is>
      </c>
      <c r="F2177" t="inlineStr">
        <is>
          <t>Bergvik skog väst AB</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24112-2025</t>
        </is>
      </c>
      <c r="B2178" s="1" t="n">
        <v>45796</v>
      </c>
      <c r="C2178" s="1" t="n">
        <v>46076</v>
      </c>
      <c r="D2178" t="inlineStr">
        <is>
          <t>VÄRMLANDS LÄN</t>
        </is>
      </c>
      <c r="E2178" t="inlineStr">
        <is>
          <t>TORSBY</t>
        </is>
      </c>
      <c r="F2178" t="inlineStr">
        <is>
          <t>Bergvik skog väst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24260-2025</t>
        </is>
      </c>
      <c r="B2179" s="1" t="n">
        <v>45797</v>
      </c>
      <c r="C2179" s="1" t="n">
        <v>46076</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24425-2025</t>
        </is>
      </c>
      <c r="B2180" s="1" t="n">
        <v>45797</v>
      </c>
      <c r="C2180" s="1" t="n">
        <v>46076</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24026-2025</t>
        </is>
      </c>
      <c r="B2181" s="1" t="n">
        <v>45796.46841435185</v>
      </c>
      <c r="C2181" s="1" t="n">
        <v>46076</v>
      </c>
      <c r="D2181" t="inlineStr">
        <is>
          <t>VÄRMLANDS LÄN</t>
        </is>
      </c>
      <c r="E2181" t="inlineStr">
        <is>
          <t>TORSBY</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24318-2025</t>
        </is>
      </c>
      <c r="B2182" s="1" t="n">
        <v>45797.54879629629</v>
      </c>
      <c r="C2182" s="1" t="n">
        <v>46076</v>
      </c>
      <c r="D2182" t="inlineStr">
        <is>
          <t>VÄRMLANDS LÄN</t>
        </is>
      </c>
      <c r="E2182" t="inlineStr">
        <is>
          <t>TORSBY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24251-2025</t>
        </is>
      </c>
      <c r="B2183" s="1" t="n">
        <v>45797</v>
      </c>
      <c r="C2183" s="1" t="n">
        <v>46076</v>
      </c>
      <c r="D2183" t="inlineStr">
        <is>
          <t>VÄRMLANDS LÄN</t>
        </is>
      </c>
      <c r="E2183" t="inlineStr">
        <is>
          <t>TORSBY</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11868-2025</t>
        </is>
      </c>
      <c r="B2184" s="1" t="n">
        <v>45728.4225</v>
      </c>
      <c r="C2184" s="1" t="n">
        <v>46076</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24411-2025</t>
        </is>
      </c>
      <c r="B2185" s="1" t="n">
        <v>45797</v>
      </c>
      <c r="C2185" s="1" t="n">
        <v>46076</v>
      </c>
      <c r="D2185" t="inlineStr">
        <is>
          <t>VÄRMLANDS LÄN</t>
        </is>
      </c>
      <c r="E2185" t="inlineStr">
        <is>
          <t>TORSBY</t>
        </is>
      </c>
      <c r="F2185" t="inlineStr">
        <is>
          <t>Övriga statliga verk och myndigheter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24726-2025</t>
        </is>
      </c>
      <c r="B2186" s="1" t="n">
        <v>45799.32805555555</v>
      </c>
      <c r="C2186" s="1" t="n">
        <v>46076</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24528-2025</t>
        </is>
      </c>
      <c r="B2187" s="1" t="n">
        <v>45798.42680555556</v>
      </c>
      <c r="C2187" s="1" t="n">
        <v>46076</v>
      </c>
      <c r="D2187" t="inlineStr">
        <is>
          <t>VÄRMLANDS LÄN</t>
        </is>
      </c>
      <c r="E2187" t="inlineStr">
        <is>
          <t>TORSBY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24597-2025</t>
        </is>
      </c>
      <c r="B2188" s="1" t="n">
        <v>45798</v>
      </c>
      <c r="C2188" s="1" t="n">
        <v>46076</v>
      </c>
      <c r="D2188" t="inlineStr">
        <is>
          <t>VÄRMLANDS LÄN</t>
        </is>
      </c>
      <c r="E2188" t="inlineStr">
        <is>
          <t>TORSBY</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24599-2025</t>
        </is>
      </c>
      <c r="B2189" s="1" t="n">
        <v>45798.56230324074</v>
      </c>
      <c r="C2189" s="1" t="n">
        <v>46076</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24607-2025</t>
        </is>
      </c>
      <c r="B2190" s="1" t="n">
        <v>45798.57608796296</v>
      </c>
      <c r="C2190" s="1" t="n">
        <v>46076</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25050-2025</t>
        </is>
      </c>
      <c r="B2191" s="1" t="n">
        <v>45799</v>
      </c>
      <c r="C2191" s="1" t="n">
        <v>46076</v>
      </c>
      <c r="D2191" t="inlineStr">
        <is>
          <t>VÄRMLANDS LÄN</t>
        </is>
      </c>
      <c r="E2191" t="inlineStr">
        <is>
          <t>TORSBY</t>
        </is>
      </c>
      <c r="F2191" t="inlineStr">
        <is>
          <t>Bergvik skog väst AB</t>
        </is>
      </c>
      <c r="G2191" t="n">
        <v>39.7</v>
      </c>
      <c r="H2191" t="n">
        <v>0</v>
      </c>
      <c r="I2191" t="n">
        <v>0</v>
      </c>
      <c r="J2191" t="n">
        <v>0</v>
      </c>
      <c r="K2191" t="n">
        <v>0</v>
      </c>
      <c r="L2191" t="n">
        <v>0</v>
      </c>
      <c r="M2191" t="n">
        <v>0</v>
      </c>
      <c r="N2191" t="n">
        <v>0</v>
      </c>
      <c r="O2191" t="n">
        <v>0</v>
      </c>
      <c r="P2191" t="n">
        <v>0</v>
      </c>
      <c r="Q2191" t="n">
        <v>0</v>
      </c>
      <c r="R2191" s="2" t="inlineStr"/>
    </row>
    <row r="2192" ht="15" customHeight="1">
      <c r="A2192" t="inlineStr">
        <is>
          <t>A 24757-2025</t>
        </is>
      </c>
      <c r="B2192" s="1" t="n">
        <v>45799</v>
      </c>
      <c r="C2192" s="1" t="n">
        <v>46076</v>
      </c>
      <c r="D2192" t="inlineStr">
        <is>
          <t>VÄRMLANDS LÄN</t>
        </is>
      </c>
      <c r="E2192" t="inlineStr">
        <is>
          <t>TORSBY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24967-2025</t>
        </is>
      </c>
      <c r="B2193" s="1" t="n">
        <v>45799.58332175926</v>
      </c>
      <c r="C2193" s="1" t="n">
        <v>46076</v>
      </c>
      <c r="D2193" t="inlineStr">
        <is>
          <t>VÄRMLANDS LÄN</t>
        </is>
      </c>
      <c r="E2193" t="inlineStr">
        <is>
          <t>TORSBY</t>
        </is>
      </c>
      <c r="F2193" t="inlineStr">
        <is>
          <t>Bergvik skog väst AB</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25653-2025</t>
        </is>
      </c>
      <c r="B2194" s="1" t="n">
        <v>45803.61072916666</v>
      </c>
      <c r="C2194" s="1" t="n">
        <v>46076</v>
      </c>
      <c r="D2194" t="inlineStr">
        <is>
          <t>VÄRMLANDS LÄN</t>
        </is>
      </c>
      <c r="E2194" t="inlineStr">
        <is>
          <t>TORSBY</t>
        </is>
      </c>
      <c r="F2194" t="inlineStr">
        <is>
          <t>Bergvik skog väst AB</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25508-2025</t>
        </is>
      </c>
      <c r="B2195" s="1" t="n">
        <v>45803.35520833333</v>
      </c>
      <c r="C2195" s="1" t="n">
        <v>46076</v>
      </c>
      <c r="D2195" t="inlineStr">
        <is>
          <t>VÄRMLANDS LÄN</t>
        </is>
      </c>
      <c r="E2195" t="inlineStr">
        <is>
          <t>TORSBY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25464-2025</t>
        </is>
      </c>
      <c r="B2196" s="1" t="n">
        <v>45802.46032407408</v>
      </c>
      <c r="C2196" s="1" t="n">
        <v>46076</v>
      </c>
      <c r="D2196" t="inlineStr">
        <is>
          <t>VÄRMLANDS LÄN</t>
        </is>
      </c>
      <c r="E2196" t="inlineStr">
        <is>
          <t>TORSBY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25465-2025</t>
        </is>
      </c>
      <c r="B2197" s="1" t="n">
        <v>45802.48196759259</v>
      </c>
      <c r="C2197" s="1" t="n">
        <v>46076</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25218-2025</t>
        </is>
      </c>
      <c r="B2198" s="1" t="n">
        <v>45800.4766087963</v>
      </c>
      <c r="C2198" s="1" t="n">
        <v>46076</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25186-2025</t>
        </is>
      </c>
      <c r="B2199" s="1" t="n">
        <v>45800.45247685185</v>
      </c>
      <c r="C2199" s="1" t="n">
        <v>46076</v>
      </c>
      <c r="D2199" t="inlineStr">
        <is>
          <t>VÄRMLANDS LÄN</t>
        </is>
      </c>
      <c r="E2199" t="inlineStr">
        <is>
          <t>TORSBY</t>
        </is>
      </c>
      <c r="F2199" t="inlineStr">
        <is>
          <t>Kyrkan</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25353-2025</t>
        </is>
      </c>
      <c r="B2200" s="1" t="n">
        <v>45800.61553240741</v>
      </c>
      <c r="C2200" s="1" t="n">
        <v>46076</v>
      </c>
      <c r="D2200" t="inlineStr">
        <is>
          <t>VÄRMLANDS LÄN</t>
        </is>
      </c>
      <c r="E2200" t="inlineStr">
        <is>
          <t>TORSBY</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25428-2025</t>
        </is>
      </c>
      <c r="B2201" s="1" t="n">
        <v>45800.71540509259</v>
      </c>
      <c r="C2201" s="1" t="n">
        <v>46076</v>
      </c>
      <c r="D2201" t="inlineStr">
        <is>
          <t>VÄRMLANDS LÄN</t>
        </is>
      </c>
      <c r="E2201" t="inlineStr">
        <is>
          <t>TORSBY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25443-2025</t>
        </is>
      </c>
      <c r="B2202" s="1" t="n">
        <v>45801.49258101852</v>
      </c>
      <c r="C2202" s="1" t="n">
        <v>46076</v>
      </c>
      <c r="D2202" t="inlineStr">
        <is>
          <t>VÄRMLANDS LÄN</t>
        </is>
      </c>
      <c r="E2202" t="inlineStr">
        <is>
          <t>TORSBY</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25369-2025</t>
        </is>
      </c>
      <c r="B2203" s="1" t="n">
        <v>45800.63046296296</v>
      </c>
      <c r="C2203" s="1" t="n">
        <v>46076</v>
      </c>
      <c r="D2203" t="inlineStr">
        <is>
          <t>VÄRMLANDS LÄN</t>
        </is>
      </c>
      <c r="E2203" t="inlineStr">
        <is>
          <t>TORSBY</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25545-2025</t>
        </is>
      </c>
      <c r="B2204" s="1" t="n">
        <v>45803.43763888889</v>
      </c>
      <c r="C2204" s="1" t="n">
        <v>46076</v>
      </c>
      <c r="D2204" t="inlineStr">
        <is>
          <t>VÄRMLANDS LÄN</t>
        </is>
      </c>
      <c r="E2204" t="inlineStr">
        <is>
          <t>TORSBY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26231-2025</t>
        </is>
      </c>
      <c r="B2205" s="1" t="n">
        <v>45805</v>
      </c>
      <c r="C2205" s="1" t="n">
        <v>46076</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25807-2025</t>
        </is>
      </c>
      <c r="B2206" s="1" t="n">
        <v>45804.41055555556</v>
      </c>
      <c r="C2206" s="1" t="n">
        <v>46076</v>
      </c>
      <c r="D2206" t="inlineStr">
        <is>
          <t>VÄRMLANDS LÄN</t>
        </is>
      </c>
      <c r="E2206" t="inlineStr">
        <is>
          <t>TORSBY</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25959-2025</t>
        </is>
      </c>
      <c r="B2207" s="1" t="n">
        <v>45804.60914351852</v>
      </c>
      <c r="C2207" s="1" t="n">
        <v>46076</v>
      </c>
      <c r="D2207" t="inlineStr">
        <is>
          <t>VÄRMLANDS LÄN</t>
        </is>
      </c>
      <c r="E2207" t="inlineStr">
        <is>
          <t>TORSBY</t>
        </is>
      </c>
      <c r="F2207" t="inlineStr">
        <is>
          <t>Bergvik skog väst AB</t>
        </is>
      </c>
      <c r="G2207" t="n">
        <v>17.6</v>
      </c>
      <c r="H2207" t="n">
        <v>0</v>
      </c>
      <c r="I2207" t="n">
        <v>0</v>
      </c>
      <c r="J2207" t="n">
        <v>0</v>
      </c>
      <c r="K2207" t="n">
        <v>0</v>
      </c>
      <c r="L2207" t="n">
        <v>0</v>
      </c>
      <c r="M2207" t="n">
        <v>0</v>
      </c>
      <c r="N2207" t="n">
        <v>0</v>
      </c>
      <c r="O2207" t="n">
        <v>0</v>
      </c>
      <c r="P2207" t="n">
        <v>0</v>
      </c>
      <c r="Q2207" t="n">
        <v>0</v>
      </c>
      <c r="R2207" s="2" t="inlineStr"/>
    </row>
    <row r="2208" ht="15" customHeight="1">
      <c r="A2208" t="inlineStr">
        <is>
          <t>A 25917-2025</t>
        </is>
      </c>
      <c r="B2208" s="1" t="n">
        <v>45804.56704861111</v>
      </c>
      <c r="C2208" s="1" t="n">
        <v>46076</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26061-2025</t>
        </is>
      </c>
      <c r="B2209" s="1" t="n">
        <v>45805.24886574074</v>
      </c>
      <c r="C2209" s="1" t="n">
        <v>46076</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26158-2025</t>
        </is>
      </c>
      <c r="B2210" s="1" t="n">
        <v>45805</v>
      </c>
      <c r="C2210" s="1" t="n">
        <v>46076</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25881-2025</t>
        </is>
      </c>
      <c r="B2211" s="1" t="n">
        <v>45804.49729166667</v>
      </c>
      <c r="C2211" s="1" t="n">
        <v>46076</v>
      </c>
      <c r="D2211" t="inlineStr">
        <is>
          <t>VÄRMLANDS LÄN</t>
        </is>
      </c>
      <c r="E2211" t="inlineStr">
        <is>
          <t>TORSBY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25803-2025</t>
        </is>
      </c>
      <c r="B2212" s="1" t="n">
        <v>45804.40886574074</v>
      </c>
      <c r="C2212" s="1" t="n">
        <v>46076</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26342-2025</t>
        </is>
      </c>
      <c r="B2213" s="1" t="n">
        <v>45805.70604166666</v>
      </c>
      <c r="C2213" s="1" t="n">
        <v>46076</v>
      </c>
      <c r="D2213" t="inlineStr">
        <is>
          <t>VÄRMLANDS LÄN</t>
        </is>
      </c>
      <c r="E2213" t="inlineStr">
        <is>
          <t>TORSBY</t>
        </is>
      </c>
      <c r="F2213" t="inlineStr">
        <is>
          <t>Bergvik skog väst AB</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26108-2025</t>
        </is>
      </c>
      <c r="B2214" s="1" t="n">
        <v>45805</v>
      </c>
      <c r="C2214" s="1" t="n">
        <v>46076</v>
      </c>
      <c r="D2214" t="inlineStr">
        <is>
          <t>VÄRMLANDS LÄN</t>
        </is>
      </c>
      <c r="E2214" t="inlineStr">
        <is>
          <t>TORSBY</t>
        </is>
      </c>
      <c r="F2214" t="inlineStr">
        <is>
          <t>Bergvik skog väst AB</t>
        </is>
      </c>
      <c r="G2214" t="n">
        <v>22.8</v>
      </c>
      <c r="H2214" t="n">
        <v>0</v>
      </c>
      <c r="I2214" t="n">
        <v>0</v>
      </c>
      <c r="J2214" t="n">
        <v>0</v>
      </c>
      <c r="K2214" t="n">
        <v>0</v>
      </c>
      <c r="L2214" t="n">
        <v>0</v>
      </c>
      <c r="M2214" t="n">
        <v>0</v>
      </c>
      <c r="N2214" t="n">
        <v>0</v>
      </c>
      <c r="O2214" t="n">
        <v>0</v>
      </c>
      <c r="P2214" t="n">
        <v>0</v>
      </c>
      <c r="Q2214" t="n">
        <v>0</v>
      </c>
      <c r="R2214" s="2" t="inlineStr"/>
    </row>
    <row r="2215" ht="15" customHeight="1">
      <c r="A2215" t="inlineStr">
        <is>
          <t>A 25859-2025</t>
        </is>
      </c>
      <c r="B2215" s="1" t="n">
        <v>45804.47244212963</v>
      </c>
      <c r="C2215" s="1" t="n">
        <v>46076</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25915-2025</t>
        </is>
      </c>
      <c r="B2216" s="1" t="n">
        <v>45804.56549768519</v>
      </c>
      <c r="C2216" s="1" t="n">
        <v>46076</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25808-2025</t>
        </is>
      </c>
      <c r="B2217" s="1" t="n">
        <v>45804.41528935185</v>
      </c>
      <c r="C2217" s="1" t="n">
        <v>46076</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26563-2025</t>
        </is>
      </c>
      <c r="B2218" s="1" t="n">
        <v>45807.65767361111</v>
      </c>
      <c r="C2218" s="1" t="n">
        <v>46076</v>
      </c>
      <c r="D2218" t="inlineStr">
        <is>
          <t>VÄRMLANDS LÄN</t>
        </is>
      </c>
      <c r="E2218" t="inlineStr">
        <is>
          <t>TORSBY</t>
        </is>
      </c>
      <c r="F2218" t="inlineStr">
        <is>
          <t>Bergvik skog väst AB</t>
        </is>
      </c>
      <c r="G2218" t="n">
        <v>19.5</v>
      </c>
      <c r="H2218" t="n">
        <v>0</v>
      </c>
      <c r="I2218" t="n">
        <v>0</v>
      </c>
      <c r="J2218" t="n">
        <v>0</v>
      </c>
      <c r="K2218" t="n">
        <v>0</v>
      </c>
      <c r="L2218" t="n">
        <v>0</v>
      </c>
      <c r="M2218" t="n">
        <v>0</v>
      </c>
      <c r="N2218" t="n">
        <v>0</v>
      </c>
      <c r="O2218" t="n">
        <v>0</v>
      </c>
      <c r="P2218" t="n">
        <v>0</v>
      </c>
      <c r="Q2218" t="n">
        <v>0</v>
      </c>
      <c r="R2218" s="2" t="inlineStr"/>
    </row>
    <row r="2219" ht="15" customHeight="1">
      <c r="A2219" t="inlineStr">
        <is>
          <t>A 26504-2025</t>
        </is>
      </c>
      <c r="B2219" s="1" t="n">
        <v>45807.519375</v>
      </c>
      <c r="C2219" s="1" t="n">
        <v>46076</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26505-2025</t>
        </is>
      </c>
      <c r="B2220" s="1" t="n">
        <v>45807.52231481481</v>
      </c>
      <c r="C2220" s="1" t="n">
        <v>46076</v>
      </c>
      <c r="D2220" t="inlineStr">
        <is>
          <t>VÄRMLANDS LÄN</t>
        </is>
      </c>
      <c r="E2220" t="inlineStr">
        <is>
          <t>TORSBY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26511-2025</t>
        </is>
      </c>
      <c r="B2221" s="1" t="n">
        <v>45807.54571759259</v>
      </c>
      <c r="C2221" s="1" t="n">
        <v>46076</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26539-2025</t>
        </is>
      </c>
      <c r="B2222" s="1" t="n">
        <v>45807.58127314815</v>
      </c>
      <c r="C2222" s="1" t="n">
        <v>46076</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26418-2025</t>
        </is>
      </c>
      <c r="B2223" s="1" t="n">
        <v>45807.36436342593</v>
      </c>
      <c r="C2223" s="1" t="n">
        <v>46076</v>
      </c>
      <c r="D2223" t="inlineStr">
        <is>
          <t>VÄRMLANDS LÄN</t>
        </is>
      </c>
      <c r="E2223" t="inlineStr">
        <is>
          <t>TORSBY</t>
        </is>
      </c>
      <c r="F2223" t="inlineStr">
        <is>
          <t>Bergvik skog väst AB</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26507-2025</t>
        </is>
      </c>
      <c r="B2224" s="1" t="n">
        <v>45807.52539351852</v>
      </c>
      <c r="C2224" s="1" t="n">
        <v>46076</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26564-2025</t>
        </is>
      </c>
      <c r="B2225" s="1" t="n">
        <v>45807.66306712963</v>
      </c>
      <c r="C2225" s="1" t="n">
        <v>46076</v>
      </c>
      <c r="D2225" t="inlineStr">
        <is>
          <t>VÄRMLANDS LÄN</t>
        </is>
      </c>
      <c r="E2225" t="inlineStr">
        <is>
          <t>TORSBY</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26479-2025</t>
        </is>
      </c>
      <c r="B2226" s="1" t="n">
        <v>45807.47021990741</v>
      </c>
      <c r="C2226" s="1" t="n">
        <v>46076</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26491-2025</t>
        </is>
      </c>
      <c r="B2227" s="1" t="n">
        <v>45807.48939814815</v>
      </c>
      <c r="C2227" s="1" t="n">
        <v>46076</v>
      </c>
      <c r="D2227" t="inlineStr">
        <is>
          <t>VÄRMLANDS LÄN</t>
        </is>
      </c>
      <c r="E2227" t="inlineStr">
        <is>
          <t>TORSBY</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26533-2025</t>
        </is>
      </c>
      <c r="B2228" s="1" t="n">
        <v>45807.57259259259</v>
      </c>
      <c r="C2228" s="1" t="n">
        <v>46076</v>
      </c>
      <c r="D2228" t="inlineStr">
        <is>
          <t>VÄRMLANDS LÄN</t>
        </is>
      </c>
      <c r="E2228" t="inlineStr">
        <is>
          <t>TORSBY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26487-2025</t>
        </is>
      </c>
      <c r="B2229" s="1" t="n">
        <v>45807.47644675926</v>
      </c>
      <c r="C2229" s="1" t="n">
        <v>46076</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56724-2023</t>
        </is>
      </c>
      <c r="B2230" s="1" t="n">
        <v>45244.3393287037</v>
      </c>
      <c r="C2230" s="1" t="n">
        <v>46076</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28545-2024</t>
        </is>
      </c>
      <c r="B2231" s="1" t="n">
        <v>45478.3559375</v>
      </c>
      <c r="C2231" s="1" t="n">
        <v>46076</v>
      </c>
      <c r="D2231" t="inlineStr">
        <is>
          <t>VÄRMLANDS LÄN</t>
        </is>
      </c>
      <c r="E2231" t="inlineStr">
        <is>
          <t>TORSBY</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16380-2025</t>
        </is>
      </c>
      <c r="B2232" s="1" t="n">
        <v>45751</v>
      </c>
      <c r="C2232" s="1" t="n">
        <v>46076</v>
      </c>
      <c r="D2232" t="inlineStr">
        <is>
          <t>VÄRMLANDS LÄN</t>
        </is>
      </c>
      <c r="E2232" t="inlineStr">
        <is>
          <t>TORSBY</t>
        </is>
      </c>
      <c r="F2232" t="inlineStr">
        <is>
          <t>Bergvik skog väst AB</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27056-2025</t>
        </is>
      </c>
      <c r="B2233" s="1" t="n">
        <v>45811.63118055555</v>
      </c>
      <c r="C2233" s="1" t="n">
        <v>46076</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27116-2025</t>
        </is>
      </c>
      <c r="B2234" s="1" t="n">
        <v>45811.74233796296</v>
      </c>
      <c r="C2234" s="1" t="n">
        <v>46076</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43144-2024</t>
        </is>
      </c>
      <c r="B2235" s="1" t="n">
        <v>45567</v>
      </c>
      <c r="C2235" s="1" t="n">
        <v>46076</v>
      </c>
      <c r="D2235" t="inlineStr">
        <is>
          <t>VÄRMLANDS LÄN</t>
        </is>
      </c>
      <c r="E2235" t="inlineStr">
        <is>
          <t>TORSBY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27043-2025</t>
        </is>
      </c>
      <c r="B2236" s="1" t="n">
        <v>45811.61342592593</v>
      </c>
      <c r="C2236" s="1" t="n">
        <v>46076</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26898-2025</t>
        </is>
      </c>
      <c r="B2237" s="1" t="n">
        <v>45811</v>
      </c>
      <c r="C2237" s="1" t="n">
        <v>46076</v>
      </c>
      <c r="D2237" t="inlineStr">
        <is>
          <t>VÄRMLANDS LÄN</t>
        </is>
      </c>
      <c r="E2237" t="inlineStr">
        <is>
          <t>TORSBY</t>
        </is>
      </c>
      <c r="F2237" t="inlineStr">
        <is>
          <t>Övriga Aktiebolag</t>
        </is>
      </c>
      <c r="G2237" t="n">
        <v>37.8</v>
      </c>
      <c r="H2237" t="n">
        <v>0</v>
      </c>
      <c r="I2237" t="n">
        <v>0</v>
      </c>
      <c r="J2237" t="n">
        <v>0</v>
      </c>
      <c r="K2237" t="n">
        <v>0</v>
      </c>
      <c r="L2237" t="n">
        <v>0</v>
      </c>
      <c r="M2237" t="n">
        <v>0</v>
      </c>
      <c r="N2237" t="n">
        <v>0</v>
      </c>
      <c r="O2237" t="n">
        <v>0</v>
      </c>
      <c r="P2237" t="n">
        <v>0</v>
      </c>
      <c r="Q2237" t="n">
        <v>0</v>
      </c>
      <c r="R2237" s="2" t="inlineStr"/>
    </row>
    <row r="2238" ht="15" customHeight="1">
      <c r="A2238" t="inlineStr">
        <is>
          <t>A 11222-2024</t>
        </is>
      </c>
      <c r="B2238" s="1" t="n">
        <v>45371</v>
      </c>
      <c r="C2238" s="1" t="n">
        <v>46076</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754-2025</t>
        </is>
      </c>
      <c r="B2239" s="1" t="n">
        <v>45665</v>
      </c>
      <c r="C2239" s="1" t="n">
        <v>46076</v>
      </c>
      <c r="D2239" t="inlineStr">
        <is>
          <t>VÄRMLANDS LÄN</t>
        </is>
      </c>
      <c r="E2239" t="inlineStr">
        <is>
          <t>TORSBY</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26892-2025</t>
        </is>
      </c>
      <c r="B2240" s="1" t="n">
        <v>45811.3334837963</v>
      </c>
      <c r="C2240" s="1" t="n">
        <v>46076</v>
      </c>
      <c r="D2240" t="inlineStr">
        <is>
          <t>VÄRMLANDS LÄN</t>
        </is>
      </c>
      <c r="E2240" t="inlineStr">
        <is>
          <t>TORSBY</t>
        </is>
      </c>
      <c r="F2240" t="inlineStr">
        <is>
          <t>Bergvik skog väst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27094-2025</t>
        </is>
      </c>
      <c r="B2241" s="1" t="n">
        <v>45811.6766087963</v>
      </c>
      <c r="C2241" s="1" t="n">
        <v>46076</v>
      </c>
      <c r="D2241" t="inlineStr">
        <is>
          <t>VÄRMLANDS LÄN</t>
        </is>
      </c>
      <c r="E2241" t="inlineStr">
        <is>
          <t>TORSBY</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26822-2025</t>
        </is>
      </c>
      <c r="B2242" s="1" t="n">
        <v>45810</v>
      </c>
      <c r="C2242" s="1" t="n">
        <v>46076</v>
      </c>
      <c r="D2242" t="inlineStr">
        <is>
          <t>VÄRMLANDS LÄN</t>
        </is>
      </c>
      <c r="E2242" t="inlineStr">
        <is>
          <t>TORSBY</t>
        </is>
      </c>
      <c r="G2242" t="n">
        <v>13.7</v>
      </c>
      <c r="H2242" t="n">
        <v>0</v>
      </c>
      <c r="I2242" t="n">
        <v>0</v>
      </c>
      <c r="J2242" t="n">
        <v>0</v>
      </c>
      <c r="K2242" t="n">
        <v>0</v>
      </c>
      <c r="L2242" t="n">
        <v>0</v>
      </c>
      <c r="M2242" t="n">
        <v>0</v>
      </c>
      <c r="N2242" t="n">
        <v>0</v>
      </c>
      <c r="O2242" t="n">
        <v>0</v>
      </c>
      <c r="P2242" t="n">
        <v>0</v>
      </c>
      <c r="Q2242" t="n">
        <v>0</v>
      </c>
      <c r="R2242" s="2" t="inlineStr"/>
    </row>
    <row r="2243" ht="15" customHeight="1">
      <c r="A2243" t="inlineStr">
        <is>
          <t>A 26890-2025</t>
        </is>
      </c>
      <c r="B2243" s="1" t="n">
        <v>45811</v>
      </c>
      <c r="C2243" s="1" t="n">
        <v>46076</v>
      </c>
      <c r="D2243" t="inlineStr">
        <is>
          <t>VÄRMLANDS LÄN</t>
        </is>
      </c>
      <c r="E2243" t="inlineStr">
        <is>
          <t>TORSBY</t>
        </is>
      </c>
      <c r="F2243" t="inlineStr">
        <is>
          <t>Bergvik skog väst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25956-2025</t>
        </is>
      </c>
      <c r="B2244" s="1" t="n">
        <v>45804</v>
      </c>
      <c r="C2244" s="1" t="n">
        <v>46076</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26607-2025</t>
        </is>
      </c>
      <c r="B2245" s="1" t="n">
        <v>45809.92239583333</v>
      </c>
      <c r="C2245" s="1" t="n">
        <v>46076</v>
      </c>
      <c r="D2245" t="inlineStr">
        <is>
          <t>VÄRMLANDS LÄN</t>
        </is>
      </c>
      <c r="E2245" t="inlineStr">
        <is>
          <t>TORSBY</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26960-2025</t>
        </is>
      </c>
      <c r="B2246" s="1" t="n">
        <v>45811.46167824074</v>
      </c>
      <c r="C2246" s="1" t="n">
        <v>46076</v>
      </c>
      <c r="D2246" t="inlineStr">
        <is>
          <t>VÄRMLANDS LÄN</t>
        </is>
      </c>
      <c r="E2246" t="inlineStr">
        <is>
          <t>TORSBY</t>
        </is>
      </c>
      <c r="F2246" t="inlineStr">
        <is>
          <t>Kyrkan</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27093-2025</t>
        </is>
      </c>
      <c r="B2247" s="1" t="n">
        <v>45811.67347222222</v>
      </c>
      <c r="C2247" s="1" t="n">
        <v>46076</v>
      </c>
      <c r="D2247" t="inlineStr">
        <is>
          <t>VÄRMLANDS LÄN</t>
        </is>
      </c>
      <c r="E2247" t="inlineStr">
        <is>
          <t>TORSBY</t>
        </is>
      </c>
      <c r="F2247" t="inlineStr">
        <is>
          <t>Bergvik skog väst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26897-2025</t>
        </is>
      </c>
      <c r="B2248" s="1" t="n">
        <v>45811.34108796297</v>
      </c>
      <c r="C2248" s="1" t="n">
        <v>46076</v>
      </c>
      <c r="D2248" t="inlineStr">
        <is>
          <t>VÄRMLANDS LÄN</t>
        </is>
      </c>
      <c r="E2248" t="inlineStr">
        <is>
          <t>TORSBY</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26876-2024</t>
        </is>
      </c>
      <c r="B2249" s="1" t="n">
        <v>45470.62181712963</v>
      </c>
      <c r="C2249" s="1" t="n">
        <v>46076</v>
      </c>
      <c r="D2249" t="inlineStr">
        <is>
          <t>VÄRMLANDS LÄN</t>
        </is>
      </c>
      <c r="E2249" t="inlineStr">
        <is>
          <t>TORSBY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24087-2024</t>
        </is>
      </c>
      <c r="B2250" s="1" t="n">
        <v>45456</v>
      </c>
      <c r="C2250" s="1" t="n">
        <v>46076</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30002-2024</t>
        </is>
      </c>
      <c r="B2251" s="1" t="n">
        <v>45488</v>
      </c>
      <c r="C2251" s="1" t="n">
        <v>46076</v>
      </c>
      <c r="D2251" t="inlineStr">
        <is>
          <t>VÄRMLANDS LÄN</t>
        </is>
      </c>
      <c r="E2251" t="inlineStr">
        <is>
          <t>TORSBY</t>
        </is>
      </c>
      <c r="F2251" t="inlineStr">
        <is>
          <t>Kommuner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27149-2025</t>
        </is>
      </c>
      <c r="B2252" s="1" t="n">
        <v>45812.31924768518</v>
      </c>
      <c r="C2252" s="1" t="n">
        <v>46076</v>
      </c>
      <c r="D2252" t="inlineStr">
        <is>
          <t>VÄRMLANDS LÄN</t>
        </is>
      </c>
      <c r="E2252" t="inlineStr">
        <is>
          <t>TORSBY</t>
        </is>
      </c>
      <c r="F2252" t="inlineStr">
        <is>
          <t>Bergvik skog väst AB</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27667-2025</t>
        </is>
      </c>
      <c r="B2253" s="1" t="n">
        <v>45813.62092592593</v>
      </c>
      <c r="C2253" s="1" t="n">
        <v>46076</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27674-2025</t>
        </is>
      </c>
      <c r="B2254" s="1" t="n">
        <v>45813.62936342593</v>
      </c>
      <c r="C2254" s="1" t="n">
        <v>46076</v>
      </c>
      <c r="D2254" t="inlineStr">
        <is>
          <t>VÄRMLANDS LÄN</t>
        </is>
      </c>
      <c r="E2254" t="inlineStr">
        <is>
          <t>TORSBY</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27467-2025</t>
        </is>
      </c>
      <c r="B2255" s="1" t="n">
        <v>45813.35497685185</v>
      </c>
      <c r="C2255" s="1" t="n">
        <v>46076</v>
      </c>
      <c r="D2255" t="inlineStr">
        <is>
          <t>VÄRMLANDS LÄN</t>
        </is>
      </c>
      <c r="E2255" t="inlineStr">
        <is>
          <t>TORSBY</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27450-2025</t>
        </is>
      </c>
      <c r="B2256" s="1" t="n">
        <v>45813.33738425926</v>
      </c>
      <c r="C2256" s="1" t="n">
        <v>46076</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27470-2025</t>
        </is>
      </c>
      <c r="B2257" s="1" t="n">
        <v>45813.36284722222</v>
      </c>
      <c r="C2257" s="1" t="n">
        <v>46076</v>
      </c>
      <c r="D2257" t="inlineStr">
        <is>
          <t>VÄRMLANDS LÄN</t>
        </is>
      </c>
      <c r="E2257" t="inlineStr">
        <is>
          <t>TORSBY</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27291-2025</t>
        </is>
      </c>
      <c r="B2258" s="1" t="n">
        <v>45812.55769675926</v>
      </c>
      <c r="C2258" s="1" t="n">
        <v>46076</v>
      </c>
      <c r="D2258" t="inlineStr">
        <is>
          <t>VÄRMLANDS LÄN</t>
        </is>
      </c>
      <c r="E2258" t="inlineStr">
        <is>
          <t>TORSBY</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27174-2025</t>
        </is>
      </c>
      <c r="B2259" s="1" t="n">
        <v>45812.34997685185</v>
      </c>
      <c r="C2259" s="1" t="n">
        <v>46076</v>
      </c>
      <c r="D2259" t="inlineStr">
        <is>
          <t>VÄRMLANDS LÄN</t>
        </is>
      </c>
      <c r="E2259" t="inlineStr">
        <is>
          <t>TORSBY</t>
        </is>
      </c>
      <c r="F2259" t="inlineStr">
        <is>
          <t>Kyrkan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27759-2025</t>
        </is>
      </c>
      <c r="B2260" s="1" t="n">
        <v>45816.48986111111</v>
      </c>
      <c r="C2260" s="1" t="n">
        <v>46076</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27863-2025</t>
        </is>
      </c>
      <c r="B2261" s="1" t="n">
        <v>45817.42118055555</v>
      </c>
      <c r="C2261" s="1" t="n">
        <v>46076</v>
      </c>
      <c r="D2261" t="inlineStr">
        <is>
          <t>VÄRMLANDS LÄN</t>
        </is>
      </c>
      <c r="E2261" t="inlineStr">
        <is>
          <t>TORSBY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27730-2025</t>
        </is>
      </c>
      <c r="B2262" s="1" t="n">
        <v>45814</v>
      </c>
      <c r="C2262" s="1" t="n">
        <v>46076</v>
      </c>
      <c r="D2262" t="inlineStr">
        <is>
          <t>VÄRMLANDS LÄN</t>
        </is>
      </c>
      <c r="E2262" t="inlineStr">
        <is>
          <t>TORSBY</t>
        </is>
      </c>
      <c r="F2262" t="inlineStr">
        <is>
          <t>Bergvik skog väst AB</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27968-2025</t>
        </is>
      </c>
      <c r="B2263" s="1" t="n">
        <v>45817.55846064815</v>
      </c>
      <c r="C2263" s="1" t="n">
        <v>46076</v>
      </c>
      <c r="D2263" t="inlineStr">
        <is>
          <t>VÄRMLANDS LÄN</t>
        </is>
      </c>
      <c r="E2263" t="inlineStr">
        <is>
          <t>TORSBY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27856-2025</t>
        </is>
      </c>
      <c r="B2264" s="1" t="n">
        <v>45817.41006944444</v>
      </c>
      <c r="C2264" s="1" t="n">
        <v>46076</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c r="A2265" t="inlineStr">
        <is>
          <t>A 24493-2024</t>
        </is>
      </c>
      <c r="B2265" s="1" t="n">
        <v>45459.72136574074</v>
      </c>
      <c r="C2265" s="1" t="n">
        <v>46076</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2026-02-23T11:08:53Z</dcterms:created>
  <dcterms:modified xmlns:dcterms="http://purl.org/dc/terms/" xmlns:xsi="http://www.w3.org/2001/XMLSchema-instance" xsi:type="dcterms:W3CDTF">2026-02-23T11:08:55Z</dcterms:modified>
</cp:coreProperties>
</file>