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6315-2025</t>
        </is>
      </c>
      <c r="B10" s="1" t="n">
        <v>45698</v>
      </c>
      <c r="C10" s="1" t="n">
        <v>45738</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27265-2020</t>
        </is>
      </c>
      <c r="B11" s="1" t="n">
        <v>43992</v>
      </c>
      <c r="C11" s="1" t="n">
        <v>45738</v>
      </c>
      <c r="D11" t="inlineStr">
        <is>
          <t>VÄRMLANDS LÄN</t>
        </is>
      </c>
      <c r="E11" t="inlineStr">
        <is>
          <t>TORSBY</t>
        </is>
      </c>
      <c r="G11" t="n">
        <v>47.8</v>
      </c>
      <c r="H11" t="n">
        <v>3</v>
      </c>
      <c r="I11" t="n">
        <v>5</v>
      </c>
      <c r="J11" t="n">
        <v>9</v>
      </c>
      <c r="K11" t="n">
        <v>1</v>
      </c>
      <c r="L11" t="n">
        <v>0</v>
      </c>
      <c r="M11" t="n">
        <v>0</v>
      </c>
      <c r="N11" t="n">
        <v>0</v>
      </c>
      <c r="O11" t="n">
        <v>10</v>
      </c>
      <c r="P11" t="n">
        <v>1</v>
      </c>
      <c r="Q11" t="n">
        <v>15</v>
      </c>
      <c r="R11" s="2" t="inlineStr">
        <is>
          <t>Norsk näverlav
Doftskinn
Dvärgbägarlav
Gammelgransskål
Garnlav
Kolflarnlav
Kortskaftad ärgspik
Mörk kolflarnlav
Vedskivlav
Violettgrå tagellav
Kattfotslav
Korallrot
Plattlummer
Spindelblomster
Vedticka</t>
        </is>
      </c>
      <c r="S11">
        <f>HYPERLINK("https://klasma.github.io/Logging_1737/artfynd/A 27265-2020 artfynd.xlsx", "A 27265-2020")</f>
        <v/>
      </c>
      <c r="T11">
        <f>HYPERLINK("https://klasma.github.io/Logging_1737/kartor/A 27265-2020 karta.png", "A 27265-2020")</f>
        <v/>
      </c>
      <c r="V11">
        <f>HYPERLINK("https://klasma.github.io/Logging_1737/klagomål/A 27265-2020 FSC-klagomål.docx", "A 27265-2020")</f>
        <v/>
      </c>
      <c r="W11">
        <f>HYPERLINK("https://klasma.github.io/Logging_1737/klagomålsmail/A 27265-2020 FSC-klagomål mail.docx", "A 27265-2020")</f>
        <v/>
      </c>
      <c r="X11">
        <f>HYPERLINK("https://klasma.github.io/Logging_1737/tillsyn/A 27265-2020 tillsynsbegäran.docx", "A 27265-2020")</f>
        <v/>
      </c>
      <c r="Y11">
        <f>HYPERLINK("https://klasma.github.io/Logging_1737/tillsynsmail/A 27265-2020 tillsynsbegäran mail.docx", "A 27265-2020")</f>
        <v/>
      </c>
    </row>
    <row r="12" ht="15" customHeight="1">
      <c r="A12" t="inlineStr">
        <is>
          <t>A 19458-2024</t>
        </is>
      </c>
      <c r="B12" s="1" t="n">
        <v>45429</v>
      </c>
      <c r="C12" s="1" t="n">
        <v>45738</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45738</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45738</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45738</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45738</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45738</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45738</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45738</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45738</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45738</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45738</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45738</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45738</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45738</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45738</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45738</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45738</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45738</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45738</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45738</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45738</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45738</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45738</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45738</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45738</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45738</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45738</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45738</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45738</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45738</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45738</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45738</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45738</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45738</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45738</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45738</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45738</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45738</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45738</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45738</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45738</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45738</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45738</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45738</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45738</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45738</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45738</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45738</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45738</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45738</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45738</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45738</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45738</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45738</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45738</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45738</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45738</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45738</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45738</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45738</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45738</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45738</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45738</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45738</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45738</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45738</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45738</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45738</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45738</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45738</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45738</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45738</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45738</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45738</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45738</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45738</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45738</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45738</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45738</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45738</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45738</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45738</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45738</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45738</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45738</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45738</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45738</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45738</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45738</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45738</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45738</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45738</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45738</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45738</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45738</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45738</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45738</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45738</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45738</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45738</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45738</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45738</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45738</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45738</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45738</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45738</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45738</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45738</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45738</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45738</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45738</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45738</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45738</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45738</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45738</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45738</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45738</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45738</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45738</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45738</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45738</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45738</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45738</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45738</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45738</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45738</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45738</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45738</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45738</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45738</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45738</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45738</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45738</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45738</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45738</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45738</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45738</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45738</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45738</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45738</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45738</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45738</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45738</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45738</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45738</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45738</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45738</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45738</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45738</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45738</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45738</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45738</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45738</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45738</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45738</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45738</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45738</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45738</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45738</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45738</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45738</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45738</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45738</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45738</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45738</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45738</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45738</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45738</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45738</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45738</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45738</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45738</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45738</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45738</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45738</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45738</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45738</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45738</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45738</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45738</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45738</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45738</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45738</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45738</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45738</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45738</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45738</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45738</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45738</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45738</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45738</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45738</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45738</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45738</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45738</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45738</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45738</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45738</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45738</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45738</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45738</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45738</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45738</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45738</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45738</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45738</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45738</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45738</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45738</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45738</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45738</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45738</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45738</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45738</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45738</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45738</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45738</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45738</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45738</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45738</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45738</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45738</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45738</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45738</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45738</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45738</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45738</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45738</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45738</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45738</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45738</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45738</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45738</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45738</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45738</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45738</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45738</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45738</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45738</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45738</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45738</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45738</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45738</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45738</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45738</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45738</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45738</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45738</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45738</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45738</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45738</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45738</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45738</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45738</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45738</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45738</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45738</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45738</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45738</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45738</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45738</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45738</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45738</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45738</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45738</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45738</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45738</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45738</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45738</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45738</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45738</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45738</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45738</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45738</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45738</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45738</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45738</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45738</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45738</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45738</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45738</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45738</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45738</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45738</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45738</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45738</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45738</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45738</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45738</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45738</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45738</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45738</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45738</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45738</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45738</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45738</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45738</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45738</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45738</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45738</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45738</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45738</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45738</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45738</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45738</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45738</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45738</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45738</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45738</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45738</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45738</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45738</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45738</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45738</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45738</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45738</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45738</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45738</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45738</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45738</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45738</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45738</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45738</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45738</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45738</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45738</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45738</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45738</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45738</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45738</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45738</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45738</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45738</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45738</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45738</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45738</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45738</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45738</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45738</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45738</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45738</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45738</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45738</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45738</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45738</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45738</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45738</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45738</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45738</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45738</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45738</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45738</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45738</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45738</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45738</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45738</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45738</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45738</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45738</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45738</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45738</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45738</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45738</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45738</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45738</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45738</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45738</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45738</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45738</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45738</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45738</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45738</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45738</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45738</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45738</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45738</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45738</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45738</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45738</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45738</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45738</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45738</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45738</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45738</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45738</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45738</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45738</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45738</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45738</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45738</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45738</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45738</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45738</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45738</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45738</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45738</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45738</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45738</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45738</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45738</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45738</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45738</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45738</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45738</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45738</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45738</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45738</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45738</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45738</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45738</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45738</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45738</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45738</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45738</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45738</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45738</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45738</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45738</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45738</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45738</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45738</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45738</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45738</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45738</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45738</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45738</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45738</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45738</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45738</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45738</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45738</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45738</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45738</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45738</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45738</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45738</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45738</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45738</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45738</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45738</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45738</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45738</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45738</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45738</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45738</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45738</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45738</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45738</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45738</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45738</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45738</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45738</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45738</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45738</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45738</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45738</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45738</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45738</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45738</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45738</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45738</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45738</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45738</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45738</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45738</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45738</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45738</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45738</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45738</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45738</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45738</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45738</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45738</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45738</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45738</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45738</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45738</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45738</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45738</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45738</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45738</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45738</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45738</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45738</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45738</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45738</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45738</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45738</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45738</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45738</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45738</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45738</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45738</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45738</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45738</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45738</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45738</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45738</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45738</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45738</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45738</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45738</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45738</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45738</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45738</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45738</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45738</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45738</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45738</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45738</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45738</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45738</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45738</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45738</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45738</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45738</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45738</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45738</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45738</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45738</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45738</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45738</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45738</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45738</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45738</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45738</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45738</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45738</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45738</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45738</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45738</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45738</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45738</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45738</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45738</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45738</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45738</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45738</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45738</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45738</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45738</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45738</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45738</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45738</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45738</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45738</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45738</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45738</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45738</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45738</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45738</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45738</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45738</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45738</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45738</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45738</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45738</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45738</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45738</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45738</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45738</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45738</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45738</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45738</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45738</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45738</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45738</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45738</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45738</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45738</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45738</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45738</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45738</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45738</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45738</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45738</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45738</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45738</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45738</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45738</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45738</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45738</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45738</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45738</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45738</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45738</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45738</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45738</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45738</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45738</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45738</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45738</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45738</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45738</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45738</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45738</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45738</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45738</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45738</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45738</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45738</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45738</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45738</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45738</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45738</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45738</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45738</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45738</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45738</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45738</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45738</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45738</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45738</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45738</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45738</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45738</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45738</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45738</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45738</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45738</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45738</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45738</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45738</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45738</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45738</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45738</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45738</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45738</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45738</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45738</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45738</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45738</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45738</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45738</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45738</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45738</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45738</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45738</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45738</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45738</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45738</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45738</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45738</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45738</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45738</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45738</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45738</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45738</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45738</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45738</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45738</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45738</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45738</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45738</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45738</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45738</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45738</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45738</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45738</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45738</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45738</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45738</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45738</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45738</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45738</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45738</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45738</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45738</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45738</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45738</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45738</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45738</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45738</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45738</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45738</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45738</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45738</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45738</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45738</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45738</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45738</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45738</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45738</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45738</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45738</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45738</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45738</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45738</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45738</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45738</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45738</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45738</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45738</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45738</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45738</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45738</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45738</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45738</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45738</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45738</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45738</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45738</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45738</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45738</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45738</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45738</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45738</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45738</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45738</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45738</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45738</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45738</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45738</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45738</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45738</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45738</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45738</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45738</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45738</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45738</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45738</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45738</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45738</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45738</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45738</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45738</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45738</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45738</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45738</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45738</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45738</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45738</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45738</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45738</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45738</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45738</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45738</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45738</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45738</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45738</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45738</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45738</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45738</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45738</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45738</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45738</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45738</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45738</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45738</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45738</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45738</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45738</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45738</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45738</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45738</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45738</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45738</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45738</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45738</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45738</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45738</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45738</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45738</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45738</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45738</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45738</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45738</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45738</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45738</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45738</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45738</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45738</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45738</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45738</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45738</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45738</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45738</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45738</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45738</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45738</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45738</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45738</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45738</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45738</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45738</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45738</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45738</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45738</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45738</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45738</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45738</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45738</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45738</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45738</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45738</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45738</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45738</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45738</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45738</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45738</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45738</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45738</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45738</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45738</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45738</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45738</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45738</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45738</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45738</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45738</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45738</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45738</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45738</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45738</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45738</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45738</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45738</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45738</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45738</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45738</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45738</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45738</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45738</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45738</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45738</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45738</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45738</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45738</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45738</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45738</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45738</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45738</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45738</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45738</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45738</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45738</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45738</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45738</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45738</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45738</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45738</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45738</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45738</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45738</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45738</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45738</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45738</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45738</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45738</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45738</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45738</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45738</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45738</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45738</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45738</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45738</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45738</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45738</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45738</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45738</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45738</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45738</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45738</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45738</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45738</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45738</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45738</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45738</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45738</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45738</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45738</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45738</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45738</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45738</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45738</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45738</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45738</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45738</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45738</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45738</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45738</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45738</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45738</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45738</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45738</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45738</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45738</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45738</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45738</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45738</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45738</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45738</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45738</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45738</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45738</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45738</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45738</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45738</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45738</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45738</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45738</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45738</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45738</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45738</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45738</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45738</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45738</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45738</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45738</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45738</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45738</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45738</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45738</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45738</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45738</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45738</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45738</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45738</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45738</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45738</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45738</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45738</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45738</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45738</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45738</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45738</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45738</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45738</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45738</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45738</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45738</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45738</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45738</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45738</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45738</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45738</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45738</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45738</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45738</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45738</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45738</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45738</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45738</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45738</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45738</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45738</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45738</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45738</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45738</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45738</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45738</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45738</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45738</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45738</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45738</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45738</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45738</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45738</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45738</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45738</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45738</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45738</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45738</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45738</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45738</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45738</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45738</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45738</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45738</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45738</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45738</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45738</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45738</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45738</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45738</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45738</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45738</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45738</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45738</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45738</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45738</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45738</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45738</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45738</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45738</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45738</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45738</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45738</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45738</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45738</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45738</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45738</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45738</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45738</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45738</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45738</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45738</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45738</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45738</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45738</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45738</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45738</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45738</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45738</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45738</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45738</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45738</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45738</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45738</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45738</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45738</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45738</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45738</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45738</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45738</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45738</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45738</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45738</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45738</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45738</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45738</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45738</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45738</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45738</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45738</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45738</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45738</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45738</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45738</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45738</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45738</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45738</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45738</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45738</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45738</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45738</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45738</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45738</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45738</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45738</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45738</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45738</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45738</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45738</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45738</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45738</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45738</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45738</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45738</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45738</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45738</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45738</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45738</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45738</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45738</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45738</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45738</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45738</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45738</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45738</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45738</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45738</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45738</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45738</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45738</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45738</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45738</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45738</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45738</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45738</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45738</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45738</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45738</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45738</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45738</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45738</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45738</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45738</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45738</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45738</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45738</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45738</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45738</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45738</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45738</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45738</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45738</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45738</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45738</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45738</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45738</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45738</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45738</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45738</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45738</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45738</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45738</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45738</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45738</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45738</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45738</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45738</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45738</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45738</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45738</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45738</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45738</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45738</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45738</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45738</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45738</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45738</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45738</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45738</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45738</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45738</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45738</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45738</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45738</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45738</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45738</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45738</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45738</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45738</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45738</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45738</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45738</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45738</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45738</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45738</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45738</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45738</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45738</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45738</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45738</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45738</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45738</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45738</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45738</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45738</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45738</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45738</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45738</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45738</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45738</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45738</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45738</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45738</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45738</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45738</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45738</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45738</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45738</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45738</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45738</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45738</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45738</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45738</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45738</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45738</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45738</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45738</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45738</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45738</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45738</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45738</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45738</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45738</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45738</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45738</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45738</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45738</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45738</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45738</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45738</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45738</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45738</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45738</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45738</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45738</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45738</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45738</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45738</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45738</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45738</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45738</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45738</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45738</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45738</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45738</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45738</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45738</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45738</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45738</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45738</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45738</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45738</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45738</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45738</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45738</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45738</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45738</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45738</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45738</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45738</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45738</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45738</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45738</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45738</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45738</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45738</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45738</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45738</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45738</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45738</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45738</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45738</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45738</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45738</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45738</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45738</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45738</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45738</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45738</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45738</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45738</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45738</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45738</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45738</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45738</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45738</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45738</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45738</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45738</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45738</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45738</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45738</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45738</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45738</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45738</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45738</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45738</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45738</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45738</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45738</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45738</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45738</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45738</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45738</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45738</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45738</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45738</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45738</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45738</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45738</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45738</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45738</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45738</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45738</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45738</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45738</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45738</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45738</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45738</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45738</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45738</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45738</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45738</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45738</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45738</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45738</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45738</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45738</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45738</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45738</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45738</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45738</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45738</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45738</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45738</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45738</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45738</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45738</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45738</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45738</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45738</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45738</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45738</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45738</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45738</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45738</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45738</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45738</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45738</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45738</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45738</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45738</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45738</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45738</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45738</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45738</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45738</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45738</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45738</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45738</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45738</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45738</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45738</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45738</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45738</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45738</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45738</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45738</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45738</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45738</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45738</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45738</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45738</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45738</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45738</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45738</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45738</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45738</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45738</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45738</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45738</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45738</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45738</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45738</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45738</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45738</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45738</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45738</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45738</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45738</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45738</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45738</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45738</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45738</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45738</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45738</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45738</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45738</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45738</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45738</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45738</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45738</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45738</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45738</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45738</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45738</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45738</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45738</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45738</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45738</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45738</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45738</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45738</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45738</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45738</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45738</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45738</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45738</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45738</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45738</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45738</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45738</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45738</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45738</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45738</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45738</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45738</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45738</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45738</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45738</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45738</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45738</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45738</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45738</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45738</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45738</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45738</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45738</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45738</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45738</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45738</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45738</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45738</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45738</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45738</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45738</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45738</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45738</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45738</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45738</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45738</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45738</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45738</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45738</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45738</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45738</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45738</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45738</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45738</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45738</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45738</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45738</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45738</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45738</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45738</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45738</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45738</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45738</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45738</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45738</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45738</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45738</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45738</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45738</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45738</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45738</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45738</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45738</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45738</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45738</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45738</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45738</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45738</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45738</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45738</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45738</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45738</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45738</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45738</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45738</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45738</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45738</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45738</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45738</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45738</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45738</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45738</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45738</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45738</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45738</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45738</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45738</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45738</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45738</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45738</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45738</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45738</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45738</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45738</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45738</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45738</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45738</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45738</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45738</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45738</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45738</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45738</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45738</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45738</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45738</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45738</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45738</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45738</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45738</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45738</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45738</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45738</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45738</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45738</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45738</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45738</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45738</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45738</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45738</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45738</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45738</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45738</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45738</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45738</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45738</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45738</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45738</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45738</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45738</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45738</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45738</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45738</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45738</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45738</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45738</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45738</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45738</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45738</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45738</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45738</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45738</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45738</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45738</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45738</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45738</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45738</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45738</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45738</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45738</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45738</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45738</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45738</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45738</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45738</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45738</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45738</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45738</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45738</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45738</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45738</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45738</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45738</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45738</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45738</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45738</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45738</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45738</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45738</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45738</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45738</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45738</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45738</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45738</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45738</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45738</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45738</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45738</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45738</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45738</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45738</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45738</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45738</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45738</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45738</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45738</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45738</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45738</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45738</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45738</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45738</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45738</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45738</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45738</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45738</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45738</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45738</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45738</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45738</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45738</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45738</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45738</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45738</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45738</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45738</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45738</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45738</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45738</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45738</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45738</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45738</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45738</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45738</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45738</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45738</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45738</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45738</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45738</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45738</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45738</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45738</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45738</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45738</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45738</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45738</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45738</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45738</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45738</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45738</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45738</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45738</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45738</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45738</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45738</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45738</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45738</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45738</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45738</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45738</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45738</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45738</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45738</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45738</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45738</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45738</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45738</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45738</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45738</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45738</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45738</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45738</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45738</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45738</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45738</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45738</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45738</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45738</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45738</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45738</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45738</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45738</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45738</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45738</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45738</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45738</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45738</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45738</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45738</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45738</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45738</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45738</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45738</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45738</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45738</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45738</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45738</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45738</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45738</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45738</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45738</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45738</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45738</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45738</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45738</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45738</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45738</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45738</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45738</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45738</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45738</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45738</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45738</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45738</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45738</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45738</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45738</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45738</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45738</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45738</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45738</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45738</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45738</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45738</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45738</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45738</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45738</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45738</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45738</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45738</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45738</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45738</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45738</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45738</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45738</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45738</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45738</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45738</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45738</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45738</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45738</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45738</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45738</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45738</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45738</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45738</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45738</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45738</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45738</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45738</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45738</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45738</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45738</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45738</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45738</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45738</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45738</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45738</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45738</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45738</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45738</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45738</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45738</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45738</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45738</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45738</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45738</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45738</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45738</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45738</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45738</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45738</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45738</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45738</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45738</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45738</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45738</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45738</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45738</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45738</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45738</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45738</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45738</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45738</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45738</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45738</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45738</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45738</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45738</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45738</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45738</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45738</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45738</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45738</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45738</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45738</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45738</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45738</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45738</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45738</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45738</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45738</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45738</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45738</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45738</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45738</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45738</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45738</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45738</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45738</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45738</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45738</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45738</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45738</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45738</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45738</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45738</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45738</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45738</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45738</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45738</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45738</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45738</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45738</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45738</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45738</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45738</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45738</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45738</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45738</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45738</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45738</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45738</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45738</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45738</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45738</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45738</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45738</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45738</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45738</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45738</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45738</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45738</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45738</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45738</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45738</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45738</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45738</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45738</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45738</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45738</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45738</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45738</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45738</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45738</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45738</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45738</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45738</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45738</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45738</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45738</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45738</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45738</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45738</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45738</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45738</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45738</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45738</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45738</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45738</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45738</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45738</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45738</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45738</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45738</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45738</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45738</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45738</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45738</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45738</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45738</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45738</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45738</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45738</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45738</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45738</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45738</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45738</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45738</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45738</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45738</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45738</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45738</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45738</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45738</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45738</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45738</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45738</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45738</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45738</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45738</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45738</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45738</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45738</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45738</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45738</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45738</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45738</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45738</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45738</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45738</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45738</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45738</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45738</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45738</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45738</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45738</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45738</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45738</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45738</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45738</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45738</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45738</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45738</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45738</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45738</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45738</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45738</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45738</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45738</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45738</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45738</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45738</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45738</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45738</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45738</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45738</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45738</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45738</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45738</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45738</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45738</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45738</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45738</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45738</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45738</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45738</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45738</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45738</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45738</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45738</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45738</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45738</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45738</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45738</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45738</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45738</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45738</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45738</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45738</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45738</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45738</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45738</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45738</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45738</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45738</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45738</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45738</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45738</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45738</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45738</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45738</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45738</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45738</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45738</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45738</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45738</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45738</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45738</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45738</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45738</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45738</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45738</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45738</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45738</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45738</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45738</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45738</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45738</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45738</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45738</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45738</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45738</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45738</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45738</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45738</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45738</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45738</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45738</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45738</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45738</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45738</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45738</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45738</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45738</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45738</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45738</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45738</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45738</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45738</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45738</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45738</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45738</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45738</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45738</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45738</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45738</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45738</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45738</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45738</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45738</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45738</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45738</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45738</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45738</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45738</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45738</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45738</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45738</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45738</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45738</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45738</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45738</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45738</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45738</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45738</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45738</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45738</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45738</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45738</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45738</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45738</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45738</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45738</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45738</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45738</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45738</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45738</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45738</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45738</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45738</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45738</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45738</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45738</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45738</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45738</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45738</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45738</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45738</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45738</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45738</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45738</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45738</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45738</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45738</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45738</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45738</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45738</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45738</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45738</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45738</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45738</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45738</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45738</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45738</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45738</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45738</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45738</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45738</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45738</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45738</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45738</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45738</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45738</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45738</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45738</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45738</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45738</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45738</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45738</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45738</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45738</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45738</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45738</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45738</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45738</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45738</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45738</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45738</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45738</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45738</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45738</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45738</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45738</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45738</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45738</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45738</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45738</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45738</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45738</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45738</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45738</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45738</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45738</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45738</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45738</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45738</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45738</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45738</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45738</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45738</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45738</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45738</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45738</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45738</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45738</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45738</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45738</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45738</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45738</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45738</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45738</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45738</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45738</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45738</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45738</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45738</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45738</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45738</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45738</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45738</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45738</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45738</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45738</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45738</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45738</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45738</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45738</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45738</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45738</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45738</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45738</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45738</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45738</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45738</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45738</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45738</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45738</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45738</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45738</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45738</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45738</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45738</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45738</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45738</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45738</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45738</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45738</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45738</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45738</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45738</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45738</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45738</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45738</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45738</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45738</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45738</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45738</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45738</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45738</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45738</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45738</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45738</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45738</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45738</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45738</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45738</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45738</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45738</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45738</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45738</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45738</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45738</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45738</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45738</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45738</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45738</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45738</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45738</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45738</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45738</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45738</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45738</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45738</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45738</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45738</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45738</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45738</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45738</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45738</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45738</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45738</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45738</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45738</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45738</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45738</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45738</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45738</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45738</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45738</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45738</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45738</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45738</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45738</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45738</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45738</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45738</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45738</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45738</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45738</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45738</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45738</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45738</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45738</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45738</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45738</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45738</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45738</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45738</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45738</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45738</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45738</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45738</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45738</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45738</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45738</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45738</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45738</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45738</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45738</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45738</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45738</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45738</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45738</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45738</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45738</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45738</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45738</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45738</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45738</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45738</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45738</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45738</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45738</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45738</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45738</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45738</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45738</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45738</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45738</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45738</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45738</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45738</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45738</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45738</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45738</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45738</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45738</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45738</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45738</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45738</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45738</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45738</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45738</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45738</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45738</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45738</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45738</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45738</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45738</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45738</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45738</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45738</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45738</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45738</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45738</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45738</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45738</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45738</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45738</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45738</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45738</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45738</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45738</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45738</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45738</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45738</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45738</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45738</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45738</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45738</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45738</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45738</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45738</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45738</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45738</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45738</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45738</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45738</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45738</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45738</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45738</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45738</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45738</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45738</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45738</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45738</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45738</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45738</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45738</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45738</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45738</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45738</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45738</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45738</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45738</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45738</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45738</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45738</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45738</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45738</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45738</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45738</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45738</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45738</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45738</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45738</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45738</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45738</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45738</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45738</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45738</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45738</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45738</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45738</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45738</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45738</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45738</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45738</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45738</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45738</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45738</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45738</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45738</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45738</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45738</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45738</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45738</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45738</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45738</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45738</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45738</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45738</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45738</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45738</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45738</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45738</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45738</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45738</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45738</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45738</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45738</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45738</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45738</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45738</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45738</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45738</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45738</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45738</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45738</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45738</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45738</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45738</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45738</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45738</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45738</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45738</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45738</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45738</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45738</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45738</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45738</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45738</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45738</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45738</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45738</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45738</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45738</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45738</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45738</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45738</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45738</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45738</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45738</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45738</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45738</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45738</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45738</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45738</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45738</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45738</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45738</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45738</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45738</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45738</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45738</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45738</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45738</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45738</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45738</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45738</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45738</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45738</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45738</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45738</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45738</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45738</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45738</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45738</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45738</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45738</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45738</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45738</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45738</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45738</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45738</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45738</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45738</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45738</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45738</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45738</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45738</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45738</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45738</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45738</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45738</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45738</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45738</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45738</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45738</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45738</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45738</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45738</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45738</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45738</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45738</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45738</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45738</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45738</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45738</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45738</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45738</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45738</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45738</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45738</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45738</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45738</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45738</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45738</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45738</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45738</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45738</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45738</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45738</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45738</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45738</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45738</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45738</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45738</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45738</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45738</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45738</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45738</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45738</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45738</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45738</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45738</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45738</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45738</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45738</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45738</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45738</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45738</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45738</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45738</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45738</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45738</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45738</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45738</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45738</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45738</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45738</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45738</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45738</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45738</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45738</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45738</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45738</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45738</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45738</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45738</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45738</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45738</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45738</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45738</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45738</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45738</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45738</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45738</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45738</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45738</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45738</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45738</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45738</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45738</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45738</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45738</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45738</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45738</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45738</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45738</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45738</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45738</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45738</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45738</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45738</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45738</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45738</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45738</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45738</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45738</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45738</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45738</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45738</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45738</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45738</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45738</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45738</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45738</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45738</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45738</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45738</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45738</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45738</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45738</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45738</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45738</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45738</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45738</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45738</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45738</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45738</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45738</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45738</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45738</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45738</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45738</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45738</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45738</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45738</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45738</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45738</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45738</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45738</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45738</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45738</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45738</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45738</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45738</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45738</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45738</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45738</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45738</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45738</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45738</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45738</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45738</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45738</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45738</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45738</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45738</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45738</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45738</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45738</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45738</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45738</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45738</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45738</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45738</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45738</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45738</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45738</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45738</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45738</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45738</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45738</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45738</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45738</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45738</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45738</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45738</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45738</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45738</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45738</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45738</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45738</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45738</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45738</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45738</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45738</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45738</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45738</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45738</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45738</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45738</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45738</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45738</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45738</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45738</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45738</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45738</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45738</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45738</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45738</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45738</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45738</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45738</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45738</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45738</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45738</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45738</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45738</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45738</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45738</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45738</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45738</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45738</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45738</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45738</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45738</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45738</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45738</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45738</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45738</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45738</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45738</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45738</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45738</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45738</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45738</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45738</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45738</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45738</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45738</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45738</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45738</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45738</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45738</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45738</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45738</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45738</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45738</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45738</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45738</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45738</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45738</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45738</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45738</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45738</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45738</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45738</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45738</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45738</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45738</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45738</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45738</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45738</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45738</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45738</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45738</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45738</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45738</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45738</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45738</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45738</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45738</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45738</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45738</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45738</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45738</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45738</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45738</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45738</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45738</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45738</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45738</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45738</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45738</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45738</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45738</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45738</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45738</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45738</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45738</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45738</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45738</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45738</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45738</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45738</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45738</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45738</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45738</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45738</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45738</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45738</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45738</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45738</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45738</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45738</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45738</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45738</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45738</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45738</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45738</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45738</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45738</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45738</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45738</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45738</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45738</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45738</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45738</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45738</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45738</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45738</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45738</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45738</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45738</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45738</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45738</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45738</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45738</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45738</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45738</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45738</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45738</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45738</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45738</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45738</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45738</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45738</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45738</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45738</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45738</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45738</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45738</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45738</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45738</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45738</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45738</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45738</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45738</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45738</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45738</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45738</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45738</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45738</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45738</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45738</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45738</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45738</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45738</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45738</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45738</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45738</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45738</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45738</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45738</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45738</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45738</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45738</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45738</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45738</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45738</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45738</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45738</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45738</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45738</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45738</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45738</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45738</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45738</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45738</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45738</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45738</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45738</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45738</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45738</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45738</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45738</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45738</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45738</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45738</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45738</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45738</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45738</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45738</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45738</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45738</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45738</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45738</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45738</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45738</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45738</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45738</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45738</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45738</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45738</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45738</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45738</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45738</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45738</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45738</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45738</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45738</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45738</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45738</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45738</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45738</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45738</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45738</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45738</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45738</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45738</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45738</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45738</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45738</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45738</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45738</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45738</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45738</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45738</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45738</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45738</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45738</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45738</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45738</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45738</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45738</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45738</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45738</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45738</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45738</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45738</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45738</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45738</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45738</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45738</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45738</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45738</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45738</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45738</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45738</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45738</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45738</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45738</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45738</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45738</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45738</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45738</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45738</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45738</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45738</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45738</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45738</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45738</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45738</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45738</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45738</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45738</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45738</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45738</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45738</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45738</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45738</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45738</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45738</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45738</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45738</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45738</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45738</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45738</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45738</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45738</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45738</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45738</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45738</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45738</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45738</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45738</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45738</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45738</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45738</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45738</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45738</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45738</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45738</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45738</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45738</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45738</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45738</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45738</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45738</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45738</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45738</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45738</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45738</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45738</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45738</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45738</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45738</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45738</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45738</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45738</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45738</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45738</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45738</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45738</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45738</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45738</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45738</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45738</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45738</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45738</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45738</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45738</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45738</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45738</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45738</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45738</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45738</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45738</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45738</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45738</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45738</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45738</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45738</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45738</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45738</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45738</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45738</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45738</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45738</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45738</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45738</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45738</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45738</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45738</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45738</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45738</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45738</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45738</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45738</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45738</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45738</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45738</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45738</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45738</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45738</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45738</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45738</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45738</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45738</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45738</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45738</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45738</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45738</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45738</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45738</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45738</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45738</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45738</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45738</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45738</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45738</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45738</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45738</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45738</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45738</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45738</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45738</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45738</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45738</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45738</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45738</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45738</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45738</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45738</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45738</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45738</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45738</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45738</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45738</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45738</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45738</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45738</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45738</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45738</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45738</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45738</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45738</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45738</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45738</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45738</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45738</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45738</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45738</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45738</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45738</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45738</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45738</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45738</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45738</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45738</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45738</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45738</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45738</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45738</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45738</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45738</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45738</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45738</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45738</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45738</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45738</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45738</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45738</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45738</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45738</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45738</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45738</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45738</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45738</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45738</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45738</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45738</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45738</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45738</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45738</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45738</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45738</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45738</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45738</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45738</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45738</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45738</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45738</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45738</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45738</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45738</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45738</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45738</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45738</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45738</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45738</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45738</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45738</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45738</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45738</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45738</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45738</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45738</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45738</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45738</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45738</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45738</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45738</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45738</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45738</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45738</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45738</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45738</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45738</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45738</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45738</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45738</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45738</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45738</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45738</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45738</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45738</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45738</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45738</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45738</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45738</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45738</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45738</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45738</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45738</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45738</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45738</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45738</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45738</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45738</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45738</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45738</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45738</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45738</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45738</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45738</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45738</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45738</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45738</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45738</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45738</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45738</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45738</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45738</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45738</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45738</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45738</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45738</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45738</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45738</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45738</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45738</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45738</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45738</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45738</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45738</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45738</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45738</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45738</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45738</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45738</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45738</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45738</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45738</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45738</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45738</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45738</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45738</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45738</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45738</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45738</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45738</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45738</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45738</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7378-2025</t>
        </is>
      </c>
      <c r="B3123" s="1" t="n">
        <v>45705</v>
      </c>
      <c r="C3123" s="1" t="n">
        <v>45738</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7420-2025</t>
        </is>
      </c>
      <c r="B3124" s="1" t="n">
        <v>45705</v>
      </c>
      <c r="C3124" s="1" t="n">
        <v>45738</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45738</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8070-2025</t>
        </is>
      </c>
      <c r="B3126" s="1" t="n">
        <v>45707</v>
      </c>
      <c r="C3126" s="1" t="n">
        <v>45738</v>
      </c>
      <c r="D3126" t="inlineStr">
        <is>
          <t>VÄRMLANDS LÄN</t>
        </is>
      </c>
      <c r="E3126" t="inlineStr">
        <is>
          <t>TORSBY</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45738</v>
      </c>
      <c r="D3127" t="inlineStr">
        <is>
          <t>VÄRMLANDS LÄN</t>
        </is>
      </c>
      <c r="E3127" t="inlineStr">
        <is>
          <t>TORSBY</t>
        </is>
      </c>
      <c r="G3127" t="n">
        <v>22.6</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45738</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8025-2025</t>
        </is>
      </c>
      <c r="B3129" s="1" t="n">
        <v>45707</v>
      </c>
      <c r="C3129" s="1" t="n">
        <v>45738</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7907-2025</t>
        </is>
      </c>
      <c r="B3130" s="1" t="n">
        <v>45707</v>
      </c>
      <c r="C3130" s="1" t="n">
        <v>45738</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8197-2025</t>
        </is>
      </c>
      <c r="B3131" s="1" t="n">
        <v>45708</v>
      </c>
      <c r="C3131" s="1" t="n">
        <v>45738</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8188-2025</t>
        </is>
      </c>
      <c r="B3132" s="1" t="n">
        <v>45708</v>
      </c>
      <c r="C3132" s="1" t="n">
        <v>45738</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45738</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8398-2025</t>
        </is>
      </c>
      <c r="B3134" s="1" t="n">
        <v>45709</v>
      </c>
      <c r="C3134" s="1" t="n">
        <v>45738</v>
      </c>
      <c r="D3134" t="inlineStr">
        <is>
          <t>VÄRMLANDS LÄN</t>
        </is>
      </c>
      <c r="E3134" t="inlineStr">
        <is>
          <t>TORSBY</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45738</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45738</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45738</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45738</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9286-2025</t>
        </is>
      </c>
      <c r="B3139" s="1" t="n">
        <v>45714</v>
      </c>
      <c r="C3139" s="1" t="n">
        <v>45738</v>
      </c>
      <c r="D3139" t="inlineStr">
        <is>
          <t>VÄRMLANDS LÄN</t>
        </is>
      </c>
      <c r="E3139" t="inlineStr">
        <is>
          <t>TORSBY</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45738</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9723-2025</t>
        </is>
      </c>
      <c r="B3141" s="1" t="n">
        <v>45715</v>
      </c>
      <c r="C3141" s="1" t="n">
        <v>45738</v>
      </c>
      <c r="D3141" t="inlineStr">
        <is>
          <t>VÄRMLANDS LÄN</t>
        </is>
      </c>
      <c r="E3141" t="inlineStr">
        <is>
          <t>TORSBY</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9729-2025</t>
        </is>
      </c>
      <c r="B3142" s="1" t="n">
        <v>45715</v>
      </c>
      <c r="C3142" s="1" t="n">
        <v>45738</v>
      </c>
      <c r="D3142" t="inlineStr">
        <is>
          <t>VÄRMLANDS LÄN</t>
        </is>
      </c>
      <c r="E3142" t="inlineStr">
        <is>
          <t>TORSBY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45738</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10006-2025</t>
        </is>
      </c>
      <c r="B3144" s="1" t="n">
        <v>45719</v>
      </c>
      <c r="C3144" s="1" t="n">
        <v>45738</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10108-2025</t>
        </is>
      </c>
      <c r="B3145" s="1" t="n">
        <v>45719</v>
      </c>
      <c r="C3145" s="1" t="n">
        <v>45738</v>
      </c>
      <c r="D3145" t="inlineStr">
        <is>
          <t>VÄRMLANDS LÄN</t>
        </is>
      </c>
      <c r="E3145" t="inlineStr">
        <is>
          <t>TORSBY</t>
        </is>
      </c>
      <c r="F3145" t="inlineStr">
        <is>
          <t>Bergvik skog väst AB</t>
        </is>
      </c>
      <c r="G3145" t="n">
        <v>17.9</v>
      </c>
      <c r="H3145" t="n">
        <v>0</v>
      </c>
      <c r="I3145" t="n">
        <v>0</v>
      </c>
      <c r="J3145" t="n">
        <v>0</v>
      </c>
      <c r="K3145" t="n">
        <v>0</v>
      </c>
      <c r="L3145" t="n">
        <v>0</v>
      </c>
      <c r="M3145" t="n">
        <v>0</v>
      </c>
      <c r="N3145" t="n">
        <v>0</v>
      </c>
      <c r="O3145" t="n">
        <v>0</v>
      </c>
      <c r="P3145" t="n">
        <v>0</v>
      </c>
      <c r="Q3145" t="n">
        <v>0</v>
      </c>
      <c r="R3145" s="2" t="inlineStr"/>
    </row>
    <row r="3146" ht="15" customHeight="1">
      <c r="A3146" t="inlineStr">
        <is>
          <t>A 9942-2025</t>
        </is>
      </c>
      <c r="B3146" s="1" t="n">
        <v>45719</v>
      </c>
      <c r="C3146" s="1" t="n">
        <v>45738</v>
      </c>
      <c r="D3146" t="inlineStr">
        <is>
          <t>VÄRMLANDS LÄN</t>
        </is>
      </c>
      <c r="E3146" t="inlineStr">
        <is>
          <t>TORSBY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10023-2025</t>
        </is>
      </c>
      <c r="B3147" s="1" t="n">
        <v>45719</v>
      </c>
      <c r="C3147" s="1" t="n">
        <v>45738</v>
      </c>
      <c r="D3147" t="inlineStr">
        <is>
          <t>VÄRMLANDS LÄN</t>
        </is>
      </c>
      <c r="E3147" t="inlineStr">
        <is>
          <t>TORSBY</t>
        </is>
      </c>
      <c r="F3147" t="inlineStr">
        <is>
          <t>Bergvik skog väst AB</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10288-2025</t>
        </is>
      </c>
      <c r="B3148" s="1" t="n">
        <v>45720</v>
      </c>
      <c r="C3148" s="1" t="n">
        <v>45738</v>
      </c>
      <c r="D3148" t="inlineStr">
        <is>
          <t>VÄRMLANDS LÄN</t>
        </is>
      </c>
      <c r="E3148" t="inlineStr">
        <is>
          <t>TORSBY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10292-2025</t>
        </is>
      </c>
      <c r="B3149" s="1" t="n">
        <v>45720</v>
      </c>
      <c r="C3149" s="1" t="n">
        <v>45738</v>
      </c>
      <c r="D3149" t="inlineStr">
        <is>
          <t>VÄRMLANDS LÄN</t>
        </is>
      </c>
      <c r="E3149" t="inlineStr">
        <is>
          <t>TORSBY</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10329-2025</t>
        </is>
      </c>
      <c r="B3150" s="1" t="n">
        <v>45720</v>
      </c>
      <c r="C3150" s="1" t="n">
        <v>45738</v>
      </c>
      <c r="D3150" t="inlineStr">
        <is>
          <t>VÄRMLANDS LÄN</t>
        </is>
      </c>
      <c r="E3150" t="inlineStr">
        <is>
          <t>TORSBY</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10343-2025</t>
        </is>
      </c>
      <c r="B3151" s="1" t="n">
        <v>45720</v>
      </c>
      <c r="C3151" s="1" t="n">
        <v>45738</v>
      </c>
      <c r="D3151" t="inlineStr">
        <is>
          <t>VÄRMLANDS LÄN</t>
        </is>
      </c>
      <c r="E3151" t="inlineStr">
        <is>
          <t>TORSBY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10342-2025</t>
        </is>
      </c>
      <c r="B3152" s="1" t="n">
        <v>45720</v>
      </c>
      <c r="C3152" s="1" t="n">
        <v>45738</v>
      </c>
      <c r="D3152" t="inlineStr">
        <is>
          <t>VÄRMLANDS LÄN</t>
        </is>
      </c>
      <c r="E3152" t="inlineStr">
        <is>
          <t>TORSBY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10456-2025</t>
        </is>
      </c>
      <c r="B3153" s="1" t="n">
        <v>45720</v>
      </c>
      <c r="C3153" s="1" t="n">
        <v>45738</v>
      </c>
      <c r="D3153" t="inlineStr">
        <is>
          <t>VÄRMLANDS LÄN</t>
        </is>
      </c>
      <c r="E3153" t="inlineStr">
        <is>
          <t>TORSBY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10816-2025</t>
        </is>
      </c>
      <c r="B3154" s="1" t="n">
        <v>45722</v>
      </c>
      <c r="C3154" s="1" t="n">
        <v>45738</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10917-2025</t>
        </is>
      </c>
      <c r="B3155" s="1" t="n">
        <v>45722</v>
      </c>
      <c r="C3155" s="1" t="n">
        <v>45738</v>
      </c>
      <c r="D3155" t="inlineStr">
        <is>
          <t>VÄRMLANDS LÄN</t>
        </is>
      </c>
      <c r="E3155" t="inlineStr">
        <is>
          <t>TORSBY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45738</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45738</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11406-2025</t>
        </is>
      </c>
      <c r="B3158" s="1" t="n">
        <v>45726</v>
      </c>
      <c r="C3158" s="1" t="n">
        <v>45738</v>
      </c>
      <c r="D3158" t="inlineStr">
        <is>
          <t>VÄRMLANDS LÄN</t>
        </is>
      </c>
      <c r="E3158" t="inlineStr">
        <is>
          <t>TORSBY</t>
        </is>
      </c>
      <c r="G3158" t="n">
        <v>29.3</v>
      </c>
      <c r="H3158" t="n">
        <v>0</v>
      </c>
      <c r="I3158" t="n">
        <v>0</v>
      </c>
      <c r="J3158" t="n">
        <v>0</v>
      </c>
      <c r="K3158" t="n">
        <v>0</v>
      </c>
      <c r="L3158" t="n">
        <v>0</v>
      </c>
      <c r="M3158" t="n">
        <v>0</v>
      </c>
      <c r="N3158" t="n">
        <v>0</v>
      </c>
      <c r="O3158" t="n">
        <v>0</v>
      </c>
      <c r="P3158" t="n">
        <v>0</v>
      </c>
      <c r="Q3158" t="n">
        <v>0</v>
      </c>
      <c r="R3158" s="2" t="inlineStr"/>
    </row>
    <row r="3159" ht="15" customHeight="1">
      <c r="A3159" t="inlineStr">
        <is>
          <t>A 11427-2025</t>
        </is>
      </c>
      <c r="B3159" s="1" t="n">
        <v>45726</v>
      </c>
      <c r="C3159" s="1" t="n">
        <v>45738</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11431-2025</t>
        </is>
      </c>
      <c r="B3160" s="1" t="n">
        <v>45726</v>
      </c>
      <c r="C3160" s="1" t="n">
        <v>45738</v>
      </c>
      <c r="D3160" t="inlineStr">
        <is>
          <t>VÄRMLANDS LÄN</t>
        </is>
      </c>
      <c r="E3160" t="inlineStr">
        <is>
          <t>TORSBY</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11395-2025</t>
        </is>
      </c>
      <c r="B3161" s="1" t="n">
        <v>45726</v>
      </c>
      <c r="C3161" s="1" t="n">
        <v>45738</v>
      </c>
      <c r="D3161" t="inlineStr">
        <is>
          <t>VÄRMLANDS LÄN</t>
        </is>
      </c>
      <c r="E3161" t="inlineStr">
        <is>
          <t>TORSBY</t>
        </is>
      </c>
      <c r="G3161" t="n">
        <v>25.3</v>
      </c>
      <c r="H3161" t="n">
        <v>0</v>
      </c>
      <c r="I3161" t="n">
        <v>0</v>
      </c>
      <c r="J3161" t="n">
        <v>0</v>
      </c>
      <c r="K3161" t="n">
        <v>0</v>
      </c>
      <c r="L3161" t="n">
        <v>0</v>
      </c>
      <c r="M3161" t="n">
        <v>0</v>
      </c>
      <c r="N3161" t="n">
        <v>0</v>
      </c>
      <c r="O3161" t="n">
        <v>0</v>
      </c>
      <c r="P3161" t="n">
        <v>0</v>
      </c>
      <c r="Q3161" t="n">
        <v>0</v>
      </c>
      <c r="R3161" s="2" t="inlineStr"/>
    </row>
    <row r="3162" ht="15" customHeight="1">
      <c r="A3162" t="inlineStr">
        <is>
          <t>A 11581-2025</t>
        </is>
      </c>
      <c r="B3162" s="1" t="n">
        <v>45727</v>
      </c>
      <c r="C3162" s="1" t="n">
        <v>45738</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11569-2025</t>
        </is>
      </c>
      <c r="B3163" s="1" t="n">
        <v>45727</v>
      </c>
      <c r="C3163" s="1" t="n">
        <v>45738</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11670-2025</t>
        </is>
      </c>
      <c r="B3164" s="1" t="n">
        <v>45727</v>
      </c>
      <c r="C3164" s="1" t="n">
        <v>45738</v>
      </c>
      <c r="D3164" t="inlineStr">
        <is>
          <t>VÄRMLANDS LÄN</t>
        </is>
      </c>
      <c r="E3164" t="inlineStr">
        <is>
          <t>TORSBY</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11672-2025</t>
        </is>
      </c>
      <c r="B3165" s="1" t="n">
        <v>45727</v>
      </c>
      <c r="C3165" s="1" t="n">
        <v>45738</v>
      </c>
      <c r="D3165" t="inlineStr">
        <is>
          <t>VÄRMLANDS LÄN</t>
        </is>
      </c>
      <c r="E3165" t="inlineStr">
        <is>
          <t>TORSBY</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11677-2025</t>
        </is>
      </c>
      <c r="B3166" s="1" t="n">
        <v>45727</v>
      </c>
      <c r="C3166" s="1" t="n">
        <v>45738</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11842-2025</t>
        </is>
      </c>
      <c r="B3167" s="1" t="n">
        <v>45728</v>
      </c>
      <c r="C3167" s="1" t="n">
        <v>45738</v>
      </c>
      <c r="D3167" t="inlineStr">
        <is>
          <t>VÄRMLANDS LÄN</t>
        </is>
      </c>
      <c r="E3167" t="inlineStr">
        <is>
          <t>TORSBY</t>
        </is>
      </c>
      <c r="F3167" t="inlineStr">
        <is>
          <t>Bergvik skog väst AB</t>
        </is>
      </c>
      <c r="G3167" t="n">
        <v>32.1</v>
      </c>
      <c r="H3167" t="n">
        <v>0</v>
      </c>
      <c r="I3167" t="n">
        <v>0</v>
      </c>
      <c r="J3167" t="n">
        <v>0</v>
      </c>
      <c r="K3167" t="n">
        <v>0</v>
      </c>
      <c r="L3167" t="n">
        <v>0</v>
      </c>
      <c r="M3167" t="n">
        <v>0</v>
      </c>
      <c r="N3167" t="n">
        <v>0</v>
      </c>
      <c r="O3167" t="n">
        <v>0</v>
      </c>
      <c r="P3167" t="n">
        <v>0</v>
      </c>
      <c r="Q3167" t="n">
        <v>0</v>
      </c>
      <c r="R3167" s="2" t="inlineStr"/>
    </row>
    <row r="3168" ht="15" customHeight="1">
      <c r="A3168" t="inlineStr">
        <is>
          <t>A 11868-2025</t>
        </is>
      </c>
      <c r="B3168" s="1" t="n">
        <v>45728</v>
      </c>
      <c r="C3168" s="1" t="n">
        <v>45738</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11872-2025</t>
        </is>
      </c>
      <c r="B3169" s="1" t="n">
        <v>45728</v>
      </c>
      <c r="C3169" s="1" t="n">
        <v>45738</v>
      </c>
      <c r="D3169" t="inlineStr">
        <is>
          <t>VÄRMLANDS LÄN</t>
        </is>
      </c>
      <c r="E3169" t="inlineStr">
        <is>
          <t>TORSBY</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11963-2025</t>
        </is>
      </c>
      <c r="B3170" s="1" t="n">
        <v>45728</v>
      </c>
      <c r="C3170" s="1" t="n">
        <v>45738</v>
      </c>
      <c r="D3170" t="inlineStr">
        <is>
          <t>VÄRMLANDS LÄN</t>
        </is>
      </c>
      <c r="E3170" t="inlineStr">
        <is>
          <t>TORSBY</t>
        </is>
      </c>
      <c r="G3170" t="n">
        <v>23.4</v>
      </c>
      <c r="H3170" t="n">
        <v>0</v>
      </c>
      <c r="I3170" t="n">
        <v>0</v>
      </c>
      <c r="J3170" t="n">
        <v>0</v>
      </c>
      <c r="K3170" t="n">
        <v>0</v>
      </c>
      <c r="L3170" t="n">
        <v>0</v>
      </c>
      <c r="M3170" t="n">
        <v>0</v>
      </c>
      <c r="N3170" t="n">
        <v>0</v>
      </c>
      <c r="O3170" t="n">
        <v>0</v>
      </c>
      <c r="P3170" t="n">
        <v>0</v>
      </c>
      <c r="Q3170" t="n">
        <v>0</v>
      </c>
      <c r="R3170" s="2" t="inlineStr"/>
    </row>
    <row r="3171" ht="15" customHeight="1">
      <c r="A3171" t="inlineStr">
        <is>
          <t>A 12158-2025</t>
        </is>
      </c>
      <c r="B3171" s="1" t="n">
        <v>45729</v>
      </c>
      <c r="C3171" s="1" t="n">
        <v>45738</v>
      </c>
      <c r="D3171" t="inlineStr">
        <is>
          <t>VÄRMLANDS LÄN</t>
        </is>
      </c>
      <c r="E3171" t="inlineStr">
        <is>
          <t>TORSBY</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12163-2025</t>
        </is>
      </c>
      <c r="B3172" s="1" t="n">
        <v>45729</v>
      </c>
      <c r="C3172" s="1" t="n">
        <v>45738</v>
      </c>
      <c r="D3172" t="inlineStr">
        <is>
          <t>VÄRMLANDS LÄN</t>
        </is>
      </c>
      <c r="E3172" t="inlineStr">
        <is>
          <t>TORSBY</t>
        </is>
      </c>
      <c r="F3172" t="inlineStr">
        <is>
          <t>Övriga statliga verk och myndigheter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12402-2025</t>
        </is>
      </c>
      <c r="B3173" s="1" t="n">
        <v>45730</v>
      </c>
      <c r="C3173" s="1" t="n">
        <v>45738</v>
      </c>
      <c r="D3173" t="inlineStr">
        <is>
          <t>VÄRMLANDS LÄN</t>
        </is>
      </c>
      <c r="E3173" t="inlineStr">
        <is>
          <t>TORSBY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45738</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12528-2025</t>
        </is>
      </c>
      <c r="B3175" s="1" t="n">
        <v>45730</v>
      </c>
      <c r="C3175" s="1" t="n">
        <v>45738</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12554-2025</t>
        </is>
      </c>
      <c r="B3176" s="1" t="n">
        <v>45731</v>
      </c>
      <c r="C3176" s="1" t="n">
        <v>45738</v>
      </c>
      <c r="D3176" t="inlineStr">
        <is>
          <t>VÄRMLANDS LÄN</t>
        </is>
      </c>
      <c r="E3176" t="inlineStr">
        <is>
          <t>TORSBY</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12556-2025</t>
        </is>
      </c>
      <c r="B3177" s="1" t="n">
        <v>45731</v>
      </c>
      <c r="C3177" s="1" t="n">
        <v>45738</v>
      </c>
      <c r="D3177" t="inlineStr">
        <is>
          <t>VÄRMLANDS LÄN</t>
        </is>
      </c>
      <c r="E3177" t="inlineStr">
        <is>
          <t>TORSBY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12574-2025</t>
        </is>
      </c>
      <c r="B3178" s="1" t="n">
        <v>45732</v>
      </c>
      <c r="C3178" s="1" t="n">
        <v>45738</v>
      </c>
      <c r="D3178" t="inlineStr">
        <is>
          <t>VÄRMLANDS LÄN</t>
        </is>
      </c>
      <c r="E3178" t="inlineStr">
        <is>
          <t>TORSBY</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12948-2025</t>
        </is>
      </c>
      <c r="B3179" s="1" t="n">
        <v>45734</v>
      </c>
      <c r="C3179" s="1" t="n">
        <v>45738</v>
      </c>
      <c r="D3179" t="inlineStr">
        <is>
          <t>VÄRMLANDS LÄN</t>
        </is>
      </c>
      <c r="E3179" t="inlineStr">
        <is>
          <t>TORSBY</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12959-2025</t>
        </is>
      </c>
      <c r="B3180" s="1" t="n">
        <v>45734</v>
      </c>
      <c r="C3180" s="1" t="n">
        <v>45738</v>
      </c>
      <c r="D3180" t="inlineStr">
        <is>
          <t>VÄRMLANDS LÄN</t>
        </is>
      </c>
      <c r="E3180" t="inlineStr">
        <is>
          <t>TORSBY</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13006-2025</t>
        </is>
      </c>
      <c r="B3181" s="1" t="n">
        <v>45734</v>
      </c>
      <c r="C3181" s="1" t="n">
        <v>45738</v>
      </c>
      <c r="D3181" t="inlineStr">
        <is>
          <t>VÄRMLANDS LÄN</t>
        </is>
      </c>
      <c r="E3181" t="inlineStr">
        <is>
          <t>TORSBY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13166-2025</t>
        </is>
      </c>
      <c r="B3182" s="1" t="n">
        <v>45735</v>
      </c>
      <c r="C3182" s="1" t="n">
        <v>45738</v>
      </c>
      <c r="D3182" t="inlineStr">
        <is>
          <t>VÄRMLANDS LÄN</t>
        </is>
      </c>
      <c r="E3182" t="inlineStr">
        <is>
          <t>TORSBY</t>
        </is>
      </c>
      <c r="F3182" t="inlineStr">
        <is>
          <t>Bergvik skog väst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13189-2025</t>
        </is>
      </c>
      <c r="B3183" s="1" t="n">
        <v>45735</v>
      </c>
      <c r="C3183" s="1" t="n">
        <v>45738</v>
      </c>
      <c r="D3183" t="inlineStr">
        <is>
          <t>VÄRMLANDS LÄN</t>
        </is>
      </c>
      <c r="E3183" t="inlineStr">
        <is>
          <t>TORSBY</t>
        </is>
      </c>
      <c r="G3183" t="n">
        <v>15.4</v>
      </c>
      <c r="H3183" t="n">
        <v>0</v>
      </c>
      <c r="I3183" t="n">
        <v>0</v>
      </c>
      <c r="J3183" t="n">
        <v>0</v>
      </c>
      <c r="K3183" t="n">
        <v>0</v>
      </c>
      <c r="L3183" t="n">
        <v>0</v>
      </c>
      <c r="M3183" t="n">
        <v>0</v>
      </c>
      <c r="N3183" t="n">
        <v>0</v>
      </c>
      <c r="O3183" t="n">
        <v>0</v>
      </c>
      <c r="P3183" t="n">
        <v>0</v>
      </c>
      <c r="Q3183" t="n">
        <v>0</v>
      </c>
      <c r="R3183" s="2" t="inlineStr"/>
    </row>
    <row r="3184" ht="15" customHeight="1">
      <c r="A3184" t="inlineStr">
        <is>
          <t>A 13191-2025</t>
        </is>
      </c>
      <c r="B3184" s="1" t="n">
        <v>45735</v>
      </c>
      <c r="C3184" s="1" t="n">
        <v>45738</v>
      </c>
      <c r="D3184" t="inlineStr">
        <is>
          <t>VÄRMLANDS LÄN</t>
        </is>
      </c>
      <c r="E3184" t="inlineStr">
        <is>
          <t>TORSBY</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13285-2025</t>
        </is>
      </c>
      <c r="B3185" s="1" t="n">
        <v>45735</v>
      </c>
      <c r="C3185" s="1" t="n">
        <v>45738</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13709-2025</t>
        </is>
      </c>
      <c r="B3186" s="1" t="n">
        <v>45737</v>
      </c>
      <c r="C3186" s="1" t="n">
        <v>45738</v>
      </c>
      <c r="D3186" t="inlineStr">
        <is>
          <t>VÄRMLANDS LÄN</t>
        </is>
      </c>
      <c r="E3186" t="inlineStr">
        <is>
          <t>TORSBY</t>
        </is>
      </c>
      <c r="F3186" t="inlineStr">
        <is>
          <t>Bergvik skog väst AB</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13771-2025</t>
        </is>
      </c>
      <c r="B3187" s="1" t="n">
        <v>45737</v>
      </c>
      <c r="C3187" s="1" t="n">
        <v>45738</v>
      </c>
      <c r="D3187" t="inlineStr">
        <is>
          <t>VÄRMLANDS LÄN</t>
        </is>
      </c>
      <c r="E3187" t="inlineStr">
        <is>
          <t>TORSBY</t>
        </is>
      </c>
      <c r="G3187" t="n">
        <v>19.7</v>
      </c>
      <c r="H3187" t="n">
        <v>0</v>
      </c>
      <c r="I3187" t="n">
        <v>0</v>
      </c>
      <c r="J3187" t="n">
        <v>0</v>
      </c>
      <c r="K3187" t="n">
        <v>0</v>
      </c>
      <c r="L3187" t="n">
        <v>0</v>
      </c>
      <c r="M3187" t="n">
        <v>0</v>
      </c>
      <c r="N3187" t="n">
        <v>0</v>
      </c>
      <c r="O3187" t="n">
        <v>0</v>
      </c>
      <c r="P3187" t="n">
        <v>0</v>
      </c>
      <c r="Q3187" t="n">
        <v>0</v>
      </c>
      <c r="R3187" s="2" t="inlineStr"/>
    </row>
    <row r="3188">
      <c r="A3188" t="inlineStr">
        <is>
          <t>A 13924-2025</t>
        </is>
      </c>
      <c r="B3188" s="1" t="n">
        <v>45737</v>
      </c>
      <c r="C3188" s="1" t="n">
        <v>45738</v>
      </c>
      <c r="D3188" t="inlineStr">
        <is>
          <t>VÄRMLANDS LÄN</t>
        </is>
      </c>
      <c r="E3188" t="inlineStr">
        <is>
          <t>TORSBY</t>
        </is>
      </c>
      <c r="G3188" t="n">
        <v>2.6</v>
      </c>
      <c r="H3188" t="n">
        <v>0</v>
      </c>
      <c r="I3188" t="n">
        <v>0</v>
      </c>
      <c r="J3188" t="n">
        <v>0</v>
      </c>
      <c r="K3188" t="n">
        <v>0</v>
      </c>
      <c r="L3188" t="n">
        <v>0</v>
      </c>
      <c r="M3188" t="n">
        <v>0</v>
      </c>
      <c r="N3188" t="n">
        <v>0</v>
      </c>
      <c r="O3188" t="n">
        <v>0</v>
      </c>
      <c r="P3188" t="n">
        <v>0</v>
      </c>
      <c r="Q3188" t="n">
        <v>0</v>
      </c>
      <c r="R3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2025-03-22T16:16:47Z</dcterms:created>
  <dcterms:modified xmlns:dcterms="http://purl.org/dc/terms/" xmlns:xsi="http://www.w3.org/2001/XMLSchema-instance" xsi:type="dcterms:W3CDTF">2025-03-22T16:16:50Z</dcterms:modified>
</cp:coreProperties>
</file>