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46089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46089</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46089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46089</v>
      </c>
      <c r="D14" t="inlineStr">
        <is>
          <t>VÄRMLANDS LÄN</t>
        </is>
      </c>
      <c r="E14" t="inlineStr">
        <is>
          <t>TORSBY</t>
        </is>
      </c>
      <c r="G14" t="n">
        <v>2.5</v>
      </c>
      <c r="H14" t="n">
        <v>2</v>
      </c>
      <c r="I14" t="n">
        <v>2</v>
      </c>
      <c r="J14" t="n">
        <v>7</v>
      </c>
      <c r="K14" t="n">
        <v>0</v>
      </c>
      <c r="L14" t="n">
        <v>0</v>
      </c>
      <c r="M14" t="n">
        <v>0</v>
      </c>
      <c r="N14" t="n">
        <v>0</v>
      </c>
      <c r="O14" t="n">
        <v>7</v>
      </c>
      <c r="P14" t="n">
        <v>0</v>
      </c>
      <c r="Q14" t="n">
        <v>10</v>
      </c>
      <c r="R14" s="2" t="inlineStr">
        <is>
          <t>Brunpudrad nållav
Gammelgransskål
Garnlav
Kolflarnlav
Kortskaftad ärgspik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46089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46089</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46089</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46089</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46089</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46089</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46089</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46089</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46089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46089</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46089</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46089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46089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46089</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46089</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46089</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46089</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46089</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46089</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46089</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46089</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46089</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46089</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46089</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46089</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46089</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46089</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46089</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46089</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46089</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46089</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46089</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46089</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46089</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46089</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46089</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46089</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46089</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46089</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46089</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46089</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42595-2025</t>
        </is>
      </c>
      <c r="B59" s="1" t="n">
        <v>45905</v>
      </c>
      <c r="C59" s="1" t="n">
        <v>46089</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67528-2021</t>
        </is>
      </c>
      <c r="B60" s="1" t="n">
        <v>44524</v>
      </c>
      <c r="C60" s="1" t="n">
        <v>46089</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46089</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45468-2025</t>
        </is>
      </c>
      <c r="B62" s="1" t="n">
        <v>45922</v>
      </c>
      <c r="C62" s="1" t="n">
        <v>46089</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17740-2025</t>
        </is>
      </c>
      <c r="B63" s="1" t="n">
        <v>45758</v>
      </c>
      <c r="C63" s="1" t="n">
        <v>46089</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15044-2025</t>
        </is>
      </c>
      <c r="B64" s="1" t="n">
        <v>45743</v>
      </c>
      <c r="C64" s="1" t="n">
        <v>46089</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46089</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19030-2025</t>
        </is>
      </c>
      <c r="B66" s="1" t="n">
        <v>45764.65658564815</v>
      </c>
      <c r="C66" s="1" t="n">
        <v>46089</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31835-2024</t>
        </is>
      </c>
      <c r="B67" s="1" t="n">
        <v>45509</v>
      </c>
      <c r="C67" s="1" t="n">
        <v>46089</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57190-2024</t>
        </is>
      </c>
      <c r="B68" s="1" t="n">
        <v>45629</v>
      </c>
      <c r="C68" s="1" t="n">
        <v>46089</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46089</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46089</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46089</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46089</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42488-2025</t>
        </is>
      </c>
      <c r="B73" s="1" t="n">
        <v>45905</v>
      </c>
      <c r="C73" s="1" t="n">
        <v>46089</v>
      </c>
      <c r="D73" t="inlineStr">
        <is>
          <t>VÄRMLANDS LÄN</t>
        </is>
      </c>
      <c r="E73" t="inlineStr">
        <is>
          <t>TORSBY</t>
        </is>
      </c>
      <c r="G73" t="n">
        <v>4.1</v>
      </c>
      <c r="H73" t="n">
        <v>0</v>
      </c>
      <c r="I73" t="n">
        <v>2</v>
      </c>
      <c r="J73" t="n">
        <v>0</v>
      </c>
      <c r="K73" t="n">
        <v>0</v>
      </c>
      <c r="L73" t="n">
        <v>0</v>
      </c>
      <c r="M73" t="n">
        <v>0</v>
      </c>
      <c r="N73" t="n">
        <v>0</v>
      </c>
      <c r="O73" t="n">
        <v>0</v>
      </c>
      <c r="P73" t="n">
        <v>0</v>
      </c>
      <c r="Q73" t="n">
        <v>2</v>
      </c>
      <c r="R73" s="2" t="inlineStr">
        <is>
          <t>Skuggblåslav
Vedticka</t>
        </is>
      </c>
      <c r="S73">
        <f>HYPERLINK("https://klasma.github.io/Logging_1737/artfynd/A 42488-2025 artfynd.xlsx", "A 42488-2025")</f>
        <v/>
      </c>
      <c r="T73">
        <f>HYPERLINK("https://klasma.github.io/Logging_1737/kartor/A 42488-2025 karta.png", "A 42488-2025")</f>
        <v/>
      </c>
      <c r="V73">
        <f>HYPERLINK("https://klasma.github.io/Logging_1737/klagomål/A 42488-2025 FSC-klagomål.docx", "A 42488-2025")</f>
        <v/>
      </c>
      <c r="W73">
        <f>HYPERLINK("https://klasma.github.io/Logging_1737/klagomålsmail/A 42488-2025 FSC-klagomål mail.docx", "A 42488-2025")</f>
        <v/>
      </c>
      <c r="X73">
        <f>HYPERLINK("https://klasma.github.io/Logging_1737/tillsyn/A 42488-2025 tillsynsbegäran.docx", "A 42488-2025")</f>
        <v/>
      </c>
      <c r="Y73">
        <f>HYPERLINK("https://klasma.github.io/Logging_1737/tillsynsmail/A 42488-2025 tillsynsbegäran mail.docx", "A 42488-2025")</f>
        <v/>
      </c>
    </row>
    <row r="74" ht="15" customHeight="1">
      <c r="A74" t="inlineStr">
        <is>
          <t>A 46580-2025</t>
        </is>
      </c>
      <c r="B74" s="1" t="n">
        <v>45926</v>
      </c>
      <c r="C74" s="1" t="n">
        <v>46089</v>
      </c>
      <c r="D74" t="inlineStr">
        <is>
          <t>VÄRMLANDS LÄN</t>
        </is>
      </c>
      <c r="E74" t="inlineStr">
        <is>
          <t>TORSBY</t>
        </is>
      </c>
      <c r="G74" t="n">
        <v>1.4</v>
      </c>
      <c r="H74" t="n">
        <v>0</v>
      </c>
      <c r="I74" t="n">
        <v>0</v>
      </c>
      <c r="J74" t="n">
        <v>2</v>
      </c>
      <c r="K74" t="n">
        <v>0</v>
      </c>
      <c r="L74" t="n">
        <v>0</v>
      </c>
      <c r="M74" t="n">
        <v>0</v>
      </c>
      <c r="N74" t="n">
        <v>0</v>
      </c>
      <c r="O74" t="n">
        <v>2</v>
      </c>
      <c r="P74" t="n">
        <v>0</v>
      </c>
      <c r="Q74" t="n">
        <v>2</v>
      </c>
      <c r="R74" s="2" t="inlineStr">
        <is>
          <t>Garnlav
Vedskivlav</t>
        </is>
      </c>
      <c r="S74">
        <f>HYPERLINK("https://klasma.github.io/Logging_1737/artfynd/A 46580-2025 artfynd.xlsx", "A 46580-2025")</f>
        <v/>
      </c>
      <c r="T74">
        <f>HYPERLINK("https://klasma.github.io/Logging_1737/kartor/A 46580-2025 karta.png", "A 46580-2025")</f>
        <v/>
      </c>
      <c r="V74">
        <f>HYPERLINK("https://klasma.github.io/Logging_1737/klagomål/A 46580-2025 FSC-klagomål.docx", "A 46580-2025")</f>
        <v/>
      </c>
      <c r="W74">
        <f>HYPERLINK("https://klasma.github.io/Logging_1737/klagomålsmail/A 46580-2025 FSC-klagomål mail.docx", "A 46580-2025")</f>
        <v/>
      </c>
      <c r="X74">
        <f>HYPERLINK("https://klasma.github.io/Logging_1737/tillsyn/A 46580-2025 tillsynsbegäran.docx", "A 46580-2025")</f>
        <v/>
      </c>
      <c r="Y74">
        <f>HYPERLINK("https://klasma.github.io/Logging_1737/tillsynsmail/A 46580-2025 tillsynsbegäran mail.docx", "A 46580-2025")</f>
        <v/>
      </c>
    </row>
    <row r="75" ht="15" customHeight="1">
      <c r="A75" t="inlineStr">
        <is>
          <t>A 25212-2025</t>
        </is>
      </c>
      <c r="B75" s="1" t="n">
        <v>45800</v>
      </c>
      <c r="C75" s="1" t="n">
        <v>46089</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48970-2025</t>
        </is>
      </c>
      <c r="B76" s="1" t="n">
        <v>45937.56392361111</v>
      </c>
      <c r="C76" s="1" t="n">
        <v>46089</v>
      </c>
      <c r="D76" t="inlineStr">
        <is>
          <t>VÄRMLANDS LÄN</t>
        </is>
      </c>
      <c r="E76" t="inlineStr">
        <is>
          <t>TORSBY</t>
        </is>
      </c>
      <c r="G76" t="n">
        <v>6.4</v>
      </c>
      <c r="H76" t="n">
        <v>0</v>
      </c>
      <c r="I76" t="n">
        <v>0</v>
      </c>
      <c r="J76" t="n">
        <v>2</v>
      </c>
      <c r="K76" t="n">
        <v>0</v>
      </c>
      <c r="L76" t="n">
        <v>0</v>
      </c>
      <c r="M76" t="n">
        <v>0</v>
      </c>
      <c r="N76" t="n">
        <v>0</v>
      </c>
      <c r="O76" t="n">
        <v>2</v>
      </c>
      <c r="P76" t="n">
        <v>0</v>
      </c>
      <c r="Q76" t="n">
        <v>2</v>
      </c>
      <c r="R76" s="2" t="inlineStr">
        <is>
          <t>Garnlav
Lunglav</t>
        </is>
      </c>
      <c r="S76">
        <f>HYPERLINK("https://klasma.github.io/Logging_1737/artfynd/A 48970-2025 artfynd.xlsx", "A 48970-2025")</f>
        <v/>
      </c>
      <c r="T76">
        <f>HYPERLINK("https://klasma.github.io/Logging_1737/kartor/A 48970-2025 karta.png", "A 48970-2025")</f>
        <v/>
      </c>
      <c r="V76">
        <f>HYPERLINK("https://klasma.github.io/Logging_1737/klagomål/A 48970-2025 FSC-klagomål.docx", "A 48970-2025")</f>
        <v/>
      </c>
      <c r="W76">
        <f>HYPERLINK("https://klasma.github.io/Logging_1737/klagomålsmail/A 48970-2025 FSC-klagomål mail.docx", "A 48970-2025")</f>
        <v/>
      </c>
      <c r="X76">
        <f>HYPERLINK("https://klasma.github.io/Logging_1737/tillsyn/A 48970-2025 tillsynsbegäran.docx", "A 48970-2025")</f>
        <v/>
      </c>
      <c r="Y76">
        <f>HYPERLINK("https://klasma.github.io/Logging_1737/tillsynsmail/A 48970-2025 tillsynsbegäran mail.docx", "A 48970-2025")</f>
        <v/>
      </c>
    </row>
    <row r="77" ht="15" customHeight="1">
      <c r="A77" t="inlineStr">
        <is>
          <t>A 34930-2022</t>
        </is>
      </c>
      <c r="B77" s="1" t="n">
        <v>44796</v>
      </c>
      <c r="C77" s="1" t="n">
        <v>46089</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46089</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2898-2026</t>
        </is>
      </c>
      <c r="B79" s="1" t="n">
        <v>46037</v>
      </c>
      <c r="C79" s="1" t="n">
        <v>46089</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61950-2024</t>
        </is>
      </c>
      <c r="B80" s="1" t="n">
        <v>45653</v>
      </c>
      <c r="C80" s="1" t="n">
        <v>46089</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62250-2025</t>
        </is>
      </c>
      <c r="B81" s="1" t="n">
        <v>46006</v>
      </c>
      <c r="C81" s="1" t="n">
        <v>46089</v>
      </c>
      <c r="D81" t="inlineStr">
        <is>
          <t>VÄRMLANDS LÄN</t>
        </is>
      </c>
      <c r="E81" t="inlineStr">
        <is>
          <t>TORSBY</t>
        </is>
      </c>
      <c r="F81" t="inlineStr">
        <is>
          <t>Bergvik skog väst AB</t>
        </is>
      </c>
      <c r="G81" t="n">
        <v>1.3</v>
      </c>
      <c r="H81" t="n">
        <v>0</v>
      </c>
      <c r="I81" t="n">
        <v>1</v>
      </c>
      <c r="J81" t="n">
        <v>1</v>
      </c>
      <c r="K81" t="n">
        <v>0</v>
      </c>
      <c r="L81" t="n">
        <v>0</v>
      </c>
      <c r="M81" t="n">
        <v>0</v>
      </c>
      <c r="N81" t="n">
        <v>0</v>
      </c>
      <c r="O81" t="n">
        <v>1</v>
      </c>
      <c r="P81" t="n">
        <v>0</v>
      </c>
      <c r="Q81" t="n">
        <v>2</v>
      </c>
      <c r="R81" s="2" t="inlineStr">
        <is>
          <t>Garnlav
Skuggblåslav</t>
        </is>
      </c>
      <c r="S81">
        <f>HYPERLINK("https://klasma.github.io/Logging_1737/artfynd/A 62250-2025 artfynd.xlsx", "A 62250-2025")</f>
        <v/>
      </c>
      <c r="T81">
        <f>HYPERLINK("https://klasma.github.io/Logging_1737/kartor/A 62250-2025 karta.png", "A 62250-2025")</f>
        <v/>
      </c>
      <c r="V81">
        <f>HYPERLINK("https://klasma.github.io/Logging_1737/klagomål/A 62250-2025 FSC-klagomål.docx", "A 62250-2025")</f>
        <v/>
      </c>
      <c r="W81">
        <f>HYPERLINK("https://klasma.github.io/Logging_1737/klagomålsmail/A 62250-2025 FSC-klagomål mail.docx", "A 62250-2025")</f>
        <v/>
      </c>
      <c r="X81">
        <f>HYPERLINK("https://klasma.github.io/Logging_1737/tillsyn/A 62250-2025 tillsynsbegäran.docx", "A 62250-2025")</f>
        <v/>
      </c>
      <c r="Y81">
        <f>HYPERLINK("https://klasma.github.io/Logging_1737/tillsynsmail/A 62250-2025 tillsynsbegäran mail.docx", "A 62250-2025")</f>
        <v/>
      </c>
    </row>
    <row r="82" ht="15" customHeight="1">
      <c r="A82" t="inlineStr">
        <is>
          <t>A 16414-2023</t>
        </is>
      </c>
      <c r="B82" s="1" t="n">
        <v>45022</v>
      </c>
      <c r="C82" s="1" t="n">
        <v>46089</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46089</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16011-2025</t>
        </is>
      </c>
      <c r="B84" s="1" t="n">
        <v>45749</v>
      </c>
      <c r="C84" s="1" t="n">
        <v>46089</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17747-2025</t>
        </is>
      </c>
      <c r="B85" s="1" t="n">
        <v>45758</v>
      </c>
      <c r="C85" s="1" t="n">
        <v>46089</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46089</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63388-2025</t>
        </is>
      </c>
      <c r="B87" s="1" t="n">
        <v>46011</v>
      </c>
      <c r="C87" s="1" t="n">
        <v>46089</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4718-2023</t>
        </is>
      </c>
      <c r="B88" s="1" t="n">
        <v>44957</v>
      </c>
      <c r="C88" s="1" t="n">
        <v>46089</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46089</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46089</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46089</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46089</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46089</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46089</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46089</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46089</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46089</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46089</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46089</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50318-2024</t>
        </is>
      </c>
      <c r="B101" s="1" t="n">
        <v>45600</v>
      </c>
      <c r="C101" s="1" t="n">
        <v>46089</v>
      </c>
      <c r="D101" t="inlineStr">
        <is>
          <t>VÄRMLANDS LÄN</t>
        </is>
      </c>
      <c r="E101" t="inlineStr">
        <is>
          <t>TORSBY</t>
        </is>
      </c>
      <c r="F101" t="inlineStr">
        <is>
          <t>Bergvik skog väst AB</t>
        </is>
      </c>
      <c r="G101" t="n">
        <v>3.5</v>
      </c>
      <c r="H101" t="n">
        <v>0</v>
      </c>
      <c r="I101" t="n">
        <v>1</v>
      </c>
      <c r="J101" t="n">
        <v>0</v>
      </c>
      <c r="K101" t="n">
        <v>0</v>
      </c>
      <c r="L101" t="n">
        <v>0</v>
      </c>
      <c r="M101" t="n">
        <v>0</v>
      </c>
      <c r="N101" t="n">
        <v>0</v>
      </c>
      <c r="O101" t="n">
        <v>0</v>
      </c>
      <c r="P101" t="n">
        <v>0</v>
      </c>
      <c r="Q101" t="n">
        <v>1</v>
      </c>
      <c r="R101" s="2" t="inlineStr">
        <is>
          <t>Vedticka</t>
        </is>
      </c>
      <c r="S101">
        <f>HYPERLINK("https://klasma.github.io/Logging_1737/artfynd/A 50318-2024 artfynd.xlsx", "A 50318-2024")</f>
        <v/>
      </c>
      <c r="T101">
        <f>HYPERLINK("https://klasma.github.io/Logging_1737/kartor/A 50318-2024 karta.png", "A 50318-2024")</f>
        <v/>
      </c>
      <c r="V101">
        <f>HYPERLINK("https://klasma.github.io/Logging_1737/klagomål/A 50318-2024 FSC-klagomål.docx", "A 50318-2024")</f>
        <v/>
      </c>
      <c r="W101">
        <f>HYPERLINK("https://klasma.github.io/Logging_1737/klagomålsmail/A 50318-2024 FSC-klagomål mail.docx", "A 50318-2024")</f>
        <v/>
      </c>
      <c r="X101">
        <f>HYPERLINK("https://klasma.github.io/Logging_1737/tillsyn/A 50318-2024 tillsynsbegäran.docx", "A 50318-2024")</f>
        <v/>
      </c>
      <c r="Y101">
        <f>HYPERLINK("https://klasma.github.io/Logging_1737/tillsynsmail/A 50318-2024 tillsynsbegäran mail.docx", "A 50318-2024")</f>
        <v/>
      </c>
    </row>
    <row r="102" ht="15" customHeight="1">
      <c r="A102" t="inlineStr">
        <is>
          <t>A 54982-2021</t>
        </is>
      </c>
      <c r="B102" s="1" t="n">
        <v>44469</v>
      </c>
      <c r="C102" s="1" t="n">
        <v>46089</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25217-2025</t>
        </is>
      </c>
      <c r="B103" s="1" t="n">
        <v>45800.4756712963</v>
      </c>
      <c r="C103" s="1" t="n">
        <v>46089</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26747-2023</t>
        </is>
      </c>
      <c r="B104" s="1" t="n">
        <v>45090</v>
      </c>
      <c r="C104" s="1" t="n">
        <v>46089</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25802-2025</t>
        </is>
      </c>
      <c r="B105" s="1" t="n">
        <v>45804.40766203704</v>
      </c>
      <c r="C105" s="1" t="n">
        <v>46089</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41416-2025</t>
        </is>
      </c>
      <c r="B106" s="1" t="n">
        <v>45901</v>
      </c>
      <c r="C106" s="1" t="n">
        <v>46089</v>
      </c>
      <c r="D106" t="inlineStr">
        <is>
          <t>VÄRMLANDS LÄN</t>
        </is>
      </c>
      <c r="E106" t="inlineStr">
        <is>
          <t>TORSBY</t>
        </is>
      </c>
      <c r="G106" t="n">
        <v>7.8</v>
      </c>
      <c r="H106" t="n">
        <v>1</v>
      </c>
      <c r="I106" t="n">
        <v>0</v>
      </c>
      <c r="J106" t="n">
        <v>0</v>
      </c>
      <c r="K106" t="n">
        <v>0</v>
      </c>
      <c r="L106" t="n">
        <v>0</v>
      </c>
      <c r="M106" t="n">
        <v>0</v>
      </c>
      <c r="N106" t="n">
        <v>0</v>
      </c>
      <c r="O106" t="n">
        <v>0</v>
      </c>
      <c r="P106" t="n">
        <v>0</v>
      </c>
      <c r="Q106" t="n">
        <v>1</v>
      </c>
      <c r="R106" s="2" t="inlineStr">
        <is>
          <t>Lopplummer (aggregat)</t>
        </is>
      </c>
      <c r="S106">
        <f>HYPERLINK("https://klasma.github.io/Logging_1737/artfynd/A 41416-2025 artfynd.xlsx", "A 41416-2025")</f>
        <v/>
      </c>
      <c r="T106">
        <f>HYPERLINK("https://klasma.github.io/Logging_1737/kartor/A 41416-2025 karta.png", "A 41416-2025")</f>
        <v/>
      </c>
      <c r="V106">
        <f>HYPERLINK("https://klasma.github.io/Logging_1737/klagomål/A 41416-2025 FSC-klagomål.docx", "A 41416-2025")</f>
        <v/>
      </c>
      <c r="W106">
        <f>HYPERLINK("https://klasma.github.io/Logging_1737/klagomålsmail/A 41416-2025 FSC-klagomål mail.docx", "A 41416-2025")</f>
        <v/>
      </c>
      <c r="X106">
        <f>HYPERLINK("https://klasma.github.io/Logging_1737/tillsyn/A 41416-2025 tillsynsbegäran.docx", "A 41416-2025")</f>
        <v/>
      </c>
      <c r="Y106">
        <f>HYPERLINK("https://klasma.github.io/Logging_1737/tillsynsmail/A 41416-2025 tillsynsbegäran mail.docx", "A 41416-2025")</f>
        <v/>
      </c>
    </row>
    <row r="107" ht="15" customHeight="1">
      <c r="A107" t="inlineStr">
        <is>
          <t>A 27108-2025</t>
        </is>
      </c>
      <c r="B107" s="1" t="n">
        <v>45811.72777777778</v>
      </c>
      <c r="C107" s="1" t="n">
        <v>46089</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46089</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46089</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29756-2025</t>
        </is>
      </c>
      <c r="B110" s="1" t="n">
        <v>45825.61525462963</v>
      </c>
      <c r="C110" s="1" t="n">
        <v>46089</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46089</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46089</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46089</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46089</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32328-2025</t>
        </is>
      </c>
      <c r="B115" s="1" t="n">
        <v>45836.46289351852</v>
      </c>
      <c r="C115" s="1" t="n">
        <v>46089</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15548-2023</t>
        </is>
      </c>
      <c r="B116" s="1" t="n">
        <v>45020</v>
      </c>
      <c r="C116" s="1" t="n">
        <v>46089</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44018-2025</t>
        </is>
      </c>
      <c r="B117" s="1" t="n">
        <v>45915</v>
      </c>
      <c r="C117" s="1" t="n">
        <v>46089</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46089</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25276-2025</t>
        </is>
      </c>
      <c r="B119" s="1" t="n">
        <v>45800</v>
      </c>
      <c r="C119" s="1" t="n">
        <v>46089</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50712-2025</t>
        </is>
      </c>
      <c r="B120" s="1" t="n">
        <v>45946.34440972222</v>
      </c>
      <c r="C120" s="1" t="n">
        <v>46089</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37327-2025</t>
        </is>
      </c>
      <c r="B121" s="1" t="n">
        <v>45876.64902777778</v>
      </c>
      <c r="C121" s="1" t="n">
        <v>46089</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37699-2025</t>
        </is>
      </c>
      <c r="B122" s="1" t="n">
        <v>45880</v>
      </c>
      <c r="C122" s="1" t="n">
        <v>46089</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52418-2025</t>
        </is>
      </c>
      <c r="B123" s="1" t="n">
        <v>45954.36844907407</v>
      </c>
      <c r="C123" s="1" t="n">
        <v>46089</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37548-2025</t>
        </is>
      </c>
      <c r="B124" s="1" t="n">
        <v>45879</v>
      </c>
      <c r="C124" s="1" t="n">
        <v>46089</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46089</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53388-2025</t>
        </is>
      </c>
      <c r="B126" s="1" t="n">
        <v>45959.54763888889</v>
      </c>
      <c r="C126" s="1" t="n">
        <v>46089</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1534-2026</t>
        </is>
      </c>
      <c r="B127" s="1" t="n">
        <v>46034</v>
      </c>
      <c r="C127" s="1" t="n">
        <v>46089</v>
      </c>
      <c r="D127" t="inlineStr">
        <is>
          <t>VÄRMLANDS LÄN</t>
        </is>
      </c>
      <c r="E127" t="inlineStr">
        <is>
          <t>TORSBY</t>
        </is>
      </c>
      <c r="G127" t="n">
        <v>2.1</v>
      </c>
      <c r="H127" t="n">
        <v>0</v>
      </c>
      <c r="I127" t="n">
        <v>0</v>
      </c>
      <c r="J127" t="n">
        <v>1</v>
      </c>
      <c r="K127" t="n">
        <v>0</v>
      </c>
      <c r="L127" t="n">
        <v>0</v>
      </c>
      <c r="M127" t="n">
        <v>0</v>
      </c>
      <c r="N127" t="n">
        <v>0</v>
      </c>
      <c r="O127" t="n">
        <v>1</v>
      </c>
      <c r="P127" t="n">
        <v>0</v>
      </c>
      <c r="Q127" t="n">
        <v>1</v>
      </c>
      <c r="R127" s="2" t="inlineStr">
        <is>
          <t>Garnlav</t>
        </is>
      </c>
      <c r="S127">
        <f>HYPERLINK("https://klasma.github.io/Logging_1737/artfynd/A 1534-2026 artfynd.xlsx", "A 1534-2026")</f>
        <v/>
      </c>
      <c r="T127">
        <f>HYPERLINK("https://klasma.github.io/Logging_1737/kartor/A 1534-2026 karta.png", "A 1534-2026")</f>
        <v/>
      </c>
      <c r="V127">
        <f>HYPERLINK("https://klasma.github.io/Logging_1737/klagomål/A 1534-2026 FSC-klagomål.docx", "A 1534-2026")</f>
        <v/>
      </c>
      <c r="W127">
        <f>HYPERLINK("https://klasma.github.io/Logging_1737/klagomålsmail/A 1534-2026 FSC-klagomål mail.docx", "A 1534-2026")</f>
        <v/>
      </c>
      <c r="X127">
        <f>HYPERLINK("https://klasma.github.io/Logging_1737/tillsyn/A 1534-2026 tillsynsbegäran.docx", "A 1534-2026")</f>
        <v/>
      </c>
      <c r="Y127">
        <f>HYPERLINK("https://klasma.github.io/Logging_1737/tillsynsmail/A 1534-2026 tillsynsbegäran mail.docx", "A 1534-2026")</f>
        <v/>
      </c>
    </row>
    <row r="128" ht="15" customHeight="1">
      <c r="A128" t="inlineStr">
        <is>
          <t>A 40033-2024</t>
        </is>
      </c>
      <c r="B128" s="1" t="n">
        <v>45553</v>
      </c>
      <c r="C128" s="1" t="n">
        <v>46089</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56186-2025</t>
        </is>
      </c>
      <c r="B129" s="1" t="n">
        <v>45974</v>
      </c>
      <c r="C129" s="1" t="n">
        <v>46089</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39681-2023</t>
        </is>
      </c>
      <c r="B130" s="1" t="n">
        <v>45167</v>
      </c>
      <c r="C130" s="1" t="n">
        <v>46089</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46089</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49724-2023</t>
        </is>
      </c>
      <c r="B132" s="1" t="n">
        <v>45208</v>
      </c>
      <c r="C132" s="1" t="n">
        <v>46089</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60688-2025</t>
        </is>
      </c>
      <c r="B133" s="1" t="n">
        <v>45996</v>
      </c>
      <c r="C133" s="1" t="n">
        <v>46089</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62690-2025</t>
        </is>
      </c>
      <c r="B134" s="1" t="n">
        <v>46007</v>
      </c>
      <c r="C134" s="1" t="n">
        <v>46089</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11763-2026</t>
        </is>
      </c>
      <c r="B135" s="1" t="n">
        <v>46084</v>
      </c>
      <c r="C135" s="1" t="n">
        <v>46089</v>
      </c>
      <c r="D135" t="inlineStr">
        <is>
          <t>VÄRMLANDS LÄN</t>
        </is>
      </c>
      <c r="E135" t="inlineStr">
        <is>
          <t>TORSBY</t>
        </is>
      </c>
      <c r="G135" t="n">
        <v>0.9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11763-2026 artfynd.xlsx", "A 11763-2026")</f>
        <v/>
      </c>
      <c r="T135">
        <f>HYPERLINK("https://klasma.github.io/Logging_1737/kartor/A 11763-2026 karta.png", "A 11763-2026")</f>
        <v/>
      </c>
      <c r="V135">
        <f>HYPERLINK("https://klasma.github.io/Logging_1737/klagomål/A 11763-2026 FSC-klagomål.docx", "A 11763-2026")</f>
        <v/>
      </c>
      <c r="W135">
        <f>HYPERLINK("https://klasma.github.io/Logging_1737/klagomålsmail/A 11763-2026 FSC-klagomål mail.docx", "A 11763-2026")</f>
        <v/>
      </c>
      <c r="X135">
        <f>HYPERLINK("https://klasma.github.io/Logging_1737/tillsyn/A 11763-2026 tillsynsbegäran.docx", "A 11763-2026")</f>
        <v/>
      </c>
      <c r="Y135">
        <f>HYPERLINK("https://klasma.github.io/Logging_1737/tillsynsmail/A 11763-2026 tillsynsbegäran mail.docx", "A 11763-2026")</f>
        <v/>
      </c>
    </row>
    <row r="136" ht="15" customHeight="1">
      <c r="A136" t="inlineStr">
        <is>
          <t>A 41477-2024</t>
        </is>
      </c>
      <c r="B136" s="1" t="n">
        <v>45560</v>
      </c>
      <c r="C136" s="1" t="n">
        <v>46089</v>
      </c>
      <c r="D136" t="inlineStr">
        <is>
          <t>VÄRMLANDS LÄN</t>
        </is>
      </c>
      <c r="E136" t="inlineStr">
        <is>
          <t>TORSBY</t>
        </is>
      </c>
      <c r="G136" t="n">
        <v>6.7</v>
      </c>
      <c r="H136" t="n">
        <v>0</v>
      </c>
      <c r="I136" t="n">
        <v>0</v>
      </c>
      <c r="J136" t="n">
        <v>1</v>
      </c>
      <c r="K136" t="n">
        <v>0</v>
      </c>
      <c r="L136" t="n">
        <v>0</v>
      </c>
      <c r="M136" t="n">
        <v>0</v>
      </c>
      <c r="N136" t="n">
        <v>0</v>
      </c>
      <c r="O136" t="n">
        <v>1</v>
      </c>
      <c r="P136" t="n">
        <v>0</v>
      </c>
      <c r="Q136" t="n">
        <v>1</v>
      </c>
      <c r="R136" s="2" t="inlineStr">
        <is>
          <t>Garnlav</t>
        </is>
      </c>
      <c r="S136">
        <f>HYPERLINK("https://klasma.github.io/Logging_1737/artfynd/A 41477-2024 artfynd.xlsx", "A 41477-2024")</f>
        <v/>
      </c>
      <c r="T136">
        <f>HYPERLINK("https://klasma.github.io/Logging_1737/kartor/A 41477-2024 karta.png", "A 41477-2024")</f>
        <v/>
      </c>
      <c r="V136">
        <f>HYPERLINK("https://klasma.github.io/Logging_1737/klagomål/A 41477-2024 FSC-klagomål.docx", "A 41477-2024")</f>
        <v/>
      </c>
      <c r="W136">
        <f>HYPERLINK("https://klasma.github.io/Logging_1737/klagomålsmail/A 41477-2024 FSC-klagomål mail.docx", "A 41477-2024")</f>
        <v/>
      </c>
      <c r="X136">
        <f>HYPERLINK("https://klasma.github.io/Logging_1737/tillsyn/A 41477-2024 tillsynsbegäran.docx", "A 41477-2024")</f>
        <v/>
      </c>
      <c r="Y136">
        <f>HYPERLINK("https://klasma.github.io/Logging_1737/tillsynsmail/A 41477-2024 tillsynsbegäran mail.docx", "A 41477-2024")</f>
        <v/>
      </c>
    </row>
    <row r="137" ht="15" customHeight="1">
      <c r="A137" t="inlineStr">
        <is>
          <t>A 37292-2024</t>
        </is>
      </c>
      <c r="B137" s="1" t="n">
        <v>45540</v>
      </c>
      <c r="C137" s="1" t="n">
        <v>46089</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16572-2022</t>
        </is>
      </c>
      <c r="B138" s="1" t="n">
        <v>44672</v>
      </c>
      <c r="C138" s="1" t="n">
        <v>46089</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56133-2024</t>
        </is>
      </c>
      <c r="B139" s="1" t="n">
        <v>45624</v>
      </c>
      <c r="C139" s="1" t="n">
        <v>46089</v>
      </c>
      <c r="D139" t="inlineStr">
        <is>
          <t>VÄRMLANDS LÄN</t>
        </is>
      </c>
      <c r="E139" t="inlineStr">
        <is>
          <t>TORSBY</t>
        </is>
      </c>
      <c r="G139" t="n">
        <v>2.4</v>
      </c>
      <c r="H139" t="n">
        <v>0</v>
      </c>
      <c r="I139" t="n">
        <v>1</v>
      </c>
      <c r="J139" t="n">
        <v>0</v>
      </c>
      <c r="K139" t="n">
        <v>0</v>
      </c>
      <c r="L139" t="n">
        <v>0</v>
      </c>
      <c r="M139" t="n">
        <v>0</v>
      </c>
      <c r="N139" t="n">
        <v>0</v>
      </c>
      <c r="O139" t="n">
        <v>0</v>
      </c>
      <c r="P139" t="n">
        <v>0</v>
      </c>
      <c r="Q139" t="n">
        <v>1</v>
      </c>
      <c r="R139" s="2" t="inlineStr">
        <is>
          <t>Vedticka</t>
        </is>
      </c>
      <c r="S139">
        <f>HYPERLINK("https://klasma.github.io/Logging_1737/artfynd/A 56133-2024 artfynd.xlsx", "A 56133-2024")</f>
        <v/>
      </c>
      <c r="T139">
        <f>HYPERLINK("https://klasma.github.io/Logging_1737/kartor/A 56133-2024 karta.png", "A 56133-2024")</f>
        <v/>
      </c>
      <c r="V139">
        <f>HYPERLINK("https://klasma.github.io/Logging_1737/klagomål/A 56133-2024 FSC-klagomål.docx", "A 56133-2024")</f>
        <v/>
      </c>
      <c r="W139">
        <f>HYPERLINK("https://klasma.github.io/Logging_1737/klagomålsmail/A 56133-2024 FSC-klagomål mail.docx", "A 56133-2024")</f>
        <v/>
      </c>
      <c r="X139">
        <f>HYPERLINK("https://klasma.github.io/Logging_1737/tillsyn/A 56133-2024 tillsynsbegäran.docx", "A 56133-2024")</f>
        <v/>
      </c>
      <c r="Y139">
        <f>HYPERLINK("https://klasma.github.io/Logging_1737/tillsynsmail/A 56133-2024 tillsynsbegäran mail.docx", "A 56133-2024")</f>
        <v/>
      </c>
    </row>
    <row r="140" ht="15" customHeight="1">
      <c r="A140" t="inlineStr">
        <is>
          <t>A 54009-2024</t>
        </is>
      </c>
      <c r="B140" s="1" t="n">
        <v>45616</v>
      </c>
      <c r="C140" s="1" t="n">
        <v>46089</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40934-2024</t>
        </is>
      </c>
      <c r="B141" s="1" t="n">
        <v>45558</v>
      </c>
      <c r="C141" s="1" t="n">
        <v>46089</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51288-2022</t>
        </is>
      </c>
      <c r="B142" s="1" t="n">
        <v>44868</v>
      </c>
      <c r="C142" s="1" t="n">
        <v>46089</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24042-2021</t>
        </is>
      </c>
      <c r="B143" s="1" t="n">
        <v>44336</v>
      </c>
      <c r="C143" s="1" t="n">
        <v>46089</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50236-2022</t>
        </is>
      </c>
      <c r="B144" s="1" t="n">
        <v>44865</v>
      </c>
      <c r="C144" s="1" t="n">
        <v>46089</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58014-2024</t>
        </is>
      </c>
      <c r="B145" s="1" t="n">
        <v>45631</v>
      </c>
      <c r="C145" s="1" t="n">
        <v>46089</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46089</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46089</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46089</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46089</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19974-2021</t>
        </is>
      </c>
      <c r="B150" s="1" t="n">
        <v>44313.66451388889</v>
      </c>
      <c r="C150" s="1" t="n">
        <v>46089</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46089</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46089</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46089</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46089</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46089</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46089</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46089</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46089</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46089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46089</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46089</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46089</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46089</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46089</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46089</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46089</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46089</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46089</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46089</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46089</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46089</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46089</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46089</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46089</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46089</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46089</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46089</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46089</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46089</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46089</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46089</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46089</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46089</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46089</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46089</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46089</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46089</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46089</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46089</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46089</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46089</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46089</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46089</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46089</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46089</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46089</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46089</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46089</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46089</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46089</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46089</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46089</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46089</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46089</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46089</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46089</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46089</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46089</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46089</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46089</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46089</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46089</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46089</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46089</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46089</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46089</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46089</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46089</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46089</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46089</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46089</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46089</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46089</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46089</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46089</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46089</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46089</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46089</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46089</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46089</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46089</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46089</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46089</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46089</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46089</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46089</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46089</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46089</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46089</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46089</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46089</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46089</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46089</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46089</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46089</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46089</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46089</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46089</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46089</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46089</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46089</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46089</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46089</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46089</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46089</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14942-2021</t>
        </is>
      </c>
      <c r="B256" s="1" t="n">
        <v>44281</v>
      </c>
      <c r="C256" s="1" t="n">
        <v>46089</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46089</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46089</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46089</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28562-2021</t>
        </is>
      </c>
      <c r="B260" s="1" t="n">
        <v>44356.69538194445</v>
      </c>
      <c r="C260" s="1" t="n">
        <v>46089</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33149-2021</t>
        </is>
      </c>
      <c r="B261" s="1" t="n">
        <v>44376.67658564815</v>
      </c>
      <c r="C261" s="1" t="n">
        <v>46089</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46089</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17765-2022</t>
        </is>
      </c>
      <c r="B263" s="1" t="n">
        <v>44681.41195601852</v>
      </c>
      <c r="C263" s="1" t="n">
        <v>46089</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46089</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46089</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46089</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46089</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46089</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46089</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46089</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46089</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46089</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46089</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46089</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46089</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46089</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46089</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46089</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46089</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46089</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46089</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46089</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46089</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46089</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46089</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46089</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46089</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53044-2022</t>
        </is>
      </c>
      <c r="B288" s="1" t="n">
        <v>44876</v>
      </c>
      <c r="C288" s="1" t="n">
        <v>46089</v>
      </c>
      <c r="D288" t="inlineStr">
        <is>
          <t>VÄRMLANDS LÄN</t>
        </is>
      </c>
      <c r="E288" t="inlineStr">
        <is>
          <t>TORSBY</t>
        </is>
      </c>
      <c r="G288" t="n">
        <v>0.2</v>
      </c>
      <c r="H288" t="n">
        <v>0</v>
      </c>
      <c r="I288" t="n">
        <v>0</v>
      </c>
      <c r="J288" t="n">
        <v>0</v>
      </c>
      <c r="K288" t="n">
        <v>0</v>
      </c>
      <c r="L288" t="n">
        <v>0</v>
      </c>
      <c r="M288" t="n">
        <v>0</v>
      </c>
      <c r="N288" t="n">
        <v>0</v>
      </c>
      <c r="O288" t="n">
        <v>0</v>
      </c>
      <c r="P288" t="n">
        <v>0</v>
      </c>
      <c r="Q288" t="n">
        <v>0</v>
      </c>
      <c r="R288" s="2" t="inlineStr"/>
    </row>
    <row r="289" ht="15" customHeight="1">
      <c r="A289" t="inlineStr">
        <is>
          <t>A 53076-2022</t>
        </is>
      </c>
      <c r="B289" s="1" t="n">
        <v>44876.38284722222</v>
      </c>
      <c r="C289" s="1" t="n">
        <v>46089</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46089</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46089</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46089</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46089</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46089</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46089</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46089</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46089</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46089</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46089</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46089</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46089</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46089</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46089</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34694-2021</t>
        </is>
      </c>
      <c r="B304" s="1" t="n">
        <v>44382.61398148148</v>
      </c>
      <c r="C304" s="1" t="n">
        <v>46089</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47083-2021</t>
        </is>
      </c>
      <c r="B305" s="1" t="n">
        <v>44446.66114583334</v>
      </c>
      <c r="C305" s="1" t="n">
        <v>46089</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47098-2021</t>
        </is>
      </c>
      <c r="B306" s="1" t="n">
        <v>44446.67429398148</v>
      </c>
      <c r="C306" s="1" t="n">
        <v>46089</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46089</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46089</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46089</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46089</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46089</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46089</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46089</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46089</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46089</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46089</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46089</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46089</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46089</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46089</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46089</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46089</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46089</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46089</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46089</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46089</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46089</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46089</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46089</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46089</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46089</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46089</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46089</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46089</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46089</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46089</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46089</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46089</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46089</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46089</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46089</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46089</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46089</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46089</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46089</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46089</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46089</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46089</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46089</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46089</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46089</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46089</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39217-2022</t>
        </is>
      </c>
      <c r="B353" s="1" t="n">
        <v>44817.57174768519</v>
      </c>
      <c r="C353" s="1" t="n">
        <v>46089</v>
      </c>
      <c r="D353" t="inlineStr">
        <is>
          <t>VÄRMLANDS LÄN</t>
        </is>
      </c>
      <c r="E353" t="inlineStr">
        <is>
          <t>TORSBY</t>
        </is>
      </c>
      <c r="G353" t="n">
        <v>4.6</v>
      </c>
      <c r="H353" t="n">
        <v>0</v>
      </c>
      <c r="I353" t="n">
        <v>0</v>
      </c>
      <c r="J353" t="n">
        <v>0</v>
      </c>
      <c r="K353" t="n">
        <v>0</v>
      </c>
      <c r="L353" t="n">
        <v>0</v>
      </c>
      <c r="M353" t="n">
        <v>0</v>
      </c>
      <c r="N353" t="n">
        <v>0</v>
      </c>
      <c r="O353" t="n">
        <v>0</v>
      </c>
      <c r="P353" t="n">
        <v>0</v>
      </c>
      <c r="Q353" t="n">
        <v>0</v>
      </c>
      <c r="R353" s="2" t="inlineStr"/>
    </row>
    <row r="354" ht="15" customHeight="1">
      <c r="A354" t="inlineStr">
        <is>
          <t>A 39221-2022</t>
        </is>
      </c>
      <c r="B354" s="1" t="n">
        <v>44817.57484953704</v>
      </c>
      <c r="C354" s="1" t="n">
        <v>46089</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46089</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46089</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46089</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46089</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46089</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46089</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6863-2023</t>
        </is>
      </c>
      <c r="B361" s="1" t="n">
        <v>44964</v>
      </c>
      <c r="C361" s="1" t="n">
        <v>46089</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23423-2024</t>
        </is>
      </c>
      <c r="B362" s="1" t="n">
        <v>45453.60787037037</v>
      </c>
      <c r="C362" s="1" t="n">
        <v>46089</v>
      </c>
      <c r="D362" t="inlineStr">
        <is>
          <t>VÄRMLANDS LÄN</t>
        </is>
      </c>
      <c r="E362" t="inlineStr">
        <is>
          <t>TORSBY</t>
        </is>
      </c>
      <c r="G362" t="n">
        <v>3.1</v>
      </c>
      <c r="H362" t="n">
        <v>0</v>
      </c>
      <c r="I362" t="n">
        <v>0</v>
      </c>
      <c r="J362" t="n">
        <v>0</v>
      </c>
      <c r="K362" t="n">
        <v>0</v>
      </c>
      <c r="L362" t="n">
        <v>0</v>
      </c>
      <c r="M362" t="n">
        <v>0</v>
      </c>
      <c r="N362" t="n">
        <v>0</v>
      </c>
      <c r="O362" t="n">
        <v>0</v>
      </c>
      <c r="P362" t="n">
        <v>0</v>
      </c>
      <c r="Q362" t="n">
        <v>0</v>
      </c>
      <c r="R362" s="2" t="inlineStr"/>
    </row>
    <row r="363" ht="15" customHeight="1">
      <c r="A363" t="inlineStr">
        <is>
          <t>A 34378-2022</t>
        </is>
      </c>
      <c r="B363" s="1" t="n">
        <v>44792.48787037037</v>
      </c>
      <c r="C363" s="1" t="n">
        <v>46089</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22662-2022</t>
        </is>
      </c>
      <c r="B364" s="1" t="n">
        <v>44714</v>
      </c>
      <c r="C364" s="1" t="n">
        <v>46089</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2130-2024</t>
        </is>
      </c>
      <c r="B365" s="1" t="n">
        <v>45309.51518518518</v>
      </c>
      <c r="C365" s="1" t="n">
        <v>46089</v>
      </c>
      <c r="D365" t="inlineStr">
        <is>
          <t>VÄRMLANDS LÄN</t>
        </is>
      </c>
      <c r="E365" t="inlineStr">
        <is>
          <t>TORSBY</t>
        </is>
      </c>
      <c r="G365" t="n">
        <v>4</v>
      </c>
      <c r="H365" t="n">
        <v>0</v>
      </c>
      <c r="I365" t="n">
        <v>0</v>
      </c>
      <c r="J365" t="n">
        <v>0</v>
      </c>
      <c r="K365" t="n">
        <v>0</v>
      </c>
      <c r="L365" t="n">
        <v>0</v>
      </c>
      <c r="M365" t="n">
        <v>0</v>
      </c>
      <c r="N365" t="n">
        <v>0</v>
      </c>
      <c r="O365" t="n">
        <v>0</v>
      </c>
      <c r="P365" t="n">
        <v>0</v>
      </c>
      <c r="Q365" t="n">
        <v>0</v>
      </c>
      <c r="R365" s="2" t="inlineStr"/>
    </row>
    <row r="366" ht="15" customHeight="1">
      <c r="A366" t="inlineStr">
        <is>
          <t>A 30011-2024</t>
        </is>
      </c>
      <c r="B366" s="1" t="n">
        <v>45488</v>
      </c>
      <c r="C366" s="1" t="n">
        <v>46089</v>
      </c>
      <c r="D366" t="inlineStr">
        <is>
          <t>VÄRMLANDS LÄN</t>
        </is>
      </c>
      <c r="E366" t="inlineStr">
        <is>
          <t>TORSBY</t>
        </is>
      </c>
      <c r="F366" t="inlineStr">
        <is>
          <t>Kommuner</t>
        </is>
      </c>
      <c r="G366" t="n">
        <v>4.7</v>
      </c>
      <c r="H366" t="n">
        <v>0</v>
      </c>
      <c r="I366" t="n">
        <v>0</v>
      </c>
      <c r="J366" t="n">
        <v>0</v>
      </c>
      <c r="K366" t="n">
        <v>0</v>
      </c>
      <c r="L366" t="n">
        <v>0</v>
      </c>
      <c r="M366" t="n">
        <v>0</v>
      </c>
      <c r="N366" t="n">
        <v>0</v>
      </c>
      <c r="O366" t="n">
        <v>0</v>
      </c>
      <c r="P366" t="n">
        <v>0</v>
      </c>
      <c r="Q366" t="n">
        <v>0</v>
      </c>
      <c r="R366" s="2" t="inlineStr"/>
    </row>
    <row r="367" ht="15" customHeight="1">
      <c r="A367" t="inlineStr">
        <is>
          <t>A 23996-2024</t>
        </is>
      </c>
      <c r="B367" s="1" t="n">
        <v>45456</v>
      </c>
      <c r="C367" s="1" t="n">
        <v>46089</v>
      </c>
      <c r="D367" t="inlineStr">
        <is>
          <t>VÄRMLANDS LÄN</t>
        </is>
      </c>
      <c r="E367" t="inlineStr">
        <is>
          <t>TORSBY</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56430-2024</t>
        </is>
      </c>
      <c r="B368" s="1" t="n">
        <v>45625</v>
      </c>
      <c r="C368" s="1" t="n">
        <v>46089</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16329-2025</t>
        </is>
      </c>
      <c r="B369" s="1" t="n">
        <v>45751</v>
      </c>
      <c r="C369" s="1" t="n">
        <v>46089</v>
      </c>
      <c r="D369" t="inlineStr">
        <is>
          <t>VÄRMLANDS LÄN</t>
        </is>
      </c>
      <c r="E369" t="inlineStr">
        <is>
          <t>TORSBY</t>
        </is>
      </c>
      <c r="F369" t="inlineStr">
        <is>
          <t>Bergvik skog väst AB</t>
        </is>
      </c>
      <c r="G369" t="n">
        <v>4.8</v>
      </c>
      <c r="H369" t="n">
        <v>0</v>
      </c>
      <c r="I369" t="n">
        <v>0</v>
      </c>
      <c r="J369" t="n">
        <v>0</v>
      </c>
      <c r="K369" t="n">
        <v>0</v>
      </c>
      <c r="L369" t="n">
        <v>0</v>
      </c>
      <c r="M369" t="n">
        <v>0</v>
      </c>
      <c r="N369" t="n">
        <v>0</v>
      </c>
      <c r="O369" t="n">
        <v>0</v>
      </c>
      <c r="P369" t="n">
        <v>0</v>
      </c>
      <c r="Q369" t="n">
        <v>0</v>
      </c>
      <c r="R369" s="2" t="inlineStr"/>
    </row>
    <row r="370" ht="15" customHeight="1">
      <c r="A370" t="inlineStr">
        <is>
          <t>A 35629-2023</t>
        </is>
      </c>
      <c r="B370" s="1" t="n">
        <v>45147.55939814815</v>
      </c>
      <c r="C370" s="1" t="n">
        <v>46089</v>
      </c>
      <c r="D370" t="inlineStr">
        <is>
          <t>VÄRMLANDS LÄN</t>
        </is>
      </c>
      <c r="E370" t="inlineStr">
        <is>
          <t>TORSBY</t>
        </is>
      </c>
      <c r="G370" t="n">
        <v>10.3</v>
      </c>
      <c r="H370" t="n">
        <v>0</v>
      </c>
      <c r="I370" t="n">
        <v>0</v>
      </c>
      <c r="J370" t="n">
        <v>0</v>
      </c>
      <c r="K370" t="n">
        <v>0</v>
      </c>
      <c r="L370" t="n">
        <v>0</v>
      </c>
      <c r="M370" t="n">
        <v>0</v>
      </c>
      <c r="N370" t="n">
        <v>0</v>
      </c>
      <c r="O370" t="n">
        <v>0</v>
      </c>
      <c r="P370" t="n">
        <v>0</v>
      </c>
      <c r="Q370" t="n">
        <v>0</v>
      </c>
      <c r="R370" s="2" t="inlineStr"/>
    </row>
    <row r="371" ht="15" customHeight="1">
      <c r="A371" t="inlineStr">
        <is>
          <t>A 34655-2022</t>
        </is>
      </c>
      <c r="B371" s="1" t="n">
        <v>44795</v>
      </c>
      <c r="C371" s="1" t="n">
        <v>46089</v>
      </c>
      <c r="D371" t="inlineStr">
        <is>
          <t>VÄRMLANDS LÄN</t>
        </is>
      </c>
      <c r="E371" t="inlineStr">
        <is>
          <t>TORSBY</t>
        </is>
      </c>
      <c r="G371" t="n">
        <v>12.8</v>
      </c>
      <c r="H371" t="n">
        <v>0</v>
      </c>
      <c r="I371" t="n">
        <v>0</v>
      </c>
      <c r="J371" t="n">
        <v>0</v>
      </c>
      <c r="K371" t="n">
        <v>0</v>
      </c>
      <c r="L371" t="n">
        <v>0</v>
      </c>
      <c r="M371" t="n">
        <v>0</v>
      </c>
      <c r="N371" t="n">
        <v>0</v>
      </c>
      <c r="O371" t="n">
        <v>0</v>
      </c>
      <c r="P371" t="n">
        <v>0</v>
      </c>
      <c r="Q371" t="n">
        <v>0</v>
      </c>
      <c r="R371" s="2" t="inlineStr"/>
    </row>
    <row r="372" ht="15" customHeight="1">
      <c r="A372" t="inlineStr">
        <is>
          <t>A 24696-2023</t>
        </is>
      </c>
      <c r="B372" s="1" t="n">
        <v>45084</v>
      </c>
      <c r="C372" s="1" t="n">
        <v>46089</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55808-2024</t>
        </is>
      </c>
      <c r="B373" s="1" t="n">
        <v>45622</v>
      </c>
      <c r="C373" s="1" t="n">
        <v>46089</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200-2025</t>
        </is>
      </c>
      <c r="B374" s="1" t="n">
        <v>45659.93418981481</v>
      </c>
      <c r="C374" s="1" t="n">
        <v>46089</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16789-2024</t>
        </is>
      </c>
      <c r="B375" s="1" t="n">
        <v>45411</v>
      </c>
      <c r="C375" s="1" t="n">
        <v>46089</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73521-2021</t>
        </is>
      </c>
      <c r="B376" s="1" t="n">
        <v>44551</v>
      </c>
      <c r="C376" s="1" t="n">
        <v>46089</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45134-2024</t>
        </is>
      </c>
      <c r="B377" s="1" t="n">
        <v>45575</v>
      </c>
      <c r="C377" s="1" t="n">
        <v>46089</v>
      </c>
      <c r="D377" t="inlineStr">
        <is>
          <t>VÄRMLANDS LÄN</t>
        </is>
      </c>
      <c r="E377" t="inlineStr">
        <is>
          <t>TORSBY</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27588-2024</t>
        </is>
      </c>
      <c r="B378" s="1" t="n">
        <v>45474</v>
      </c>
      <c r="C378" s="1" t="n">
        <v>46089</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59080-2024</t>
        </is>
      </c>
      <c r="B379" s="1" t="n">
        <v>45637</v>
      </c>
      <c r="C379" s="1" t="n">
        <v>46089</v>
      </c>
      <c r="D379" t="inlineStr">
        <is>
          <t>VÄRMLANDS LÄN</t>
        </is>
      </c>
      <c r="E379" t="inlineStr">
        <is>
          <t>TORSBY</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17754-2025</t>
        </is>
      </c>
      <c r="B380" s="1" t="n">
        <v>45758</v>
      </c>
      <c r="C380" s="1" t="n">
        <v>46089</v>
      </c>
      <c r="D380" t="inlineStr">
        <is>
          <t>VÄRMLANDS LÄN</t>
        </is>
      </c>
      <c r="E380" t="inlineStr">
        <is>
          <t>TORSBY</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28284-2024</t>
        </is>
      </c>
      <c r="B381" s="1" t="n">
        <v>45477</v>
      </c>
      <c r="C381" s="1" t="n">
        <v>46089</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46089</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2981-2025</t>
        </is>
      </c>
      <c r="B383" s="1" t="n">
        <v>45678.48844907407</v>
      </c>
      <c r="C383" s="1" t="n">
        <v>46089</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58951-2022</t>
        </is>
      </c>
      <c r="B384" s="1" t="n">
        <v>44903.65313657407</v>
      </c>
      <c r="C384" s="1" t="n">
        <v>46089</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46089</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24261-2024</t>
        </is>
      </c>
      <c r="B386" s="1" t="n">
        <v>45457</v>
      </c>
      <c r="C386" s="1" t="n">
        <v>46089</v>
      </c>
      <c r="D386" t="inlineStr">
        <is>
          <t>VÄRMLANDS LÄN</t>
        </is>
      </c>
      <c r="E386" t="inlineStr">
        <is>
          <t>TORSBY</t>
        </is>
      </c>
      <c r="G386" t="n">
        <v>3.5</v>
      </c>
      <c r="H386" t="n">
        <v>0</v>
      </c>
      <c r="I386" t="n">
        <v>0</v>
      </c>
      <c r="J386" t="n">
        <v>0</v>
      </c>
      <c r="K386" t="n">
        <v>0</v>
      </c>
      <c r="L386" t="n">
        <v>0</v>
      </c>
      <c r="M386" t="n">
        <v>0</v>
      </c>
      <c r="N386" t="n">
        <v>0</v>
      </c>
      <c r="O386" t="n">
        <v>0</v>
      </c>
      <c r="P386" t="n">
        <v>0</v>
      </c>
      <c r="Q386" t="n">
        <v>0</v>
      </c>
      <c r="R386" s="2" t="inlineStr"/>
    </row>
    <row r="387" ht="15" customHeight="1">
      <c r="A387" t="inlineStr">
        <is>
          <t>A 10583-2023</t>
        </is>
      </c>
      <c r="B387" s="1" t="n">
        <v>44988.36435185185</v>
      </c>
      <c r="C387" s="1" t="n">
        <v>46089</v>
      </c>
      <c r="D387" t="inlineStr">
        <is>
          <t>VÄRMLANDS LÄN</t>
        </is>
      </c>
      <c r="E387" t="inlineStr">
        <is>
          <t>TORSBY</t>
        </is>
      </c>
      <c r="G387" t="n">
        <v>3.6</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45698.74826388889</v>
      </c>
      <c r="C388" s="1" t="n">
        <v>46089</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46089</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46089</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522-2023</t>
        </is>
      </c>
      <c r="B391" s="1" t="n">
        <v>44930</v>
      </c>
      <c r="C391" s="1" t="n">
        <v>46089</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15465-2024</t>
        </is>
      </c>
      <c r="B392" s="1" t="n">
        <v>45401.47399305556</v>
      </c>
      <c r="C392" s="1" t="n">
        <v>46089</v>
      </c>
      <c r="D392" t="inlineStr">
        <is>
          <t>VÄRMLANDS LÄN</t>
        </is>
      </c>
      <c r="E392" t="inlineStr">
        <is>
          <t>TORSBY</t>
        </is>
      </c>
      <c r="F392" t="inlineStr">
        <is>
          <t>Bergvik skog väst AB</t>
        </is>
      </c>
      <c r="G392" t="n">
        <v>24.6</v>
      </c>
      <c r="H392" t="n">
        <v>0</v>
      </c>
      <c r="I392" t="n">
        <v>0</v>
      </c>
      <c r="J392" t="n">
        <v>0</v>
      </c>
      <c r="K392" t="n">
        <v>0</v>
      </c>
      <c r="L392" t="n">
        <v>0</v>
      </c>
      <c r="M392" t="n">
        <v>0</v>
      </c>
      <c r="N392" t="n">
        <v>0</v>
      </c>
      <c r="O392" t="n">
        <v>0</v>
      </c>
      <c r="P392" t="n">
        <v>0</v>
      </c>
      <c r="Q392" t="n">
        <v>0</v>
      </c>
      <c r="R392" s="2" t="inlineStr"/>
    </row>
    <row r="393" ht="15" customHeight="1">
      <c r="A393" t="inlineStr">
        <is>
          <t>A 73324-2021</t>
        </is>
      </c>
      <c r="B393" s="1" t="n">
        <v>44550</v>
      </c>
      <c r="C393" s="1" t="n">
        <v>46089</v>
      </c>
      <c r="D393" t="inlineStr">
        <is>
          <t>VÄRMLANDS LÄN</t>
        </is>
      </c>
      <c r="E393" t="inlineStr">
        <is>
          <t>TORSBY</t>
        </is>
      </c>
      <c r="G393" t="n">
        <v>9.9</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46089</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46089</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39567-2024</t>
        </is>
      </c>
      <c r="B396" s="1" t="n">
        <v>45552.3584375</v>
      </c>
      <c r="C396" s="1" t="n">
        <v>46089</v>
      </c>
      <c r="D396" t="inlineStr">
        <is>
          <t>VÄRMLANDS LÄN</t>
        </is>
      </c>
      <c r="E396" t="inlineStr">
        <is>
          <t>TORSBY</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1700-2024</t>
        </is>
      </c>
      <c r="B397" s="1" t="n">
        <v>45307.37347222222</v>
      </c>
      <c r="C397" s="1" t="n">
        <v>46089</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11050-2022</t>
        </is>
      </c>
      <c r="B398" s="1" t="n">
        <v>44628.60393518519</v>
      </c>
      <c r="C398" s="1" t="n">
        <v>46089</v>
      </c>
      <c r="D398" t="inlineStr">
        <is>
          <t>VÄRMLANDS LÄN</t>
        </is>
      </c>
      <c r="E398" t="inlineStr">
        <is>
          <t>TORSBY</t>
        </is>
      </c>
      <c r="G398" t="n">
        <v>4.9</v>
      </c>
      <c r="H398" t="n">
        <v>0</v>
      </c>
      <c r="I398" t="n">
        <v>0</v>
      </c>
      <c r="J398" t="n">
        <v>0</v>
      </c>
      <c r="K398" t="n">
        <v>0</v>
      </c>
      <c r="L398" t="n">
        <v>0</v>
      </c>
      <c r="M398" t="n">
        <v>0</v>
      </c>
      <c r="N398" t="n">
        <v>0</v>
      </c>
      <c r="O398" t="n">
        <v>0</v>
      </c>
      <c r="P398" t="n">
        <v>0</v>
      </c>
      <c r="Q398" t="n">
        <v>0</v>
      </c>
      <c r="R398" s="2" t="inlineStr"/>
    </row>
    <row r="399" ht="15" customHeight="1">
      <c r="A399" t="inlineStr">
        <is>
          <t>A 43536-2023</t>
        </is>
      </c>
      <c r="B399" s="1" t="n">
        <v>45181</v>
      </c>
      <c r="C399" s="1" t="n">
        <v>46089</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47465-2024</t>
        </is>
      </c>
      <c r="B400" s="1" t="n">
        <v>45587</v>
      </c>
      <c r="C400" s="1" t="n">
        <v>46089</v>
      </c>
      <c r="D400" t="inlineStr">
        <is>
          <t>VÄRMLANDS LÄN</t>
        </is>
      </c>
      <c r="E400" t="inlineStr">
        <is>
          <t>TORSBY</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13285-2025</t>
        </is>
      </c>
      <c r="B401" s="1" t="n">
        <v>45735</v>
      </c>
      <c r="C401" s="1" t="n">
        <v>46089</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1275-2024</t>
        </is>
      </c>
      <c r="B402" s="1" t="n">
        <v>45302</v>
      </c>
      <c r="C402" s="1" t="n">
        <v>46089</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48106-2023</t>
        </is>
      </c>
      <c r="B403" s="1" t="n">
        <v>45205.3434837963</v>
      </c>
      <c r="C403" s="1" t="n">
        <v>46089</v>
      </c>
      <c r="D403" t="inlineStr">
        <is>
          <t>VÄRMLANDS LÄN</t>
        </is>
      </c>
      <c r="E403" t="inlineStr">
        <is>
          <t>TORSBY</t>
        </is>
      </c>
      <c r="G403" t="n">
        <v>3.9</v>
      </c>
      <c r="H403" t="n">
        <v>0</v>
      </c>
      <c r="I403" t="n">
        <v>0</v>
      </c>
      <c r="J403" t="n">
        <v>0</v>
      </c>
      <c r="K403" t="n">
        <v>0</v>
      </c>
      <c r="L403" t="n">
        <v>0</v>
      </c>
      <c r="M403" t="n">
        <v>0</v>
      </c>
      <c r="N403" t="n">
        <v>0</v>
      </c>
      <c r="O403" t="n">
        <v>0</v>
      </c>
      <c r="P403" t="n">
        <v>0</v>
      </c>
      <c r="Q403" t="n">
        <v>0</v>
      </c>
      <c r="R403" s="2" t="inlineStr"/>
    </row>
    <row r="404" ht="15" customHeight="1">
      <c r="A404" t="inlineStr">
        <is>
          <t>A 56240-2024</t>
        </is>
      </c>
      <c r="B404" s="1" t="n">
        <v>45624.63012731481</v>
      </c>
      <c r="C404" s="1" t="n">
        <v>46089</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17048-2025</t>
        </is>
      </c>
      <c r="B405" s="1" t="n">
        <v>45754</v>
      </c>
      <c r="C405" s="1" t="n">
        <v>46089</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17053-2025</t>
        </is>
      </c>
      <c r="B406" s="1" t="n">
        <v>45754</v>
      </c>
      <c r="C406" s="1" t="n">
        <v>46089</v>
      </c>
      <c r="D406" t="inlineStr">
        <is>
          <t>VÄRMLANDS LÄN</t>
        </is>
      </c>
      <c r="E406" t="inlineStr">
        <is>
          <t>TORSBY</t>
        </is>
      </c>
      <c r="G406" t="n">
        <v>3.7</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46089</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46089</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46089</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39780-2022</t>
        </is>
      </c>
      <c r="B410" s="1" t="n">
        <v>44819.46672453704</v>
      </c>
      <c r="C410" s="1" t="n">
        <v>46089</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492-2025</t>
        </is>
      </c>
      <c r="B411" s="1" t="n">
        <v>45664.46337962963</v>
      </c>
      <c r="C411" s="1" t="n">
        <v>46089</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32845-2024</t>
        </is>
      </c>
      <c r="B412" s="1" t="n">
        <v>45516.62422453704</v>
      </c>
      <c r="C412" s="1" t="n">
        <v>46089</v>
      </c>
      <c r="D412" t="inlineStr">
        <is>
          <t>VÄRMLANDS LÄN</t>
        </is>
      </c>
      <c r="E412" t="inlineStr">
        <is>
          <t>TORSBY</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13207-2022</t>
        </is>
      </c>
      <c r="B413" s="1" t="n">
        <v>44644.56116898148</v>
      </c>
      <c r="C413" s="1" t="n">
        <v>46089</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46089</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36419-2024</t>
        </is>
      </c>
      <c r="B415" s="1" t="n">
        <v>45536.58380787037</v>
      </c>
      <c r="C415" s="1" t="n">
        <v>46089</v>
      </c>
      <c r="D415" t="inlineStr">
        <is>
          <t>VÄRMLANDS LÄN</t>
        </is>
      </c>
      <c r="E415" t="inlineStr">
        <is>
          <t>TORSBY</t>
        </is>
      </c>
      <c r="G415" t="n">
        <v>8.9</v>
      </c>
      <c r="H415" t="n">
        <v>0</v>
      </c>
      <c r="I415" t="n">
        <v>0</v>
      </c>
      <c r="J415" t="n">
        <v>0</v>
      </c>
      <c r="K415" t="n">
        <v>0</v>
      </c>
      <c r="L415" t="n">
        <v>0</v>
      </c>
      <c r="M415" t="n">
        <v>0</v>
      </c>
      <c r="N415" t="n">
        <v>0</v>
      </c>
      <c r="O415" t="n">
        <v>0</v>
      </c>
      <c r="P415" t="n">
        <v>0</v>
      </c>
      <c r="Q415" t="n">
        <v>0</v>
      </c>
      <c r="R415" s="2" t="inlineStr"/>
    </row>
    <row r="416" ht="15" customHeight="1">
      <c r="A416" t="inlineStr">
        <is>
          <t>A 18576-2025</t>
        </is>
      </c>
      <c r="B416" s="1" t="n">
        <v>45763</v>
      </c>
      <c r="C416" s="1" t="n">
        <v>46089</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18584-2025</t>
        </is>
      </c>
      <c r="B417" s="1" t="n">
        <v>45763.46973379629</v>
      </c>
      <c r="C417" s="1" t="n">
        <v>46089</v>
      </c>
      <c r="D417" t="inlineStr">
        <is>
          <t>VÄRMLANDS LÄN</t>
        </is>
      </c>
      <c r="E417" t="inlineStr">
        <is>
          <t>TORSBY</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58728-2021</t>
        </is>
      </c>
      <c r="B418" s="1" t="n">
        <v>44489</v>
      </c>
      <c r="C418" s="1" t="n">
        <v>46089</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46152-2024</t>
        </is>
      </c>
      <c r="B419" s="1" t="n">
        <v>45581</v>
      </c>
      <c r="C419" s="1" t="n">
        <v>46089</v>
      </c>
      <c r="D419" t="inlineStr">
        <is>
          <t>VÄRMLANDS LÄN</t>
        </is>
      </c>
      <c r="E419" t="inlineStr">
        <is>
          <t>TORSBY</t>
        </is>
      </c>
      <c r="G419" t="n">
        <v>2.5</v>
      </c>
      <c r="H419" t="n">
        <v>0</v>
      </c>
      <c r="I419" t="n">
        <v>0</v>
      </c>
      <c r="J419" t="n">
        <v>0</v>
      </c>
      <c r="K419" t="n">
        <v>0</v>
      </c>
      <c r="L419" t="n">
        <v>0</v>
      </c>
      <c r="M419" t="n">
        <v>0</v>
      </c>
      <c r="N419" t="n">
        <v>0</v>
      </c>
      <c r="O419" t="n">
        <v>0</v>
      </c>
      <c r="P419" t="n">
        <v>0</v>
      </c>
      <c r="Q419" t="n">
        <v>0</v>
      </c>
      <c r="R419" s="2" t="inlineStr"/>
    </row>
    <row r="420" ht="15" customHeight="1">
      <c r="A420" t="inlineStr">
        <is>
          <t>A 34093-2024</t>
        </is>
      </c>
      <c r="B420" s="1" t="n">
        <v>45523</v>
      </c>
      <c r="C420" s="1" t="n">
        <v>46089</v>
      </c>
      <c r="D420" t="inlineStr">
        <is>
          <t>VÄRMLANDS LÄN</t>
        </is>
      </c>
      <c r="E420" t="inlineStr">
        <is>
          <t>TORSBY</t>
        </is>
      </c>
      <c r="F420" t="inlineStr">
        <is>
          <t>Bergvik skog väst AB</t>
        </is>
      </c>
      <c r="G420" t="n">
        <v>5.9</v>
      </c>
      <c r="H420" t="n">
        <v>0</v>
      </c>
      <c r="I420" t="n">
        <v>0</v>
      </c>
      <c r="J420" t="n">
        <v>0</v>
      </c>
      <c r="K420" t="n">
        <v>0</v>
      </c>
      <c r="L420" t="n">
        <v>0</v>
      </c>
      <c r="M420" t="n">
        <v>0</v>
      </c>
      <c r="N420" t="n">
        <v>0</v>
      </c>
      <c r="O420" t="n">
        <v>0</v>
      </c>
      <c r="P420" t="n">
        <v>0</v>
      </c>
      <c r="Q420" t="n">
        <v>0</v>
      </c>
      <c r="R420" s="2" t="inlineStr"/>
    </row>
    <row r="421" ht="15" customHeight="1">
      <c r="A421" t="inlineStr">
        <is>
          <t>A 57469-2024</t>
        </is>
      </c>
      <c r="B421" s="1" t="n">
        <v>45630</v>
      </c>
      <c r="C421" s="1" t="n">
        <v>46089</v>
      </c>
      <c r="D421" t="inlineStr">
        <is>
          <t>VÄRMLANDS LÄN</t>
        </is>
      </c>
      <c r="E421" t="inlineStr">
        <is>
          <t>TORSBY</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16309-2023</t>
        </is>
      </c>
      <c r="B422" s="1" t="n">
        <v>45028.58873842593</v>
      </c>
      <c r="C422" s="1" t="n">
        <v>46089</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13848-2024</t>
        </is>
      </c>
      <c r="B423" s="1" t="n">
        <v>45390</v>
      </c>
      <c r="C423" s="1" t="n">
        <v>46089</v>
      </c>
      <c r="D423" t="inlineStr">
        <is>
          <t>VÄRMLANDS LÄN</t>
        </is>
      </c>
      <c r="E423" t="inlineStr">
        <is>
          <t>TORSBY</t>
        </is>
      </c>
      <c r="G423" t="n">
        <v>4.5</v>
      </c>
      <c r="H423" t="n">
        <v>0</v>
      </c>
      <c r="I423" t="n">
        <v>0</v>
      </c>
      <c r="J423" t="n">
        <v>0</v>
      </c>
      <c r="K423" t="n">
        <v>0</v>
      </c>
      <c r="L423" t="n">
        <v>0</v>
      </c>
      <c r="M423" t="n">
        <v>0</v>
      </c>
      <c r="N423" t="n">
        <v>0</v>
      </c>
      <c r="O423" t="n">
        <v>0</v>
      </c>
      <c r="P423" t="n">
        <v>0</v>
      </c>
      <c r="Q423" t="n">
        <v>0</v>
      </c>
      <c r="R423" s="2" t="inlineStr"/>
    </row>
    <row r="424" ht="15" customHeight="1">
      <c r="A424" t="inlineStr">
        <is>
          <t>A 46456-2024</t>
        </is>
      </c>
      <c r="B424" s="1" t="n">
        <v>45582</v>
      </c>
      <c r="C424" s="1" t="n">
        <v>46089</v>
      </c>
      <c r="D424" t="inlineStr">
        <is>
          <t>VÄRMLANDS LÄN</t>
        </is>
      </c>
      <c r="E424" t="inlineStr">
        <is>
          <t>TORSBY</t>
        </is>
      </c>
      <c r="G424" t="n">
        <v>2.3</v>
      </c>
      <c r="H424" t="n">
        <v>0</v>
      </c>
      <c r="I424" t="n">
        <v>0</v>
      </c>
      <c r="J424" t="n">
        <v>0</v>
      </c>
      <c r="K424" t="n">
        <v>0</v>
      </c>
      <c r="L424" t="n">
        <v>0</v>
      </c>
      <c r="M424" t="n">
        <v>0</v>
      </c>
      <c r="N424" t="n">
        <v>0</v>
      </c>
      <c r="O424" t="n">
        <v>0</v>
      </c>
      <c r="P424" t="n">
        <v>0</v>
      </c>
      <c r="Q424" t="n">
        <v>0</v>
      </c>
      <c r="R424" s="2" t="inlineStr"/>
    </row>
    <row r="425" ht="15" customHeight="1">
      <c r="A425" t="inlineStr">
        <is>
          <t>A 2203-2025</t>
        </is>
      </c>
      <c r="B425" s="1" t="n">
        <v>45672</v>
      </c>
      <c r="C425" s="1" t="n">
        <v>46089</v>
      </c>
      <c r="D425" t="inlineStr">
        <is>
          <t>VÄRMLANDS LÄN</t>
        </is>
      </c>
      <c r="E425" t="inlineStr">
        <is>
          <t>TORSBY</t>
        </is>
      </c>
      <c r="G425" t="n">
        <v>11.3</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46089</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46089</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24182-2024</t>
        </is>
      </c>
      <c r="B428" s="1" t="n">
        <v>45456</v>
      </c>
      <c r="C428" s="1" t="n">
        <v>46089</v>
      </c>
      <c r="D428" t="inlineStr">
        <is>
          <t>VÄRMLANDS LÄN</t>
        </is>
      </c>
      <c r="E428" t="inlineStr">
        <is>
          <t>TORSBY</t>
        </is>
      </c>
      <c r="F428" t="inlineStr">
        <is>
          <t>Bergvik skog väst AB</t>
        </is>
      </c>
      <c r="G428" t="n">
        <v>28.9</v>
      </c>
      <c r="H428" t="n">
        <v>0</v>
      </c>
      <c r="I428" t="n">
        <v>0</v>
      </c>
      <c r="J428" t="n">
        <v>0</v>
      </c>
      <c r="K428" t="n">
        <v>0</v>
      </c>
      <c r="L428" t="n">
        <v>0</v>
      </c>
      <c r="M428" t="n">
        <v>0</v>
      </c>
      <c r="N428" t="n">
        <v>0</v>
      </c>
      <c r="O428" t="n">
        <v>0</v>
      </c>
      <c r="P428" t="n">
        <v>0</v>
      </c>
      <c r="Q428" t="n">
        <v>0</v>
      </c>
      <c r="R428" s="2" t="inlineStr"/>
    </row>
    <row r="429" ht="15" customHeight="1">
      <c r="A429" t="inlineStr">
        <is>
          <t>A 15413-2023</t>
        </is>
      </c>
      <c r="B429" s="1" t="n">
        <v>45019</v>
      </c>
      <c r="C429" s="1" t="n">
        <v>46089</v>
      </c>
      <c r="D429" t="inlineStr">
        <is>
          <t>VÄRMLANDS LÄN</t>
        </is>
      </c>
      <c r="E429" t="inlineStr">
        <is>
          <t>TORSBY</t>
        </is>
      </c>
      <c r="G429" t="n">
        <v>17.1</v>
      </c>
      <c r="H429" t="n">
        <v>0</v>
      </c>
      <c r="I429" t="n">
        <v>0</v>
      </c>
      <c r="J429" t="n">
        <v>0</v>
      </c>
      <c r="K429" t="n">
        <v>0</v>
      </c>
      <c r="L429" t="n">
        <v>0</v>
      </c>
      <c r="M429" t="n">
        <v>0</v>
      </c>
      <c r="N429" t="n">
        <v>0</v>
      </c>
      <c r="O429" t="n">
        <v>0</v>
      </c>
      <c r="P429" t="n">
        <v>0</v>
      </c>
      <c r="Q429" t="n">
        <v>0</v>
      </c>
      <c r="R429" s="2" t="inlineStr"/>
    </row>
    <row r="430" ht="15" customHeight="1">
      <c r="A430" t="inlineStr">
        <is>
          <t>A 57172-2022</t>
        </is>
      </c>
      <c r="B430" s="1" t="n">
        <v>44895</v>
      </c>
      <c r="C430" s="1" t="n">
        <v>46089</v>
      </c>
      <c r="D430" t="inlineStr">
        <is>
          <t>VÄRMLANDS LÄN</t>
        </is>
      </c>
      <c r="E430" t="inlineStr">
        <is>
          <t>TORSBY</t>
        </is>
      </c>
      <c r="G430" t="n">
        <v>3.8</v>
      </c>
      <c r="H430" t="n">
        <v>0</v>
      </c>
      <c r="I430" t="n">
        <v>0</v>
      </c>
      <c r="J430" t="n">
        <v>0</v>
      </c>
      <c r="K430" t="n">
        <v>0</v>
      </c>
      <c r="L430" t="n">
        <v>0</v>
      </c>
      <c r="M430" t="n">
        <v>0</v>
      </c>
      <c r="N430" t="n">
        <v>0</v>
      </c>
      <c r="O430" t="n">
        <v>0</v>
      </c>
      <c r="P430" t="n">
        <v>0</v>
      </c>
      <c r="Q430" t="n">
        <v>0</v>
      </c>
      <c r="R430" s="2" t="inlineStr"/>
    </row>
    <row r="431" ht="15" customHeight="1">
      <c r="A431" t="inlineStr">
        <is>
          <t>A 16425-2022</t>
        </is>
      </c>
      <c r="B431" s="1" t="n">
        <v>44671</v>
      </c>
      <c r="C431" s="1" t="n">
        <v>46089</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3536-2024</t>
        </is>
      </c>
      <c r="B432" s="1" t="n">
        <v>45320</v>
      </c>
      <c r="C432" s="1" t="n">
        <v>46089</v>
      </c>
      <c r="D432" t="inlineStr">
        <is>
          <t>VÄRMLANDS LÄN</t>
        </is>
      </c>
      <c r="E432" t="inlineStr">
        <is>
          <t>TORSBY</t>
        </is>
      </c>
      <c r="G432" t="n">
        <v>2.7</v>
      </c>
      <c r="H432" t="n">
        <v>0</v>
      </c>
      <c r="I432" t="n">
        <v>0</v>
      </c>
      <c r="J432" t="n">
        <v>0</v>
      </c>
      <c r="K432" t="n">
        <v>0</v>
      </c>
      <c r="L432" t="n">
        <v>0</v>
      </c>
      <c r="M432" t="n">
        <v>0</v>
      </c>
      <c r="N432" t="n">
        <v>0</v>
      </c>
      <c r="O432" t="n">
        <v>0</v>
      </c>
      <c r="P432" t="n">
        <v>0</v>
      </c>
      <c r="Q432" t="n">
        <v>0</v>
      </c>
      <c r="R432" s="2" t="inlineStr"/>
    </row>
    <row r="433" ht="15" customHeight="1">
      <c r="A433" t="inlineStr">
        <is>
          <t>A 53945-2023</t>
        </is>
      </c>
      <c r="B433" s="1" t="n">
        <v>45231.6009837963</v>
      </c>
      <c r="C433" s="1" t="n">
        <v>46089</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9793-2024</t>
        </is>
      </c>
      <c r="B434" s="1" t="n">
        <v>45362.71013888889</v>
      </c>
      <c r="C434" s="1" t="n">
        <v>46089</v>
      </c>
      <c r="D434" t="inlineStr">
        <is>
          <t>VÄRMLANDS LÄN</t>
        </is>
      </c>
      <c r="E434" t="inlineStr">
        <is>
          <t>TORSBY</t>
        </is>
      </c>
      <c r="G434" t="n">
        <v>6</v>
      </c>
      <c r="H434" t="n">
        <v>0</v>
      </c>
      <c r="I434" t="n">
        <v>0</v>
      </c>
      <c r="J434" t="n">
        <v>0</v>
      </c>
      <c r="K434" t="n">
        <v>0</v>
      </c>
      <c r="L434" t="n">
        <v>0</v>
      </c>
      <c r="M434" t="n">
        <v>0</v>
      </c>
      <c r="N434" t="n">
        <v>0</v>
      </c>
      <c r="O434" t="n">
        <v>0</v>
      </c>
      <c r="P434" t="n">
        <v>0</v>
      </c>
      <c r="Q434" t="n">
        <v>0</v>
      </c>
      <c r="R434" s="2" t="inlineStr"/>
    </row>
    <row r="435" ht="15" customHeight="1">
      <c r="A435" t="inlineStr">
        <is>
          <t>A 11143-2024</t>
        </is>
      </c>
      <c r="B435" s="1" t="n">
        <v>45371</v>
      </c>
      <c r="C435" s="1" t="n">
        <v>46089</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38257-2023</t>
        </is>
      </c>
      <c r="B436" s="1" t="n">
        <v>45161.58917824074</v>
      </c>
      <c r="C436" s="1" t="n">
        <v>46089</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15768-2025</t>
        </is>
      </c>
      <c r="B437" s="1" t="n">
        <v>45748.58782407407</v>
      </c>
      <c r="C437" s="1" t="n">
        <v>46089</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7221-2024</t>
        </is>
      </c>
      <c r="B438" s="1" t="n">
        <v>45344.63927083334</v>
      </c>
      <c r="C438" s="1" t="n">
        <v>46089</v>
      </c>
      <c r="D438" t="inlineStr">
        <is>
          <t>VÄRMLANDS LÄN</t>
        </is>
      </c>
      <c r="E438" t="inlineStr">
        <is>
          <t>TORSBY</t>
        </is>
      </c>
      <c r="G438" t="n">
        <v>8.1</v>
      </c>
      <c r="H438" t="n">
        <v>0</v>
      </c>
      <c r="I438" t="n">
        <v>0</v>
      </c>
      <c r="J438" t="n">
        <v>0</v>
      </c>
      <c r="K438" t="n">
        <v>0</v>
      </c>
      <c r="L438" t="n">
        <v>0</v>
      </c>
      <c r="M438" t="n">
        <v>0</v>
      </c>
      <c r="N438" t="n">
        <v>0</v>
      </c>
      <c r="O438" t="n">
        <v>0</v>
      </c>
      <c r="P438" t="n">
        <v>0</v>
      </c>
      <c r="Q438" t="n">
        <v>0</v>
      </c>
      <c r="R438" s="2" t="inlineStr"/>
    </row>
    <row r="439" ht="15" customHeight="1">
      <c r="A439" t="inlineStr">
        <is>
          <t>A 32319-2024</t>
        </is>
      </c>
      <c r="B439" s="1" t="n">
        <v>45512.4621875</v>
      </c>
      <c r="C439" s="1" t="n">
        <v>46089</v>
      </c>
      <c r="D439" t="inlineStr">
        <is>
          <t>VÄRMLANDS LÄN</t>
        </is>
      </c>
      <c r="E439" t="inlineStr">
        <is>
          <t>TORSBY</t>
        </is>
      </c>
      <c r="G439" t="n">
        <v>2.6</v>
      </c>
      <c r="H439" t="n">
        <v>0</v>
      </c>
      <c r="I439" t="n">
        <v>0</v>
      </c>
      <c r="J439" t="n">
        <v>0</v>
      </c>
      <c r="K439" t="n">
        <v>0</v>
      </c>
      <c r="L439" t="n">
        <v>0</v>
      </c>
      <c r="M439" t="n">
        <v>0</v>
      </c>
      <c r="N439" t="n">
        <v>0</v>
      </c>
      <c r="O439" t="n">
        <v>0</v>
      </c>
      <c r="P439" t="n">
        <v>0</v>
      </c>
      <c r="Q439" t="n">
        <v>0</v>
      </c>
      <c r="R439" s="2" t="inlineStr"/>
    </row>
    <row r="440" ht="15" customHeight="1">
      <c r="A440" t="inlineStr">
        <is>
          <t>A 52314-2024</t>
        </is>
      </c>
      <c r="B440" s="1" t="n">
        <v>45608.87075231481</v>
      </c>
      <c r="C440" s="1" t="n">
        <v>46089</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39767-2024</t>
        </is>
      </c>
      <c r="B441" s="1" t="n">
        <v>45552</v>
      </c>
      <c r="C441" s="1" t="n">
        <v>46089</v>
      </c>
      <c r="D441" t="inlineStr">
        <is>
          <t>VÄRMLANDS LÄN</t>
        </is>
      </c>
      <c r="E441" t="inlineStr">
        <is>
          <t>TORSBY</t>
        </is>
      </c>
      <c r="G441" t="n">
        <v>7</v>
      </c>
      <c r="H441" t="n">
        <v>0</v>
      </c>
      <c r="I441" t="n">
        <v>0</v>
      </c>
      <c r="J441" t="n">
        <v>0</v>
      </c>
      <c r="K441" t="n">
        <v>0</v>
      </c>
      <c r="L441" t="n">
        <v>0</v>
      </c>
      <c r="M441" t="n">
        <v>0</v>
      </c>
      <c r="N441" t="n">
        <v>0</v>
      </c>
      <c r="O441" t="n">
        <v>0</v>
      </c>
      <c r="P441" t="n">
        <v>0</v>
      </c>
      <c r="Q441" t="n">
        <v>0</v>
      </c>
      <c r="R441" s="2" t="inlineStr"/>
    </row>
    <row r="442" ht="15" customHeight="1">
      <c r="A442" t="inlineStr">
        <is>
          <t>A 39772-2024</t>
        </is>
      </c>
      <c r="B442" s="1" t="n">
        <v>45552</v>
      </c>
      <c r="C442" s="1" t="n">
        <v>46089</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32588-2024</t>
        </is>
      </c>
      <c r="B443" s="1" t="n">
        <v>45513.59612268519</v>
      </c>
      <c r="C443" s="1" t="n">
        <v>46089</v>
      </c>
      <c r="D443" t="inlineStr">
        <is>
          <t>VÄRMLANDS LÄN</t>
        </is>
      </c>
      <c r="E443" t="inlineStr">
        <is>
          <t>TORSBY</t>
        </is>
      </c>
      <c r="F443" t="inlineStr">
        <is>
          <t>Bergvik skog väst AB</t>
        </is>
      </c>
      <c r="G443" t="n">
        <v>5.2</v>
      </c>
      <c r="H443" t="n">
        <v>0</v>
      </c>
      <c r="I443" t="n">
        <v>0</v>
      </c>
      <c r="J443" t="n">
        <v>0</v>
      </c>
      <c r="K443" t="n">
        <v>0</v>
      </c>
      <c r="L443" t="n">
        <v>0</v>
      </c>
      <c r="M443" t="n">
        <v>0</v>
      </c>
      <c r="N443" t="n">
        <v>0</v>
      </c>
      <c r="O443" t="n">
        <v>0</v>
      </c>
      <c r="P443" t="n">
        <v>0</v>
      </c>
      <c r="Q443" t="n">
        <v>0</v>
      </c>
      <c r="R443" s="2" t="inlineStr"/>
    </row>
    <row r="444" ht="15" customHeight="1">
      <c r="A444" t="inlineStr">
        <is>
          <t>A 33227-2024</t>
        </is>
      </c>
      <c r="B444" s="1" t="n">
        <v>45518.5708912037</v>
      </c>
      <c r="C444" s="1" t="n">
        <v>46089</v>
      </c>
      <c r="D444" t="inlineStr">
        <is>
          <t>VÄRMLANDS LÄN</t>
        </is>
      </c>
      <c r="E444" t="inlineStr">
        <is>
          <t>TORSBY</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57785-2024</t>
        </is>
      </c>
      <c r="B445" s="1" t="n">
        <v>45631</v>
      </c>
      <c r="C445" s="1" t="n">
        <v>46089</v>
      </c>
      <c r="D445" t="inlineStr">
        <is>
          <t>VÄRMLANDS LÄN</t>
        </is>
      </c>
      <c r="E445" t="inlineStr">
        <is>
          <t>TORSBY</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54162-2023</t>
        </is>
      </c>
      <c r="B446" s="1" t="n">
        <v>45232.47539351852</v>
      </c>
      <c r="C446" s="1" t="n">
        <v>46089</v>
      </c>
      <c r="D446" t="inlineStr">
        <is>
          <t>VÄRMLANDS LÄN</t>
        </is>
      </c>
      <c r="E446" t="inlineStr">
        <is>
          <t>TORSBY</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54191-2023</t>
        </is>
      </c>
      <c r="B447" s="1" t="n">
        <v>45232</v>
      </c>
      <c r="C447" s="1" t="n">
        <v>46089</v>
      </c>
      <c r="D447" t="inlineStr">
        <is>
          <t>VÄRMLANDS LÄN</t>
        </is>
      </c>
      <c r="E447" t="inlineStr">
        <is>
          <t>TORSBY</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19662-2025</t>
        </is>
      </c>
      <c r="B448" s="1" t="n">
        <v>45770</v>
      </c>
      <c r="C448" s="1" t="n">
        <v>46089</v>
      </c>
      <c r="D448" t="inlineStr">
        <is>
          <t>VÄRMLANDS LÄN</t>
        </is>
      </c>
      <c r="E448" t="inlineStr">
        <is>
          <t>TORSBY</t>
        </is>
      </c>
      <c r="F448" t="inlineStr">
        <is>
          <t>Bergvik skog väst AB</t>
        </is>
      </c>
      <c r="G448" t="n">
        <v>11.6</v>
      </c>
      <c r="H448" t="n">
        <v>0</v>
      </c>
      <c r="I448" t="n">
        <v>0</v>
      </c>
      <c r="J448" t="n">
        <v>0</v>
      </c>
      <c r="K448" t="n">
        <v>0</v>
      </c>
      <c r="L448" t="n">
        <v>0</v>
      </c>
      <c r="M448" t="n">
        <v>0</v>
      </c>
      <c r="N448" t="n">
        <v>0</v>
      </c>
      <c r="O448" t="n">
        <v>0</v>
      </c>
      <c r="P448" t="n">
        <v>0</v>
      </c>
      <c r="Q448" t="n">
        <v>0</v>
      </c>
      <c r="R448" s="2" t="inlineStr"/>
    </row>
    <row r="449" ht="15" customHeight="1">
      <c r="A449" t="inlineStr">
        <is>
          <t>A 23843-2024</t>
        </is>
      </c>
      <c r="B449" s="1" t="n">
        <v>45455</v>
      </c>
      <c r="C449" s="1" t="n">
        <v>46089</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19763-2025</t>
        </is>
      </c>
      <c r="B450" s="1" t="n">
        <v>45771.40707175926</v>
      </c>
      <c r="C450" s="1" t="n">
        <v>46089</v>
      </c>
      <c r="D450" t="inlineStr">
        <is>
          <t>VÄRMLANDS LÄN</t>
        </is>
      </c>
      <c r="E450" t="inlineStr">
        <is>
          <t>TORSBY</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27144-2024</t>
        </is>
      </c>
      <c r="B451" s="1" t="n">
        <v>45471.55459490741</v>
      </c>
      <c r="C451" s="1" t="n">
        <v>46089</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9226-2025</t>
        </is>
      </c>
      <c r="B452" s="1" t="n">
        <v>45714</v>
      </c>
      <c r="C452" s="1" t="n">
        <v>46089</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26799-2024</t>
        </is>
      </c>
      <c r="B453" s="1" t="n">
        <v>45470.5071875</v>
      </c>
      <c r="C453" s="1" t="n">
        <v>46089</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47602-2021</t>
        </is>
      </c>
      <c r="B454" s="1" t="n">
        <v>44448</v>
      </c>
      <c r="C454" s="1" t="n">
        <v>46089</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40546-2024</t>
        </is>
      </c>
      <c r="B455" s="1" t="n">
        <v>45555</v>
      </c>
      <c r="C455" s="1" t="n">
        <v>46089</v>
      </c>
      <c r="D455" t="inlineStr">
        <is>
          <t>VÄRMLANDS LÄN</t>
        </is>
      </c>
      <c r="E455" t="inlineStr">
        <is>
          <t>TORSBY</t>
        </is>
      </c>
      <c r="F455" t="inlineStr">
        <is>
          <t>Bergvik skog väst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15931-2025</t>
        </is>
      </c>
      <c r="B456" s="1" t="n">
        <v>45749.46791666667</v>
      </c>
      <c r="C456" s="1" t="n">
        <v>46089</v>
      </c>
      <c r="D456" t="inlineStr">
        <is>
          <t>VÄRMLANDS LÄN</t>
        </is>
      </c>
      <c r="E456" t="inlineStr">
        <is>
          <t>TORSBY</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24876-2023</t>
        </is>
      </c>
      <c r="B457" s="1" t="n">
        <v>45085.42391203704</v>
      </c>
      <c r="C457" s="1" t="n">
        <v>46089</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46089</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44879-2022</t>
        </is>
      </c>
      <c r="B459" s="1" t="n">
        <v>44839</v>
      </c>
      <c r="C459" s="1" t="n">
        <v>46089</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46089</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33069-2022</t>
        </is>
      </c>
      <c r="B461" s="1" t="n">
        <v>44785</v>
      </c>
      <c r="C461" s="1" t="n">
        <v>46089</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10684-2024</t>
        </is>
      </c>
      <c r="B462" s="1" t="n">
        <v>45369.37938657407</v>
      </c>
      <c r="C462" s="1" t="n">
        <v>46089</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23455-2025</t>
        </is>
      </c>
      <c r="B463" s="1" t="n">
        <v>45792.42520833333</v>
      </c>
      <c r="C463" s="1" t="n">
        <v>46089</v>
      </c>
      <c r="D463" t="inlineStr">
        <is>
          <t>VÄRMLANDS LÄN</t>
        </is>
      </c>
      <c r="E463" t="inlineStr">
        <is>
          <t>TORSBY</t>
        </is>
      </c>
      <c r="F463" t="inlineStr">
        <is>
          <t>Kyrkan</t>
        </is>
      </c>
      <c r="G463" t="n">
        <v>10.7</v>
      </c>
      <c r="H463" t="n">
        <v>0</v>
      </c>
      <c r="I463" t="n">
        <v>0</v>
      </c>
      <c r="J463" t="n">
        <v>0</v>
      </c>
      <c r="K463" t="n">
        <v>0</v>
      </c>
      <c r="L463" t="n">
        <v>0</v>
      </c>
      <c r="M463" t="n">
        <v>0</v>
      </c>
      <c r="N463" t="n">
        <v>0</v>
      </c>
      <c r="O463" t="n">
        <v>0</v>
      </c>
      <c r="P463" t="n">
        <v>0</v>
      </c>
      <c r="Q463" t="n">
        <v>0</v>
      </c>
      <c r="R463" s="2" t="inlineStr"/>
    </row>
    <row r="464" ht="15" customHeight="1">
      <c r="A464" t="inlineStr">
        <is>
          <t>A 27458-2023</t>
        </is>
      </c>
      <c r="B464" s="1" t="n">
        <v>45097</v>
      </c>
      <c r="C464" s="1" t="n">
        <v>46089</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42473-2023</t>
        </is>
      </c>
      <c r="B465" s="1" t="n">
        <v>45180</v>
      </c>
      <c r="C465" s="1" t="n">
        <v>46089</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46917-2024</t>
        </is>
      </c>
      <c r="B466" s="1" t="n">
        <v>45583</v>
      </c>
      <c r="C466" s="1" t="n">
        <v>46089</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3672-2024</t>
        </is>
      </c>
      <c r="B467" s="1" t="n">
        <v>45321.36465277777</v>
      </c>
      <c r="C467" s="1" t="n">
        <v>46089</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21542-2024</t>
        </is>
      </c>
      <c r="B468" s="1" t="n">
        <v>45441</v>
      </c>
      <c r="C468" s="1" t="n">
        <v>46089</v>
      </c>
      <c r="D468" t="inlineStr">
        <is>
          <t>VÄRMLANDS LÄN</t>
        </is>
      </c>
      <c r="E468" t="inlineStr">
        <is>
          <t>TORSBY</t>
        </is>
      </c>
      <c r="G468" t="n">
        <v>3.7</v>
      </c>
      <c r="H468" t="n">
        <v>0</v>
      </c>
      <c r="I468" t="n">
        <v>0</v>
      </c>
      <c r="J468" t="n">
        <v>0</v>
      </c>
      <c r="K468" t="n">
        <v>0</v>
      </c>
      <c r="L468" t="n">
        <v>0</v>
      </c>
      <c r="M468" t="n">
        <v>0</v>
      </c>
      <c r="N468" t="n">
        <v>0</v>
      </c>
      <c r="O468" t="n">
        <v>0</v>
      </c>
      <c r="P468" t="n">
        <v>0</v>
      </c>
      <c r="Q468" t="n">
        <v>0</v>
      </c>
      <c r="R468" s="2" t="inlineStr"/>
    </row>
    <row r="469" ht="15" customHeight="1">
      <c r="A469" t="inlineStr">
        <is>
          <t>A 11427-2025</t>
        </is>
      </c>
      <c r="B469" s="1" t="n">
        <v>45726</v>
      </c>
      <c r="C469" s="1" t="n">
        <v>46089</v>
      </c>
      <c r="D469" t="inlineStr">
        <is>
          <t>VÄRMLANDS LÄN</t>
        </is>
      </c>
      <c r="E469" t="inlineStr">
        <is>
          <t>TORSBY</t>
        </is>
      </c>
      <c r="G469" t="n">
        <v>2.8</v>
      </c>
      <c r="H469" t="n">
        <v>0</v>
      </c>
      <c r="I469" t="n">
        <v>0</v>
      </c>
      <c r="J469" t="n">
        <v>0</v>
      </c>
      <c r="K469" t="n">
        <v>0</v>
      </c>
      <c r="L469" t="n">
        <v>0</v>
      </c>
      <c r="M469" t="n">
        <v>0</v>
      </c>
      <c r="N469" t="n">
        <v>0</v>
      </c>
      <c r="O469" t="n">
        <v>0</v>
      </c>
      <c r="P469" t="n">
        <v>0</v>
      </c>
      <c r="Q469" t="n">
        <v>0</v>
      </c>
      <c r="R469" s="2" t="inlineStr"/>
    </row>
    <row r="470" ht="15" customHeight="1">
      <c r="A470" t="inlineStr">
        <is>
          <t>A 54023-2024</t>
        </is>
      </c>
      <c r="B470" s="1" t="n">
        <v>45616</v>
      </c>
      <c r="C470" s="1" t="n">
        <v>46089</v>
      </c>
      <c r="D470" t="inlineStr">
        <is>
          <t>VÄRMLANDS LÄN</t>
        </is>
      </c>
      <c r="E470" t="inlineStr">
        <is>
          <t>TORSBY</t>
        </is>
      </c>
      <c r="F470" t="inlineStr">
        <is>
          <t>Kommuner</t>
        </is>
      </c>
      <c r="G470" t="n">
        <v>3</v>
      </c>
      <c r="H470" t="n">
        <v>0</v>
      </c>
      <c r="I470" t="n">
        <v>0</v>
      </c>
      <c r="J470" t="n">
        <v>0</v>
      </c>
      <c r="K470" t="n">
        <v>0</v>
      </c>
      <c r="L470" t="n">
        <v>0</v>
      </c>
      <c r="M470" t="n">
        <v>0</v>
      </c>
      <c r="N470" t="n">
        <v>0</v>
      </c>
      <c r="O470" t="n">
        <v>0</v>
      </c>
      <c r="P470" t="n">
        <v>0</v>
      </c>
      <c r="Q470" t="n">
        <v>0</v>
      </c>
      <c r="R470" s="2" t="inlineStr"/>
    </row>
    <row r="471" ht="15" customHeight="1">
      <c r="A471" t="inlineStr">
        <is>
          <t>A 54027-2024</t>
        </is>
      </c>
      <c r="B471" s="1" t="n">
        <v>45616</v>
      </c>
      <c r="C471" s="1" t="n">
        <v>46089</v>
      </c>
      <c r="D471" t="inlineStr">
        <is>
          <t>VÄRMLANDS LÄN</t>
        </is>
      </c>
      <c r="E471" t="inlineStr">
        <is>
          <t>TORSBY</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9900-2024</t>
        </is>
      </c>
      <c r="B472" s="1" t="n">
        <v>45363</v>
      </c>
      <c r="C472" s="1" t="n">
        <v>46089</v>
      </c>
      <c r="D472" t="inlineStr">
        <is>
          <t>VÄRMLANDS LÄN</t>
        </is>
      </c>
      <c r="E472" t="inlineStr">
        <is>
          <t>TORSBY</t>
        </is>
      </c>
      <c r="G472" t="n">
        <v>13.6</v>
      </c>
      <c r="H472" t="n">
        <v>0</v>
      </c>
      <c r="I472" t="n">
        <v>0</v>
      </c>
      <c r="J472" t="n">
        <v>0</v>
      </c>
      <c r="K472" t="n">
        <v>0</v>
      </c>
      <c r="L472" t="n">
        <v>0</v>
      </c>
      <c r="M472" t="n">
        <v>0</v>
      </c>
      <c r="N472" t="n">
        <v>0</v>
      </c>
      <c r="O472" t="n">
        <v>0</v>
      </c>
      <c r="P472" t="n">
        <v>0</v>
      </c>
      <c r="Q472" t="n">
        <v>0</v>
      </c>
      <c r="R472" s="2" t="inlineStr"/>
    </row>
    <row r="473" ht="15" customHeight="1">
      <c r="A473" t="inlineStr">
        <is>
          <t>A 66133-2021</t>
        </is>
      </c>
      <c r="B473" s="1" t="n">
        <v>44517</v>
      </c>
      <c r="C473" s="1" t="n">
        <v>46089</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57452-2022</t>
        </is>
      </c>
      <c r="B474" s="1" t="n">
        <v>44896.55787037037</v>
      </c>
      <c r="C474" s="1" t="n">
        <v>46089</v>
      </c>
      <c r="D474" t="inlineStr">
        <is>
          <t>VÄRMLANDS LÄN</t>
        </is>
      </c>
      <c r="E474" t="inlineStr">
        <is>
          <t>TORSBY</t>
        </is>
      </c>
      <c r="F474" t="inlineStr">
        <is>
          <t>Bergvik skog väst AB</t>
        </is>
      </c>
      <c r="G474" t="n">
        <v>4.8</v>
      </c>
      <c r="H474" t="n">
        <v>0</v>
      </c>
      <c r="I474" t="n">
        <v>0</v>
      </c>
      <c r="J474" t="n">
        <v>0</v>
      </c>
      <c r="K474" t="n">
        <v>0</v>
      </c>
      <c r="L474" t="n">
        <v>0</v>
      </c>
      <c r="M474" t="n">
        <v>0</v>
      </c>
      <c r="N474" t="n">
        <v>0</v>
      </c>
      <c r="O474" t="n">
        <v>0</v>
      </c>
      <c r="P474" t="n">
        <v>0</v>
      </c>
      <c r="Q474" t="n">
        <v>0</v>
      </c>
      <c r="R474" s="2" t="inlineStr"/>
    </row>
    <row r="475" ht="15" customHeight="1">
      <c r="A475" t="inlineStr">
        <is>
          <t>A 25316-2024</t>
        </is>
      </c>
      <c r="B475" s="1" t="n">
        <v>45462</v>
      </c>
      <c r="C475" s="1" t="n">
        <v>46089</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24069-2025</t>
        </is>
      </c>
      <c r="B476" s="1" t="n">
        <v>45796.53997685185</v>
      </c>
      <c r="C476" s="1" t="n">
        <v>46089</v>
      </c>
      <c r="D476" t="inlineStr">
        <is>
          <t>VÄRMLANDS LÄN</t>
        </is>
      </c>
      <c r="E476" t="inlineStr">
        <is>
          <t>TORSBY</t>
        </is>
      </c>
      <c r="G476" t="n">
        <v>2.4</v>
      </c>
      <c r="H476" t="n">
        <v>0</v>
      </c>
      <c r="I476" t="n">
        <v>0</v>
      </c>
      <c r="J476" t="n">
        <v>0</v>
      </c>
      <c r="K476" t="n">
        <v>0</v>
      </c>
      <c r="L476" t="n">
        <v>0</v>
      </c>
      <c r="M476" t="n">
        <v>0</v>
      </c>
      <c r="N476" t="n">
        <v>0</v>
      </c>
      <c r="O476" t="n">
        <v>0</v>
      </c>
      <c r="P476" t="n">
        <v>0</v>
      </c>
      <c r="Q476" t="n">
        <v>0</v>
      </c>
      <c r="R476" s="2" t="inlineStr"/>
    </row>
    <row r="477" ht="15" customHeight="1">
      <c r="A477" t="inlineStr">
        <is>
          <t>A 38795-2025</t>
        </is>
      </c>
      <c r="B477" s="1" t="n">
        <v>45887</v>
      </c>
      <c r="C477" s="1" t="n">
        <v>46089</v>
      </c>
      <c r="D477" t="inlineStr">
        <is>
          <t>VÄRMLANDS LÄN</t>
        </is>
      </c>
      <c r="E477" t="inlineStr">
        <is>
          <t>TORSBY</t>
        </is>
      </c>
      <c r="F477" t="inlineStr">
        <is>
          <t>Bergvik skog väst AB</t>
        </is>
      </c>
      <c r="G477" t="n">
        <v>4.2</v>
      </c>
      <c r="H477" t="n">
        <v>0</v>
      </c>
      <c r="I477" t="n">
        <v>0</v>
      </c>
      <c r="J477" t="n">
        <v>0</v>
      </c>
      <c r="K477" t="n">
        <v>0</v>
      </c>
      <c r="L477" t="n">
        <v>0</v>
      </c>
      <c r="M477" t="n">
        <v>0</v>
      </c>
      <c r="N477" t="n">
        <v>0</v>
      </c>
      <c r="O477" t="n">
        <v>0</v>
      </c>
      <c r="P477" t="n">
        <v>0</v>
      </c>
      <c r="Q477" t="n">
        <v>0</v>
      </c>
      <c r="R477" s="2" t="inlineStr"/>
    </row>
    <row r="478" ht="15" customHeight="1">
      <c r="A478" t="inlineStr">
        <is>
          <t>A 13791-2023</t>
        </is>
      </c>
      <c r="B478" s="1" t="n">
        <v>45005</v>
      </c>
      <c r="C478" s="1" t="n">
        <v>46089</v>
      </c>
      <c r="D478" t="inlineStr">
        <is>
          <t>VÄRMLANDS LÄN</t>
        </is>
      </c>
      <c r="E478" t="inlineStr">
        <is>
          <t>TORSBY</t>
        </is>
      </c>
      <c r="G478" t="n">
        <v>3.5</v>
      </c>
      <c r="H478" t="n">
        <v>0</v>
      </c>
      <c r="I478" t="n">
        <v>0</v>
      </c>
      <c r="J478" t="n">
        <v>0</v>
      </c>
      <c r="K478" t="n">
        <v>0</v>
      </c>
      <c r="L478" t="n">
        <v>0</v>
      </c>
      <c r="M478" t="n">
        <v>0</v>
      </c>
      <c r="N478" t="n">
        <v>0</v>
      </c>
      <c r="O478" t="n">
        <v>0</v>
      </c>
      <c r="P478" t="n">
        <v>0</v>
      </c>
      <c r="Q478" t="n">
        <v>0</v>
      </c>
      <c r="R478" s="2" t="inlineStr"/>
    </row>
    <row r="479" ht="15" customHeight="1">
      <c r="A479" t="inlineStr">
        <is>
          <t>A 5979-2026</t>
        </is>
      </c>
      <c r="B479" s="1" t="n">
        <v>46052</v>
      </c>
      <c r="C479" s="1" t="n">
        <v>46089</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55839-2024</t>
        </is>
      </c>
      <c r="B480" s="1" t="n">
        <v>45623.49502314815</v>
      </c>
      <c r="C480" s="1" t="n">
        <v>46089</v>
      </c>
      <c r="D480" t="inlineStr">
        <is>
          <t>VÄRMLANDS LÄN</t>
        </is>
      </c>
      <c r="E480" t="inlineStr">
        <is>
          <t>TORSBY</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7394-2026</t>
        </is>
      </c>
      <c r="B481" s="1" t="n">
        <v>46059.37266203704</v>
      </c>
      <c r="C481" s="1" t="n">
        <v>46089</v>
      </c>
      <c r="D481" t="inlineStr">
        <is>
          <t>VÄRMLANDS LÄN</t>
        </is>
      </c>
      <c r="E481" t="inlineStr">
        <is>
          <t>TORSBY</t>
        </is>
      </c>
      <c r="F481" t="inlineStr">
        <is>
          <t>Bergvik skog väst AB</t>
        </is>
      </c>
      <c r="G481" t="n">
        <v>15.3</v>
      </c>
      <c r="H481" t="n">
        <v>0</v>
      </c>
      <c r="I481" t="n">
        <v>0</v>
      </c>
      <c r="J481" t="n">
        <v>0</v>
      </c>
      <c r="K481" t="n">
        <v>0</v>
      </c>
      <c r="L481" t="n">
        <v>0</v>
      </c>
      <c r="M481" t="n">
        <v>0</v>
      </c>
      <c r="N481" t="n">
        <v>0</v>
      </c>
      <c r="O481" t="n">
        <v>0</v>
      </c>
      <c r="P481" t="n">
        <v>0</v>
      </c>
      <c r="Q481" t="n">
        <v>0</v>
      </c>
      <c r="R481" s="2" t="inlineStr"/>
    </row>
    <row r="482" ht="15" customHeight="1">
      <c r="A482" t="inlineStr">
        <is>
          <t>A 38771-2025</t>
        </is>
      </c>
      <c r="B482" s="1" t="n">
        <v>45887</v>
      </c>
      <c r="C482" s="1" t="n">
        <v>46089</v>
      </c>
      <c r="D482" t="inlineStr">
        <is>
          <t>VÄRMLANDS LÄN</t>
        </is>
      </c>
      <c r="E482" t="inlineStr">
        <is>
          <t>TORSBY</t>
        </is>
      </c>
      <c r="G482" t="n">
        <v>2.7</v>
      </c>
      <c r="H482" t="n">
        <v>0</v>
      </c>
      <c r="I482" t="n">
        <v>0</v>
      </c>
      <c r="J482" t="n">
        <v>0</v>
      </c>
      <c r="K482" t="n">
        <v>0</v>
      </c>
      <c r="L482" t="n">
        <v>0</v>
      </c>
      <c r="M482" t="n">
        <v>0</v>
      </c>
      <c r="N482" t="n">
        <v>0</v>
      </c>
      <c r="O482" t="n">
        <v>0</v>
      </c>
      <c r="P482" t="n">
        <v>0</v>
      </c>
      <c r="Q482" t="n">
        <v>0</v>
      </c>
      <c r="R482" s="2" t="inlineStr"/>
    </row>
    <row r="483" ht="15" customHeight="1">
      <c r="A483" t="inlineStr">
        <is>
          <t>A 37985-2022</t>
        </is>
      </c>
      <c r="B483" s="1" t="n">
        <v>44811</v>
      </c>
      <c r="C483" s="1" t="n">
        <v>46089</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14624-2023</t>
        </is>
      </c>
      <c r="B484" s="1" t="n">
        <v>45013</v>
      </c>
      <c r="C484" s="1" t="n">
        <v>46089</v>
      </c>
      <c r="D484" t="inlineStr">
        <is>
          <t>VÄRMLANDS LÄN</t>
        </is>
      </c>
      <c r="E484" t="inlineStr">
        <is>
          <t>TORSBY</t>
        </is>
      </c>
      <c r="G484" t="n">
        <v>2.4</v>
      </c>
      <c r="H484" t="n">
        <v>0</v>
      </c>
      <c r="I484" t="n">
        <v>0</v>
      </c>
      <c r="J484" t="n">
        <v>0</v>
      </c>
      <c r="K484" t="n">
        <v>0</v>
      </c>
      <c r="L484" t="n">
        <v>0</v>
      </c>
      <c r="M484" t="n">
        <v>0</v>
      </c>
      <c r="N484" t="n">
        <v>0</v>
      </c>
      <c r="O484" t="n">
        <v>0</v>
      </c>
      <c r="P484" t="n">
        <v>0</v>
      </c>
      <c r="Q484" t="n">
        <v>0</v>
      </c>
      <c r="R484" s="2" t="inlineStr"/>
    </row>
    <row r="485" ht="15" customHeight="1">
      <c r="A485" t="inlineStr">
        <is>
          <t>A 24204-2025</t>
        </is>
      </c>
      <c r="B485" s="1" t="n">
        <v>45797.31824074074</v>
      </c>
      <c r="C485" s="1" t="n">
        <v>46089</v>
      </c>
      <c r="D485" t="inlineStr">
        <is>
          <t>VÄRMLANDS LÄN</t>
        </is>
      </c>
      <c r="E485" t="inlineStr">
        <is>
          <t>TORSBY</t>
        </is>
      </c>
      <c r="F485" t="inlineStr">
        <is>
          <t>Bergvik skog väst AB</t>
        </is>
      </c>
      <c r="G485" t="n">
        <v>5.8</v>
      </c>
      <c r="H485" t="n">
        <v>0</v>
      </c>
      <c r="I485" t="n">
        <v>0</v>
      </c>
      <c r="J485" t="n">
        <v>0</v>
      </c>
      <c r="K485" t="n">
        <v>0</v>
      </c>
      <c r="L485" t="n">
        <v>0</v>
      </c>
      <c r="M485" t="n">
        <v>0</v>
      </c>
      <c r="N485" t="n">
        <v>0</v>
      </c>
      <c r="O485" t="n">
        <v>0</v>
      </c>
      <c r="P485" t="n">
        <v>0</v>
      </c>
      <c r="Q485" t="n">
        <v>0</v>
      </c>
      <c r="R485" s="2" t="inlineStr"/>
    </row>
    <row r="486" ht="15" customHeight="1">
      <c r="A486" t="inlineStr">
        <is>
          <t>A 61251-2024</t>
        </is>
      </c>
      <c r="B486" s="1" t="n">
        <v>45645</v>
      </c>
      <c r="C486" s="1" t="n">
        <v>46089</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61259-2024</t>
        </is>
      </c>
      <c r="B487" s="1" t="n">
        <v>45645.71188657408</v>
      </c>
      <c r="C487" s="1" t="n">
        <v>46089</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20168-2022</t>
        </is>
      </c>
      <c r="B488" s="1" t="n">
        <v>44698.50056712963</v>
      </c>
      <c r="C488" s="1" t="n">
        <v>46089</v>
      </c>
      <c r="D488" t="inlineStr">
        <is>
          <t>VÄRMLANDS LÄN</t>
        </is>
      </c>
      <c r="E488" t="inlineStr">
        <is>
          <t>TORSBY</t>
        </is>
      </c>
      <c r="G488" t="n">
        <v>6.6</v>
      </c>
      <c r="H488" t="n">
        <v>0</v>
      </c>
      <c r="I488" t="n">
        <v>0</v>
      </c>
      <c r="J488" t="n">
        <v>0</v>
      </c>
      <c r="K488" t="n">
        <v>0</v>
      </c>
      <c r="L488" t="n">
        <v>0</v>
      </c>
      <c r="M488" t="n">
        <v>0</v>
      </c>
      <c r="N488" t="n">
        <v>0</v>
      </c>
      <c r="O488" t="n">
        <v>0</v>
      </c>
      <c r="P488" t="n">
        <v>0</v>
      </c>
      <c r="Q488" t="n">
        <v>0</v>
      </c>
      <c r="R488" s="2" t="inlineStr"/>
    </row>
    <row r="489" ht="15" customHeight="1">
      <c r="A489" t="inlineStr">
        <is>
          <t>A 38536-2025</t>
        </is>
      </c>
      <c r="B489" s="1" t="n">
        <v>45884.42</v>
      </c>
      <c r="C489" s="1" t="n">
        <v>46089</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24112-2025</t>
        </is>
      </c>
      <c r="B490" s="1" t="n">
        <v>45796</v>
      </c>
      <c r="C490" s="1" t="n">
        <v>46089</v>
      </c>
      <c r="D490" t="inlineStr">
        <is>
          <t>VÄRMLANDS LÄN</t>
        </is>
      </c>
      <c r="E490" t="inlineStr">
        <is>
          <t>TORSBY</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24260-2025</t>
        </is>
      </c>
      <c r="B491" s="1" t="n">
        <v>45797</v>
      </c>
      <c r="C491" s="1" t="n">
        <v>46089</v>
      </c>
      <c r="D491" t="inlineStr">
        <is>
          <t>VÄRMLANDS LÄN</t>
        </is>
      </c>
      <c r="E491" t="inlineStr">
        <is>
          <t>TORSBY</t>
        </is>
      </c>
      <c r="G491" t="n">
        <v>2.5</v>
      </c>
      <c r="H491" t="n">
        <v>0</v>
      </c>
      <c r="I491" t="n">
        <v>0</v>
      </c>
      <c r="J491" t="n">
        <v>0</v>
      </c>
      <c r="K491" t="n">
        <v>0</v>
      </c>
      <c r="L491" t="n">
        <v>0</v>
      </c>
      <c r="M491" t="n">
        <v>0</v>
      </c>
      <c r="N491" t="n">
        <v>0</v>
      </c>
      <c r="O491" t="n">
        <v>0</v>
      </c>
      <c r="P491" t="n">
        <v>0</v>
      </c>
      <c r="Q491" t="n">
        <v>0</v>
      </c>
      <c r="R491" s="2" t="inlineStr"/>
    </row>
    <row r="492" ht="15" customHeight="1">
      <c r="A492" t="inlineStr">
        <is>
          <t>A 55475-2022</t>
        </is>
      </c>
      <c r="B492" s="1" t="n">
        <v>44887.66210648148</v>
      </c>
      <c r="C492" s="1" t="n">
        <v>46089</v>
      </c>
      <c r="D492" t="inlineStr">
        <is>
          <t>VÄRMLANDS LÄN</t>
        </is>
      </c>
      <c r="E492" t="inlineStr">
        <is>
          <t>TORSBY</t>
        </is>
      </c>
      <c r="G492" t="n">
        <v>2.7</v>
      </c>
      <c r="H492" t="n">
        <v>0</v>
      </c>
      <c r="I492" t="n">
        <v>0</v>
      </c>
      <c r="J492" t="n">
        <v>0</v>
      </c>
      <c r="K492" t="n">
        <v>0</v>
      </c>
      <c r="L492" t="n">
        <v>0</v>
      </c>
      <c r="M492" t="n">
        <v>0</v>
      </c>
      <c r="N492" t="n">
        <v>0</v>
      </c>
      <c r="O492" t="n">
        <v>0</v>
      </c>
      <c r="P492" t="n">
        <v>0</v>
      </c>
      <c r="Q492" t="n">
        <v>0</v>
      </c>
      <c r="R492" s="2" t="inlineStr"/>
    </row>
    <row r="493" ht="15" customHeight="1">
      <c r="A493" t="inlineStr">
        <is>
          <t>A 43538-2024</t>
        </is>
      </c>
      <c r="B493" s="1" t="n">
        <v>45569.36136574074</v>
      </c>
      <c r="C493" s="1" t="n">
        <v>46089</v>
      </c>
      <c r="D493" t="inlineStr">
        <is>
          <t>VÄRMLANDS LÄN</t>
        </is>
      </c>
      <c r="E493" t="inlineStr">
        <is>
          <t>TORSBY</t>
        </is>
      </c>
      <c r="F493" t="inlineStr">
        <is>
          <t>Bergvik skog väst AB</t>
        </is>
      </c>
      <c r="G493" t="n">
        <v>14.4</v>
      </c>
      <c r="H493" t="n">
        <v>0</v>
      </c>
      <c r="I493" t="n">
        <v>0</v>
      </c>
      <c r="J493" t="n">
        <v>0</v>
      </c>
      <c r="K493" t="n">
        <v>0</v>
      </c>
      <c r="L493" t="n">
        <v>0</v>
      </c>
      <c r="M493" t="n">
        <v>0</v>
      </c>
      <c r="N493" t="n">
        <v>0</v>
      </c>
      <c r="O493" t="n">
        <v>0</v>
      </c>
      <c r="P493" t="n">
        <v>0</v>
      </c>
      <c r="Q493" t="n">
        <v>0</v>
      </c>
      <c r="R493" s="2" t="inlineStr"/>
    </row>
    <row r="494" ht="15" customHeight="1">
      <c r="A494" t="inlineStr">
        <is>
          <t>A 1528-2025</t>
        </is>
      </c>
      <c r="B494" s="1" t="n">
        <v>45670</v>
      </c>
      <c r="C494" s="1" t="n">
        <v>46089</v>
      </c>
      <c r="D494" t="inlineStr">
        <is>
          <t>VÄRMLANDS LÄN</t>
        </is>
      </c>
      <c r="E494" t="inlineStr">
        <is>
          <t>TORSBY</t>
        </is>
      </c>
      <c r="G494" t="n">
        <v>7.4</v>
      </c>
      <c r="H494" t="n">
        <v>0</v>
      </c>
      <c r="I494" t="n">
        <v>0</v>
      </c>
      <c r="J494" t="n">
        <v>0</v>
      </c>
      <c r="K494" t="n">
        <v>0</v>
      </c>
      <c r="L494" t="n">
        <v>0</v>
      </c>
      <c r="M494" t="n">
        <v>0</v>
      </c>
      <c r="N494" t="n">
        <v>0</v>
      </c>
      <c r="O494" t="n">
        <v>0</v>
      </c>
      <c r="P494" t="n">
        <v>0</v>
      </c>
      <c r="Q494" t="n">
        <v>0</v>
      </c>
      <c r="R494" s="2" t="inlineStr"/>
    </row>
    <row r="495" ht="15" customHeight="1">
      <c r="A495" t="inlineStr">
        <is>
          <t>A 24425-2025</t>
        </is>
      </c>
      <c r="B495" s="1" t="n">
        <v>45797</v>
      </c>
      <c r="C495" s="1" t="n">
        <v>46089</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2155-2024</t>
        </is>
      </c>
      <c r="B496" s="1" t="n">
        <v>45309</v>
      </c>
      <c r="C496" s="1" t="n">
        <v>46089</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5983-2026</t>
        </is>
      </c>
      <c r="B497" s="1" t="n">
        <v>46052</v>
      </c>
      <c r="C497" s="1" t="n">
        <v>46089</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24026-2025</t>
        </is>
      </c>
      <c r="B498" s="1" t="n">
        <v>45796.46841435185</v>
      </c>
      <c r="C498" s="1" t="n">
        <v>46089</v>
      </c>
      <c r="D498" t="inlineStr">
        <is>
          <t>VÄRMLANDS LÄN</t>
        </is>
      </c>
      <c r="E498" t="inlineStr">
        <is>
          <t>TORSBY</t>
        </is>
      </c>
      <c r="G498" t="n">
        <v>11.9</v>
      </c>
      <c r="H498" t="n">
        <v>0</v>
      </c>
      <c r="I498" t="n">
        <v>0</v>
      </c>
      <c r="J498" t="n">
        <v>0</v>
      </c>
      <c r="K498" t="n">
        <v>0</v>
      </c>
      <c r="L498" t="n">
        <v>0</v>
      </c>
      <c r="M498" t="n">
        <v>0</v>
      </c>
      <c r="N498" t="n">
        <v>0</v>
      </c>
      <c r="O498" t="n">
        <v>0</v>
      </c>
      <c r="P498" t="n">
        <v>0</v>
      </c>
      <c r="Q498" t="n">
        <v>0</v>
      </c>
      <c r="R498" s="2" t="inlineStr"/>
    </row>
    <row r="499" ht="15" customHeight="1">
      <c r="A499" t="inlineStr">
        <is>
          <t>A 24318-2025</t>
        </is>
      </c>
      <c r="B499" s="1" t="n">
        <v>45797.54879629629</v>
      </c>
      <c r="C499" s="1" t="n">
        <v>46089</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5976-2026</t>
        </is>
      </c>
      <c r="B500" s="1" t="n">
        <v>46052</v>
      </c>
      <c r="C500" s="1" t="n">
        <v>46089</v>
      </c>
      <c r="D500" t="inlineStr">
        <is>
          <t>VÄRMLANDS LÄN</t>
        </is>
      </c>
      <c r="E500" t="inlineStr">
        <is>
          <t>TORSBY</t>
        </is>
      </c>
      <c r="F500" t="inlineStr">
        <is>
          <t>Bergvik skog väst AB</t>
        </is>
      </c>
      <c r="G500" t="n">
        <v>18.4</v>
      </c>
      <c r="H500" t="n">
        <v>0</v>
      </c>
      <c r="I500" t="n">
        <v>0</v>
      </c>
      <c r="J500" t="n">
        <v>0</v>
      </c>
      <c r="K500" t="n">
        <v>0</v>
      </c>
      <c r="L500" t="n">
        <v>0</v>
      </c>
      <c r="M500" t="n">
        <v>0</v>
      </c>
      <c r="N500" t="n">
        <v>0</v>
      </c>
      <c r="O500" t="n">
        <v>0</v>
      </c>
      <c r="P500" t="n">
        <v>0</v>
      </c>
      <c r="Q500" t="n">
        <v>0</v>
      </c>
      <c r="R500" s="2" t="inlineStr"/>
    </row>
    <row r="501" ht="15" customHeight="1">
      <c r="A501" t="inlineStr">
        <is>
          <t>A 24251-2025</t>
        </is>
      </c>
      <c r="B501" s="1" t="n">
        <v>45797</v>
      </c>
      <c r="C501" s="1" t="n">
        <v>46089</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7190-2026</t>
        </is>
      </c>
      <c r="B502" s="1" t="n">
        <v>46058.49616898148</v>
      </c>
      <c r="C502" s="1" t="n">
        <v>46089</v>
      </c>
      <c r="D502" t="inlineStr">
        <is>
          <t>VÄRMLANDS LÄN</t>
        </is>
      </c>
      <c r="E502" t="inlineStr">
        <is>
          <t>TORSBY</t>
        </is>
      </c>
      <c r="F502" t="inlineStr">
        <is>
          <t>Bergvik skog väst AB</t>
        </is>
      </c>
      <c r="G502" t="n">
        <v>18.2</v>
      </c>
      <c r="H502" t="n">
        <v>0</v>
      </c>
      <c r="I502" t="n">
        <v>0</v>
      </c>
      <c r="J502" t="n">
        <v>0</v>
      </c>
      <c r="K502" t="n">
        <v>0</v>
      </c>
      <c r="L502" t="n">
        <v>0</v>
      </c>
      <c r="M502" t="n">
        <v>0</v>
      </c>
      <c r="N502" t="n">
        <v>0</v>
      </c>
      <c r="O502" t="n">
        <v>0</v>
      </c>
      <c r="P502" t="n">
        <v>0</v>
      </c>
      <c r="Q502" t="n">
        <v>0</v>
      </c>
      <c r="R502" s="2" t="inlineStr"/>
    </row>
    <row r="503" ht="15" customHeight="1">
      <c r="A503" t="inlineStr">
        <is>
          <t>A 8284-2023</t>
        </is>
      </c>
      <c r="B503" s="1" t="n">
        <v>44974.64714120371</v>
      </c>
      <c r="C503" s="1" t="n">
        <v>46089</v>
      </c>
      <c r="D503" t="inlineStr">
        <is>
          <t>VÄRMLANDS LÄN</t>
        </is>
      </c>
      <c r="E503" t="inlineStr">
        <is>
          <t>TORSBY</t>
        </is>
      </c>
      <c r="G503" t="n">
        <v>1.9</v>
      </c>
      <c r="H503" t="n">
        <v>0</v>
      </c>
      <c r="I503" t="n">
        <v>0</v>
      </c>
      <c r="J503" t="n">
        <v>0</v>
      </c>
      <c r="K503" t="n">
        <v>0</v>
      </c>
      <c r="L503" t="n">
        <v>0</v>
      </c>
      <c r="M503" t="n">
        <v>0</v>
      </c>
      <c r="N503" t="n">
        <v>0</v>
      </c>
      <c r="O503" t="n">
        <v>0</v>
      </c>
      <c r="P503" t="n">
        <v>0</v>
      </c>
      <c r="Q503" t="n">
        <v>0</v>
      </c>
      <c r="R503" s="2" t="inlineStr"/>
    </row>
    <row r="504" ht="15" customHeight="1">
      <c r="A504" t="inlineStr">
        <is>
          <t>A 11868-2025</t>
        </is>
      </c>
      <c r="B504" s="1" t="n">
        <v>45728.4225</v>
      </c>
      <c r="C504" s="1" t="n">
        <v>46089</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38808-2025</t>
        </is>
      </c>
      <c r="B505" s="1" t="n">
        <v>45887.47344907407</v>
      </c>
      <c r="C505" s="1" t="n">
        <v>46089</v>
      </c>
      <c r="D505" t="inlineStr">
        <is>
          <t>VÄRMLANDS LÄN</t>
        </is>
      </c>
      <c r="E505" t="inlineStr">
        <is>
          <t>TORSBY</t>
        </is>
      </c>
      <c r="G505" t="n">
        <v>4.6</v>
      </c>
      <c r="H505" t="n">
        <v>0</v>
      </c>
      <c r="I505" t="n">
        <v>0</v>
      </c>
      <c r="J505" t="n">
        <v>0</v>
      </c>
      <c r="K505" t="n">
        <v>0</v>
      </c>
      <c r="L505" t="n">
        <v>0</v>
      </c>
      <c r="M505" t="n">
        <v>0</v>
      </c>
      <c r="N505" t="n">
        <v>0</v>
      </c>
      <c r="O505" t="n">
        <v>0</v>
      </c>
      <c r="P505" t="n">
        <v>0</v>
      </c>
      <c r="Q505" t="n">
        <v>0</v>
      </c>
      <c r="R505" s="2" t="inlineStr"/>
    </row>
    <row r="506" ht="15" customHeight="1">
      <c r="A506" t="inlineStr">
        <is>
          <t>A 48239-2022</t>
        </is>
      </c>
      <c r="B506" s="1" t="n">
        <v>44858.45881944444</v>
      </c>
      <c r="C506" s="1" t="n">
        <v>46089</v>
      </c>
      <c r="D506" t="inlineStr">
        <is>
          <t>VÄRMLANDS LÄN</t>
        </is>
      </c>
      <c r="E506" t="inlineStr">
        <is>
          <t>TORSBY</t>
        </is>
      </c>
      <c r="G506" t="n">
        <v>3.9</v>
      </c>
      <c r="H506" t="n">
        <v>0</v>
      </c>
      <c r="I506" t="n">
        <v>0</v>
      </c>
      <c r="J506" t="n">
        <v>0</v>
      </c>
      <c r="K506" t="n">
        <v>0</v>
      </c>
      <c r="L506" t="n">
        <v>0</v>
      </c>
      <c r="M506" t="n">
        <v>0</v>
      </c>
      <c r="N506" t="n">
        <v>0</v>
      </c>
      <c r="O506" t="n">
        <v>0</v>
      </c>
      <c r="P506" t="n">
        <v>0</v>
      </c>
      <c r="Q506" t="n">
        <v>0</v>
      </c>
      <c r="R506" s="2" t="inlineStr"/>
    </row>
    <row r="507" ht="15" customHeight="1">
      <c r="A507" t="inlineStr">
        <is>
          <t>A 26223-2021</t>
        </is>
      </c>
      <c r="B507" s="1" t="n">
        <v>44347</v>
      </c>
      <c r="C507" s="1" t="n">
        <v>46089</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7322-2026</t>
        </is>
      </c>
      <c r="B508" s="1" t="n">
        <v>46058.6759837963</v>
      </c>
      <c r="C508" s="1" t="n">
        <v>46089</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24411-2025</t>
        </is>
      </c>
      <c r="B509" s="1" t="n">
        <v>45797</v>
      </c>
      <c r="C509" s="1" t="n">
        <v>46089</v>
      </c>
      <c r="D509" t="inlineStr">
        <is>
          <t>VÄRMLANDS LÄN</t>
        </is>
      </c>
      <c r="E509" t="inlineStr">
        <is>
          <t>TORSBY</t>
        </is>
      </c>
      <c r="F509" t="inlineStr">
        <is>
          <t>Övriga statliga verk och myndigheter</t>
        </is>
      </c>
      <c r="G509" t="n">
        <v>3.2</v>
      </c>
      <c r="H509" t="n">
        <v>0</v>
      </c>
      <c r="I509" t="n">
        <v>0</v>
      </c>
      <c r="J509" t="n">
        <v>0</v>
      </c>
      <c r="K509" t="n">
        <v>0</v>
      </c>
      <c r="L509" t="n">
        <v>0</v>
      </c>
      <c r="M509" t="n">
        <v>0</v>
      </c>
      <c r="N509" t="n">
        <v>0</v>
      </c>
      <c r="O509" t="n">
        <v>0</v>
      </c>
      <c r="P509" t="n">
        <v>0</v>
      </c>
      <c r="Q509" t="n">
        <v>0</v>
      </c>
      <c r="R509" s="2" t="inlineStr"/>
    </row>
    <row r="510" ht="15" customHeight="1">
      <c r="A510" t="inlineStr">
        <is>
          <t>A 906-2025</t>
        </is>
      </c>
      <c r="B510" s="1" t="n">
        <v>45664</v>
      </c>
      <c r="C510" s="1" t="n">
        <v>46089</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24726-2025</t>
        </is>
      </c>
      <c r="B511" s="1" t="n">
        <v>45799.32805555555</v>
      </c>
      <c r="C511" s="1" t="n">
        <v>46089</v>
      </c>
      <c r="D511" t="inlineStr">
        <is>
          <t>VÄRMLANDS LÄN</t>
        </is>
      </c>
      <c r="E511" t="inlineStr">
        <is>
          <t>TORSBY</t>
        </is>
      </c>
      <c r="G511" t="n">
        <v>4.8</v>
      </c>
      <c r="H511" t="n">
        <v>0</v>
      </c>
      <c r="I511" t="n">
        <v>0</v>
      </c>
      <c r="J511" t="n">
        <v>0</v>
      </c>
      <c r="K511" t="n">
        <v>0</v>
      </c>
      <c r="L511" t="n">
        <v>0</v>
      </c>
      <c r="M511" t="n">
        <v>0</v>
      </c>
      <c r="N511" t="n">
        <v>0</v>
      </c>
      <c r="O511" t="n">
        <v>0</v>
      </c>
      <c r="P511" t="n">
        <v>0</v>
      </c>
      <c r="Q511" t="n">
        <v>0</v>
      </c>
      <c r="R511" s="2" t="inlineStr"/>
    </row>
    <row r="512" ht="15" customHeight="1">
      <c r="A512" t="inlineStr">
        <is>
          <t>A 38738-2025</t>
        </is>
      </c>
      <c r="B512" s="1" t="n">
        <v>45887.3715162037</v>
      </c>
      <c r="C512" s="1" t="n">
        <v>46089</v>
      </c>
      <c r="D512" t="inlineStr">
        <is>
          <t>VÄRMLANDS LÄN</t>
        </is>
      </c>
      <c r="E512" t="inlineStr">
        <is>
          <t>TORSBY</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56902-2023</t>
        </is>
      </c>
      <c r="B513" s="1" t="n">
        <v>45244</v>
      </c>
      <c r="C513" s="1" t="n">
        <v>46089</v>
      </c>
      <c r="D513" t="inlineStr">
        <is>
          <t>VÄRMLANDS LÄN</t>
        </is>
      </c>
      <c r="E513" t="inlineStr">
        <is>
          <t>TORSBY</t>
        </is>
      </c>
      <c r="G513" t="n">
        <v>17.4</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46089</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24528-2025</t>
        </is>
      </c>
      <c r="B515" s="1" t="n">
        <v>45798.42680555556</v>
      </c>
      <c r="C515" s="1" t="n">
        <v>46089</v>
      </c>
      <c r="D515" t="inlineStr">
        <is>
          <t>VÄRMLANDS LÄN</t>
        </is>
      </c>
      <c r="E515" t="inlineStr">
        <is>
          <t>TORSBY</t>
        </is>
      </c>
      <c r="G515" t="n">
        <v>5.8</v>
      </c>
      <c r="H515" t="n">
        <v>0</v>
      </c>
      <c r="I515" t="n">
        <v>0</v>
      </c>
      <c r="J515" t="n">
        <v>0</v>
      </c>
      <c r="K515" t="n">
        <v>0</v>
      </c>
      <c r="L515" t="n">
        <v>0</v>
      </c>
      <c r="M515" t="n">
        <v>0</v>
      </c>
      <c r="N515" t="n">
        <v>0</v>
      </c>
      <c r="O515" t="n">
        <v>0</v>
      </c>
      <c r="P515" t="n">
        <v>0</v>
      </c>
      <c r="Q515" t="n">
        <v>0</v>
      </c>
      <c r="R515" s="2" t="inlineStr"/>
    </row>
    <row r="516" ht="15" customHeight="1">
      <c r="A516" t="inlineStr">
        <is>
          <t>A 43529-2023</t>
        </is>
      </c>
      <c r="B516" s="1" t="n">
        <v>45181</v>
      </c>
      <c r="C516" s="1" t="n">
        <v>46089</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38611-2025</t>
        </is>
      </c>
      <c r="B517" s="1" t="n">
        <v>45884.53958333333</v>
      </c>
      <c r="C517" s="1" t="n">
        <v>46089</v>
      </c>
      <c r="D517" t="inlineStr">
        <is>
          <t>VÄRMLANDS LÄN</t>
        </is>
      </c>
      <c r="E517" t="inlineStr">
        <is>
          <t>TORSBY</t>
        </is>
      </c>
      <c r="G517" t="n">
        <v>3.3</v>
      </c>
      <c r="H517" t="n">
        <v>0</v>
      </c>
      <c r="I517" t="n">
        <v>0</v>
      </c>
      <c r="J517" t="n">
        <v>0</v>
      </c>
      <c r="K517" t="n">
        <v>0</v>
      </c>
      <c r="L517" t="n">
        <v>0</v>
      </c>
      <c r="M517" t="n">
        <v>0</v>
      </c>
      <c r="N517" t="n">
        <v>0</v>
      </c>
      <c r="O517" t="n">
        <v>0</v>
      </c>
      <c r="P517" t="n">
        <v>0</v>
      </c>
      <c r="Q517" t="n">
        <v>0</v>
      </c>
      <c r="R517" s="2" t="inlineStr"/>
    </row>
    <row r="518" ht="15" customHeight="1">
      <c r="A518" t="inlineStr">
        <is>
          <t>A 24597-2025</t>
        </is>
      </c>
      <c r="B518" s="1" t="n">
        <v>45798</v>
      </c>
      <c r="C518" s="1" t="n">
        <v>46089</v>
      </c>
      <c r="D518" t="inlineStr">
        <is>
          <t>VÄRMLANDS LÄN</t>
        </is>
      </c>
      <c r="E518" t="inlineStr">
        <is>
          <t>TORSBY</t>
        </is>
      </c>
      <c r="F518" t="inlineStr">
        <is>
          <t>Övriga statliga verk och myndigheter</t>
        </is>
      </c>
      <c r="G518" t="n">
        <v>4</v>
      </c>
      <c r="H518" t="n">
        <v>0</v>
      </c>
      <c r="I518" t="n">
        <v>0</v>
      </c>
      <c r="J518" t="n">
        <v>0</v>
      </c>
      <c r="K518" t="n">
        <v>0</v>
      </c>
      <c r="L518" t="n">
        <v>0</v>
      </c>
      <c r="M518" t="n">
        <v>0</v>
      </c>
      <c r="N518" t="n">
        <v>0</v>
      </c>
      <c r="O518" t="n">
        <v>0</v>
      </c>
      <c r="P518" t="n">
        <v>0</v>
      </c>
      <c r="Q518" t="n">
        <v>0</v>
      </c>
      <c r="R518" s="2" t="inlineStr"/>
    </row>
    <row r="519" ht="15" customHeight="1">
      <c r="A519" t="inlineStr">
        <is>
          <t>A 16192-2025</t>
        </is>
      </c>
      <c r="B519" s="1" t="n">
        <v>45750.59760416667</v>
      </c>
      <c r="C519" s="1" t="n">
        <v>46089</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54204-2023</t>
        </is>
      </c>
      <c r="B520" s="1" t="n">
        <v>45232.56141203704</v>
      </c>
      <c r="C520" s="1" t="n">
        <v>46089</v>
      </c>
      <c r="D520" t="inlineStr">
        <is>
          <t>VÄRMLANDS LÄN</t>
        </is>
      </c>
      <c r="E520" t="inlineStr">
        <is>
          <t>TORSBY</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63781-2025</t>
        </is>
      </c>
      <c r="B521" s="1" t="n">
        <v>46019.56042824074</v>
      </c>
      <c r="C521" s="1" t="n">
        <v>46089</v>
      </c>
      <c r="D521" t="inlineStr">
        <is>
          <t>VÄRMLANDS LÄN</t>
        </is>
      </c>
      <c r="E521" t="inlineStr">
        <is>
          <t>TORSBY</t>
        </is>
      </c>
      <c r="G521" t="n">
        <v>5.4</v>
      </c>
      <c r="H521" t="n">
        <v>0</v>
      </c>
      <c r="I521" t="n">
        <v>0</v>
      </c>
      <c r="J521" t="n">
        <v>0</v>
      </c>
      <c r="K521" t="n">
        <v>0</v>
      </c>
      <c r="L521" t="n">
        <v>0</v>
      </c>
      <c r="M521" t="n">
        <v>0</v>
      </c>
      <c r="N521" t="n">
        <v>0</v>
      </c>
      <c r="O521" t="n">
        <v>0</v>
      </c>
      <c r="P521" t="n">
        <v>0</v>
      </c>
      <c r="Q521" t="n">
        <v>0</v>
      </c>
      <c r="R521" s="2" t="inlineStr"/>
    </row>
    <row r="522" ht="15" customHeight="1">
      <c r="A522" t="inlineStr">
        <is>
          <t>A 10473-2023</t>
        </is>
      </c>
      <c r="B522" s="1" t="n">
        <v>44981</v>
      </c>
      <c r="C522" s="1" t="n">
        <v>46089</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24599-2025</t>
        </is>
      </c>
      <c r="B523" s="1" t="n">
        <v>45798.56230324074</v>
      </c>
      <c r="C523" s="1" t="n">
        <v>46089</v>
      </c>
      <c r="D523" t="inlineStr">
        <is>
          <t>VÄRMLANDS LÄN</t>
        </is>
      </c>
      <c r="E523" t="inlineStr">
        <is>
          <t>TORSBY</t>
        </is>
      </c>
      <c r="G523" t="n">
        <v>2.6</v>
      </c>
      <c r="H523" t="n">
        <v>0</v>
      </c>
      <c r="I523" t="n">
        <v>0</v>
      </c>
      <c r="J523" t="n">
        <v>0</v>
      </c>
      <c r="K523" t="n">
        <v>0</v>
      </c>
      <c r="L523" t="n">
        <v>0</v>
      </c>
      <c r="M523" t="n">
        <v>0</v>
      </c>
      <c r="N523" t="n">
        <v>0</v>
      </c>
      <c r="O523" t="n">
        <v>0</v>
      </c>
      <c r="P523" t="n">
        <v>0</v>
      </c>
      <c r="Q523" t="n">
        <v>0</v>
      </c>
      <c r="R523" s="2" t="inlineStr"/>
    </row>
    <row r="524" ht="15" customHeight="1">
      <c r="A524" t="inlineStr">
        <is>
          <t>A 64042-2025</t>
        </is>
      </c>
      <c r="B524" s="1" t="n">
        <v>46021</v>
      </c>
      <c r="C524" s="1" t="n">
        <v>46089</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46089</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46089</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24607-2025</t>
        </is>
      </c>
      <c r="B527" s="1" t="n">
        <v>45798.57608796296</v>
      </c>
      <c r="C527" s="1" t="n">
        <v>46089</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485-2025</t>
        </is>
      </c>
      <c r="B528" s="1" t="n">
        <v>45664</v>
      </c>
      <c r="C528" s="1" t="n">
        <v>46089</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2803-2025</t>
        </is>
      </c>
      <c r="B529" s="1" t="n">
        <v>45677</v>
      </c>
      <c r="C529" s="1" t="n">
        <v>46089</v>
      </c>
      <c r="D529" t="inlineStr">
        <is>
          <t>VÄRMLANDS LÄN</t>
        </is>
      </c>
      <c r="E529" t="inlineStr">
        <is>
          <t>TORSBY</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2807-2025</t>
        </is>
      </c>
      <c r="B530" s="1" t="n">
        <v>45677</v>
      </c>
      <c r="C530" s="1" t="n">
        <v>46089</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3442-2025</t>
        </is>
      </c>
      <c r="B531" s="1" t="n">
        <v>45680.45114583334</v>
      </c>
      <c r="C531" s="1" t="n">
        <v>46089</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38486-2022</t>
        </is>
      </c>
      <c r="B532" s="1" t="n">
        <v>44813</v>
      </c>
      <c r="C532" s="1" t="n">
        <v>46089</v>
      </c>
      <c r="D532" t="inlineStr">
        <is>
          <t>VÄRMLANDS LÄN</t>
        </is>
      </c>
      <c r="E532" t="inlineStr">
        <is>
          <t>TORSBY</t>
        </is>
      </c>
      <c r="F532" t="inlineStr">
        <is>
          <t>Bergvik skog väst AB</t>
        </is>
      </c>
      <c r="G532" t="n">
        <v>9.6</v>
      </c>
      <c r="H532" t="n">
        <v>0</v>
      </c>
      <c r="I532" t="n">
        <v>0</v>
      </c>
      <c r="J532" t="n">
        <v>0</v>
      </c>
      <c r="K532" t="n">
        <v>0</v>
      </c>
      <c r="L532" t="n">
        <v>0</v>
      </c>
      <c r="M532" t="n">
        <v>0</v>
      </c>
      <c r="N532" t="n">
        <v>0</v>
      </c>
      <c r="O532" t="n">
        <v>0</v>
      </c>
      <c r="P532" t="n">
        <v>0</v>
      </c>
      <c r="Q532" t="n">
        <v>0</v>
      </c>
      <c r="R532" s="2" t="inlineStr"/>
    </row>
    <row r="533" ht="15" customHeight="1">
      <c r="A533" t="inlineStr">
        <is>
          <t>A 18105-2022</t>
        </is>
      </c>
      <c r="B533" s="1" t="n">
        <v>44684</v>
      </c>
      <c r="C533" s="1" t="n">
        <v>46089</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38905-2025</t>
        </is>
      </c>
      <c r="B534" s="1" t="n">
        <v>45884</v>
      </c>
      <c r="C534" s="1" t="n">
        <v>46089</v>
      </c>
      <c r="D534" t="inlineStr">
        <is>
          <t>VÄRMLANDS LÄN</t>
        </is>
      </c>
      <c r="E534" t="inlineStr">
        <is>
          <t>TORSBY</t>
        </is>
      </c>
      <c r="G534" t="n">
        <v>5.4</v>
      </c>
      <c r="H534" t="n">
        <v>0</v>
      </c>
      <c r="I534" t="n">
        <v>0</v>
      </c>
      <c r="J534" t="n">
        <v>0</v>
      </c>
      <c r="K534" t="n">
        <v>0</v>
      </c>
      <c r="L534" t="n">
        <v>0</v>
      </c>
      <c r="M534" t="n">
        <v>0</v>
      </c>
      <c r="N534" t="n">
        <v>0</v>
      </c>
      <c r="O534" t="n">
        <v>0</v>
      </c>
      <c r="P534" t="n">
        <v>0</v>
      </c>
      <c r="Q534" t="n">
        <v>0</v>
      </c>
      <c r="R534" s="2" t="inlineStr"/>
    </row>
    <row r="535" ht="15" customHeight="1">
      <c r="A535" t="inlineStr">
        <is>
          <t>A 31351-2024</t>
        </is>
      </c>
      <c r="B535" s="1" t="n">
        <v>45505</v>
      </c>
      <c r="C535" s="1" t="n">
        <v>46089</v>
      </c>
      <c r="D535" t="inlineStr">
        <is>
          <t>VÄRMLANDS LÄN</t>
        </is>
      </c>
      <c r="E535" t="inlineStr">
        <is>
          <t>TORSBY</t>
        </is>
      </c>
      <c r="F535" t="inlineStr">
        <is>
          <t>Kyrkan</t>
        </is>
      </c>
      <c r="G535" t="n">
        <v>6.5</v>
      </c>
      <c r="H535" t="n">
        <v>0</v>
      </c>
      <c r="I535" t="n">
        <v>0</v>
      </c>
      <c r="J535" t="n">
        <v>0</v>
      </c>
      <c r="K535" t="n">
        <v>0</v>
      </c>
      <c r="L535" t="n">
        <v>0</v>
      </c>
      <c r="M535" t="n">
        <v>0</v>
      </c>
      <c r="N535" t="n">
        <v>0</v>
      </c>
      <c r="O535" t="n">
        <v>0</v>
      </c>
      <c r="P535" t="n">
        <v>0</v>
      </c>
      <c r="Q535" t="n">
        <v>0</v>
      </c>
      <c r="R535" s="2" t="inlineStr"/>
    </row>
    <row r="536" ht="15" customHeight="1">
      <c r="A536" t="inlineStr">
        <is>
          <t>A 8038-2026</t>
        </is>
      </c>
      <c r="B536" s="1" t="n">
        <v>46063.59967592593</v>
      </c>
      <c r="C536" s="1" t="n">
        <v>46089</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32332-2023</t>
        </is>
      </c>
      <c r="B537" s="1" t="n">
        <v>45110</v>
      </c>
      <c r="C537" s="1" t="n">
        <v>46089</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25050-2025</t>
        </is>
      </c>
      <c r="B538" s="1" t="n">
        <v>45799</v>
      </c>
      <c r="C538" s="1" t="n">
        <v>46089</v>
      </c>
      <c r="D538" t="inlineStr">
        <is>
          <t>VÄRMLANDS LÄN</t>
        </is>
      </c>
      <c r="E538" t="inlineStr">
        <is>
          <t>TORSBY</t>
        </is>
      </c>
      <c r="F538" t="inlineStr">
        <is>
          <t>Bergvik skog väst AB</t>
        </is>
      </c>
      <c r="G538" t="n">
        <v>39.7</v>
      </c>
      <c r="H538" t="n">
        <v>0</v>
      </c>
      <c r="I538" t="n">
        <v>0</v>
      </c>
      <c r="J538" t="n">
        <v>0</v>
      </c>
      <c r="K538" t="n">
        <v>0</v>
      </c>
      <c r="L538" t="n">
        <v>0</v>
      </c>
      <c r="M538" t="n">
        <v>0</v>
      </c>
      <c r="N538" t="n">
        <v>0</v>
      </c>
      <c r="O538" t="n">
        <v>0</v>
      </c>
      <c r="P538" t="n">
        <v>0</v>
      </c>
      <c r="Q538" t="n">
        <v>0</v>
      </c>
      <c r="R538" s="2" t="inlineStr"/>
    </row>
    <row r="539" ht="15" customHeight="1">
      <c r="A539" t="inlineStr">
        <is>
          <t>A 61510-2022</t>
        </is>
      </c>
      <c r="B539" s="1" t="n">
        <v>44916.49820601852</v>
      </c>
      <c r="C539" s="1" t="n">
        <v>46089</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1120-2023</t>
        </is>
      </c>
      <c r="B540" s="1" t="n">
        <v>44935</v>
      </c>
      <c r="C540" s="1" t="n">
        <v>46089</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24757-2025</t>
        </is>
      </c>
      <c r="B541" s="1" t="n">
        <v>45799</v>
      </c>
      <c r="C541" s="1" t="n">
        <v>46089</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29908-2022</t>
        </is>
      </c>
      <c r="B542" s="1" t="n">
        <v>44756</v>
      </c>
      <c r="C542" s="1" t="n">
        <v>46089</v>
      </c>
      <c r="D542" t="inlineStr">
        <is>
          <t>VÄRMLANDS LÄN</t>
        </is>
      </c>
      <c r="E542" t="inlineStr">
        <is>
          <t>TORSBY</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34105-2023</t>
        </is>
      </c>
      <c r="B543" s="1" t="n">
        <v>45126</v>
      </c>
      <c r="C543" s="1" t="n">
        <v>46089</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39208-2025</t>
        </is>
      </c>
      <c r="B544" s="1" t="n">
        <v>45888</v>
      </c>
      <c r="C544" s="1" t="n">
        <v>46089</v>
      </c>
      <c r="D544" t="inlineStr">
        <is>
          <t>VÄRMLANDS LÄN</t>
        </is>
      </c>
      <c r="E544" t="inlineStr">
        <is>
          <t>TORSBY</t>
        </is>
      </c>
      <c r="F544" t="inlineStr">
        <is>
          <t>Bergvik skog väst AB</t>
        </is>
      </c>
      <c r="G544" t="n">
        <v>39.1</v>
      </c>
      <c r="H544" t="n">
        <v>0</v>
      </c>
      <c r="I544" t="n">
        <v>0</v>
      </c>
      <c r="J544" t="n">
        <v>0</v>
      </c>
      <c r="K544" t="n">
        <v>0</v>
      </c>
      <c r="L544" t="n">
        <v>0</v>
      </c>
      <c r="M544" t="n">
        <v>0</v>
      </c>
      <c r="N544" t="n">
        <v>0</v>
      </c>
      <c r="O544" t="n">
        <v>0</v>
      </c>
      <c r="P544" t="n">
        <v>0</v>
      </c>
      <c r="Q544" t="n">
        <v>0</v>
      </c>
      <c r="R544" s="2" t="inlineStr"/>
    </row>
    <row r="545" ht="15" customHeight="1">
      <c r="A545" t="inlineStr">
        <is>
          <t>A 28598-2023</t>
        </is>
      </c>
      <c r="B545" s="1" t="n">
        <v>45103.57421296297</v>
      </c>
      <c r="C545" s="1" t="n">
        <v>46089</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24967-2025</t>
        </is>
      </c>
      <c r="B546" s="1" t="n">
        <v>45799.58332175926</v>
      </c>
      <c r="C546" s="1" t="n">
        <v>46089</v>
      </c>
      <c r="D546" t="inlineStr">
        <is>
          <t>VÄRMLANDS LÄN</t>
        </is>
      </c>
      <c r="E546" t="inlineStr">
        <is>
          <t>TORSBY</t>
        </is>
      </c>
      <c r="F546" t="inlineStr">
        <is>
          <t>Bergvik skog väst AB</t>
        </is>
      </c>
      <c r="G546" t="n">
        <v>17.6</v>
      </c>
      <c r="H546" t="n">
        <v>0</v>
      </c>
      <c r="I546" t="n">
        <v>0</v>
      </c>
      <c r="J546" t="n">
        <v>0</v>
      </c>
      <c r="K546" t="n">
        <v>0</v>
      </c>
      <c r="L546" t="n">
        <v>0</v>
      </c>
      <c r="M546" t="n">
        <v>0</v>
      </c>
      <c r="N546" t="n">
        <v>0</v>
      </c>
      <c r="O546" t="n">
        <v>0</v>
      </c>
      <c r="P546" t="n">
        <v>0</v>
      </c>
      <c r="Q546" t="n">
        <v>0</v>
      </c>
      <c r="R546" s="2" t="inlineStr"/>
    </row>
    <row r="547" ht="15" customHeight="1">
      <c r="A547" t="inlineStr">
        <is>
          <t>A 39451-2025</t>
        </is>
      </c>
      <c r="B547" s="1" t="n">
        <v>45889.72677083333</v>
      </c>
      <c r="C547" s="1" t="n">
        <v>46089</v>
      </c>
      <c r="D547" t="inlineStr">
        <is>
          <t>VÄRMLANDS LÄN</t>
        </is>
      </c>
      <c r="E547" t="inlineStr">
        <is>
          <t>TORSBY</t>
        </is>
      </c>
      <c r="F547" t="inlineStr">
        <is>
          <t>Bergvik skog väst AB</t>
        </is>
      </c>
      <c r="G547" t="n">
        <v>7.5</v>
      </c>
      <c r="H547" t="n">
        <v>0</v>
      </c>
      <c r="I547" t="n">
        <v>0</v>
      </c>
      <c r="J547" t="n">
        <v>0</v>
      </c>
      <c r="K547" t="n">
        <v>0</v>
      </c>
      <c r="L547" t="n">
        <v>0</v>
      </c>
      <c r="M547" t="n">
        <v>0</v>
      </c>
      <c r="N547" t="n">
        <v>0</v>
      </c>
      <c r="O547" t="n">
        <v>0</v>
      </c>
      <c r="P547" t="n">
        <v>0</v>
      </c>
      <c r="Q547" t="n">
        <v>0</v>
      </c>
      <c r="R547" s="2" t="inlineStr"/>
    </row>
    <row r="548" ht="15" customHeight="1">
      <c r="A548" t="inlineStr">
        <is>
          <t>A 38184-2024</t>
        </is>
      </c>
      <c r="B548" s="1" t="n">
        <v>45545</v>
      </c>
      <c r="C548" s="1" t="n">
        <v>46089</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63908-2025</t>
        </is>
      </c>
      <c r="B549" s="1" t="n">
        <v>46020</v>
      </c>
      <c r="C549" s="1" t="n">
        <v>46089</v>
      </c>
      <c r="D549" t="inlineStr">
        <is>
          <t>VÄRMLANDS LÄN</t>
        </is>
      </c>
      <c r="E549" t="inlineStr">
        <is>
          <t>TORSBY</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39258-2025</t>
        </is>
      </c>
      <c r="B550" s="1" t="n">
        <v>45889</v>
      </c>
      <c r="C550" s="1" t="n">
        <v>46089</v>
      </c>
      <c r="D550" t="inlineStr">
        <is>
          <t>VÄRMLANDS LÄN</t>
        </is>
      </c>
      <c r="E550" t="inlineStr">
        <is>
          <t>TORSBY</t>
        </is>
      </c>
      <c r="F550" t="inlineStr">
        <is>
          <t>Bergvik skog väst AB</t>
        </is>
      </c>
      <c r="G550" t="n">
        <v>12.1</v>
      </c>
      <c r="H550" t="n">
        <v>0</v>
      </c>
      <c r="I550" t="n">
        <v>0</v>
      </c>
      <c r="J550" t="n">
        <v>0</v>
      </c>
      <c r="K550" t="n">
        <v>0</v>
      </c>
      <c r="L550" t="n">
        <v>0</v>
      </c>
      <c r="M550" t="n">
        <v>0</v>
      </c>
      <c r="N550" t="n">
        <v>0</v>
      </c>
      <c r="O550" t="n">
        <v>0</v>
      </c>
      <c r="P550" t="n">
        <v>0</v>
      </c>
      <c r="Q550" t="n">
        <v>0</v>
      </c>
      <c r="R550" s="2" t="inlineStr"/>
    </row>
    <row r="551" ht="15" customHeight="1">
      <c r="A551" t="inlineStr">
        <is>
          <t>A 18330-2024</t>
        </is>
      </c>
      <c r="B551" s="1" t="n">
        <v>45422</v>
      </c>
      <c r="C551" s="1" t="n">
        <v>46089</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37913-2022</t>
        </is>
      </c>
      <c r="B552" s="1" t="n">
        <v>44811</v>
      </c>
      <c r="C552" s="1" t="n">
        <v>46089</v>
      </c>
      <c r="D552" t="inlineStr">
        <is>
          <t>VÄRMLANDS LÄN</t>
        </is>
      </c>
      <c r="E552" t="inlineStr">
        <is>
          <t>TORSBY</t>
        </is>
      </c>
      <c r="G552" t="n">
        <v>3.7</v>
      </c>
      <c r="H552" t="n">
        <v>0</v>
      </c>
      <c r="I552" t="n">
        <v>0</v>
      </c>
      <c r="J552" t="n">
        <v>0</v>
      </c>
      <c r="K552" t="n">
        <v>0</v>
      </c>
      <c r="L552" t="n">
        <v>0</v>
      </c>
      <c r="M552" t="n">
        <v>0</v>
      </c>
      <c r="N552" t="n">
        <v>0</v>
      </c>
      <c r="O552" t="n">
        <v>0</v>
      </c>
      <c r="P552" t="n">
        <v>0</v>
      </c>
      <c r="Q552" t="n">
        <v>0</v>
      </c>
      <c r="R552" s="2" t="inlineStr"/>
    </row>
    <row r="553" ht="15" customHeight="1">
      <c r="A553" t="inlineStr">
        <is>
          <t>A 14023-2025</t>
        </is>
      </c>
      <c r="B553" s="1" t="n">
        <v>45740</v>
      </c>
      <c r="C553" s="1" t="n">
        <v>46089</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7623-2026</t>
        </is>
      </c>
      <c r="B554" s="1" t="n">
        <v>46062</v>
      </c>
      <c r="C554" s="1" t="n">
        <v>46089</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39033-2025</t>
        </is>
      </c>
      <c r="B555" s="1" t="n">
        <v>45888</v>
      </c>
      <c r="C555" s="1" t="n">
        <v>46089</v>
      </c>
      <c r="D555" t="inlineStr">
        <is>
          <t>VÄRMLANDS LÄN</t>
        </is>
      </c>
      <c r="E555" t="inlineStr">
        <is>
          <t>TORSBY</t>
        </is>
      </c>
      <c r="G555" t="n">
        <v>6.4</v>
      </c>
      <c r="H555" t="n">
        <v>0</v>
      </c>
      <c r="I555" t="n">
        <v>0</v>
      </c>
      <c r="J555" t="n">
        <v>0</v>
      </c>
      <c r="K555" t="n">
        <v>0</v>
      </c>
      <c r="L555" t="n">
        <v>0</v>
      </c>
      <c r="M555" t="n">
        <v>0</v>
      </c>
      <c r="N555" t="n">
        <v>0</v>
      </c>
      <c r="O555" t="n">
        <v>0</v>
      </c>
      <c r="P555" t="n">
        <v>0</v>
      </c>
      <c r="Q555" t="n">
        <v>0</v>
      </c>
      <c r="R555" s="2" t="inlineStr"/>
    </row>
    <row r="556" ht="15" customHeight="1">
      <c r="A556" t="inlineStr">
        <is>
          <t>A 15169-2025</t>
        </is>
      </c>
      <c r="B556" s="1" t="n">
        <v>45744</v>
      </c>
      <c r="C556" s="1" t="n">
        <v>46089</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25653-2025</t>
        </is>
      </c>
      <c r="B557" s="1" t="n">
        <v>45803.61072916666</v>
      </c>
      <c r="C557" s="1" t="n">
        <v>46089</v>
      </c>
      <c r="D557" t="inlineStr">
        <is>
          <t>VÄRMLANDS LÄN</t>
        </is>
      </c>
      <c r="E557" t="inlineStr">
        <is>
          <t>TORSBY</t>
        </is>
      </c>
      <c r="F557" t="inlineStr">
        <is>
          <t>Bergvik skog väst AB</t>
        </is>
      </c>
      <c r="G557" t="n">
        <v>6.1</v>
      </c>
      <c r="H557" t="n">
        <v>0</v>
      </c>
      <c r="I557" t="n">
        <v>0</v>
      </c>
      <c r="J557" t="n">
        <v>0</v>
      </c>
      <c r="K557" t="n">
        <v>0</v>
      </c>
      <c r="L557" t="n">
        <v>0</v>
      </c>
      <c r="M557" t="n">
        <v>0</v>
      </c>
      <c r="N557" t="n">
        <v>0</v>
      </c>
      <c r="O557" t="n">
        <v>0</v>
      </c>
      <c r="P557" t="n">
        <v>0</v>
      </c>
      <c r="Q557" t="n">
        <v>0</v>
      </c>
      <c r="R557" s="2" t="inlineStr"/>
    </row>
    <row r="558" ht="15" customHeight="1">
      <c r="A558" t="inlineStr">
        <is>
          <t>A 39039-2025</t>
        </is>
      </c>
      <c r="B558" s="1" t="n">
        <v>45888.42684027777</v>
      </c>
      <c r="C558" s="1" t="n">
        <v>46089</v>
      </c>
      <c r="D558" t="inlineStr">
        <is>
          <t>VÄRMLANDS LÄN</t>
        </is>
      </c>
      <c r="E558" t="inlineStr">
        <is>
          <t>TORSBY</t>
        </is>
      </c>
      <c r="G558" t="n">
        <v>1.8</v>
      </c>
      <c r="H558" t="n">
        <v>0</v>
      </c>
      <c r="I558" t="n">
        <v>0</v>
      </c>
      <c r="J558" t="n">
        <v>0</v>
      </c>
      <c r="K558" t="n">
        <v>0</v>
      </c>
      <c r="L558" t="n">
        <v>0</v>
      </c>
      <c r="M558" t="n">
        <v>0</v>
      </c>
      <c r="N558" t="n">
        <v>0</v>
      </c>
      <c r="O558" t="n">
        <v>0</v>
      </c>
      <c r="P558" t="n">
        <v>0</v>
      </c>
      <c r="Q558" t="n">
        <v>0</v>
      </c>
      <c r="R558" s="2" t="inlineStr"/>
    </row>
    <row r="559" ht="15" customHeight="1">
      <c r="A559" t="inlineStr">
        <is>
          <t>A 25508-2025</t>
        </is>
      </c>
      <c r="B559" s="1" t="n">
        <v>45803.35520833333</v>
      </c>
      <c r="C559" s="1" t="n">
        <v>46089</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39059-2025</t>
        </is>
      </c>
      <c r="B560" s="1" t="n">
        <v>45888</v>
      </c>
      <c r="C560" s="1" t="n">
        <v>46089</v>
      </c>
      <c r="D560" t="inlineStr">
        <is>
          <t>VÄRMLANDS LÄN</t>
        </is>
      </c>
      <c r="E560" t="inlineStr">
        <is>
          <t>TORSBY</t>
        </is>
      </c>
      <c r="G560" t="n">
        <v>8.6</v>
      </c>
      <c r="H560" t="n">
        <v>0</v>
      </c>
      <c r="I560" t="n">
        <v>0</v>
      </c>
      <c r="J560" t="n">
        <v>0</v>
      </c>
      <c r="K560" t="n">
        <v>0</v>
      </c>
      <c r="L560" t="n">
        <v>0</v>
      </c>
      <c r="M560" t="n">
        <v>0</v>
      </c>
      <c r="N560" t="n">
        <v>0</v>
      </c>
      <c r="O560" t="n">
        <v>0</v>
      </c>
      <c r="P560" t="n">
        <v>0</v>
      </c>
      <c r="Q560" t="n">
        <v>0</v>
      </c>
      <c r="R560" s="2" t="inlineStr"/>
    </row>
    <row r="561" ht="15" customHeight="1">
      <c r="A561" t="inlineStr">
        <is>
          <t>A 39321-2025</t>
        </is>
      </c>
      <c r="B561" s="1" t="n">
        <v>45889</v>
      </c>
      <c r="C561" s="1" t="n">
        <v>46089</v>
      </c>
      <c r="D561" t="inlineStr">
        <is>
          <t>VÄRMLANDS LÄN</t>
        </is>
      </c>
      <c r="E561" t="inlineStr">
        <is>
          <t>TORSBY</t>
        </is>
      </c>
      <c r="F561" t="inlineStr">
        <is>
          <t>Bergvik skog väst AB</t>
        </is>
      </c>
      <c r="G561" t="n">
        <v>47.1</v>
      </c>
      <c r="H561" t="n">
        <v>0</v>
      </c>
      <c r="I561" t="n">
        <v>0</v>
      </c>
      <c r="J561" t="n">
        <v>0</v>
      </c>
      <c r="K561" t="n">
        <v>0</v>
      </c>
      <c r="L561" t="n">
        <v>0</v>
      </c>
      <c r="M561" t="n">
        <v>0</v>
      </c>
      <c r="N561" t="n">
        <v>0</v>
      </c>
      <c r="O561" t="n">
        <v>0</v>
      </c>
      <c r="P561" t="n">
        <v>0</v>
      </c>
      <c r="Q561" t="n">
        <v>0</v>
      </c>
      <c r="R561" s="2" t="inlineStr"/>
    </row>
    <row r="562" ht="15" customHeight="1">
      <c r="A562" t="inlineStr">
        <is>
          <t>A 25464-2025</t>
        </is>
      </c>
      <c r="B562" s="1" t="n">
        <v>45802.46032407408</v>
      </c>
      <c r="C562" s="1" t="n">
        <v>46089</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25465-2025</t>
        </is>
      </c>
      <c r="B563" s="1" t="n">
        <v>45802.48196759259</v>
      </c>
      <c r="C563" s="1" t="n">
        <v>46089</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38979-2025</t>
        </is>
      </c>
      <c r="B564" s="1" t="n">
        <v>45887.99758101852</v>
      </c>
      <c r="C564" s="1" t="n">
        <v>46089</v>
      </c>
      <c r="D564" t="inlineStr">
        <is>
          <t>VÄRMLANDS LÄN</t>
        </is>
      </c>
      <c r="E564" t="inlineStr">
        <is>
          <t>TORSBY</t>
        </is>
      </c>
      <c r="G564" t="n">
        <v>5</v>
      </c>
      <c r="H564" t="n">
        <v>0</v>
      </c>
      <c r="I564" t="n">
        <v>0</v>
      </c>
      <c r="J564" t="n">
        <v>0</v>
      </c>
      <c r="K564" t="n">
        <v>0</v>
      </c>
      <c r="L564" t="n">
        <v>0</v>
      </c>
      <c r="M564" t="n">
        <v>0</v>
      </c>
      <c r="N564" t="n">
        <v>0</v>
      </c>
      <c r="O564" t="n">
        <v>0</v>
      </c>
      <c r="P564" t="n">
        <v>0</v>
      </c>
      <c r="Q564" t="n">
        <v>0</v>
      </c>
      <c r="R564" s="2" t="inlineStr"/>
    </row>
    <row r="565" ht="15" customHeight="1">
      <c r="A565" t="inlineStr">
        <is>
          <t>A 11776-2024</t>
        </is>
      </c>
      <c r="B565" s="1" t="n">
        <v>45374</v>
      </c>
      <c r="C565" s="1" t="n">
        <v>46089</v>
      </c>
      <c r="D565" t="inlineStr">
        <is>
          <t>VÄRMLANDS LÄN</t>
        </is>
      </c>
      <c r="E565" t="inlineStr">
        <is>
          <t>TORSBY</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40009-2022</t>
        </is>
      </c>
      <c r="B566" s="1" t="n">
        <v>44820</v>
      </c>
      <c r="C566" s="1" t="n">
        <v>46089</v>
      </c>
      <c r="D566" t="inlineStr">
        <is>
          <t>VÄRMLANDS LÄN</t>
        </is>
      </c>
      <c r="E566" t="inlineStr">
        <is>
          <t>TORSBY</t>
        </is>
      </c>
      <c r="G566" t="n">
        <v>4.8</v>
      </c>
      <c r="H566" t="n">
        <v>0</v>
      </c>
      <c r="I566" t="n">
        <v>0</v>
      </c>
      <c r="J566" t="n">
        <v>0</v>
      </c>
      <c r="K566" t="n">
        <v>0</v>
      </c>
      <c r="L566" t="n">
        <v>0</v>
      </c>
      <c r="M566" t="n">
        <v>0</v>
      </c>
      <c r="N566" t="n">
        <v>0</v>
      </c>
      <c r="O566" t="n">
        <v>0</v>
      </c>
      <c r="P566" t="n">
        <v>0</v>
      </c>
      <c r="Q566" t="n">
        <v>0</v>
      </c>
      <c r="R566" s="2" t="inlineStr"/>
    </row>
    <row r="567" ht="15" customHeight="1">
      <c r="A567" t="inlineStr">
        <is>
          <t>A 25218-2025</t>
        </is>
      </c>
      <c r="B567" s="1" t="n">
        <v>45800.4766087963</v>
      </c>
      <c r="C567" s="1" t="n">
        <v>46089</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51823-2024</t>
        </is>
      </c>
      <c r="B568" s="1" t="n">
        <v>45607</v>
      </c>
      <c r="C568" s="1" t="n">
        <v>46089</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39454-2025</t>
        </is>
      </c>
      <c r="B569" s="1" t="n">
        <v>45889.7462962963</v>
      </c>
      <c r="C569" s="1" t="n">
        <v>46089</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39815-2025</t>
        </is>
      </c>
      <c r="B570" s="1" t="n">
        <v>45891.52760416667</v>
      </c>
      <c r="C570" s="1" t="n">
        <v>46089</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39652-2025</t>
        </is>
      </c>
      <c r="B571" s="1" t="n">
        <v>45890.61689814815</v>
      </c>
      <c r="C571" s="1" t="n">
        <v>46089</v>
      </c>
      <c r="D571" t="inlineStr">
        <is>
          <t>VÄRMLANDS LÄN</t>
        </is>
      </c>
      <c r="E571" t="inlineStr">
        <is>
          <t>TORSBY</t>
        </is>
      </c>
      <c r="G571" t="n">
        <v>3.1</v>
      </c>
      <c r="H571" t="n">
        <v>0</v>
      </c>
      <c r="I571" t="n">
        <v>0</v>
      </c>
      <c r="J571" t="n">
        <v>0</v>
      </c>
      <c r="K571" t="n">
        <v>0</v>
      </c>
      <c r="L571" t="n">
        <v>0</v>
      </c>
      <c r="M571" t="n">
        <v>0</v>
      </c>
      <c r="N571" t="n">
        <v>0</v>
      </c>
      <c r="O571" t="n">
        <v>0</v>
      </c>
      <c r="P571" t="n">
        <v>0</v>
      </c>
      <c r="Q571" t="n">
        <v>0</v>
      </c>
      <c r="R571" s="2" t="inlineStr"/>
    </row>
    <row r="572" ht="15" customHeight="1">
      <c r="A572" t="inlineStr">
        <is>
          <t>A 51144-2023</t>
        </is>
      </c>
      <c r="B572" s="1" t="n">
        <v>45212</v>
      </c>
      <c r="C572" s="1" t="n">
        <v>46089</v>
      </c>
      <c r="D572" t="inlineStr">
        <is>
          <t>VÄRMLANDS LÄN</t>
        </is>
      </c>
      <c r="E572" t="inlineStr">
        <is>
          <t>TORSBY</t>
        </is>
      </c>
      <c r="G572" t="n">
        <v>7.3</v>
      </c>
      <c r="H572" t="n">
        <v>0</v>
      </c>
      <c r="I572" t="n">
        <v>0</v>
      </c>
      <c r="J572" t="n">
        <v>0</v>
      </c>
      <c r="K572" t="n">
        <v>0</v>
      </c>
      <c r="L572" t="n">
        <v>0</v>
      </c>
      <c r="M572" t="n">
        <v>0</v>
      </c>
      <c r="N572" t="n">
        <v>0</v>
      </c>
      <c r="O572" t="n">
        <v>0</v>
      </c>
      <c r="P572" t="n">
        <v>0</v>
      </c>
      <c r="Q572" t="n">
        <v>0</v>
      </c>
      <c r="R572" s="2" t="inlineStr"/>
    </row>
    <row r="573" ht="15" customHeight="1">
      <c r="A573" t="inlineStr">
        <is>
          <t>A 39215-2022</t>
        </is>
      </c>
      <c r="B573" s="1" t="n">
        <v>44817</v>
      </c>
      <c r="C573" s="1" t="n">
        <v>46089</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25186-2025</t>
        </is>
      </c>
      <c r="B574" s="1" t="n">
        <v>45800.45247685185</v>
      </c>
      <c r="C574" s="1" t="n">
        <v>46089</v>
      </c>
      <c r="D574" t="inlineStr">
        <is>
          <t>VÄRMLANDS LÄN</t>
        </is>
      </c>
      <c r="E574" t="inlineStr">
        <is>
          <t>TORSBY</t>
        </is>
      </c>
      <c r="F574" t="inlineStr">
        <is>
          <t>Kyrkan</t>
        </is>
      </c>
      <c r="G574" t="n">
        <v>10.2</v>
      </c>
      <c r="H574" t="n">
        <v>0</v>
      </c>
      <c r="I574" t="n">
        <v>0</v>
      </c>
      <c r="J574" t="n">
        <v>0</v>
      </c>
      <c r="K574" t="n">
        <v>0</v>
      </c>
      <c r="L574" t="n">
        <v>0</v>
      </c>
      <c r="M574" t="n">
        <v>0</v>
      </c>
      <c r="N574" t="n">
        <v>0</v>
      </c>
      <c r="O574" t="n">
        <v>0</v>
      </c>
      <c r="P574" t="n">
        <v>0</v>
      </c>
      <c r="Q574" t="n">
        <v>0</v>
      </c>
      <c r="R574" s="2" t="inlineStr"/>
    </row>
    <row r="575" ht="15" customHeight="1">
      <c r="A575" t="inlineStr">
        <is>
          <t>A 39216-2022</t>
        </is>
      </c>
      <c r="B575" s="1" t="n">
        <v>44817</v>
      </c>
      <c r="C575" s="1" t="n">
        <v>46089</v>
      </c>
      <c r="D575" t="inlineStr">
        <is>
          <t>VÄRMLANDS LÄN</t>
        </is>
      </c>
      <c r="E575" t="inlineStr">
        <is>
          <t>TORSBY</t>
        </is>
      </c>
      <c r="G575" t="n">
        <v>6.6</v>
      </c>
      <c r="H575" t="n">
        <v>0</v>
      </c>
      <c r="I575" t="n">
        <v>0</v>
      </c>
      <c r="J575" t="n">
        <v>0</v>
      </c>
      <c r="K575" t="n">
        <v>0</v>
      </c>
      <c r="L575" t="n">
        <v>0</v>
      </c>
      <c r="M575" t="n">
        <v>0</v>
      </c>
      <c r="N575" t="n">
        <v>0</v>
      </c>
      <c r="O575" t="n">
        <v>0</v>
      </c>
      <c r="P575" t="n">
        <v>0</v>
      </c>
      <c r="Q575" t="n">
        <v>0</v>
      </c>
      <c r="R575" s="2" t="inlineStr"/>
    </row>
    <row r="576" ht="15" customHeight="1">
      <c r="A576" t="inlineStr">
        <is>
          <t>A 35609-2024</t>
        </is>
      </c>
      <c r="B576" s="1" t="n">
        <v>45531.68758101852</v>
      </c>
      <c r="C576" s="1" t="n">
        <v>46089</v>
      </c>
      <c r="D576" t="inlineStr">
        <is>
          <t>VÄRMLANDS LÄN</t>
        </is>
      </c>
      <c r="E576" t="inlineStr">
        <is>
          <t>TORSBY</t>
        </is>
      </c>
      <c r="G576" t="n">
        <v>38.3</v>
      </c>
      <c r="H576" t="n">
        <v>0</v>
      </c>
      <c r="I576" t="n">
        <v>0</v>
      </c>
      <c r="J576" t="n">
        <v>0</v>
      </c>
      <c r="K576" t="n">
        <v>0</v>
      </c>
      <c r="L576" t="n">
        <v>0</v>
      </c>
      <c r="M576" t="n">
        <v>0</v>
      </c>
      <c r="N576" t="n">
        <v>0</v>
      </c>
      <c r="O576" t="n">
        <v>0</v>
      </c>
      <c r="P576" t="n">
        <v>0</v>
      </c>
      <c r="Q576" t="n">
        <v>0</v>
      </c>
      <c r="R576" s="2" t="inlineStr"/>
    </row>
    <row r="577" ht="15" customHeight="1">
      <c r="A577" t="inlineStr">
        <is>
          <t>A 39743-2025</t>
        </is>
      </c>
      <c r="B577" s="1" t="n">
        <v>45891</v>
      </c>
      <c r="C577" s="1" t="n">
        <v>46089</v>
      </c>
      <c r="D577" t="inlineStr">
        <is>
          <t>VÄRMLANDS LÄN</t>
        </is>
      </c>
      <c r="E577" t="inlineStr">
        <is>
          <t>TORSBY</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39731-2025</t>
        </is>
      </c>
      <c r="B578" s="1" t="n">
        <v>45891</v>
      </c>
      <c r="C578" s="1" t="n">
        <v>46089</v>
      </c>
      <c r="D578" t="inlineStr">
        <is>
          <t>VÄRMLANDS LÄN</t>
        </is>
      </c>
      <c r="E578" t="inlineStr">
        <is>
          <t>TORSBY</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39499-2025</t>
        </is>
      </c>
      <c r="B579" s="1" t="n">
        <v>45890</v>
      </c>
      <c r="C579" s="1" t="n">
        <v>46089</v>
      </c>
      <c r="D579" t="inlineStr">
        <is>
          <t>VÄRMLANDS LÄN</t>
        </is>
      </c>
      <c r="E579" t="inlineStr">
        <is>
          <t>TORSBY</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39845-2025</t>
        </is>
      </c>
      <c r="B580" s="1" t="n">
        <v>45891</v>
      </c>
      <c r="C580" s="1" t="n">
        <v>46089</v>
      </c>
      <c r="D580" t="inlineStr">
        <is>
          <t>VÄRMLANDS LÄN</t>
        </is>
      </c>
      <c r="E580" t="inlineStr">
        <is>
          <t>TORSBY</t>
        </is>
      </c>
      <c r="F580" t="inlineStr">
        <is>
          <t>Bergvik skog väst AB</t>
        </is>
      </c>
      <c r="G580" t="n">
        <v>14.1</v>
      </c>
      <c r="H580" t="n">
        <v>0</v>
      </c>
      <c r="I580" t="n">
        <v>0</v>
      </c>
      <c r="J580" t="n">
        <v>0</v>
      </c>
      <c r="K580" t="n">
        <v>0</v>
      </c>
      <c r="L580" t="n">
        <v>0</v>
      </c>
      <c r="M580" t="n">
        <v>0</v>
      </c>
      <c r="N580" t="n">
        <v>0</v>
      </c>
      <c r="O580" t="n">
        <v>0</v>
      </c>
      <c r="P580" t="n">
        <v>0</v>
      </c>
      <c r="Q580" t="n">
        <v>0</v>
      </c>
      <c r="R580" s="2" t="inlineStr"/>
    </row>
    <row r="581" ht="15" customHeight="1">
      <c r="A581" t="inlineStr">
        <is>
          <t>A 61428-2022</t>
        </is>
      </c>
      <c r="B581" s="1" t="n">
        <v>44910</v>
      </c>
      <c r="C581" s="1" t="n">
        <v>46089</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61432-2022</t>
        </is>
      </c>
      <c r="B582" s="1" t="n">
        <v>44910</v>
      </c>
      <c r="C582" s="1" t="n">
        <v>46089</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25353-2025</t>
        </is>
      </c>
      <c r="B583" s="1" t="n">
        <v>45800.61553240741</v>
      </c>
      <c r="C583" s="1" t="n">
        <v>46089</v>
      </c>
      <c r="D583" t="inlineStr">
        <is>
          <t>VÄRMLANDS LÄN</t>
        </is>
      </c>
      <c r="E583" t="inlineStr">
        <is>
          <t>TORSBY</t>
        </is>
      </c>
      <c r="F583" t="inlineStr">
        <is>
          <t>Bergvik skog väst AB</t>
        </is>
      </c>
      <c r="G583" t="n">
        <v>4</v>
      </c>
      <c r="H583" t="n">
        <v>0</v>
      </c>
      <c r="I583" t="n">
        <v>0</v>
      </c>
      <c r="J583" t="n">
        <v>0</v>
      </c>
      <c r="K583" t="n">
        <v>0</v>
      </c>
      <c r="L583" t="n">
        <v>0</v>
      </c>
      <c r="M583" t="n">
        <v>0</v>
      </c>
      <c r="N583" t="n">
        <v>0</v>
      </c>
      <c r="O583" t="n">
        <v>0</v>
      </c>
      <c r="P583" t="n">
        <v>0</v>
      </c>
      <c r="Q583" t="n">
        <v>0</v>
      </c>
      <c r="R583" s="2" t="inlineStr"/>
    </row>
    <row r="584" ht="15" customHeight="1">
      <c r="A584" t="inlineStr">
        <is>
          <t>A 39565-2025</t>
        </is>
      </c>
      <c r="B584" s="1" t="n">
        <v>45890</v>
      </c>
      <c r="C584" s="1" t="n">
        <v>46089</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43248-2022</t>
        </is>
      </c>
      <c r="B585" s="1" t="n">
        <v>44834</v>
      </c>
      <c r="C585" s="1" t="n">
        <v>46089</v>
      </c>
      <c r="D585" t="inlineStr">
        <is>
          <t>VÄRMLANDS LÄN</t>
        </is>
      </c>
      <c r="E585" t="inlineStr">
        <is>
          <t>TORSBY</t>
        </is>
      </c>
      <c r="G585" t="n">
        <v>2.9</v>
      </c>
      <c r="H585" t="n">
        <v>0</v>
      </c>
      <c r="I585" t="n">
        <v>0</v>
      </c>
      <c r="J585" t="n">
        <v>0</v>
      </c>
      <c r="K585" t="n">
        <v>0</v>
      </c>
      <c r="L585" t="n">
        <v>0</v>
      </c>
      <c r="M585" t="n">
        <v>0</v>
      </c>
      <c r="N585" t="n">
        <v>0</v>
      </c>
      <c r="O585" t="n">
        <v>0</v>
      </c>
      <c r="P585" t="n">
        <v>0</v>
      </c>
      <c r="Q585" t="n">
        <v>0</v>
      </c>
      <c r="R585" s="2" t="inlineStr"/>
    </row>
    <row r="586" ht="15" customHeight="1">
      <c r="A586" t="inlineStr">
        <is>
          <t>A 56098-2024</t>
        </is>
      </c>
      <c r="B586" s="1" t="n">
        <v>45624.42371527778</v>
      </c>
      <c r="C586" s="1" t="n">
        <v>46089</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39473-2025</t>
        </is>
      </c>
      <c r="B587" s="1" t="n">
        <v>45890</v>
      </c>
      <c r="C587" s="1" t="n">
        <v>46089</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46471-2024</t>
        </is>
      </c>
      <c r="B588" s="1" t="n">
        <v>45582.5517824074</v>
      </c>
      <c r="C588" s="1" t="n">
        <v>46089</v>
      </c>
      <c r="D588" t="inlineStr">
        <is>
          <t>VÄRMLANDS LÄN</t>
        </is>
      </c>
      <c r="E588" t="inlineStr">
        <is>
          <t>TORSBY</t>
        </is>
      </c>
      <c r="G588" t="n">
        <v>2.1</v>
      </c>
      <c r="H588" t="n">
        <v>0</v>
      </c>
      <c r="I588" t="n">
        <v>0</v>
      </c>
      <c r="J588" t="n">
        <v>0</v>
      </c>
      <c r="K588" t="n">
        <v>0</v>
      </c>
      <c r="L588" t="n">
        <v>0</v>
      </c>
      <c r="M588" t="n">
        <v>0</v>
      </c>
      <c r="N588" t="n">
        <v>0</v>
      </c>
      <c r="O588" t="n">
        <v>0</v>
      </c>
      <c r="P588" t="n">
        <v>0</v>
      </c>
      <c r="Q588" t="n">
        <v>0</v>
      </c>
      <c r="R588" s="2" t="inlineStr"/>
    </row>
    <row r="589" ht="15" customHeight="1">
      <c r="A589" t="inlineStr">
        <is>
          <t>A 38286-2023</t>
        </is>
      </c>
      <c r="B589" s="1" t="n">
        <v>45161.63807870371</v>
      </c>
      <c r="C589" s="1" t="n">
        <v>46089</v>
      </c>
      <c r="D589" t="inlineStr">
        <is>
          <t>VÄRMLANDS LÄN</t>
        </is>
      </c>
      <c r="E589" t="inlineStr">
        <is>
          <t>TORSBY</t>
        </is>
      </c>
      <c r="F589" t="inlineStr">
        <is>
          <t>Kyrkan</t>
        </is>
      </c>
      <c r="G589" t="n">
        <v>6.5</v>
      </c>
      <c r="H589" t="n">
        <v>0</v>
      </c>
      <c r="I589" t="n">
        <v>0</v>
      </c>
      <c r="J589" t="n">
        <v>0</v>
      </c>
      <c r="K589" t="n">
        <v>0</v>
      </c>
      <c r="L589" t="n">
        <v>0</v>
      </c>
      <c r="M589" t="n">
        <v>0</v>
      </c>
      <c r="N589" t="n">
        <v>0</v>
      </c>
      <c r="O589" t="n">
        <v>0</v>
      </c>
      <c r="P589" t="n">
        <v>0</v>
      </c>
      <c r="Q589" t="n">
        <v>0</v>
      </c>
      <c r="R589" s="2" t="inlineStr"/>
    </row>
    <row r="590" ht="15" customHeight="1">
      <c r="A590" t="inlineStr">
        <is>
          <t>A 39919-2025</t>
        </is>
      </c>
      <c r="B590" s="1" t="n">
        <v>45891.66664351852</v>
      </c>
      <c r="C590" s="1" t="n">
        <v>46089</v>
      </c>
      <c r="D590" t="inlineStr">
        <is>
          <t>VÄRMLANDS LÄN</t>
        </is>
      </c>
      <c r="E590" t="inlineStr">
        <is>
          <t>TORSBY</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25428-2025</t>
        </is>
      </c>
      <c r="B591" s="1" t="n">
        <v>45800.71540509259</v>
      </c>
      <c r="C591" s="1" t="n">
        <v>46089</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46089</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25369-2025</t>
        </is>
      </c>
      <c r="B593" s="1" t="n">
        <v>45800.63046296296</v>
      </c>
      <c r="C593" s="1" t="n">
        <v>46089</v>
      </c>
      <c r="D593" t="inlineStr">
        <is>
          <t>VÄRMLANDS LÄN</t>
        </is>
      </c>
      <c r="E593" t="inlineStr">
        <is>
          <t>TORSBY</t>
        </is>
      </c>
      <c r="F593" t="inlineStr">
        <is>
          <t>Bergvik skog väst AB</t>
        </is>
      </c>
      <c r="G593" t="n">
        <v>5.3</v>
      </c>
      <c r="H593" t="n">
        <v>0</v>
      </c>
      <c r="I593" t="n">
        <v>0</v>
      </c>
      <c r="J593" t="n">
        <v>0</v>
      </c>
      <c r="K593" t="n">
        <v>0</v>
      </c>
      <c r="L593" t="n">
        <v>0</v>
      </c>
      <c r="M593" t="n">
        <v>0</v>
      </c>
      <c r="N593" t="n">
        <v>0</v>
      </c>
      <c r="O593" t="n">
        <v>0</v>
      </c>
      <c r="P593" t="n">
        <v>0</v>
      </c>
      <c r="Q593" t="n">
        <v>0</v>
      </c>
      <c r="R593" s="2" t="inlineStr"/>
    </row>
    <row r="594" ht="15" customHeight="1">
      <c r="A594" t="inlineStr">
        <is>
          <t>A 43732-2022</t>
        </is>
      </c>
      <c r="B594" s="1" t="n">
        <v>44837.69357638889</v>
      </c>
      <c r="C594" s="1" t="n">
        <v>46089</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46089</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24580-2025</t>
        </is>
      </c>
      <c r="B596" s="1" t="n">
        <v>45798</v>
      </c>
      <c r="C596" s="1" t="n">
        <v>46089</v>
      </c>
      <c r="D596" t="inlineStr">
        <is>
          <t>VÄRMLANDS LÄN</t>
        </is>
      </c>
      <c r="E596" t="inlineStr">
        <is>
          <t>TORSBY</t>
        </is>
      </c>
      <c r="G596" t="n">
        <v>12.2</v>
      </c>
      <c r="H596" t="n">
        <v>0</v>
      </c>
      <c r="I596" t="n">
        <v>0</v>
      </c>
      <c r="J596" t="n">
        <v>0</v>
      </c>
      <c r="K596" t="n">
        <v>0</v>
      </c>
      <c r="L596" t="n">
        <v>0</v>
      </c>
      <c r="M596" t="n">
        <v>0</v>
      </c>
      <c r="N596" t="n">
        <v>0</v>
      </c>
      <c r="O596" t="n">
        <v>0</v>
      </c>
      <c r="P596" t="n">
        <v>0</v>
      </c>
      <c r="Q596" t="n">
        <v>0</v>
      </c>
      <c r="R596" s="2" t="inlineStr"/>
    </row>
    <row r="597" ht="15" customHeight="1">
      <c r="A597" t="inlineStr">
        <is>
          <t>A 5814-2024</t>
        </is>
      </c>
      <c r="B597" s="1" t="n">
        <v>45335</v>
      </c>
      <c r="C597" s="1" t="n">
        <v>46089</v>
      </c>
      <c r="D597" t="inlineStr">
        <is>
          <t>VÄRMLANDS LÄN</t>
        </is>
      </c>
      <c r="E597" t="inlineStr">
        <is>
          <t>TORSBY</t>
        </is>
      </c>
      <c r="G597" t="n">
        <v>3.1</v>
      </c>
      <c r="H597" t="n">
        <v>0</v>
      </c>
      <c r="I597" t="n">
        <v>0</v>
      </c>
      <c r="J597" t="n">
        <v>0</v>
      </c>
      <c r="K597" t="n">
        <v>0</v>
      </c>
      <c r="L597" t="n">
        <v>0</v>
      </c>
      <c r="M597" t="n">
        <v>0</v>
      </c>
      <c r="N597" t="n">
        <v>0</v>
      </c>
      <c r="O597" t="n">
        <v>0</v>
      </c>
      <c r="P597" t="n">
        <v>0</v>
      </c>
      <c r="Q597" t="n">
        <v>0</v>
      </c>
      <c r="R597" s="2" t="inlineStr"/>
    </row>
    <row r="598" ht="15" customHeight="1">
      <c r="A598" t="inlineStr">
        <is>
          <t>A 35132-2022</t>
        </is>
      </c>
      <c r="B598" s="1" t="n">
        <v>44797</v>
      </c>
      <c r="C598" s="1" t="n">
        <v>46089</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68153-2021</t>
        </is>
      </c>
      <c r="B599" s="1" t="n">
        <v>44526.43881944445</v>
      </c>
      <c r="C599" s="1" t="n">
        <v>46089</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40034-2025</t>
        </is>
      </c>
      <c r="B600" s="1" t="n">
        <v>45894.38159722222</v>
      </c>
      <c r="C600" s="1" t="n">
        <v>46089</v>
      </c>
      <c r="D600" t="inlineStr">
        <is>
          <t>VÄRMLANDS LÄN</t>
        </is>
      </c>
      <c r="E600" t="inlineStr">
        <is>
          <t>TORSBY</t>
        </is>
      </c>
      <c r="G600" t="n">
        <v>5.3</v>
      </c>
      <c r="H600" t="n">
        <v>0</v>
      </c>
      <c r="I600" t="n">
        <v>0</v>
      </c>
      <c r="J600" t="n">
        <v>0</v>
      </c>
      <c r="K600" t="n">
        <v>0</v>
      </c>
      <c r="L600" t="n">
        <v>0</v>
      </c>
      <c r="M600" t="n">
        <v>0</v>
      </c>
      <c r="N600" t="n">
        <v>0</v>
      </c>
      <c r="O600" t="n">
        <v>0</v>
      </c>
      <c r="P600" t="n">
        <v>0</v>
      </c>
      <c r="Q600" t="n">
        <v>0</v>
      </c>
      <c r="R600" s="2" t="inlineStr"/>
    </row>
    <row r="601" ht="15" customHeight="1">
      <c r="A601" t="inlineStr">
        <is>
          <t>A 26231-2025</t>
        </is>
      </c>
      <c r="B601" s="1" t="n">
        <v>45805</v>
      </c>
      <c r="C601" s="1" t="n">
        <v>46089</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40195-2025</t>
        </is>
      </c>
      <c r="B602" s="1" t="n">
        <v>45894.65922453703</v>
      </c>
      <c r="C602" s="1" t="n">
        <v>46089</v>
      </c>
      <c r="D602" t="inlineStr">
        <is>
          <t>VÄRMLANDS LÄN</t>
        </is>
      </c>
      <c r="E602" t="inlineStr">
        <is>
          <t>TORSBY</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3409-2025</t>
        </is>
      </c>
      <c r="B603" s="1" t="n">
        <v>45680.39391203703</v>
      </c>
      <c r="C603" s="1" t="n">
        <v>46089</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40051-2025</t>
        </is>
      </c>
      <c r="B604" s="1" t="n">
        <v>45894.40730324074</v>
      </c>
      <c r="C604" s="1" t="n">
        <v>46089</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25807-2025</t>
        </is>
      </c>
      <c r="B605" s="1" t="n">
        <v>45804.41055555556</v>
      </c>
      <c r="C605" s="1" t="n">
        <v>46089</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18115-2025</t>
        </is>
      </c>
      <c r="B606" s="1" t="n">
        <v>45761</v>
      </c>
      <c r="C606" s="1" t="n">
        <v>46089</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18096-2025</t>
        </is>
      </c>
      <c r="B607" s="1" t="n">
        <v>45761</v>
      </c>
      <c r="C607" s="1" t="n">
        <v>46089</v>
      </c>
      <c r="D607" t="inlineStr">
        <is>
          <t>VÄRMLANDS LÄN</t>
        </is>
      </c>
      <c r="E607" t="inlineStr">
        <is>
          <t>TORSBY</t>
        </is>
      </c>
      <c r="G607" t="n">
        <v>3.6</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46089</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25959-2025</t>
        </is>
      </c>
      <c r="B609" s="1" t="n">
        <v>45804.60914351852</v>
      </c>
      <c r="C609" s="1" t="n">
        <v>46089</v>
      </c>
      <c r="D609" t="inlineStr">
        <is>
          <t>VÄRMLANDS LÄN</t>
        </is>
      </c>
      <c r="E609" t="inlineStr">
        <is>
          <t>TORSBY</t>
        </is>
      </c>
      <c r="F609" t="inlineStr">
        <is>
          <t>Bergvik skog väst AB</t>
        </is>
      </c>
      <c r="G609" t="n">
        <v>17.6</v>
      </c>
      <c r="H609" t="n">
        <v>0</v>
      </c>
      <c r="I609" t="n">
        <v>0</v>
      </c>
      <c r="J609" t="n">
        <v>0</v>
      </c>
      <c r="K609" t="n">
        <v>0</v>
      </c>
      <c r="L609" t="n">
        <v>0</v>
      </c>
      <c r="M609" t="n">
        <v>0</v>
      </c>
      <c r="N609" t="n">
        <v>0</v>
      </c>
      <c r="O609" t="n">
        <v>0</v>
      </c>
      <c r="P609" t="n">
        <v>0</v>
      </c>
      <c r="Q609" t="n">
        <v>0</v>
      </c>
      <c r="R609" s="2" t="inlineStr"/>
    </row>
    <row r="610" ht="15" customHeight="1">
      <c r="A610" t="inlineStr">
        <is>
          <t>A 40858-2023</t>
        </is>
      </c>
      <c r="B610" s="1" t="n">
        <v>45173.34709490741</v>
      </c>
      <c r="C610" s="1" t="n">
        <v>46089</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25917-2025</t>
        </is>
      </c>
      <c r="B611" s="1" t="n">
        <v>45804.56704861111</v>
      </c>
      <c r="C611" s="1" t="n">
        <v>46089</v>
      </c>
      <c r="D611" t="inlineStr">
        <is>
          <t>VÄRMLANDS LÄN</t>
        </is>
      </c>
      <c r="E611" t="inlineStr">
        <is>
          <t>TORSBY</t>
        </is>
      </c>
      <c r="G611" t="n">
        <v>3.2</v>
      </c>
      <c r="H611" t="n">
        <v>0</v>
      </c>
      <c r="I611" t="n">
        <v>0</v>
      </c>
      <c r="J611" t="n">
        <v>0</v>
      </c>
      <c r="K611" t="n">
        <v>0</v>
      </c>
      <c r="L611" t="n">
        <v>0</v>
      </c>
      <c r="M611" t="n">
        <v>0</v>
      </c>
      <c r="N611" t="n">
        <v>0</v>
      </c>
      <c r="O611" t="n">
        <v>0</v>
      </c>
      <c r="P611" t="n">
        <v>0</v>
      </c>
      <c r="Q611" t="n">
        <v>0</v>
      </c>
      <c r="R611" s="2" t="inlineStr"/>
    </row>
    <row r="612" ht="15" customHeight="1">
      <c r="A612" t="inlineStr">
        <is>
          <t>A 26061-2025</t>
        </is>
      </c>
      <c r="B612" s="1" t="n">
        <v>45805.24886574074</v>
      </c>
      <c r="C612" s="1" t="n">
        <v>46089</v>
      </c>
      <c r="D612" t="inlineStr">
        <is>
          <t>VÄRMLANDS LÄN</t>
        </is>
      </c>
      <c r="E612" t="inlineStr">
        <is>
          <t>TORSBY</t>
        </is>
      </c>
      <c r="G612" t="n">
        <v>3.9</v>
      </c>
      <c r="H612" t="n">
        <v>0</v>
      </c>
      <c r="I612" t="n">
        <v>0</v>
      </c>
      <c r="J612" t="n">
        <v>0</v>
      </c>
      <c r="K612" t="n">
        <v>0</v>
      </c>
      <c r="L612" t="n">
        <v>0</v>
      </c>
      <c r="M612" t="n">
        <v>0</v>
      </c>
      <c r="N612" t="n">
        <v>0</v>
      </c>
      <c r="O612" t="n">
        <v>0</v>
      </c>
      <c r="P612" t="n">
        <v>0</v>
      </c>
      <c r="Q612" t="n">
        <v>0</v>
      </c>
      <c r="R612" s="2" t="inlineStr"/>
    </row>
    <row r="613" ht="15" customHeight="1">
      <c r="A613" t="inlineStr">
        <is>
          <t>A 28035-2024</t>
        </is>
      </c>
      <c r="B613" s="1" t="n">
        <v>45476</v>
      </c>
      <c r="C613" s="1" t="n">
        <v>46089</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26158-2025</t>
        </is>
      </c>
      <c r="B614" s="1" t="n">
        <v>45805</v>
      </c>
      <c r="C614" s="1" t="n">
        <v>46089</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8297-2026</t>
        </is>
      </c>
      <c r="B615" s="1" t="n">
        <v>46064.575625</v>
      </c>
      <c r="C615" s="1" t="n">
        <v>46089</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47452-2024</t>
        </is>
      </c>
      <c r="B616" s="1" t="n">
        <v>45587</v>
      </c>
      <c r="C616" s="1" t="n">
        <v>46089</v>
      </c>
      <c r="D616" t="inlineStr">
        <is>
          <t>VÄRMLANDS LÄN</t>
        </is>
      </c>
      <c r="E616" t="inlineStr">
        <is>
          <t>TORSBY</t>
        </is>
      </c>
      <c r="F616" t="inlineStr">
        <is>
          <t>Övriga Aktiebolag</t>
        </is>
      </c>
      <c r="G616" t="n">
        <v>1.4</v>
      </c>
      <c r="H616" t="n">
        <v>0</v>
      </c>
      <c r="I616" t="n">
        <v>0</v>
      </c>
      <c r="J616" t="n">
        <v>0</v>
      </c>
      <c r="K616" t="n">
        <v>0</v>
      </c>
      <c r="L616" t="n">
        <v>0</v>
      </c>
      <c r="M616" t="n">
        <v>0</v>
      </c>
      <c r="N616" t="n">
        <v>0</v>
      </c>
      <c r="O616" t="n">
        <v>0</v>
      </c>
      <c r="P616" t="n">
        <v>0</v>
      </c>
      <c r="Q616" t="n">
        <v>0</v>
      </c>
      <c r="R616" s="2" t="inlineStr"/>
    </row>
    <row r="617" ht="15" customHeight="1">
      <c r="A617" t="inlineStr">
        <is>
          <t>A 40128-2025</t>
        </is>
      </c>
      <c r="B617" s="1" t="n">
        <v>45894</v>
      </c>
      <c r="C617" s="1" t="n">
        <v>46089</v>
      </c>
      <c r="D617" t="inlineStr">
        <is>
          <t>VÄRMLANDS LÄN</t>
        </is>
      </c>
      <c r="E617" t="inlineStr">
        <is>
          <t>TORSBY</t>
        </is>
      </c>
      <c r="G617" t="n">
        <v>0.6</v>
      </c>
      <c r="H617" t="n">
        <v>0</v>
      </c>
      <c r="I617" t="n">
        <v>0</v>
      </c>
      <c r="J617" t="n">
        <v>0</v>
      </c>
      <c r="K617" t="n">
        <v>0</v>
      </c>
      <c r="L617" t="n">
        <v>0</v>
      </c>
      <c r="M617" t="n">
        <v>0</v>
      </c>
      <c r="N617" t="n">
        <v>0</v>
      </c>
      <c r="O617" t="n">
        <v>0</v>
      </c>
      <c r="P617" t="n">
        <v>0</v>
      </c>
      <c r="Q617" t="n">
        <v>0</v>
      </c>
      <c r="R617" s="2" t="inlineStr"/>
    </row>
    <row r="618" ht="15" customHeight="1">
      <c r="A618" t="inlineStr">
        <is>
          <t>A 40729-2025</t>
        </is>
      </c>
      <c r="B618" s="1" t="n">
        <v>45897.35421296296</v>
      </c>
      <c r="C618" s="1" t="n">
        <v>46089</v>
      </c>
      <c r="D618" t="inlineStr">
        <is>
          <t>VÄRMLANDS LÄN</t>
        </is>
      </c>
      <c r="E618" t="inlineStr">
        <is>
          <t>TORSBY</t>
        </is>
      </c>
      <c r="F618" t="inlineStr">
        <is>
          <t>Bergvik skog väst AB</t>
        </is>
      </c>
      <c r="G618" t="n">
        <v>25.4</v>
      </c>
      <c r="H618" t="n">
        <v>0</v>
      </c>
      <c r="I618" t="n">
        <v>0</v>
      </c>
      <c r="J618" t="n">
        <v>0</v>
      </c>
      <c r="K618" t="n">
        <v>0</v>
      </c>
      <c r="L618" t="n">
        <v>0</v>
      </c>
      <c r="M618" t="n">
        <v>0</v>
      </c>
      <c r="N618" t="n">
        <v>0</v>
      </c>
      <c r="O618" t="n">
        <v>0</v>
      </c>
      <c r="P618" t="n">
        <v>0</v>
      </c>
      <c r="Q618" t="n">
        <v>0</v>
      </c>
      <c r="R618" s="2" t="inlineStr"/>
    </row>
    <row r="619" ht="15" customHeight="1">
      <c r="A619" t="inlineStr">
        <is>
          <t>A 25881-2025</t>
        </is>
      </c>
      <c r="B619" s="1" t="n">
        <v>45804.49729166667</v>
      </c>
      <c r="C619" s="1" t="n">
        <v>46089</v>
      </c>
      <c r="D619" t="inlineStr">
        <is>
          <t>VÄRMLANDS LÄN</t>
        </is>
      </c>
      <c r="E619" t="inlineStr">
        <is>
          <t>TORSBY</t>
        </is>
      </c>
      <c r="G619" t="n">
        <v>5.3</v>
      </c>
      <c r="H619" t="n">
        <v>0</v>
      </c>
      <c r="I619" t="n">
        <v>0</v>
      </c>
      <c r="J619" t="n">
        <v>0</v>
      </c>
      <c r="K619" t="n">
        <v>0</v>
      </c>
      <c r="L619" t="n">
        <v>0</v>
      </c>
      <c r="M619" t="n">
        <v>0</v>
      </c>
      <c r="N619" t="n">
        <v>0</v>
      </c>
      <c r="O619" t="n">
        <v>0</v>
      </c>
      <c r="P619" t="n">
        <v>0</v>
      </c>
      <c r="Q619" t="n">
        <v>0</v>
      </c>
      <c r="R619" s="2" t="inlineStr"/>
    </row>
    <row r="620" ht="15" customHeight="1">
      <c r="A620" t="inlineStr">
        <is>
          <t>A 25803-2025</t>
        </is>
      </c>
      <c r="B620" s="1" t="n">
        <v>45804.40886574074</v>
      </c>
      <c r="C620" s="1" t="n">
        <v>46089</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8164-2026</t>
        </is>
      </c>
      <c r="B621" s="1" t="n">
        <v>46064.38511574074</v>
      </c>
      <c r="C621" s="1" t="n">
        <v>46089</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7311-2026</t>
        </is>
      </c>
      <c r="B622" s="1" t="n">
        <v>46058</v>
      </c>
      <c r="C622" s="1" t="n">
        <v>46089</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29042-2023</t>
        </is>
      </c>
      <c r="B623" s="1" t="n">
        <v>45104</v>
      </c>
      <c r="C623" s="1" t="n">
        <v>46089</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235-2024</t>
        </is>
      </c>
      <c r="B624" s="1" t="n">
        <v>45294.85100694445</v>
      </c>
      <c r="C624" s="1" t="n">
        <v>46089</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8147-2026</t>
        </is>
      </c>
      <c r="B625" s="1" t="n">
        <v>46064.35064814815</v>
      </c>
      <c r="C625" s="1" t="n">
        <v>46089</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26342-2025</t>
        </is>
      </c>
      <c r="B626" s="1" t="n">
        <v>45805.70604166666</v>
      </c>
      <c r="C626" s="1" t="n">
        <v>46089</v>
      </c>
      <c r="D626" t="inlineStr">
        <is>
          <t>VÄRMLANDS LÄN</t>
        </is>
      </c>
      <c r="E626" t="inlineStr">
        <is>
          <t>TORSBY</t>
        </is>
      </c>
      <c r="F626" t="inlineStr">
        <is>
          <t>Bergvik skog väst AB</t>
        </is>
      </c>
      <c r="G626" t="n">
        <v>13.6</v>
      </c>
      <c r="H626" t="n">
        <v>0</v>
      </c>
      <c r="I626" t="n">
        <v>0</v>
      </c>
      <c r="J626" t="n">
        <v>0</v>
      </c>
      <c r="K626" t="n">
        <v>0</v>
      </c>
      <c r="L626" t="n">
        <v>0</v>
      </c>
      <c r="M626" t="n">
        <v>0</v>
      </c>
      <c r="N626" t="n">
        <v>0</v>
      </c>
      <c r="O626" t="n">
        <v>0</v>
      </c>
      <c r="P626" t="n">
        <v>0</v>
      </c>
      <c r="Q626" t="n">
        <v>0</v>
      </c>
      <c r="R626" s="2" t="inlineStr"/>
    </row>
    <row r="627" ht="15" customHeight="1">
      <c r="A627" t="inlineStr">
        <is>
          <t>A 26108-2025</t>
        </is>
      </c>
      <c r="B627" s="1" t="n">
        <v>45805</v>
      </c>
      <c r="C627" s="1" t="n">
        <v>46089</v>
      </c>
      <c r="D627" t="inlineStr">
        <is>
          <t>VÄRMLANDS LÄN</t>
        </is>
      </c>
      <c r="E627" t="inlineStr">
        <is>
          <t>TORSBY</t>
        </is>
      </c>
      <c r="F627" t="inlineStr">
        <is>
          <t>Bergvik skog väst AB</t>
        </is>
      </c>
      <c r="G627" t="n">
        <v>22.8</v>
      </c>
      <c r="H627" t="n">
        <v>0</v>
      </c>
      <c r="I627" t="n">
        <v>0</v>
      </c>
      <c r="J627" t="n">
        <v>0</v>
      </c>
      <c r="K627" t="n">
        <v>0</v>
      </c>
      <c r="L627" t="n">
        <v>0</v>
      </c>
      <c r="M627" t="n">
        <v>0</v>
      </c>
      <c r="N627" t="n">
        <v>0</v>
      </c>
      <c r="O627" t="n">
        <v>0</v>
      </c>
      <c r="P627" t="n">
        <v>0</v>
      </c>
      <c r="Q627" t="n">
        <v>0</v>
      </c>
      <c r="R627" s="2" t="inlineStr"/>
    </row>
    <row r="628" ht="15" customHeight="1">
      <c r="A628" t="inlineStr">
        <is>
          <t>A 25859-2025</t>
        </is>
      </c>
      <c r="B628" s="1" t="n">
        <v>45804.47244212963</v>
      </c>
      <c r="C628" s="1" t="n">
        <v>46089</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25915-2025</t>
        </is>
      </c>
      <c r="B629" s="1" t="n">
        <v>45804.56549768519</v>
      </c>
      <c r="C629" s="1" t="n">
        <v>46089</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4537-2025</t>
        </is>
      </c>
      <c r="B630" s="1" t="n">
        <v>45687.38836805556</v>
      </c>
      <c r="C630" s="1" t="n">
        <v>46089</v>
      </c>
      <c r="D630" t="inlineStr">
        <is>
          <t>VÄRMLANDS LÄN</t>
        </is>
      </c>
      <c r="E630" t="inlineStr">
        <is>
          <t>TORSBY</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38979-2023</t>
        </is>
      </c>
      <c r="B631" s="1" t="n">
        <v>45163.64584490741</v>
      </c>
      <c r="C631" s="1" t="n">
        <v>46089</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25808-2025</t>
        </is>
      </c>
      <c r="B632" s="1" t="n">
        <v>45804.41528935185</v>
      </c>
      <c r="C632" s="1" t="n">
        <v>46089</v>
      </c>
      <c r="D632" t="inlineStr">
        <is>
          <t>VÄRMLANDS LÄN</t>
        </is>
      </c>
      <c r="E632" t="inlineStr">
        <is>
          <t>TORSBY</t>
        </is>
      </c>
      <c r="G632" t="n">
        <v>0.6</v>
      </c>
      <c r="H632" t="n">
        <v>0</v>
      </c>
      <c r="I632" t="n">
        <v>0</v>
      </c>
      <c r="J632" t="n">
        <v>0</v>
      </c>
      <c r="K632" t="n">
        <v>0</v>
      </c>
      <c r="L632" t="n">
        <v>0</v>
      </c>
      <c r="M632" t="n">
        <v>0</v>
      </c>
      <c r="N632" t="n">
        <v>0</v>
      </c>
      <c r="O632" t="n">
        <v>0</v>
      </c>
      <c r="P632" t="n">
        <v>0</v>
      </c>
      <c r="Q632" t="n">
        <v>0</v>
      </c>
      <c r="R632" s="2" t="inlineStr"/>
    </row>
    <row r="633" ht="15" customHeight="1">
      <c r="A633" t="inlineStr">
        <is>
          <t>A 4640-2022</t>
        </is>
      </c>
      <c r="B633" s="1" t="n">
        <v>44592</v>
      </c>
      <c r="C633" s="1" t="n">
        <v>46089</v>
      </c>
      <c r="D633" t="inlineStr">
        <is>
          <t>VÄRMLANDS LÄN</t>
        </is>
      </c>
      <c r="E633" t="inlineStr">
        <is>
          <t>TORSBY</t>
        </is>
      </c>
      <c r="G633" t="n">
        <v>9</v>
      </c>
      <c r="H633" t="n">
        <v>0</v>
      </c>
      <c r="I633" t="n">
        <v>0</v>
      </c>
      <c r="J633" t="n">
        <v>0</v>
      </c>
      <c r="K633" t="n">
        <v>0</v>
      </c>
      <c r="L633" t="n">
        <v>0</v>
      </c>
      <c r="M633" t="n">
        <v>0</v>
      </c>
      <c r="N633" t="n">
        <v>0</v>
      </c>
      <c r="O633" t="n">
        <v>0</v>
      </c>
      <c r="P633" t="n">
        <v>0</v>
      </c>
      <c r="Q633" t="n">
        <v>0</v>
      </c>
      <c r="R633" s="2" t="inlineStr"/>
    </row>
    <row r="634" ht="15" customHeight="1">
      <c r="A634" t="inlineStr">
        <is>
          <t>A 54796-2024</t>
        </is>
      </c>
      <c r="B634" s="1" t="n">
        <v>45618</v>
      </c>
      <c r="C634" s="1" t="n">
        <v>46089</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26563-2025</t>
        </is>
      </c>
      <c r="B635" s="1" t="n">
        <v>45807.65767361111</v>
      </c>
      <c r="C635" s="1" t="n">
        <v>46089</v>
      </c>
      <c r="D635" t="inlineStr">
        <is>
          <t>VÄRMLANDS LÄN</t>
        </is>
      </c>
      <c r="E635" t="inlineStr">
        <is>
          <t>TORSBY</t>
        </is>
      </c>
      <c r="F635" t="inlineStr">
        <is>
          <t>Bergvik skog väst AB</t>
        </is>
      </c>
      <c r="G635" t="n">
        <v>19.5</v>
      </c>
      <c r="H635" t="n">
        <v>0</v>
      </c>
      <c r="I635" t="n">
        <v>0</v>
      </c>
      <c r="J635" t="n">
        <v>0</v>
      </c>
      <c r="K635" t="n">
        <v>0</v>
      </c>
      <c r="L635" t="n">
        <v>0</v>
      </c>
      <c r="M635" t="n">
        <v>0</v>
      </c>
      <c r="N635" t="n">
        <v>0</v>
      </c>
      <c r="O635" t="n">
        <v>0</v>
      </c>
      <c r="P635" t="n">
        <v>0</v>
      </c>
      <c r="Q635" t="n">
        <v>0</v>
      </c>
      <c r="R635" s="2" t="inlineStr"/>
    </row>
    <row r="636" ht="15" customHeight="1">
      <c r="A636" t="inlineStr">
        <is>
          <t>A 26504-2025</t>
        </is>
      </c>
      <c r="B636" s="1" t="n">
        <v>45807.519375</v>
      </c>
      <c r="C636" s="1" t="n">
        <v>46089</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26505-2025</t>
        </is>
      </c>
      <c r="B637" s="1" t="n">
        <v>45807.52231481481</v>
      </c>
      <c r="C637" s="1" t="n">
        <v>46089</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26511-2025</t>
        </is>
      </c>
      <c r="B638" s="1" t="n">
        <v>45807.54571759259</v>
      </c>
      <c r="C638" s="1" t="n">
        <v>46089</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26539-2025</t>
        </is>
      </c>
      <c r="B639" s="1" t="n">
        <v>45807.58127314815</v>
      </c>
      <c r="C639" s="1" t="n">
        <v>46089</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35107-2024</t>
        </is>
      </c>
      <c r="B640" s="1" t="n">
        <v>45529.5588425926</v>
      </c>
      <c r="C640" s="1" t="n">
        <v>46089</v>
      </c>
      <c r="D640" t="inlineStr">
        <is>
          <t>VÄRMLANDS LÄN</t>
        </is>
      </c>
      <c r="E640" t="inlineStr">
        <is>
          <t>TORSBY</t>
        </is>
      </c>
      <c r="G640" t="n">
        <v>5.1</v>
      </c>
      <c r="H640" t="n">
        <v>0</v>
      </c>
      <c r="I640" t="n">
        <v>0</v>
      </c>
      <c r="J640" t="n">
        <v>0</v>
      </c>
      <c r="K640" t="n">
        <v>0</v>
      </c>
      <c r="L640" t="n">
        <v>0</v>
      </c>
      <c r="M640" t="n">
        <v>0</v>
      </c>
      <c r="N640" t="n">
        <v>0</v>
      </c>
      <c r="O640" t="n">
        <v>0</v>
      </c>
      <c r="P640" t="n">
        <v>0</v>
      </c>
      <c r="Q640" t="n">
        <v>0</v>
      </c>
      <c r="R640" s="2" t="inlineStr"/>
    </row>
    <row r="641" ht="15" customHeight="1">
      <c r="A641" t="inlineStr">
        <is>
          <t>A 26418-2025</t>
        </is>
      </c>
      <c r="B641" s="1" t="n">
        <v>45807.36436342593</v>
      </c>
      <c r="C641" s="1" t="n">
        <v>46089</v>
      </c>
      <c r="D641" t="inlineStr">
        <is>
          <t>VÄRMLANDS LÄN</t>
        </is>
      </c>
      <c r="E641" t="inlineStr">
        <is>
          <t>TORSBY</t>
        </is>
      </c>
      <c r="F641" t="inlineStr">
        <is>
          <t>Bergvik skog väst AB</t>
        </is>
      </c>
      <c r="G641" t="n">
        <v>13.4</v>
      </c>
      <c r="H641" t="n">
        <v>0</v>
      </c>
      <c r="I641" t="n">
        <v>0</v>
      </c>
      <c r="J641" t="n">
        <v>0</v>
      </c>
      <c r="K641" t="n">
        <v>0</v>
      </c>
      <c r="L641" t="n">
        <v>0</v>
      </c>
      <c r="M641" t="n">
        <v>0</v>
      </c>
      <c r="N641" t="n">
        <v>0</v>
      </c>
      <c r="O641" t="n">
        <v>0</v>
      </c>
      <c r="P641" t="n">
        <v>0</v>
      </c>
      <c r="Q641" t="n">
        <v>0</v>
      </c>
      <c r="R641" s="2" t="inlineStr"/>
    </row>
    <row r="642" ht="15" customHeight="1">
      <c r="A642" t="inlineStr">
        <is>
          <t>A 26507-2025</t>
        </is>
      </c>
      <c r="B642" s="1" t="n">
        <v>45807.52539351852</v>
      </c>
      <c r="C642" s="1" t="n">
        <v>46089</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26564-2025</t>
        </is>
      </c>
      <c r="B643" s="1" t="n">
        <v>45807.66306712963</v>
      </c>
      <c r="C643" s="1" t="n">
        <v>46089</v>
      </c>
      <c r="D643" t="inlineStr">
        <is>
          <t>VÄRMLANDS LÄN</t>
        </is>
      </c>
      <c r="E643" t="inlineStr">
        <is>
          <t>TORSBY</t>
        </is>
      </c>
      <c r="F643" t="inlineStr">
        <is>
          <t>Bergvik skog väst AB</t>
        </is>
      </c>
      <c r="G643" t="n">
        <v>4</v>
      </c>
      <c r="H643" t="n">
        <v>0</v>
      </c>
      <c r="I643" t="n">
        <v>0</v>
      </c>
      <c r="J643" t="n">
        <v>0</v>
      </c>
      <c r="K643" t="n">
        <v>0</v>
      </c>
      <c r="L643" t="n">
        <v>0</v>
      </c>
      <c r="M643" t="n">
        <v>0</v>
      </c>
      <c r="N643" t="n">
        <v>0</v>
      </c>
      <c r="O643" t="n">
        <v>0</v>
      </c>
      <c r="P643" t="n">
        <v>0</v>
      </c>
      <c r="Q643" t="n">
        <v>0</v>
      </c>
      <c r="R643" s="2" t="inlineStr"/>
    </row>
    <row r="644" ht="15" customHeight="1">
      <c r="A644" t="inlineStr">
        <is>
          <t>A 8222-2026</t>
        </is>
      </c>
      <c r="B644" s="1" t="n">
        <v>46064.46728009259</v>
      </c>
      <c r="C644" s="1" t="n">
        <v>46089</v>
      </c>
      <c r="D644" t="inlineStr">
        <is>
          <t>VÄRMLANDS LÄN</t>
        </is>
      </c>
      <c r="E644" t="inlineStr">
        <is>
          <t>TORSBY</t>
        </is>
      </c>
      <c r="G644" t="n">
        <v>9.1</v>
      </c>
      <c r="H644" t="n">
        <v>0</v>
      </c>
      <c r="I644" t="n">
        <v>0</v>
      </c>
      <c r="J644" t="n">
        <v>0</v>
      </c>
      <c r="K644" t="n">
        <v>0</v>
      </c>
      <c r="L644" t="n">
        <v>0</v>
      </c>
      <c r="M644" t="n">
        <v>0</v>
      </c>
      <c r="N644" t="n">
        <v>0</v>
      </c>
      <c r="O644" t="n">
        <v>0</v>
      </c>
      <c r="P644" t="n">
        <v>0</v>
      </c>
      <c r="Q644" t="n">
        <v>0</v>
      </c>
      <c r="R644" s="2" t="inlineStr"/>
    </row>
    <row r="645" ht="15" customHeight="1">
      <c r="A645" t="inlineStr">
        <is>
          <t>A 8263-2026</t>
        </is>
      </c>
      <c r="B645" s="1" t="n">
        <v>46064.5361574074</v>
      </c>
      <c r="C645" s="1" t="n">
        <v>46089</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8317-2026</t>
        </is>
      </c>
      <c r="B646" s="1" t="n">
        <v>46064.60416666666</v>
      </c>
      <c r="C646" s="1" t="n">
        <v>46089</v>
      </c>
      <c r="D646" t="inlineStr">
        <is>
          <t>VÄRMLANDS LÄN</t>
        </is>
      </c>
      <c r="E646" t="inlineStr">
        <is>
          <t>TORSBY</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40519-2025</t>
        </is>
      </c>
      <c r="B647" s="1" t="n">
        <v>45896.3640162037</v>
      </c>
      <c r="C647" s="1" t="n">
        <v>46089</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26479-2025</t>
        </is>
      </c>
      <c r="B648" s="1" t="n">
        <v>45807.47021990741</v>
      </c>
      <c r="C648" s="1" t="n">
        <v>46089</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26491-2025</t>
        </is>
      </c>
      <c r="B649" s="1" t="n">
        <v>45807.48939814815</v>
      </c>
      <c r="C649" s="1" t="n">
        <v>46089</v>
      </c>
      <c r="D649" t="inlineStr">
        <is>
          <t>VÄRMLANDS LÄN</t>
        </is>
      </c>
      <c r="E649" t="inlineStr">
        <is>
          <t>TORSBY</t>
        </is>
      </c>
      <c r="G649" t="n">
        <v>5.3</v>
      </c>
      <c r="H649" t="n">
        <v>0</v>
      </c>
      <c r="I649" t="n">
        <v>0</v>
      </c>
      <c r="J649" t="n">
        <v>0</v>
      </c>
      <c r="K649" t="n">
        <v>0</v>
      </c>
      <c r="L649" t="n">
        <v>0</v>
      </c>
      <c r="M649" t="n">
        <v>0</v>
      </c>
      <c r="N649" t="n">
        <v>0</v>
      </c>
      <c r="O649" t="n">
        <v>0</v>
      </c>
      <c r="P649" t="n">
        <v>0</v>
      </c>
      <c r="Q649" t="n">
        <v>0</v>
      </c>
      <c r="R649" s="2" t="inlineStr"/>
    </row>
    <row r="650" ht="15" customHeight="1">
      <c r="A650" t="inlineStr">
        <is>
          <t>A 38062-2024</t>
        </is>
      </c>
      <c r="B650" s="1" t="n">
        <v>45544</v>
      </c>
      <c r="C650" s="1" t="n">
        <v>46089</v>
      </c>
      <c r="D650" t="inlineStr">
        <is>
          <t>VÄRMLANDS LÄN</t>
        </is>
      </c>
      <c r="E650" t="inlineStr">
        <is>
          <t>TORSBY</t>
        </is>
      </c>
      <c r="F650" t="inlineStr">
        <is>
          <t>Bergvik skog väst AB</t>
        </is>
      </c>
      <c r="G650" t="n">
        <v>7.9</v>
      </c>
      <c r="H650" t="n">
        <v>0</v>
      </c>
      <c r="I650" t="n">
        <v>0</v>
      </c>
      <c r="J650" t="n">
        <v>0</v>
      </c>
      <c r="K650" t="n">
        <v>0</v>
      </c>
      <c r="L650" t="n">
        <v>0</v>
      </c>
      <c r="M650" t="n">
        <v>0</v>
      </c>
      <c r="N650" t="n">
        <v>0</v>
      </c>
      <c r="O650" t="n">
        <v>0</v>
      </c>
      <c r="P650" t="n">
        <v>0</v>
      </c>
      <c r="Q650" t="n">
        <v>0</v>
      </c>
      <c r="R650" s="2" t="inlineStr"/>
    </row>
    <row r="651" ht="15" customHeight="1">
      <c r="A651" t="inlineStr">
        <is>
          <t>A 26533-2025</t>
        </is>
      </c>
      <c r="B651" s="1" t="n">
        <v>45807.57259259259</v>
      </c>
      <c r="C651" s="1" t="n">
        <v>46089</v>
      </c>
      <c r="D651" t="inlineStr">
        <is>
          <t>VÄRMLANDS LÄN</t>
        </is>
      </c>
      <c r="E651" t="inlineStr">
        <is>
          <t>TORSBY</t>
        </is>
      </c>
      <c r="G651" t="n">
        <v>1.1</v>
      </c>
      <c r="H651" t="n">
        <v>0</v>
      </c>
      <c r="I651" t="n">
        <v>0</v>
      </c>
      <c r="J651" t="n">
        <v>0</v>
      </c>
      <c r="K651" t="n">
        <v>0</v>
      </c>
      <c r="L651" t="n">
        <v>0</v>
      </c>
      <c r="M651" t="n">
        <v>0</v>
      </c>
      <c r="N651" t="n">
        <v>0</v>
      </c>
      <c r="O651" t="n">
        <v>0</v>
      </c>
      <c r="P651" t="n">
        <v>0</v>
      </c>
      <c r="Q651" t="n">
        <v>0</v>
      </c>
      <c r="R651" s="2" t="inlineStr"/>
    </row>
    <row r="652" ht="15" customHeight="1">
      <c r="A652" t="inlineStr">
        <is>
          <t>A 52750-2024</t>
        </is>
      </c>
      <c r="B652" s="1" t="n">
        <v>45610</v>
      </c>
      <c r="C652" s="1" t="n">
        <v>46089</v>
      </c>
      <c r="D652" t="inlineStr">
        <is>
          <t>VÄRMLANDS LÄN</t>
        </is>
      </c>
      <c r="E652" t="inlineStr">
        <is>
          <t>TORSBY</t>
        </is>
      </c>
      <c r="F652" t="inlineStr">
        <is>
          <t>Kyrkan</t>
        </is>
      </c>
      <c r="G652" t="n">
        <v>7.7</v>
      </c>
      <c r="H652" t="n">
        <v>0</v>
      </c>
      <c r="I652" t="n">
        <v>0</v>
      </c>
      <c r="J652" t="n">
        <v>0</v>
      </c>
      <c r="K652" t="n">
        <v>0</v>
      </c>
      <c r="L652" t="n">
        <v>0</v>
      </c>
      <c r="M652" t="n">
        <v>0</v>
      </c>
      <c r="N652" t="n">
        <v>0</v>
      </c>
      <c r="O652" t="n">
        <v>0</v>
      </c>
      <c r="P652" t="n">
        <v>0</v>
      </c>
      <c r="Q652" t="n">
        <v>0</v>
      </c>
      <c r="R652" s="2" t="inlineStr"/>
    </row>
    <row r="653" ht="15" customHeight="1">
      <c r="A653" t="inlineStr">
        <is>
          <t>A 26487-2025</t>
        </is>
      </c>
      <c r="B653" s="1" t="n">
        <v>45807.47644675926</v>
      </c>
      <c r="C653" s="1" t="n">
        <v>46089</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56724-2023</t>
        </is>
      </c>
      <c r="B654" s="1" t="n">
        <v>45244.3393287037</v>
      </c>
      <c r="C654" s="1" t="n">
        <v>46089</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57721-2022</t>
        </is>
      </c>
      <c r="B655" s="1" t="n">
        <v>44897.55278935185</v>
      </c>
      <c r="C655" s="1" t="n">
        <v>46089</v>
      </c>
      <c r="D655" t="inlineStr">
        <is>
          <t>VÄRMLANDS LÄN</t>
        </is>
      </c>
      <c r="E655" t="inlineStr">
        <is>
          <t>TORSBY</t>
        </is>
      </c>
      <c r="G655" t="n">
        <v>3.3</v>
      </c>
      <c r="H655" t="n">
        <v>0</v>
      </c>
      <c r="I655" t="n">
        <v>0</v>
      </c>
      <c r="J655" t="n">
        <v>0</v>
      </c>
      <c r="K655" t="n">
        <v>0</v>
      </c>
      <c r="L655" t="n">
        <v>0</v>
      </c>
      <c r="M655" t="n">
        <v>0</v>
      </c>
      <c r="N655" t="n">
        <v>0</v>
      </c>
      <c r="O655" t="n">
        <v>0</v>
      </c>
      <c r="P655" t="n">
        <v>0</v>
      </c>
      <c r="Q655" t="n">
        <v>0</v>
      </c>
      <c r="R655" s="2" t="inlineStr"/>
    </row>
    <row r="656" ht="15" customHeight="1">
      <c r="A656" t="inlineStr">
        <is>
          <t>A 28545-2024</t>
        </is>
      </c>
      <c r="B656" s="1" t="n">
        <v>45478.3559375</v>
      </c>
      <c r="C656" s="1" t="n">
        <v>46089</v>
      </c>
      <c r="D656" t="inlineStr">
        <is>
          <t>VÄRMLANDS LÄN</t>
        </is>
      </c>
      <c r="E656" t="inlineStr">
        <is>
          <t>TORSBY</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24708-2024</t>
        </is>
      </c>
      <c r="B657" s="1" t="n">
        <v>45460</v>
      </c>
      <c r="C657" s="1" t="n">
        <v>46089</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16380-2025</t>
        </is>
      </c>
      <c r="B658" s="1" t="n">
        <v>45751</v>
      </c>
      <c r="C658" s="1" t="n">
        <v>46089</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27056-2025</t>
        </is>
      </c>
      <c r="B659" s="1" t="n">
        <v>45811.63118055555</v>
      </c>
      <c r="C659" s="1" t="n">
        <v>46089</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24995-2024</t>
        </is>
      </c>
      <c r="B660" s="1" t="n">
        <v>45461</v>
      </c>
      <c r="C660" s="1" t="n">
        <v>46089</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2506-2025</t>
        </is>
      </c>
      <c r="B661" s="1" t="n">
        <v>45674</v>
      </c>
      <c r="C661" s="1" t="n">
        <v>46089</v>
      </c>
      <c r="D661" t="inlineStr">
        <is>
          <t>VÄRMLANDS LÄN</t>
        </is>
      </c>
      <c r="E661" t="inlineStr">
        <is>
          <t>TORSBY</t>
        </is>
      </c>
      <c r="F661" t="inlineStr">
        <is>
          <t>Bergvik skog väst AB</t>
        </is>
      </c>
      <c r="G661" t="n">
        <v>19.2</v>
      </c>
      <c r="H661" t="n">
        <v>0</v>
      </c>
      <c r="I661" t="n">
        <v>0</v>
      </c>
      <c r="J661" t="n">
        <v>0</v>
      </c>
      <c r="K661" t="n">
        <v>0</v>
      </c>
      <c r="L661" t="n">
        <v>0</v>
      </c>
      <c r="M661" t="n">
        <v>0</v>
      </c>
      <c r="N661" t="n">
        <v>0</v>
      </c>
      <c r="O661" t="n">
        <v>0</v>
      </c>
      <c r="P661" t="n">
        <v>0</v>
      </c>
      <c r="Q661" t="n">
        <v>0</v>
      </c>
      <c r="R661" s="2" t="inlineStr"/>
    </row>
    <row r="662" ht="15" customHeight="1">
      <c r="A662" t="inlineStr">
        <is>
          <t>A 27116-2025</t>
        </is>
      </c>
      <c r="B662" s="1" t="n">
        <v>45811.74233796296</v>
      </c>
      <c r="C662" s="1" t="n">
        <v>46089</v>
      </c>
      <c r="D662" t="inlineStr">
        <is>
          <t>VÄRMLANDS LÄN</t>
        </is>
      </c>
      <c r="E662" t="inlineStr">
        <is>
          <t>TORSBY</t>
        </is>
      </c>
      <c r="G662" t="n">
        <v>6.2</v>
      </c>
      <c r="H662" t="n">
        <v>0</v>
      </c>
      <c r="I662" t="n">
        <v>0</v>
      </c>
      <c r="J662" t="n">
        <v>0</v>
      </c>
      <c r="K662" t="n">
        <v>0</v>
      </c>
      <c r="L662" t="n">
        <v>0</v>
      </c>
      <c r="M662" t="n">
        <v>0</v>
      </c>
      <c r="N662" t="n">
        <v>0</v>
      </c>
      <c r="O662" t="n">
        <v>0</v>
      </c>
      <c r="P662" t="n">
        <v>0</v>
      </c>
      <c r="Q662" t="n">
        <v>0</v>
      </c>
      <c r="R662" s="2" t="inlineStr"/>
    </row>
    <row r="663" ht="15" customHeight="1">
      <c r="A663" t="inlineStr">
        <is>
          <t>A 41148-2025</t>
        </is>
      </c>
      <c r="B663" s="1" t="n">
        <v>45898</v>
      </c>
      <c r="C663" s="1" t="n">
        <v>46089</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25866-2025</t>
        </is>
      </c>
      <c r="B664" s="1" t="n">
        <v>45804.48143518518</v>
      </c>
      <c r="C664" s="1" t="n">
        <v>46089</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731-2024</t>
        </is>
      </c>
      <c r="B665" s="1" t="n">
        <v>45300</v>
      </c>
      <c r="C665" s="1" t="n">
        <v>46089</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43144-2024</t>
        </is>
      </c>
      <c r="B666" s="1" t="n">
        <v>45567</v>
      </c>
      <c r="C666" s="1" t="n">
        <v>46089</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41168-2025</t>
        </is>
      </c>
      <c r="B667" s="1" t="n">
        <v>45898</v>
      </c>
      <c r="C667" s="1" t="n">
        <v>46089</v>
      </c>
      <c r="D667" t="inlineStr">
        <is>
          <t>VÄRMLANDS LÄN</t>
        </is>
      </c>
      <c r="E667" t="inlineStr">
        <is>
          <t>TORSBY</t>
        </is>
      </c>
      <c r="F667" t="inlineStr">
        <is>
          <t>Övriga Aktiebolag</t>
        </is>
      </c>
      <c r="G667" t="n">
        <v>5</v>
      </c>
      <c r="H667" t="n">
        <v>0</v>
      </c>
      <c r="I667" t="n">
        <v>0</v>
      </c>
      <c r="J667" t="n">
        <v>0</v>
      </c>
      <c r="K667" t="n">
        <v>0</v>
      </c>
      <c r="L667" t="n">
        <v>0</v>
      </c>
      <c r="M667" t="n">
        <v>0</v>
      </c>
      <c r="N667" t="n">
        <v>0</v>
      </c>
      <c r="O667" t="n">
        <v>0</v>
      </c>
      <c r="P667" t="n">
        <v>0</v>
      </c>
      <c r="Q667" t="n">
        <v>0</v>
      </c>
      <c r="R667" s="2" t="inlineStr"/>
    </row>
    <row r="668" ht="15" customHeight="1">
      <c r="A668" t="inlineStr">
        <is>
          <t>A 27043-2025</t>
        </is>
      </c>
      <c r="B668" s="1" t="n">
        <v>45811.61342592593</v>
      </c>
      <c r="C668" s="1" t="n">
        <v>46089</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26898-2025</t>
        </is>
      </c>
      <c r="B669" s="1" t="n">
        <v>45811</v>
      </c>
      <c r="C669" s="1" t="n">
        <v>46089</v>
      </c>
      <c r="D669" t="inlineStr">
        <is>
          <t>VÄRMLANDS LÄN</t>
        </is>
      </c>
      <c r="E669" t="inlineStr">
        <is>
          <t>TORSBY</t>
        </is>
      </c>
      <c r="F669" t="inlineStr">
        <is>
          <t>Övriga Aktiebolag</t>
        </is>
      </c>
      <c r="G669" t="n">
        <v>37.8</v>
      </c>
      <c r="H669" t="n">
        <v>0</v>
      </c>
      <c r="I669" t="n">
        <v>0</v>
      </c>
      <c r="J669" t="n">
        <v>0</v>
      </c>
      <c r="K669" t="n">
        <v>0</v>
      </c>
      <c r="L669" t="n">
        <v>0</v>
      </c>
      <c r="M669" t="n">
        <v>0</v>
      </c>
      <c r="N669" t="n">
        <v>0</v>
      </c>
      <c r="O669" t="n">
        <v>0</v>
      </c>
      <c r="P669" t="n">
        <v>0</v>
      </c>
      <c r="Q669" t="n">
        <v>0</v>
      </c>
      <c r="R669" s="2" t="inlineStr"/>
    </row>
    <row r="670" ht="15" customHeight="1">
      <c r="A670" t="inlineStr">
        <is>
          <t>A 60710-2024</t>
        </is>
      </c>
      <c r="B670" s="1" t="n">
        <v>45643</v>
      </c>
      <c r="C670" s="1" t="n">
        <v>46089</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11222-2024</t>
        </is>
      </c>
      <c r="B671" s="1" t="n">
        <v>45371</v>
      </c>
      <c r="C671" s="1" t="n">
        <v>46089</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754-2025</t>
        </is>
      </c>
      <c r="B672" s="1" t="n">
        <v>45665</v>
      </c>
      <c r="C672" s="1" t="n">
        <v>46089</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41232-2025</t>
        </is>
      </c>
      <c r="B673" s="1" t="n">
        <v>45898</v>
      </c>
      <c r="C673" s="1" t="n">
        <v>46089</v>
      </c>
      <c r="D673" t="inlineStr">
        <is>
          <t>VÄRMLANDS LÄN</t>
        </is>
      </c>
      <c r="E673" t="inlineStr">
        <is>
          <t>TORSBY</t>
        </is>
      </c>
      <c r="F673" t="inlineStr">
        <is>
          <t>Övriga Aktiebolag</t>
        </is>
      </c>
      <c r="G673" t="n">
        <v>1</v>
      </c>
      <c r="H673" t="n">
        <v>0</v>
      </c>
      <c r="I673" t="n">
        <v>0</v>
      </c>
      <c r="J673" t="n">
        <v>0</v>
      </c>
      <c r="K673" t="n">
        <v>0</v>
      </c>
      <c r="L673" t="n">
        <v>0</v>
      </c>
      <c r="M673" t="n">
        <v>0</v>
      </c>
      <c r="N673" t="n">
        <v>0</v>
      </c>
      <c r="O673" t="n">
        <v>0</v>
      </c>
      <c r="P673" t="n">
        <v>0</v>
      </c>
      <c r="Q673" t="n">
        <v>0</v>
      </c>
      <c r="R673" s="2" t="inlineStr"/>
    </row>
    <row r="674" ht="15" customHeight="1">
      <c r="A674" t="inlineStr">
        <is>
          <t>A 20120-2023</t>
        </is>
      </c>
      <c r="B674" s="1" t="n">
        <v>45055</v>
      </c>
      <c r="C674" s="1" t="n">
        <v>46089</v>
      </c>
      <c r="D674" t="inlineStr">
        <is>
          <t>VÄRMLANDS LÄN</t>
        </is>
      </c>
      <c r="E674" t="inlineStr">
        <is>
          <t>TORSBY</t>
        </is>
      </c>
      <c r="G674" t="n">
        <v>7.7</v>
      </c>
      <c r="H674" t="n">
        <v>0</v>
      </c>
      <c r="I674" t="n">
        <v>0</v>
      </c>
      <c r="J674" t="n">
        <v>0</v>
      </c>
      <c r="K674" t="n">
        <v>0</v>
      </c>
      <c r="L674" t="n">
        <v>0</v>
      </c>
      <c r="M674" t="n">
        <v>0</v>
      </c>
      <c r="N674" t="n">
        <v>0</v>
      </c>
      <c r="O674" t="n">
        <v>0</v>
      </c>
      <c r="P674" t="n">
        <v>0</v>
      </c>
      <c r="Q674" t="n">
        <v>0</v>
      </c>
      <c r="R674" s="2" t="inlineStr"/>
    </row>
    <row r="675" ht="15" customHeight="1">
      <c r="A675" t="inlineStr">
        <is>
          <t>A 33149-2025</t>
        </is>
      </c>
      <c r="B675" s="1" t="n">
        <v>45840.54246527778</v>
      </c>
      <c r="C675" s="1" t="n">
        <v>46089</v>
      </c>
      <c r="D675" t="inlineStr">
        <is>
          <t>VÄRMLANDS LÄN</t>
        </is>
      </c>
      <c r="E675" t="inlineStr">
        <is>
          <t>TORSBY</t>
        </is>
      </c>
      <c r="G675" t="n">
        <v>2.8</v>
      </c>
      <c r="H675" t="n">
        <v>0</v>
      </c>
      <c r="I675" t="n">
        <v>0</v>
      </c>
      <c r="J675" t="n">
        <v>0</v>
      </c>
      <c r="K675" t="n">
        <v>0</v>
      </c>
      <c r="L675" t="n">
        <v>0</v>
      </c>
      <c r="M675" t="n">
        <v>0</v>
      </c>
      <c r="N675" t="n">
        <v>0</v>
      </c>
      <c r="O675" t="n">
        <v>0</v>
      </c>
      <c r="P675" t="n">
        <v>0</v>
      </c>
      <c r="Q675" t="n">
        <v>0</v>
      </c>
      <c r="R675" s="2" t="inlineStr"/>
    </row>
    <row r="676" ht="15" customHeight="1">
      <c r="A676" t="inlineStr">
        <is>
          <t>A 26892-2025</t>
        </is>
      </c>
      <c r="B676" s="1" t="n">
        <v>45811.3334837963</v>
      </c>
      <c r="C676" s="1" t="n">
        <v>46089</v>
      </c>
      <c r="D676" t="inlineStr">
        <is>
          <t>VÄRMLANDS LÄN</t>
        </is>
      </c>
      <c r="E676" t="inlineStr">
        <is>
          <t>TORSBY</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27094-2025</t>
        </is>
      </c>
      <c r="B677" s="1" t="n">
        <v>45811.6766087963</v>
      </c>
      <c r="C677" s="1" t="n">
        <v>46089</v>
      </c>
      <c r="D677" t="inlineStr">
        <is>
          <t>VÄRMLANDS LÄN</t>
        </is>
      </c>
      <c r="E677" t="inlineStr">
        <is>
          <t>TORSBY</t>
        </is>
      </c>
      <c r="F677" t="inlineStr">
        <is>
          <t>Bergvik skog väst AB</t>
        </is>
      </c>
      <c r="G677" t="n">
        <v>1.5</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46089</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50494-2024</t>
        </is>
      </c>
      <c r="B679" s="1" t="n">
        <v>45601.50818287037</v>
      </c>
      <c r="C679" s="1" t="n">
        <v>46089</v>
      </c>
      <c r="D679" t="inlineStr">
        <is>
          <t>VÄRMLANDS LÄN</t>
        </is>
      </c>
      <c r="E679" t="inlineStr">
        <is>
          <t>TORSBY</t>
        </is>
      </c>
      <c r="G679" t="n">
        <v>5.4</v>
      </c>
      <c r="H679" t="n">
        <v>0</v>
      </c>
      <c r="I679" t="n">
        <v>0</v>
      </c>
      <c r="J679" t="n">
        <v>0</v>
      </c>
      <c r="K679" t="n">
        <v>0</v>
      </c>
      <c r="L679" t="n">
        <v>0</v>
      </c>
      <c r="M679" t="n">
        <v>0</v>
      </c>
      <c r="N679" t="n">
        <v>0</v>
      </c>
      <c r="O679" t="n">
        <v>0</v>
      </c>
      <c r="P679" t="n">
        <v>0</v>
      </c>
      <c r="Q679" t="n">
        <v>0</v>
      </c>
      <c r="R679" s="2" t="inlineStr"/>
    </row>
    <row r="680" ht="15" customHeight="1">
      <c r="A680" t="inlineStr">
        <is>
          <t>A 41124-2025</t>
        </is>
      </c>
      <c r="B680" s="1" t="n">
        <v>45898.47166666666</v>
      </c>
      <c r="C680" s="1" t="n">
        <v>46089</v>
      </c>
      <c r="D680" t="inlineStr">
        <is>
          <t>VÄRMLANDS LÄN</t>
        </is>
      </c>
      <c r="E680" t="inlineStr">
        <is>
          <t>TORSBY</t>
        </is>
      </c>
      <c r="F680" t="inlineStr">
        <is>
          <t>Bergvik skog väst AB</t>
        </is>
      </c>
      <c r="G680" t="n">
        <v>8.9</v>
      </c>
      <c r="H680" t="n">
        <v>0</v>
      </c>
      <c r="I680" t="n">
        <v>0</v>
      </c>
      <c r="J680" t="n">
        <v>0</v>
      </c>
      <c r="K680" t="n">
        <v>0</v>
      </c>
      <c r="L680" t="n">
        <v>0</v>
      </c>
      <c r="M680" t="n">
        <v>0</v>
      </c>
      <c r="N680" t="n">
        <v>0</v>
      </c>
      <c r="O680" t="n">
        <v>0</v>
      </c>
      <c r="P680" t="n">
        <v>0</v>
      </c>
      <c r="Q680" t="n">
        <v>0</v>
      </c>
      <c r="R680" s="2" t="inlineStr"/>
    </row>
    <row r="681" ht="15" customHeight="1">
      <c r="A681" t="inlineStr">
        <is>
          <t>A 26822-2025</t>
        </is>
      </c>
      <c r="B681" s="1" t="n">
        <v>45810</v>
      </c>
      <c r="C681" s="1" t="n">
        <v>46089</v>
      </c>
      <c r="D681" t="inlineStr">
        <is>
          <t>VÄRMLANDS LÄN</t>
        </is>
      </c>
      <c r="E681" t="inlineStr">
        <is>
          <t>TORSBY</t>
        </is>
      </c>
      <c r="G681" t="n">
        <v>13.7</v>
      </c>
      <c r="H681" t="n">
        <v>0</v>
      </c>
      <c r="I681" t="n">
        <v>0</v>
      </c>
      <c r="J681" t="n">
        <v>0</v>
      </c>
      <c r="K681" t="n">
        <v>0</v>
      </c>
      <c r="L681" t="n">
        <v>0</v>
      </c>
      <c r="M681" t="n">
        <v>0</v>
      </c>
      <c r="N681" t="n">
        <v>0</v>
      </c>
      <c r="O681" t="n">
        <v>0</v>
      </c>
      <c r="P681" t="n">
        <v>0</v>
      </c>
      <c r="Q681" t="n">
        <v>0</v>
      </c>
      <c r="R681" s="2" t="inlineStr"/>
    </row>
    <row r="682" ht="15" customHeight="1">
      <c r="A682" t="inlineStr">
        <is>
          <t>A 8165-2026</t>
        </is>
      </c>
      <c r="B682" s="1" t="n">
        <v>46064.38872685185</v>
      </c>
      <c r="C682" s="1" t="n">
        <v>46089</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41209-2025</t>
        </is>
      </c>
      <c r="B683" s="1" t="n">
        <v>45898</v>
      </c>
      <c r="C683" s="1" t="n">
        <v>46089</v>
      </c>
      <c r="D683" t="inlineStr">
        <is>
          <t>VÄRMLANDS LÄN</t>
        </is>
      </c>
      <c r="E683" t="inlineStr">
        <is>
          <t>TORSBY</t>
        </is>
      </c>
      <c r="F683" t="inlineStr">
        <is>
          <t>Övriga Aktiebolag</t>
        </is>
      </c>
      <c r="G683" t="n">
        <v>2.5</v>
      </c>
      <c r="H683" t="n">
        <v>0</v>
      </c>
      <c r="I683" t="n">
        <v>0</v>
      </c>
      <c r="J683" t="n">
        <v>0</v>
      </c>
      <c r="K683" t="n">
        <v>0</v>
      </c>
      <c r="L683" t="n">
        <v>0</v>
      </c>
      <c r="M683" t="n">
        <v>0</v>
      </c>
      <c r="N683" t="n">
        <v>0</v>
      </c>
      <c r="O683" t="n">
        <v>0</v>
      </c>
      <c r="P683" t="n">
        <v>0</v>
      </c>
      <c r="Q683" t="n">
        <v>0</v>
      </c>
      <c r="R683" s="2" t="inlineStr"/>
    </row>
    <row r="684" ht="15" customHeight="1">
      <c r="A684" t="inlineStr">
        <is>
          <t>A 26890-2025</t>
        </is>
      </c>
      <c r="B684" s="1" t="n">
        <v>45811</v>
      </c>
      <c r="C684" s="1" t="n">
        <v>46089</v>
      </c>
      <c r="D684" t="inlineStr">
        <is>
          <t>VÄRMLANDS LÄN</t>
        </is>
      </c>
      <c r="E684" t="inlineStr">
        <is>
          <t>TORSBY</t>
        </is>
      </c>
      <c r="F684" t="inlineStr">
        <is>
          <t>Bergvik skog väst AB</t>
        </is>
      </c>
      <c r="G684" t="n">
        <v>6.7</v>
      </c>
      <c r="H684" t="n">
        <v>0</v>
      </c>
      <c r="I684" t="n">
        <v>0</v>
      </c>
      <c r="J684" t="n">
        <v>0</v>
      </c>
      <c r="K684" t="n">
        <v>0</v>
      </c>
      <c r="L684" t="n">
        <v>0</v>
      </c>
      <c r="M684" t="n">
        <v>0</v>
      </c>
      <c r="N684" t="n">
        <v>0</v>
      </c>
      <c r="O684" t="n">
        <v>0</v>
      </c>
      <c r="P684" t="n">
        <v>0</v>
      </c>
      <c r="Q684" t="n">
        <v>0</v>
      </c>
      <c r="R684" s="2" t="inlineStr"/>
    </row>
    <row r="685" ht="15" customHeight="1">
      <c r="A685" t="inlineStr">
        <is>
          <t>A 15175-2024</t>
        </is>
      </c>
      <c r="B685" s="1" t="n">
        <v>45400</v>
      </c>
      <c r="C685" s="1" t="n">
        <v>46089</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25956-2025</t>
        </is>
      </c>
      <c r="B686" s="1" t="n">
        <v>45804</v>
      </c>
      <c r="C686" s="1" t="n">
        <v>46089</v>
      </c>
      <c r="D686" t="inlineStr">
        <is>
          <t>VÄRMLANDS LÄN</t>
        </is>
      </c>
      <c r="E686" t="inlineStr">
        <is>
          <t>TORSBY</t>
        </is>
      </c>
      <c r="G686" t="n">
        <v>3.6</v>
      </c>
      <c r="H686" t="n">
        <v>0</v>
      </c>
      <c r="I686" t="n">
        <v>0</v>
      </c>
      <c r="J686" t="n">
        <v>0</v>
      </c>
      <c r="K686" t="n">
        <v>0</v>
      </c>
      <c r="L686" t="n">
        <v>0</v>
      </c>
      <c r="M686" t="n">
        <v>0</v>
      </c>
      <c r="N686" t="n">
        <v>0</v>
      </c>
      <c r="O686" t="n">
        <v>0</v>
      </c>
      <c r="P686" t="n">
        <v>0</v>
      </c>
      <c r="Q686" t="n">
        <v>0</v>
      </c>
      <c r="R686" s="2" t="inlineStr"/>
    </row>
    <row r="687" ht="15" customHeight="1">
      <c r="A687" t="inlineStr">
        <is>
          <t>A 38252-2023</t>
        </is>
      </c>
      <c r="B687" s="1" t="n">
        <v>45161</v>
      </c>
      <c r="C687" s="1" t="n">
        <v>46089</v>
      </c>
      <c r="D687" t="inlineStr">
        <is>
          <t>VÄRMLANDS LÄN</t>
        </is>
      </c>
      <c r="E687" t="inlineStr">
        <is>
          <t>TORSBY</t>
        </is>
      </c>
      <c r="G687" t="n">
        <v>9.6</v>
      </c>
      <c r="H687" t="n">
        <v>0</v>
      </c>
      <c r="I687" t="n">
        <v>0</v>
      </c>
      <c r="J687" t="n">
        <v>0</v>
      </c>
      <c r="K687" t="n">
        <v>0</v>
      </c>
      <c r="L687" t="n">
        <v>0</v>
      </c>
      <c r="M687" t="n">
        <v>0</v>
      </c>
      <c r="N687" t="n">
        <v>0</v>
      </c>
      <c r="O687" t="n">
        <v>0</v>
      </c>
      <c r="P687" t="n">
        <v>0</v>
      </c>
      <c r="Q687" t="n">
        <v>0</v>
      </c>
      <c r="R687" s="2" t="inlineStr"/>
    </row>
    <row r="688" ht="15" customHeight="1">
      <c r="A688" t="inlineStr">
        <is>
          <t>A 55092-2022</t>
        </is>
      </c>
      <c r="B688" s="1" t="n">
        <v>44886.61493055556</v>
      </c>
      <c r="C688" s="1" t="n">
        <v>46089</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41478-2025</t>
        </is>
      </c>
      <c r="B689" s="1" t="n">
        <v>45901</v>
      </c>
      <c r="C689" s="1" t="n">
        <v>46089</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41293-2025</t>
        </is>
      </c>
      <c r="B690" s="1" t="n">
        <v>45898</v>
      </c>
      <c r="C690" s="1" t="n">
        <v>46089</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1527-2024</t>
        </is>
      </c>
      <c r="B691" s="1" t="n">
        <v>45306.45614583333</v>
      </c>
      <c r="C691" s="1" t="n">
        <v>46089</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26607-2025</t>
        </is>
      </c>
      <c r="B692" s="1" t="n">
        <v>45809.92239583333</v>
      </c>
      <c r="C692" s="1" t="n">
        <v>46089</v>
      </c>
      <c r="D692" t="inlineStr">
        <is>
          <t>VÄRMLANDS LÄN</t>
        </is>
      </c>
      <c r="E692" t="inlineStr">
        <is>
          <t>TORSBY</t>
        </is>
      </c>
      <c r="G692" t="n">
        <v>7.5</v>
      </c>
      <c r="H692" t="n">
        <v>0</v>
      </c>
      <c r="I692" t="n">
        <v>0</v>
      </c>
      <c r="J692" t="n">
        <v>0</v>
      </c>
      <c r="K692" t="n">
        <v>0</v>
      </c>
      <c r="L692" t="n">
        <v>0</v>
      </c>
      <c r="M692" t="n">
        <v>0</v>
      </c>
      <c r="N692" t="n">
        <v>0</v>
      </c>
      <c r="O692" t="n">
        <v>0</v>
      </c>
      <c r="P692" t="n">
        <v>0</v>
      </c>
      <c r="Q692" t="n">
        <v>0</v>
      </c>
      <c r="R692" s="2" t="inlineStr"/>
    </row>
    <row r="693" ht="15" customHeight="1">
      <c r="A693" t="inlineStr">
        <is>
          <t>A 41189-2025</t>
        </is>
      </c>
      <c r="B693" s="1" t="n">
        <v>45898</v>
      </c>
      <c r="C693" s="1" t="n">
        <v>46089</v>
      </c>
      <c r="D693" t="inlineStr">
        <is>
          <t>VÄRMLANDS LÄN</t>
        </is>
      </c>
      <c r="E693" t="inlineStr">
        <is>
          <t>TORSBY</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41194-2025</t>
        </is>
      </c>
      <c r="B694" s="1" t="n">
        <v>45898.57028935185</v>
      </c>
      <c r="C694" s="1" t="n">
        <v>46089</v>
      </c>
      <c r="D694" t="inlineStr">
        <is>
          <t>VÄRMLANDS LÄN</t>
        </is>
      </c>
      <c r="E694" t="inlineStr">
        <is>
          <t>TORSBY</t>
        </is>
      </c>
      <c r="F694" t="inlineStr">
        <is>
          <t>Bergvik skog väst AB</t>
        </is>
      </c>
      <c r="G694" t="n">
        <v>5.6</v>
      </c>
      <c r="H694" t="n">
        <v>0</v>
      </c>
      <c r="I694" t="n">
        <v>0</v>
      </c>
      <c r="J694" t="n">
        <v>0</v>
      </c>
      <c r="K694" t="n">
        <v>0</v>
      </c>
      <c r="L694" t="n">
        <v>0</v>
      </c>
      <c r="M694" t="n">
        <v>0</v>
      </c>
      <c r="N694" t="n">
        <v>0</v>
      </c>
      <c r="O694" t="n">
        <v>0</v>
      </c>
      <c r="P694" t="n">
        <v>0</v>
      </c>
      <c r="Q694" t="n">
        <v>0</v>
      </c>
      <c r="R694" s="2" t="inlineStr"/>
    </row>
    <row r="695" ht="15" customHeight="1">
      <c r="A695" t="inlineStr">
        <is>
          <t>A 46166-2024</t>
        </is>
      </c>
      <c r="B695" s="1" t="n">
        <v>45581</v>
      </c>
      <c r="C695" s="1" t="n">
        <v>46089</v>
      </c>
      <c r="D695" t="inlineStr">
        <is>
          <t>VÄRMLANDS LÄN</t>
        </is>
      </c>
      <c r="E695" t="inlineStr">
        <is>
          <t>TORSBY</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24111-2025</t>
        </is>
      </c>
      <c r="B696" s="1" t="n">
        <v>45796.60822916667</v>
      </c>
      <c r="C696" s="1" t="n">
        <v>46089</v>
      </c>
      <c r="D696" t="inlineStr">
        <is>
          <t>VÄRMLANDS LÄN</t>
        </is>
      </c>
      <c r="E696" t="inlineStr">
        <is>
          <t>TORSBY</t>
        </is>
      </c>
      <c r="G696" t="n">
        <v>2.1</v>
      </c>
      <c r="H696" t="n">
        <v>0</v>
      </c>
      <c r="I696" t="n">
        <v>0</v>
      </c>
      <c r="J696" t="n">
        <v>0</v>
      </c>
      <c r="K696" t="n">
        <v>0</v>
      </c>
      <c r="L696" t="n">
        <v>0</v>
      </c>
      <c r="M696" t="n">
        <v>0</v>
      </c>
      <c r="N696" t="n">
        <v>0</v>
      </c>
      <c r="O696" t="n">
        <v>0</v>
      </c>
      <c r="P696" t="n">
        <v>0</v>
      </c>
      <c r="Q696" t="n">
        <v>0</v>
      </c>
      <c r="R696" s="2" t="inlineStr"/>
    </row>
    <row r="697" ht="15" customHeight="1">
      <c r="A697" t="inlineStr">
        <is>
          <t>A 26960-2025</t>
        </is>
      </c>
      <c r="B697" s="1" t="n">
        <v>45811.46167824074</v>
      </c>
      <c r="C697" s="1" t="n">
        <v>46089</v>
      </c>
      <c r="D697" t="inlineStr">
        <is>
          <t>VÄRMLANDS LÄN</t>
        </is>
      </c>
      <c r="E697" t="inlineStr">
        <is>
          <t>TORSBY</t>
        </is>
      </c>
      <c r="F697" t="inlineStr">
        <is>
          <t>Kyrkan</t>
        </is>
      </c>
      <c r="G697" t="n">
        <v>5.8</v>
      </c>
      <c r="H697" t="n">
        <v>0</v>
      </c>
      <c r="I697" t="n">
        <v>0</v>
      </c>
      <c r="J697" t="n">
        <v>0</v>
      </c>
      <c r="K697" t="n">
        <v>0</v>
      </c>
      <c r="L697" t="n">
        <v>0</v>
      </c>
      <c r="M697" t="n">
        <v>0</v>
      </c>
      <c r="N697" t="n">
        <v>0</v>
      </c>
      <c r="O697" t="n">
        <v>0</v>
      </c>
      <c r="P697" t="n">
        <v>0</v>
      </c>
      <c r="Q697" t="n">
        <v>0</v>
      </c>
      <c r="R697" s="2" t="inlineStr"/>
    </row>
    <row r="698" ht="15" customHeight="1">
      <c r="A698" t="inlineStr">
        <is>
          <t>A 35762-2024</t>
        </is>
      </c>
      <c r="B698" s="1" t="n">
        <v>45532.57373842593</v>
      </c>
      <c r="C698" s="1" t="n">
        <v>46089</v>
      </c>
      <c r="D698" t="inlineStr">
        <is>
          <t>VÄRMLANDS LÄN</t>
        </is>
      </c>
      <c r="E698" t="inlineStr">
        <is>
          <t>TORSBY</t>
        </is>
      </c>
      <c r="G698" t="n">
        <v>11.8</v>
      </c>
      <c r="H698" t="n">
        <v>0</v>
      </c>
      <c r="I698" t="n">
        <v>0</v>
      </c>
      <c r="J698" t="n">
        <v>0</v>
      </c>
      <c r="K698" t="n">
        <v>0</v>
      </c>
      <c r="L698" t="n">
        <v>0</v>
      </c>
      <c r="M698" t="n">
        <v>0</v>
      </c>
      <c r="N698" t="n">
        <v>0</v>
      </c>
      <c r="O698" t="n">
        <v>0</v>
      </c>
      <c r="P698" t="n">
        <v>0</v>
      </c>
      <c r="Q698" t="n">
        <v>0</v>
      </c>
      <c r="R698" s="2" t="inlineStr"/>
    </row>
    <row r="699" ht="15" customHeight="1">
      <c r="A699" t="inlineStr">
        <is>
          <t>A 28329-2024</t>
        </is>
      </c>
      <c r="B699" s="1" t="n">
        <v>45477</v>
      </c>
      <c r="C699" s="1" t="n">
        <v>46089</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27093-2025</t>
        </is>
      </c>
      <c r="B700" s="1" t="n">
        <v>45811.67347222222</v>
      </c>
      <c r="C700" s="1" t="n">
        <v>46089</v>
      </c>
      <c r="D700" t="inlineStr">
        <is>
          <t>VÄRMLANDS LÄN</t>
        </is>
      </c>
      <c r="E700" t="inlineStr">
        <is>
          <t>TORSBY</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24576-2025</t>
        </is>
      </c>
      <c r="B701" s="1" t="n">
        <v>45798</v>
      </c>
      <c r="C701" s="1" t="n">
        <v>46089</v>
      </c>
      <c r="D701" t="inlineStr">
        <is>
          <t>VÄRMLANDS LÄN</t>
        </is>
      </c>
      <c r="E701" t="inlineStr">
        <is>
          <t>TORSBY</t>
        </is>
      </c>
      <c r="G701" t="n">
        <v>2.4</v>
      </c>
      <c r="H701" t="n">
        <v>0</v>
      </c>
      <c r="I701" t="n">
        <v>0</v>
      </c>
      <c r="J701" t="n">
        <v>0</v>
      </c>
      <c r="K701" t="n">
        <v>0</v>
      </c>
      <c r="L701" t="n">
        <v>0</v>
      </c>
      <c r="M701" t="n">
        <v>0</v>
      </c>
      <c r="N701" t="n">
        <v>0</v>
      </c>
      <c r="O701" t="n">
        <v>0</v>
      </c>
      <c r="P701" t="n">
        <v>0</v>
      </c>
      <c r="Q701" t="n">
        <v>0</v>
      </c>
      <c r="R701" s="2" t="inlineStr"/>
    </row>
    <row r="702" ht="15" customHeight="1">
      <c r="A702" t="inlineStr">
        <is>
          <t>A 26897-2025</t>
        </is>
      </c>
      <c r="B702" s="1" t="n">
        <v>45811.34108796297</v>
      </c>
      <c r="C702" s="1" t="n">
        <v>46089</v>
      </c>
      <c r="D702" t="inlineStr">
        <is>
          <t>VÄRMLANDS LÄN</t>
        </is>
      </c>
      <c r="E702" t="inlineStr">
        <is>
          <t>TORSBY</t>
        </is>
      </c>
      <c r="G702" t="n">
        <v>4.7</v>
      </c>
      <c r="H702" t="n">
        <v>0</v>
      </c>
      <c r="I702" t="n">
        <v>0</v>
      </c>
      <c r="J702" t="n">
        <v>0</v>
      </c>
      <c r="K702" t="n">
        <v>0</v>
      </c>
      <c r="L702" t="n">
        <v>0</v>
      </c>
      <c r="M702" t="n">
        <v>0</v>
      </c>
      <c r="N702" t="n">
        <v>0</v>
      </c>
      <c r="O702" t="n">
        <v>0</v>
      </c>
      <c r="P702" t="n">
        <v>0</v>
      </c>
      <c r="Q702" t="n">
        <v>0</v>
      </c>
      <c r="R702" s="2" t="inlineStr"/>
    </row>
    <row r="703" ht="15" customHeight="1">
      <c r="A703" t="inlineStr">
        <is>
          <t>A 34353-2025</t>
        </is>
      </c>
      <c r="B703" s="1" t="n">
        <v>45846.4775</v>
      </c>
      <c r="C703" s="1" t="n">
        <v>46089</v>
      </c>
      <c r="D703" t="inlineStr">
        <is>
          <t>VÄRMLANDS LÄN</t>
        </is>
      </c>
      <c r="E703" t="inlineStr">
        <is>
          <t>TORSBY</t>
        </is>
      </c>
      <c r="G703" t="n">
        <v>14.5</v>
      </c>
      <c r="H703" t="n">
        <v>0</v>
      </c>
      <c r="I703" t="n">
        <v>0</v>
      </c>
      <c r="J703" t="n">
        <v>0</v>
      </c>
      <c r="K703" t="n">
        <v>0</v>
      </c>
      <c r="L703" t="n">
        <v>0</v>
      </c>
      <c r="M703" t="n">
        <v>0</v>
      </c>
      <c r="N703" t="n">
        <v>0</v>
      </c>
      <c r="O703" t="n">
        <v>0</v>
      </c>
      <c r="P703" t="n">
        <v>0</v>
      </c>
      <c r="Q703" t="n">
        <v>0</v>
      </c>
      <c r="R703" s="2" t="inlineStr"/>
    </row>
    <row r="704" ht="15" customHeight="1">
      <c r="A704" t="inlineStr">
        <is>
          <t>A 41376-2025</t>
        </is>
      </c>
      <c r="B704" s="1" t="n">
        <v>45900.84105324074</v>
      </c>
      <c r="C704" s="1" t="n">
        <v>46089</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26876-2024</t>
        </is>
      </c>
      <c r="B705" s="1" t="n">
        <v>45470.62181712963</v>
      </c>
      <c r="C705" s="1" t="n">
        <v>46089</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41471-2025</t>
        </is>
      </c>
      <c r="B706" s="1" t="n">
        <v>45901.46770833333</v>
      </c>
      <c r="C706" s="1" t="n">
        <v>46089</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22635-2022</t>
        </is>
      </c>
      <c r="B707" s="1" t="n">
        <v>44714</v>
      </c>
      <c r="C707" s="1" t="n">
        <v>46089</v>
      </c>
      <c r="D707" t="inlineStr">
        <is>
          <t>VÄRMLANDS LÄN</t>
        </is>
      </c>
      <c r="E707" t="inlineStr">
        <is>
          <t>TORSBY</t>
        </is>
      </c>
      <c r="G707" t="n">
        <v>0.4</v>
      </c>
      <c r="H707" t="n">
        <v>0</v>
      </c>
      <c r="I707" t="n">
        <v>0</v>
      </c>
      <c r="J707" t="n">
        <v>0</v>
      </c>
      <c r="K707" t="n">
        <v>0</v>
      </c>
      <c r="L707" t="n">
        <v>0</v>
      </c>
      <c r="M707" t="n">
        <v>0</v>
      </c>
      <c r="N707" t="n">
        <v>0</v>
      </c>
      <c r="O707" t="n">
        <v>0</v>
      </c>
      <c r="P707" t="n">
        <v>0</v>
      </c>
      <c r="Q707" t="n">
        <v>0</v>
      </c>
      <c r="R707" s="2" t="inlineStr"/>
    </row>
    <row r="708" ht="15" customHeight="1">
      <c r="A708" t="inlineStr">
        <is>
          <t>A 24087-2024</t>
        </is>
      </c>
      <c r="B708" s="1" t="n">
        <v>45456</v>
      </c>
      <c r="C708" s="1" t="n">
        <v>46089</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30002-2024</t>
        </is>
      </c>
      <c r="B709" s="1" t="n">
        <v>45488</v>
      </c>
      <c r="C709" s="1" t="n">
        <v>46089</v>
      </c>
      <c r="D709" t="inlineStr">
        <is>
          <t>VÄRMLANDS LÄN</t>
        </is>
      </c>
      <c r="E709" t="inlineStr">
        <is>
          <t>TORSBY</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41711-2025</t>
        </is>
      </c>
      <c r="B710" s="1" t="n">
        <v>45902.43106481482</v>
      </c>
      <c r="C710" s="1" t="n">
        <v>46089</v>
      </c>
      <c r="D710" t="inlineStr">
        <is>
          <t>VÄRMLANDS LÄN</t>
        </is>
      </c>
      <c r="E710" t="inlineStr">
        <is>
          <t>TORSBY</t>
        </is>
      </c>
      <c r="G710" t="n">
        <v>11.1</v>
      </c>
      <c r="H710" t="n">
        <v>0</v>
      </c>
      <c r="I710" t="n">
        <v>0</v>
      </c>
      <c r="J710" t="n">
        <v>0</v>
      </c>
      <c r="K710" t="n">
        <v>0</v>
      </c>
      <c r="L710" t="n">
        <v>0</v>
      </c>
      <c r="M710" t="n">
        <v>0</v>
      </c>
      <c r="N710" t="n">
        <v>0</v>
      </c>
      <c r="O710" t="n">
        <v>0</v>
      </c>
      <c r="P710" t="n">
        <v>0</v>
      </c>
      <c r="Q710" t="n">
        <v>0</v>
      </c>
      <c r="R710" s="2" t="inlineStr"/>
    </row>
    <row r="711" ht="15" customHeight="1">
      <c r="A711" t="inlineStr">
        <is>
          <t>A 27149-2025</t>
        </is>
      </c>
      <c r="B711" s="1" t="n">
        <v>45812.31924768518</v>
      </c>
      <c r="C711" s="1" t="n">
        <v>46089</v>
      </c>
      <c r="D711" t="inlineStr">
        <is>
          <t>VÄRMLANDS LÄN</t>
        </is>
      </c>
      <c r="E711" t="inlineStr">
        <is>
          <t>TORSBY</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41895-2025</t>
        </is>
      </c>
      <c r="B712" s="1" t="n">
        <v>45903.38645833333</v>
      </c>
      <c r="C712" s="1" t="n">
        <v>46089</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41958-2025</t>
        </is>
      </c>
      <c r="B713" s="1" t="n">
        <v>45903.46856481482</v>
      </c>
      <c r="C713" s="1" t="n">
        <v>46089</v>
      </c>
      <c r="D713" t="inlineStr">
        <is>
          <t>VÄRMLANDS LÄN</t>
        </is>
      </c>
      <c r="E713" t="inlineStr">
        <is>
          <t>TORSBY</t>
        </is>
      </c>
      <c r="F713" t="inlineStr">
        <is>
          <t>Bergvik skog väst AB</t>
        </is>
      </c>
      <c r="G713" t="n">
        <v>15.8</v>
      </c>
      <c r="H713" t="n">
        <v>0</v>
      </c>
      <c r="I713" t="n">
        <v>0</v>
      </c>
      <c r="J713" t="n">
        <v>0</v>
      </c>
      <c r="K713" t="n">
        <v>0</v>
      </c>
      <c r="L713" t="n">
        <v>0</v>
      </c>
      <c r="M713" t="n">
        <v>0</v>
      </c>
      <c r="N713" t="n">
        <v>0</v>
      </c>
      <c r="O713" t="n">
        <v>0</v>
      </c>
      <c r="P713" t="n">
        <v>0</v>
      </c>
      <c r="Q713" t="n">
        <v>0</v>
      </c>
      <c r="R713" s="2" t="inlineStr"/>
    </row>
    <row r="714" ht="15" customHeight="1">
      <c r="A714" t="inlineStr">
        <is>
          <t>A 27667-2025</t>
        </is>
      </c>
      <c r="B714" s="1" t="n">
        <v>45813.62092592593</v>
      </c>
      <c r="C714" s="1" t="n">
        <v>46089</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27674-2025</t>
        </is>
      </c>
      <c r="B715" s="1" t="n">
        <v>45813.62936342593</v>
      </c>
      <c r="C715" s="1" t="n">
        <v>46089</v>
      </c>
      <c r="D715" t="inlineStr">
        <is>
          <t>VÄRMLANDS LÄN</t>
        </is>
      </c>
      <c r="E715" t="inlineStr">
        <is>
          <t>TORSBY</t>
        </is>
      </c>
      <c r="G715" t="n">
        <v>3.7</v>
      </c>
      <c r="H715" t="n">
        <v>0</v>
      </c>
      <c r="I715" t="n">
        <v>0</v>
      </c>
      <c r="J715" t="n">
        <v>0</v>
      </c>
      <c r="K715" t="n">
        <v>0</v>
      </c>
      <c r="L715" t="n">
        <v>0</v>
      </c>
      <c r="M715" t="n">
        <v>0</v>
      </c>
      <c r="N715" t="n">
        <v>0</v>
      </c>
      <c r="O715" t="n">
        <v>0</v>
      </c>
      <c r="P715" t="n">
        <v>0</v>
      </c>
      <c r="Q715" t="n">
        <v>0</v>
      </c>
      <c r="R715" s="2" t="inlineStr"/>
    </row>
    <row r="716" ht="15" customHeight="1">
      <c r="A716" t="inlineStr">
        <is>
          <t>A 42108-2025</t>
        </is>
      </c>
      <c r="B716" s="1" t="n">
        <v>45903</v>
      </c>
      <c r="C716" s="1" t="n">
        <v>46089</v>
      </c>
      <c r="D716" t="inlineStr">
        <is>
          <t>VÄRMLANDS LÄN</t>
        </is>
      </c>
      <c r="E716" t="inlineStr">
        <is>
          <t>TORSBY</t>
        </is>
      </c>
      <c r="F716" t="inlineStr">
        <is>
          <t>Bergvik skog väst AB</t>
        </is>
      </c>
      <c r="G716" t="n">
        <v>13.5</v>
      </c>
      <c r="H716" t="n">
        <v>0</v>
      </c>
      <c r="I716" t="n">
        <v>0</v>
      </c>
      <c r="J716" t="n">
        <v>0</v>
      </c>
      <c r="K716" t="n">
        <v>0</v>
      </c>
      <c r="L716" t="n">
        <v>0</v>
      </c>
      <c r="M716" t="n">
        <v>0</v>
      </c>
      <c r="N716" t="n">
        <v>0</v>
      </c>
      <c r="O716" t="n">
        <v>0</v>
      </c>
      <c r="P716" t="n">
        <v>0</v>
      </c>
      <c r="Q716" t="n">
        <v>0</v>
      </c>
      <c r="R716" s="2" t="inlineStr"/>
    </row>
    <row r="717" ht="15" customHeight="1">
      <c r="A717" t="inlineStr">
        <is>
          <t>A 24896-2023</t>
        </is>
      </c>
      <c r="B717" s="1" t="n">
        <v>45085</v>
      </c>
      <c r="C717" s="1" t="n">
        <v>46089</v>
      </c>
      <c r="D717" t="inlineStr">
        <is>
          <t>VÄRMLANDS LÄN</t>
        </is>
      </c>
      <c r="E717" t="inlineStr">
        <is>
          <t>TORSBY</t>
        </is>
      </c>
      <c r="F717" t="inlineStr">
        <is>
          <t>Bergvik skog väst AB</t>
        </is>
      </c>
      <c r="G717" t="n">
        <v>4.7</v>
      </c>
      <c r="H717" t="n">
        <v>0</v>
      </c>
      <c r="I717" t="n">
        <v>0</v>
      </c>
      <c r="J717" t="n">
        <v>0</v>
      </c>
      <c r="K717" t="n">
        <v>0</v>
      </c>
      <c r="L717" t="n">
        <v>0</v>
      </c>
      <c r="M717" t="n">
        <v>0</v>
      </c>
      <c r="N717" t="n">
        <v>0</v>
      </c>
      <c r="O717" t="n">
        <v>0</v>
      </c>
      <c r="P717" t="n">
        <v>0</v>
      </c>
      <c r="Q717" t="n">
        <v>0</v>
      </c>
      <c r="R717" s="2" t="inlineStr"/>
    </row>
    <row r="718" ht="15" customHeight="1">
      <c r="A718" t="inlineStr">
        <is>
          <t>A 41744-2025</t>
        </is>
      </c>
      <c r="B718" s="1" t="n">
        <v>45902</v>
      </c>
      <c r="C718" s="1" t="n">
        <v>46089</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41627-2025</t>
        </is>
      </c>
      <c r="B719" s="1" t="n">
        <v>45901.79328703704</v>
      </c>
      <c r="C719" s="1" t="n">
        <v>46089</v>
      </c>
      <c r="D719" t="inlineStr">
        <is>
          <t>VÄRMLANDS LÄN</t>
        </is>
      </c>
      <c r="E719" t="inlineStr">
        <is>
          <t>TORSBY</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27467-2025</t>
        </is>
      </c>
      <c r="B720" s="1" t="n">
        <v>45813.35497685185</v>
      </c>
      <c r="C720" s="1" t="n">
        <v>46089</v>
      </c>
      <c r="D720" t="inlineStr">
        <is>
          <t>VÄRMLANDS LÄN</t>
        </is>
      </c>
      <c r="E720" t="inlineStr">
        <is>
          <t>TORSBY</t>
        </is>
      </c>
      <c r="F720" t="inlineStr">
        <is>
          <t>Bergvik skog väst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17687-2024</t>
        </is>
      </c>
      <c r="B721" s="1" t="n">
        <v>45418</v>
      </c>
      <c r="C721" s="1" t="n">
        <v>46089</v>
      </c>
      <c r="D721" t="inlineStr">
        <is>
          <t>VÄRMLANDS LÄN</t>
        </is>
      </c>
      <c r="E721" t="inlineStr">
        <is>
          <t>TORSBY</t>
        </is>
      </c>
      <c r="G721" t="n">
        <v>1.9</v>
      </c>
      <c r="H721" t="n">
        <v>0</v>
      </c>
      <c r="I721" t="n">
        <v>0</v>
      </c>
      <c r="J721" t="n">
        <v>0</v>
      </c>
      <c r="K721" t="n">
        <v>0</v>
      </c>
      <c r="L721" t="n">
        <v>0</v>
      </c>
      <c r="M721" t="n">
        <v>0</v>
      </c>
      <c r="N721" t="n">
        <v>0</v>
      </c>
      <c r="O721" t="n">
        <v>0</v>
      </c>
      <c r="P721" t="n">
        <v>0</v>
      </c>
      <c r="Q721" t="n">
        <v>0</v>
      </c>
      <c r="R721" s="2" t="inlineStr"/>
    </row>
    <row r="722" ht="15" customHeight="1">
      <c r="A722" t="inlineStr">
        <is>
          <t>A 41740-2025</t>
        </is>
      </c>
      <c r="B722" s="1" t="n">
        <v>45902</v>
      </c>
      <c r="C722" s="1" t="n">
        <v>46089</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41746-2025</t>
        </is>
      </c>
      <c r="B723" s="1" t="n">
        <v>45902.48660879629</v>
      </c>
      <c r="C723" s="1" t="n">
        <v>46089</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27450-2025</t>
        </is>
      </c>
      <c r="B724" s="1" t="n">
        <v>45813.33738425926</v>
      </c>
      <c r="C724" s="1" t="n">
        <v>46089</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16210-2025</t>
        </is>
      </c>
      <c r="B725" s="1" t="n">
        <v>45750</v>
      </c>
      <c r="C725" s="1" t="n">
        <v>46089</v>
      </c>
      <c r="D725" t="inlineStr">
        <is>
          <t>VÄRMLANDS LÄN</t>
        </is>
      </c>
      <c r="E725" t="inlineStr">
        <is>
          <t>TORSBY</t>
        </is>
      </c>
      <c r="F725" t="inlineStr">
        <is>
          <t>Bergvik skog väst AB</t>
        </is>
      </c>
      <c r="G725" t="n">
        <v>10.7</v>
      </c>
      <c r="H725" t="n">
        <v>0</v>
      </c>
      <c r="I725" t="n">
        <v>0</v>
      </c>
      <c r="J725" t="n">
        <v>0</v>
      </c>
      <c r="K725" t="n">
        <v>0</v>
      </c>
      <c r="L725" t="n">
        <v>0</v>
      </c>
      <c r="M725" t="n">
        <v>0</v>
      </c>
      <c r="N725" t="n">
        <v>0</v>
      </c>
      <c r="O725" t="n">
        <v>0</v>
      </c>
      <c r="P725" t="n">
        <v>0</v>
      </c>
      <c r="Q725" t="n">
        <v>0</v>
      </c>
      <c r="R725" s="2" t="inlineStr"/>
    </row>
    <row r="726" ht="15" customHeight="1">
      <c r="A726" t="inlineStr">
        <is>
          <t>A 27470-2025</t>
        </is>
      </c>
      <c r="B726" s="1" t="n">
        <v>45813.36284722222</v>
      </c>
      <c r="C726" s="1" t="n">
        <v>46089</v>
      </c>
      <c r="D726" t="inlineStr">
        <is>
          <t>VÄRMLANDS LÄN</t>
        </is>
      </c>
      <c r="E726" t="inlineStr">
        <is>
          <t>TORSBY</t>
        </is>
      </c>
      <c r="G726" t="n">
        <v>17.9</v>
      </c>
      <c r="H726" t="n">
        <v>0</v>
      </c>
      <c r="I726" t="n">
        <v>0</v>
      </c>
      <c r="J726" t="n">
        <v>0</v>
      </c>
      <c r="K726" t="n">
        <v>0</v>
      </c>
      <c r="L726" t="n">
        <v>0</v>
      </c>
      <c r="M726" t="n">
        <v>0</v>
      </c>
      <c r="N726" t="n">
        <v>0</v>
      </c>
      <c r="O726" t="n">
        <v>0</v>
      </c>
      <c r="P726" t="n">
        <v>0</v>
      </c>
      <c r="Q726" t="n">
        <v>0</v>
      </c>
      <c r="R726" s="2" t="inlineStr"/>
    </row>
    <row r="727" ht="15" customHeight="1">
      <c r="A727" t="inlineStr">
        <is>
          <t>A 3666-2023</t>
        </is>
      </c>
      <c r="B727" s="1" t="n">
        <v>44950</v>
      </c>
      <c r="C727" s="1" t="n">
        <v>46089</v>
      </c>
      <c r="D727" t="inlineStr">
        <is>
          <t>VÄRMLANDS LÄN</t>
        </is>
      </c>
      <c r="E727" t="inlineStr">
        <is>
          <t>TORSBY</t>
        </is>
      </c>
      <c r="G727" t="n">
        <v>6.8</v>
      </c>
      <c r="H727" t="n">
        <v>0</v>
      </c>
      <c r="I727" t="n">
        <v>0</v>
      </c>
      <c r="J727" t="n">
        <v>0</v>
      </c>
      <c r="K727" t="n">
        <v>0</v>
      </c>
      <c r="L727" t="n">
        <v>0</v>
      </c>
      <c r="M727" t="n">
        <v>0</v>
      </c>
      <c r="N727" t="n">
        <v>0</v>
      </c>
      <c r="O727" t="n">
        <v>0</v>
      </c>
      <c r="P727" t="n">
        <v>0</v>
      </c>
      <c r="Q727" t="n">
        <v>0</v>
      </c>
      <c r="R727" s="2" t="inlineStr"/>
    </row>
    <row r="728" ht="15" customHeight="1">
      <c r="A728" t="inlineStr">
        <is>
          <t>A 41634-2025</t>
        </is>
      </c>
      <c r="B728" s="1" t="n">
        <v>45902</v>
      </c>
      <c r="C728" s="1" t="n">
        <v>46089</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27291-2025</t>
        </is>
      </c>
      <c r="B729" s="1" t="n">
        <v>45812.55769675926</v>
      </c>
      <c r="C729" s="1" t="n">
        <v>46089</v>
      </c>
      <c r="D729" t="inlineStr">
        <is>
          <t>VÄRMLANDS LÄN</t>
        </is>
      </c>
      <c r="E729" t="inlineStr">
        <is>
          <t>TORSBY</t>
        </is>
      </c>
      <c r="G729" t="n">
        <v>8</v>
      </c>
      <c r="H729" t="n">
        <v>0</v>
      </c>
      <c r="I729" t="n">
        <v>0</v>
      </c>
      <c r="J729" t="n">
        <v>0</v>
      </c>
      <c r="K729" t="n">
        <v>0</v>
      </c>
      <c r="L729" t="n">
        <v>0</v>
      </c>
      <c r="M729" t="n">
        <v>0</v>
      </c>
      <c r="N729" t="n">
        <v>0</v>
      </c>
      <c r="O729" t="n">
        <v>0</v>
      </c>
      <c r="P729" t="n">
        <v>0</v>
      </c>
      <c r="Q729" t="n">
        <v>0</v>
      </c>
      <c r="R729" s="2" t="inlineStr"/>
    </row>
    <row r="730" ht="15" customHeight="1">
      <c r="A730" t="inlineStr">
        <is>
          <t>A 41975-2025</t>
        </is>
      </c>
      <c r="B730" s="1" t="n">
        <v>45903.49732638889</v>
      </c>
      <c r="C730" s="1" t="n">
        <v>46089</v>
      </c>
      <c r="D730" t="inlineStr">
        <is>
          <t>VÄRMLANDS LÄN</t>
        </is>
      </c>
      <c r="E730" t="inlineStr">
        <is>
          <t>TORSBY</t>
        </is>
      </c>
      <c r="F730" t="inlineStr">
        <is>
          <t>Bergvik skog väst AB</t>
        </is>
      </c>
      <c r="G730" t="n">
        <v>10.4</v>
      </c>
      <c r="H730" t="n">
        <v>0</v>
      </c>
      <c r="I730" t="n">
        <v>0</v>
      </c>
      <c r="J730" t="n">
        <v>0</v>
      </c>
      <c r="K730" t="n">
        <v>0</v>
      </c>
      <c r="L730" t="n">
        <v>0</v>
      </c>
      <c r="M730" t="n">
        <v>0</v>
      </c>
      <c r="N730" t="n">
        <v>0</v>
      </c>
      <c r="O730" t="n">
        <v>0</v>
      </c>
      <c r="P730" t="n">
        <v>0</v>
      </c>
      <c r="Q730" t="n">
        <v>0</v>
      </c>
      <c r="R730" s="2" t="inlineStr"/>
    </row>
    <row r="731" ht="15" customHeight="1">
      <c r="A731" t="inlineStr">
        <is>
          <t>A 5289-2022</t>
        </is>
      </c>
      <c r="B731" s="1" t="n">
        <v>44594.61883101852</v>
      </c>
      <c r="C731" s="1" t="n">
        <v>46089</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7127-2023</t>
        </is>
      </c>
      <c r="B732" s="1" t="n">
        <v>44970.41383101852</v>
      </c>
      <c r="C732" s="1" t="n">
        <v>46089</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42354-2025</t>
        </is>
      </c>
      <c r="B733" s="1" t="n">
        <v>45904</v>
      </c>
      <c r="C733" s="1" t="n">
        <v>46089</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42563-2025</t>
        </is>
      </c>
      <c r="B734" s="1" t="n">
        <v>45905.60097222222</v>
      </c>
      <c r="C734" s="1" t="n">
        <v>46089</v>
      </c>
      <c r="D734" t="inlineStr">
        <is>
          <t>VÄRMLANDS LÄN</t>
        </is>
      </c>
      <c r="E734" t="inlineStr">
        <is>
          <t>TORSBY</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42308-2025</t>
        </is>
      </c>
      <c r="B735" s="1" t="n">
        <v>45904</v>
      </c>
      <c r="C735" s="1" t="n">
        <v>46089</v>
      </c>
      <c r="D735" t="inlineStr">
        <is>
          <t>VÄRMLANDS LÄN</t>
        </is>
      </c>
      <c r="E735" t="inlineStr">
        <is>
          <t>TORSBY</t>
        </is>
      </c>
      <c r="G735" t="n">
        <v>4.4</v>
      </c>
      <c r="H735" t="n">
        <v>0</v>
      </c>
      <c r="I735" t="n">
        <v>0</v>
      </c>
      <c r="J735" t="n">
        <v>0</v>
      </c>
      <c r="K735" t="n">
        <v>0</v>
      </c>
      <c r="L735" t="n">
        <v>0</v>
      </c>
      <c r="M735" t="n">
        <v>0</v>
      </c>
      <c r="N735" t="n">
        <v>0</v>
      </c>
      <c r="O735" t="n">
        <v>0</v>
      </c>
      <c r="P735" t="n">
        <v>0</v>
      </c>
      <c r="Q735" t="n">
        <v>0</v>
      </c>
      <c r="R735" s="2" t="inlineStr"/>
    </row>
    <row r="736" ht="15" customHeight="1">
      <c r="A736" t="inlineStr">
        <is>
          <t>A 42149-2025</t>
        </is>
      </c>
      <c r="B736" s="1" t="n">
        <v>45904.38109953704</v>
      </c>
      <c r="C736" s="1" t="n">
        <v>46089</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48629-2024</t>
        </is>
      </c>
      <c r="B737" s="1" t="n">
        <v>45593.46605324074</v>
      </c>
      <c r="C737" s="1" t="n">
        <v>46089</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53492-2022</t>
        </is>
      </c>
      <c r="B738" s="1" t="n">
        <v>44879.56734953704</v>
      </c>
      <c r="C738" s="1" t="n">
        <v>46089</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46089</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46089</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27174-2025</t>
        </is>
      </c>
      <c r="B741" s="1" t="n">
        <v>45812.34997685185</v>
      </c>
      <c r="C741" s="1" t="n">
        <v>46089</v>
      </c>
      <c r="D741" t="inlineStr">
        <is>
          <t>VÄRMLANDS LÄN</t>
        </is>
      </c>
      <c r="E741" t="inlineStr">
        <is>
          <t>TORSBY</t>
        </is>
      </c>
      <c r="F741" t="inlineStr">
        <is>
          <t>Kyrkan</t>
        </is>
      </c>
      <c r="G741" t="n">
        <v>1.6</v>
      </c>
      <c r="H741" t="n">
        <v>0</v>
      </c>
      <c r="I741" t="n">
        <v>0</v>
      </c>
      <c r="J741" t="n">
        <v>0</v>
      </c>
      <c r="K741" t="n">
        <v>0</v>
      </c>
      <c r="L741" t="n">
        <v>0</v>
      </c>
      <c r="M741" t="n">
        <v>0</v>
      </c>
      <c r="N741" t="n">
        <v>0</v>
      </c>
      <c r="O741" t="n">
        <v>0</v>
      </c>
      <c r="P741" t="n">
        <v>0</v>
      </c>
      <c r="Q741" t="n">
        <v>0</v>
      </c>
      <c r="R741" s="2" t="inlineStr"/>
    </row>
    <row r="742" ht="15" customHeight="1">
      <c r="A742" t="inlineStr">
        <is>
          <t>A 8149-2026</t>
        </is>
      </c>
      <c r="B742" s="1" t="n">
        <v>46064.3527662037</v>
      </c>
      <c r="C742" s="1" t="n">
        <v>46089</v>
      </c>
      <c r="D742" t="inlineStr">
        <is>
          <t>VÄRMLANDS LÄN</t>
        </is>
      </c>
      <c r="E742" t="inlineStr">
        <is>
          <t>TORSBY</t>
        </is>
      </c>
      <c r="G742" t="n">
        <v>1.9</v>
      </c>
      <c r="H742" t="n">
        <v>0</v>
      </c>
      <c r="I742" t="n">
        <v>0</v>
      </c>
      <c r="J742" t="n">
        <v>0</v>
      </c>
      <c r="K742" t="n">
        <v>0</v>
      </c>
      <c r="L742" t="n">
        <v>0</v>
      </c>
      <c r="M742" t="n">
        <v>0</v>
      </c>
      <c r="N742" t="n">
        <v>0</v>
      </c>
      <c r="O742" t="n">
        <v>0</v>
      </c>
      <c r="P742" t="n">
        <v>0</v>
      </c>
      <c r="Q742" t="n">
        <v>0</v>
      </c>
      <c r="R742" s="2" t="inlineStr"/>
    </row>
    <row r="743" ht="15" customHeight="1">
      <c r="A743" t="inlineStr">
        <is>
          <t>A 27759-2025</t>
        </is>
      </c>
      <c r="B743" s="1" t="n">
        <v>45816.48986111111</v>
      </c>
      <c r="C743" s="1" t="n">
        <v>46089</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42304-2025</t>
        </is>
      </c>
      <c r="B744" s="1" t="n">
        <v>45904</v>
      </c>
      <c r="C744" s="1" t="n">
        <v>46089</v>
      </c>
      <c r="D744" t="inlineStr">
        <is>
          <t>VÄRMLANDS LÄN</t>
        </is>
      </c>
      <c r="E744" t="inlineStr">
        <is>
          <t>TORSBY</t>
        </is>
      </c>
      <c r="F744" t="inlineStr">
        <is>
          <t>Bergvik skog väst AB</t>
        </is>
      </c>
      <c r="G744" t="n">
        <v>1.5</v>
      </c>
      <c r="H744" t="n">
        <v>0</v>
      </c>
      <c r="I744" t="n">
        <v>0</v>
      </c>
      <c r="J744" t="n">
        <v>0</v>
      </c>
      <c r="K744" t="n">
        <v>0</v>
      </c>
      <c r="L744" t="n">
        <v>0</v>
      </c>
      <c r="M744" t="n">
        <v>0</v>
      </c>
      <c r="N744" t="n">
        <v>0</v>
      </c>
      <c r="O744" t="n">
        <v>0</v>
      </c>
      <c r="P744" t="n">
        <v>0</v>
      </c>
      <c r="Q744" t="n">
        <v>0</v>
      </c>
      <c r="R744" s="2" t="inlineStr"/>
    </row>
    <row r="745" ht="15" customHeight="1">
      <c r="A745" t="inlineStr">
        <is>
          <t>A 42305-2025</t>
        </is>
      </c>
      <c r="B745" s="1" t="n">
        <v>45904.64886574074</v>
      </c>
      <c r="C745" s="1" t="n">
        <v>46089</v>
      </c>
      <c r="D745" t="inlineStr">
        <is>
          <t>VÄRMLANDS LÄN</t>
        </is>
      </c>
      <c r="E745" t="inlineStr">
        <is>
          <t>TORSBY</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42352-2025</t>
        </is>
      </c>
      <c r="B746" s="1" t="n">
        <v>45904</v>
      </c>
      <c r="C746" s="1" t="n">
        <v>46089</v>
      </c>
      <c r="D746" t="inlineStr">
        <is>
          <t>VÄRMLANDS LÄN</t>
        </is>
      </c>
      <c r="E746" t="inlineStr">
        <is>
          <t>TORSBY</t>
        </is>
      </c>
      <c r="G746" t="n">
        <v>0.1</v>
      </c>
      <c r="H746" t="n">
        <v>0</v>
      </c>
      <c r="I746" t="n">
        <v>0</v>
      </c>
      <c r="J746" t="n">
        <v>0</v>
      </c>
      <c r="K746" t="n">
        <v>0</v>
      </c>
      <c r="L746" t="n">
        <v>0</v>
      </c>
      <c r="M746" t="n">
        <v>0</v>
      </c>
      <c r="N746" t="n">
        <v>0</v>
      </c>
      <c r="O746" t="n">
        <v>0</v>
      </c>
      <c r="P746" t="n">
        <v>0</v>
      </c>
      <c r="Q746" t="n">
        <v>0</v>
      </c>
      <c r="R746" s="2" t="inlineStr"/>
    </row>
    <row r="747" ht="15" customHeight="1">
      <c r="A747" t="inlineStr">
        <is>
          <t>A 42499-2025</t>
        </is>
      </c>
      <c r="B747" s="1" t="n">
        <v>45905.5194675926</v>
      </c>
      <c r="C747" s="1" t="n">
        <v>46089</v>
      </c>
      <c r="D747" t="inlineStr">
        <is>
          <t>VÄRMLANDS LÄN</t>
        </is>
      </c>
      <c r="E747" t="inlineStr">
        <is>
          <t>TORSBY</t>
        </is>
      </c>
      <c r="F747" t="inlineStr">
        <is>
          <t>Bergvik skog väst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27863-2025</t>
        </is>
      </c>
      <c r="B748" s="1" t="n">
        <v>45817.42118055555</v>
      </c>
      <c r="C748" s="1" t="n">
        <v>46089</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25629-2024</t>
        </is>
      </c>
      <c r="B749" s="1" t="n">
        <v>45463</v>
      </c>
      <c r="C749" s="1" t="n">
        <v>46089</v>
      </c>
      <c r="D749" t="inlineStr">
        <is>
          <t>VÄRMLANDS LÄN</t>
        </is>
      </c>
      <c r="E749" t="inlineStr">
        <is>
          <t>TORSBY</t>
        </is>
      </c>
      <c r="G749" t="n">
        <v>1.1</v>
      </c>
      <c r="H749" t="n">
        <v>0</v>
      </c>
      <c r="I749" t="n">
        <v>0</v>
      </c>
      <c r="J749" t="n">
        <v>0</v>
      </c>
      <c r="K749" t="n">
        <v>0</v>
      </c>
      <c r="L749" t="n">
        <v>0</v>
      </c>
      <c r="M749" t="n">
        <v>0</v>
      </c>
      <c r="N749" t="n">
        <v>0</v>
      </c>
      <c r="O749" t="n">
        <v>0</v>
      </c>
      <c r="P749" t="n">
        <v>0</v>
      </c>
      <c r="Q749" t="n">
        <v>0</v>
      </c>
      <c r="R749" s="2" t="inlineStr"/>
    </row>
    <row r="750" ht="15" customHeight="1">
      <c r="A750" t="inlineStr">
        <is>
          <t>A 42350-2025</t>
        </is>
      </c>
      <c r="B750" s="1" t="n">
        <v>45904</v>
      </c>
      <c r="C750" s="1" t="n">
        <v>46089</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27730-2025</t>
        </is>
      </c>
      <c r="B751" s="1" t="n">
        <v>45814</v>
      </c>
      <c r="C751" s="1" t="n">
        <v>46089</v>
      </c>
      <c r="D751" t="inlineStr">
        <is>
          <t>VÄRMLANDS LÄN</t>
        </is>
      </c>
      <c r="E751" t="inlineStr">
        <is>
          <t>TORSBY</t>
        </is>
      </c>
      <c r="F751" t="inlineStr">
        <is>
          <t>Bergvik skog väst AB</t>
        </is>
      </c>
      <c r="G751" t="n">
        <v>5.1</v>
      </c>
      <c r="H751" t="n">
        <v>0</v>
      </c>
      <c r="I751" t="n">
        <v>0</v>
      </c>
      <c r="J751" t="n">
        <v>0</v>
      </c>
      <c r="K751" t="n">
        <v>0</v>
      </c>
      <c r="L751" t="n">
        <v>0</v>
      </c>
      <c r="M751" t="n">
        <v>0</v>
      </c>
      <c r="N751" t="n">
        <v>0</v>
      </c>
      <c r="O751" t="n">
        <v>0</v>
      </c>
      <c r="P751" t="n">
        <v>0</v>
      </c>
      <c r="Q751" t="n">
        <v>0</v>
      </c>
      <c r="R751" s="2" t="inlineStr"/>
    </row>
    <row r="752" ht="15" customHeight="1">
      <c r="A752" t="inlineStr">
        <is>
          <t>A 42496-2025</t>
        </is>
      </c>
      <c r="B752" s="1" t="n">
        <v>45905.50864583333</v>
      </c>
      <c r="C752" s="1" t="n">
        <v>46089</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3864-2025</t>
        </is>
      </c>
      <c r="B753" s="1" t="n">
        <v>45684</v>
      </c>
      <c r="C753" s="1" t="n">
        <v>46089</v>
      </c>
      <c r="D753" t="inlineStr">
        <is>
          <t>VÄRMLANDS LÄN</t>
        </is>
      </c>
      <c r="E753" t="inlineStr">
        <is>
          <t>TORSBY</t>
        </is>
      </c>
      <c r="F753" t="inlineStr">
        <is>
          <t>Bergvik skog väst AB</t>
        </is>
      </c>
      <c r="G753" t="n">
        <v>8</v>
      </c>
      <c r="H753" t="n">
        <v>0</v>
      </c>
      <c r="I753" t="n">
        <v>0</v>
      </c>
      <c r="J753" t="n">
        <v>0</v>
      </c>
      <c r="K753" t="n">
        <v>0</v>
      </c>
      <c r="L753" t="n">
        <v>0</v>
      </c>
      <c r="M753" t="n">
        <v>0</v>
      </c>
      <c r="N753" t="n">
        <v>0</v>
      </c>
      <c r="O753" t="n">
        <v>0</v>
      </c>
      <c r="P753" t="n">
        <v>0</v>
      </c>
      <c r="Q753" t="n">
        <v>0</v>
      </c>
      <c r="R753" s="2" t="inlineStr"/>
    </row>
    <row r="754" ht="15" customHeight="1">
      <c r="A754" t="inlineStr">
        <is>
          <t>A 27968-2025</t>
        </is>
      </c>
      <c r="B754" s="1" t="n">
        <v>45817.55846064815</v>
      </c>
      <c r="C754" s="1" t="n">
        <v>46089</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27856-2025</t>
        </is>
      </c>
      <c r="B755" s="1" t="n">
        <v>45817.41006944444</v>
      </c>
      <c r="C755" s="1" t="n">
        <v>46089</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67172-2021</t>
        </is>
      </c>
      <c r="B756" s="1" t="n">
        <v>44523.4271875</v>
      </c>
      <c r="C756" s="1" t="n">
        <v>46089</v>
      </c>
      <c r="D756" t="inlineStr">
        <is>
          <t>VÄRMLANDS LÄN</t>
        </is>
      </c>
      <c r="E756" t="inlineStr">
        <is>
          <t>TORSBY</t>
        </is>
      </c>
      <c r="G756" t="n">
        <v>0.5</v>
      </c>
      <c r="H756" t="n">
        <v>0</v>
      </c>
      <c r="I756" t="n">
        <v>0</v>
      </c>
      <c r="J756" t="n">
        <v>0</v>
      </c>
      <c r="K756" t="n">
        <v>0</v>
      </c>
      <c r="L756" t="n">
        <v>0</v>
      </c>
      <c r="M756" t="n">
        <v>0</v>
      </c>
      <c r="N756" t="n">
        <v>0</v>
      </c>
      <c r="O756" t="n">
        <v>0</v>
      </c>
      <c r="P756" t="n">
        <v>0</v>
      </c>
      <c r="Q756" t="n">
        <v>0</v>
      </c>
      <c r="R756" s="2" t="inlineStr"/>
    </row>
    <row r="757" ht="15" customHeight="1">
      <c r="A757" t="inlineStr">
        <is>
          <t>A 24493-2024</t>
        </is>
      </c>
      <c r="B757" s="1" t="n">
        <v>45459.72136574074</v>
      </c>
      <c r="C757" s="1" t="n">
        <v>46089</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53099-2024</t>
        </is>
      </c>
      <c r="B758" s="1" t="n">
        <v>45611.54206018519</v>
      </c>
      <c r="C758" s="1" t="n">
        <v>46089</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42152-2025</t>
        </is>
      </c>
      <c r="B759" s="1" t="n">
        <v>45904.3884375</v>
      </c>
      <c r="C759" s="1" t="n">
        <v>46089</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3269-2025</t>
        </is>
      </c>
      <c r="B760" s="1" t="n">
        <v>45679.58148148148</v>
      </c>
      <c r="C760" s="1" t="n">
        <v>46089</v>
      </c>
      <c r="D760" t="inlineStr">
        <is>
          <t>VÄRMLANDS LÄN</t>
        </is>
      </c>
      <c r="E760" t="inlineStr">
        <is>
          <t>TORSBY</t>
        </is>
      </c>
      <c r="G760" t="n">
        <v>6.9</v>
      </c>
      <c r="H760" t="n">
        <v>0</v>
      </c>
      <c r="I760" t="n">
        <v>0</v>
      </c>
      <c r="J760" t="n">
        <v>0</v>
      </c>
      <c r="K760" t="n">
        <v>0</v>
      </c>
      <c r="L760" t="n">
        <v>0</v>
      </c>
      <c r="M760" t="n">
        <v>0</v>
      </c>
      <c r="N760" t="n">
        <v>0</v>
      </c>
      <c r="O760" t="n">
        <v>0</v>
      </c>
      <c r="P760" t="n">
        <v>0</v>
      </c>
      <c r="Q760" t="n">
        <v>0</v>
      </c>
      <c r="R760" s="2" t="inlineStr"/>
    </row>
    <row r="761" ht="15" customHeight="1">
      <c r="A761" t="inlineStr">
        <is>
          <t>A 27906-2025</t>
        </is>
      </c>
      <c r="B761" s="1" t="n">
        <v>45817.47108796296</v>
      </c>
      <c r="C761" s="1" t="n">
        <v>46089</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27962-2025</t>
        </is>
      </c>
      <c r="B762" s="1" t="n">
        <v>45817.54878472222</v>
      </c>
      <c r="C762" s="1" t="n">
        <v>46089</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20255-2025</t>
        </is>
      </c>
      <c r="B763" s="1" t="n">
        <v>45772.9009375</v>
      </c>
      <c r="C763" s="1" t="n">
        <v>46089</v>
      </c>
      <c r="D763" t="inlineStr">
        <is>
          <t>VÄRMLANDS LÄN</t>
        </is>
      </c>
      <c r="E763" t="inlineStr">
        <is>
          <t>TORSBY</t>
        </is>
      </c>
      <c r="G763" t="n">
        <v>9</v>
      </c>
      <c r="H763" t="n">
        <v>0</v>
      </c>
      <c r="I763" t="n">
        <v>0</v>
      </c>
      <c r="J763" t="n">
        <v>0</v>
      </c>
      <c r="K763" t="n">
        <v>0</v>
      </c>
      <c r="L763" t="n">
        <v>0</v>
      </c>
      <c r="M763" t="n">
        <v>0</v>
      </c>
      <c r="N763" t="n">
        <v>0</v>
      </c>
      <c r="O763" t="n">
        <v>0</v>
      </c>
      <c r="P763" t="n">
        <v>0</v>
      </c>
      <c r="Q763" t="n">
        <v>0</v>
      </c>
      <c r="R763" s="2" t="inlineStr"/>
    </row>
    <row r="764" ht="15" customHeight="1">
      <c r="A764" t="inlineStr">
        <is>
          <t>A 42273-2025</t>
        </is>
      </c>
      <c r="B764" s="1" t="n">
        <v>45904.60708333334</v>
      </c>
      <c r="C764" s="1" t="n">
        <v>46089</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6968-2025</t>
        </is>
      </c>
      <c r="B765" s="1" t="n">
        <v>45701.53253472222</v>
      </c>
      <c r="C765" s="1" t="n">
        <v>46089</v>
      </c>
      <c r="D765" t="inlineStr">
        <is>
          <t>VÄRMLANDS LÄN</t>
        </is>
      </c>
      <c r="E765" t="inlineStr">
        <is>
          <t>TORSBY</t>
        </is>
      </c>
      <c r="G765" t="n">
        <v>0.9</v>
      </c>
      <c r="H765" t="n">
        <v>0</v>
      </c>
      <c r="I765" t="n">
        <v>0</v>
      </c>
      <c r="J765" t="n">
        <v>0</v>
      </c>
      <c r="K765" t="n">
        <v>0</v>
      </c>
      <c r="L765" t="n">
        <v>0</v>
      </c>
      <c r="M765" t="n">
        <v>0</v>
      </c>
      <c r="N765" t="n">
        <v>0</v>
      </c>
      <c r="O765" t="n">
        <v>0</v>
      </c>
      <c r="P765" t="n">
        <v>0</v>
      </c>
      <c r="Q765" t="n">
        <v>0</v>
      </c>
      <c r="R765" s="2" t="inlineStr"/>
    </row>
    <row r="766" ht="15" customHeight="1">
      <c r="A766" t="inlineStr">
        <is>
          <t>A 42529-2025</t>
        </is>
      </c>
      <c r="B766" s="1" t="n">
        <v>45905.55716435185</v>
      </c>
      <c r="C766" s="1" t="n">
        <v>46089</v>
      </c>
      <c r="D766" t="inlineStr">
        <is>
          <t>VÄRMLANDS LÄN</t>
        </is>
      </c>
      <c r="E766" t="inlineStr">
        <is>
          <t>TORSBY</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27758-2025</t>
        </is>
      </c>
      <c r="B767" s="1" t="n">
        <v>45816</v>
      </c>
      <c r="C767" s="1" t="n">
        <v>46089</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42742-2025</t>
        </is>
      </c>
      <c r="B768" s="1" t="n">
        <v>45908</v>
      </c>
      <c r="C768" s="1" t="n">
        <v>46089</v>
      </c>
      <c r="D768" t="inlineStr">
        <is>
          <t>VÄRMLANDS LÄN</t>
        </is>
      </c>
      <c r="E768" t="inlineStr">
        <is>
          <t>TORSBY</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16433-2023</t>
        </is>
      </c>
      <c r="B769" s="1" t="n">
        <v>45022</v>
      </c>
      <c r="C769" s="1" t="n">
        <v>46089</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34534-2024</t>
        </is>
      </c>
      <c r="B770" s="1" t="n">
        <v>45525</v>
      </c>
      <c r="C770" s="1" t="n">
        <v>46089</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27728-2025</t>
        </is>
      </c>
      <c r="B771" s="1" t="n">
        <v>45814</v>
      </c>
      <c r="C771" s="1" t="n">
        <v>46089</v>
      </c>
      <c r="D771" t="inlineStr">
        <is>
          <t>VÄRMLANDS LÄN</t>
        </is>
      </c>
      <c r="E771" t="inlineStr">
        <is>
          <t>TORSBY</t>
        </is>
      </c>
      <c r="F771" t="inlineStr">
        <is>
          <t>Bergvik skog väst AB</t>
        </is>
      </c>
      <c r="G771" t="n">
        <v>8.5</v>
      </c>
      <c r="H771" t="n">
        <v>0</v>
      </c>
      <c r="I771" t="n">
        <v>0</v>
      </c>
      <c r="J771" t="n">
        <v>0</v>
      </c>
      <c r="K771" t="n">
        <v>0</v>
      </c>
      <c r="L771" t="n">
        <v>0</v>
      </c>
      <c r="M771" t="n">
        <v>0</v>
      </c>
      <c r="N771" t="n">
        <v>0</v>
      </c>
      <c r="O771" t="n">
        <v>0</v>
      </c>
      <c r="P771" t="n">
        <v>0</v>
      </c>
      <c r="Q771" t="n">
        <v>0</v>
      </c>
      <c r="R771" s="2" t="inlineStr"/>
    </row>
    <row r="772" ht="15" customHeight="1">
      <c r="A772" t="inlineStr">
        <is>
          <t>A 28214-2025</t>
        </is>
      </c>
      <c r="B772" s="1" t="n">
        <v>45818</v>
      </c>
      <c r="C772" s="1" t="n">
        <v>46089</v>
      </c>
      <c r="D772" t="inlineStr">
        <is>
          <t>VÄRMLANDS LÄN</t>
        </is>
      </c>
      <c r="E772" t="inlineStr">
        <is>
          <t>TORSBY</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19791-2025</t>
        </is>
      </c>
      <c r="B773" s="1" t="n">
        <v>45771.4452662037</v>
      </c>
      <c r="C773" s="1" t="n">
        <v>46089</v>
      </c>
      <c r="D773" t="inlineStr">
        <is>
          <t>VÄRMLANDS LÄN</t>
        </is>
      </c>
      <c r="E773" t="inlineStr">
        <is>
          <t>TORSBY</t>
        </is>
      </c>
      <c r="F773" t="inlineStr">
        <is>
          <t>Bergvik skog väst AB</t>
        </is>
      </c>
      <c r="G773" t="n">
        <v>2.8</v>
      </c>
      <c r="H773" t="n">
        <v>0</v>
      </c>
      <c r="I773" t="n">
        <v>0</v>
      </c>
      <c r="J773" t="n">
        <v>0</v>
      </c>
      <c r="K773" t="n">
        <v>0</v>
      </c>
      <c r="L773" t="n">
        <v>0</v>
      </c>
      <c r="M773" t="n">
        <v>0</v>
      </c>
      <c r="N773" t="n">
        <v>0</v>
      </c>
      <c r="O773" t="n">
        <v>0</v>
      </c>
      <c r="P773" t="n">
        <v>0</v>
      </c>
      <c r="Q773" t="n">
        <v>0</v>
      </c>
      <c r="R773" s="2" t="inlineStr"/>
    </row>
    <row r="774" ht="15" customHeight="1">
      <c r="A774" t="inlineStr">
        <is>
          <t>A 42886-2025</t>
        </is>
      </c>
      <c r="B774" s="1" t="n">
        <v>45908.65288194444</v>
      </c>
      <c r="C774" s="1" t="n">
        <v>46089</v>
      </c>
      <c r="D774" t="inlineStr">
        <is>
          <t>VÄRMLANDS LÄN</t>
        </is>
      </c>
      <c r="E774" t="inlineStr">
        <is>
          <t>TORSBY</t>
        </is>
      </c>
      <c r="G774" t="n">
        <v>5.8</v>
      </c>
      <c r="H774" t="n">
        <v>0</v>
      </c>
      <c r="I774" t="n">
        <v>0</v>
      </c>
      <c r="J774" t="n">
        <v>0</v>
      </c>
      <c r="K774" t="n">
        <v>0</v>
      </c>
      <c r="L774" t="n">
        <v>0</v>
      </c>
      <c r="M774" t="n">
        <v>0</v>
      </c>
      <c r="N774" t="n">
        <v>0</v>
      </c>
      <c r="O774" t="n">
        <v>0</v>
      </c>
      <c r="P774" t="n">
        <v>0</v>
      </c>
      <c r="Q774" t="n">
        <v>0</v>
      </c>
      <c r="R774" s="2" t="inlineStr"/>
    </row>
    <row r="775" ht="15" customHeight="1">
      <c r="A775" t="inlineStr">
        <is>
          <t>A 42966-2025</t>
        </is>
      </c>
      <c r="B775" s="1" t="n">
        <v>45909.38825231481</v>
      </c>
      <c r="C775" s="1" t="n">
        <v>46089</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42965-2025</t>
        </is>
      </c>
      <c r="B776" s="1" t="n">
        <v>45909.37575231482</v>
      </c>
      <c r="C776" s="1" t="n">
        <v>46089</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43128-2021</t>
        </is>
      </c>
      <c r="B777" s="1" t="n">
        <v>44431.65930555556</v>
      </c>
      <c r="C777" s="1" t="n">
        <v>46089</v>
      </c>
      <c r="D777" t="inlineStr">
        <is>
          <t>VÄRMLANDS LÄN</t>
        </is>
      </c>
      <c r="E777" t="inlineStr">
        <is>
          <t>TORSBY</t>
        </is>
      </c>
      <c r="G777" t="n">
        <v>10.9</v>
      </c>
      <c r="H777" t="n">
        <v>0</v>
      </c>
      <c r="I777" t="n">
        <v>0</v>
      </c>
      <c r="J777" t="n">
        <v>0</v>
      </c>
      <c r="K777" t="n">
        <v>0</v>
      </c>
      <c r="L777" t="n">
        <v>0</v>
      </c>
      <c r="M777" t="n">
        <v>0</v>
      </c>
      <c r="N777" t="n">
        <v>0</v>
      </c>
      <c r="O777" t="n">
        <v>0</v>
      </c>
      <c r="P777" t="n">
        <v>0</v>
      </c>
      <c r="Q777" t="n">
        <v>0</v>
      </c>
      <c r="R777" s="2" t="inlineStr"/>
    </row>
    <row r="778" ht="15" customHeight="1">
      <c r="A778" t="inlineStr">
        <is>
          <t>A 42931-2025</t>
        </is>
      </c>
      <c r="B778" s="1" t="n">
        <v>45909</v>
      </c>
      <c r="C778" s="1" t="n">
        <v>46089</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33146-2025</t>
        </is>
      </c>
      <c r="B779" s="1" t="n">
        <v>45840.53549768519</v>
      </c>
      <c r="C779" s="1" t="n">
        <v>46089</v>
      </c>
      <c r="D779" t="inlineStr">
        <is>
          <t>VÄRMLANDS LÄN</t>
        </is>
      </c>
      <c r="E779" t="inlineStr">
        <is>
          <t>TORSBY</t>
        </is>
      </c>
      <c r="G779" t="n">
        <v>4.8</v>
      </c>
      <c r="H779" t="n">
        <v>0</v>
      </c>
      <c r="I779" t="n">
        <v>0</v>
      </c>
      <c r="J779" t="n">
        <v>0</v>
      </c>
      <c r="K779" t="n">
        <v>0</v>
      </c>
      <c r="L779" t="n">
        <v>0</v>
      </c>
      <c r="M779" t="n">
        <v>0</v>
      </c>
      <c r="N779" t="n">
        <v>0</v>
      </c>
      <c r="O779" t="n">
        <v>0</v>
      </c>
      <c r="P779" t="n">
        <v>0</v>
      </c>
      <c r="Q779" t="n">
        <v>0</v>
      </c>
      <c r="R779" s="2" t="inlineStr"/>
    </row>
    <row r="780" ht="15" customHeight="1">
      <c r="A780" t="inlineStr">
        <is>
          <t>A 43055-2025</t>
        </is>
      </c>
      <c r="B780" s="1" t="n">
        <v>45909</v>
      </c>
      <c r="C780" s="1" t="n">
        <v>46089</v>
      </c>
      <c r="D780" t="inlineStr">
        <is>
          <t>VÄRMLANDS LÄN</t>
        </is>
      </c>
      <c r="E780" t="inlineStr">
        <is>
          <t>TORSBY</t>
        </is>
      </c>
      <c r="F780" t="inlineStr">
        <is>
          <t>Bergvik skog väst AB</t>
        </is>
      </c>
      <c r="G780" t="n">
        <v>20.1</v>
      </c>
      <c r="H780" t="n">
        <v>0</v>
      </c>
      <c r="I780" t="n">
        <v>0</v>
      </c>
      <c r="J780" t="n">
        <v>0</v>
      </c>
      <c r="K780" t="n">
        <v>0</v>
      </c>
      <c r="L780" t="n">
        <v>0</v>
      </c>
      <c r="M780" t="n">
        <v>0</v>
      </c>
      <c r="N780" t="n">
        <v>0</v>
      </c>
      <c r="O780" t="n">
        <v>0</v>
      </c>
      <c r="P780" t="n">
        <v>0</v>
      </c>
      <c r="Q780" t="n">
        <v>0</v>
      </c>
      <c r="R780" s="2" t="inlineStr"/>
    </row>
    <row r="781" ht="15" customHeight="1">
      <c r="A781" t="inlineStr">
        <is>
          <t>A 52940-2024</t>
        </is>
      </c>
      <c r="B781" s="1" t="n">
        <v>45610</v>
      </c>
      <c r="C781" s="1" t="n">
        <v>46089</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41504-2024</t>
        </is>
      </c>
      <c r="B782" s="1" t="n">
        <v>45560</v>
      </c>
      <c r="C782" s="1" t="n">
        <v>46089</v>
      </c>
      <c r="D782" t="inlineStr">
        <is>
          <t>VÄRMLANDS LÄN</t>
        </is>
      </c>
      <c r="E782" t="inlineStr">
        <is>
          <t>TORSBY</t>
        </is>
      </c>
      <c r="G782" t="n">
        <v>4.7</v>
      </c>
      <c r="H782" t="n">
        <v>0</v>
      </c>
      <c r="I782" t="n">
        <v>0</v>
      </c>
      <c r="J782" t="n">
        <v>0</v>
      </c>
      <c r="K782" t="n">
        <v>0</v>
      </c>
      <c r="L782" t="n">
        <v>0</v>
      </c>
      <c r="M782" t="n">
        <v>0</v>
      </c>
      <c r="N782" t="n">
        <v>0</v>
      </c>
      <c r="O782" t="n">
        <v>0</v>
      </c>
      <c r="P782" t="n">
        <v>0</v>
      </c>
      <c r="Q782" t="n">
        <v>0</v>
      </c>
      <c r="R782" s="2" t="inlineStr"/>
    </row>
    <row r="783" ht="15" customHeight="1">
      <c r="A783" t="inlineStr">
        <is>
          <t>A 41518-2024</t>
        </is>
      </c>
      <c r="B783" s="1" t="n">
        <v>45560</v>
      </c>
      <c r="C783" s="1" t="n">
        <v>46089</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42932-2025</t>
        </is>
      </c>
      <c r="B784" s="1" t="n">
        <v>45909</v>
      </c>
      <c r="C784" s="1" t="n">
        <v>46089</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28116-2025</t>
        </is>
      </c>
      <c r="B785" s="1" t="n">
        <v>45818.28697916667</v>
      </c>
      <c r="C785" s="1" t="n">
        <v>46089</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28117-2025</t>
        </is>
      </c>
      <c r="B786" s="1" t="n">
        <v>45818</v>
      </c>
      <c r="C786" s="1" t="n">
        <v>46089</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28118-2025</t>
        </is>
      </c>
      <c r="B787" s="1" t="n">
        <v>45818</v>
      </c>
      <c r="C787" s="1" t="n">
        <v>46089</v>
      </c>
      <c r="D787" t="inlineStr">
        <is>
          <t>VÄRMLANDS LÄN</t>
        </is>
      </c>
      <c r="E787" t="inlineStr">
        <is>
          <t>TORSBY</t>
        </is>
      </c>
      <c r="F787" t="inlineStr">
        <is>
          <t>Bergvik skog väst AB</t>
        </is>
      </c>
      <c r="G787" t="n">
        <v>7.4</v>
      </c>
      <c r="H787" t="n">
        <v>0</v>
      </c>
      <c r="I787" t="n">
        <v>0</v>
      </c>
      <c r="J787" t="n">
        <v>0</v>
      </c>
      <c r="K787" t="n">
        <v>0</v>
      </c>
      <c r="L787" t="n">
        <v>0</v>
      </c>
      <c r="M787" t="n">
        <v>0</v>
      </c>
      <c r="N787" t="n">
        <v>0</v>
      </c>
      <c r="O787" t="n">
        <v>0</v>
      </c>
      <c r="P787" t="n">
        <v>0</v>
      </c>
      <c r="Q787" t="n">
        <v>0</v>
      </c>
      <c r="R787" s="2" t="inlineStr"/>
    </row>
    <row r="788" ht="15" customHeight="1">
      <c r="A788" t="inlineStr">
        <is>
          <t>A 30267-2023</t>
        </is>
      </c>
      <c r="B788" s="1" t="n">
        <v>45110.75915509259</v>
      </c>
      <c r="C788" s="1" t="n">
        <v>46089</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30269-2023</t>
        </is>
      </c>
      <c r="B789" s="1" t="n">
        <v>45110.76082175926</v>
      </c>
      <c r="C789" s="1" t="n">
        <v>46089</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42705-2025</t>
        </is>
      </c>
      <c r="B790" s="1" t="n">
        <v>45908.37063657407</v>
      </c>
      <c r="C790" s="1" t="n">
        <v>46089</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42720-2025</t>
        </is>
      </c>
      <c r="B791" s="1" t="n">
        <v>45908.39427083333</v>
      </c>
      <c r="C791" s="1" t="n">
        <v>46089</v>
      </c>
      <c r="D791" t="inlineStr">
        <is>
          <t>VÄRMLANDS LÄN</t>
        </is>
      </c>
      <c r="E791" t="inlineStr">
        <is>
          <t>TORSBY</t>
        </is>
      </c>
      <c r="F791" t="inlineStr">
        <is>
          <t>Bergvik skog väst AB</t>
        </is>
      </c>
      <c r="G791" t="n">
        <v>6.8</v>
      </c>
      <c r="H791" t="n">
        <v>0</v>
      </c>
      <c r="I791" t="n">
        <v>0</v>
      </c>
      <c r="J791" t="n">
        <v>0</v>
      </c>
      <c r="K791" t="n">
        <v>0</v>
      </c>
      <c r="L791" t="n">
        <v>0</v>
      </c>
      <c r="M791" t="n">
        <v>0</v>
      </c>
      <c r="N791" t="n">
        <v>0</v>
      </c>
      <c r="O791" t="n">
        <v>0</v>
      </c>
      <c r="P791" t="n">
        <v>0</v>
      </c>
      <c r="Q791" t="n">
        <v>0</v>
      </c>
      <c r="R791" s="2" t="inlineStr"/>
    </row>
    <row r="792" ht="15" customHeight="1">
      <c r="A792" t="inlineStr">
        <is>
          <t>A 28612-2025</t>
        </is>
      </c>
      <c r="B792" s="1" t="n">
        <v>45819</v>
      </c>
      <c r="C792" s="1" t="n">
        <v>46089</v>
      </c>
      <c r="D792" t="inlineStr">
        <is>
          <t>VÄRMLANDS LÄN</t>
        </is>
      </c>
      <c r="E792" t="inlineStr">
        <is>
          <t>TORSBY</t>
        </is>
      </c>
      <c r="G792" t="n">
        <v>5.2</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45610.39621527777</v>
      </c>
      <c r="C793" s="1" t="n">
        <v>46089</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35724-2022</t>
        </is>
      </c>
      <c r="B794" s="1" t="n">
        <v>44799</v>
      </c>
      <c r="C794" s="1" t="n">
        <v>46089</v>
      </c>
      <c r="D794" t="inlineStr">
        <is>
          <t>VÄRMLANDS LÄN</t>
        </is>
      </c>
      <c r="E794" t="inlineStr">
        <is>
          <t>TORSBY</t>
        </is>
      </c>
      <c r="G794" t="n">
        <v>3.9</v>
      </c>
      <c r="H794" t="n">
        <v>0</v>
      </c>
      <c r="I794" t="n">
        <v>0</v>
      </c>
      <c r="J794" t="n">
        <v>0</v>
      </c>
      <c r="K794" t="n">
        <v>0</v>
      </c>
      <c r="L794" t="n">
        <v>0</v>
      </c>
      <c r="M794" t="n">
        <v>0</v>
      </c>
      <c r="N794" t="n">
        <v>0</v>
      </c>
      <c r="O794" t="n">
        <v>0</v>
      </c>
      <c r="P794" t="n">
        <v>0</v>
      </c>
      <c r="Q794" t="n">
        <v>0</v>
      </c>
      <c r="R794" s="2" t="inlineStr"/>
    </row>
    <row r="795" ht="15" customHeight="1">
      <c r="A795" t="inlineStr">
        <is>
          <t>A 28511-2025</t>
        </is>
      </c>
      <c r="B795" s="1" t="n">
        <v>45819</v>
      </c>
      <c r="C795" s="1" t="n">
        <v>46089</v>
      </c>
      <c r="D795" t="inlineStr">
        <is>
          <t>VÄRMLANDS LÄN</t>
        </is>
      </c>
      <c r="E795" t="inlineStr">
        <is>
          <t>TORSBY</t>
        </is>
      </c>
      <c r="F795" t="inlineStr">
        <is>
          <t>Bergvik skog väst AB</t>
        </is>
      </c>
      <c r="G795" t="n">
        <v>7.3</v>
      </c>
      <c r="H795" t="n">
        <v>0</v>
      </c>
      <c r="I795" t="n">
        <v>0</v>
      </c>
      <c r="J795" t="n">
        <v>0</v>
      </c>
      <c r="K795" t="n">
        <v>0</v>
      </c>
      <c r="L795" t="n">
        <v>0</v>
      </c>
      <c r="M795" t="n">
        <v>0</v>
      </c>
      <c r="N795" t="n">
        <v>0</v>
      </c>
      <c r="O795" t="n">
        <v>0</v>
      </c>
      <c r="P795" t="n">
        <v>0</v>
      </c>
      <c r="Q795" t="n">
        <v>0</v>
      </c>
      <c r="R795" s="2" t="inlineStr"/>
    </row>
    <row r="796" ht="15" customHeight="1">
      <c r="A796" t="inlineStr">
        <is>
          <t>A 18855-2024</t>
        </is>
      </c>
      <c r="B796" s="1" t="n">
        <v>45426.73634259259</v>
      </c>
      <c r="C796" s="1" t="n">
        <v>46089</v>
      </c>
      <c r="D796" t="inlineStr">
        <is>
          <t>VÄRMLANDS LÄN</t>
        </is>
      </c>
      <c r="E796" t="inlineStr">
        <is>
          <t>TORSBY</t>
        </is>
      </c>
      <c r="G796" t="n">
        <v>5</v>
      </c>
      <c r="H796" t="n">
        <v>0</v>
      </c>
      <c r="I796" t="n">
        <v>0</v>
      </c>
      <c r="J796" t="n">
        <v>0</v>
      </c>
      <c r="K796" t="n">
        <v>0</v>
      </c>
      <c r="L796" t="n">
        <v>0</v>
      </c>
      <c r="M796" t="n">
        <v>0</v>
      </c>
      <c r="N796" t="n">
        <v>0</v>
      </c>
      <c r="O796" t="n">
        <v>0</v>
      </c>
      <c r="P796" t="n">
        <v>0</v>
      </c>
      <c r="Q796" t="n">
        <v>0</v>
      </c>
      <c r="R796" s="2" t="inlineStr"/>
    </row>
    <row r="797" ht="15" customHeight="1">
      <c r="A797" t="inlineStr">
        <is>
          <t>A 42961-2025</t>
        </is>
      </c>
      <c r="B797" s="1" t="n">
        <v>45909.36737268518</v>
      </c>
      <c r="C797" s="1" t="n">
        <v>46089</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74375-2021</t>
        </is>
      </c>
      <c r="B798" s="1" t="n">
        <v>44559.71840277778</v>
      </c>
      <c r="C798" s="1" t="n">
        <v>46089</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33782-2023</t>
        </is>
      </c>
      <c r="B799" s="1" t="n">
        <v>45120</v>
      </c>
      <c r="C799" s="1" t="n">
        <v>46089</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28765-2025</t>
        </is>
      </c>
      <c r="B800" s="1" t="n">
        <v>45820.41982638889</v>
      </c>
      <c r="C800" s="1" t="n">
        <v>46089</v>
      </c>
      <c r="D800" t="inlineStr">
        <is>
          <t>VÄRMLANDS LÄN</t>
        </is>
      </c>
      <c r="E800" t="inlineStr">
        <is>
          <t>TORSBY</t>
        </is>
      </c>
      <c r="G800" t="n">
        <v>0.8</v>
      </c>
      <c r="H800" t="n">
        <v>0</v>
      </c>
      <c r="I800" t="n">
        <v>0</v>
      </c>
      <c r="J800" t="n">
        <v>0</v>
      </c>
      <c r="K800" t="n">
        <v>0</v>
      </c>
      <c r="L800" t="n">
        <v>0</v>
      </c>
      <c r="M800" t="n">
        <v>0</v>
      </c>
      <c r="N800" t="n">
        <v>0</v>
      </c>
      <c r="O800" t="n">
        <v>0</v>
      </c>
      <c r="P800" t="n">
        <v>0</v>
      </c>
      <c r="Q800" t="n">
        <v>0</v>
      </c>
      <c r="R800" s="2" t="inlineStr"/>
    </row>
    <row r="801" ht="15" customHeight="1">
      <c r="A801" t="inlineStr">
        <is>
          <t>A 70785-2021</t>
        </is>
      </c>
      <c r="B801" s="1" t="n">
        <v>44537</v>
      </c>
      <c r="C801" s="1" t="n">
        <v>46089</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28791-2025</t>
        </is>
      </c>
      <c r="B802" s="1" t="n">
        <v>45820</v>
      </c>
      <c r="C802" s="1" t="n">
        <v>46089</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6438-2022</t>
        </is>
      </c>
      <c r="B803" s="1" t="n">
        <v>44601.32209490741</v>
      </c>
      <c r="C803" s="1" t="n">
        <v>46089</v>
      </c>
      <c r="D803" t="inlineStr">
        <is>
          <t>VÄRMLANDS LÄN</t>
        </is>
      </c>
      <c r="E803" t="inlineStr">
        <is>
          <t>TORSBY</t>
        </is>
      </c>
      <c r="G803" t="n">
        <v>2.9</v>
      </c>
      <c r="H803" t="n">
        <v>0</v>
      </c>
      <c r="I803" t="n">
        <v>0</v>
      </c>
      <c r="J803" t="n">
        <v>0</v>
      </c>
      <c r="K803" t="n">
        <v>0</v>
      </c>
      <c r="L803" t="n">
        <v>0</v>
      </c>
      <c r="M803" t="n">
        <v>0</v>
      </c>
      <c r="N803" t="n">
        <v>0</v>
      </c>
      <c r="O803" t="n">
        <v>0</v>
      </c>
      <c r="P803" t="n">
        <v>0</v>
      </c>
      <c r="Q803" t="n">
        <v>0</v>
      </c>
      <c r="R803" s="2" t="inlineStr"/>
    </row>
    <row r="804" ht="15" customHeight="1">
      <c r="A804" t="inlineStr">
        <is>
          <t>A 28774-2025</t>
        </is>
      </c>
      <c r="B804" s="1" t="n">
        <v>45820.4434375</v>
      </c>
      <c r="C804" s="1" t="n">
        <v>46089</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43614-2025</t>
        </is>
      </c>
      <c r="B805" s="1" t="n">
        <v>45911.67766203704</v>
      </c>
      <c r="C805" s="1" t="n">
        <v>46089</v>
      </c>
      <c r="D805" t="inlineStr">
        <is>
          <t>VÄRMLANDS LÄN</t>
        </is>
      </c>
      <c r="E805" t="inlineStr">
        <is>
          <t>TORSBY</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4172-2022</t>
        </is>
      </c>
      <c r="B806" s="1" t="n">
        <v>44588</v>
      </c>
      <c r="C806" s="1" t="n">
        <v>46089</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45056-2022</t>
        </is>
      </c>
      <c r="B807" s="1" t="n">
        <v>44841.72731481482</v>
      </c>
      <c r="C807" s="1" t="n">
        <v>46089</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28898-2025</t>
        </is>
      </c>
      <c r="B808" s="1" t="n">
        <v>45820.63644675926</v>
      </c>
      <c r="C808" s="1" t="n">
        <v>46089</v>
      </c>
      <c r="D808" t="inlineStr">
        <is>
          <t>VÄRMLANDS LÄN</t>
        </is>
      </c>
      <c r="E808" t="inlineStr">
        <is>
          <t>TORSBY</t>
        </is>
      </c>
      <c r="G808" t="n">
        <v>6.2</v>
      </c>
      <c r="H808" t="n">
        <v>0</v>
      </c>
      <c r="I808" t="n">
        <v>0</v>
      </c>
      <c r="J808" t="n">
        <v>0</v>
      </c>
      <c r="K808" t="n">
        <v>0</v>
      </c>
      <c r="L808" t="n">
        <v>0</v>
      </c>
      <c r="M808" t="n">
        <v>0</v>
      </c>
      <c r="N808" t="n">
        <v>0</v>
      </c>
      <c r="O808" t="n">
        <v>0</v>
      </c>
      <c r="P808" t="n">
        <v>0</v>
      </c>
      <c r="Q808" t="n">
        <v>0</v>
      </c>
      <c r="R808" s="2" t="inlineStr"/>
    </row>
    <row r="809" ht="15" customHeight="1">
      <c r="A809" t="inlineStr">
        <is>
          <t>A 29071-2025</t>
        </is>
      </c>
      <c r="B809" s="1" t="n">
        <v>45821</v>
      </c>
      <c r="C809" s="1" t="n">
        <v>46089</v>
      </c>
      <c r="D809" t="inlineStr">
        <is>
          <t>VÄRMLANDS LÄN</t>
        </is>
      </c>
      <c r="E809" t="inlineStr">
        <is>
          <t>TORSBY</t>
        </is>
      </c>
      <c r="G809" t="n">
        <v>4.2</v>
      </c>
      <c r="H809" t="n">
        <v>0</v>
      </c>
      <c r="I809" t="n">
        <v>0</v>
      </c>
      <c r="J809" t="n">
        <v>0</v>
      </c>
      <c r="K809" t="n">
        <v>0</v>
      </c>
      <c r="L809" t="n">
        <v>0</v>
      </c>
      <c r="M809" t="n">
        <v>0</v>
      </c>
      <c r="N809" t="n">
        <v>0</v>
      </c>
      <c r="O809" t="n">
        <v>0</v>
      </c>
      <c r="P809" t="n">
        <v>0</v>
      </c>
      <c r="Q809" t="n">
        <v>0</v>
      </c>
      <c r="R809" s="2" t="inlineStr"/>
    </row>
    <row r="810" ht="15" customHeight="1">
      <c r="A810" t="inlineStr">
        <is>
          <t>A 43608-2025</t>
        </is>
      </c>
      <c r="B810" s="1" t="n">
        <v>45911.67491898148</v>
      </c>
      <c r="C810" s="1" t="n">
        <v>46089</v>
      </c>
      <c r="D810" t="inlineStr">
        <is>
          <t>VÄRMLANDS LÄN</t>
        </is>
      </c>
      <c r="E810" t="inlineStr">
        <is>
          <t>TORSBY</t>
        </is>
      </c>
      <c r="F810" t="inlineStr">
        <is>
          <t>Bergvik skog väst AB</t>
        </is>
      </c>
      <c r="G810" t="n">
        <v>6</v>
      </c>
      <c r="H810" t="n">
        <v>0</v>
      </c>
      <c r="I810" t="n">
        <v>0</v>
      </c>
      <c r="J810" t="n">
        <v>0</v>
      </c>
      <c r="K810" t="n">
        <v>0</v>
      </c>
      <c r="L810" t="n">
        <v>0</v>
      </c>
      <c r="M810" t="n">
        <v>0</v>
      </c>
      <c r="N810" t="n">
        <v>0</v>
      </c>
      <c r="O810" t="n">
        <v>0</v>
      </c>
      <c r="P810" t="n">
        <v>0</v>
      </c>
      <c r="Q810" t="n">
        <v>0</v>
      </c>
      <c r="R810" s="2" t="inlineStr"/>
    </row>
    <row r="811" ht="15" customHeight="1">
      <c r="A811" t="inlineStr">
        <is>
          <t>A 43304-2025</t>
        </is>
      </c>
      <c r="B811" s="1" t="n">
        <v>45910.63630787037</v>
      </c>
      <c r="C811" s="1" t="n">
        <v>46089</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56811-2023</t>
        </is>
      </c>
      <c r="B812" s="1" t="n">
        <v>45244</v>
      </c>
      <c r="C812" s="1" t="n">
        <v>46089</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28761-2025</t>
        </is>
      </c>
      <c r="B813" s="1" t="n">
        <v>45820.41648148148</v>
      </c>
      <c r="C813" s="1" t="n">
        <v>46089</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28939-2025</t>
        </is>
      </c>
      <c r="B814" s="1" t="n">
        <v>45820.71350694444</v>
      </c>
      <c r="C814" s="1" t="n">
        <v>46089</v>
      </c>
      <c r="D814" t="inlineStr">
        <is>
          <t>VÄRMLANDS LÄN</t>
        </is>
      </c>
      <c r="E814" t="inlineStr">
        <is>
          <t>TORSBY</t>
        </is>
      </c>
      <c r="G814" t="n">
        <v>5.6</v>
      </c>
      <c r="H814" t="n">
        <v>0</v>
      </c>
      <c r="I814" t="n">
        <v>0</v>
      </c>
      <c r="J814" t="n">
        <v>0</v>
      </c>
      <c r="K814" t="n">
        <v>0</v>
      </c>
      <c r="L814" t="n">
        <v>0</v>
      </c>
      <c r="M814" t="n">
        <v>0</v>
      </c>
      <c r="N814" t="n">
        <v>0</v>
      </c>
      <c r="O814" t="n">
        <v>0</v>
      </c>
      <c r="P814" t="n">
        <v>0</v>
      </c>
      <c r="Q814" t="n">
        <v>0</v>
      </c>
      <c r="R814" s="2" t="inlineStr"/>
    </row>
    <row r="815" ht="15" customHeight="1">
      <c r="A815" t="inlineStr">
        <is>
          <t>A 14120-2025</t>
        </is>
      </c>
      <c r="B815" s="1" t="n">
        <v>45740</v>
      </c>
      <c r="C815" s="1" t="n">
        <v>46089</v>
      </c>
      <c r="D815" t="inlineStr">
        <is>
          <t>VÄRMLANDS LÄN</t>
        </is>
      </c>
      <c r="E815" t="inlineStr">
        <is>
          <t>TORSBY</t>
        </is>
      </c>
      <c r="G815" t="n">
        <v>3.3</v>
      </c>
      <c r="H815" t="n">
        <v>0</v>
      </c>
      <c r="I815" t="n">
        <v>0</v>
      </c>
      <c r="J815" t="n">
        <v>0</v>
      </c>
      <c r="K815" t="n">
        <v>0</v>
      </c>
      <c r="L815" t="n">
        <v>0</v>
      </c>
      <c r="M815" t="n">
        <v>0</v>
      </c>
      <c r="N815" t="n">
        <v>0</v>
      </c>
      <c r="O815" t="n">
        <v>0</v>
      </c>
      <c r="P815" t="n">
        <v>0</v>
      </c>
      <c r="Q815" t="n">
        <v>0</v>
      </c>
      <c r="R815" s="2" t="inlineStr"/>
    </row>
    <row r="816" ht="15" customHeight="1">
      <c r="A816" t="inlineStr">
        <is>
          <t>A 29063-2025</t>
        </is>
      </c>
      <c r="B816" s="1" t="n">
        <v>45821</v>
      </c>
      <c r="C816" s="1" t="n">
        <v>46089</v>
      </c>
      <c r="D816" t="inlineStr">
        <is>
          <t>VÄRMLANDS LÄN</t>
        </is>
      </c>
      <c r="E816" t="inlineStr">
        <is>
          <t>TORSBY</t>
        </is>
      </c>
      <c r="G816" t="n">
        <v>10.2</v>
      </c>
      <c r="H816" t="n">
        <v>0</v>
      </c>
      <c r="I816" t="n">
        <v>0</v>
      </c>
      <c r="J816" t="n">
        <v>0</v>
      </c>
      <c r="K816" t="n">
        <v>0</v>
      </c>
      <c r="L816" t="n">
        <v>0</v>
      </c>
      <c r="M816" t="n">
        <v>0</v>
      </c>
      <c r="N816" t="n">
        <v>0</v>
      </c>
      <c r="O816" t="n">
        <v>0</v>
      </c>
      <c r="P816" t="n">
        <v>0</v>
      </c>
      <c r="Q816" t="n">
        <v>0</v>
      </c>
      <c r="R816" s="2" t="inlineStr"/>
    </row>
    <row r="817" ht="15" customHeight="1">
      <c r="A817" t="inlineStr">
        <is>
          <t>A 43313-2025</t>
        </is>
      </c>
      <c r="B817" s="1" t="n">
        <v>45910</v>
      </c>
      <c r="C817" s="1" t="n">
        <v>46089</v>
      </c>
      <c r="D817" t="inlineStr">
        <is>
          <t>VÄRMLANDS LÄN</t>
        </is>
      </c>
      <c r="E817" t="inlineStr">
        <is>
          <t>TORSBY</t>
        </is>
      </c>
      <c r="F817" t="inlineStr">
        <is>
          <t>Övriga Aktiebolag</t>
        </is>
      </c>
      <c r="G817" t="n">
        <v>9.5</v>
      </c>
      <c r="H817" t="n">
        <v>0</v>
      </c>
      <c r="I817" t="n">
        <v>0</v>
      </c>
      <c r="J817" t="n">
        <v>0</v>
      </c>
      <c r="K817" t="n">
        <v>0</v>
      </c>
      <c r="L817" t="n">
        <v>0</v>
      </c>
      <c r="M817" t="n">
        <v>0</v>
      </c>
      <c r="N817" t="n">
        <v>0</v>
      </c>
      <c r="O817" t="n">
        <v>0</v>
      </c>
      <c r="P817" t="n">
        <v>0</v>
      </c>
      <c r="Q817" t="n">
        <v>0</v>
      </c>
      <c r="R817" s="2" t="inlineStr"/>
    </row>
    <row r="818" ht="15" customHeight="1">
      <c r="A818" t="inlineStr">
        <is>
          <t>A 56107-2024</t>
        </is>
      </c>
      <c r="B818" s="1" t="n">
        <v>45624.44055555556</v>
      </c>
      <c r="C818" s="1" t="n">
        <v>46089</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28784-2025</t>
        </is>
      </c>
      <c r="B819" s="1" t="n">
        <v>45820</v>
      </c>
      <c r="C819" s="1" t="n">
        <v>46089</v>
      </c>
      <c r="D819" t="inlineStr">
        <is>
          <t>VÄRMLANDS LÄN</t>
        </is>
      </c>
      <c r="E819" t="inlineStr">
        <is>
          <t>TORSBY</t>
        </is>
      </c>
      <c r="G819" t="n">
        <v>3.5</v>
      </c>
      <c r="H819" t="n">
        <v>0</v>
      </c>
      <c r="I819" t="n">
        <v>0</v>
      </c>
      <c r="J819" t="n">
        <v>0</v>
      </c>
      <c r="K819" t="n">
        <v>0</v>
      </c>
      <c r="L819" t="n">
        <v>0</v>
      </c>
      <c r="M819" t="n">
        <v>0</v>
      </c>
      <c r="N819" t="n">
        <v>0</v>
      </c>
      <c r="O819" t="n">
        <v>0</v>
      </c>
      <c r="P819" t="n">
        <v>0</v>
      </c>
      <c r="Q819" t="n">
        <v>0</v>
      </c>
      <c r="R819" s="2" t="inlineStr"/>
    </row>
    <row r="820" ht="15" customHeight="1">
      <c r="A820" t="inlineStr">
        <is>
          <t>A 42414-2024</t>
        </is>
      </c>
      <c r="B820" s="1" t="n">
        <v>45565</v>
      </c>
      <c r="C820" s="1" t="n">
        <v>46089</v>
      </c>
      <c r="D820" t="inlineStr">
        <is>
          <t>VÄRMLANDS LÄN</t>
        </is>
      </c>
      <c r="E820" t="inlineStr">
        <is>
          <t>TORSBY</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26124-2024</t>
        </is>
      </c>
      <c r="B821" s="1" t="n">
        <v>45468</v>
      </c>
      <c r="C821" s="1" t="n">
        <v>46089</v>
      </c>
      <c r="D821" t="inlineStr">
        <is>
          <t>VÄRMLANDS LÄN</t>
        </is>
      </c>
      <c r="E821" t="inlineStr">
        <is>
          <t>TORSBY</t>
        </is>
      </c>
      <c r="G821" t="n">
        <v>5.7</v>
      </c>
      <c r="H821" t="n">
        <v>0</v>
      </c>
      <c r="I821" t="n">
        <v>0</v>
      </c>
      <c r="J821" t="n">
        <v>0</v>
      </c>
      <c r="K821" t="n">
        <v>0</v>
      </c>
      <c r="L821" t="n">
        <v>0</v>
      </c>
      <c r="M821" t="n">
        <v>0</v>
      </c>
      <c r="N821" t="n">
        <v>0</v>
      </c>
      <c r="O821" t="n">
        <v>0</v>
      </c>
      <c r="P821" t="n">
        <v>0</v>
      </c>
      <c r="Q821" t="n">
        <v>0</v>
      </c>
      <c r="R821" s="2" t="inlineStr"/>
    </row>
    <row r="822" ht="15" customHeight="1">
      <c r="A822" t="inlineStr">
        <is>
          <t>A 29512-2025</t>
        </is>
      </c>
      <c r="B822" s="1" t="n">
        <v>45825.31002314815</v>
      </c>
      <c r="C822" s="1" t="n">
        <v>46089</v>
      </c>
      <c r="D822" t="inlineStr">
        <is>
          <t>VÄRMLANDS LÄN</t>
        </is>
      </c>
      <c r="E822" t="inlineStr">
        <is>
          <t>TORSBY</t>
        </is>
      </c>
      <c r="F822" t="inlineStr">
        <is>
          <t>Bergvik skog väst AB</t>
        </is>
      </c>
      <c r="G822" t="n">
        <v>17.9</v>
      </c>
      <c r="H822" t="n">
        <v>0</v>
      </c>
      <c r="I822" t="n">
        <v>0</v>
      </c>
      <c r="J822" t="n">
        <v>0</v>
      </c>
      <c r="K822" t="n">
        <v>0</v>
      </c>
      <c r="L822" t="n">
        <v>0</v>
      </c>
      <c r="M822" t="n">
        <v>0</v>
      </c>
      <c r="N822" t="n">
        <v>0</v>
      </c>
      <c r="O822" t="n">
        <v>0</v>
      </c>
      <c r="P822" t="n">
        <v>0</v>
      </c>
      <c r="Q822" t="n">
        <v>0</v>
      </c>
      <c r="R822" s="2" t="inlineStr"/>
    </row>
    <row r="823" ht="15" customHeight="1">
      <c r="A823" t="inlineStr">
        <is>
          <t>A 8224-2026</t>
        </is>
      </c>
      <c r="B823" s="1" t="n">
        <v>46064.47239583333</v>
      </c>
      <c r="C823" s="1" t="n">
        <v>46089</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11878-2024</t>
        </is>
      </c>
      <c r="B824" s="1" t="n">
        <v>45376.47877314815</v>
      </c>
      <c r="C824" s="1" t="n">
        <v>46089</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29312-2025</t>
        </is>
      </c>
      <c r="B825" s="1" t="n">
        <v>45824</v>
      </c>
      <c r="C825" s="1" t="n">
        <v>46089</v>
      </c>
      <c r="D825" t="inlineStr">
        <is>
          <t>VÄRMLANDS LÄN</t>
        </is>
      </c>
      <c r="E825" t="inlineStr">
        <is>
          <t>TORSBY</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43787-2025</t>
        </is>
      </c>
      <c r="B826" s="1" t="n">
        <v>45912</v>
      </c>
      <c r="C826" s="1" t="n">
        <v>46089</v>
      </c>
      <c r="D826" t="inlineStr">
        <is>
          <t>VÄRMLANDS LÄN</t>
        </is>
      </c>
      <c r="E826" t="inlineStr">
        <is>
          <t>TORSBY</t>
        </is>
      </c>
      <c r="G826" t="n">
        <v>13.1</v>
      </c>
      <c r="H826" t="n">
        <v>0</v>
      </c>
      <c r="I826" t="n">
        <v>0</v>
      </c>
      <c r="J826" t="n">
        <v>0</v>
      </c>
      <c r="K826" t="n">
        <v>0</v>
      </c>
      <c r="L826" t="n">
        <v>0</v>
      </c>
      <c r="M826" t="n">
        <v>0</v>
      </c>
      <c r="N826" t="n">
        <v>0</v>
      </c>
      <c r="O826" t="n">
        <v>0</v>
      </c>
      <c r="P826" t="n">
        <v>0</v>
      </c>
      <c r="Q826" t="n">
        <v>0</v>
      </c>
      <c r="R826" s="2" t="inlineStr"/>
    </row>
    <row r="827" ht="15" customHeight="1">
      <c r="A827" t="inlineStr">
        <is>
          <t>A 29251-2025</t>
        </is>
      </c>
      <c r="B827" s="1" t="n">
        <v>45824</v>
      </c>
      <c r="C827" s="1" t="n">
        <v>46089</v>
      </c>
      <c r="D827" t="inlineStr">
        <is>
          <t>VÄRMLANDS LÄN</t>
        </is>
      </c>
      <c r="E827" t="inlineStr">
        <is>
          <t>TORSBY</t>
        </is>
      </c>
      <c r="G827" t="n">
        <v>8.1</v>
      </c>
      <c r="H827" t="n">
        <v>0</v>
      </c>
      <c r="I827" t="n">
        <v>0</v>
      </c>
      <c r="J827" t="n">
        <v>0</v>
      </c>
      <c r="K827" t="n">
        <v>0</v>
      </c>
      <c r="L827" t="n">
        <v>0</v>
      </c>
      <c r="M827" t="n">
        <v>0</v>
      </c>
      <c r="N827" t="n">
        <v>0</v>
      </c>
      <c r="O827" t="n">
        <v>0</v>
      </c>
      <c r="P827" t="n">
        <v>0</v>
      </c>
      <c r="Q827" t="n">
        <v>0</v>
      </c>
      <c r="R827" s="2" t="inlineStr"/>
    </row>
    <row r="828" ht="15" customHeight="1">
      <c r="A828" t="inlineStr">
        <is>
          <t>A 53381-2022</t>
        </is>
      </c>
      <c r="B828" s="1" t="n">
        <v>44879</v>
      </c>
      <c r="C828" s="1" t="n">
        <v>46089</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44156-2025</t>
        </is>
      </c>
      <c r="B829" s="1" t="n">
        <v>45915.59539351852</v>
      </c>
      <c r="C829" s="1" t="n">
        <v>46089</v>
      </c>
      <c r="D829" t="inlineStr">
        <is>
          <t>VÄRMLANDS LÄN</t>
        </is>
      </c>
      <c r="E829" t="inlineStr">
        <is>
          <t>TORSBY</t>
        </is>
      </c>
      <c r="F829" t="inlineStr">
        <is>
          <t>Kyrkan</t>
        </is>
      </c>
      <c r="G829" t="n">
        <v>3.2</v>
      </c>
      <c r="H829" t="n">
        <v>0</v>
      </c>
      <c r="I829" t="n">
        <v>0</v>
      </c>
      <c r="J829" t="n">
        <v>0</v>
      </c>
      <c r="K829" t="n">
        <v>0</v>
      </c>
      <c r="L829" t="n">
        <v>0</v>
      </c>
      <c r="M829" t="n">
        <v>0</v>
      </c>
      <c r="N829" t="n">
        <v>0</v>
      </c>
      <c r="O829" t="n">
        <v>0</v>
      </c>
      <c r="P829" t="n">
        <v>0</v>
      </c>
      <c r="Q829" t="n">
        <v>0</v>
      </c>
      <c r="R829" s="2" t="inlineStr"/>
    </row>
    <row r="830" ht="15" customHeight="1">
      <c r="A830" t="inlineStr">
        <is>
          <t>A 41160-2023</t>
        </is>
      </c>
      <c r="B830" s="1" t="n">
        <v>45174</v>
      </c>
      <c r="C830" s="1" t="n">
        <v>46089</v>
      </c>
      <c r="D830" t="inlineStr">
        <is>
          <t>VÄRMLANDS LÄN</t>
        </is>
      </c>
      <c r="E830" t="inlineStr">
        <is>
          <t>TORSBY</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44233-2025</t>
        </is>
      </c>
      <c r="B831" s="1" t="n">
        <v>45915.65515046296</v>
      </c>
      <c r="C831" s="1" t="n">
        <v>46089</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44133-2025</t>
        </is>
      </c>
      <c r="B832" s="1" t="n">
        <v>45915</v>
      </c>
      <c r="C832" s="1" t="n">
        <v>46089</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51843-2022</t>
        </is>
      </c>
      <c r="B833" s="1" t="n">
        <v>44872</v>
      </c>
      <c r="C833" s="1" t="n">
        <v>46089</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29587-2025</t>
        </is>
      </c>
      <c r="B834" s="1" t="n">
        <v>45825.39394675926</v>
      </c>
      <c r="C834" s="1" t="n">
        <v>46089</v>
      </c>
      <c r="D834" t="inlineStr">
        <is>
          <t>VÄRMLANDS LÄN</t>
        </is>
      </c>
      <c r="E834" t="inlineStr">
        <is>
          <t>TORSBY</t>
        </is>
      </c>
      <c r="G834" t="n">
        <v>1.9</v>
      </c>
      <c r="H834" t="n">
        <v>0</v>
      </c>
      <c r="I834" t="n">
        <v>0</v>
      </c>
      <c r="J834" t="n">
        <v>0</v>
      </c>
      <c r="K834" t="n">
        <v>0</v>
      </c>
      <c r="L834" t="n">
        <v>0</v>
      </c>
      <c r="M834" t="n">
        <v>0</v>
      </c>
      <c r="N834" t="n">
        <v>0</v>
      </c>
      <c r="O834" t="n">
        <v>0</v>
      </c>
      <c r="P834" t="n">
        <v>0</v>
      </c>
      <c r="Q834" t="n">
        <v>0</v>
      </c>
      <c r="R834" s="2" t="inlineStr"/>
    </row>
    <row r="835" ht="15" customHeight="1">
      <c r="A835" t="inlineStr">
        <is>
          <t>A 6534-2025</t>
        </is>
      </c>
      <c r="B835" s="1" t="n">
        <v>45699</v>
      </c>
      <c r="C835" s="1" t="n">
        <v>46089</v>
      </c>
      <c r="D835" t="inlineStr">
        <is>
          <t>VÄRMLANDS LÄN</t>
        </is>
      </c>
      <c r="E835" t="inlineStr">
        <is>
          <t>TORSBY</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7178-2025</t>
        </is>
      </c>
      <c r="B836" s="1" t="n">
        <v>45702.42493055556</v>
      </c>
      <c r="C836" s="1" t="n">
        <v>46089</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22634-2023</t>
        </is>
      </c>
      <c r="B837" s="1" t="n">
        <v>45071</v>
      </c>
      <c r="C837" s="1" t="n">
        <v>46089</v>
      </c>
      <c r="D837" t="inlineStr">
        <is>
          <t>VÄRMLANDS LÄN</t>
        </is>
      </c>
      <c r="E837" t="inlineStr">
        <is>
          <t>TORSBY</t>
        </is>
      </c>
      <c r="F837" t="inlineStr">
        <is>
          <t>Bergvik skog väst AB</t>
        </is>
      </c>
      <c r="G837" t="n">
        <v>0.2</v>
      </c>
      <c r="H837" t="n">
        <v>0</v>
      </c>
      <c r="I837" t="n">
        <v>0</v>
      </c>
      <c r="J837" t="n">
        <v>0</v>
      </c>
      <c r="K837" t="n">
        <v>0</v>
      </c>
      <c r="L837" t="n">
        <v>0</v>
      </c>
      <c r="M837" t="n">
        <v>0</v>
      </c>
      <c r="N837" t="n">
        <v>0</v>
      </c>
      <c r="O837" t="n">
        <v>0</v>
      </c>
      <c r="P837" t="n">
        <v>0</v>
      </c>
      <c r="Q837" t="n">
        <v>0</v>
      </c>
      <c r="R837" s="2" t="inlineStr"/>
    </row>
    <row r="838" ht="15" customHeight="1">
      <c r="A838" t="inlineStr">
        <is>
          <t>A 44055-2025</t>
        </is>
      </c>
      <c r="B838" s="1" t="n">
        <v>45915.52358796296</v>
      </c>
      <c r="C838" s="1" t="n">
        <v>46089</v>
      </c>
      <c r="D838" t="inlineStr">
        <is>
          <t>VÄRMLANDS LÄN</t>
        </is>
      </c>
      <c r="E838" t="inlineStr">
        <is>
          <t>TORSBY</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7214-2025</t>
        </is>
      </c>
      <c r="B839" s="1" t="n">
        <v>45702</v>
      </c>
      <c r="C839" s="1" t="n">
        <v>46089</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29650-2025</t>
        </is>
      </c>
      <c r="B840" s="1" t="n">
        <v>45825.47546296296</v>
      </c>
      <c r="C840" s="1" t="n">
        <v>46089</v>
      </c>
      <c r="D840" t="inlineStr">
        <is>
          <t>VÄRMLANDS LÄN</t>
        </is>
      </c>
      <c r="E840" t="inlineStr">
        <is>
          <t>TORSBY</t>
        </is>
      </c>
      <c r="G840" t="n">
        <v>16.8</v>
      </c>
      <c r="H840" t="n">
        <v>0</v>
      </c>
      <c r="I840" t="n">
        <v>0</v>
      </c>
      <c r="J840" t="n">
        <v>0</v>
      </c>
      <c r="K840" t="n">
        <v>0</v>
      </c>
      <c r="L840" t="n">
        <v>0</v>
      </c>
      <c r="M840" t="n">
        <v>0</v>
      </c>
      <c r="N840" t="n">
        <v>0</v>
      </c>
      <c r="O840" t="n">
        <v>0</v>
      </c>
      <c r="P840" t="n">
        <v>0</v>
      </c>
      <c r="Q840" t="n">
        <v>0</v>
      </c>
      <c r="R840" s="2" t="inlineStr"/>
    </row>
    <row r="841" ht="15" customHeight="1">
      <c r="A841" t="inlineStr">
        <is>
          <t>A 28757-2025</t>
        </is>
      </c>
      <c r="B841" s="1" t="n">
        <v>45820</v>
      </c>
      <c r="C841" s="1" t="n">
        <v>46089</v>
      </c>
      <c r="D841" t="inlineStr">
        <is>
          <t>VÄRMLANDS LÄN</t>
        </is>
      </c>
      <c r="E841" t="inlineStr">
        <is>
          <t>TORSBY</t>
        </is>
      </c>
      <c r="G841" t="n">
        <v>12.1</v>
      </c>
      <c r="H841" t="n">
        <v>0</v>
      </c>
      <c r="I841" t="n">
        <v>0</v>
      </c>
      <c r="J841" t="n">
        <v>0</v>
      </c>
      <c r="K841" t="n">
        <v>0</v>
      </c>
      <c r="L841" t="n">
        <v>0</v>
      </c>
      <c r="M841" t="n">
        <v>0</v>
      </c>
      <c r="N841" t="n">
        <v>0</v>
      </c>
      <c r="O841" t="n">
        <v>0</v>
      </c>
      <c r="P841" t="n">
        <v>0</v>
      </c>
      <c r="Q841" t="n">
        <v>0</v>
      </c>
      <c r="R841" s="2" t="inlineStr"/>
    </row>
    <row r="842" ht="15" customHeight="1">
      <c r="A842" t="inlineStr">
        <is>
          <t>A 29641-2025</t>
        </is>
      </c>
      <c r="B842" s="1" t="n">
        <v>45825.46285879629</v>
      </c>
      <c r="C842" s="1" t="n">
        <v>46089</v>
      </c>
      <c r="D842" t="inlineStr">
        <is>
          <t>VÄRMLANDS LÄN</t>
        </is>
      </c>
      <c r="E842" t="inlineStr">
        <is>
          <t>TORSBY</t>
        </is>
      </c>
      <c r="G842" t="n">
        <v>23.4</v>
      </c>
      <c r="H842" t="n">
        <v>0</v>
      </c>
      <c r="I842" t="n">
        <v>0</v>
      </c>
      <c r="J842" t="n">
        <v>0</v>
      </c>
      <c r="K842" t="n">
        <v>0</v>
      </c>
      <c r="L842" t="n">
        <v>0</v>
      </c>
      <c r="M842" t="n">
        <v>0</v>
      </c>
      <c r="N842" t="n">
        <v>0</v>
      </c>
      <c r="O842" t="n">
        <v>0</v>
      </c>
      <c r="P842" t="n">
        <v>0</v>
      </c>
      <c r="Q842" t="n">
        <v>0</v>
      </c>
      <c r="R842" s="2" t="inlineStr"/>
    </row>
    <row r="843" ht="15" customHeight="1">
      <c r="A843" t="inlineStr">
        <is>
          <t>A 27347-2024</t>
        </is>
      </c>
      <c r="B843" s="1" t="n">
        <v>45473.59798611111</v>
      </c>
      <c r="C843" s="1" t="n">
        <v>46089</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44220-2025</t>
        </is>
      </c>
      <c r="B844" s="1" t="n">
        <v>45915</v>
      </c>
      <c r="C844" s="1" t="n">
        <v>46089</v>
      </c>
      <c r="D844" t="inlineStr">
        <is>
          <t>VÄRMLANDS LÄN</t>
        </is>
      </c>
      <c r="E844" t="inlineStr">
        <is>
          <t>TORSBY</t>
        </is>
      </c>
      <c r="F844" t="inlineStr">
        <is>
          <t>Kommuner</t>
        </is>
      </c>
      <c r="G844" t="n">
        <v>4.9</v>
      </c>
      <c r="H844" t="n">
        <v>0</v>
      </c>
      <c r="I844" t="n">
        <v>0</v>
      </c>
      <c r="J844" t="n">
        <v>0</v>
      </c>
      <c r="K844" t="n">
        <v>0</v>
      </c>
      <c r="L844" t="n">
        <v>0</v>
      </c>
      <c r="M844" t="n">
        <v>0</v>
      </c>
      <c r="N844" t="n">
        <v>0</v>
      </c>
      <c r="O844" t="n">
        <v>0</v>
      </c>
      <c r="P844" t="n">
        <v>0</v>
      </c>
      <c r="Q844" t="n">
        <v>0</v>
      </c>
      <c r="R844" s="2" t="inlineStr"/>
    </row>
    <row r="845" ht="15" customHeight="1">
      <c r="A845" t="inlineStr">
        <is>
          <t>A 43831-2025</t>
        </is>
      </c>
      <c r="B845" s="1" t="n">
        <v>45912.62987268518</v>
      </c>
      <c r="C845" s="1" t="n">
        <v>46089</v>
      </c>
      <c r="D845" t="inlineStr">
        <is>
          <t>VÄRMLANDS LÄN</t>
        </is>
      </c>
      <c r="E845" t="inlineStr">
        <is>
          <t>TORSBY</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8967-2026</t>
        </is>
      </c>
      <c r="B846" s="1" t="n">
        <v>46069.4278587963</v>
      </c>
      <c r="C846" s="1" t="n">
        <v>46089</v>
      </c>
      <c r="D846" t="inlineStr">
        <is>
          <t>VÄRMLANDS LÄN</t>
        </is>
      </c>
      <c r="E846" t="inlineStr">
        <is>
          <t>TORSBY</t>
        </is>
      </c>
      <c r="F846" t="inlineStr">
        <is>
          <t>Bergvik skog väst AB</t>
        </is>
      </c>
      <c r="G846" t="n">
        <v>22.5</v>
      </c>
      <c r="H846" t="n">
        <v>0</v>
      </c>
      <c r="I846" t="n">
        <v>0</v>
      </c>
      <c r="J846" t="n">
        <v>0</v>
      </c>
      <c r="K846" t="n">
        <v>0</v>
      </c>
      <c r="L846" t="n">
        <v>0</v>
      </c>
      <c r="M846" t="n">
        <v>0</v>
      </c>
      <c r="N846" t="n">
        <v>0</v>
      </c>
      <c r="O846" t="n">
        <v>0</v>
      </c>
      <c r="P846" t="n">
        <v>0</v>
      </c>
      <c r="Q846" t="n">
        <v>0</v>
      </c>
      <c r="R846" s="2" t="inlineStr"/>
    </row>
    <row r="847" ht="15" customHeight="1">
      <c r="A847" t="inlineStr">
        <is>
          <t>A 41377-2021</t>
        </is>
      </c>
      <c r="B847" s="1" t="n">
        <v>44424.65148148148</v>
      </c>
      <c r="C847" s="1" t="n">
        <v>46089</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29307-2025</t>
        </is>
      </c>
      <c r="B848" s="1" t="n">
        <v>45824</v>
      </c>
      <c r="C848" s="1" t="n">
        <v>46089</v>
      </c>
      <c r="D848" t="inlineStr">
        <is>
          <t>VÄRMLANDS LÄN</t>
        </is>
      </c>
      <c r="E848" t="inlineStr">
        <is>
          <t>TORSBY</t>
        </is>
      </c>
      <c r="F848" t="inlineStr">
        <is>
          <t>Övriga Aktiebolag</t>
        </is>
      </c>
      <c r="G848" t="n">
        <v>3.7</v>
      </c>
      <c r="H848" t="n">
        <v>0</v>
      </c>
      <c r="I848" t="n">
        <v>0</v>
      </c>
      <c r="J848" t="n">
        <v>0</v>
      </c>
      <c r="K848" t="n">
        <v>0</v>
      </c>
      <c r="L848" t="n">
        <v>0</v>
      </c>
      <c r="M848" t="n">
        <v>0</v>
      </c>
      <c r="N848" t="n">
        <v>0</v>
      </c>
      <c r="O848" t="n">
        <v>0</v>
      </c>
      <c r="P848" t="n">
        <v>0</v>
      </c>
      <c r="Q848" t="n">
        <v>0</v>
      </c>
      <c r="R848" s="2" t="inlineStr"/>
    </row>
    <row r="849" ht="15" customHeight="1">
      <c r="A849" t="inlineStr">
        <is>
          <t>A 29403-2025</t>
        </is>
      </c>
      <c r="B849" s="1" t="n">
        <v>45824.61469907407</v>
      </c>
      <c r="C849" s="1" t="n">
        <v>46089</v>
      </c>
      <c r="D849" t="inlineStr">
        <is>
          <t>VÄRMLANDS LÄN</t>
        </is>
      </c>
      <c r="E849" t="inlineStr">
        <is>
          <t>TORSBY</t>
        </is>
      </c>
      <c r="F849" t="inlineStr">
        <is>
          <t>Bergvik skog väst AB</t>
        </is>
      </c>
      <c r="G849" t="n">
        <v>7.7</v>
      </c>
      <c r="H849" t="n">
        <v>0</v>
      </c>
      <c r="I849" t="n">
        <v>0</v>
      </c>
      <c r="J849" t="n">
        <v>0</v>
      </c>
      <c r="K849" t="n">
        <v>0</v>
      </c>
      <c r="L849" t="n">
        <v>0</v>
      </c>
      <c r="M849" t="n">
        <v>0</v>
      </c>
      <c r="N849" t="n">
        <v>0</v>
      </c>
      <c r="O849" t="n">
        <v>0</v>
      </c>
      <c r="P849" t="n">
        <v>0</v>
      </c>
      <c r="Q849" t="n">
        <v>0</v>
      </c>
      <c r="R849" s="2" t="inlineStr"/>
    </row>
    <row r="850" ht="15" customHeight="1">
      <c r="A850" t="inlineStr">
        <is>
          <t>A 54766-2023</t>
        </is>
      </c>
      <c r="B850" s="1" t="n">
        <v>45236</v>
      </c>
      <c r="C850" s="1" t="n">
        <v>46089</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43669-2025</t>
        </is>
      </c>
      <c r="B851" s="1" t="n">
        <v>45912.36299768519</v>
      </c>
      <c r="C851" s="1" t="n">
        <v>46089</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44141-2025</t>
        </is>
      </c>
      <c r="B852" s="1" t="n">
        <v>45915</v>
      </c>
      <c r="C852" s="1" t="n">
        <v>46089</v>
      </c>
      <c r="D852" t="inlineStr">
        <is>
          <t>VÄRMLANDS LÄN</t>
        </is>
      </c>
      <c r="E852" t="inlineStr">
        <is>
          <t>TORSBY</t>
        </is>
      </c>
      <c r="F852" t="inlineStr">
        <is>
          <t>Kyrkan</t>
        </is>
      </c>
      <c r="G852" t="n">
        <v>2.4</v>
      </c>
      <c r="H852" t="n">
        <v>0</v>
      </c>
      <c r="I852" t="n">
        <v>0</v>
      </c>
      <c r="J852" t="n">
        <v>0</v>
      </c>
      <c r="K852" t="n">
        <v>0</v>
      </c>
      <c r="L852" t="n">
        <v>0</v>
      </c>
      <c r="M852" t="n">
        <v>0</v>
      </c>
      <c r="N852" t="n">
        <v>0</v>
      </c>
      <c r="O852" t="n">
        <v>0</v>
      </c>
      <c r="P852" t="n">
        <v>0</v>
      </c>
      <c r="Q852" t="n">
        <v>0</v>
      </c>
      <c r="R852" s="2" t="inlineStr"/>
    </row>
    <row r="853" ht="15" customHeight="1">
      <c r="A853" t="inlineStr">
        <is>
          <t>A 9381-2024</t>
        </is>
      </c>
      <c r="B853" s="1" t="n">
        <v>45359</v>
      </c>
      <c r="C853" s="1" t="n">
        <v>46089</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46089</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44715-2025</t>
        </is>
      </c>
      <c r="B855" s="1" t="n">
        <v>45917.62854166667</v>
      </c>
      <c r="C855" s="1" t="n">
        <v>46089</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30078-2025</t>
        </is>
      </c>
      <c r="B856" s="1" t="n">
        <v>45826.64291666666</v>
      </c>
      <c r="C856" s="1" t="n">
        <v>46089</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20847-2023</t>
        </is>
      </c>
      <c r="B857" s="1" t="n">
        <v>45056</v>
      </c>
      <c r="C857" s="1" t="n">
        <v>46089</v>
      </c>
      <c r="D857" t="inlineStr">
        <is>
          <t>VÄRMLANDS LÄN</t>
        </is>
      </c>
      <c r="E857" t="inlineStr">
        <is>
          <t>TORSBY</t>
        </is>
      </c>
      <c r="G857" t="n">
        <v>13.9</v>
      </c>
      <c r="H857" t="n">
        <v>0</v>
      </c>
      <c r="I857" t="n">
        <v>0</v>
      </c>
      <c r="J857" t="n">
        <v>0</v>
      </c>
      <c r="K857" t="n">
        <v>0</v>
      </c>
      <c r="L857" t="n">
        <v>0</v>
      </c>
      <c r="M857" t="n">
        <v>0</v>
      </c>
      <c r="N857" t="n">
        <v>0</v>
      </c>
      <c r="O857" t="n">
        <v>0</v>
      </c>
      <c r="P857" t="n">
        <v>0</v>
      </c>
      <c r="Q857" t="n">
        <v>0</v>
      </c>
      <c r="R857" s="2" t="inlineStr"/>
    </row>
    <row r="858" ht="15" customHeight="1">
      <c r="A858" t="inlineStr">
        <is>
          <t>A 30433-2025</t>
        </is>
      </c>
      <c r="B858" s="1" t="n">
        <v>45827</v>
      </c>
      <c r="C858" s="1" t="n">
        <v>46089</v>
      </c>
      <c r="D858" t="inlineStr">
        <is>
          <t>VÄRMLANDS LÄN</t>
        </is>
      </c>
      <c r="E858" t="inlineStr">
        <is>
          <t>TORSBY</t>
        </is>
      </c>
      <c r="G858" t="n">
        <v>13.4</v>
      </c>
      <c r="H858" t="n">
        <v>0</v>
      </c>
      <c r="I858" t="n">
        <v>0</v>
      </c>
      <c r="J858" t="n">
        <v>0</v>
      </c>
      <c r="K858" t="n">
        <v>0</v>
      </c>
      <c r="L858" t="n">
        <v>0</v>
      </c>
      <c r="M858" t="n">
        <v>0</v>
      </c>
      <c r="N858" t="n">
        <v>0</v>
      </c>
      <c r="O858" t="n">
        <v>0</v>
      </c>
      <c r="P858" t="n">
        <v>0</v>
      </c>
      <c r="Q858" t="n">
        <v>0</v>
      </c>
      <c r="R858" s="2" t="inlineStr"/>
    </row>
    <row r="859" ht="15" customHeight="1">
      <c r="A859" t="inlineStr">
        <is>
          <t>A 30074-2025</t>
        </is>
      </c>
      <c r="B859" s="1" t="n">
        <v>45826.63672453703</v>
      </c>
      <c r="C859" s="1" t="n">
        <v>46089</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8736-2026</t>
        </is>
      </c>
      <c r="B860" s="1" t="n">
        <v>46066.50328703703</v>
      </c>
      <c r="C860" s="1" t="n">
        <v>46089</v>
      </c>
      <c r="D860" t="inlineStr">
        <is>
          <t>VÄRMLANDS LÄN</t>
        </is>
      </c>
      <c r="E860" t="inlineStr">
        <is>
          <t>TORSBY</t>
        </is>
      </c>
      <c r="G860" t="n">
        <v>7.3</v>
      </c>
      <c r="H860" t="n">
        <v>0</v>
      </c>
      <c r="I860" t="n">
        <v>0</v>
      </c>
      <c r="J860" t="n">
        <v>0</v>
      </c>
      <c r="K860" t="n">
        <v>0</v>
      </c>
      <c r="L860" t="n">
        <v>0</v>
      </c>
      <c r="M860" t="n">
        <v>0</v>
      </c>
      <c r="N860" t="n">
        <v>0</v>
      </c>
      <c r="O860" t="n">
        <v>0</v>
      </c>
      <c r="P860" t="n">
        <v>0</v>
      </c>
      <c r="Q860" t="n">
        <v>0</v>
      </c>
      <c r="R860" s="2" t="inlineStr"/>
    </row>
    <row r="861" ht="15" customHeight="1">
      <c r="A861" t="inlineStr">
        <is>
          <t>A 44507-2025</t>
        </is>
      </c>
      <c r="B861" s="1" t="n">
        <v>45916</v>
      </c>
      <c r="C861" s="1" t="n">
        <v>46089</v>
      </c>
      <c r="D861" t="inlineStr">
        <is>
          <t>VÄRMLANDS LÄN</t>
        </is>
      </c>
      <c r="E861" t="inlineStr">
        <is>
          <t>TORSBY</t>
        </is>
      </c>
      <c r="F861" t="inlineStr">
        <is>
          <t>Bergvik skog väst AB</t>
        </is>
      </c>
      <c r="G861" t="n">
        <v>10.9</v>
      </c>
      <c r="H861" t="n">
        <v>0</v>
      </c>
      <c r="I861" t="n">
        <v>0</v>
      </c>
      <c r="J861" t="n">
        <v>0</v>
      </c>
      <c r="K861" t="n">
        <v>0</v>
      </c>
      <c r="L861" t="n">
        <v>0</v>
      </c>
      <c r="M861" t="n">
        <v>0</v>
      </c>
      <c r="N861" t="n">
        <v>0</v>
      </c>
      <c r="O861" t="n">
        <v>0</v>
      </c>
      <c r="P861" t="n">
        <v>0</v>
      </c>
      <c r="Q861" t="n">
        <v>0</v>
      </c>
      <c r="R861" s="2" t="inlineStr"/>
    </row>
    <row r="862" ht="15" customHeight="1">
      <c r="A862" t="inlineStr">
        <is>
          <t>A 44286-2025</t>
        </is>
      </c>
      <c r="B862" s="1" t="n">
        <v>45916</v>
      </c>
      <c r="C862" s="1" t="n">
        <v>46089</v>
      </c>
      <c r="D862" t="inlineStr">
        <is>
          <t>VÄRMLANDS LÄN</t>
        </is>
      </c>
      <c r="E862" t="inlineStr">
        <is>
          <t>TORSBY</t>
        </is>
      </c>
      <c r="F862" t="inlineStr">
        <is>
          <t>Bergvik skog väst AB</t>
        </is>
      </c>
      <c r="G862" t="n">
        <v>13.8</v>
      </c>
      <c r="H862" t="n">
        <v>0</v>
      </c>
      <c r="I862" t="n">
        <v>0</v>
      </c>
      <c r="J862" t="n">
        <v>0</v>
      </c>
      <c r="K862" t="n">
        <v>0</v>
      </c>
      <c r="L862" t="n">
        <v>0</v>
      </c>
      <c r="M862" t="n">
        <v>0</v>
      </c>
      <c r="N862" t="n">
        <v>0</v>
      </c>
      <c r="O862" t="n">
        <v>0</v>
      </c>
      <c r="P862" t="n">
        <v>0</v>
      </c>
      <c r="Q862" t="n">
        <v>0</v>
      </c>
      <c r="R862" s="2" t="inlineStr"/>
    </row>
    <row r="863" ht="15" customHeight="1">
      <c r="A863" t="inlineStr">
        <is>
          <t>A 44290-2025</t>
        </is>
      </c>
      <c r="B863" s="1" t="n">
        <v>45916.35228009259</v>
      </c>
      <c r="C863" s="1" t="n">
        <v>46089</v>
      </c>
      <c r="D863" t="inlineStr">
        <is>
          <t>VÄRMLANDS LÄN</t>
        </is>
      </c>
      <c r="E863" t="inlineStr">
        <is>
          <t>TORSBY</t>
        </is>
      </c>
      <c r="G863" t="n">
        <v>3.1</v>
      </c>
      <c r="H863" t="n">
        <v>0</v>
      </c>
      <c r="I863" t="n">
        <v>0</v>
      </c>
      <c r="J863" t="n">
        <v>0</v>
      </c>
      <c r="K863" t="n">
        <v>0</v>
      </c>
      <c r="L863" t="n">
        <v>0</v>
      </c>
      <c r="M863" t="n">
        <v>0</v>
      </c>
      <c r="N863" t="n">
        <v>0</v>
      </c>
      <c r="O863" t="n">
        <v>0</v>
      </c>
      <c r="P863" t="n">
        <v>0</v>
      </c>
      <c r="Q863" t="n">
        <v>0</v>
      </c>
      <c r="R863" s="2" t="inlineStr"/>
    </row>
    <row r="864" ht="15" customHeight="1">
      <c r="A864" t="inlineStr">
        <is>
          <t>A 30380-2025</t>
        </is>
      </c>
      <c r="B864" s="1" t="n">
        <v>45827</v>
      </c>
      <c r="C864" s="1" t="n">
        <v>46089</v>
      </c>
      <c r="D864" t="inlineStr">
        <is>
          <t>VÄRMLANDS LÄN</t>
        </is>
      </c>
      <c r="E864" t="inlineStr">
        <is>
          <t>TORSBY</t>
        </is>
      </c>
      <c r="G864" t="n">
        <v>5.8</v>
      </c>
      <c r="H864" t="n">
        <v>0</v>
      </c>
      <c r="I864" t="n">
        <v>0</v>
      </c>
      <c r="J864" t="n">
        <v>0</v>
      </c>
      <c r="K864" t="n">
        <v>0</v>
      </c>
      <c r="L864" t="n">
        <v>0</v>
      </c>
      <c r="M864" t="n">
        <v>0</v>
      </c>
      <c r="N864" t="n">
        <v>0</v>
      </c>
      <c r="O864" t="n">
        <v>0</v>
      </c>
      <c r="P864" t="n">
        <v>0</v>
      </c>
      <c r="Q864" t="n">
        <v>0</v>
      </c>
      <c r="R864" s="2" t="inlineStr"/>
    </row>
    <row r="865" ht="15" customHeight="1">
      <c r="A865" t="inlineStr">
        <is>
          <t>A 54777-2023</t>
        </is>
      </c>
      <c r="B865" s="1" t="n">
        <v>45236</v>
      </c>
      <c r="C865" s="1" t="n">
        <v>46089</v>
      </c>
      <c r="D865" t="inlineStr">
        <is>
          <t>VÄRMLANDS LÄN</t>
        </is>
      </c>
      <c r="E865" t="inlineStr">
        <is>
          <t>TORSBY</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18595-2025</t>
        </is>
      </c>
      <c r="B866" s="1" t="n">
        <v>45763</v>
      </c>
      <c r="C866" s="1" t="n">
        <v>46089</v>
      </c>
      <c r="D866" t="inlineStr">
        <is>
          <t>VÄRMLANDS LÄN</t>
        </is>
      </c>
      <c r="E866" t="inlineStr">
        <is>
          <t>TORSBY</t>
        </is>
      </c>
      <c r="F866" t="inlineStr">
        <is>
          <t>Kyrkan</t>
        </is>
      </c>
      <c r="G866" t="n">
        <v>7.9</v>
      </c>
      <c r="H866" t="n">
        <v>0</v>
      </c>
      <c r="I866" t="n">
        <v>0</v>
      </c>
      <c r="J866" t="n">
        <v>0</v>
      </c>
      <c r="K866" t="n">
        <v>0</v>
      </c>
      <c r="L866" t="n">
        <v>0</v>
      </c>
      <c r="M866" t="n">
        <v>0</v>
      </c>
      <c r="N866" t="n">
        <v>0</v>
      </c>
      <c r="O866" t="n">
        <v>0</v>
      </c>
      <c r="P866" t="n">
        <v>0</v>
      </c>
      <c r="Q866" t="n">
        <v>0</v>
      </c>
      <c r="R866" s="2" t="inlineStr"/>
    </row>
    <row r="867" ht="15" customHeight="1">
      <c r="A867" t="inlineStr">
        <is>
          <t>A 44273-2025</t>
        </is>
      </c>
      <c r="B867" s="1" t="n">
        <v>45916</v>
      </c>
      <c r="C867" s="1" t="n">
        <v>46089</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30199-2025</t>
        </is>
      </c>
      <c r="B868" s="1" t="n">
        <v>45827</v>
      </c>
      <c r="C868" s="1" t="n">
        <v>46089</v>
      </c>
      <c r="D868" t="inlineStr">
        <is>
          <t>VÄRMLANDS LÄN</t>
        </is>
      </c>
      <c r="E868" t="inlineStr">
        <is>
          <t>TORSBY</t>
        </is>
      </c>
      <c r="F868" t="inlineStr">
        <is>
          <t>Bergvik skog väst AB</t>
        </is>
      </c>
      <c r="G868" t="n">
        <v>4.9</v>
      </c>
      <c r="H868" t="n">
        <v>0</v>
      </c>
      <c r="I868" t="n">
        <v>0</v>
      </c>
      <c r="J868" t="n">
        <v>0</v>
      </c>
      <c r="K868" t="n">
        <v>0</v>
      </c>
      <c r="L868" t="n">
        <v>0</v>
      </c>
      <c r="M868" t="n">
        <v>0</v>
      </c>
      <c r="N868" t="n">
        <v>0</v>
      </c>
      <c r="O868" t="n">
        <v>0</v>
      </c>
      <c r="P868" t="n">
        <v>0</v>
      </c>
      <c r="Q868" t="n">
        <v>0</v>
      </c>
      <c r="R868" s="2" t="inlineStr"/>
    </row>
    <row r="869" ht="15" customHeight="1">
      <c r="A869" t="inlineStr">
        <is>
          <t>A 44374-2025</t>
        </is>
      </c>
      <c r="B869" s="1" t="n">
        <v>45916.47035879629</v>
      </c>
      <c r="C869" s="1" t="n">
        <v>46089</v>
      </c>
      <c r="D869" t="inlineStr">
        <is>
          <t>VÄRMLANDS LÄN</t>
        </is>
      </c>
      <c r="E869" t="inlineStr">
        <is>
          <t>TORSBY</t>
        </is>
      </c>
      <c r="F869" t="inlineStr">
        <is>
          <t>Bergvik skog väst AB</t>
        </is>
      </c>
      <c r="G869" t="n">
        <v>10.5</v>
      </c>
      <c r="H869" t="n">
        <v>0</v>
      </c>
      <c r="I869" t="n">
        <v>0</v>
      </c>
      <c r="J869" t="n">
        <v>0</v>
      </c>
      <c r="K869" t="n">
        <v>0</v>
      </c>
      <c r="L869" t="n">
        <v>0</v>
      </c>
      <c r="M869" t="n">
        <v>0</v>
      </c>
      <c r="N869" t="n">
        <v>0</v>
      </c>
      <c r="O869" t="n">
        <v>0</v>
      </c>
      <c r="P869" t="n">
        <v>0</v>
      </c>
      <c r="Q869" t="n">
        <v>0</v>
      </c>
      <c r="R869" s="2" t="inlineStr"/>
    </row>
    <row r="870" ht="15" customHeight="1">
      <c r="A870" t="inlineStr">
        <is>
          <t>A 44522-2025</t>
        </is>
      </c>
      <c r="B870" s="1" t="n">
        <v>45916</v>
      </c>
      <c r="C870" s="1" t="n">
        <v>46089</v>
      </c>
      <c r="D870" t="inlineStr">
        <is>
          <t>VÄRMLANDS LÄN</t>
        </is>
      </c>
      <c r="E870" t="inlineStr">
        <is>
          <t>TORSBY</t>
        </is>
      </c>
      <c r="G870" t="n">
        <v>3.9</v>
      </c>
      <c r="H870" t="n">
        <v>0</v>
      </c>
      <c r="I870" t="n">
        <v>0</v>
      </c>
      <c r="J870" t="n">
        <v>0</v>
      </c>
      <c r="K870" t="n">
        <v>0</v>
      </c>
      <c r="L870" t="n">
        <v>0</v>
      </c>
      <c r="M870" t="n">
        <v>0</v>
      </c>
      <c r="N870" t="n">
        <v>0</v>
      </c>
      <c r="O870" t="n">
        <v>0</v>
      </c>
      <c r="P870" t="n">
        <v>0</v>
      </c>
      <c r="Q870" t="n">
        <v>0</v>
      </c>
      <c r="R870" s="2" t="inlineStr"/>
    </row>
    <row r="871" ht="15" customHeight="1">
      <c r="A871" t="inlineStr">
        <is>
          <t>A 58304-2024</t>
        </is>
      </c>
      <c r="B871" s="1" t="n">
        <v>45632</v>
      </c>
      <c r="C871" s="1" t="n">
        <v>46089</v>
      </c>
      <c r="D871" t="inlineStr">
        <is>
          <t>VÄRMLANDS LÄN</t>
        </is>
      </c>
      <c r="E871" t="inlineStr">
        <is>
          <t>TORSBY</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15398-2025</t>
        </is>
      </c>
      <c r="B872" s="1" t="n">
        <v>45747.44309027777</v>
      </c>
      <c r="C872" s="1" t="n">
        <v>46089</v>
      </c>
      <c r="D872" t="inlineStr">
        <is>
          <t>VÄRMLANDS LÄN</t>
        </is>
      </c>
      <c r="E872" t="inlineStr">
        <is>
          <t>TORSBY</t>
        </is>
      </c>
      <c r="G872" t="n">
        <v>8</v>
      </c>
      <c r="H872" t="n">
        <v>0</v>
      </c>
      <c r="I872" t="n">
        <v>0</v>
      </c>
      <c r="J872" t="n">
        <v>0</v>
      </c>
      <c r="K872" t="n">
        <v>0</v>
      </c>
      <c r="L872" t="n">
        <v>0</v>
      </c>
      <c r="M872" t="n">
        <v>0</v>
      </c>
      <c r="N872" t="n">
        <v>0</v>
      </c>
      <c r="O872" t="n">
        <v>0</v>
      </c>
      <c r="P872" t="n">
        <v>0</v>
      </c>
      <c r="Q872" t="n">
        <v>0</v>
      </c>
      <c r="R872" s="2" t="inlineStr"/>
    </row>
    <row r="873" ht="15" customHeight="1">
      <c r="A873" t="inlineStr">
        <is>
          <t>A 25949-2024</t>
        </is>
      </c>
      <c r="B873" s="1" t="n">
        <v>45467.6442824074</v>
      </c>
      <c r="C873" s="1" t="n">
        <v>46089</v>
      </c>
      <c r="D873" t="inlineStr">
        <is>
          <t>VÄRMLANDS LÄN</t>
        </is>
      </c>
      <c r="E873" t="inlineStr">
        <is>
          <t>TORSBY</t>
        </is>
      </c>
      <c r="F873" t="inlineStr">
        <is>
          <t>Bergvik skog väst AB</t>
        </is>
      </c>
      <c r="G873" t="n">
        <v>2.3</v>
      </c>
      <c r="H873" t="n">
        <v>0</v>
      </c>
      <c r="I873" t="n">
        <v>0</v>
      </c>
      <c r="J873" t="n">
        <v>0</v>
      </c>
      <c r="K873" t="n">
        <v>0</v>
      </c>
      <c r="L873" t="n">
        <v>0</v>
      </c>
      <c r="M873" t="n">
        <v>0</v>
      </c>
      <c r="N873" t="n">
        <v>0</v>
      </c>
      <c r="O873" t="n">
        <v>0</v>
      </c>
      <c r="P873" t="n">
        <v>0</v>
      </c>
      <c r="Q873" t="n">
        <v>0</v>
      </c>
      <c r="R873" s="2" t="inlineStr"/>
    </row>
    <row r="874" ht="15" customHeight="1">
      <c r="A874" t="inlineStr">
        <is>
          <t>A 30377-2025</t>
        </is>
      </c>
      <c r="B874" s="1" t="n">
        <v>45827</v>
      </c>
      <c r="C874" s="1" t="n">
        <v>46089</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30388-2025</t>
        </is>
      </c>
      <c r="B875" s="1" t="n">
        <v>45827.5734837963</v>
      </c>
      <c r="C875" s="1" t="n">
        <v>46089</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44288-2025</t>
        </is>
      </c>
      <c r="B876" s="1" t="n">
        <v>45916.3500462963</v>
      </c>
      <c r="C876" s="1" t="n">
        <v>46089</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30153-2025</t>
        </is>
      </c>
      <c r="B877" s="1" t="n">
        <v>45827.31736111111</v>
      </c>
      <c r="C877" s="1" t="n">
        <v>46089</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44710-2025</t>
        </is>
      </c>
      <c r="B878" s="1" t="n">
        <v>45917.61743055555</v>
      </c>
      <c r="C878" s="1" t="n">
        <v>46089</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37401-2022</t>
        </is>
      </c>
      <c r="B879" s="1" t="n">
        <v>44809</v>
      </c>
      <c r="C879" s="1" t="n">
        <v>46089</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30026-2025</t>
        </is>
      </c>
      <c r="B880" s="1" t="n">
        <v>45826.5637037037</v>
      </c>
      <c r="C880" s="1" t="n">
        <v>46089</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42481-2025</t>
        </is>
      </c>
      <c r="B881" s="1" t="n">
        <v>45904</v>
      </c>
      <c r="C881" s="1" t="n">
        <v>46089</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30151-2025</t>
        </is>
      </c>
      <c r="B882" s="1" t="n">
        <v>45827</v>
      </c>
      <c r="C882" s="1" t="n">
        <v>46089</v>
      </c>
      <c r="D882" t="inlineStr">
        <is>
          <t>VÄRMLANDS LÄN</t>
        </is>
      </c>
      <c r="E882" t="inlineStr">
        <is>
          <t>TORSBY</t>
        </is>
      </c>
      <c r="G882" t="n">
        <v>4.1</v>
      </c>
      <c r="H882" t="n">
        <v>0</v>
      </c>
      <c r="I882" t="n">
        <v>0</v>
      </c>
      <c r="J882" t="n">
        <v>0</v>
      </c>
      <c r="K882" t="n">
        <v>0</v>
      </c>
      <c r="L882" t="n">
        <v>0</v>
      </c>
      <c r="M882" t="n">
        <v>0</v>
      </c>
      <c r="N882" t="n">
        <v>0</v>
      </c>
      <c r="O882" t="n">
        <v>0</v>
      </c>
      <c r="P882" t="n">
        <v>0</v>
      </c>
      <c r="Q882" t="n">
        <v>0</v>
      </c>
      <c r="R882" s="2" t="inlineStr"/>
    </row>
    <row r="883" ht="15" customHeight="1">
      <c r="A883" t="inlineStr">
        <is>
          <t>A 30214-2025</t>
        </is>
      </c>
      <c r="B883" s="1" t="n">
        <v>45827</v>
      </c>
      <c r="C883" s="1" t="n">
        <v>46089</v>
      </c>
      <c r="D883" t="inlineStr">
        <is>
          <t>VÄRMLANDS LÄN</t>
        </is>
      </c>
      <c r="E883" t="inlineStr">
        <is>
          <t>TORSBY</t>
        </is>
      </c>
      <c r="F883" t="inlineStr">
        <is>
          <t>Bergvik skog väst AB</t>
        </is>
      </c>
      <c r="G883" t="n">
        <v>13.9</v>
      </c>
      <c r="H883" t="n">
        <v>0</v>
      </c>
      <c r="I883" t="n">
        <v>0</v>
      </c>
      <c r="J883" t="n">
        <v>0</v>
      </c>
      <c r="K883" t="n">
        <v>0</v>
      </c>
      <c r="L883" t="n">
        <v>0</v>
      </c>
      <c r="M883" t="n">
        <v>0</v>
      </c>
      <c r="N883" t="n">
        <v>0</v>
      </c>
      <c r="O883" t="n">
        <v>0</v>
      </c>
      <c r="P883" t="n">
        <v>0</v>
      </c>
      <c r="Q883" t="n">
        <v>0</v>
      </c>
      <c r="R883" s="2" t="inlineStr"/>
    </row>
    <row r="884" ht="15" customHeight="1">
      <c r="A884" t="inlineStr">
        <is>
          <t>A 30735-2025</t>
        </is>
      </c>
      <c r="B884" s="1" t="n">
        <v>45831.57479166667</v>
      </c>
      <c r="C884" s="1" t="n">
        <v>46089</v>
      </c>
      <c r="D884" t="inlineStr">
        <is>
          <t>VÄRMLANDS LÄN</t>
        </is>
      </c>
      <c r="E884" t="inlineStr">
        <is>
          <t>TORSBY</t>
        </is>
      </c>
      <c r="F884" t="inlineStr">
        <is>
          <t>Bergvik skog väst AB</t>
        </is>
      </c>
      <c r="G884" t="n">
        <v>11.2</v>
      </c>
      <c r="H884" t="n">
        <v>0</v>
      </c>
      <c r="I884" t="n">
        <v>0</v>
      </c>
      <c r="J884" t="n">
        <v>0</v>
      </c>
      <c r="K884" t="n">
        <v>0</v>
      </c>
      <c r="L884" t="n">
        <v>0</v>
      </c>
      <c r="M884" t="n">
        <v>0</v>
      </c>
      <c r="N884" t="n">
        <v>0</v>
      </c>
      <c r="O884" t="n">
        <v>0</v>
      </c>
      <c r="P884" t="n">
        <v>0</v>
      </c>
      <c r="Q884" t="n">
        <v>0</v>
      </c>
      <c r="R884" s="2" t="inlineStr"/>
    </row>
    <row r="885" ht="15" customHeight="1">
      <c r="A885" t="inlineStr">
        <is>
          <t>A 7069-2022</t>
        </is>
      </c>
      <c r="B885" s="1" t="n">
        <v>44603</v>
      </c>
      <c r="C885" s="1" t="n">
        <v>46089</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45245-2025</t>
        </is>
      </c>
      <c r="B886" s="1" t="n">
        <v>45919.60621527778</v>
      </c>
      <c r="C886" s="1" t="n">
        <v>46089</v>
      </c>
      <c r="D886" t="inlineStr">
        <is>
          <t>VÄRMLANDS LÄN</t>
        </is>
      </c>
      <c r="E886" t="inlineStr">
        <is>
          <t>TORSBY</t>
        </is>
      </c>
      <c r="F886" t="inlineStr">
        <is>
          <t>Kyrkan</t>
        </is>
      </c>
      <c r="G886" t="n">
        <v>2.8</v>
      </c>
      <c r="H886" t="n">
        <v>0</v>
      </c>
      <c r="I886" t="n">
        <v>0</v>
      </c>
      <c r="J886" t="n">
        <v>0</v>
      </c>
      <c r="K886" t="n">
        <v>0</v>
      </c>
      <c r="L886" t="n">
        <v>0</v>
      </c>
      <c r="M886" t="n">
        <v>0</v>
      </c>
      <c r="N886" t="n">
        <v>0</v>
      </c>
      <c r="O886" t="n">
        <v>0</v>
      </c>
      <c r="P886" t="n">
        <v>0</v>
      </c>
      <c r="Q886" t="n">
        <v>0</v>
      </c>
      <c r="R886" s="2" t="inlineStr"/>
    </row>
    <row r="887" ht="15" customHeight="1">
      <c r="A887" t="inlineStr">
        <is>
          <t>A 21255-2023</t>
        </is>
      </c>
      <c r="B887" s="1" t="n">
        <v>45058</v>
      </c>
      <c r="C887" s="1" t="n">
        <v>46089</v>
      </c>
      <c r="D887" t="inlineStr">
        <is>
          <t>VÄRMLANDS LÄN</t>
        </is>
      </c>
      <c r="E887" t="inlineStr">
        <is>
          <t>TORSBY</t>
        </is>
      </c>
      <c r="G887" t="n">
        <v>3.6</v>
      </c>
      <c r="H887" t="n">
        <v>0</v>
      </c>
      <c r="I887" t="n">
        <v>0</v>
      </c>
      <c r="J887" t="n">
        <v>0</v>
      </c>
      <c r="K887" t="n">
        <v>0</v>
      </c>
      <c r="L887" t="n">
        <v>0</v>
      </c>
      <c r="M887" t="n">
        <v>0</v>
      </c>
      <c r="N887" t="n">
        <v>0</v>
      </c>
      <c r="O887" t="n">
        <v>0</v>
      </c>
      <c r="P887" t="n">
        <v>0</v>
      </c>
      <c r="Q887" t="n">
        <v>0</v>
      </c>
      <c r="R887" s="2" t="inlineStr"/>
    </row>
    <row r="888" ht="15" customHeight="1">
      <c r="A888" t="inlineStr">
        <is>
          <t>A 2387-2025</t>
        </is>
      </c>
      <c r="B888" s="1" t="n">
        <v>45674</v>
      </c>
      <c r="C888" s="1" t="n">
        <v>46089</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30333-2025</t>
        </is>
      </c>
      <c r="B889" s="1" t="n">
        <v>45827</v>
      </c>
      <c r="C889" s="1" t="n">
        <v>46089</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44995-2025</t>
        </is>
      </c>
      <c r="B890" s="1" t="n">
        <v>45918</v>
      </c>
      <c r="C890" s="1" t="n">
        <v>46089</v>
      </c>
      <c r="D890" t="inlineStr">
        <is>
          <t>VÄRMLANDS LÄN</t>
        </is>
      </c>
      <c r="E890" t="inlineStr">
        <is>
          <t>TORSBY</t>
        </is>
      </c>
      <c r="F890" t="inlineStr">
        <is>
          <t>Bergvik skog väst AB</t>
        </is>
      </c>
      <c r="G890" t="n">
        <v>18.7</v>
      </c>
      <c r="H890" t="n">
        <v>0</v>
      </c>
      <c r="I890" t="n">
        <v>0</v>
      </c>
      <c r="J890" t="n">
        <v>0</v>
      </c>
      <c r="K890" t="n">
        <v>0</v>
      </c>
      <c r="L890" t="n">
        <v>0</v>
      </c>
      <c r="M890" t="n">
        <v>0</v>
      </c>
      <c r="N890" t="n">
        <v>0</v>
      </c>
      <c r="O890" t="n">
        <v>0</v>
      </c>
      <c r="P890" t="n">
        <v>0</v>
      </c>
      <c r="Q890" t="n">
        <v>0</v>
      </c>
      <c r="R890" s="2" t="inlineStr"/>
      <c r="U890">
        <f>HYPERLINK("https://klasma.github.io/Logging_1737/knärot/A 44995-2025 karta knärot.png", "A 44995-2025")</f>
        <v/>
      </c>
      <c r="V890">
        <f>HYPERLINK("https://klasma.github.io/Logging_1737/klagomål/A 44995-2025 FSC-klagomål.docx", "A 44995-2025")</f>
        <v/>
      </c>
      <c r="W890">
        <f>HYPERLINK("https://klasma.github.io/Logging_1737/klagomålsmail/A 44995-2025 FSC-klagomål mail.docx", "A 44995-2025")</f>
        <v/>
      </c>
      <c r="X890">
        <f>HYPERLINK("https://klasma.github.io/Logging_1737/tillsyn/A 44995-2025 tillsynsbegäran.docx", "A 44995-2025")</f>
        <v/>
      </c>
      <c r="Y890">
        <f>HYPERLINK("https://klasma.github.io/Logging_1737/tillsynsmail/A 44995-2025 tillsynsbegäran mail.docx", "A 44995-2025")</f>
        <v/>
      </c>
    </row>
    <row r="891" ht="15" customHeight="1">
      <c r="A891" t="inlineStr">
        <is>
          <t>A 45043-2025</t>
        </is>
      </c>
      <c r="B891" s="1" t="n">
        <v>45918.92902777778</v>
      </c>
      <c r="C891" s="1" t="n">
        <v>46089</v>
      </c>
      <c r="D891" t="inlineStr">
        <is>
          <t>VÄRMLANDS LÄN</t>
        </is>
      </c>
      <c r="E891" t="inlineStr">
        <is>
          <t>TORSBY</t>
        </is>
      </c>
      <c r="G891" t="n">
        <v>1.4</v>
      </c>
      <c r="H891" t="n">
        <v>0</v>
      </c>
      <c r="I891" t="n">
        <v>0</v>
      </c>
      <c r="J891" t="n">
        <v>0</v>
      </c>
      <c r="K891" t="n">
        <v>0</v>
      </c>
      <c r="L891" t="n">
        <v>0</v>
      </c>
      <c r="M891" t="n">
        <v>0</v>
      </c>
      <c r="N891" t="n">
        <v>0</v>
      </c>
      <c r="O891" t="n">
        <v>0</v>
      </c>
      <c r="P891" t="n">
        <v>0</v>
      </c>
      <c r="Q891" t="n">
        <v>0</v>
      </c>
      <c r="R891" s="2" t="inlineStr"/>
    </row>
    <row r="892" ht="15" customHeight="1">
      <c r="A892" t="inlineStr">
        <is>
          <t>A 45268-2025</t>
        </is>
      </c>
      <c r="B892" s="1" t="n">
        <v>45919.66782407407</v>
      </c>
      <c r="C892" s="1" t="n">
        <v>46089</v>
      </c>
      <c r="D892" t="inlineStr">
        <is>
          <t>VÄRMLANDS LÄN</t>
        </is>
      </c>
      <c r="E892" t="inlineStr">
        <is>
          <t>TORSBY</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45269-2025</t>
        </is>
      </c>
      <c r="B893" s="1" t="n">
        <v>45919.67443287037</v>
      </c>
      <c r="C893" s="1" t="n">
        <v>46089</v>
      </c>
      <c r="D893" t="inlineStr">
        <is>
          <t>VÄRMLANDS LÄN</t>
        </is>
      </c>
      <c r="E893" t="inlineStr">
        <is>
          <t>TORSBY</t>
        </is>
      </c>
      <c r="F893" t="inlineStr">
        <is>
          <t>Bergvik skog väst AB</t>
        </is>
      </c>
      <c r="G893" t="n">
        <v>3.4</v>
      </c>
      <c r="H893" t="n">
        <v>0</v>
      </c>
      <c r="I893" t="n">
        <v>0</v>
      </c>
      <c r="J893" t="n">
        <v>0</v>
      </c>
      <c r="K893" t="n">
        <v>0</v>
      </c>
      <c r="L893" t="n">
        <v>0</v>
      </c>
      <c r="M893" t="n">
        <v>0</v>
      </c>
      <c r="N893" t="n">
        <v>0</v>
      </c>
      <c r="O893" t="n">
        <v>0</v>
      </c>
      <c r="P893" t="n">
        <v>0</v>
      </c>
      <c r="Q893" t="n">
        <v>0</v>
      </c>
      <c r="R893" s="2" t="inlineStr"/>
    </row>
    <row r="894" ht="15" customHeight="1">
      <c r="A894" t="inlineStr">
        <is>
          <t>A 30607-2025</t>
        </is>
      </c>
      <c r="B894" s="1" t="n">
        <v>45831.4584375</v>
      </c>
      <c r="C894" s="1" t="n">
        <v>46089</v>
      </c>
      <c r="D894" t="inlineStr">
        <is>
          <t>VÄRMLANDS LÄN</t>
        </is>
      </c>
      <c r="E894" t="inlineStr">
        <is>
          <t>TORSBY</t>
        </is>
      </c>
      <c r="G894" t="n">
        <v>2.1</v>
      </c>
      <c r="H894" t="n">
        <v>0</v>
      </c>
      <c r="I894" t="n">
        <v>0</v>
      </c>
      <c r="J894" t="n">
        <v>0</v>
      </c>
      <c r="K894" t="n">
        <v>0</v>
      </c>
      <c r="L894" t="n">
        <v>0</v>
      </c>
      <c r="M894" t="n">
        <v>0</v>
      </c>
      <c r="N894" t="n">
        <v>0</v>
      </c>
      <c r="O894" t="n">
        <v>0</v>
      </c>
      <c r="P894" t="n">
        <v>0</v>
      </c>
      <c r="Q894" t="n">
        <v>0</v>
      </c>
      <c r="R894" s="2" t="inlineStr"/>
    </row>
    <row r="895" ht="15" customHeight="1">
      <c r="A895" t="inlineStr">
        <is>
          <t>A 44821-2025</t>
        </is>
      </c>
      <c r="B895" s="1" t="n">
        <v>45918</v>
      </c>
      <c r="C895" s="1" t="n">
        <v>46089</v>
      </c>
      <c r="D895" t="inlineStr">
        <is>
          <t>VÄRMLANDS LÄN</t>
        </is>
      </c>
      <c r="E895" t="inlineStr">
        <is>
          <t>TORSBY</t>
        </is>
      </c>
      <c r="F895" t="inlineStr">
        <is>
          <t>Bergvik skog väst AB</t>
        </is>
      </c>
      <c r="G895" t="n">
        <v>10.9</v>
      </c>
      <c r="H895" t="n">
        <v>0</v>
      </c>
      <c r="I895" t="n">
        <v>0</v>
      </c>
      <c r="J895" t="n">
        <v>0</v>
      </c>
      <c r="K895" t="n">
        <v>0</v>
      </c>
      <c r="L895" t="n">
        <v>0</v>
      </c>
      <c r="M895" t="n">
        <v>0</v>
      </c>
      <c r="N895" t="n">
        <v>0</v>
      </c>
      <c r="O895" t="n">
        <v>0</v>
      </c>
      <c r="P895" t="n">
        <v>0</v>
      </c>
      <c r="Q895" t="n">
        <v>0</v>
      </c>
      <c r="R895" s="2" t="inlineStr"/>
    </row>
    <row r="896" ht="15" customHeight="1">
      <c r="A896" t="inlineStr">
        <is>
          <t>A 45093-2025</t>
        </is>
      </c>
      <c r="B896" s="1" t="n">
        <v>45919.38398148148</v>
      </c>
      <c r="C896" s="1" t="n">
        <v>46089</v>
      </c>
      <c r="D896" t="inlineStr">
        <is>
          <t>VÄRMLANDS LÄN</t>
        </is>
      </c>
      <c r="E896" t="inlineStr">
        <is>
          <t>TORSBY</t>
        </is>
      </c>
      <c r="G896" t="n">
        <v>4.2</v>
      </c>
      <c r="H896" t="n">
        <v>0</v>
      </c>
      <c r="I896" t="n">
        <v>0</v>
      </c>
      <c r="J896" t="n">
        <v>0</v>
      </c>
      <c r="K896" t="n">
        <v>0</v>
      </c>
      <c r="L896" t="n">
        <v>0</v>
      </c>
      <c r="M896" t="n">
        <v>0</v>
      </c>
      <c r="N896" t="n">
        <v>0</v>
      </c>
      <c r="O896" t="n">
        <v>0</v>
      </c>
      <c r="P896" t="n">
        <v>0</v>
      </c>
      <c r="Q896" t="n">
        <v>0</v>
      </c>
      <c r="R896" s="2" t="inlineStr"/>
    </row>
    <row r="897" ht="15" customHeight="1">
      <c r="A897" t="inlineStr">
        <is>
          <t>A 62090-2024</t>
        </is>
      </c>
      <c r="B897" s="1" t="n">
        <v>45656</v>
      </c>
      <c r="C897" s="1" t="n">
        <v>46089</v>
      </c>
      <c r="D897" t="inlineStr">
        <is>
          <t>VÄRMLANDS LÄN</t>
        </is>
      </c>
      <c r="E897" t="inlineStr">
        <is>
          <t>TORSBY</t>
        </is>
      </c>
      <c r="G897" t="n">
        <v>2.8</v>
      </c>
      <c r="H897" t="n">
        <v>0</v>
      </c>
      <c r="I897" t="n">
        <v>0</v>
      </c>
      <c r="J897" t="n">
        <v>0</v>
      </c>
      <c r="K897" t="n">
        <v>0</v>
      </c>
      <c r="L897" t="n">
        <v>0</v>
      </c>
      <c r="M897" t="n">
        <v>0</v>
      </c>
      <c r="N897" t="n">
        <v>0</v>
      </c>
      <c r="O897" t="n">
        <v>0</v>
      </c>
      <c r="P897" t="n">
        <v>0</v>
      </c>
      <c r="Q897" t="n">
        <v>0</v>
      </c>
      <c r="R897" s="2" t="inlineStr"/>
    </row>
    <row r="898" ht="15" customHeight="1">
      <c r="A898" t="inlineStr">
        <is>
          <t>A 62092-2024</t>
        </is>
      </c>
      <c r="B898" s="1" t="n">
        <v>45656</v>
      </c>
      <c r="C898" s="1" t="n">
        <v>46089</v>
      </c>
      <c r="D898" t="inlineStr">
        <is>
          <t>VÄRMLANDS LÄN</t>
        </is>
      </c>
      <c r="E898" t="inlineStr">
        <is>
          <t>TORSBY</t>
        </is>
      </c>
      <c r="G898" t="n">
        <v>3.7</v>
      </c>
      <c r="H898" t="n">
        <v>0</v>
      </c>
      <c r="I898" t="n">
        <v>0</v>
      </c>
      <c r="J898" t="n">
        <v>0</v>
      </c>
      <c r="K898" t="n">
        <v>0</v>
      </c>
      <c r="L898" t="n">
        <v>0</v>
      </c>
      <c r="M898" t="n">
        <v>0</v>
      </c>
      <c r="N898" t="n">
        <v>0</v>
      </c>
      <c r="O898" t="n">
        <v>0</v>
      </c>
      <c r="P898" t="n">
        <v>0</v>
      </c>
      <c r="Q898" t="n">
        <v>0</v>
      </c>
      <c r="R898" s="2" t="inlineStr"/>
    </row>
    <row r="899" ht="15" customHeight="1">
      <c r="A899" t="inlineStr">
        <is>
          <t>A 30717-2025</t>
        </is>
      </c>
      <c r="B899" s="1" t="n">
        <v>45831.56103009259</v>
      </c>
      <c r="C899" s="1" t="n">
        <v>46089</v>
      </c>
      <c r="D899" t="inlineStr">
        <is>
          <t>VÄRMLANDS LÄN</t>
        </is>
      </c>
      <c r="E899" t="inlineStr">
        <is>
          <t>TORSBY</t>
        </is>
      </c>
      <c r="G899" t="n">
        <v>3</v>
      </c>
      <c r="H899" t="n">
        <v>0</v>
      </c>
      <c r="I899" t="n">
        <v>0</v>
      </c>
      <c r="J899" t="n">
        <v>0</v>
      </c>
      <c r="K899" t="n">
        <v>0</v>
      </c>
      <c r="L899" t="n">
        <v>0</v>
      </c>
      <c r="M899" t="n">
        <v>0</v>
      </c>
      <c r="N899" t="n">
        <v>0</v>
      </c>
      <c r="O899" t="n">
        <v>0</v>
      </c>
      <c r="P899" t="n">
        <v>0</v>
      </c>
      <c r="Q899" t="n">
        <v>0</v>
      </c>
      <c r="R899" s="2" t="inlineStr"/>
    </row>
    <row r="900" ht="15" customHeight="1">
      <c r="A900" t="inlineStr">
        <is>
          <t>A 44808-2025</t>
        </is>
      </c>
      <c r="B900" s="1" t="n">
        <v>45918</v>
      </c>
      <c r="C900" s="1" t="n">
        <v>46089</v>
      </c>
      <c r="D900" t="inlineStr">
        <is>
          <t>VÄRMLANDS LÄN</t>
        </is>
      </c>
      <c r="E900" t="inlineStr">
        <is>
          <t>TORSBY</t>
        </is>
      </c>
      <c r="G900" t="n">
        <v>7.2</v>
      </c>
      <c r="H900" t="n">
        <v>0</v>
      </c>
      <c r="I900" t="n">
        <v>0</v>
      </c>
      <c r="J900" t="n">
        <v>0</v>
      </c>
      <c r="K900" t="n">
        <v>0</v>
      </c>
      <c r="L900" t="n">
        <v>0</v>
      </c>
      <c r="M900" t="n">
        <v>0</v>
      </c>
      <c r="N900" t="n">
        <v>0</v>
      </c>
      <c r="O900" t="n">
        <v>0</v>
      </c>
      <c r="P900" t="n">
        <v>0</v>
      </c>
      <c r="Q900" t="n">
        <v>0</v>
      </c>
      <c r="R900" s="2" t="inlineStr"/>
    </row>
    <row r="901" ht="15" customHeight="1">
      <c r="A901" t="inlineStr">
        <is>
          <t>A 45108-2025</t>
        </is>
      </c>
      <c r="B901" s="1" t="n">
        <v>45919.41467592592</v>
      </c>
      <c r="C901" s="1" t="n">
        <v>46089</v>
      </c>
      <c r="D901" t="inlineStr">
        <is>
          <t>VÄRMLANDS LÄN</t>
        </is>
      </c>
      <c r="E901" t="inlineStr">
        <is>
          <t>TORSBY</t>
        </is>
      </c>
      <c r="F901" t="inlineStr">
        <is>
          <t>Bergvik skog väst AB</t>
        </is>
      </c>
      <c r="G901" t="n">
        <v>24.4</v>
      </c>
      <c r="H901" t="n">
        <v>0</v>
      </c>
      <c r="I901" t="n">
        <v>0</v>
      </c>
      <c r="J901" t="n">
        <v>0</v>
      </c>
      <c r="K901" t="n">
        <v>0</v>
      </c>
      <c r="L901" t="n">
        <v>0</v>
      </c>
      <c r="M901" t="n">
        <v>0</v>
      </c>
      <c r="N901" t="n">
        <v>0</v>
      </c>
      <c r="O901" t="n">
        <v>0</v>
      </c>
      <c r="P901" t="n">
        <v>0</v>
      </c>
      <c r="Q901" t="n">
        <v>0</v>
      </c>
      <c r="R901" s="2" t="inlineStr"/>
    </row>
    <row r="902" ht="15" customHeight="1">
      <c r="A902" t="inlineStr">
        <is>
          <t>A 45133-2025</t>
        </is>
      </c>
      <c r="B902" s="1" t="n">
        <v>45919.4447337963</v>
      </c>
      <c r="C902" s="1" t="n">
        <v>46089</v>
      </c>
      <c r="D902" t="inlineStr">
        <is>
          <t>VÄRMLANDS LÄN</t>
        </is>
      </c>
      <c r="E902" t="inlineStr">
        <is>
          <t>TORSBY</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44794-2025</t>
        </is>
      </c>
      <c r="B903" s="1" t="n">
        <v>45918.34465277778</v>
      </c>
      <c r="C903" s="1" t="n">
        <v>46089</v>
      </c>
      <c r="D903" t="inlineStr">
        <is>
          <t>VÄRMLANDS LÄN</t>
        </is>
      </c>
      <c r="E903" t="inlineStr">
        <is>
          <t>TORSBY</t>
        </is>
      </c>
      <c r="G903" t="n">
        <v>3.4</v>
      </c>
      <c r="H903" t="n">
        <v>0</v>
      </c>
      <c r="I903" t="n">
        <v>0</v>
      </c>
      <c r="J903" t="n">
        <v>0</v>
      </c>
      <c r="K903" t="n">
        <v>0</v>
      </c>
      <c r="L903" t="n">
        <v>0</v>
      </c>
      <c r="M903" t="n">
        <v>0</v>
      </c>
      <c r="N903" t="n">
        <v>0</v>
      </c>
      <c r="O903" t="n">
        <v>0</v>
      </c>
      <c r="P903" t="n">
        <v>0</v>
      </c>
      <c r="Q903" t="n">
        <v>0</v>
      </c>
      <c r="R903" s="2" t="inlineStr"/>
    </row>
    <row r="904" ht="15" customHeight="1">
      <c r="A904" t="inlineStr">
        <is>
          <t>A 44817-2025</t>
        </is>
      </c>
      <c r="B904" s="1" t="n">
        <v>45918</v>
      </c>
      <c r="C904" s="1" t="n">
        <v>46089</v>
      </c>
      <c r="D904" t="inlineStr">
        <is>
          <t>VÄRMLANDS LÄN</t>
        </is>
      </c>
      <c r="E904" t="inlineStr">
        <is>
          <t>TORSBY</t>
        </is>
      </c>
      <c r="F904" t="inlineStr">
        <is>
          <t>Bergvik skog väst AB</t>
        </is>
      </c>
      <c r="G904" t="n">
        <v>6.2</v>
      </c>
      <c r="H904" t="n">
        <v>0</v>
      </c>
      <c r="I904" t="n">
        <v>0</v>
      </c>
      <c r="J904" t="n">
        <v>0</v>
      </c>
      <c r="K904" t="n">
        <v>0</v>
      </c>
      <c r="L904" t="n">
        <v>0</v>
      </c>
      <c r="M904" t="n">
        <v>0</v>
      </c>
      <c r="N904" t="n">
        <v>0</v>
      </c>
      <c r="O904" t="n">
        <v>0</v>
      </c>
      <c r="P904" t="n">
        <v>0</v>
      </c>
      <c r="Q904" t="n">
        <v>0</v>
      </c>
      <c r="R904" s="2" t="inlineStr"/>
    </row>
    <row r="905" ht="15" customHeight="1">
      <c r="A905" t="inlineStr">
        <is>
          <t>A 44292-2025</t>
        </is>
      </c>
      <c r="B905" s="1" t="n">
        <v>45915</v>
      </c>
      <c r="C905" s="1" t="n">
        <v>46089</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32988-2024</t>
        </is>
      </c>
      <c r="B906" s="1" t="n">
        <v>45517.46616898148</v>
      </c>
      <c r="C906" s="1" t="n">
        <v>46089</v>
      </c>
      <c r="D906" t="inlineStr">
        <is>
          <t>VÄRMLANDS LÄN</t>
        </is>
      </c>
      <c r="E906" t="inlineStr">
        <is>
          <t>TORSBY</t>
        </is>
      </c>
      <c r="G906" t="n">
        <v>1</v>
      </c>
      <c r="H906" t="n">
        <v>0</v>
      </c>
      <c r="I906" t="n">
        <v>0</v>
      </c>
      <c r="J906" t="n">
        <v>0</v>
      </c>
      <c r="K906" t="n">
        <v>0</v>
      </c>
      <c r="L906" t="n">
        <v>0</v>
      </c>
      <c r="M906" t="n">
        <v>0</v>
      </c>
      <c r="N906" t="n">
        <v>0</v>
      </c>
      <c r="O906" t="n">
        <v>0</v>
      </c>
      <c r="P906" t="n">
        <v>0</v>
      </c>
      <c r="Q906" t="n">
        <v>0</v>
      </c>
      <c r="R906" s="2" t="inlineStr"/>
    </row>
    <row r="907" ht="15" customHeight="1">
      <c r="A907" t="inlineStr">
        <is>
          <t>A 44901-2025</t>
        </is>
      </c>
      <c r="B907" s="1" t="n">
        <v>45918</v>
      </c>
      <c r="C907" s="1" t="n">
        <v>46089</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30560-2025</t>
        </is>
      </c>
      <c r="B908" s="1" t="n">
        <v>45831.39497685185</v>
      </c>
      <c r="C908" s="1" t="n">
        <v>46089</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22421-2024</t>
        </is>
      </c>
      <c r="B909" s="1" t="n">
        <v>45446.70890046296</v>
      </c>
      <c r="C909" s="1" t="n">
        <v>46089</v>
      </c>
      <c r="D909" t="inlineStr">
        <is>
          <t>VÄRMLANDS LÄN</t>
        </is>
      </c>
      <c r="E909" t="inlineStr">
        <is>
          <t>TORSBY</t>
        </is>
      </c>
      <c r="G909" t="n">
        <v>8.9</v>
      </c>
      <c r="H909" t="n">
        <v>0</v>
      </c>
      <c r="I909" t="n">
        <v>0</v>
      </c>
      <c r="J909" t="n">
        <v>0</v>
      </c>
      <c r="K909" t="n">
        <v>0</v>
      </c>
      <c r="L909" t="n">
        <v>0</v>
      </c>
      <c r="M909" t="n">
        <v>0</v>
      </c>
      <c r="N909" t="n">
        <v>0</v>
      </c>
      <c r="O909" t="n">
        <v>0</v>
      </c>
      <c r="P909" t="n">
        <v>0</v>
      </c>
      <c r="Q909" t="n">
        <v>0</v>
      </c>
      <c r="R909" s="2" t="inlineStr"/>
    </row>
    <row r="910" ht="15" customHeight="1">
      <c r="A910" t="inlineStr">
        <is>
          <t>A 30738-2025</t>
        </is>
      </c>
      <c r="B910" s="1" t="n">
        <v>45831.57583333334</v>
      </c>
      <c r="C910" s="1" t="n">
        <v>46089</v>
      </c>
      <c r="D910" t="inlineStr">
        <is>
          <t>VÄRMLANDS LÄN</t>
        </is>
      </c>
      <c r="E910" t="inlineStr">
        <is>
          <t>TORSBY</t>
        </is>
      </c>
      <c r="G910" t="n">
        <v>8.1</v>
      </c>
      <c r="H910" t="n">
        <v>0</v>
      </c>
      <c r="I910" t="n">
        <v>0</v>
      </c>
      <c r="J910" t="n">
        <v>0</v>
      </c>
      <c r="K910" t="n">
        <v>0</v>
      </c>
      <c r="L910" t="n">
        <v>0</v>
      </c>
      <c r="M910" t="n">
        <v>0</v>
      </c>
      <c r="N910" t="n">
        <v>0</v>
      </c>
      <c r="O910" t="n">
        <v>0</v>
      </c>
      <c r="P910" t="n">
        <v>0</v>
      </c>
      <c r="Q910" t="n">
        <v>0</v>
      </c>
      <c r="R910" s="2" t="inlineStr"/>
    </row>
    <row r="911" ht="15" customHeight="1">
      <c r="A911" t="inlineStr">
        <is>
          <t>A 59872-2023</t>
        </is>
      </c>
      <c r="B911" s="1" t="n">
        <v>45257.58666666667</v>
      </c>
      <c r="C911" s="1" t="n">
        <v>46089</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43157-2021</t>
        </is>
      </c>
      <c r="B912" s="1" t="n">
        <v>44431</v>
      </c>
      <c r="C912" s="1" t="n">
        <v>46089</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17024-2024</t>
        </is>
      </c>
      <c r="B913" s="1" t="n">
        <v>45412.38322916667</v>
      </c>
      <c r="C913" s="1" t="n">
        <v>46089</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44976-2025</t>
        </is>
      </c>
      <c r="B914" s="1" t="n">
        <v>45918</v>
      </c>
      <c r="C914" s="1" t="n">
        <v>46089</v>
      </c>
      <c r="D914" t="inlineStr">
        <is>
          <t>VÄRMLANDS LÄN</t>
        </is>
      </c>
      <c r="E914" t="inlineStr">
        <is>
          <t>TORSBY</t>
        </is>
      </c>
      <c r="F914" t="inlineStr">
        <is>
          <t>Bergvik skog väst AB</t>
        </is>
      </c>
      <c r="G914" t="n">
        <v>2.6</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46089</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45380-2025</t>
        </is>
      </c>
      <c r="B916" s="1" t="n">
        <v>45922</v>
      </c>
      <c r="C916" s="1" t="n">
        <v>46089</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52801-2024</t>
        </is>
      </c>
      <c r="B917" s="1" t="n">
        <v>45610.56784722222</v>
      </c>
      <c r="C917" s="1" t="n">
        <v>46089</v>
      </c>
      <c r="D917" t="inlineStr">
        <is>
          <t>VÄRMLANDS LÄN</t>
        </is>
      </c>
      <c r="E917" t="inlineStr">
        <is>
          <t>TORSBY</t>
        </is>
      </c>
      <c r="G917" t="n">
        <v>7.4</v>
      </c>
      <c r="H917" t="n">
        <v>0</v>
      </c>
      <c r="I917" t="n">
        <v>0</v>
      </c>
      <c r="J917" t="n">
        <v>0</v>
      </c>
      <c r="K917" t="n">
        <v>0</v>
      </c>
      <c r="L917" t="n">
        <v>0</v>
      </c>
      <c r="M917" t="n">
        <v>0</v>
      </c>
      <c r="N917" t="n">
        <v>0</v>
      </c>
      <c r="O917" t="n">
        <v>0</v>
      </c>
      <c r="P917" t="n">
        <v>0</v>
      </c>
      <c r="Q917" t="n">
        <v>0</v>
      </c>
      <c r="R917" s="2" t="inlineStr"/>
    </row>
    <row r="918" ht="15" customHeight="1">
      <c r="A918" t="inlineStr">
        <is>
          <t>A 31101-2025</t>
        </is>
      </c>
      <c r="B918" s="1" t="n">
        <v>45832</v>
      </c>
      <c r="C918" s="1" t="n">
        <v>46089</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30789-2024</t>
        </is>
      </c>
      <c r="B919" s="1" t="n">
        <v>45497.178125</v>
      </c>
      <c r="C919" s="1" t="n">
        <v>46089</v>
      </c>
      <c r="D919" t="inlineStr">
        <is>
          <t>VÄRMLANDS LÄN</t>
        </is>
      </c>
      <c r="E919" t="inlineStr">
        <is>
          <t>TORSBY</t>
        </is>
      </c>
      <c r="G919" t="n">
        <v>5.2</v>
      </c>
      <c r="H919" t="n">
        <v>0</v>
      </c>
      <c r="I919" t="n">
        <v>0</v>
      </c>
      <c r="J919" t="n">
        <v>0</v>
      </c>
      <c r="K919" t="n">
        <v>0</v>
      </c>
      <c r="L919" t="n">
        <v>0</v>
      </c>
      <c r="M919" t="n">
        <v>0</v>
      </c>
      <c r="N919" t="n">
        <v>0</v>
      </c>
      <c r="O919" t="n">
        <v>0</v>
      </c>
      <c r="P919" t="n">
        <v>0</v>
      </c>
      <c r="Q919" t="n">
        <v>0</v>
      </c>
      <c r="R919" s="2" t="inlineStr"/>
    </row>
    <row r="920" ht="15" customHeight="1">
      <c r="A920" t="inlineStr">
        <is>
          <t>A 45425-2025</t>
        </is>
      </c>
      <c r="B920" s="1" t="n">
        <v>45922.45195601852</v>
      </c>
      <c r="C920" s="1" t="n">
        <v>46089</v>
      </c>
      <c r="D920" t="inlineStr">
        <is>
          <t>VÄRMLANDS LÄN</t>
        </is>
      </c>
      <c r="E920" t="inlineStr">
        <is>
          <t>TORSBY</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45357-2025</t>
        </is>
      </c>
      <c r="B921" s="1" t="n">
        <v>45922.36716435185</v>
      </c>
      <c r="C921" s="1" t="n">
        <v>46089</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31547-2025</t>
        </is>
      </c>
      <c r="B922" s="1" t="n">
        <v>45833.63733796297</v>
      </c>
      <c r="C922" s="1" t="n">
        <v>46089</v>
      </c>
      <c r="D922" t="inlineStr">
        <is>
          <t>VÄRMLANDS LÄN</t>
        </is>
      </c>
      <c r="E922" t="inlineStr">
        <is>
          <t>TORSBY</t>
        </is>
      </c>
      <c r="F922" t="inlineStr">
        <is>
          <t>Bergvik skog väst AB</t>
        </is>
      </c>
      <c r="G922" t="n">
        <v>7.9</v>
      </c>
      <c r="H922" t="n">
        <v>0</v>
      </c>
      <c r="I922" t="n">
        <v>0</v>
      </c>
      <c r="J922" t="n">
        <v>0</v>
      </c>
      <c r="K922" t="n">
        <v>0</v>
      </c>
      <c r="L922" t="n">
        <v>0</v>
      </c>
      <c r="M922" t="n">
        <v>0</v>
      </c>
      <c r="N922" t="n">
        <v>0</v>
      </c>
      <c r="O922" t="n">
        <v>0</v>
      </c>
      <c r="P922" t="n">
        <v>0</v>
      </c>
      <c r="Q922" t="n">
        <v>0</v>
      </c>
      <c r="R922" s="2" t="inlineStr"/>
    </row>
    <row r="923" ht="15" customHeight="1">
      <c r="A923" t="inlineStr">
        <is>
          <t>A 31335-2025</t>
        </is>
      </c>
      <c r="B923" s="1" t="n">
        <v>45833.42608796297</v>
      </c>
      <c r="C923" s="1" t="n">
        <v>46089</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46089</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27101-2024</t>
        </is>
      </c>
      <c r="B925" s="1" t="n">
        <v>45471</v>
      </c>
      <c r="C925" s="1" t="n">
        <v>46089</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27116-2024</t>
        </is>
      </c>
      <c r="B926" s="1" t="n">
        <v>45471.5056712963</v>
      </c>
      <c r="C926" s="1" t="n">
        <v>46089</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45360-2025</t>
        </is>
      </c>
      <c r="B927" s="1" t="n">
        <v>45922.37266203704</v>
      </c>
      <c r="C927" s="1" t="n">
        <v>46089</v>
      </c>
      <c r="D927" t="inlineStr">
        <is>
          <t>VÄRMLANDS LÄN</t>
        </is>
      </c>
      <c r="E927" t="inlineStr">
        <is>
          <t>TORSBY</t>
        </is>
      </c>
      <c r="F927" t="inlineStr">
        <is>
          <t>Kommuner</t>
        </is>
      </c>
      <c r="G927" t="n">
        <v>1.1</v>
      </c>
      <c r="H927" t="n">
        <v>0</v>
      </c>
      <c r="I927" t="n">
        <v>0</v>
      </c>
      <c r="J927" t="n">
        <v>0</v>
      </c>
      <c r="K927" t="n">
        <v>0</v>
      </c>
      <c r="L927" t="n">
        <v>0</v>
      </c>
      <c r="M927" t="n">
        <v>0</v>
      </c>
      <c r="N927" t="n">
        <v>0</v>
      </c>
      <c r="O927" t="n">
        <v>0</v>
      </c>
      <c r="P927" t="n">
        <v>0</v>
      </c>
      <c r="Q927" t="n">
        <v>0</v>
      </c>
      <c r="R927" s="2" t="inlineStr"/>
    </row>
    <row r="928" ht="15" customHeight="1">
      <c r="A928" t="inlineStr">
        <is>
          <t>A 45615-2025</t>
        </is>
      </c>
      <c r="B928" s="1" t="n">
        <v>45921</v>
      </c>
      <c r="C928" s="1" t="n">
        <v>46089</v>
      </c>
      <c r="D928" t="inlineStr">
        <is>
          <t>VÄRMLANDS LÄN</t>
        </is>
      </c>
      <c r="E928" t="inlineStr">
        <is>
          <t>TORSBY</t>
        </is>
      </c>
      <c r="G928" t="n">
        <v>7</v>
      </c>
      <c r="H928" t="n">
        <v>0</v>
      </c>
      <c r="I928" t="n">
        <v>0</v>
      </c>
      <c r="J928" t="n">
        <v>0</v>
      </c>
      <c r="K928" t="n">
        <v>0</v>
      </c>
      <c r="L928" t="n">
        <v>0</v>
      </c>
      <c r="M928" t="n">
        <v>0</v>
      </c>
      <c r="N928" t="n">
        <v>0</v>
      </c>
      <c r="O928" t="n">
        <v>0</v>
      </c>
      <c r="P928" t="n">
        <v>0</v>
      </c>
      <c r="Q928" t="n">
        <v>0</v>
      </c>
      <c r="R928" s="2" t="inlineStr"/>
    </row>
    <row r="929" ht="15" customHeight="1">
      <c r="A929" t="inlineStr">
        <is>
          <t>A 45489-2025</t>
        </is>
      </c>
      <c r="B929" s="1" t="n">
        <v>45921</v>
      </c>
      <c r="C929" s="1" t="n">
        <v>46089</v>
      </c>
      <c r="D929" t="inlineStr">
        <is>
          <t>VÄRMLANDS LÄN</t>
        </is>
      </c>
      <c r="E929" t="inlineStr">
        <is>
          <t>TORSBY</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45490-2025</t>
        </is>
      </c>
      <c r="B930" s="1" t="n">
        <v>45921</v>
      </c>
      <c r="C930" s="1" t="n">
        <v>46089</v>
      </c>
      <c r="D930" t="inlineStr">
        <is>
          <t>VÄRMLANDS LÄN</t>
        </is>
      </c>
      <c r="E930" t="inlineStr">
        <is>
          <t>TORSBY</t>
        </is>
      </c>
      <c r="G930" t="n">
        <v>5.2</v>
      </c>
      <c r="H930" t="n">
        <v>0</v>
      </c>
      <c r="I930" t="n">
        <v>0</v>
      </c>
      <c r="J930" t="n">
        <v>0</v>
      </c>
      <c r="K930" t="n">
        <v>0</v>
      </c>
      <c r="L930" t="n">
        <v>0</v>
      </c>
      <c r="M930" t="n">
        <v>0</v>
      </c>
      <c r="N930" t="n">
        <v>0</v>
      </c>
      <c r="O930" t="n">
        <v>0</v>
      </c>
      <c r="P930" t="n">
        <v>0</v>
      </c>
      <c r="Q930" t="n">
        <v>0</v>
      </c>
      <c r="R930" s="2" t="inlineStr"/>
    </row>
    <row r="931" ht="15" customHeight="1">
      <c r="A931" t="inlineStr">
        <is>
          <t>A 45508-2025</t>
        </is>
      </c>
      <c r="B931" s="1" t="n">
        <v>45922</v>
      </c>
      <c r="C931" s="1" t="n">
        <v>46089</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45679-2025</t>
        </is>
      </c>
      <c r="B932" s="1" t="n">
        <v>45923.36864583333</v>
      </c>
      <c r="C932" s="1" t="n">
        <v>46089</v>
      </c>
      <c r="D932" t="inlineStr">
        <is>
          <t>VÄRMLANDS LÄN</t>
        </is>
      </c>
      <c r="E932" t="inlineStr">
        <is>
          <t>TORSBY</t>
        </is>
      </c>
      <c r="F932" t="inlineStr">
        <is>
          <t>Bergvik skog väst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45825-2025</t>
        </is>
      </c>
      <c r="B933" s="1" t="n">
        <v>45923.59983796296</v>
      </c>
      <c r="C933" s="1" t="n">
        <v>46089</v>
      </c>
      <c r="D933" t="inlineStr">
        <is>
          <t>VÄRMLANDS LÄN</t>
        </is>
      </c>
      <c r="E933" t="inlineStr">
        <is>
          <t>TORSBY</t>
        </is>
      </c>
      <c r="G933" t="n">
        <v>11.4</v>
      </c>
      <c r="H933" t="n">
        <v>0</v>
      </c>
      <c r="I933" t="n">
        <v>0</v>
      </c>
      <c r="J933" t="n">
        <v>0</v>
      </c>
      <c r="K933" t="n">
        <v>0</v>
      </c>
      <c r="L933" t="n">
        <v>0</v>
      </c>
      <c r="M933" t="n">
        <v>0</v>
      </c>
      <c r="N933" t="n">
        <v>0</v>
      </c>
      <c r="O933" t="n">
        <v>0</v>
      </c>
      <c r="P933" t="n">
        <v>0</v>
      </c>
      <c r="Q933" t="n">
        <v>0</v>
      </c>
      <c r="R933" s="2" t="inlineStr"/>
    </row>
    <row r="934" ht="15" customHeight="1">
      <c r="A934" t="inlineStr">
        <is>
          <t>A 47619-2024</t>
        </is>
      </c>
      <c r="B934" s="1" t="n">
        <v>45588.32371527778</v>
      </c>
      <c r="C934" s="1" t="n">
        <v>46089</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31416-2025</t>
        </is>
      </c>
      <c r="B935" s="1" t="n">
        <v>45833.48278935185</v>
      </c>
      <c r="C935" s="1" t="n">
        <v>46089</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41130-2022</t>
        </is>
      </c>
      <c r="B936" s="1" t="n">
        <v>44825</v>
      </c>
      <c r="C936" s="1" t="n">
        <v>46089</v>
      </c>
      <c r="D936" t="inlineStr">
        <is>
          <t>VÄRMLANDS LÄN</t>
        </is>
      </c>
      <c r="E936" t="inlineStr">
        <is>
          <t>TORSBY</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2009-2025</t>
        </is>
      </c>
      <c r="B937" s="1" t="n">
        <v>45672</v>
      </c>
      <c r="C937" s="1" t="n">
        <v>46089</v>
      </c>
      <c r="D937" t="inlineStr">
        <is>
          <t>VÄRMLANDS LÄN</t>
        </is>
      </c>
      <c r="E937" t="inlineStr">
        <is>
          <t>TORSBY</t>
        </is>
      </c>
      <c r="G937" t="n">
        <v>3.3</v>
      </c>
      <c r="H937" t="n">
        <v>0</v>
      </c>
      <c r="I937" t="n">
        <v>0</v>
      </c>
      <c r="J937" t="n">
        <v>0</v>
      </c>
      <c r="K937" t="n">
        <v>0</v>
      </c>
      <c r="L937" t="n">
        <v>0</v>
      </c>
      <c r="M937" t="n">
        <v>0</v>
      </c>
      <c r="N937" t="n">
        <v>0</v>
      </c>
      <c r="O937" t="n">
        <v>0</v>
      </c>
      <c r="P937" t="n">
        <v>0</v>
      </c>
      <c r="Q937" t="n">
        <v>0</v>
      </c>
      <c r="R937" s="2" t="inlineStr"/>
    </row>
    <row r="938" ht="15" customHeight="1">
      <c r="A938" t="inlineStr">
        <is>
          <t>A 45967-2025</t>
        </is>
      </c>
      <c r="B938" s="1" t="n">
        <v>45924</v>
      </c>
      <c r="C938" s="1" t="n">
        <v>46089</v>
      </c>
      <c r="D938" t="inlineStr">
        <is>
          <t>VÄRMLANDS LÄN</t>
        </is>
      </c>
      <c r="E938" t="inlineStr">
        <is>
          <t>TORSBY</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32298-2025</t>
        </is>
      </c>
      <c r="B939" s="1" t="n">
        <v>45835.7144675926</v>
      </c>
      <c r="C939" s="1" t="n">
        <v>46089</v>
      </c>
      <c r="D939" t="inlineStr">
        <is>
          <t>VÄRMLANDS LÄN</t>
        </is>
      </c>
      <c r="E939" t="inlineStr">
        <is>
          <t>TORSBY</t>
        </is>
      </c>
      <c r="G939" t="n">
        <v>19.2</v>
      </c>
      <c r="H939" t="n">
        <v>0</v>
      </c>
      <c r="I939" t="n">
        <v>0</v>
      </c>
      <c r="J939" t="n">
        <v>0</v>
      </c>
      <c r="K939" t="n">
        <v>0</v>
      </c>
      <c r="L939" t="n">
        <v>0</v>
      </c>
      <c r="M939" t="n">
        <v>0</v>
      </c>
      <c r="N939" t="n">
        <v>0</v>
      </c>
      <c r="O939" t="n">
        <v>0</v>
      </c>
      <c r="P939" t="n">
        <v>0</v>
      </c>
      <c r="Q939" t="n">
        <v>0</v>
      </c>
      <c r="R939" s="2" t="inlineStr"/>
    </row>
    <row r="940" ht="15" customHeight="1">
      <c r="A940" t="inlineStr">
        <is>
          <t>A 46503-2025</t>
        </is>
      </c>
      <c r="B940" s="1" t="n">
        <v>45925</v>
      </c>
      <c r="C940" s="1" t="n">
        <v>46089</v>
      </c>
      <c r="D940" t="inlineStr">
        <is>
          <t>VÄRMLANDS LÄN</t>
        </is>
      </c>
      <c r="E940" t="inlineStr">
        <is>
          <t>TORSBY</t>
        </is>
      </c>
      <c r="G940" t="n">
        <v>5.4</v>
      </c>
      <c r="H940" t="n">
        <v>0</v>
      </c>
      <c r="I940" t="n">
        <v>0</v>
      </c>
      <c r="J940" t="n">
        <v>0</v>
      </c>
      <c r="K940" t="n">
        <v>0</v>
      </c>
      <c r="L940" t="n">
        <v>0</v>
      </c>
      <c r="M940" t="n">
        <v>0</v>
      </c>
      <c r="N940" t="n">
        <v>0</v>
      </c>
      <c r="O940" t="n">
        <v>0</v>
      </c>
      <c r="P940" t="n">
        <v>0</v>
      </c>
      <c r="Q940" t="n">
        <v>0</v>
      </c>
      <c r="R940" s="2" t="inlineStr"/>
    </row>
    <row r="941" ht="15" customHeight="1">
      <c r="A941" t="inlineStr">
        <is>
          <t>A 14581-2023</t>
        </is>
      </c>
      <c r="B941" s="1" t="n">
        <v>45013.52122685185</v>
      </c>
      <c r="C941" s="1" t="n">
        <v>46089</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46293-2025</t>
        </is>
      </c>
      <c r="B942" s="1" t="n">
        <v>45925.39297453704</v>
      </c>
      <c r="C942" s="1" t="n">
        <v>46089</v>
      </c>
      <c r="D942" t="inlineStr">
        <is>
          <t>VÄRMLANDS LÄN</t>
        </is>
      </c>
      <c r="E942" t="inlineStr">
        <is>
          <t>TORSBY</t>
        </is>
      </c>
      <c r="G942" t="n">
        <v>24.3</v>
      </c>
      <c r="H942" t="n">
        <v>0</v>
      </c>
      <c r="I942" t="n">
        <v>0</v>
      </c>
      <c r="J942" t="n">
        <v>0</v>
      </c>
      <c r="K942" t="n">
        <v>0</v>
      </c>
      <c r="L942" t="n">
        <v>0</v>
      </c>
      <c r="M942" t="n">
        <v>0</v>
      </c>
      <c r="N942" t="n">
        <v>0</v>
      </c>
      <c r="O942" t="n">
        <v>0</v>
      </c>
      <c r="P942" t="n">
        <v>0</v>
      </c>
      <c r="Q942" t="n">
        <v>0</v>
      </c>
      <c r="R942" s="2" t="inlineStr"/>
    </row>
    <row r="943" ht="15" customHeight="1">
      <c r="A943" t="inlineStr">
        <is>
          <t>A 45966-2025</t>
        </is>
      </c>
      <c r="B943" s="1" t="n">
        <v>45924</v>
      </c>
      <c r="C943" s="1" t="n">
        <v>46089</v>
      </c>
      <c r="D943" t="inlineStr">
        <is>
          <t>VÄRMLANDS LÄN</t>
        </is>
      </c>
      <c r="E943" t="inlineStr">
        <is>
          <t>TORSBY</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31850-2025</t>
        </is>
      </c>
      <c r="B944" s="1" t="n">
        <v>45834</v>
      </c>
      <c r="C944" s="1" t="n">
        <v>46089</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54865-2022</t>
        </is>
      </c>
      <c r="B945" s="1" t="n">
        <v>44884</v>
      </c>
      <c r="C945" s="1" t="n">
        <v>46089</v>
      </c>
      <c r="D945" t="inlineStr">
        <is>
          <t>VÄRMLANDS LÄN</t>
        </is>
      </c>
      <c r="E945" t="inlineStr">
        <is>
          <t>TORSBY</t>
        </is>
      </c>
      <c r="G945" t="n">
        <v>2.3</v>
      </c>
      <c r="H945" t="n">
        <v>0</v>
      </c>
      <c r="I945" t="n">
        <v>0</v>
      </c>
      <c r="J945" t="n">
        <v>0</v>
      </c>
      <c r="K945" t="n">
        <v>0</v>
      </c>
      <c r="L945" t="n">
        <v>0</v>
      </c>
      <c r="M945" t="n">
        <v>0</v>
      </c>
      <c r="N945" t="n">
        <v>0</v>
      </c>
      <c r="O945" t="n">
        <v>0</v>
      </c>
      <c r="P945" t="n">
        <v>0</v>
      </c>
      <c r="Q945" t="n">
        <v>0</v>
      </c>
      <c r="R945" s="2" t="inlineStr"/>
    </row>
    <row r="946" ht="15" customHeight="1">
      <c r="A946" t="inlineStr">
        <is>
          <t>A 18897-2024</t>
        </is>
      </c>
      <c r="B946" s="1" t="n">
        <v>45427.34046296297</v>
      </c>
      <c r="C946" s="1" t="n">
        <v>46089</v>
      </c>
      <c r="D946" t="inlineStr">
        <is>
          <t>VÄRMLANDS LÄN</t>
        </is>
      </c>
      <c r="E946" t="inlineStr">
        <is>
          <t>TORSBY</t>
        </is>
      </c>
      <c r="F946" t="inlineStr">
        <is>
          <t>Övriga statliga verk och myndigheter</t>
        </is>
      </c>
      <c r="G946" t="n">
        <v>4.6</v>
      </c>
      <c r="H946" t="n">
        <v>0</v>
      </c>
      <c r="I946" t="n">
        <v>0</v>
      </c>
      <c r="J946" t="n">
        <v>0</v>
      </c>
      <c r="K946" t="n">
        <v>0</v>
      </c>
      <c r="L946" t="n">
        <v>0</v>
      </c>
      <c r="M946" t="n">
        <v>0</v>
      </c>
      <c r="N946" t="n">
        <v>0</v>
      </c>
      <c r="O946" t="n">
        <v>0</v>
      </c>
      <c r="P946" t="n">
        <v>0</v>
      </c>
      <c r="Q946" t="n">
        <v>0</v>
      </c>
      <c r="R946" s="2" t="inlineStr"/>
    </row>
    <row r="947" ht="15" customHeight="1">
      <c r="A947" t="inlineStr">
        <is>
          <t>A 32084-2025</t>
        </is>
      </c>
      <c r="B947" s="1" t="n">
        <v>45835.45379629629</v>
      </c>
      <c r="C947" s="1" t="n">
        <v>46089</v>
      </c>
      <c r="D947" t="inlineStr">
        <is>
          <t>VÄRMLANDS LÄN</t>
        </is>
      </c>
      <c r="E947" t="inlineStr">
        <is>
          <t>TORSBY</t>
        </is>
      </c>
      <c r="F947" t="inlineStr">
        <is>
          <t>Bergvik skog väst AB</t>
        </is>
      </c>
      <c r="G947" t="n">
        <v>3.6</v>
      </c>
      <c r="H947" t="n">
        <v>0</v>
      </c>
      <c r="I947" t="n">
        <v>0</v>
      </c>
      <c r="J947" t="n">
        <v>0</v>
      </c>
      <c r="K947" t="n">
        <v>0</v>
      </c>
      <c r="L947" t="n">
        <v>0</v>
      </c>
      <c r="M947" t="n">
        <v>0</v>
      </c>
      <c r="N947" t="n">
        <v>0</v>
      </c>
      <c r="O947" t="n">
        <v>0</v>
      </c>
      <c r="P947" t="n">
        <v>0</v>
      </c>
      <c r="Q947" t="n">
        <v>0</v>
      </c>
      <c r="R947" s="2" t="inlineStr"/>
    </row>
    <row r="948" ht="15" customHeight="1">
      <c r="A948" t="inlineStr">
        <is>
          <t>A 61157-2023</t>
        </is>
      </c>
      <c r="B948" s="1" t="n">
        <v>45261.98796296296</v>
      </c>
      <c r="C948" s="1" t="n">
        <v>46089</v>
      </c>
      <c r="D948" t="inlineStr">
        <is>
          <t>VÄRMLANDS LÄN</t>
        </is>
      </c>
      <c r="E948" t="inlineStr">
        <is>
          <t>TORSBY</t>
        </is>
      </c>
      <c r="G948" t="n">
        <v>1.9</v>
      </c>
      <c r="H948" t="n">
        <v>0</v>
      </c>
      <c r="I948" t="n">
        <v>0</v>
      </c>
      <c r="J948" t="n">
        <v>0</v>
      </c>
      <c r="K948" t="n">
        <v>0</v>
      </c>
      <c r="L948" t="n">
        <v>0</v>
      </c>
      <c r="M948" t="n">
        <v>0</v>
      </c>
      <c r="N948" t="n">
        <v>0</v>
      </c>
      <c r="O948" t="n">
        <v>0</v>
      </c>
      <c r="P948" t="n">
        <v>0</v>
      </c>
      <c r="Q948" t="n">
        <v>0</v>
      </c>
      <c r="R948" s="2" t="inlineStr"/>
    </row>
    <row r="949" ht="15" customHeight="1">
      <c r="A949" t="inlineStr">
        <is>
          <t>A 2662-2024</t>
        </is>
      </c>
      <c r="B949" s="1" t="n">
        <v>45314.38747685185</v>
      </c>
      <c r="C949" s="1" t="n">
        <v>46089</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44609.43644675926</v>
      </c>
      <c r="C950" s="1" t="n">
        <v>46089</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46334-2025</t>
        </is>
      </c>
      <c r="B951" s="1" t="n">
        <v>45925.45925925926</v>
      </c>
      <c r="C951" s="1" t="n">
        <v>46089</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46493-2025</t>
        </is>
      </c>
      <c r="B952" s="1" t="n">
        <v>45925</v>
      </c>
      <c r="C952" s="1" t="n">
        <v>46089</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31906-2025</t>
        </is>
      </c>
      <c r="B953" s="1" t="n">
        <v>45834.69046296296</v>
      </c>
      <c r="C953" s="1" t="n">
        <v>46089</v>
      </c>
      <c r="D953" t="inlineStr">
        <is>
          <t>VÄRMLANDS LÄN</t>
        </is>
      </c>
      <c r="E953" t="inlineStr">
        <is>
          <t>TORSBY</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32054-2025</t>
        </is>
      </c>
      <c r="B954" s="1" t="n">
        <v>45835</v>
      </c>
      <c r="C954" s="1" t="n">
        <v>46089</v>
      </c>
      <c r="D954" t="inlineStr">
        <is>
          <t>VÄRMLANDS LÄN</t>
        </is>
      </c>
      <c r="E954" t="inlineStr">
        <is>
          <t>TORSBY</t>
        </is>
      </c>
      <c r="G954" t="n">
        <v>13.1</v>
      </c>
      <c r="H954" t="n">
        <v>0</v>
      </c>
      <c r="I954" t="n">
        <v>0</v>
      </c>
      <c r="J954" t="n">
        <v>0</v>
      </c>
      <c r="K954" t="n">
        <v>0</v>
      </c>
      <c r="L954" t="n">
        <v>0</v>
      </c>
      <c r="M954" t="n">
        <v>0</v>
      </c>
      <c r="N954" t="n">
        <v>0</v>
      </c>
      <c r="O954" t="n">
        <v>0</v>
      </c>
      <c r="P954" t="n">
        <v>0</v>
      </c>
      <c r="Q954" t="n">
        <v>0</v>
      </c>
      <c r="R954" s="2" t="inlineStr"/>
    </row>
    <row r="955" ht="15" customHeight="1">
      <c r="A955" t="inlineStr">
        <is>
          <t>A 31672-2025</t>
        </is>
      </c>
      <c r="B955" s="1" t="n">
        <v>45834.36979166666</v>
      </c>
      <c r="C955" s="1" t="n">
        <v>46089</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31902-2025</t>
        </is>
      </c>
      <c r="B956" s="1" t="n">
        <v>45834.68592592593</v>
      </c>
      <c r="C956" s="1" t="n">
        <v>46089</v>
      </c>
      <c r="D956" t="inlineStr">
        <is>
          <t>VÄRMLANDS LÄN</t>
        </is>
      </c>
      <c r="E956" t="inlineStr">
        <is>
          <t>TORSBY</t>
        </is>
      </c>
      <c r="G956" t="n">
        <v>27.1</v>
      </c>
      <c r="H956" t="n">
        <v>0</v>
      </c>
      <c r="I956" t="n">
        <v>0</v>
      </c>
      <c r="J956" t="n">
        <v>0</v>
      </c>
      <c r="K956" t="n">
        <v>0</v>
      </c>
      <c r="L956" t="n">
        <v>0</v>
      </c>
      <c r="M956" t="n">
        <v>0</v>
      </c>
      <c r="N956" t="n">
        <v>0</v>
      </c>
      <c r="O956" t="n">
        <v>0</v>
      </c>
      <c r="P956" t="n">
        <v>0</v>
      </c>
      <c r="Q956" t="n">
        <v>0</v>
      </c>
      <c r="R956" s="2" t="inlineStr"/>
    </row>
    <row r="957" ht="15" customHeight="1">
      <c r="A957" t="inlineStr">
        <is>
          <t>A 32134-2025</t>
        </is>
      </c>
      <c r="B957" s="1" t="n">
        <v>45835.5102662037</v>
      </c>
      <c r="C957" s="1" t="n">
        <v>46089</v>
      </c>
      <c r="D957" t="inlineStr">
        <is>
          <t>VÄRMLANDS LÄN</t>
        </is>
      </c>
      <c r="E957" t="inlineStr">
        <is>
          <t>TORSBY</t>
        </is>
      </c>
      <c r="G957" t="n">
        <v>8.5</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46089</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1166-2023</t>
        </is>
      </c>
      <c r="B959" s="1" t="n">
        <v>44935</v>
      </c>
      <c r="C959" s="1" t="n">
        <v>46089</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11121-2024</t>
        </is>
      </c>
      <c r="B960" s="1" t="n">
        <v>45371.40634259259</v>
      </c>
      <c r="C960" s="1" t="n">
        <v>46089</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59097-2022</t>
        </is>
      </c>
      <c r="B961" s="1" t="n">
        <v>44904</v>
      </c>
      <c r="C961" s="1" t="n">
        <v>46089</v>
      </c>
      <c r="D961" t="inlineStr">
        <is>
          <t>VÄRMLANDS LÄN</t>
        </is>
      </c>
      <c r="E961" t="inlineStr">
        <is>
          <t>TORSBY</t>
        </is>
      </c>
      <c r="G961" t="n">
        <v>6.6</v>
      </c>
      <c r="H961" t="n">
        <v>0</v>
      </c>
      <c r="I961" t="n">
        <v>0</v>
      </c>
      <c r="J961" t="n">
        <v>0</v>
      </c>
      <c r="K961" t="n">
        <v>0</v>
      </c>
      <c r="L961" t="n">
        <v>0</v>
      </c>
      <c r="M961" t="n">
        <v>0</v>
      </c>
      <c r="N961" t="n">
        <v>0</v>
      </c>
      <c r="O961" t="n">
        <v>0</v>
      </c>
      <c r="P961" t="n">
        <v>0</v>
      </c>
      <c r="Q961" t="n">
        <v>0</v>
      </c>
      <c r="R961" s="2" t="inlineStr"/>
    </row>
    <row r="962" ht="15" customHeight="1">
      <c r="A962" t="inlineStr">
        <is>
          <t>A 46243-2025</t>
        </is>
      </c>
      <c r="B962" s="1" t="n">
        <v>45925.32122685185</v>
      </c>
      <c r="C962" s="1" t="n">
        <v>46089</v>
      </c>
      <c r="D962" t="inlineStr">
        <is>
          <t>VÄRMLANDS LÄN</t>
        </is>
      </c>
      <c r="E962" t="inlineStr">
        <is>
          <t>TORSBY</t>
        </is>
      </c>
      <c r="F962" t="inlineStr">
        <is>
          <t>Bergvik skog väst AB</t>
        </is>
      </c>
      <c r="G962" t="n">
        <v>4.8</v>
      </c>
      <c r="H962" t="n">
        <v>0</v>
      </c>
      <c r="I962" t="n">
        <v>0</v>
      </c>
      <c r="J962" t="n">
        <v>0</v>
      </c>
      <c r="K962" t="n">
        <v>0</v>
      </c>
      <c r="L962" t="n">
        <v>0</v>
      </c>
      <c r="M962" t="n">
        <v>0</v>
      </c>
      <c r="N962" t="n">
        <v>0</v>
      </c>
      <c r="O962" t="n">
        <v>0</v>
      </c>
      <c r="P962" t="n">
        <v>0</v>
      </c>
      <c r="Q962" t="n">
        <v>0</v>
      </c>
      <c r="R962" s="2" t="inlineStr"/>
    </row>
    <row r="963" ht="15" customHeight="1">
      <c r="A963" t="inlineStr">
        <is>
          <t>A 32191-2025</t>
        </is>
      </c>
      <c r="B963" s="1" t="n">
        <v>45835.57099537037</v>
      </c>
      <c r="C963" s="1" t="n">
        <v>46089</v>
      </c>
      <c r="D963" t="inlineStr">
        <is>
          <t>VÄRMLANDS LÄN</t>
        </is>
      </c>
      <c r="E963" t="inlineStr">
        <is>
          <t>TORSBY</t>
        </is>
      </c>
      <c r="F963" t="inlineStr">
        <is>
          <t>Bergvik skog väst AB</t>
        </is>
      </c>
      <c r="G963" t="n">
        <v>4.5</v>
      </c>
      <c r="H963" t="n">
        <v>0</v>
      </c>
      <c r="I963" t="n">
        <v>0</v>
      </c>
      <c r="J963" t="n">
        <v>0</v>
      </c>
      <c r="K963" t="n">
        <v>0</v>
      </c>
      <c r="L963" t="n">
        <v>0</v>
      </c>
      <c r="M963" t="n">
        <v>0</v>
      </c>
      <c r="N963" t="n">
        <v>0</v>
      </c>
      <c r="O963" t="n">
        <v>0</v>
      </c>
      <c r="P963" t="n">
        <v>0</v>
      </c>
      <c r="Q963" t="n">
        <v>0</v>
      </c>
      <c r="R963" s="2" t="inlineStr"/>
    </row>
    <row r="964" ht="15" customHeight="1">
      <c r="A964" t="inlineStr">
        <is>
          <t>A 46102-2025</t>
        </is>
      </c>
      <c r="B964" s="1" t="n">
        <v>45924</v>
      </c>
      <c r="C964" s="1" t="n">
        <v>46089</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46110-2025</t>
        </is>
      </c>
      <c r="B965" s="1" t="n">
        <v>45924</v>
      </c>
      <c r="C965" s="1" t="n">
        <v>46089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38699-2022</t>
        </is>
      </c>
      <c r="B966" s="1" t="n">
        <v>44814.53259259259</v>
      </c>
      <c r="C966" s="1" t="n">
        <v>46089</v>
      </c>
      <c r="D966" t="inlineStr">
        <is>
          <t>VÄRMLANDS LÄN</t>
        </is>
      </c>
      <c r="E966" t="inlineStr">
        <is>
          <t>TORSBY</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31630-2025</t>
        </is>
      </c>
      <c r="B967" s="1" t="n">
        <v>45834.32670138889</v>
      </c>
      <c r="C967" s="1" t="n">
        <v>46089</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9942-2025</t>
        </is>
      </c>
      <c r="B968" s="1" t="n">
        <v>45719</v>
      </c>
      <c r="C968" s="1" t="n">
        <v>46089</v>
      </c>
      <c r="D968" t="inlineStr">
        <is>
          <t>VÄRMLANDS LÄN</t>
        </is>
      </c>
      <c r="E968" t="inlineStr">
        <is>
          <t>TORSBY</t>
        </is>
      </c>
      <c r="G968" t="n">
        <v>2.6</v>
      </c>
      <c r="H968" t="n">
        <v>0</v>
      </c>
      <c r="I968" t="n">
        <v>0</v>
      </c>
      <c r="J968" t="n">
        <v>0</v>
      </c>
      <c r="K968" t="n">
        <v>0</v>
      </c>
      <c r="L968" t="n">
        <v>0</v>
      </c>
      <c r="M968" t="n">
        <v>0</v>
      </c>
      <c r="N968" t="n">
        <v>0</v>
      </c>
      <c r="O968" t="n">
        <v>0</v>
      </c>
      <c r="P968" t="n">
        <v>0</v>
      </c>
      <c r="Q968" t="n">
        <v>0</v>
      </c>
      <c r="R968" s="2" t="inlineStr"/>
    </row>
    <row r="969" ht="15" customHeight="1">
      <c r="A969" t="inlineStr">
        <is>
          <t>A 46921-2025</t>
        </is>
      </c>
      <c r="B969" s="1" t="n">
        <v>45929.43655092592</v>
      </c>
      <c r="C969" s="1" t="n">
        <v>46089</v>
      </c>
      <c r="D969" t="inlineStr">
        <is>
          <t>VÄRMLANDS LÄN</t>
        </is>
      </c>
      <c r="E969" t="inlineStr">
        <is>
          <t>TORSBY</t>
        </is>
      </c>
      <c r="G969" t="n">
        <v>7</v>
      </c>
      <c r="H969" t="n">
        <v>0</v>
      </c>
      <c r="I969" t="n">
        <v>0</v>
      </c>
      <c r="J969" t="n">
        <v>0</v>
      </c>
      <c r="K969" t="n">
        <v>0</v>
      </c>
      <c r="L969" t="n">
        <v>0</v>
      </c>
      <c r="M969" t="n">
        <v>0</v>
      </c>
      <c r="N969" t="n">
        <v>0</v>
      </c>
      <c r="O969" t="n">
        <v>0</v>
      </c>
      <c r="P969" t="n">
        <v>0</v>
      </c>
      <c r="Q969" t="n">
        <v>0</v>
      </c>
      <c r="R969" s="2" t="inlineStr"/>
    </row>
    <row r="970" ht="15" customHeight="1">
      <c r="A970" t="inlineStr">
        <is>
          <t>A 46865-2025</t>
        </is>
      </c>
      <c r="B970" s="1" t="n">
        <v>45929</v>
      </c>
      <c r="C970" s="1" t="n">
        <v>46089</v>
      </c>
      <c r="D970" t="inlineStr">
        <is>
          <t>VÄRMLANDS LÄN</t>
        </is>
      </c>
      <c r="E970" t="inlineStr">
        <is>
          <t>TORSBY</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32618-2025</t>
        </is>
      </c>
      <c r="B971" s="1" t="n">
        <v>45838.6435300926</v>
      </c>
      <c r="C971" s="1" t="n">
        <v>46089</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46695-2025</t>
        </is>
      </c>
      <c r="B972" s="1" t="n">
        <v>45926</v>
      </c>
      <c r="C972" s="1" t="n">
        <v>46089</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46658-2025</t>
        </is>
      </c>
      <c r="B973" s="1" t="n">
        <v>45926.49914351852</v>
      </c>
      <c r="C973" s="1" t="n">
        <v>46089</v>
      </c>
      <c r="D973" t="inlineStr">
        <is>
          <t>VÄRMLANDS LÄN</t>
        </is>
      </c>
      <c r="E973" t="inlineStr">
        <is>
          <t>TORSBY</t>
        </is>
      </c>
      <c r="F973" t="inlineStr">
        <is>
          <t>Bergvik skog väst AB</t>
        </is>
      </c>
      <c r="G973" t="n">
        <v>5.4</v>
      </c>
      <c r="H973" t="n">
        <v>0</v>
      </c>
      <c r="I973" t="n">
        <v>0</v>
      </c>
      <c r="J973" t="n">
        <v>0</v>
      </c>
      <c r="K973" t="n">
        <v>0</v>
      </c>
      <c r="L973" t="n">
        <v>0</v>
      </c>
      <c r="M973" t="n">
        <v>0</v>
      </c>
      <c r="N973" t="n">
        <v>0</v>
      </c>
      <c r="O973" t="n">
        <v>0</v>
      </c>
      <c r="P973" t="n">
        <v>0</v>
      </c>
      <c r="Q973" t="n">
        <v>0</v>
      </c>
      <c r="R973" s="2" t="inlineStr"/>
    </row>
    <row r="974" ht="15" customHeight="1">
      <c r="A974" t="inlineStr">
        <is>
          <t>A 46578-2025</t>
        </is>
      </c>
      <c r="B974" s="1" t="n">
        <v>45926.37353009259</v>
      </c>
      <c r="C974" s="1" t="n">
        <v>46089</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47047-2025</t>
        </is>
      </c>
      <c r="B975" s="1" t="n">
        <v>45929</v>
      </c>
      <c r="C975" s="1" t="n">
        <v>46089</v>
      </c>
      <c r="D975" t="inlineStr">
        <is>
          <t>VÄRMLANDS LÄN</t>
        </is>
      </c>
      <c r="E975" t="inlineStr">
        <is>
          <t>TORSBY</t>
        </is>
      </c>
      <c r="F975" t="inlineStr">
        <is>
          <t>Kyrkan</t>
        </is>
      </c>
      <c r="G975" t="n">
        <v>6.6</v>
      </c>
      <c r="H975" t="n">
        <v>0</v>
      </c>
      <c r="I975" t="n">
        <v>0</v>
      </c>
      <c r="J975" t="n">
        <v>0</v>
      </c>
      <c r="K975" t="n">
        <v>0</v>
      </c>
      <c r="L975" t="n">
        <v>0</v>
      </c>
      <c r="M975" t="n">
        <v>0</v>
      </c>
      <c r="N975" t="n">
        <v>0</v>
      </c>
      <c r="O975" t="n">
        <v>0</v>
      </c>
      <c r="P975" t="n">
        <v>0</v>
      </c>
      <c r="Q975" t="n">
        <v>0</v>
      </c>
      <c r="R975" s="2" t="inlineStr"/>
    </row>
    <row r="976" ht="15" customHeight="1">
      <c r="A976" t="inlineStr">
        <is>
          <t>A 33078-2024</t>
        </is>
      </c>
      <c r="B976" s="1" t="n">
        <v>45517</v>
      </c>
      <c r="C976" s="1" t="n">
        <v>46089</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36175-2024</t>
        </is>
      </c>
      <c r="B977" s="1" t="n">
        <v>45534.40834490741</v>
      </c>
      <c r="C977" s="1" t="n">
        <v>46089</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42662-2024</t>
        </is>
      </c>
      <c r="B978" s="1" t="n">
        <v>45566</v>
      </c>
      <c r="C978" s="1" t="n">
        <v>46089</v>
      </c>
      <c r="D978" t="inlineStr">
        <is>
          <t>VÄRMLANDS LÄN</t>
        </is>
      </c>
      <c r="E978" t="inlineStr">
        <is>
          <t>TORSBY</t>
        </is>
      </c>
      <c r="F978" t="inlineStr">
        <is>
          <t>Bergvik skog väst AB</t>
        </is>
      </c>
      <c r="G978" t="n">
        <v>7.9</v>
      </c>
      <c r="H978" t="n">
        <v>0</v>
      </c>
      <c r="I978" t="n">
        <v>0</v>
      </c>
      <c r="J978" t="n">
        <v>0</v>
      </c>
      <c r="K978" t="n">
        <v>0</v>
      </c>
      <c r="L978" t="n">
        <v>0</v>
      </c>
      <c r="M978" t="n">
        <v>0</v>
      </c>
      <c r="N978" t="n">
        <v>0</v>
      </c>
      <c r="O978" t="n">
        <v>0</v>
      </c>
      <c r="P978" t="n">
        <v>0</v>
      </c>
      <c r="Q978" t="n">
        <v>0</v>
      </c>
      <c r="R978" s="2" t="inlineStr"/>
    </row>
    <row r="979" ht="15" customHeight="1">
      <c r="A979" t="inlineStr">
        <is>
          <t>A 32995-2025</t>
        </is>
      </c>
      <c r="B979" s="1" t="n">
        <v>45839</v>
      </c>
      <c r="C979" s="1" t="n">
        <v>46089</v>
      </c>
      <c r="D979" t="inlineStr">
        <is>
          <t>VÄRMLANDS LÄN</t>
        </is>
      </c>
      <c r="E979" t="inlineStr">
        <is>
          <t>TORSBY</t>
        </is>
      </c>
      <c r="G979" t="n">
        <v>5.5</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46089</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32348-2025</t>
        </is>
      </c>
      <c r="B981" s="1" t="n">
        <v>45837.47078703704</v>
      </c>
      <c r="C981" s="1" t="n">
        <v>46089</v>
      </c>
      <c r="D981" t="inlineStr">
        <is>
          <t>VÄRMLANDS LÄN</t>
        </is>
      </c>
      <c r="E981" t="inlineStr">
        <is>
          <t>TORSBY</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20633-2024</t>
        </is>
      </c>
      <c r="B982" s="1" t="n">
        <v>45436</v>
      </c>
      <c r="C982" s="1" t="n">
        <v>46089</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45231-2023</t>
        </is>
      </c>
      <c r="B983" s="1" t="n">
        <v>45191</v>
      </c>
      <c r="C983" s="1" t="n">
        <v>46089</v>
      </c>
      <c r="D983" t="inlineStr">
        <is>
          <t>VÄRMLANDS LÄN</t>
        </is>
      </c>
      <c r="E983" t="inlineStr">
        <is>
          <t>TORSBY</t>
        </is>
      </c>
      <c r="F983" t="inlineStr">
        <is>
          <t>Bergvik skog väst AB</t>
        </is>
      </c>
      <c r="G983" t="n">
        <v>7.8</v>
      </c>
      <c r="H983" t="n">
        <v>0</v>
      </c>
      <c r="I983" t="n">
        <v>0</v>
      </c>
      <c r="J983" t="n">
        <v>0</v>
      </c>
      <c r="K983" t="n">
        <v>0</v>
      </c>
      <c r="L983" t="n">
        <v>0</v>
      </c>
      <c r="M983" t="n">
        <v>0</v>
      </c>
      <c r="N983" t="n">
        <v>0</v>
      </c>
      <c r="O983" t="n">
        <v>0</v>
      </c>
      <c r="P983" t="n">
        <v>0</v>
      </c>
      <c r="Q983" t="n">
        <v>0</v>
      </c>
      <c r="R983" s="2" t="inlineStr"/>
    </row>
    <row r="984" ht="15" customHeight="1">
      <c r="A984" t="inlineStr">
        <is>
          <t>A 40590-2021</t>
        </is>
      </c>
      <c r="B984" s="1" t="n">
        <v>44420</v>
      </c>
      <c r="C984" s="1" t="n">
        <v>46089</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10218-2023</t>
        </is>
      </c>
      <c r="B985" s="1" t="n">
        <v>44986.59697916666</v>
      </c>
      <c r="C985" s="1" t="n">
        <v>46089</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12574-2025</t>
        </is>
      </c>
      <c r="B986" s="1" t="n">
        <v>45732</v>
      </c>
      <c r="C986" s="1" t="n">
        <v>46089</v>
      </c>
      <c r="D986" t="inlineStr">
        <is>
          <t>VÄRMLANDS LÄN</t>
        </is>
      </c>
      <c r="E986" t="inlineStr">
        <is>
          <t>TORSBY</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32331-2025</t>
        </is>
      </c>
      <c r="B987" s="1" t="n">
        <v>45836.50674768518</v>
      </c>
      <c r="C987" s="1" t="n">
        <v>46089</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32342-2025</t>
        </is>
      </c>
      <c r="B988" s="1" t="n">
        <v>45837.34560185186</v>
      </c>
      <c r="C988" s="1" t="n">
        <v>46089</v>
      </c>
      <c r="D988" t="inlineStr">
        <is>
          <t>VÄRMLANDS LÄN</t>
        </is>
      </c>
      <c r="E988" t="inlineStr">
        <is>
          <t>TORSBY</t>
        </is>
      </c>
      <c r="G988" t="n">
        <v>8.1</v>
      </c>
      <c r="H988" t="n">
        <v>0</v>
      </c>
      <c r="I988" t="n">
        <v>0</v>
      </c>
      <c r="J988" t="n">
        <v>0</v>
      </c>
      <c r="K988" t="n">
        <v>0</v>
      </c>
      <c r="L988" t="n">
        <v>0</v>
      </c>
      <c r="M988" t="n">
        <v>0</v>
      </c>
      <c r="N988" t="n">
        <v>0</v>
      </c>
      <c r="O988" t="n">
        <v>0</v>
      </c>
      <c r="P988" t="n">
        <v>0</v>
      </c>
      <c r="Q988" t="n">
        <v>0</v>
      </c>
      <c r="R988" s="2" t="inlineStr"/>
    </row>
    <row r="989" ht="15" customHeight="1">
      <c r="A989" t="inlineStr">
        <is>
          <t>A 32433-2025</t>
        </is>
      </c>
      <c r="B989" s="1" t="n">
        <v>45838.37252314815</v>
      </c>
      <c r="C989" s="1" t="n">
        <v>46089</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32710-2025</t>
        </is>
      </c>
      <c r="B990" s="1" t="n">
        <v>45839.36722222222</v>
      </c>
      <c r="C990" s="1" t="n">
        <v>46089</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46550-2025</t>
        </is>
      </c>
      <c r="B991" s="1" t="n">
        <v>45926</v>
      </c>
      <c r="C991" s="1" t="n">
        <v>46089</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32622-2025</t>
        </is>
      </c>
      <c r="B992" s="1" t="n">
        <v>45838</v>
      </c>
      <c r="C992" s="1" t="n">
        <v>46089</v>
      </c>
      <c r="D992" t="inlineStr">
        <is>
          <t>VÄRMLANDS LÄN</t>
        </is>
      </c>
      <c r="E992" t="inlineStr">
        <is>
          <t>TORSBY</t>
        </is>
      </c>
      <c r="G992" t="n">
        <v>4.6</v>
      </c>
      <c r="H992" t="n">
        <v>0</v>
      </c>
      <c r="I992" t="n">
        <v>0</v>
      </c>
      <c r="J992" t="n">
        <v>0</v>
      </c>
      <c r="K992" t="n">
        <v>0</v>
      </c>
      <c r="L992" t="n">
        <v>0</v>
      </c>
      <c r="M992" t="n">
        <v>0</v>
      </c>
      <c r="N992" t="n">
        <v>0</v>
      </c>
      <c r="O992" t="n">
        <v>0</v>
      </c>
      <c r="P992" t="n">
        <v>0</v>
      </c>
      <c r="Q992" t="n">
        <v>0</v>
      </c>
      <c r="R992" s="2" t="inlineStr"/>
    </row>
    <row r="993" ht="15" customHeight="1">
      <c r="A993" t="inlineStr">
        <is>
          <t>A 46698-2024</t>
        </is>
      </c>
      <c r="B993" s="1" t="n">
        <v>45583.43209490741</v>
      </c>
      <c r="C993" s="1" t="n">
        <v>46089</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1708-2025</t>
        </is>
      </c>
      <c r="B994" s="1" t="n">
        <v>45670</v>
      </c>
      <c r="C994" s="1" t="n">
        <v>46089</v>
      </c>
      <c r="D994" t="inlineStr">
        <is>
          <t>VÄRMLANDS LÄN</t>
        </is>
      </c>
      <c r="E994" t="inlineStr">
        <is>
          <t>TORSBY</t>
        </is>
      </c>
      <c r="G994" t="n">
        <v>7.7</v>
      </c>
      <c r="H994" t="n">
        <v>0</v>
      </c>
      <c r="I994" t="n">
        <v>0</v>
      </c>
      <c r="J994" t="n">
        <v>0</v>
      </c>
      <c r="K994" t="n">
        <v>0</v>
      </c>
      <c r="L994" t="n">
        <v>0</v>
      </c>
      <c r="M994" t="n">
        <v>0</v>
      </c>
      <c r="N994" t="n">
        <v>0</v>
      </c>
      <c r="O994" t="n">
        <v>0</v>
      </c>
      <c r="P994" t="n">
        <v>0</v>
      </c>
      <c r="Q994" t="n">
        <v>0</v>
      </c>
      <c r="R994" s="2" t="inlineStr"/>
    </row>
    <row r="995" ht="15" customHeight="1">
      <c r="A995" t="inlineStr">
        <is>
          <t>A 32555-2025</t>
        </is>
      </c>
      <c r="B995" s="1" t="n">
        <v>45838.56084490741</v>
      </c>
      <c r="C995" s="1" t="n">
        <v>46089</v>
      </c>
      <c r="D995" t="inlineStr">
        <is>
          <t>VÄRMLANDS LÄN</t>
        </is>
      </c>
      <c r="E995" t="inlineStr">
        <is>
          <t>TORSBY</t>
        </is>
      </c>
      <c r="G995" t="n">
        <v>3.8</v>
      </c>
      <c r="H995" t="n">
        <v>0</v>
      </c>
      <c r="I995" t="n">
        <v>0</v>
      </c>
      <c r="J995" t="n">
        <v>0</v>
      </c>
      <c r="K995" t="n">
        <v>0</v>
      </c>
      <c r="L995" t="n">
        <v>0</v>
      </c>
      <c r="M995" t="n">
        <v>0</v>
      </c>
      <c r="N995" t="n">
        <v>0</v>
      </c>
      <c r="O995" t="n">
        <v>0</v>
      </c>
      <c r="P995" t="n">
        <v>0</v>
      </c>
      <c r="Q995" t="n">
        <v>0</v>
      </c>
      <c r="R995" s="2" t="inlineStr"/>
    </row>
    <row r="996" ht="15" customHeight="1">
      <c r="A996" t="inlineStr">
        <is>
          <t>A 32343-2025</t>
        </is>
      </c>
      <c r="B996" s="1" t="n">
        <v>45837.37171296297</v>
      </c>
      <c r="C996" s="1" t="n">
        <v>46089</v>
      </c>
      <c r="D996" t="inlineStr">
        <is>
          <t>VÄRMLANDS LÄN</t>
        </is>
      </c>
      <c r="E996" t="inlineStr">
        <is>
          <t>TORSBY</t>
        </is>
      </c>
      <c r="G996" t="n">
        <v>11.4</v>
      </c>
      <c r="H996" t="n">
        <v>0</v>
      </c>
      <c r="I996" t="n">
        <v>0</v>
      </c>
      <c r="J996" t="n">
        <v>0</v>
      </c>
      <c r="K996" t="n">
        <v>0</v>
      </c>
      <c r="L996" t="n">
        <v>0</v>
      </c>
      <c r="M996" t="n">
        <v>0</v>
      </c>
      <c r="N996" t="n">
        <v>0</v>
      </c>
      <c r="O996" t="n">
        <v>0</v>
      </c>
      <c r="P996" t="n">
        <v>0</v>
      </c>
      <c r="Q996" t="n">
        <v>0</v>
      </c>
      <c r="R996" s="2" t="inlineStr"/>
    </row>
    <row r="997" ht="15" customHeight="1">
      <c r="A997" t="inlineStr">
        <is>
          <t>A 32345-2025</t>
        </is>
      </c>
      <c r="B997" s="1" t="n">
        <v>45837.44293981481</v>
      </c>
      <c r="C997" s="1" t="n">
        <v>46089</v>
      </c>
      <c r="D997" t="inlineStr">
        <is>
          <t>VÄRMLANDS LÄN</t>
        </is>
      </c>
      <c r="E997" t="inlineStr">
        <is>
          <t>TORSBY</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15085-2023</t>
        </is>
      </c>
      <c r="B998" s="1" t="n">
        <v>45016</v>
      </c>
      <c r="C998" s="1" t="n">
        <v>46089</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44083-2023</t>
        </is>
      </c>
      <c r="B999" s="1" t="n">
        <v>45182</v>
      </c>
      <c r="C999" s="1" t="n">
        <v>46089</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32339-2025</t>
        </is>
      </c>
      <c r="B1000" s="1" t="n">
        <v>45836.68836805555</v>
      </c>
      <c r="C1000" s="1" t="n">
        <v>46089</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47049-2025</t>
        </is>
      </c>
      <c r="B1001" s="1" t="n">
        <v>45929.6130324074</v>
      </c>
      <c r="C1001" s="1" t="n">
        <v>46089</v>
      </c>
      <c r="D1001" t="inlineStr">
        <is>
          <t>VÄRMLANDS LÄN</t>
        </is>
      </c>
      <c r="E1001" t="inlineStr">
        <is>
          <t>TORSBY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47545-2025</t>
        </is>
      </c>
      <c r="B1002" s="1" t="n">
        <v>45931</v>
      </c>
      <c r="C1002" s="1" t="n">
        <v>46089</v>
      </c>
      <c r="D1002" t="inlineStr">
        <is>
          <t>VÄRMLANDS LÄN</t>
        </is>
      </c>
      <c r="E1002" t="inlineStr">
        <is>
          <t>TORSBY</t>
        </is>
      </c>
      <c r="F1002" t="inlineStr">
        <is>
          <t>Bergvik skog väst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47141-2022</t>
        </is>
      </c>
      <c r="B1003" s="1" t="n">
        <v>44852.56548611111</v>
      </c>
      <c r="C1003" s="1" t="n">
        <v>46089</v>
      </c>
      <c r="D1003" t="inlineStr">
        <is>
          <t>VÄRMLANDS LÄN</t>
        </is>
      </c>
      <c r="E1003" t="inlineStr">
        <is>
          <t>TORSBY</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47624-2025</t>
        </is>
      </c>
      <c r="B1004" s="1" t="n">
        <v>45931.48381944445</v>
      </c>
      <c r="C1004" s="1" t="n">
        <v>46089</v>
      </c>
      <c r="D1004" t="inlineStr">
        <is>
          <t>VÄRMLANDS LÄN</t>
        </is>
      </c>
      <c r="E1004" t="inlineStr">
        <is>
          <t>TORSBY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42834-2024</t>
        </is>
      </c>
      <c r="B1005" s="1" t="n">
        <v>45566</v>
      </c>
      <c r="C1005" s="1" t="n">
        <v>46089</v>
      </c>
      <c r="D1005" t="inlineStr">
        <is>
          <t>VÄRMLANDS LÄN</t>
        </is>
      </c>
      <c r="E1005" t="inlineStr">
        <is>
          <t>TORSBY</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47621-2025</t>
        </is>
      </c>
      <c r="B1006" s="1" t="n">
        <v>45931.48322916667</v>
      </c>
      <c r="C1006" s="1" t="n">
        <v>46089</v>
      </c>
      <c r="D1006" t="inlineStr">
        <is>
          <t>VÄRMLANDS LÄN</t>
        </is>
      </c>
      <c r="E1006" t="inlineStr">
        <is>
          <t>TORSBY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18684-2025</t>
        </is>
      </c>
      <c r="B1007" s="1" t="n">
        <v>45763.61064814815</v>
      </c>
      <c r="C1007" s="1" t="n">
        <v>46089</v>
      </c>
      <c r="D1007" t="inlineStr">
        <is>
          <t>VÄRMLANDS LÄN</t>
        </is>
      </c>
      <c r="E1007" t="inlineStr">
        <is>
          <t>TORSBY</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47366-2025</t>
        </is>
      </c>
      <c r="B1008" s="1" t="n">
        <v>45930</v>
      </c>
      <c r="C1008" s="1" t="n">
        <v>46089</v>
      </c>
      <c r="D1008" t="inlineStr">
        <is>
          <t>VÄRMLANDS LÄN</t>
        </is>
      </c>
      <c r="E1008" t="inlineStr">
        <is>
          <t>TORSBY</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46343-2024</t>
        </is>
      </c>
      <c r="B1009" s="1" t="n">
        <v>45582</v>
      </c>
      <c r="C1009" s="1" t="n">
        <v>46089</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3678-2024</t>
        </is>
      </c>
      <c r="B1010" s="1" t="n">
        <v>45321.37844907407</v>
      </c>
      <c r="C1010" s="1" t="n">
        <v>46089</v>
      </c>
      <c r="D1010" t="inlineStr">
        <is>
          <t>VÄRMLANDS LÄN</t>
        </is>
      </c>
      <c r="E1010" t="inlineStr">
        <is>
          <t>TORSBY</t>
        </is>
      </c>
      <c r="G1010" t="n">
        <v>24.6</v>
      </c>
      <c r="H1010" t="n">
        <v>0</v>
      </c>
      <c r="I1010" t="n">
        <v>0</v>
      </c>
      <c r="J1010" t="n">
        <v>0</v>
      </c>
      <c r="K1010" t="n">
        <v>0</v>
      </c>
      <c r="L1010" t="n">
        <v>0</v>
      </c>
      <c r="M1010" t="n">
        <v>0</v>
      </c>
      <c r="N1010" t="n">
        <v>0</v>
      </c>
      <c r="O1010" t="n">
        <v>0</v>
      </c>
      <c r="P1010" t="n">
        <v>0</v>
      </c>
      <c r="Q1010" t="n">
        <v>0</v>
      </c>
      <c r="R1010" s="2" t="inlineStr"/>
    </row>
    <row r="1011" ht="15" customHeight="1">
      <c r="A1011" t="inlineStr">
        <is>
          <t>A 33192-2025</t>
        </is>
      </c>
      <c r="B1011" s="1" t="n">
        <v>45840.60081018518</v>
      </c>
      <c r="C1011" s="1" t="n">
        <v>46089</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51386-2023</t>
        </is>
      </c>
      <c r="B1012" s="1" t="n">
        <v>45219.65394675926</v>
      </c>
      <c r="C1012" s="1" t="n">
        <v>46089</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33712-2025</t>
        </is>
      </c>
      <c r="B1013" s="1" t="n">
        <v>45841</v>
      </c>
      <c r="C1013" s="1" t="n">
        <v>46089</v>
      </c>
      <c r="D1013" t="inlineStr">
        <is>
          <t>VÄRMLANDS LÄN</t>
        </is>
      </c>
      <c r="E1013" t="inlineStr">
        <is>
          <t>TORSBY</t>
        </is>
      </c>
      <c r="F1013" t="inlineStr">
        <is>
          <t>Bergvik skog väst AB</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33221-2025</t>
        </is>
      </c>
      <c r="B1014" s="1" t="n">
        <v>45840.63471064815</v>
      </c>
      <c r="C1014" s="1" t="n">
        <v>46089</v>
      </c>
      <c r="D1014" t="inlineStr">
        <is>
          <t>VÄRMLANDS LÄN</t>
        </is>
      </c>
      <c r="E1014" t="inlineStr">
        <is>
          <t>TORSBY</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33567-2025</t>
        </is>
      </c>
      <c r="B1015" s="1" t="n">
        <v>45841.58232638889</v>
      </c>
      <c r="C1015" s="1" t="n">
        <v>46089</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8018-2025</t>
        </is>
      </c>
      <c r="B1016" s="1" t="n">
        <v>45707</v>
      </c>
      <c r="C1016" s="1" t="n">
        <v>46089</v>
      </c>
      <c r="D1016" t="inlineStr">
        <is>
          <t>VÄRMLANDS LÄN</t>
        </is>
      </c>
      <c r="E1016" t="inlineStr">
        <is>
          <t>TORSBY</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32983-2025</t>
        </is>
      </c>
      <c r="B1017" s="1" t="n">
        <v>45839.92967592592</v>
      </c>
      <c r="C1017" s="1" t="n">
        <v>46089</v>
      </c>
      <c r="D1017" t="inlineStr">
        <is>
          <t>VÄRMLANDS LÄN</t>
        </is>
      </c>
      <c r="E1017" t="inlineStr">
        <is>
          <t>TORSBY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54885-2022</t>
        </is>
      </c>
      <c r="B1018" s="1" t="n">
        <v>44886</v>
      </c>
      <c r="C1018" s="1" t="n">
        <v>46089</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39648-2023</t>
        </is>
      </c>
      <c r="B1019" s="1" t="n">
        <v>45167.5528587963</v>
      </c>
      <c r="C1019" s="1" t="n">
        <v>46089</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235-2026</t>
        </is>
      </c>
      <c r="B1020" s="1" t="n">
        <v>46027</v>
      </c>
      <c r="C1020" s="1" t="n">
        <v>46089</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47494-2025</t>
        </is>
      </c>
      <c r="B1021" s="1" t="n">
        <v>45930.78428240741</v>
      </c>
      <c r="C1021" s="1" t="n">
        <v>46089</v>
      </c>
      <c r="D1021" t="inlineStr">
        <is>
          <t>VÄRMLANDS LÄN</t>
        </is>
      </c>
      <c r="E1021" t="inlineStr">
        <is>
          <t>TORSBY</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47495-2025</t>
        </is>
      </c>
      <c r="B1022" s="1" t="n">
        <v>45930.79185185185</v>
      </c>
      <c r="C1022" s="1" t="n">
        <v>46089</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38298-2021</t>
        </is>
      </c>
      <c r="B1023" s="1" t="n">
        <v>44406</v>
      </c>
      <c r="C1023" s="1" t="n">
        <v>46089</v>
      </c>
      <c r="D1023" t="inlineStr">
        <is>
          <t>VÄRMLANDS LÄN</t>
        </is>
      </c>
      <c r="E1023" t="inlineStr">
        <is>
          <t>TORSBY</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33161-2025</t>
        </is>
      </c>
      <c r="B1024" s="1" t="n">
        <v>45840.56846064814</v>
      </c>
      <c r="C1024" s="1" t="n">
        <v>46089</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47736-2025</t>
        </is>
      </c>
      <c r="B1025" s="1" t="n">
        <v>45931.63822916667</v>
      </c>
      <c r="C1025" s="1" t="n">
        <v>46089</v>
      </c>
      <c r="D1025" t="inlineStr">
        <is>
          <t>VÄRMLANDS LÄN</t>
        </is>
      </c>
      <c r="E1025" t="inlineStr">
        <is>
          <t>TORSBY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34268-2025</t>
        </is>
      </c>
      <c r="B1026" s="1" t="n">
        <v>45845</v>
      </c>
      <c r="C1026" s="1" t="n">
        <v>46089</v>
      </c>
      <c r="D1026" t="inlineStr">
        <is>
          <t>VÄRMLANDS LÄN</t>
        </is>
      </c>
      <c r="E1026" t="inlineStr">
        <is>
          <t>TORSBY</t>
        </is>
      </c>
      <c r="F1026" t="inlineStr">
        <is>
          <t>Bergvik skog väst AB</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48020-2025</t>
        </is>
      </c>
      <c r="B1027" s="1" t="n">
        <v>45932</v>
      </c>
      <c r="C1027" s="1" t="n">
        <v>46089</v>
      </c>
      <c r="D1027" t="inlineStr">
        <is>
          <t>VÄRMLANDS LÄN</t>
        </is>
      </c>
      <c r="E1027" t="inlineStr">
        <is>
          <t>TORSBY</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24717-2024</t>
        </is>
      </c>
      <c r="B1028" s="1" t="n">
        <v>45460</v>
      </c>
      <c r="C1028" s="1" t="n">
        <v>46089</v>
      </c>
      <c r="D1028" t="inlineStr">
        <is>
          <t>VÄRMLANDS LÄN</t>
        </is>
      </c>
      <c r="E1028" t="inlineStr">
        <is>
          <t>TORSBY</t>
        </is>
      </c>
      <c r="F1028" t="inlineStr">
        <is>
          <t>Övriga statliga verk och myndigheter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33897-2025</t>
        </is>
      </c>
      <c r="B1029" s="1" t="n">
        <v>45842</v>
      </c>
      <c r="C1029" s="1" t="n">
        <v>46089</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46089</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24170-2023</t>
        </is>
      </c>
      <c r="B1031" s="1" t="n">
        <v>45079</v>
      </c>
      <c r="C1031" s="1" t="n">
        <v>46089</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34140-2025</t>
        </is>
      </c>
      <c r="B1032" s="1" t="n">
        <v>45845.54896990741</v>
      </c>
      <c r="C1032" s="1" t="n">
        <v>46089</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49717-2023</t>
        </is>
      </c>
      <c r="B1033" s="1" t="n">
        <v>45208</v>
      </c>
      <c r="C1033" s="1" t="n">
        <v>46089</v>
      </c>
      <c r="D1033" t="inlineStr">
        <is>
          <t>VÄRMLANDS LÄN</t>
        </is>
      </c>
      <c r="E1033" t="inlineStr">
        <is>
          <t>TORSBY</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48202-2025</t>
        </is>
      </c>
      <c r="B1034" s="1" t="n">
        <v>45933.48121527778</v>
      </c>
      <c r="C1034" s="1" t="n">
        <v>46089</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8705-2026</t>
        </is>
      </c>
      <c r="B1035" s="1" t="n">
        <v>46066.47086805556</v>
      </c>
      <c r="C1035" s="1" t="n">
        <v>46089</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8281-2023</t>
        </is>
      </c>
      <c r="B1036" s="1" t="n">
        <v>44974</v>
      </c>
      <c r="C1036" s="1" t="n">
        <v>46089</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40470-2023</t>
        </is>
      </c>
      <c r="B1037" s="1" t="n">
        <v>45170</v>
      </c>
      <c r="C1037" s="1" t="n">
        <v>46089</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34136-2025</t>
        </is>
      </c>
      <c r="B1038" s="1" t="n">
        <v>45845.54184027778</v>
      </c>
      <c r="C1038" s="1" t="n">
        <v>46089</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47927-2025</t>
        </is>
      </c>
      <c r="B1039" s="1" t="n">
        <v>45932.54604166667</v>
      </c>
      <c r="C1039" s="1" t="n">
        <v>46089</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48214-2025</t>
        </is>
      </c>
      <c r="B1040" s="1" t="n">
        <v>45933.49465277778</v>
      </c>
      <c r="C1040" s="1" t="n">
        <v>46089</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1092-2025</t>
        </is>
      </c>
      <c r="B1041" s="1" t="n">
        <v>45666.6333912037</v>
      </c>
      <c r="C1041" s="1" t="n">
        <v>46089</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22463-2021</t>
        </is>
      </c>
      <c r="B1042" s="1" t="n">
        <v>44326.67366898148</v>
      </c>
      <c r="C1042" s="1" t="n">
        <v>46089</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34179-2025</t>
        </is>
      </c>
      <c r="B1043" s="1" t="n">
        <v>45845</v>
      </c>
      <c r="C1043" s="1" t="n">
        <v>46089</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72-2026</t>
        </is>
      </c>
      <c r="B1044" s="1" t="n">
        <v>46024.46258101852</v>
      </c>
      <c r="C1044" s="1" t="n">
        <v>46089</v>
      </c>
      <c r="D1044" t="inlineStr">
        <is>
          <t>VÄRMLANDS LÄN</t>
        </is>
      </c>
      <c r="E1044" t="inlineStr">
        <is>
          <t>TORSBY</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34145-2025</t>
        </is>
      </c>
      <c r="B1045" s="1" t="n">
        <v>45845.55372685185</v>
      </c>
      <c r="C1045" s="1" t="n">
        <v>46089</v>
      </c>
      <c r="D1045" t="inlineStr">
        <is>
          <t>VÄRMLANDS LÄN</t>
        </is>
      </c>
      <c r="E1045" t="inlineStr">
        <is>
          <t>TORSBY</t>
        </is>
      </c>
      <c r="G1045" t="n">
        <v>19.2</v>
      </c>
      <c r="H1045" t="n">
        <v>0</v>
      </c>
      <c r="I1045" t="n">
        <v>0</v>
      </c>
      <c r="J1045" t="n">
        <v>0</v>
      </c>
      <c r="K1045" t="n">
        <v>0</v>
      </c>
      <c r="L1045" t="n">
        <v>0</v>
      </c>
      <c r="M1045" t="n">
        <v>0</v>
      </c>
      <c r="N1045" t="n">
        <v>0</v>
      </c>
      <c r="O1045" t="n">
        <v>0</v>
      </c>
      <c r="P1045" t="n">
        <v>0</v>
      </c>
      <c r="Q1045" t="n">
        <v>0</v>
      </c>
      <c r="R1045" s="2" t="inlineStr"/>
    </row>
    <row r="1046" ht="15" customHeight="1">
      <c r="A1046" t="inlineStr">
        <is>
          <t>A 34137-2025</t>
        </is>
      </c>
      <c r="B1046" s="1" t="n">
        <v>45845.54340277778</v>
      </c>
      <c r="C1046" s="1" t="n">
        <v>46089</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34138-2025</t>
        </is>
      </c>
      <c r="B1047" s="1" t="n">
        <v>45845.54486111111</v>
      </c>
      <c r="C1047" s="1" t="n">
        <v>46089</v>
      </c>
      <c r="D1047" t="inlineStr">
        <is>
          <t>VÄRMLANDS LÄN</t>
        </is>
      </c>
      <c r="E1047" t="inlineStr">
        <is>
          <t>TORSBY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34146-2025</t>
        </is>
      </c>
      <c r="B1048" s="1" t="n">
        <v>45845.56008101852</v>
      </c>
      <c r="C1048" s="1" t="n">
        <v>46089</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34046-2025</t>
        </is>
      </c>
      <c r="B1049" s="1" t="n">
        <v>45845.38671296297</v>
      </c>
      <c r="C1049" s="1" t="n">
        <v>46089</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63032-2023</t>
        </is>
      </c>
      <c r="B1050" s="1" t="n">
        <v>45272.72728009259</v>
      </c>
      <c r="C1050" s="1" t="n">
        <v>46089</v>
      </c>
      <c r="D1050" t="inlineStr">
        <is>
          <t>VÄRMLANDS LÄN</t>
        </is>
      </c>
      <c r="E1050" t="inlineStr">
        <is>
          <t>TORSBY</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34398-2025</t>
        </is>
      </c>
      <c r="B1051" s="1" t="n">
        <v>45846.60688657407</v>
      </c>
      <c r="C1051" s="1" t="n">
        <v>46089</v>
      </c>
      <c r="D1051" t="inlineStr">
        <is>
          <t>VÄRMLANDS LÄN</t>
        </is>
      </c>
      <c r="E1051" t="inlineStr">
        <is>
          <t>TORSBY</t>
        </is>
      </c>
      <c r="F1051" t="inlineStr">
        <is>
          <t>Bergvik skog väst AB</t>
        </is>
      </c>
      <c r="G1051" t="n">
        <v>22.3</v>
      </c>
      <c r="H1051" t="n">
        <v>0</v>
      </c>
      <c r="I1051" t="n">
        <v>0</v>
      </c>
      <c r="J1051" t="n">
        <v>0</v>
      </c>
      <c r="K1051" t="n">
        <v>0</v>
      </c>
      <c r="L1051" t="n">
        <v>0</v>
      </c>
      <c r="M1051" t="n">
        <v>0</v>
      </c>
      <c r="N1051" t="n">
        <v>0</v>
      </c>
      <c r="O1051" t="n">
        <v>0</v>
      </c>
      <c r="P1051" t="n">
        <v>0</v>
      </c>
      <c r="Q1051" t="n">
        <v>0</v>
      </c>
      <c r="R1051" s="2" t="inlineStr"/>
    </row>
    <row r="1052" ht="15" customHeight="1">
      <c r="A1052" t="inlineStr">
        <is>
          <t>A 34399-2025</t>
        </is>
      </c>
      <c r="B1052" s="1" t="n">
        <v>45846.610625</v>
      </c>
      <c r="C1052" s="1" t="n">
        <v>46089</v>
      </c>
      <c r="D1052" t="inlineStr">
        <is>
          <t>VÄRMLANDS LÄN</t>
        </is>
      </c>
      <c r="E1052" t="inlineStr">
        <is>
          <t>TORSBY</t>
        </is>
      </c>
      <c r="F1052" t="inlineStr">
        <is>
          <t>Bergvik skog väst AB</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48180-2025</t>
        </is>
      </c>
      <c r="B1053" s="1" t="n">
        <v>45933.45245370371</v>
      </c>
      <c r="C1053" s="1" t="n">
        <v>46089</v>
      </c>
      <c r="D1053" t="inlineStr">
        <is>
          <t>VÄRMLANDS LÄN</t>
        </is>
      </c>
      <c r="E1053" t="inlineStr">
        <is>
          <t>TORSBY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34355-2025</t>
        </is>
      </c>
      <c r="B1054" s="1" t="n">
        <v>45846.48114583334</v>
      </c>
      <c r="C1054" s="1" t="n">
        <v>46089</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34358-2025</t>
        </is>
      </c>
      <c r="B1055" s="1" t="n">
        <v>45846.48637731482</v>
      </c>
      <c r="C1055" s="1" t="n">
        <v>46089</v>
      </c>
      <c r="D1055" t="inlineStr">
        <is>
          <t>VÄRMLANDS LÄN</t>
        </is>
      </c>
      <c r="E1055" t="inlineStr">
        <is>
          <t>TORSBY</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34365-2025</t>
        </is>
      </c>
      <c r="B1056" s="1" t="n">
        <v>45846.49326388889</v>
      </c>
      <c r="C1056" s="1" t="n">
        <v>46089</v>
      </c>
      <c r="D1056" t="inlineStr">
        <is>
          <t>VÄRMLANDS LÄN</t>
        </is>
      </c>
      <c r="E1056" t="inlineStr">
        <is>
          <t>TORSBY</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34451-2025</t>
        </is>
      </c>
      <c r="B1057" s="1" t="n">
        <v>45846.85114583333</v>
      </c>
      <c r="C1057" s="1" t="n">
        <v>46089</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34480-2025</t>
        </is>
      </c>
      <c r="B1058" s="1" t="n">
        <v>45847.37582175926</v>
      </c>
      <c r="C1058" s="1" t="n">
        <v>46089</v>
      </c>
      <c r="D1058" t="inlineStr">
        <is>
          <t>VÄRMLANDS LÄN</t>
        </is>
      </c>
      <c r="E1058" t="inlineStr">
        <is>
          <t>TORSBY</t>
        </is>
      </c>
      <c r="F1058" t="inlineStr">
        <is>
          <t>Övriga Aktiebolag</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34500-2024</t>
        </is>
      </c>
      <c r="B1059" s="1" t="n">
        <v>45525</v>
      </c>
      <c r="C1059" s="1" t="n">
        <v>46089</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34495-2025</t>
        </is>
      </c>
      <c r="B1060" s="1" t="n">
        <v>45847.42686342593</v>
      </c>
      <c r="C1060" s="1" t="n">
        <v>46089</v>
      </c>
      <c r="D1060" t="inlineStr">
        <is>
          <t>VÄRMLANDS LÄN</t>
        </is>
      </c>
      <c r="E1060" t="inlineStr">
        <is>
          <t>TORSBY</t>
        </is>
      </c>
      <c r="F1060" t="inlineStr">
        <is>
          <t>Övriga Aktiebolag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34517-2025</t>
        </is>
      </c>
      <c r="B1061" s="1" t="n">
        <v>45847.46900462963</v>
      </c>
      <c r="C1061" s="1" t="n">
        <v>46089</v>
      </c>
      <c r="D1061" t="inlineStr">
        <is>
          <t>VÄRMLANDS LÄN</t>
        </is>
      </c>
      <c r="E1061" t="inlineStr">
        <is>
          <t>TORSBY</t>
        </is>
      </c>
      <c r="F1061" t="inlineStr">
        <is>
          <t>Övriga Aktiebolag</t>
        </is>
      </c>
      <c r="G1061" t="n">
        <v>13.5</v>
      </c>
      <c r="H1061" t="n">
        <v>0</v>
      </c>
      <c r="I1061" t="n">
        <v>0</v>
      </c>
      <c r="J1061" t="n">
        <v>0</v>
      </c>
      <c r="K1061" t="n">
        <v>0</v>
      </c>
      <c r="L1061" t="n">
        <v>0</v>
      </c>
      <c r="M1061" t="n">
        <v>0</v>
      </c>
      <c r="N1061" t="n">
        <v>0</v>
      </c>
      <c r="O1061" t="n">
        <v>0</v>
      </c>
      <c r="P1061" t="n">
        <v>0</v>
      </c>
      <c r="Q1061" t="n">
        <v>0</v>
      </c>
      <c r="R1061" s="2" t="inlineStr"/>
    </row>
    <row r="1062" ht="15" customHeight="1">
      <c r="A1062" t="inlineStr">
        <is>
          <t>A 34388-2025</t>
        </is>
      </c>
      <c r="B1062" s="1" t="n">
        <v>45846.57305555556</v>
      </c>
      <c r="C1062" s="1" t="n">
        <v>46089</v>
      </c>
      <c r="D1062" t="inlineStr">
        <is>
          <t>VÄRMLANDS LÄN</t>
        </is>
      </c>
      <c r="E1062" t="inlineStr">
        <is>
          <t>TORSBY</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56634-2024</t>
        </is>
      </c>
      <c r="B1063" s="1" t="n">
        <v>45625.68491898148</v>
      </c>
      <c r="C1063" s="1" t="n">
        <v>46089</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34372-2025</t>
        </is>
      </c>
      <c r="B1064" s="1" t="n">
        <v>45846.5134837963</v>
      </c>
      <c r="C1064" s="1" t="n">
        <v>46089</v>
      </c>
      <c r="D1064" t="inlineStr">
        <is>
          <t>VÄRMLANDS LÄN</t>
        </is>
      </c>
      <c r="E1064" t="inlineStr">
        <is>
          <t>TORSBY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64432-2023</t>
        </is>
      </c>
      <c r="B1065" s="1" t="n">
        <v>45280.67184027778</v>
      </c>
      <c r="C1065" s="1" t="n">
        <v>46089</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34363-2025</t>
        </is>
      </c>
      <c r="B1066" s="1" t="n">
        <v>45846.49144675926</v>
      </c>
      <c r="C1066" s="1" t="n">
        <v>46089</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34370-2025</t>
        </is>
      </c>
      <c r="B1067" s="1" t="n">
        <v>45846.51056712963</v>
      </c>
      <c r="C1067" s="1" t="n">
        <v>46089</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34533-2025</t>
        </is>
      </c>
      <c r="B1068" s="1" t="n">
        <v>45847.50868055555</v>
      </c>
      <c r="C1068" s="1" t="n">
        <v>46089</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6708-2023</t>
        </is>
      </c>
      <c r="B1069" s="1" t="n">
        <v>44960</v>
      </c>
      <c r="C1069" s="1" t="n">
        <v>46089</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6711-2023</t>
        </is>
      </c>
      <c r="B1070" s="1" t="n">
        <v>44960</v>
      </c>
      <c r="C1070" s="1" t="n">
        <v>46089</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6715-2023</t>
        </is>
      </c>
      <c r="B1071" s="1" t="n">
        <v>44960</v>
      </c>
      <c r="C1071" s="1" t="n">
        <v>46089</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30074-2024</t>
        </is>
      </c>
      <c r="B1072" s="1" t="n">
        <v>45489</v>
      </c>
      <c r="C1072" s="1" t="n">
        <v>46089</v>
      </c>
      <c r="D1072" t="inlineStr">
        <is>
          <t>VÄRMLANDS LÄN</t>
        </is>
      </c>
      <c r="E1072" t="inlineStr">
        <is>
          <t>TORSBY</t>
        </is>
      </c>
      <c r="F1072" t="inlineStr">
        <is>
          <t>Kyrkan</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56815-2023</t>
        </is>
      </c>
      <c r="B1073" s="1" t="n">
        <v>45244</v>
      </c>
      <c r="C1073" s="1" t="n">
        <v>46089</v>
      </c>
      <c r="D1073" t="inlineStr">
        <is>
          <t>VÄRMLANDS LÄN</t>
        </is>
      </c>
      <c r="E1073" t="inlineStr">
        <is>
          <t>TORSBY</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34846-2025</t>
        </is>
      </c>
      <c r="B1074" s="1" t="n">
        <v>45849.41454861111</v>
      </c>
      <c r="C1074" s="1" t="n">
        <v>46089</v>
      </c>
      <c r="D1074" t="inlineStr">
        <is>
          <t>VÄRMLANDS LÄN</t>
        </is>
      </c>
      <c r="E1074" t="inlineStr">
        <is>
          <t>TORSBY</t>
        </is>
      </c>
      <c r="F1074" t="inlineStr">
        <is>
          <t>Bergvik skog väst AB</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65713-2021</t>
        </is>
      </c>
      <c r="B1075" s="1" t="n">
        <v>44516</v>
      </c>
      <c r="C1075" s="1" t="n">
        <v>46089</v>
      </c>
      <c r="D1075" t="inlineStr">
        <is>
          <t>VÄRMLANDS LÄN</t>
        </is>
      </c>
      <c r="E1075" t="inlineStr">
        <is>
          <t>TORSBY</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48499-2025</t>
        </is>
      </c>
      <c r="B1076" s="1" t="n">
        <v>45936.37533564815</v>
      </c>
      <c r="C1076" s="1" t="n">
        <v>46089</v>
      </c>
      <c r="D1076" t="inlineStr">
        <is>
          <t>VÄRMLANDS LÄN</t>
        </is>
      </c>
      <c r="E1076" t="inlineStr">
        <is>
          <t>TORSBY</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49159-2025</t>
        </is>
      </c>
      <c r="B1077" s="1" t="n">
        <v>45938.35060185185</v>
      </c>
      <c r="C1077" s="1" t="n">
        <v>46089</v>
      </c>
      <c r="D1077" t="inlineStr">
        <is>
          <t>VÄRMLANDS LÄN</t>
        </is>
      </c>
      <c r="E1077" t="inlineStr">
        <is>
          <t>TORSBY</t>
        </is>
      </c>
      <c r="F1077" t="inlineStr">
        <is>
          <t>Bergvik skog väst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49167-2025</t>
        </is>
      </c>
      <c r="B1078" s="1" t="n">
        <v>45938</v>
      </c>
      <c r="C1078" s="1" t="n">
        <v>46089</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1104-2025</t>
        </is>
      </c>
      <c r="B1079" s="1" t="n">
        <v>45666</v>
      </c>
      <c r="C1079" s="1" t="n">
        <v>46089</v>
      </c>
      <c r="D1079" t="inlineStr">
        <is>
          <t>VÄRMLANDS LÄN</t>
        </is>
      </c>
      <c r="E1079" t="inlineStr">
        <is>
          <t>TORSBY</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13723-2023</t>
        </is>
      </c>
      <c r="B1080" s="1" t="n">
        <v>45007</v>
      </c>
      <c r="C1080" s="1" t="n">
        <v>46089</v>
      </c>
      <c r="D1080" t="inlineStr">
        <is>
          <t>VÄRMLANDS LÄN</t>
        </is>
      </c>
      <c r="E1080" t="inlineStr">
        <is>
          <t>TORSBY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24657-2024</t>
        </is>
      </c>
      <c r="B1081" s="1" t="n">
        <v>45460</v>
      </c>
      <c r="C1081" s="1" t="n">
        <v>46089</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40807-2024</t>
        </is>
      </c>
      <c r="B1082" s="1" t="n">
        <v>45558</v>
      </c>
      <c r="C1082" s="1" t="n">
        <v>46089</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48947-2025</t>
        </is>
      </c>
      <c r="B1083" s="1" t="n">
        <v>45937.54157407407</v>
      </c>
      <c r="C1083" s="1" t="n">
        <v>46089</v>
      </c>
      <c r="D1083" t="inlineStr">
        <is>
          <t>VÄRMLANDS LÄN</t>
        </is>
      </c>
      <c r="E1083" t="inlineStr">
        <is>
          <t>TORSBY</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52532-2023</t>
        </is>
      </c>
      <c r="B1084" s="1" t="n">
        <v>45225.54318287037</v>
      </c>
      <c r="C1084" s="1" t="n">
        <v>46089</v>
      </c>
      <c r="D1084" t="inlineStr">
        <is>
          <t>VÄRMLANDS LÄN</t>
        </is>
      </c>
      <c r="E1084" t="inlineStr">
        <is>
          <t>TORSBY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31316-2025</t>
        </is>
      </c>
      <c r="B1085" s="1" t="n">
        <v>45833.40241898148</v>
      </c>
      <c r="C1085" s="1" t="n">
        <v>46089</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13006-2025</t>
        </is>
      </c>
      <c r="B1086" s="1" t="n">
        <v>45734.51652777778</v>
      </c>
      <c r="C1086" s="1" t="n">
        <v>46089</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59425-2021</t>
        </is>
      </c>
      <c r="B1087" s="1" t="n">
        <v>44491.43469907407</v>
      </c>
      <c r="C1087" s="1" t="n">
        <v>46089</v>
      </c>
      <c r="D1087" t="inlineStr">
        <is>
          <t>VÄRMLANDS LÄN</t>
        </is>
      </c>
      <c r="E1087" t="inlineStr">
        <is>
          <t>TORSBY</t>
        </is>
      </c>
      <c r="F1087" t="inlineStr">
        <is>
          <t>Bergvik skog väst AB</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69878-2021</t>
        </is>
      </c>
      <c r="B1088" s="1" t="n">
        <v>44532.82293981482</v>
      </c>
      <c r="C1088" s="1" t="n">
        <v>46089</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34997-2025</t>
        </is>
      </c>
      <c r="B1089" s="1" t="n">
        <v>45849.87340277778</v>
      </c>
      <c r="C1089" s="1" t="n">
        <v>46089</v>
      </c>
      <c r="D1089" t="inlineStr">
        <is>
          <t>VÄRMLANDS LÄN</t>
        </is>
      </c>
      <c r="E1089" t="inlineStr">
        <is>
          <t>TORSBY</t>
        </is>
      </c>
      <c r="G1089" t="n">
        <v>24.4</v>
      </c>
      <c r="H1089" t="n">
        <v>0</v>
      </c>
      <c r="I1089" t="n">
        <v>0</v>
      </c>
      <c r="J1089" t="n">
        <v>0</v>
      </c>
      <c r="K1089" t="n">
        <v>0</v>
      </c>
      <c r="L1089" t="n">
        <v>0</v>
      </c>
      <c r="M1089" t="n">
        <v>0</v>
      </c>
      <c r="N1089" t="n">
        <v>0</v>
      </c>
      <c r="O1089" t="n">
        <v>0</v>
      </c>
      <c r="P1089" t="n">
        <v>0</v>
      </c>
      <c r="Q1089" t="n">
        <v>0</v>
      </c>
      <c r="R1089" s="2" t="inlineStr"/>
    </row>
    <row r="1090" ht="15" customHeight="1">
      <c r="A1090" t="inlineStr">
        <is>
          <t>A 35185-2025</t>
        </is>
      </c>
      <c r="B1090" s="1" t="n">
        <v>45853.30383101852</v>
      </c>
      <c r="C1090" s="1" t="n">
        <v>46089</v>
      </c>
      <c r="D1090" t="inlineStr">
        <is>
          <t>VÄRMLANDS LÄN</t>
        </is>
      </c>
      <c r="E1090" t="inlineStr">
        <is>
          <t>TORSBY</t>
        </is>
      </c>
      <c r="F1090" t="inlineStr">
        <is>
          <t>Bergvik skog väst AB</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21518-2024</t>
        </is>
      </c>
      <c r="B1091" s="1" t="n">
        <v>45441</v>
      </c>
      <c r="C1091" s="1" t="n">
        <v>46089</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8958-2026</t>
        </is>
      </c>
      <c r="B1092" s="1" t="n">
        <v>46069.40876157407</v>
      </c>
      <c r="C1092" s="1" t="n">
        <v>46089</v>
      </c>
      <c r="D1092" t="inlineStr">
        <is>
          <t>VÄRMLANDS LÄN</t>
        </is>
      </c>
      <c r="E1092" t="inlineStr">
        <is>
          <t>TORSBY</t>
        </is>
      </c>
      <c r="F1092" t="inlineStr">
        <is>
          <t>Bergvik skog väst AB</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49108-2025</t>
        </is>
      </c>
      <c r="B1093" s="1" t="n">
        <v>45937.74528935185</v>
      </c>
      <c r="C1093" s="1" t="n">
        <v>46089</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49109-2025</t>
        </is>
      </c>
      <c r="B1094" s="1" t="n">
        <v>45937.74931712963</v>
      </c>
      <c r="C1094" s="1" t="n">
        <v>46089</v>
      </c>
      <c r="D1094" t="inlineStr">
        <is>
          <t>VÄRMLANDS LÄN</t>
        </is>
      </c>
      <c r="E1094" t="inlineStr">
        <is>
          <t>TORSBY</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49181-2025</t>
        </is>
      </c>
      <c r="B1095" s="1" t="n">
        <v>45938.38640046296</v>
      </c>
      <c r="C1095" s="1" t="n">
        <v>46089</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49311-2025</t>
        </is>
      </c>
      <c r="B1096" s="1" t="n">
        <v>45938.56336805555</v>
      </c>
      <c r="C1096" s="1" t="n">
        <v>46089</v>
      </c>
      <c r="D1096" t="inlineStr">
        <is>
          <t>VÄRMLANDS LÄN</t>
        </is>
      </c>
      <c r="E1096" t="inlineStr">
        <is>
          <t>TORSBY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20985-2024</t>
        </is>
      </c>
      <c r="B1097" s="1" t="n">
        <v>45439</v>
      </c>
      <c r="C1097" s="1" t="n">
        <v>46089</v>
      </c>
      <c r="D1097" t="inlineStr">
        <is>
          <t>VÄRMLANDS LÄN</t>
        </is>
      </c>
      <c r="E1097" t="inlineStr">
        <is>
          <t>TORSBY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35191-2025</t>
        </is>
      </c>
      <c r="B1098" s="1" t="n">
        <v>45853.3469675926</v>
      </c>
      <c r="C1098" s="1" t="n">
        <v>46089</v>
      </c>
      <c r="D1098" t="inlineStr">
        <is>
          <t>VÄRMLANDS LÄN</t>
        </is>
      </c>
      <c r="E1098" t="inlineStr">
        <is>
          <t>TORSBY</t>
        </is>
      </c>
      <c r="F1098" t="inlineStr">
        <is>
          <t>Bergvik skog väst AB</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21790-2023</t>
        </is>
      </c>
      <c r="B1099" s="1" t="n">
        <v>45067</v>
      </c>
      <c r="C1099" s="1" t="n">
        <v>46089</v>
      </c>
      <c r="D1099" t="inlineStr">
        <is>
          <t>VÄRMLANDS LÄN</t>
        </is>
      </c>
      <c r="E1099" t="inlineStr">
        <is>
          <t>TORSBY</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29936-2024</t>
        </is>
      </c>
      <c r="B1100" s="1" t="n">
        <v>45488</v>
      </c>
      <c r="C1100" s="1" t="n">
        <v>46089</v>
      </c>
      <c r="D1100" t="inlineStr">
        <is>
          <t>VÄRMLANDS LÄN</t>
        </is>
      </c>
      <c r="E1100" t="inlineStr">
        <is>
          <t>TORSBY</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48991-2025</t>
        </is>
      </c>
      <c r="B1101" s="1" t="n">
        <v>45937.58141203703</v>
      </c>
      <c r="C1101" s="1" t="n">
        <v>46089</v>
      </c>
      <c r="D1101" t="inlineStr">
        <is>
          <t>VÄRMLANDS LÄN</t>
        </is>
      </c>
      <c r="E1101" t="inlineStr">
        <is>
          <t>TORSBY</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49272-2025</t>
        </is>
      </c>
      <c r="B1102" s="1" t="n">
        <v>45938.50574074074</v>
      </c>
      <c r="C1102" s="1" t="n">
        <v>46089</v>
      </c>
      <c r="D1102" t="inlineStr">
        <is>
          <t>VÄRMLANDS LÄN</t>
        </is>
      </c>
      <c r="E1102" t="inlineStr">
        <is>
          <t>TORSBY</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35194-2025</t>
        </is>
      </c>
      <c r="B1103" s="1" t="n">
        <v>45853.35740740741</v>
      </c>
      <c r="C1103" s="1" t="n">
        <v>46089</v>
      </c>
      <c r="D1103" t="inlineStr">
        <is>
          <t>VÄRMLANDS LÄN</t>
        </is>
      </c>
      <c r="E1103" t="inlineStr">
        <is>
          <t>TORSBY</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49313-2025</t>
        </is>
      </c>
      <c r="B1104" s="1" t="n">
        <v>45938.56460648148</v>
      </c>
      <c r="C1104" s="1" t="n">
        <v>46089</v>
      </c>
      <c r="D1104" t="inlineStr">
        <is>
          <t>VÄRMLANDS LÄN</t>
        </is>
      </c>
      <c r="E1104" t="inlineStr">
        <is>
          <t>TORSBY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49203-2025</t>
        </is>
      </c>
      <c r="B1105" s="1" t="n">
        <v>45938</v>
      </c>
      <c r="C1105" s="1" t="n">
        <v>46089</v>
      </c>
      <c r="D1105" t="inlineStr">
        <is>
          <t>VÄRMLANDS LÄN</t>
        </is>
      </c>
      <c r="E1105" t="inlineStr">
        <is>
          <t>TORSBY</t>
        </is>
      </c>
      <c r="F1105" t="inlineStr">
        <is>
          <t>Bergvik skog väst AB</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35408-2025</t>
        </is>
      </c>
      <c r="B1106" s="1" t="n">
        <v>45855.37256944444</v>
      </c>
      <c r="C1106" s="1" t="n">
        <v>46089</v>
      </c>
      <c r="D1106" t="inlineStr">
        <is>
          <t>VÄRMLANDS LÄN</t>
        </is>
      </c>
      <c r="E1106" t="inlineStr">
        <is>
          <t>TORSBY</t>
        </is>
      </c>
      <c r="F1106" t="inlineStr">
        <is>
          <t>Bergvik skog väst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35334-2025</t>
        </is>
      </c>
      <c r="B1107" s="1" t="n">
        <v>45854.57973379629</v>
      </c>
      <c r="C1107" s="1" t="n">
        <v>46089</v>
      </c>
      <c r="D1107" t="inlineStr">
        <is>
          <t>VÄRMLANDS LÄN</t>
        </is>
      </c>
      <c r="E1107" t="inlineStr">
        <is>
          <t>TORSBY</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5351-2024</t>
        </is>
      </c>
      <c r="B1108" s="1" t="n">
        <v>45331.45199074074</v>
      </c>
      <c r="C1108" s="1" t="n">
        <v>46089</v>
      </c>
      <c r="D1108" t="inlineStr">
        <is>
          <t>VÄRMLANDS LÄN</t>
        </is>
      </c>
      <c r="E1108" t="inlineStr">
        <is>
          <t>TORSBY</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19159-2025</t>
        </is>
      </c>
      <c r="B1109" s="1" t="n">
        <v>45769</v>
      </c>
      <c r="C1109" s="1" t="n">
        <v>46089</v>
      </c>
      <c r="D1109" t="inlineStr">
        <is>
          <t>VÄRMLANDS LÄN</t>
        </is>
      </c>
      <c r="E1109" t="inlineStr">
        <is>
          <t>TORSBY</t>
        </is>
      </c>
      <c r="F1109" t="inlineStr">
        <is>
          <t>Bergvik skog väst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38084-2023</t>
        </is>
      </c>
      <c r="B1110" s="1" t="n">
        <v>45160</v>
      </c>
      <c r="C1110" s="1" t="n">
        <v>46089</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49622-2025</t>
        </is>
      </c>
      <c r="B1111" s="1" t="n">
        <v>45939</v>
      </c>
      <c r="C1111" s="1" t="n">
        <v>46089</v>
      </c>
      <c r="D1111" t="inlineStr">
        <is>
          <t>VÄRMLANDS LÄN</t>
        </is>
      </c>
      <c r="E1111" t="inlineStr">
        <is>
          <t>TORSBY</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35367-2025</t>
        </is>
      </c>
      <c r="B1112" s="1" t="n">
        <v>45854</v>
      </c>
      <c r="C1112" s="1" t="n">
        <v>46089</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49636-2025</t>
        </is>
      </c>
      <c r="B1113" s="1" t="n">
        <v>45939</v>
      </c>
      <c r="C1113" s="1" t="n">
        <v>46089</v>
      </c>
      <c r="D1113" t="inlineStr">
        <is>
          <t>VÄRMLANDS LÄN</t>
        </is>
      </c>
      <c r="E1113" t="inlineStr">
        <is>
          <t>TORSBY</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49344-2025</t>
        </is>
      </c>
      <c r="B1114" s="1" t="n">
        <v>45938.60028935185</v>
      </c>
      <c r="C1114" s="1" t="n">
        <v>46089</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49681-2025</t>
        </is>
      </c>
      <c r="B1115" s="1" t="n">
        <v>45939</v>
      </c>
      <c r="C1115" s="1" t="n">
        <v>46089</v>
      </c>
      <c r="D1115" t="inlineStr">
        <is>
          <t>VÄRMLANDS LÄN</t>
        </is>
      </c>
      <c r="E1115" t="inlineStr">
        <is>
          <t>TORSBY</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49453-2025</t>
        </is>
      </c>
      <c r="B1116" s="1" t="n">
        <v>45939</v>
      </c>
      <c r="C1116" s="1" t="n">
        <v>46089</v>
      </c>
      <c r="D1116" t="inlineStr">
        <is>
          <t>VÄRMLANDS LÄN</t>
        </is>
      </c>
      <c r="E1116" t="inlineStr">
        <is>
          <t>TORSBY</t>
        </is>
      </c>
      <c r="F1116" t="inlineStr">
        <is>
          <t>Bergvik skog väst AB</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46221-2023</t>
        </is>
      </c>
      <c r="B1117" s="1" t="n">
        <v>45196.66636574074</v>
      </c>
      <c r="C1117" s="1" t="n">
        <v>46089</v>
      </c>
      <c r="D1117" t="inlineStr">
        <is>
          <t>VÄRMLANDS LÄN</t>
        </is>
      </c>
      <c r="E1117" t="inlineStr">
        <is>
          <t>TORSBY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64664-2023</t>
        </is>
      </c>
      <c r="B1118" s="1" t="n">
        <v>45281.60710648148</v>
      </c>
      <c r="C1118" s="1" t="n">
        <v>46089</v>
      </c>
      <c r="D1118" t="inlineStr">
        <is>
          <t>VÄRMLANDS LÄN</t>
        </is>
      </c>
      <c r="E1118" t="inlineStr">
        <is>
          <t>TORSBY</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49638-2025</t>
        </is>
      </c>
      <c r="B1119" s="1" t="n">
        <v>45939.61236111111</v>
      </c>
      <c r="C1119" s="1" t="n">
        <v>46089</v>
      </c>
      <c r="D1119" t="inlineStr">
        <is>
          <t>VÄRMLANDS LÄN</t>
        </is>
      </c>
      <c r="E1119" t="inlineStr">
        <is>
          <t>TORSBY</t>
        </is>
      </c>
      <c r="F1119" t="inlineStr">
        <is>
          <t>Bergvik skog väst AB</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49107-2025</t>
        </is>
      </c>
      <c r="B1120" s="1" t="n">
        <v>45937.74091435185</v>
      </c>
      <c r="C1120" s="1" t="n">
        <v>46089</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51199-2023</t>
        </is>
      </c>
      <c r="B1121" s="1" t="n">
        <v>45219.42247685185</v>
      </c>
      <c r="C1121" s="1" t="n">
        <v>46089</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49504-2025</t>
        </is>
      </c>
      <c r="B1122" s="1" t="n">
        <v>45939</v>
      </c>
      <c r="C1122" s="1" t="n">
        <v>46089</v>
      </c>
      <c r="D1122" t="inlineStr">
        <is>
          <t>VÄRMLANDS LÄN</t>
        </is>
      </c>
      <c r="E1122" t="inlineStr">
        <is>
          <t>TORSBY</t>
        </is>
      </c>
      <c r="F1122" t="inlineStr">
        <is>
          <t>Bergvik skog väst AB</t>
        </is>
      </c>
      <c r="G1122" t="n">
        <v>35.8</v>
      </c>
      <c r="H1122" t="n">
        <v>0</v>
      </c>
      <c r="I1122" t="n">
        <v>0</v>
      </c>
      <c r="J1122" t="n">
        <v>0</v>
      </c>
      <c r="K1122" t="n">
        <v>0</v>
      </c>
      <c r="L1122" t="n">
        <v>0</v>
      </c>
      <c r="M1122" t="n">
        <v>0</v>
      </c>
      <c r="N1122" t="n">
        <v>0</v>
      </c>
      <c r="O1122" t="n">
        <v>0</v>
      </c>
      <c r="P1122" t="n">
        <v>0</v>
      </c>
      <c r="Q1122" t="n">
        <v>0</v>
      </c>
      <c r="R1122" s="2" t="inlineStr"/>
    </row>
    <row r="1123" ht="15" customHeight="1">
      <c r="A1123" t="inlineStr">
        <is>
          <t>A 21516-2022</t>
        </is>
      </c>
      <c r="B1123" s="1" t="n">
        <v>44706</v>
      </c>
      <c r="C1123" s="1" t="n">
        <v>46089</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49237-2025</t>
        </is>
      </c>
      <c r="B1124" s="1" t="n">
        <v>45938</v>
      </c>
      <c r="C1124" s="1" t="n">
        <v>46089</v>
      </c>
      <c r="D1124" t="inlineStr">
        <is>
          <t>VÄRMLANDS LÄN</t>
        </is>
      </c>
      <c r="E1124" t="inlineStr">
        <is>
          <t>TORSBY</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38-2026</t>
        </is>
      </c>
      <c r="B1125" s="1" t="n">
        <v>46024</v>
      </c>
      <c r="C1125" s="1" t="n">
        <v>46089</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49250-2025</t>
        </is>
      </c>
      <c r="B1126" s="1" t="n">
        <v>45938</v>
      </c>
      <c r="C1126" s="1" t="n">
        <v>46089</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5052-2025</t>
        </is>
      </c>
      <c r="B1127" s="1" t="n">
        <v>45691</v>
      </c>
      <c r="C1127" s="1" t="n">
        <v>46089</v>
      </c>
      <c r="D1127" t="inlineStr">
        <is>
          <t>VÄRMLANDS LÄN</t>
        </is>
      </c>
      <c r="E1127" t="inlineStr">
        <is>
          <t>TORSBY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17562-2024</t>
        </is>
      </c>
      <c r="B1128" s="1" t="n">
        <v>45415</v>
      </c>
      <c r="C1128" s="1" t="n">
        <v>46089</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35552-2025</t>
        </is>
      </c>
      <c r="B1129" s="1" t="n">
        <v>45856.49702546297</v>
      </c>
      <c r="C1129" s="1" t="n">
        <v>46089</v>
      </c>
      <c r="D1129" t="inlineStr">
        <is>
          <t>VÄRMLANDS LÄN</t>
        </is>
      </c>
      <c r="E1129" t="inlineStr">
        <is>
          <t>TORSBY</t>
        </is>
      </c>
      <c r="F1129" t="inlineStr">
        <is>
          <t>Bergvik skog väst AB</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46089</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35817-2025</t>
        </is>
      </c>
      <c r="B1131" s="1" t="n">
        <v>45861.44365740741</v>
      </c>
      <c r="C1131" s="1" t="n">
        <v>46089</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9240-2026</t>
        </is>
      </c>
      <c r="B1132" s="1" t="n">
        <v>46070.47997685185</v>
      </c>
      <c r="C1132" s="1" t="n">
        <v>46089</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46089</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18339-2024</t>
        </is>
      </c>
      <c r="B1134" s="1" t="n">
        <v>45422.58119212963</v>
      </c>
      <c r="C1134" s="1" t="n">
        <v>46089</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16003-2025</t>
        </is>
      </c>
      <c r="B1135" s="1" t="n">
        <v>45749</v>
      </c>
      <c r="C1135" s="1" t="n">
        <v>46089</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14800-2025</t>
        </is>
      </c>
      <c r="B1136" s="1" t="n">
        <v>45743</v>
      </c>
      <c r="C1136" s="1" t="n">
        <v>46089</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35855-2025</t>
        </is>
      </c>
      <c r="B1137" s="1" t="n">
        <v>45861.61864583333</v>
      </c>
      <c r="C1137" s="1" t="n">
        <v>46089</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12440-2025</t>
        </is>
      </c>
      <c r="B1138" s="1" t="n">
        <v>45730</v>
      </c>
      <c r="C1138" s="1" t="n">
        <v>46089</v>
      </c>
      <c r="D1138" t="inlineStr">
        <is>
          <t>VÄRMLANDS LÄN</t>
        </is>
      </c>
      <c r="E1138" t="inlineStr">
        <is>
          <t>TORSBY</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35980-2025</t>
        </is>
      </c>
      <c r="B1139" s="1" t="n">
        <v>45863</v>
      </c>
      <c r="C1139" s="1" t="n">
        <v>46089</v>
      </c>
      <c r="D1139" t="inlineStr">
        <is>
          <t>VÄRMLANDS LÄN</t>
        </is>
      </c>
      <c r="E1139" t="inlineStr">
        <is>
          <t>TORSBY</t>
        </is>
      </c>
      <c r="F1139" t="inlineStr">
        <is>
          <t>Bergvik skog väst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35965-2025</t>
        </is>
      </c>
      <c r="B1140" s="1" t="n">
        <v>45863.39790509259</v>
      </c>
      <c r="C1140" s="1" t="n">
        <v>46089</v>
      </c>
      <c r="D1140" t="inlineStr">
        <is>
          <t>VÄRMLANDS LÄN</t>
        </is>
      </c>
      <c r="E1140" t="inlineStr">
        <is>
          <t>TORSBY</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35987-2025</t>
        </is>
      </c>
      <c r="B1141" s="1" t="n">
        <v>45863.46144675926</v>
      </c>
      <c r="C1141" s="1" t="n">
        <v>46089</v>
      </c>
      <c r="D1141" t="inlineStr">
        <is>
          <t>VÄRMLANDS LÄN</t>
        </is>
      </c>
      <c r="E1141" t="inlineStr">
        <is>
          <t>TORSBY</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1123-2023</t>
        </is>
      </c>
      <c r="B1142" s="1" t="n">
        <v>44935</v>
      </c>
      <c r="C1142" s="1" t="n">
        <v>46089</v>
      </c>
      <c r="D1142" t="inlineStr">
        <is>
          <t>VÄRMLANDS LÄN</t>
        </is>
      </c>
      <c r="E1142" t="inlineStr">
        <is>
          <t>TORSBY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9704-2025</t>
        </is>
      </c>
      <c r="B1143" s="1" t="n">
        <v>45716.38378472222</v>
      </c>
      <c r="C1143" s="1" t="n">
        <v>46089</v>
      </c>
      <c r="D1143" t="inlineStr">
        <is>
          <t>VÄRMLANDS LÄN</t>
        </is>
      </c>
      <c r="E1143" t="inlineStr">
        <is>
          <t>TORSBY</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21585-2024</t>
        </is>
      </c>
      <c r="B1144" s="1" t="n">
        <v>45441</v>
      </c>
      <c r="C1144" s="1" t="n">
        <v>46089</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52447-2022</t>
        </is>
      </c>
      <c r="B1145" s="1" t="n">
        <v>44874</v>
      </c>
      <c r="C1145" s="1" t="n">
        <v>46089</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7378-2025</t>
        </is>
      </c>
      <c r="B1146" s="1" t="n">
        <v>45705</v>
      </c>
      <c r="C1146" s="1" t="n">
        <v>46089</v>
      </c>
      <c r="D1146" t="inlineStr">
        <is>
          <t>VÄRMLANDS LÄN</t>
        </is>
      </c>
      <c r="E1146" t="inlineStr">
        <is>
          <t>TORSBY</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30958-2025</t>
        </is>
      </c>
      <c r="B1147" s="1" t="n">
        <v>45832.43880787037</v>
      </c>
      <c r="C1147" s="1" t="n">
        <v>46089</v>
      </c>
      <c r="D1147" t="inlineStr">
        <is>
          <t>VÄRMLANDS LÄN</t>
        </is>
      </c>
      <c r="E1147" t="inlineStr">
        <is>
          <t>TORSBY</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24630-2024</t>
        </is>
      </c>
      <c r="B1148" s="1" t="n">
        <v>45460.51149305556</v>
      </c>
      <c r="C1148" s="1" t="n">
        <v>46089</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36287-2025</t>
        </is>
      </c>
      <c r="B1149" s="1" t="n">
        <v>45867.65814814815</v>
      </c>
      <c r="C1149" s="1" t="n">
        <v>46089</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30836-2025</t>
        </is>
      </c>
      <c r="B1150" s="1" t="n">
        <v>45831.70571759259</v>
      </c>
      <c r="C1150" s="1" t="n">
        <v>46089</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38086-2023</t>
        </is>
      </c>
      <c r="B1151" s="1" t="n">
        <v>45160</v>
      </c>
      <c r="C1151" s="1" t="n">
        <v>46089</v>
      </c>
      <c r="D1151" t="inlineStr">
        <is>
          <t>VÄRMLANDS LÄN</t>
        </is>
      </c>
      <c r="E1151" t="inlineStr">
        <is>
          <t>TORSBY</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9723-2025</t>
        </is>
      </c>
      <c r="B1152" s="1" t="n">
        <v>45715</v>
      </c>
      <c r="C1152" s="1" t="n">
        <v>46089</v>
      </c>
      <c r="D1152" t="inlineStr">
        <is>
          <t>VÄRMLANDS LÄN</t>
        </is>
      </c>
      <c r="E1152" t="inlineStr">
        <is>
          <t>TORSBY</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364-2025</t>
        </is>
      </c>
      <c r="B1153" s="1" t="n">
        <v>45661</v>
      </c>
      <c r="C1153" s="1" t="n">
        <v>46089</v>
      </c>
      <c r="D1153" t="inlineStr">
        <is>
          <t>VÄRMLANDS LÄN</t>
        </is>
      </c>
      <c r="E1153" t="inlineStr">
        <is>
          <t>TORSBY</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50373-2025</t>
        </is>
      </c>
      <c r="B1154" s="1" t="n">
        <v>45944.59106481481</v>
      </c>
      <c r="C1154" s="1" t="n">
        <v>46089</v>
      </c>
      <c r="D1154" t="inlineStr">
        <is>
          <t>VÄRMLANDS LÄN</t>
        </is>
      </c>
      <c r="E1154" t="inlineStr">
        <is>
          <t>TORSBY</t>
        </is>
      </c>
      <c r="F1154" t="inlineStr">
        <is>
          <t>Bergvik skog väst AB</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32624-2025</t>
        </is>
      </c>
      <c r="B1155" s="1" t="n">
        <v>45838.64796296296</v>
      </c>
      <c r="C1155" s="1" t="n">
        <v>46089</v>
      </c>
      <c r="D1155" t="inlineStr">
        <is>
          <t>VÄRMLANDS LÄN</t>
        </is>
      </c>
      <c r="E1155" t="inlineStr">
        <is>
          <t>TORSBY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50400-2025</t>
        </is>
      </c>
      <c r="B1156" s="1" t="n">
        <v>45944.63516203704</v>
      </c>
      <c r="C1156" s="1" t="n">
        <v>46089</v>
      </c>
      <c r="D1156" t="inlineStr">
        <is>
          <t>VÄRMLANDS LÄN</t>
        </is>
      </c>
      <c r="E1156" t="inlineStr">
        <is>
          <t>TORSBY</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36256-2025</t>
        </is>
      </c>
      <c r="B1157" s="1" t="n">
        <v>45867.58938657407</v>
      </c>
      <c r="C1157" s="1" t="n">
        <v>46089</v>
      </c>
      <c r="D1157" t="inlineStr">
        <is>
          <t>VÄRMLANDS LÄN</t>
        </is>
      </c>
      <c r="E1157" t="inlineStr">
        <is>
          <t>TORSBY</t>
        </is>
      </c>
      <c r="F1157" t="inlineStr">
        <is>
          <t>Bergvik skog väst AB</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36258-2025</t>
        </is>
      </c>
      <c r="B1158" s="1" t="n">
        <v>45867.59559027778</v>
      </c>
      <c r="C1158" s="1" t="n">
        <v>46089</v>
      </c>
      <c r="D1158" t="inlineStr">
        <is>
          <t>VÄRMLANDS LÄN</t>
        </is>
      </c>
      <c r="E1158" t="inlineStr">
        <is>
          <t>TORSBY</t>
        </is>
      </c>
      <c r="F1158" t="inlineStr">
        <is>
          <t>Bergvik skog väst AB</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36288-2025</t>
        </is>
      </c>
      <c r="B1159" s="1" t="n">
        <v>45867.6619212963</v>
      </c>
      <c r="C1159" s="1" t="n">
        <v>46089</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36289-2025</t>
        </is>
      </c>
      <c r="B1160" s="1" t="n">
        <v>45867.66329861111</v>
      </c>
      <c r="C1160" s="1" t="n">
        <v>46089</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22464-2021</t>
        </is>
      </c>
      <c r="B1161" s="1" t="n">
        <v>44326.67932870371</v>
      </c>
      <c r="C1161" s="1" t="n">
        <v>46089</v>
      </c>
      <c r="D1161" t="inlineStr">
        <is>
          <t>VÄRMLANDS LÄN</t>
        </is>
      </c>
      <c r="E1161" t="inlineStr">
        <is>
          <t>TORSBY</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36279-2025</t>
        </is>
      </c>
      <c r="B1162" s="1" t="n">
        <v>45867.638125</v>
      </c>
      <c r="C1162" s="1" t="n">
        <v>46089</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20191-2025</t>
        </is>
      </c>
      <c r="B1163" s="1" t="n">
        <v>45772</v>
      </c>
      <c r="C1163" s="1" t="n">
        <v>46089</v>
      </c>
      <c r="D1163" t="inlineStr">
        <is>
          <t>VÄRMLANDS LÄN</t>
        </is>
      </c>
      <c r="E1163" t="inlineStr">
        <is>
          <t>TORSBY</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25961-2025</t>
        </is>
      </c>
      <c r="B1164" s="1" t="n">
        <v>45804</v>
      </c>
      <c r="C1164" s="1" t="n">
        <v>46089</v>
      </c>
      <c r="D1164" t="inlineStr">
        <is>
          <t>VÄRMLANDS LÄN</t>
        </is>
      </c>
      <c r="E1164" t="inlineStr">
        <is>
          <t>TORSBY</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47694-2022</t>
        </is>
      </c>
      <c r="B1165" s="1" t="n">
        <v>44854</v>
      </c>
      <c r="C1165" s="1" t="n">
        <v>46089</v>
      </c>
      <c r="D1165" t="inlineStr">
        <is>
          <t>VÄRMLANDS LÄN</t>
        </is>
      </c>
      <c r="E1165" t="inlineStr">
        <is>
          <t>TORSBY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637-2026</t>
        </is>
      </c>
      <c r="B1166" s="1" t="n">
        <v>46029</v>
      </c>
      <c r="C1166" s="1" t="n">
        <v>46089</v>
      </c>
      <c r="D1166" t="inlineStr">
        <is>
          <t>VÄRMLANDS LÄN</t>
        </is>
      </c>
      <c r="E1166" t="inlineStr">
        <is>
          <t>TORSBY</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36477-2025</t>
        </is>
      </c>
      <c r="B1167" s="1" t="n">
        <v>45869</v>
      </c>
      <c r="C1167" s="1" t="n">
        <v>46089</v>
      </c>
      <c r="D1167" t="inlineStr">
        <is>
          <t>VÄRMLANDS LÄN</t>
        </is>
      </c>
      <c r="E1167" t="inlineStr">
        <is>
          <t>TORSBY</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36548-2025</t>
        </is>
      </c>
      <c r="B1168" s="1" t="n">
        <v>45869.74849537037</v>
      </c>
      <c r="C1168" s="1" t="n">
        <v>46089</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50906-2025</t>
        </is>
      </c>
      <c r="B1169" s="1" t="n">
        <v>45946.65119212963</v>
      </c>
      <c r="C1169" s="1" t="n">
        <v>46089</v>
      </c>
      <c r="D1169" t="inlineStr">
        <is>
          <t>VÄRMLANDS LÄN</t>
        </is>
      </c>
      <c r="E1169" t="inlineStr">
        <is>
          <t>TORSBY</t>
        </is>
      </c>
      <c r="F1169" t="inlineStr">
        <is>
          <t>Kommuner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50918-2025</t>
        </is>
      </c>
      <c r="B1170" s="1" t="n">
        <v>45946.66516203704</v>
      </c>
      <c r="C1170" s="1" t="n">
        <v>46089</v>
      </c>
      <c r="D1170" t="inlineStr">
        <is>
          <t>VÄRMLANDS LÄN</t>
        </is>
      </c>
      <c r="E1170" t="inlineStr">
        <is>
          <t>TORSBY</t>
        </is>
      </c>
      <c r="F1170" t="inlineStr">
        <is>
          <t>Kommuner</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50927-2025</t>
        </is>
      </c>
      <c r="B1171" s="1" t="n">
        <v>45946.67895833333</v>
      </c>
      <c r="C1171" s="1" t="n">
        <v>46089</v>
      </c>
      <c r="D1171" t="inlineStr">
        <is>
          <t>VÄRMLANDS LÄN</t>
        </is>
      </c>
      <c r="E1171" t="inlineStr">
        <is>
          <t>TORSBY</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36483-2025</t>
        </is>
      </c>
      <c r="B1172" s="1" t="n">
        <v>45869</v>
      </c>
      <c r="C1172" s="1" t="n">
        <v>46089</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1432-2025</t>
        </is>
      </c>
      <c r="B1173" s="1" t="n">
        <v>45669</v>
      </c>
      <c r="C1173" s="1" t="n">
        <v>46089</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1435-2025</t>
        </is>
      </c>
      <c r="B1174" s="1" t="n">
        <v>45669</v>
      </c>
      <c r="C1174" s="1" t="n">
        <v>46089</v>
      </c>
      <c r="D1174" t="inlineStr">
        <is>
          <t>VÄRMLANDS LÄN</t>
        </is>
      </c>
      <c r="E1174" t="inlineStr">
        <is>
          <t>TORSBY</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51215-2025</t>
        </is>
      </c>
      <c r="B1175" s="1" t="n">
        <v>45947.64357638889</v>
      </c>
      <c r="C1175" s="1" t="n">
        <v>46089</v>
      </c>
      <c r="D1175" t="inlineStr">
        <is>
          <t>VÄRMLANDS LÄN</t>
        </is>
      </c>
      <c r="E1175" t="inlineStr">
        <is>
          <t>TORSBY</t>
        </is>
      </c>
      <c r="F1175" t="inlineStr">
        <is>
          <t>Bergvik skog väst AB</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51219-2025</t>
        </is>
      </c>
      <c r="B1176" s="1" t="n">
        <v>45947.64710648148</v>
      </c>
      <c r="C1176" s="1" t="n">
        <v>46089</v>
      </c>
      <c r="D1176" t="inlineStr">
        <is>
          <t>VÄRMLANDS LÄN</t>
        </is>
      </c>
      <c r="E1176" t="inlineStr">
        <is>
          <t>TORSBY</t>
        </is>
      </c>
      <c r="F1176" t="inlineStr">
        <is>
          <t>Bergvik skog väst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36530-2025</t>
        </is>
      </c>
      <c r="B1177" s="1" t="n">
        <v>45869.61282407407</v>
      </c>
      <c r="C1177" s="1" t="n">
        <v>46089</v>
      </c>
      <c r="D1177" t="inlineStr">
        <is>
          <t>VÄRMLANDS LÄN</t>
        </is>
      </c>
      <c r="E1177" t="inlineStr">
        <is>
          <t>TORSBY</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22687-2023</t>
        </is>
      </c>
      <c r="B1178" s="1" t="n">
        <v>45071</v>
      </c>
      <c r="C1178" s="1" t="n">
        <v>46089</v>
      </c>
      <c r="D1178" t="inlineStr">
        <is>
          <t>VÄRMLANDS LÄN</t>
        </is>
      </c>
      <c r="E1178" t="inlineStr">
        <is>
          <t>TORSBY</t>
        </is>
      </c>
      <c r="F1178" t="inlineStr">
        <is>
          <t>Bergvik skog väst AB</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51113-2025</t>
        </is>
      </c>
      <c r="B1179" s="1" t="n">
        <v>45947.51290509259</v>
      </c>
      <c r="C1179" s="1" t="n">
        <v>46089</v>
      </c>
      <c r="D1179" t="inlineStr">
        <is>
          <t>VÄRMLANDS LÄN</t>
        </is>
      </c>
      <c r="E1179" t="inlineStr">
        <is>
          <t>TORSBY</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375-2025</t>
        </is>
      </c>
      <c r="B1180" s="1" t="n">
        <v>45661</v>
      </c>
      <c r="C1180" s="1" t="n">
        <v>46089</v>
      </c>
      <c r="D1180" t="inlineStr">
        <is>
          <t>VÄRMLANDS LÄN</t>
        </is>
      </c>
      <c r="E1180" t="inlineStr">
        <is>
          <t>TORSBY</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53652-2023</t>
        </is>
      </c>
      <c r="B1181" s="1" t="n">
        <v>45224</v>
      </c>
      <c r="C1181" s="1" t="n">
        <v>46089</v>
      </c>
      <c r="D1181" t="inlineStr">
        <is>
          <t>VÄRMLANDS LÄN</t>
        </is>
      </c>
      <c r="E1181" t="inlineStr">
        <is>
          <t>TORSBY</t>
        </is>
      </c>
      <c r="F1181" t="inlineStr">
        <is>
          <t>Övriga statliga verk och myndigheter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43599-2023</t>
        </is>
      </c>
      <c r="B1182" s="1" t="n">
        <v>45184</v>
      </c>
      <c r="C1182" s="1" t="n">
        <v>46089</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38076-2024</t>
        </is>
      </c>
      <c r="B1183" s="1" t="n">
        <v>45544</v>
      </c>
      <c r="C1183" s="1" t="n">
        <v>46089</v>
      </c>
      <c r="D1183" t="inlineStr">
        <is>
          <t>VÄRMLANDS LÄN</t>
        </is>
      </c>
      <c r="E1183" t="inlineStr">
        <is>
          <t>TORSBY</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44325-2024</t>
        </is>
      </c>
      <c r="B1184" s="1" t="n">
        <v>45573</v>
      </c>
      <c r="C1184" s="1" t="n">
        <v>46089</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9056-2023</t>
        </is>
      </c>
      <c r="B1185" s="1" t="n">
        <v>44979</v>
      </c>
      <c r="C1185" s="1" t="n">
        <v>46089</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65301-2021</t>
        </is>
      </c>
      <c r="B1186" s="1" t="n">
        <v>44515</v>
      </c>
      <c r="C1186" s="1" t="n">
        <v>46089</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50892-2025</t>
        </is>
      </c>
      <c r="B1187" s="1" t="n">
        <v>45946.63763888889</v>
      </c>
      <c r="C1187" s="1" t="n">
        <v>46089</v>
      </c>
      <c r="D1187" t="inlineStr">
        <is>
          <t>VÄRMLANDS LÄN</t>
        </is>
      </c>
      <c r="E1187" t="inlineStr">
        <is>
          <t>TORSBY</t>
        </is>
      </c>
      <c r="F1187" t="inlineStr">
        <is>
          <t>Kommuner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1512-2025</t>
        </is>
      </c>
      <c r="B1188" s="1" t="n">
        <v>45670.45255787037</v>
      </c>
      <c r="C1188" s="1" t="n">
        <v>46089</v>
      </c>
      <c r="D1188" t="inlineStr">
        <is>
          <t>VÄRMLANDS LÄN</t>
        </is>
      </c>
      <c r="E1188" t="inlineStr">
        <is>
          <t>TORSBY</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50921-2025</t>
        </is>
      </c>
      <c r="B1189" s="1" t="n">
        <v>45946.67092592592</v>
      </c>
      <c r="C1189" s="1" t="n">
        <v>46089</v>
      </c>
      <c r="D1189" t="inlineStr">
        <is>
          <t>VÄRMLANDS LÄN</t>
        </is>
      </c>
      <c r="E1189" t="inlineStr">
        <is>
          <t>TORSBY</t>
        </is>
      </c>
      <c r="F1189" t="inlineStr">
        <is>
          <t>Kommuner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50750-2025</t>
        </is>
      </c>
      <c r="B1190" s="1" t="n">
        <v>45946.39091435185</v>
      </c>
      <c r="C1190" s="1" t="n">
        <v>46089</v>
      </c>
      <c r="D1190" t="inlineStr">
        <is>
          <t>VÄRMLANDS LÄN</t>
        </is>
      </c>
      <c r="E1190" t="inlineStr">
        <is>
          <t>TORSBY</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20298-2023</t>
        </is>
      </c>
      <c r="B1191" s="1" t="n">
        <v>45056</v>
      </c>
      <c r="C1191" s="1" t="n">
        <v>46089</v>
      </c>
      <c r="D1191" t="inlineStr">
        <is>
          <t>VÄRMLANDS LÄN</t>
        </is>
      </c>
      <c r="E1191" t="inlineStr">
        <is>
          <t>TORSBY</t>
        </is>
      </c>
      <c r="F1191" t="inlineStr">
        <is>
          <t>Kyrkan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51793-2025</t>
        </is>
      </c>
      <c r="B1192" s="1" t="n">
        <v>45951.71525462963</v>
      </c>
      <c r="C1192" s="1" t="n">
        <v>46089</v>
      </c>
      <c r="D1192" t="inlineStr">
        <is>
          <t>VÄRMLANDS LÄN</t>
        </is>
      </c>
      <c r="E1192" t="inlineStr">
        <is>
          <t>TORSBY</t>
        </is>
      </c>
      <c r="F1192" t="inlineStr">
        <is>
          <t>Bergvik skog väst AB</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36498-2025</t>
        </is>
      </c>
      <c r="B1193" s="1" t="n">
        <v>45869</v>
      </c>
      <c r="C1193" s="1" t="n">
        <v>46089</v>
      </c>
      <c r="D1193" t="inlineStr">
        <is>
          <t>VÄRMLANDS LÄN</t>
        </is>
      </c>
      <c r="E1193" t="inlineStr">
        <is>
          <t>TORSBY</t>
        </is>
      </c>
      <c r="F1193" t="inlineStr">
        <is>
          <t>Bergvik skog väst AB</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36500-2025</t>
        </is>
      </c>
      <c r="B1194" s="1" t="n">
        <v>45869</v>
      </c>
      <c r="C1194" s="1" t="n">
        <v>46089</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60525-2023</t>
        </is>
      </c>
      <c r="B1195" s="1" t="n">
        <v>45259</v>
      </c>
      <c r="C1195" s="1" t="n">
        <v>46089</v>
      </c>
      <c r="D1195" t="inlineStr">
        <is>
          <t>VÄRMLANDS LÄN</t>
        </is>
      </c>
      <c r="E1195" t="inlineStr">
        <is>
          <t>TORSBY</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55428-2022</t>
        </is>
      </c>
      <c r="B1196" s="1" t="n">
        <v>44887.60894675926</v>
      </c>
      <c r="C1196" s="1" t="n">
        <v>46089</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43037-2024</t>
        </is>
      </c>
      <c r="B1197" s="1" t="n">
        <v>45567</v>
      </c>
      <c r="C1197" s="1" t="n">
        <v>46089</v>
      </c>
      <c r="D1197" t="inlineStr">
        <is>
          <t>VÄRMLANDS LÄN</t>
        </is>
      </c>
      <c r="E1197" t="inlineStr">
        <is>
          <t>TORSBY</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23572-2023</t>
        </is>
      </c>
      <c r="B1198" s="1" t="n">
        <v>45077</v>
      </c>
      <c r="C1198" s="1" t="n">
        <v>46089</v>
      </c>
      <c r="D1198" t="inlineStr">
        <is>
          <t>VÄRMLANDS LÄN</t>
        </is>
      </c>
      <c r="E1198" t="inlineStr">
        <is>
          <t>TORSBY</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53499-2023</t>
        </is>
      </c>
      <c r="B1199" s="1" t="n">
        <v>45223</v>
      </c>
      <c r="C1199" s="1" t="n">
        <v>46089</v>
      </c>
      <c r="D1199" t="inlineStr">
        <is>
          <t>VÄRMLANDS LÄN</t>
        </is>
      </c>
      <c r="E1199" t="inlineStr">
        <is>
          <t>TORSBY</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54528-2023</t>
        </is>
      </c>
      <c r="B1200" s="1" t="n">
        <v>45233.59122685185</v>
      </c>
      <c r="C1200" s="1" t="n">
        <v>46089</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9248-2026</t>
        </is>
      </c>
      <c r="B1201" s="1" t="n">
        <v>46070.49686342593</v>
      </c>
      <c r="C1201" s="1" t="n">
        <v>46089</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51694-2025</t>
        </is>
      </c>
      <c r="B1202" s="1" t="n">
        <v>45951.54628472222</v>
      </c>
      <c r="C1202" s="1" t="n">
        <v>46089</v>
      </c>
      <c r="D1202" t="inlineStr">
        <is>
          <t>VÄRMLANDS LÄN</t>
        </is>
      </c>
      <c r="E1202" t="inlineStr">
        <is>
          <t>TORSBY</t>
        </is>
      </c>
      <c r="F1202" t="inlineStr">
        <is>
          <t>Bergvik skog väst AB</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52239-2024</t>
        </is>
      </c>
      <c r="B1203" s="1" t="n">
        <v>45608.61837962963</v>
      </c>
      <c r="C1203" s="1" t="n">
        <v>46089</v>
      </c>
      <c r="D1203" t="inlineStr">
        <is>
          <t>VÄRMLANDS LÄN</t>
        </is>
      </c>
      <c r="E1203" t="inlineStr">
        <is>
          <t>TORSBY</t>
        </is>
      </c>
      <c r="F1203" t="inlineStr">
        <is>
          <t>Bergvik skog väst AB</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46424-2023</t>
        </is>
      </c>
      <c r="B1204" s="1" t="n">
        <v>45197.56141203704</v>
      </c>
      <c r="C1204" s="1" t="n">
        <v>46089</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51587-2025</t>
        </is>
      </c>
      <c r="B1205" s="1" t="n">
        <v>45951.35355324074</v>
      </c>
      <c r="C1205" s="1" t="n">
        <v>46089</v>
      </c>
      <c r="D1205" t="inlineStr">
        <is>
          <t>VÄRMLANDS LÄN</t>
        </is>
      </c>
      <c r="E1205" t="inlineStr">
        <is>
          <t>TORSBY</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51659-2025</t>
        </is>
      </c>
      <c r="B1206" s="1" t="n">
        <v>45951.47482638889</v>
      </c>
      <c r="C1206" s="1" t="n">
        <v>46089</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8025-2025</t>
        </is>
      </c>
      <c r="B1207" s="1" t="n">
        <v>45707</v>
      </c>
      <c r="C1207" s="1" t="n">
        <v>46089</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57071-2022</t>
        </is>
      </c>
      <c r="B1208" s="1" t="n">
        <v>44895.42334490741</v>
      </c>
      <c r="C1208" s="1" t="n">
        <v>46089</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51637-2025</t>
        </is>
      </c>
      <c r="B1209" s="1" t="n">
        <v>45951.43625</v>
      </c>
      <c r="C1209" s="1" t="n">
        <v>46089</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51754-2025</t>
        </is>
      </c>
      <c r="B1210" s="1" t="n">
        <v>45951.62231481481</v>
      </c>
      <c r="C1210" s="1" t="n">
        <v>46089</v>
      </c>
      <c r="D1210" t="inlineStr">
        <is>
          <t>VÄRMLANDS LÄN</t>
        </is>
      </c>
      <c r="E1210" t="inlineStr">
        <is>
          <t>TORSBY</t>
        </is>
      </c>
      <c r="F1210" t="inlineStr">
        <is>
          <t>Bergvik skog väst AB</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34667-2022</t>
        </is>
      </c>
      <c r="B1211" s="1" t="n">
        <v>44795</v>
      </c>
      <c r="C1211" s="1" t="n">
        <v>46089</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36920-2025</t>
        </is>
      </c>
      <c r="B1212" s="1" t="n">
        <v>45874</v>
      </c>
      <c r="C1212" s="1" t="n">
        <v>46089</v>
      </c>
      <c r="D1212" t="inlineStr">
        <is>
          <t>VÄRMLANDS LÄN</t>
        </is>
      </c>
      <c r="E1212" t="inlineStr">
        <is>
          <t>TORSBY</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36856-2025</t>
        </is>
      </c>
      <c r="B1213" s="1" t="n">
        <v>45874.40421296296</v>
      </c>
      <c r="C1213" s="1" t="n">
        <v>46089</v>
      </c>
      <c r="D1213" t="inlineStr">
        <is>
          <t>VÄRMLANDS LÄN</t>
        </is>
      </c>
      <c r="E1213" t="inlineStr">
        <is>
          <t>TORSBY</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52067-2025</t>
        </is>
      </c>
      <c r="B1214" s="1" t="n">
        <v>45952.64248842592</v>
      </c>
      <c r="C1214" s="1" t="n">
        <v>46089</v>
      </c>
      <c r="D1214" t="inlineStr">
        <is>
          <t>VÄRMLANDS LÄN</t>
        </is>
      </c>
      <c r="E1214" t="inlineStr">
        <is>
          <t>TORSBY</t>
        </is>
      </c>
      <c r="F1214" t="inlineStr">
        <is>
          <t>Bergvik skog väst AB</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52261-2025</t>
        </is>
      </c>
      <c r="B1215" s="1" t="n">
        <v>45952</v>
      </c>
      <c r="C1215" s="1" t="n">
        <v>46089</v>
      </c>
      <c r="D1215" t="inlineStr">
        <is>
          <t>VÄRMLANDS LÄN</t>
        </is>
      </c>
      <c r="E1215" t="inlineStr">
        <is>
          <t>TORSBY</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22030-2023</t>
        </is>
      </c>
      <c r="B1216" s="1" t="n">
        <v>45069</v>
      </c>
      <c r="C1216" s="1" t="n">
        <v>46089</v>
      </c>
      <c r="D1216" t="inlineStr">
        <is>
          <t>VÄRMLANDS LÄN</t>
        </is>
      </c>
      <c r="E1216" t="inlineStr">
        <is>
          <t>TORSBY</t>
        </is>
      </c>
      <c r="F1216" t="inlineStr">
        <is>
          <t>Bergvik skog väst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37260-2025</t>
        </is>
      </c>
      <c r="B1217" s="1" t="n">
        <v>45876</v>
      </c>
      <c r="C1217" s="1" t="n">
        <v>46089</v>
      </c>
      <c r="D1217" t="inlineStr">
        <is>
          <t>VÄRMLANDS LÄN</t>
        </is>
      </c>
      <c r="E1217" t="inlineStr">
        <is>
          <t>TORSBY</t>
        </is>
      </c>
      <c r="F1217" t="inlineStr">
        <is>
          <t>Bergvik skog väst AB</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60385-2024</t>
        </is>
      </c>
      <c r="B1218" s="1" t="n">
        <v>45643</v>
      </c>
      <c r="C1218" s="1" t="n">
        <v>46089</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34256-2024</t>
        </is>
      </c>
      <c r="B1219" s="1" t="n">
        <v>45524.59434027778</v>
      </c>
      <c r="C1219" s="1" t="n">
        <v>46089</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52277-2025</t>
        </is>
      </c>
      <c r="B1220" s="1" t="n">
        <v>45953.55915509259</v>
      </c>
      <c r="C1220" s="1" t="n">
        <v>46089</v>
      </c>
      <c r="D1220" t="inlineStr">
        <is>
          <t>VÄRMLANDS LÄN</t>
        </is>
      </c>
      <c r="E1220" t="inlineStr">
        <is>
          <t>TORSBY</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20898-2023</t>
        </is>
      </c>
      <c r="B1221" s="1" t="n">
        <v>45059</v>
      </c>
      <c r="C1221" s="1" t="n">
        <v>46089</v>
      </c>
      <c r="D1221" t="inlineStr">
        <is>
          <t>VÄRMLANDS LÄN</t>
        </is>
      </c>
      <c r="E1221" t="inlineStr">
        <is>
          <t>TORSBY</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60314-2023</t>
        </is>
      </c>
      <c r="B1222" s="1" t="n">
        <v>45258.87101851852</v>
      </c>
      <c r="C1222" s="1" t="n">
        <v>46089</v>
      </c>
      <c r="D1222" t="inlineStr">
        <is>
          <t>VÄRMLANDS LÄN</t>
        </is>
      </c>
      <c r="E1222" t="inlineStr">
        <is>
          <t>TORSBY</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41270-2023</t>
        </is>
      </c>
      <c r="B1223" s="1" t="n">
        <v>45174.54952546296</v>
      </c>
      <c r="C1223" s="1" t="n">
        <v>46089</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32932-2024</t>
        </is>
      </c>
      <c r="B1224" s="1" t="n">
        <v>45517.31537037037</v>
      </c>
      <c r="C1224" s="1" t="n">
        <v>46089</v>
      </c>
      <c r="D1224" t="inlineStr">
        <is>
          <t>VÄRMLANDS LÄN</t>
        </is>
      </c>
      <c r="E1224" t="inlineStr">
        <is>
          <t>TORSBY</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50852-2023</t>
        </is>
      </c>
      <c r="B1225" s="1" t="n">
        <v>45218.29837962963</v>
      </c>
      <c r="C1225" s="1" t="n">
        <v>46089</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27677-2024</t>
        </is>
      </c>
      <c r="B1226" s="1" t="n">
        <v>45475</v>
      </c>
      <c r="C1226" s="1" t="n">
        <v>46089</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27678-2024</t>
        </is>
      </c>
      <c r="B1227" s="1" t="n">
        <v>45475</v>
      </c>
      <c r="C1227" s="1" t="n">
        <v>46089</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51819-2025</t>
        </is>
      </c>
      <c r="B1228" s="1" t="n">
        <v>45951.88194444445</v>
      </c>
      <c r="C1228" s="1" t="n">
        <v>46089</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26042-2024</t>
        </is>
      </c>
      <c r="B1229" s="1" t="n">
        <v>45468.29846064815</v>
      </c>
      <c r="C1229" s="1" t="n">
        <v>46089</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15464-2025</t>
        </is>
      </c>
      <c r="B1230" s="1" t="n">
        <v>45747</v>
      </c>
      <c r="C1230" s="1" t="n">
        <v>46089</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30531-2023</t>
        </is>
      </c>
      <c r="B1231" s="1" t="n">
        <v>45111.68223379629</v>
      </c>
      <c r="C1231" s="1" t="n">
        <v>46089</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52580-2023</t>
        </is>
      </c>
      <c r="B1232" s="1" t="n">
        <v>45225.59354166667</v>
      </c>
      <c r="C1232" s="1" t="n">
        <v>46089</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52591-2023</t>
        </is>
      </c>
      <c r="B1233" s="1" t="n">
        <v>45225</v>
      </c>
      <c r="C1233" s="1" t="n">
        <v>46089</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52982-2023</t>
        </is>
      </c>
      <c r="B1234" s="1" t="n">
        <v>45226.61299768519</v>
      </c>
      <c r="C1234" s="1" t="n">
        <v>46089</v>
      </c>
      <c r="D1234" t="inlineStr">
        <is>
          <t>VÄRMLANDS LÄN</t>
        </is>
      </c>
      <c r="E1234" t="inlineStr">
        <is>
          <t>TORSBY</t>
        </is>
      </c>
      <c r="G1234" t="n">
        <v>35.5</v>
      </c>
      <c r="H1234" t="n">
        <v>0</v>
      </c>
      <c r="I1234" t="n">
        <v>0</v>
      </c>
      <c r="J1234" t="n">
        <v>0</v>
      </c>
      <c r="K1234" t="n">
        <v>0</v>
      </c>
      <c r="L1234" t="n">
        <v>0</v>
      </c>
      <c r="M1234" t="n">
        <v>0</v>
      </c>
      <c r="N1234" t="n">
        <v>0</v>
      </c>
      <c r="O1234" t="n">
        <v>0</v>
      </c>
      <c r="P1234" t="n">
        <v>0</v>
      </c>
      <c r="Q1234" t="n">
        <v>0</v>
      </c>
      <c r="R1234" s="2" t="inlineStr"/>
    </row>
    <row r="1235" ht="15" customHeight="1">
      <c r="A1235" t="inlineStr">
        <is>
          <t>A 58976-2024</t>
        </is>
      </c>
      <c r="B1235" s="1" t="n">
        <v>45636.6081712963</v>
      </c>
      <c r="C1235" s="1" t="n">
        <v>46089</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59613-2024</t>
        </is>
      </c>
      <c r="B1236" s="1" t="n">
        <v>45638</v>
      </c>
      <c r="C1236" s="1" t="n">
        <v>46089</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51873-2025</t>
        </is>
      </c>
      <c r="B1237" s="1" t="n">
        <v>45952.39040509259</v>
      </c>
      <c r="C1237" s="1" t="n">
        <v>46089</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54033-2021</t>
        </is>
      </c>
      <c r="B1238" s="1" t="n">
        <v>44470.38454861111</v>
      </c>
      <c r="C1238" s="1" t="n">
        <v>46089</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58062-2021</t>
        </is>
      </c>
      <c r="B1239" s="1" t="n">
        <v>44487</v>
      </c>
      <c r="C1239" s="1" t="n">
        <v>46089</v>
      </c>
      <c r="D1239" t="inlineStr">
        <is>
          <t>VÄRMLANDS LÄN</t>
        </is>
      </c>
      <c r="E1239" t="inlineStr">
        <is>
          <t>TORSBY</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59941-2023</t>
        </is>
      </c>
      <c r="B1240" s="1" t="n">
        <v>45257.67721064815</v>
      </c>
      <c r="C1240" s="1" t="n">
        <v>46089</v>
      </c>
      <c r="D1240" t="inlineStr">
        <is>
          <t>VÄRMLANDS LÄN</t>
        </is>
      </c>
      <c r="E1240" t="inlineStr">
        <is>
          <t>TORSBY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52364-2025</t>
        </is>
      </c>
      <c r="B1241" s="1" t="n">
        <v>45952</v>
      </c>
      <c r="C1241" s="1" t="n">
        <v>46089</v>
      </c>
      <c r="D1241" t="inlineStr">
        <is>
          <t>VÄRMLANDS LÄN</t>
        </is>
      </c>
      <c r="E1241" t="inlineStr">
        <is>
          <t>TORSBY</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49840-2024</t>
        </is>
      </c>
      <c r="B1242" s="1" t="n">
        <v>45597</v>
      </c>
      <c r="C1242" s="1" t="n">
        <v>46089</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13561-2023</t>
        </is>
      </c>
      <c r="B1243" s="1" t="n">
        <v>45006.47429398148</v>
      </c>
      <c r="C1243" s="1" t="n">
        <v>46089</v>
      </c>
      <c r="D1243" t="inlineStr">
        <is>
          <t>VÄRMLANDS LÄN</t>
        </is>
      </c>
      <c r="E1243" t="inlineStr">
        <is>
          <t>TORSBY</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18411-2023</t>
        </is>
      </c>
      <c r="B1244" s="1" t="n">
        <v>45042</v>
      </c>
      <c r="C1244" s="1" t="n">
        <v>46089</v>
      </c>
      <c r="D1244" t="inlineStr">
        <is>
          <t>VÄRMLANDS LÄN</t>
        </is>
      </c>
      <c r="E1244" t="inlineStr">
        <is>
          <t>TORSBY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19675-2023</t>
        </is>
      </c>
      <c r="B1245" s="1" t="n">
        <v>45051</v>
      </c>
      <c r="C1245" s="1" t="n">
        <v>46089</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51914-2025</t>
        </is>
      </c>
      <c r="B1246" s="1" t="n">
        <v>45952.47380787037</v>
      </c>
      <c r="C1246" s="1" t="n">
        <v>46089</v>
      </c>
      <c r="D1246" t="inlineStr">
        <is>
          <t>VÄRMLANDS LÄN</t>
        </is>
      </c>
      <c r="E1246" t="inlineStr">
        <is>
          <t>TORSBY</t>
        </is>
      </c>
      <c r="F1246" t="inlineStr">
        <is>
          <t>Kyrkan</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51927-2025</t>
        </is>
      </c>
      <c r="B1247" s="1" t="n">
        <v>45952.49587962963</v>
      </c>
      <c r="C1247" s="1" t="n">
        <v>46089</v>
      </c>
      <c r="D1247" t="inlineStr">
        <is>
          <t>VÄRMLANDS LÄN</t>
        </is>
      </c>
      <c r="E1247" t="inlineStr">
        <is>
          <t>TORSBY</t>
        </is>
      </c>
      <c r="F1247" t="inlineStr">
        <is>
          <t>Kyrkan</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57216-2023</t>
        </is>
      </c>
      <c r="B1248" s="1" t="n">
        <v>45245</v>
      </c>
      <c r="C1248" s="1" t="n">
        <v>46089</v>
      </c>
      <c r="D1248" t="inlineStr">
        <is>
          <t>VÄRMLANDS LÄN</t>
        </is>
      </c>
      <c r="E1248" t="inlineStr">
        <is>
          <t>TORSBY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6653-2025</t>
        </is>
      </c>
      <c r="B1249" s="1" t="n">
        <v>45700.42601851852</v>
      </c>
      <c r="C1249" s="1" t="n">
        <v>46089</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61565-2024</t>
        </is>
      </c>
      <c r="B1250" s="1" t="n">
        <v>45646</v>
      </c>
      <c r="C1250" s="1" t="n">
        <v>46089</v>
      </c>
      <c r="D1250" t="inlineStr">
        <is>
          <t>VÄRMLANDS LÄN</t>
        </is>
      </c>
      <c r="E1250" t="inlineStr">
        <is>
          <t>TORSBY</t>
        </is>
      </c>
      <c r="F1250" t="inlineStr">
        <is>
          <t>Bergvik skog väst AB</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12528-2025</t>
        </is>
      </c>
      <c r="B1251" s="1" t="n">
        <v>45730</v>
      </c>
      <c r="C1251" s="1" t="n">
        <v>46089</v>
      </c>
      <c r="D1251" t="inlineStr">
        <is>
          <t>VÄRMLANDS LÄN</t>
        </is>
      </c>
      <c r="E1251" t="inlineStr">
        <is>
          <t>TORSBY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12554-2025</t>
        </is>
      </c>
      <c r="B1252" s="1" t="n">
        <v>45731</v>
      </c>
      <c r="C1252" s="1" t="n">
        <v>46089</v>
      </c>
      <c r="D1252" t="inlineStr">
        <is>
          <t>VÄRMLANDS LÄN</t>
        </is>
      </c>
      <c r="E1252" t="inlineStr">
        <is>
          <t>TORSBY</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37300-2025</t>
        </is>
      </c>
      <c r="B1253" s="1" t="n">
        <v>45876</v>
      </c>
      <c r="C1253" s="1" t="n">
        <v>46089</v>
      </c>
      <c r="D1253" t="inlineStr">
        <is>
          <t>VÄRMLANDS LÄN</t>
        </is>
      </c>
      <c r="E1253" t="inlineStr">
        <is>
          <t>TORSBY</t>
        </is>
      </c>
      <c r="F1253" t="inlineStr">
        <is>
          <t>Bergvik skog väst AB</t>
        </is>
      </c>
      <c r="G1253" t="n">
        <v>33.6</v>
      </c>
      <c r="H1253" t="n">
        <v>0</v>
      </c>
      <c r="I1253" t="n">
        <v>0</v>
      </c>
      <c r="J1253" t="n">
        <v>0</v>
      </c>
      <c r="K1253" t="n">
        <v>0</v>
      </c>
      <c r="L1253" t="n">
        <v>0</v>
      </c>
      <c r="M1253" t="n">
        <v>0</v>
      </c>
      <c r="N1253" t="n">
        <v>0</v>
      </c>
      <c r="O1253" t="n">
        <v>0</v>
      </c>
      <c r="P1253" t="n">
        <v>0</v>
      </c>
      <c r="Q1253" t="n">
        <v>0</v>
      </c>
      <c r="R1253" s="2" t="inlineStr"/>
    </row>
    <row r="1254" ht="15" customHeight="1">
      <c r="A1254" t="inlineStr">
        <is>
          <t>A 36782-2024</t>
        </is>
      </c>
      <c r="B1254" s="1" t="n">
        <v>45538</v>
      </c>
      <c r="C1254" s="1" t="n">
        <v>46089</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52089-2025</t>
        </is>
      </c>
      <c r="B1255" s="1" t="n">
        <v>45952.67644675926</v>
      </c>
      <c r="C1255" s="1" t="n">
        <v>46089</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36790-2024</t>
        </is>
      </c>
      <c r="B1256" s="1" t="n">
        <v>45538.43484953704</v>
      </c>
      <c r="C1256" s="1" t="n">
        <v>46089</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50372-2024</t>
        </is>
      </c>
      <c r="B1257" s="1" t="n">
        <v>45601.25935185186</v>
      </c>
      <c r="C1257" s="1" t="n">
        <v>46089</v>
      </c>
      <c r="D1257" t="inlineStr">
        <is>
          <t>VÄRMLANDS LÄN</t>
        </is>
      </c>
      <c r="E1257" t="inlineStr">
        <is>
          <t>TORSBY</t>
        </is>
      </c>
      <c r="F1257" t="inlineStr">
        <is>
          <t>Övriga Aktiebolag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49845-2024</t>
        </is>
      </c>
      <c r="B1258" s="1" t="n">
        <v>45597</v>
      </c>
      <c r="C1258" s="1" t="n">
        <v>46089</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v>
      </c>
      <c r="C1259" s="1" t="n">
        <v>46089</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37334-2025</t>
        </is>
      </c>
      <c r="B1260" s="1" t="n">
        <v>45876.66663194444</v>
      </c>
      <c r="C1260" s="1" t="n">
        <v>46089</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37339-2025</t>
        </is>
      </c>
      <c r="B1261" s="1" t="n">
        <v>45876.68457175926</v>
      </c>
      <c r="C1261" s="1" t="n">
        <v>46089</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52359-2025</t>
        </is>
      </c>
      <c r="B1262" s="1" t="n">
        <v>45952</v>
      </c>
      <c r="C1262" s="1" t="n">
        <v>46089</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39390-2023</t>
        </is>
      </c>
      <c r="B1263" s="1" t="n">
        <v>45166.65104166666</v>
      </c>
      <c r="C1263" s="1" t="n">
        <v>46089</v>
      </c>
      <c r="D1263" t="inlineStr">
        <is>
          <t>VÄRMLANDS LÄN</t>
        </is>
      </c>
      <c r="E1263" t="inlineStr">
        <is>
          <t>TORSBY</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51944-2025</t>
        </is>
      </c>
      <c r="B1264" s="1" t="n">
        <v>45952.52608796296</v>
      </c>
      <c r="C1264" s="1" t="n">
        <v>46089</v>
      </c>
      <c r="D1264" t="inlineStr">
        <is>
          <t>VÄRMLANDS LÄN</t>
        </is>
      </c>
      <c r="E1264" t="inlineStr">
        <is>
          <t>TORSBY</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15126-2024</t>
        </is>
      </c>
      <c r="B1265" s="1" t="n">
        <v>45399</v>
      </c>
      <c r="C1265" s="1" t="n">
        <v>46089</v>
      </c>
      <c r="D1265" t="inlineStr">
        <is>
          <t>VÄRMLANDS LÄN</t>
        </is>
      </c>
      <c r="E1265" t="inlineStr">
        <is>
          <t>TORSBY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15127-2024</t>
        </is>
      </c>
      <c r="B1266" s="1" t="n">
        <v>45399.76815972223</v>
      </c>
      <c r="C1266" s="1" t="n">
        <v>46089</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54029-2021</t>
        </is>
      </c>
      <c r="B1267" s="1" t="n">
        <v>44470.37834490741</v>
      </c>
      <c r="C1267" s="1" t="n">
        <v>46089</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54160-2022</t>
        </is>
      </c>
      <c r="B1268" s="1" t="n">
        <v>44881</v>
      </c>
      <c r="C1268" s="1" t="n">
        <v>46089</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41315-2022</t>
        </is>
      </c>
      <c r="B1269" s="1" t="n">
        <v>44826</v>
      </c>
      <c r="C1269" s="1" t="n">
        <v>46089</v>
      </c>
      <c r="D1269" t="inlineStr">
        <is>
          <t>VÄRMLANDS LÄN</t>
        </is>
      </c>
      <c r="E1269" t="inlineStr">
        <is>
          <t>TORSBY</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41322-2022</t>
        </is>
      </c>
      <c r="B1270" s="1" t="n">
        <v>44826</v>
      </c>
      <c r="C1270" s="1" t="n">
        <v>46089</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50138-2023</t>
        </is>
      </c>
      <c r="B1271" s="1" t="n">
        <v>45215.66738425926</v>
      </c>
      <c r="C1271" s="1" t="n">
        <v>46089</v>
      </c>
      <c r="D1271" t="inlineStr">
        <is>
          <t>VÄRMLANDS LÄN</t>
        </is>
      </c>
      <c r="E1271" t="inlineStr">
        <is>
          <t>TORSBY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7927-2024</t>
        </is>
      </c>
      <c r="B1272" s="1" t="n">
        <v>45350</v>
      </c>
      <c r="C1272" s="1" t="n">
        <v>46089</v>
      </c>
      <c r="D1272" t="inlineStr">
        <is>
          <t>VÄRMLANDS LÄN</t>
        </is>
      </c>
      <c r="E1272" t="inlineStr">
        <is>
          <t>TORSBY</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37230-2025</t>
        </is>
      </c>
      <c r="B1273" s="1" t="n">
        <v>45876</v>
      </c>
      <c r="C1273" s="1" t="n">
        <v>46089</v>
      </c>
      <c r="D1273" t="inlineStr">
        <is>
          <t>VÄRMLANDS LÄN</t>
        </is>
      </c>
      <c r="E1273" t="inlineStr">
        <is>
          <t>TORSBY</t>
        </is>
      </c>
      <c r="F1273" t="inlineStr">
        <is>
          <t>Bergvik skog väst AB</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31493-2021</t>
        </is>
      </c>
      <c r="B1274" s="1" t="n">
        <v>44369</v>
      </c>
      <c r="C1274" s="1" t="n">
        <v>46089</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52026-2025</t>
        </is>
      </c>
      <c r="B1275" s="1" t="n">
        <v>45952</v>
      </c>
      <c r="C1275" s="1" t="n">
        <v>46089</v>
      </c>
      <c r="D1275" t="inlineStr">
        <is>
          <t>VÄRMLANDS LÄN</t>
        </is>
      </c>
      <c r="E1275" t="inlineStr">
        <is>
          <t>TORSBY</t>
        </is>
      </c>
      <c r="F1275" t="inlineStr">
        <is>
          <t>Bergvik skog väst AB</t>
        </is>
      </c>
      <c r="G1275" t="n">
        <v>15.7</v>
      </c>
      <c r="H1275" t="n">
        <v>0</v>
      </c>
      <c r="I1275" t="n">
        <v>0</v>
      </c>
      <c r="J1275" t="n">
        <v>0</v>
      </c>
      <c r="K1275" t="n">
        <v>0</v>
      </c>
      <c r="L1275" t="n">
        <v>0</v>
      </c>
      <c r="M1275" t="n">
        <v>0</v>
      </c>
      <c r="N1275" t="n">
        <v>0</v>
      </c>
      <c r="O1275" t="n">
        <v>0</v>
      </c>
      <c r="P1275" t="n">
        <v>0</v>
      </c>
      <c r="Q1275" t="n">
        <v>0</v>
      </c>
      <c r="R1275" s="2" t="inlineStr"/>
    </row>
    <row r="1276" ht="15" customHeight="1">
      <c r="A1276" t="inlineStr">
        <is>
          <t>A 52045-2025</t>
        </is>
      </c>
      <c r="B1276" s="1" t="n">
        <v>45952.61650462963</v>
      </c>
      <c r="C1276" s="1" t="n">
        <v>46089</v>
      </c>
      <c r="D1276" t="inlineStr">
        <is>
          <t>VÄRMLANDS LÄN</t>
        </is>
      </c>
      <c r="E1276" t="inlineStr">
        <is>
          <t>TORSBY</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40718-2022</t>
        </is>
      </c>
      <c r="B1277" s="1" t="n">
        <v>44824.49635416667</v>
      </c>
      <c r="C1277" s="1" t="n">
        <v>46089</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12402-2025</t>
        </is>
      </c>
      <c r="B1278" s="1" t="n">
        <v>45730.4228125</v>
      </c>
      <c r="C1278" s="1" t="n">
        <v>46089</v>
      </c>
      <c r="D1278" t="inlineStr">
        <is>
          <t>VÄRMLANDS LÄN</t>
        </is>
      </c>
      <c r="E1278" t="inlineStr">
        <is>
          <t>TORSBY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22386-2025</t>
        </is>
      </c>
      <c r="B1279" s="1" t="n">
        <v>45786.50703703704</v>
      </c>
      <c r="C1279" s="1" t="n">
        <v>46089</v>
      </c>
      <c r="D1279" t="inlineStr">
        <is>
          <t>VÄRMLANDS LÄN</t>
        </is>
      </c>
      <c r="E1279" t="inlineStr">
        <is>
          <t>TORSBY</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30299-2025</t>
        </is>
      </c>
      <c r="B1280" s="1" t="n">
        <v>45827</v>
      </c>
      <c r="C1280" s="1" t="n">
        <v>46089</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52358-2025</t>
        </is>
      </c>
      <c r="B1281" s="1" t="n">
        <v>45952</v>
      </c>
      <c r="C1281" s="1" t="n">
        <v>46089</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37348-2025</t>
        </is>
      </c>
      <c r="B1282" s="1" t="n">
        <v>45876.71136574074</v>
      </c>
      <c r="C1282" s="1" t="n">
        <v>46089</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17879-2024</t>
        </is>
      </c>
      <c r="B1283" s="1" t="n">
        <v>45419</v>
      </c>
      <c r="C1283" s="1" t="n">
        <v>46089</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36674-2023</t>
        </is>
      </c>
      <c r="B1284" s="1" t="n">
        <v>45153.5908912037</v>
      </c>
      <c r="C1284" s="1" t="n">
        <v>46089</v>
      </c>
      <c r="D1284" t="inlineStr">
        <is>
          <t>VÄRMLANDS LÄN</t>
        </is>
      </c>
      <c r="E1284" t="inlineStr">
        <is>
          <t>TORSBY</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28005-2024</t>
        </is>
      </c>
      <c r="B1285" s="1" t="n">
        <v>45476</v>
      </c>
      <c r="C1285" s="1" t="n">
        <v>46089</v>
      </c>
      <c r="D1285" t="inlineStr">
        <is>
          <t>VÄRMLANDS LÄN</t>
        </is>
      </c>
      <c r="E1285" t="inlineStr">
        <is>
          <t>TORSBY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20872-2024</t>
        </is>
      </c>
      <c r="B1286" s="1" t="n">
        <v>45439.44173611111</v>
      </c>
      <c r="C1286" s="1" t="n">
        <v>46089</v>
      </c>
      <c r="D1286" t="inlineStr">
        <is>
          <t>VÄRMLANDS LÄN</t>
        </is>
      </c>
      <c r="E1286" t="inlineStr">
        <is>
          <t>TORSBY</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8054-2022</t>
        </is>
      </c>
      <c r="B1287" s="1" t="n">
        <v>44609</v>
      </c>
      <c r="C1287" s="1" t="n">
        <v>46089</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48721-2024</t>
        </is>
      </c>
      <c r="B1288" s="1" t="n">
        <v>45593.54752314815</v>
      </c>
      <c r="C1288" s="1" t="n">
        <v>46089</v>
      </c>
      <c r="D1288" t="inlineStr">
        <is>
          <t>VÄRMLANDS LÄN</t>
        </is>
      </c>
      <c r="E1288" t="inlineStr">
        <is>
          <t>TORSBY</t>
        </is>
      </c>
      <c r="F1288" t="inlineStr">
        <is>
          <t>Bergvik skog väst AB</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37236-2025</t>
        </is>
      </c>
      <c r="B1289" s="1" t="n">
        <v>45876.36116898148</v>
      </c>
      <c r="C1289" s="1" t="n">
        <v>46089</v>
      </c>
      <c r="D1289" t="inlineStr">
        <is>
          <t>VÄRMLANDS LÄN</t>
        </is>
      </c>
      <c r="E1289" t="inlineStr">
        <is>
          <t>TORSBY</t>
        </is>
      </c>
      <c r="F1289" t="inlineStr">
        <is>
          <t>Bergvik skog väst AB</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45152-2023</t>
        </is>
      </c>
      <c r="B1290" s="1" t="n">
        <v>45191</v>
      </c>
      <c r="C1290" s="1" t="n">
        <v>46089</v>
      </c>
      <c r="D1290" t="inlineStr">
        <is>
          <t>VÄRMLANDS LÄN</t>
        </is>
      </c>
      <c r="E1290" t="inlineStr">
        <is>
          <t>TORSBY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42701-2022</t>
        </is>
      </c>
      <c r="B1291" s="1" t="n">
        <v>44832</v>
      </c>
      <c r="C1291" s="1" t="n">
        <v>46089</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24150-2021</t>
        </is>
      </c>
      <c r="B1292" s="1" t="n">
        <v>44336</v>
      </c>
      <c r="C1292" s="1" t="n">
        <v>46089</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52762-2025</t>
        </is>
      </c>
      <c r="B1293" s="1" t="n">
        <v>45957.39813657408</v>
      </c>
      <c r="C1293" s="1" t="n">
        <v>46089</v>
      </c>
      <c r="D1293" t="inlineStr">
        <is>
          <t>VÄRMLANDS LÄN</t>
        </is>
      </c>
      <c r="E1293" t="inlineStr">
        <is>
          <t>TORSBY</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49073-2022</t>
        </is>
      </c>
      <c r="B1294" s="1" t="n">
        <v>44860</v>
      </c>
      <c r="C1294" s="1" t="n">
        <v>46089</v>
      </c>
      <c r="D1294" t="inlineStr">
        <is>
          <t>VÄRMLANDS LÄN</t>
        </is>
      </c>
      <c r="E1294" t="inlineStr">
        <is>
          <t>TORSBY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37583-2025</t>
        </is>
      </c>
      <c r="B1295" s="1" t="n">
        <v>45880</v>
      </c>
      <c r="C1295" s="1" t="n">
        <v>46089</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52493-2025</t>
        </is>
      </c>
      <c r="B1296" s="1" t="n">
        <v>45954.48518518519</v>
      </c>
      <c r="C1296" s="1" t="n">
        <v>46089</v>
      </c>
      <c r="D1296" t="inlineStr">
        <is>
          <t>VÄRMLANDS LÄN</t>
        </is>
      </c>
      <c r="E1296" t="inlineStr">
        <is>
          <t>TORSBY</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46915-2024</t>
        </is>
      </c>
      <c r="B1297" s="1" t="n">
        <v>45583</v>
      </c>
      <c r="C1297" s="1" t="n">
        <v>46089</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50147-2023</t>
        </is>
      </c>
      <c r="B1298" s="1" t="n">
        <v>45215</v>
      </c>
      <c r="C1298" s="1" t="n">
        <v>46089</v>
      </c>
      <c r="D1298" t="inlineStr">
        <is>
          <t>VÄRMLANDS LÄN</t>
        </is>
      </c>
      <c r="E1298" t="inlineStr">
        <is>
          <t>TORSBY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52796-2025</t>
        </is>
      </c>
      <c r="B1299" s="1" t="n">
        <v>45957.43682870371</v>
      </c>
      <c r="C1299" s="1" t="n">
        <v>46089</v>
      </c>
      <c r="D1299" t="inlineStr">
        <is>
          <t>VÄRMLANDS LÄN</t>
        </is>
      </c>
      <c r="E1299" t="inlineStr">
        <is>
          <t>TORSBY</t>
        </is>
      </c>
      <c r="G1299" t="n">
        <v>17.7</v>
      </c>
      <c r="H1299" t="n">
        <v>0</v>
      </c>
      <c r="I1299" t="n">
        <v>0</v>
      </c>
      <c r="J1299" t="n">
        <v>0</v>
      </c>
      <c r="K1299" t="n">
        <v>0</v>
      </c>
      <c r="L1299" t="n">
        <v>0</v>
      </c>
      <c r="M1299" t="n">
        <v>0</v>
      </c>
      <c r="N1299" t="n">
        <v>0</v>
      </c>
      <c r="O1299" t="n">
        <v>0</v>
      </c>
      <c r="P1299" t="n">
        <v>0</v>
      </c>
      <c r="Q1299" t="n">
        <v>0</v>
      </c>
      <c r="R1299" s="2" t="inlineStr"/>
    </row>
    <row r="1300" ht="15" customHeight="1">
      <c r="A1300" t="inlineStr">
        <is>
          <t>A 52822-2025</t>
        </is>
      </c>
      <c r="B1300" s="1" t="n">
        <v>45957.45693287037</v>
      </c>
      <c r="C1300" s="1" t="n">
        <v>46089</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52918-2025</t>
        </is>
      </c>
      <c r="B1301" s="1" t="n">
        <v>45957.6122337963</v>
      </c>
      <c r="C1301" s="1" t="n">
        <v>46089</v>
      </c>
      <c r="D1301" t="inlineStr">
        <is>
          <t>VÄRMLANDS LÄN</t>
        </is>
      </c>
      <c r="E1301" t="inlineStr">
        <is>
          <t>TORSBY</t>
        </is>
      </c>
      <c r="F1301" t="inlineStr">
        <is>
          <t>Bergvik skog väst AB</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52747-2025</t>
        </is>
      </c>
      <c r="B1302" s="1" t="n">
        <v>45957.38515046296</v>
      </c>
      <c r="C1302" s="1" t="n">
        <v>46089</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11447-2022</t>
        </is>
      </c>
      <c r="B1303" s="1" t="n">
        <v>44630</v>
      </c>
      <c r="C1303" s="1" t="n">
        <v>46089</v>
      </c>
      <c r="D1303" t="inlineStr">
        <is>
          <t>VÄRMLANDS LÄN</t>
        </is>
      </c>
      <c r="E1303" t="inlineStr">
        <is>
          <t>TORSBY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37566-2025</t>
        </is>
      </c>
      <c r="B1304" s="1" t="n">
        <v>45880</v>
      </c>
      <c r="C1304" s="1" t="n">
        <v>46089</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52843-2025</t>
        </is>
      </c>
      <c r="B1305" s="1" t="n">
        <v>45957</v>
      </c>
      <c r="C1305" s="1" t="n">
        <v>46089</v>
      </c>
      <c r="D1305" t="inlineStr">
        <is>
          <t>VÄRMLANDS LÄN</t>
        </is>
      </c>
      <c r="E1305" t="inlineStr">
        <is>
          <t>TORSBY</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52564-2025</t>
        </is>
      </c>
      <c r="B1306" s="1" t="n">
        <v>45954</v>
      </c>
      <c r="C1306" s="1" t="n">
        <v>46089</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52587-2025</t>
        </is>
      </c>
      <c r="B1307" s="1" t="n">
        <v>45954.63325231482</v>
      </c>
      <c r="C1307" s="1" t="n">
        <v>46089</v>
      </c>
      <c r="D1307" t="inlineStr">
        <is>
          <t>VÄRMLANDS LÄN</t>
        </is>
      </c>
      <c r="E1307" t="inlineStr">
        <is>
          <t>TORSBY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37937-2025</t>
        </is>
      </c>
      <c r="B1308" s="1" t="n">
        <v>45881</v>
      </c>
      <c r="C1308" s="1" t="n">
        <v>46089</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44470-2024</t>
        </is>
      </c>
      <c r="B1309" s="1" t="n">
        <v>45574</v>
      </c>
      <c r="C1309" s="1" t="n">
        <v>46089</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44497-2023</t>
        </is>
      </c>
      <c r="B1310" s="1" t="n">
        <v>45189.45701388889</v>
      </c>
      <c r="C1310" s="1" t="n">
        <v>46089</v>
      </c>
      <c r="D1310" t="inlineStr">
        <is>
          <t>VÄRMLANDS LÄN</t>
        </is>
      </c>
      <c r="E1310" t="inlineStr">
        <is>
          <t>TORSBY</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37546-2025</t>
        </is>
      </c>
      <c r="B1311" s="1" t="n">
        <v>45879</v>
      </c>
      <c r="C1311" s="1" t="n">
        <v>46089</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37547-2025</t>
        </is>
      </c>
      <c r="B1312" s="1" t="n">
        <v>45879</v>
      </c>
      <c r="C1312" s="1" t="n">
        <v>46089</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41936-2024</t>
        </is>
      </c>
      <c r="B1313" s="1" t="n">
        <v>45561</v>
      </c>
      <c r="C1313" s="1" t="n">
        <v>46089</v>
      </c>
      <c r="D1313" t="inlineStr">
        <is>
          <t>VÄRMLANDS LÄN</t>
        </is>
      </c>
      <c r="E1313" t="inlineStr">
        <is>
          <t>TORSBY</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52931-2025</t>
        </is>
      </c>
      <c r="B1314" s="1" t="n">
        <v>45957.62225694444</v>
      </c>
      <c r="C1314" s="1" t="n">
        <v>46089</v>
      </c>
      <c r="D1314" t="inlineStr">
        <is>
          <t>VÄRMLANDS LÄN</t>
        </is>
      </c>
      <c r="E1314" t="inlineStr">
        <is>
          <t>TORSBY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37904-2025</t>
        </is>
      </c>
      <c r="B1315" s="1" t="n">
        <v>45881</v>
      </c>
      <c r="C1315" s="1" t="n">
        <v>46089</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52981-2025</t>
        </is>
      </c>
      <c r="B1316" s="1" t="n">
        <v>45957.68748842592</v>
      </c>
      <c r="C1316" s="1" t="n">
        <v>46089</v>
      </c>
      <c r="D1316" t="inlineStr">
        <is>
          <t>VÄRMLANDS LÄN</t>
        </is>
      </c>
      <c r="E1316" t="inlineStr">
        <is>
          <t>TORSBY</t>
        </is>
      </c>
      <c r="G1316" t="n">
        <v>20.5</v>
      </c>
      <c r="H1316" t="n">
        <v>0</v>
      </c>
      <c r="I1316" t="n">
        <v>0</v>
      </c>
      <c r="J1316" t="n">
        <v>0</v>
      </c>
      <c r="K1316" t="n">
        <v>0</v>
      </c>
      <c r="L1316" t="n">
        <v>0</v>
      </c>
      <c r="M1316" t="n">
        <v>0</v>
      </c>
      <c r="N1316" t="n">
        <v>0</v>
      </c>
      <c r="O1316" t="n">
        <v>0</v>
      </c>
      <c r="P1316" t="n">
        <v>0</v>
      </c>
      <c r="Q1316" t="n">
        <v>0</v>
      </c>
      <c r="R1316" s="2" t="inlineStr"/>
    </row>
    <row r="1317" ht="15" customHeight="1">
      <c r="A1317" t="inlineStr">
        <is>
          <t>A 8447-2023</t>
        </is>
      </c>
      <c r="B1317" s="1" t="n">
        <v>44977</v>
      </c>
      <c r="C1317" s="1" t="n">
        <v>46089</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37908-2025</t>
        </is>
      </c>
      <c r="B1318" s="1" t="n">
        <v>45881.5732175926</v>
      </c>
      <c r="C1318" s="1" t="n">
        <v>46089</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37945-2025</t>
        </is>
      </c>
      <c r="B1319" s="1" t="n">
        <v>45881</v>
      </c>
      <c r="C1319" s="1" t="n">
        <v>46089</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52731-2025</t>
        </is>
      </c>
      <c r="B1320" s="1" t="n">
        <v>45957.36682870371</v>
      </c>
      <c r="C1320" s="1" t="n">
        <v>46089</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37575-2025</t>
        </is>
      </c>
      <c r="B1321" s="1" t="n">
        <v>45880.38028935185</v>
      </c>
      <c r="C1321" s="1" t="n">
        <v>46089</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52737-2025</t>
        </is>
      </c>
      <c r="B1322" s="1" t="n">
        <v>45957.37336805555</v>
      </c>
      <c r="C1322" s="1" t="n">
        <v>46089</v>
      </c>
      <c r="D1322" t="inlineStr">
        <is>
          <t>VÄRMLANDS LÄN</t>
        </is>
      </c>
      <c r="E1322" t="inlineStr">
        <is>
          <t>TORSBY</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52577-2025</t>
        </is>
      </c>
      <c r="B1323" s="1" t="n">
        <v>45954</v>
      </c>
      <c r="C1323" s="1" t="n">
        <v>46089</v>
      </c>
      <c r="D1323" t="inlineStr">
        <is>
          <t>VÄRMLANDS LÄN</t>
        </is>
      </c>
      <c r="E1323" t="inlineStr">
        <is>
          <t>TORSBY</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46089</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52609-2025</t>
        </is>
      </c>
      <c r="B1325" s="1" t="n">
        <v>45954.66649305556</v>
      </c>
      <c r="C1325" s="1" t="n">
        <v>46089</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52947-2025</t>
        </is>
      </c>
      <c r="B1326" s="1" t="n">
        <v>45954</v>
      </c>
      <c r="C1326" s="1" t="n">
        <v>46089</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37927-2025</t>
        </is>
      </c>
      <c r="B1327" s="1" t="n">
        <v>45881.58063657407</v>
      </c>
      <c r="C1327" s="1" t="n">
        <v>46089</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37736-2025</t>
        </is>
      </c>
      <c r="B1328" s="1" t="n">
        <v>45880</v>
      </c>
      <c r="C1328" s="1" t="n">
        <v>46089</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52994-2025</t>
        </is>
      </c>
      <c r="B1329" s="1" t="n">
        <v>45957.72753472222</v>
      </c>
      <c r="C1329" s="1" t="n">
        <v>46089</v>
      </c>
      <c r="D1329" t="inlineStr">
        <is>
          <t>VÄRMLANDS LÄN</t>
        </is>
      </c>
      <c r="E1329" t="inlineStr">
        <is>
          <t>TORSBY</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38056-2025</t>
        </is>
      </c>
      <c r="B1330" s="1" t="n">
        <v>45882</v>
      </c>
      <c r="C1330" s="1" t="n">
        <v>46089</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52512-2025</t>
        </is>
      </c>
      <c r="B1331" s="1" t="n">
        <v>45954.50771990741</v>
      </c>
      <c r="C1331" s="1" t="n">
        <v>46089</v>
      </c>
      <c r="D1331" t="inlineStr">
        <is>
          <t>VÄRMLANDS LÄN</t>
        </is>
      </c>
      <c r="E1331" t="inlineStr">
        <is>
          <t>TORSBY</t>
        </is>
      </c>
      <c r="F1331" t="inlineStr">
        <is>
          <t>Bergvik skog väst AB</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52436-2025</t>
        </is>
      </c>
      <c r="B1332" s="1" t="n">
        <v>45954.39688657408</v>
      </c>
      <c r="C1332" s="1" t="n">
        <v>46089</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38315-2025</t>
        </is>
      </c>
      <c r="B1333" s="1" t="n">
        <v>45883.47824074074</v>
      </c>
      <c r="C1333" s="1" t="n">
        <v>46089</v>
      </c>
      <c r="D1333" t="inlineStr">
        <is>
          <t>VÄRMLANDS LÄN</t>
        </is>
      </c>
      <c r="E1333" t="inlineStr">
        <is>
          <t>TORSBY</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52982-2025</t>
        </is>
      </c>
      <c r="B1334" s="1" t="n">
        <v>45957.69270833334</v>
      </c>
      <c r="C1334" s="1" t="n">
        <v>46089</v>
      </c>
      <c r="D1334" t="inlineStr">
        <is>
          <t>VÄRMLANDS LÄN</t>
        </is>
      </c>
      <c r="E1334" t="inlineStr">
        <is>
          <t>TORSBY</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52995-2025</t>
        </is>
      </c>
      <c r="B1335" s="1" t="n">
        <v>45957</v>
      </c>
      <c r="C1335" s="1" t="n">
        <v>46089</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20182-2021</t>
        </is>
      </c>
      <c r="B1336" s="1" t="n">
        <v>44312</v>
      </c>
      <c r="C1336" s="1" t="n">
        <v>46089</v>
      </c>
      <c r="D1336" t="inlineStr">
        <is>
          <t>VÄRMLANDS LÄN</t>
        </is>
      </c>
      <c r="E1336" t="inlineStr">
        <is>
          <t>TORSBY</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21581-2024</t>
        </is>
      </c>
      <c r="B1337" s="1" t="n">
        <v>45441</v>
      </c>
      <c r="C1337" s="1" t="n">
        <v>46089</v>
      </c>
      <c r="D1337" t="inlineStr">
        <is>
          <t>VÄRMLANDS LÄN</t>
        </is>
      </c>
      <c r="E1337" t="inlineStr">
        <is>
          <t>TORSBY</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52489-2025</t>
        </is>
      </c>
      <c r="B1338" s="1" t="n">
        <v>45954.48056712963</v>
      </c>
      <c r="C1338" s="1" t="n">
        <v>46089</v>
      </c>
      <c r="D1338" t="inlineStr">
        <is>
          <t>VÄRMLANDS LÄN</t>
        </is>
      </c>
      <c r="E1338" t="inlineStr">
        <is>
          <t>TORSBY</t>
        </is>
      </c>
      <c r="F1338" t="inlineStr">
        <is>
          <t>Bergvik skog väst AB</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52787-2025</t>
        </is>
      </c>
      <c r="B1339" s="1" t="n">
        <v>45957.42736111111</v>
      </c>
      <c r="C1339" s="1" t="n">
        <v>46089</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52847-2025</t>
        </is>
      </c>
      <c r="B1340" s="1" t="n">
        <v>45957.48972222222</v>
      </c>
      <c r="C1340" s="1" t="n">
        <v>46089</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52509-2025</t>
        </is>
      </c>
      <c r="B1341" s="1" t="n">
        <v>45954.50586805555</v>
      </c>
      <c r="C1341" s="1" t="n">
        <v>46089</v>
      </c>
      <c r="D1341" t="inlineStr">
        <is>
          <t>VÄRMLANDS LÄN</t>
        </is>
      </c>
      <c r="E1341" t="inlineStr">
        <is>
          <t>TORSBY</t>
        </is>
      </c>
      <c r="F1341" t="inlineStr">
        <is>
          <t>Bergvik skog väst AB</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8979-2025</t>
        </is>
      </c>
      <c r="B1342" s="1" t="n">
        <v>45713</v>
      </c>
      <c r="C1342" s="1" t="n">
        <v>46089</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52852-2025</t>
        </is>
      </c>
      <c r="B1343" s="1" t="n">
        <v>45957.49319444445</v>
      </c>
      <c r="C1343" s="1" t="n">
        <v>46089</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52891-2025</t>
        </is>
      </c>
      <c r="B1344" s="1" t="n">
        <v>45957.57776620371</v>
      </c>
      <c r="C1344" s="1" t="n">
        <v>46089</v>
      </c>
      <c r="D1344" t="inlineStr">
        <is>
          <t>VÄRMLANDS LÄN</t>
        </is>
      </c>
      <c r="E1344" t="inlineStr">
        <is>
          <t>TORSBY</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52741-2025</t>
        </is>
      </c>
      <c r="B1345" s="1" t="n">
        <v>45957.3778587963</v>
      </c>
      <c r="C1345" s="1" t="n">
        <v>46089</v>
      </c>
      <c r="D1345" t="inlineStr">
        <is>
          <t>VÄRMLANDS LÄN</t>
        </is>
      </c>
      <c r="E1345" t="inlineStr">
        <is>
          <t>TORSBY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52754-2025</t>
        </is>
      </c>
      <c r="B1346" s="1" t="n">
        <v>45957.39010416667</v>
      </c>
      <c r="C1346" s="1" t="n">
        <v>46089</v>
      </c>
      <c r="D1346" t="inlineStr">
        <is>
          <t>VÄRMLANDS LÄN</t>
        </is>
      </c>
      <c r="E1346" t="inlineStr">
        <is>
          <t>TORSBY</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52772-2025</t>
        </is>
      </c>
      <c r="B1347" s="1" t="n">
        <v>45957.41255787037</v>
      </c>
      <c r="C1347" s="1" t="n">
        <v>46089</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52774-2025</t>
        </is>
      </c>
      <c r="B1348" s="1" t="n">
        <v>45957.41480324074</v>
      </c>
      <c r="C1348" s="1" t="n">
        <v>46089</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40987-2024</t>
        </is>
      </c>
      <c r="B1349" s="1" t="n">
        <v>45558</v>
      </c>
      <c r="C1349" s="1" t="n">
        <v>46089</v>
      </c>
      <c r="D1349" t="inlineStr">
        <is>
          <t>VÄRMLANDS LÄN</t>
        </is>
      </c>
      <c r="E1349" t="inlineStr">
        <is>
          <t>TORSBY</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39003-2021</t>
        </is>
      </c>
      <c r="B1350" s="1" t="n">
        <v>44412</v>
      </c>
      <c r="C1350" s="1" t="n">
        <v>46089</v>
      </c>
      <c r="D1350" t="inlineStr">
        <is>
          <t>VÄRMLANDS LÄN</t>
        </is>
      </c>
      <c r="E1350" t="inlineStr">
        <is>
          <t>TORSBY</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60148-2024</t>
        </is>
      </c>
      <c r="B1351" s="1" t="n">
        <v>45642</v>
      </c>
      <c r="C1351" s="1" t="n">
        <v>46089</v>
      </c>
      <c r="D1351" t="inlineStr">
        <is>
          <t>VÄRMLANDS LÄN</t>
        </is>
      </c>
      <c r="E1351" t="inlineStr">
        <is>
          <t>TORSBY</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1803-2024</t>
        </is>
      </c>
      <c r="B1352" s="1" t="n">
        <v>45307</v>
      </c>
      <c r="C1352" s="1" t="n">
        <v>46089</v>
      </c>
      <c r="D1352" t="inlineStr">
        <is>
          <t>VÄRMLANDS LÄN</t>
        </is>
      </c>
      <c r="E1352" t="inlineStr">
        <is>
          <t>TORSBY</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9245-2026</t>
        </is>
      </c>
      <c r="B1353" s="1" t="n">
        <v>46070.48952546297</v>
      </c>
      <c r="C1353" s="1" t="n">
        <v>46089</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53113-2025</t>
        </is>
      </c>
      <c r="B1354" s="1" t="n">
        <v>45958.44431712963</v>
      </c>
      <c r="C1354" s="1" t="n">
        <v>46089</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53123-2025</t>
        </is>
      </c>
      <c r="B1355" s="1" t="n">
        <v>45958.45204861111</v>
      </c>
      <c r="C1355" s="1" t="n">
        <v>46089</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32343-2024</t>
        </is>
      </c>
      <c r="B1356" s="1" t="n">
        <v>45512.520625</v>
      </c>
      <c r="C1356" s="1" t="n">
        <v>46089</v>
      </c>
      <c r="D1356" t="inlineStr">
        <is>
          <t>VÄRMLANDS LÄN</t>
        </is>
      </c>
      <c r="E1356" t="inlineStr">
        <is>
          <t>TORSBY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48903-2024</t>
        </is>
      </c>
      <c r="B1357" s="1" t="n">
        <v>45594</v>
      </c>
      <c r="C1357" s="1" t="n">
        <v>46089</v>
      </c>
      <c r="D1357" t="inlineStr">
        <is>
          <t>VÄRMLANDS LÄN</t>
        </is>
      </c>
      <c r="E1357" t="inlineStr">
        <is>
          <t>TORSBY</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38249-2025</t>
        </is>
      </c>
      <c r="B1358" s="1" t="n">
        <v>45883</v>
      </c>
      <c r="C1358" s="1" t="n">
        <v>46089</v>
      </c>
      <c r="D1358" t="inlineStr">
        <is>
          <t>VÄRMLANDS LÄN</t>
        </is>
      </c>
      <c r="E1358" t="inlineStr">
        <is>
          <t>TORSBY</t>
        </is>
      </c>
      <c r="F1358" t="inlineStr">
        <is>
          <t>Bergvik skog väst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31830-2024</t>
        </is>
      </c>
      <c r="B1359" s="1" t="n">
        <v>45509</v>
      </c>
      <c r="C1359" s="1" t="n">
        <v>46089</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37818-2025</t>
        </is>
      </c>
      <c r="B1360" s="1" t="n">
        <v>45881</v>
      </c>
      <c r="C1360" s="1" t="n">
        <v>46089</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38165-2025</t>
        </is>
      </c>
      <c r="B1361" s="1" t="n">
        <v>45882.63063657407</v>
      </c>
      <c r="C1361" s="1" t="n">
        <v>46089</v>
      </c>
      <c r="D1361" t="inlineStr">
        <is>
          <t>VÄRMLANDS LÄN</t>
        </is>
      </c>
      <c r="E1361" t="inlineStr">
        <is>
          <t>TORSBY</t>
        </is>
      </c>
      <c r="F1361" t="inlineStr">
        <is>
          <t>Bergvik skog väst AB</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40036-2022</t>
        </is>
      </c>
      <c r="B1362" s="1" t="n">
        <v>44820.43179398148</v>
      </c>
      <c r="C1362" s="1" t="n">
        <v>46089</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748-2026</t>
        </is>
      </c>
      <c r="B1363" s="1" t="n">
        <v>46029</v>
      </c>
      <c r="C1363" s="1" t="n">
        <v>46089</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53383-2025</t>
        </is>
      </c>
      <c r="B1364" s="1" t="n">
        <v>45959.54097222222</v>
      </c>
      <c r="C1364" s="1" t="n">
        <v>46089</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37878-2025</t>
        </is>
      </c>
      <c r="B1365" s="1" t="n">
        <v>45881</v>
      </c>
      <c r="C1365" s="1" t="n">
        <v>46089</v>
      </c>
      <c r="D1365" t="inlineStr">
        <is>
          <t>VÄRMLANDS LÄN</t>
        </is>
      </c>
      <c r="E1365" t="inlineStr">
        <is>
          <t>TORSBY</t>
        </is>
      </c>
      <c r="F1365" t="inlineStr">
        <is>
          <t>Bergvik skog väst AB</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42428-2024</t>
        </is>
      </c>
      <c r="B1366" s="1" t="n">
        <v>45565</v>
      </c>
      <c r="C1366" s="1" t="n">
        <v>46089</v>
      </c>
      <c r="D1366" t="inlineStr">
        <is>
          <t>VÄRMLANDS LÄN</t>
        </is>
      </c>
      <c r="E1366" t="inlineStr">
        <is>
          <t>TORSBY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43256-2024</t>
        </is>
      </c>
      <c r="B1367" s="1" t="n">
        <v>45568</v>
      </c>
      <c r="C1367" s="1" t="n">
        <v>46089</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53107-2025</t>
        </is>
      </c>
      <c r="B1368" s="1" t="n">
        <v>45958.43576388889</v>
      </c>
      <c r="C1368" s="1" t="n">
        <v>46089</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38232-2025</t>
        </is>
      </c>
      <c r="B1369" s="1" t="n">
        <v>45883</v>
      </c>
      <c r="C1369" s="1" t="n">
        <v>46089</v>
      </c>
      <c r="D1369" t="inlineStr">
        <is>
          <t>VÄRMLANDS LÄN</t>
        </is>
      </c>
      <c r="E1369" t="inlineStr">
        <is>
          <t>TORSBY</t>
        </is>
      </c>
      <c r="F1369" t="inlineStr">
        <is>
          <t>Bergvik skog väst AB</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53165-2025</t>
        </is>
      </c>
      <c r="B1370" s="1" t="n">
        <v>45958.50232638889</v>
      </c>
      <c r="C1370" s="1" t="n">
        <v>46089</v>
      </c>
      <c r="D1370" t="inlineStr">
        <is>
          <t>VÄRMLANDS LÄN</t>
        </is>
      </c>
      <c r="E1370" t="inlineStr">
        <is>
          <t>TORSBY</t>
        </is>
      </c>
      <c r="F1370" t="inlineStr">
        <is>
          <t>Bergvik skog väst AB</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53368-2024</t>
        </is>
      </c>
      <c r="B1371" s="1" t="n">
        <v>45614</v>
      </c>
      <c r="C1371" s="1" t="n">
        <v>46089</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53266-2025</t>
        </is>
      </c>
      <c r="B1372" s="1" t="n">
        <v>45958.6834837963</v>
      </c>
      <c r="C1372" s="1" t="n">
        <v>46089</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53014-2025</t>
        </is>
      </c>
      <c r="B1373" s="1" t="n">
        <v>45957.81865740741</v>
      </c>
      <c r="C1373" s="1" t="n">
        <v>46089</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53049-2025</t>
        </is>
      </c>
      <c r="B1374" s="1" t="n">
        <v>45958.36173611111</v>
      </c>
      <c r="C1374" s="1" t="n">
        <v>46089</v>
      </c>
      <c r="D1374" t="inlineStr">
        <is>
          <t>VÄRMLANDS LÄN</t>
        </is>
      </c>
      <c r="E1374" t="inlineStr">
        <is>
          <t>TORSBY</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53272-2025</t>
        </is>
      </c>
      <c r="B1375" s="1" t="n">
        <v>45958.71019675926</v>
      </c>
      <c r="C1375" s="1" t="n">
        <v>46089</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57809-2024</t>
        </is>
      </c>
      <c r="B1376" s="1" t="n">
        <v>45631</v>
      </c>
      <c r="C1376" s="1" t="n">
        <v>46089</v>
      </c>
      <c r="D1376" t="inlineStr">
        <is>
          <t>VÄRMLANDS LÄN</t>
        </is>
      </c>
      <c r="E1376" t="inlineStr">
        <is>
          <t>TORSBY</t>
        </is>
      </c>
      <c r="F1376" t="inlineStr">
        <is>
          <t>Bergvik skog väst AB</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53605-2025</t>
        </is>
      </c>
      <c r="B1377" s="1" t="n">
        <v>45960.46434027778</v>
      </c>
      <c r="C1377" s="1" t="n">
        <v>46089</v>
      </c>
      <c r="D1377" t="inlineStr">
        <is>
          <t>VÄRMLANDS LÄN</t>
        </is>
      </c>
      <c r="E1377" t="inlineStr">
        <is>
          <t>TORSBY</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53493-2025</t>
        </is>
      </c>
      <c r="B1378" s="1" t="n">
        <v>45960</v>
      </c>
      <c r="C1378" s="1" t="n">
        <v>46089</v>
      </c>
      <c r="D1378" t="inlineStr">
        <is>
          <t>VÄRMLANDS LÄN</t>
        </is>
      </c>
      <c r="E1378" t="inlineStr">
        <is>
          <t>TORSBY</t>
        </is>
      </c>
      <c r="F1378" t="inlineStr">
        <is>
          <t>Bergvik skog väst AB</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53677-2025</t>
        </is>
      </c>
      <c r="B1379" s="1" t="n">
        <v>45960.56180555555</v>
      </c>
      <c r="C1379" s="1" t="n">
        <v>46089</v>
      </c>
      <c r="D1379" t="inlineStr">
        <is>
          <t>VÄRMLANDS LÄN</t>
        </is>
      </c>
      <c r="E1379" t="inlineStr">
        <is>
          <t>TORSBY</t>
        </is>
      </c>
      <c r="F1379" t="inlineStr">
        <is>
          <t>Bergvik skog väst AB</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53520-2025</t>
        </is>
      </c>
      <c r="B1380" s="1" t="n">
        <v>45960.35893518518</v>
      </c>
      <c r="C1380" s="1" t="n">
        <v>46089</v>
      </c>
      <c r="D1380" t="inlineStr">
        <is>
          <t>VÄRMLANDS LÄN</t>
        </is>
      </c>
      <c r="E1380" t="inlineStr">
        <is>
          <t>TORSBY</t>
        </is>
      </c>
      <c r="F1380" t="inlineStr">
        <is>
          <t>Bergvik skog väst AB</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32138-2024</t>
        </is>
      </c>
      <c r="B1381" s="1" t="n">
        <v>45511</v>
      </c>
      <c r="C1381" s="1" t="n">
        <v>46089</v>
      </c>
      <c r="D1381" t="inlineStr">
        <is>
          <t>VÄRMLANDS LÄN</t>
        </is>
      </c>
      <c r="E1381" t="inlineStr">
        <is>
          <t>TORSBY</t>
        </is>
      </c>
      <c r="F1381" t="inlineStr">
        <is>
          <t>Bergvik skog väst AB</t>
        </is>
      </c>
      <c r="G1381" t="n">
        <v>26.3</v>
      </c>
      <c r="H1381" t="n">
        <v>0</v>
      </c>
      <c r="I1381" t="n">
        <v>0</v>
      </c>
      <c r="J1381" t="n">
        <v>0</v>
      </c>
      <c r="K1381" t="n">
        <v>0</v>
      </c>
      <c r="L1381" t="n">
        <v>0</v>
      </c>
      <c r="M1381" t="n">
        <v>0</v>
      </c>
      <c r="N1381" t="n">
        <v>0</v>
      </c>
      <c r="O1381" t="n">
        <v>0</v>
      </c>
      <c r="P1381" t="n">
        <v>0</v>
      </c>
      <c r="Q1381" t="n">
        <v>0</v>
      </c>
      <c r="R1381" s="2" t="inlineStr"/>
    </row>
    <row r="1382" ht="15" customHeight="1">
      <c r="A1382" t="inlineStr">
        <is>
          <t>A 41065-2022</t>
        </is>
      </c>
      <c r="B1382" s="1" t="n">
        <v>44825.59258101852</v>
      </c>
      <c r="C1382" s="1" t="n">
        <v>46089</v>
      </c>
      <c r="D1382" t="inlineStr">
        <is>
          <t>VÄRMLANDS LÄN</t>
        </is>
      </c>
      <c r="E1382" t="inlineStr">
        <is>
          <t>TORSBY</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20130-2023</t>
        </is>
      </c>
      <c r="B1383" s="1" t="n">
        <v>45055.38503472223</v>
      </c>
      <c r="C1383" s="1" t="n">
        <v>46089</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53763-2025</t>
        </is>
      </c>
      <c r="B1384" s="1" t="n">
        <v>45960.67592592593</v>
      </c>
      <c r="C1384" s="1" t="n">
        <v>46089</v>
      </c>
      <c r="D1384" t="inlineStr">
        <is>
          <t>VÄRMLANDS LÄN</t>
        </is>
      </c>
      <c r="E1384" t="inlineStr">
        <is>
          <t>TORSBY</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991-2026</t>
        </is>
      </c>
      <c r="B1385" s="1" t="n">
        <v>46030.58675925926</v>
      </c>
      <c r="C1385" s="1" t="n">
        <v>46089</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36239-2023</t>
        </is>
      </c>
      <c r="B1386" s="1" t="n">
        <v>45150</v>
      </c>
      <c r="C1386" s="1" t="n">
        <v>46089</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53596-2025</t>
        </is>
      </c>
      <c r="B1387" s="1" t="n">
        <v>45960.44909722222</v>
      </c>
      <c r="C1387" s="1" t="n">
        <v>46089</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1137-2026</t>
        </is>
      </c>
      <c r="B1388" s="1" t="n">
        <v>46030</v>
      </c>
      <c r="C1388" s="1" t="n">
        <v>46089</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1139-2026</t>
        </is>
      </c>
      <c r="B1389" s="1" t="n">
        <v>46030</v>
      </c>
      <c r="C1389" s="1" t="n">
        <v>46089</v>
      </c>
      <c r="D1389" t="inlineStr">
        <is>
          <t>VÄRMLANDS LÄN</t>
        </is>
      </c>
      <c r="E1389" t="inlineStr">
        <is>
          <t>TORSBY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53848-2025</t>
        </is>
      </c>
      <c r="B1390" s="1" t="n">
        <v>45961.36832175926</v>
      </c>
      <c r="C1390" s="1" t="n">
        <v>46089</v>
      </c>
      <c r="D1390" t="inlineStr">
        <is>
          <t>VÄRMLANDS LÄN</t>
        </is>
      </c>
      <c r="E1390" t="inlineStr">
        <is>
          <t>TORSBY</t>
        </is>
      </c>
      <c r="G1390" t="n">
        <v>19.1</v>
      </c>
      <c r="H1390" t="n">
        <v>0</v>
      </c>
      <c r="I1390" t="n">
        <v>0</v>
      </c>
      <c r="J1390" t="n">
        <v>0</v>
      </c>
      <c r="K1390" t="n">
        <v>0</v>
      </c>
      <c r="L1390" t="n">
        <v>0</v>
      </c>
      <c r="M1390" t="n">
        <v>0</v>
      </c>
      <c r="N1390" t="n">
        <v>0</v>
      </c>
      <c r="O1390" t="n">
        <v>0</v>
      </c>
      <c r="P1390" t="n">
        <v>0</v>
      </c>
      <c r="Q1390" t="n">
        <v>0</v>
      </c>
      <c r="R1390" s="2" t="inlineStr"/>
    </row>
    <row r="1391" ht="15" customHeight="1">
      <c r="A1391" t="inlineStr">
        <is>
          <t>A 14292-2023</t>
        </is>
      </c>
      <c r="B1391" s="1" t="n">
        <v>45011</v>
      </c>
      <c r="C1391" s="1" t="n">
        <v>46089</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14293-2023</t>
        </is>
      </c>
      <c r="B1392" s="1" t="n">
        <v>45011</v>
      </c>
      <c r="C1392" s="1" t="n">
        <v>46089</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2195-2025</t>
        </is>
      </c>
      <c r="B1393" s="1" t="n">
        <v>45673.38138888889</v>
      </c>
      <c r="C1393" s="1" t="n">
        <v>46089</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2699-2022</t>
        </is>
      </c>
      <c r="B1394" s="1" t="n">
        <v>44580.62828703703</v>
      </c>
      <c r="C1394" s="1" t="n">
        <v>46089</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6532-2025</t>
        </is>
      </c>
      <c r="B1395" s="1" t="n">
        <v>45699</v>
      </c>
      <c r="C1395" s="1" t="n">
        <v>46089</v>
      </c>
      <c r="D1395" t="inlineStr">
        <is>
          <t>VÄRMLANDS LÄN</t>
        </is>
      </c>
      <c r="E1395" t="inlineStr">
        <is>
          <t>TORSBY</t>
        </is>
      </c>
      <c r="F1395" t="inlineStr">
        <is>
          <t>Kommuner</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53601-2025</t>
        </is>
      </c>
      <c r="B1396" s="1" t="n">
        <v>45960.45984953704</v>
      </c>
      <c r="C1396" s="1" t="n">
        <v>46089</v>
      </c>
      <c r="D1396" t="inlineStr">
        <is>
          <t>VÄRMLANDS LÄN</t>
        </is>
      </c>
      <c r="E1396" t="inlineStr">
        <is>
          <t>TORSBY</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9752-2026</t>
        </is>
      </c>
      <c r="B1397" s="1" t="n">
        <v>46072.53912037037</v>
      </c>
      <c r="C1397" s="1" t="n">
        <v>46089</v>
      </c>
      <c r="D1397" t="inlineStr">
        <is>
          <t>VÄRMLANDS LÄN</t>
        </is>
      </c>
      <c r="E1397" t="inlineStr">
        <is>
          <t>TORSBY</t>
        </is>
      </c>
      <c r="G1397" t="n">
        <v>26.8</v>
      </c>
      <c r="H1397" t="n">
        <v>0</v>
      </c>
      <c r="I1397" t="n">
        <v>0</v>
      </c>
      <c r="J1397" t="n">
        <v>0</v>
      </c>
      <c r="K1397" t="n">
        <v>0</v>
      </c>
      <c r="L1397" t="n">
        <v>0</v>
      </c>
      <c r="M1397" t="n">
        <v>0</v>
      </c>
      <c r="N1397" t="n">
        <v>0</v>
      </c>
      <c r="O1397" t="n">
        <v>0</v>
      </c>
      <c r="P1397" t="n">
        <v>0</v>
      </c>
      <c r="Q1397" t="n">
        <v>0</v>
      </c>
      <c r="R1397" s="2" t="inlineStr"/>
    </row>
    <row r="1398" ht="15" customHeight="1">
      <c r="A1398" t="inlineStr">
        <is>
          <t>A 38497-2025</t>
        </is>
      </c>
      <c r="B1398" s="1" t="n">
        <v>45884</v>
      </c>
      <c r="C1398" s="1" t="n">
        <v>46089</v>
      </c>
      <c r="D1398" t="inlineStr">
        <is>
          <t>VÄRMLANDS LÄN</t>
        </is>
      </c>
      <c r="E1398" t="inlineStr">
        <is>
          <t>TORSBY</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9793-2024</t>
        </is>
      </c>
      <c r="B1399" s="1" t="n">
        <v>45362.71013888889</v>
      </c>
      <c r="C1399" s="1" t="n">
        <v>46089</v>
      </c>
      <c r="D1399" t="inlineStr">
        <is>
          <t>VÄRMLANDS LÄN</t>
        </is>
      </c>
      <c r="E1399" t="inlineStr">
        <is>
          <t>TORSBY</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38143-2025</t>
        </is>
      </c>
      <c r="B1400" s="1" t="n">
        <v>45882</v>
      </c>
      <c r="C1400" s="1" t="n">
        <v>46089</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54412-2025</t>
        </is>
      </c>
      <c r="B1401" s="1" t="n">
        <v>45965.46076388889</v>
      </c>
      <c r="C1401" s="1" t="n">
        <v>46089</v>
      </c>
      <c r="D1401" t="inlineStr">
        <is>
          <t>VÄRMLANDS LÄN</t>
        </is>
      </c>
      <c r="E1401" t="inlineStr">
        <is>
          <t>TORSBY</t>
        </is>
      </c>
      <c r="F1401" t="inlineStr">
        <is>
          <t>Bergvik skog väst AB</t>
        </is>
      </c>
      <c r="G1401" t="n">
        <v>37.8</v>
      </c>
      <c r="H1401" t="n">
        <v>0</v>
      </c>
      <c r="I1401" t="n">
        <v>0</v>
      </c>
      <c r="J1401" t="n">
        <v>0</v>
      </c>
      <c r="K1401" t="n">
        <v>0</v>
      </c>
      <c r="L1401" t="n">
        <v>0</v>
      </c>
      <c r="M1401" t="n">
        <v>0</v>
      </c>
      <c r="N1401" t="n">
        <v>0</v>
      </c>
      <c r="O1401" t="n">
        <v>0</v>
      </c>
      <c r="P1401" t="n">
        <v>0</v>
      </c>
      <c r="Q1401" t="n">
        <v>0</v>
      </c>
      <c r="R1401" s="2" t="inlineStr"/>
    </row>
    <row r="1402" ht="15" customHeight="1">
      <c r="A1402" t="inlineStr">
        <is>
          <t>A 53744-2024</t>
        </is>
      </c>
      <c r="B1402" s="1" t="n">
        <v>45615</v>
      </c>
      <c r="C1402" s="1" t="n">
        <v>46089</v>
      </c>
      <c r="D1402" t="inlineStr">
        <is>
          <t>VÄRMLANDS LÄN</t>
        </is>
      </c>
      <c r="E1402" t="inlineStr">
        <is>
          <t>TORSBY</t>
        </is>
      </c>
      <c r="G1402" t="n">
        <v>16.9</v>
      </c>
      <c r="H1402" t="n">
        <v>0</v>
      </c>
      <c r="I1402" t="n">
        <v>0</v>
      </c>
      <c r="J1402" t="n">
        <v>0</v>
      </c>
      <c r="K1402" t="n">
        <v>0</v>
      </c>
      <c r="L1402" t="n">
        <v>0</v>
      </c>
      <c r="M1402" t="n">
        <v>0</v>
      </c>
      <c r="N1402" t="n">
        <v>0</v>
      </c>
      <c r="O1402" t="n">
        <v>0</v>
      </c>
      <c r="P1402" t="n">
        <v>0</v>
      </c>
      <c r="Q1402" t="n">
        <v>0</v>
      </c>
      <c r="R1402" s="2" t="inlineStr"/>
    </row>
    <row r="1403" ht="15" customHeight="1">
      <c r="A1403" t="inlineStr">
        <is>
          <t>A 33848-2023</t>
        </is>
      </c>
      <c r="B1403" s="1" t="n">
        <v>45133.68835648148</v>
      </c>
      <c r="C1403" s="1" t="n">
        <v>46089</v>
      </c>
      <c r="D1403" t="inlineStr">
        <is>
          <t>VÄRMLANDS LÄN</t>
        </is>
      </c>
      <c r="E1403" t="inlineStr">
        <is>
          <t>TORSBY</t>
        </is>
      </c>
      <c r="F1403" t="inlineStr">
        <is>
          <t>Bergvik skog väst AB</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54101-2025</t>
        </is>
      </c>
      <c r="B1404" s="1" t="n">
        <v>45964.42424768519</v>
      </c>
      <c r="C1404" s="1" t="n">
        <v>46089</v>
      </c>
      <c r="D1404" t="inlineStr">
        <is>
          <t>VÄRMLANDS LÄN</t>
        </is>
      </c>
      <c r="E1404" t="inlineStr">
        <is>
          <t>TORSBY</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54079-2025</t>
        </is>
      </c>
      <c r="B1405" s="1" t="n">
        <v>45964</v>
      </c>
      <c r="C1405" s="1" t="n">
        <v>46089</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66978-2021</t>
        </is>
      </c>
      <c r="B1406" s="1" t="n">
        <v>44522</v>
      </c>
      <c r="C1406" s="1" t="n">
        <v>46089</v>
      </c>
      <c r="D1406" t="inlineStr">
        <is>
          <t>VÄRMLANDS LÄN</t>
        </is>
      </c>
      <c r="E1406" t="inlineStr">
        <is>
          <t>TORSBY</t>
        </is>
      </c>
      <c r="F1406" t="inlineStr">
        <is>
          <t>Kommuner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18480-2025</t>
        </is>
      </c>
      <c r="B1407" s="1" t="n">
        <v>45762.9171412037</v>
      </c>
      <c r="C1407" s="1" t="n">
        <v>46089</v>
      </c>
      <c r="D1407" t="inlineStr">
        <is>
          <t>VÄRMLANDS LÄN</t>
        </is>
      </c>
      <c r="E1407" t="inlineStr">
        <is>
          <t>TORSBY</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54144-2025</t>
        </is>
      </c>
      <c r="B1408" s="1" t="n">
        <v>45964.48305555555</v>
      </c>
      <c r="C1408" s="1" t="n">
        <v>46089</v>
      </c>
      <c r="D1408" t="inlineStr">
        <is>
          <t>VÄRMLANDS LÄN</t>
        </is>
      </c>
      <c r="E1408" t="inlineStr">
        <is>
          <t>TORSBY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15488-2023</t>
        </is>
      </c>
      <c r="B1409" s="1" t="n">
        <v>45020</v>
      </c>
      <c r="C1409" s="1" t="n">
        <v>46089</v>
      </c>
      <c r="D1409" t="inlineStr">
        <is>
          <t>VÄRMLANDS LÄN</t>
        </is>
      </c>
      <c r="E1409" t="inlineStr">
        <is>
          <t>TORSBY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56473-2022</t>
        </is>
      </c>
      <c r="B1410" s="1" t="n">
        <v>44893</v>
      </c>
      <c r="C1410" s="1" t="n">
        <v>46089</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17941-2021</t>
        </is>
      </c>
      <c r="B1411" s="1" t="n">
        <v>44301</v>
      </c>
      <c r="C1411" s="1" t="n">
        <v>46089</v>
      </c>
      <c r="D1411" t="inlineStr">
        <is>
          <t>VÄRMLANDS LÄN</t>
        </is>
      </c>
      <c r="E1411" t="inlineStr">
        <is>
          <t>TORSBY</t>
        </is>
      </c>
      <c r="F1411" t="inlineStr">
        <is>
          <t>Kommuner</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54091-2025</t>
        </is>
      </c>
      <c r="B1412" s="1" t="n">
        <v>45964.39363425926</v>
      </c>
      <c r="C1412" s="1" t="n">
        <v>46089</v>
      </c>
      <c r="D1412" t="inlineStr">
        <is>
          <t>VÄRMLANDS LÄN</t>
        </is>
      </c>
      <c r="E1412" t="inlineStr">
        <is>
          <t>TORSBY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54071-2025</t>
        </is>
      </c>
      <c r="B1413" s="1" t="n">
        <v>45962</v>
      </c>
      <c r="C1413" s="1" t="n">
        <v>46089</v>
      </c>
      <c r="D1413" t="inlineStr">
        <is>
          <t>VÄRMLANDS LÄN</t>
        </is>
      </c>
      <c r="E1413" t="inlineStr">
        <is>
          <t>TORSBY</t>
        </is>
      </c>
      <c r="F1413" t="inlineStr">
        <is>
          <t>Övriga Aktiebolag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54505-2025</t>
        </is>
      </c>
      <c r="B1414" s="1" t="n">
        <v>45965.6169212963</v>
      </c>
      <c r="C1414" s="1" t="n">
        <v>46089</v>
      </c>
      <c r="D1414" t="inlineStr">
        <is>
          <t>VÄRMLANDS LÄN</t>
        </is>
      </c>
      <c r="E1414" t="inlineStr">
        <is>
          <t>TORSBY</t>
        </is>
      </c>
      <c r="F1414" t="inlineStr">
        <is>
          <t>Bergvik skog väst AB</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38662-2025</t>
        </is>
      </c>
      <c r="B1415" s="1" t="n">
        <v>45884.61193287037</v>
      </c>
      <c r="C1415" s="1" t="n">
        <v>46089</v>
      </c>
      <c r="D1415" t="inlineStr">
        <is>
          <t>VÄRMLANDS LÄN</t>
        </is>
      </c>
      <c r="E1415" t="inlineStr">
        <is>
          <t>TORSBY</t>
        </is>
      </c>
      <c r="F1415" t="inlineStr">
        <is>
          <t>Bergvik skog väst AB</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54168-2025</t>
        </is>
      </c>
      <c r="B1416" s="1" t="n">
        <v>45964.52528935186</v>
      </c>
      <c r="C1416" s="1" t="n">
        <v>46089</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1045-2026</t>
        </is>
      </c>
      <c r="B1417" s="1" t="n">
        <v>46030</v>
      </c>
      <c r="C1417" s="1" t="n">
        <v>46089</v>
      </c>
      <c r="D1417" t="inlineStr">
        <is>
          <t>VÄRMLANDS LÄN</t>
        </is>
      </c>
      <c r="E1417" t="inlineStr">
        <is>
          <t>TORSBY</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54762-2025</t>
        </is>
      </c>
      <c r="B1418" s="1" t="n">
        <v>45966.60082175926</v>
      </c>
      <c r="C1418" s="1" t="n">
        <v>46089</v>
      </c>
      <c r="D1418" t="inlineStr">
        <is>
          <t>VÄRMLANDS LÄN</t>
        </is>
      </c>
      <c r="E1418" t="inlineStr">
        <is>
          <t>TORSBY</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20321-2023</t>
        </is>
      </c>
      <c r="B1419" s="1" t="n">
        <v>45056.45232638889</v>
      </c>
      <c r="C1419" s="1" t="n">
        <v>46089</v>
      </c>
      <c r="D1419" t="inlineStr">
        <is>
          <t>VÄRMLANDS LÄN</t>
        </is>
      </c>
      <c r="E1419" t="inlineStr">
        <is>
          <t>TORSBY</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25264-2024</t>
        </is>
      </c>
      <c r="B1420" s="1" t="n">
        <v>45462.61859953704</v>
      </c>
      <c r="C1420" s="1" t="n">
        <v>46089</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55071-2025</t>
        </is>
      </c>
      <c r="B1421" s="1" t="n">
        <v>45967</v>
      </c>
      <c r="C1421" s="1" t="n">
        <v>46089</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53714-2025</t>
        </is>
      </c>
      <c r="B1422" s="1" t="n">
        <v>45960</v>
      </c>
      <c r="C1422" s="1" t="n">
        <v>46089</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54732-2025</t>
        </is>
      </c>
      <c r="B1423" s="1" t="n">
        <v>45966.56212962963</v>
      </c>
      <c r="C1423" s="1" t="n">
        <v>46089</v>
      </c>
      <c r="D1423" t="inlineStr">
        <is>
          <t>VÄRMLANDS LÄN</t>
        </is>
      </c>
      <c r="E1423" t="inlineStr">
        <is>
          <t>TORSBY</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54734-2025</t>
        </is>
      </c>
      <c r="B1424" s="1" t="n">
        <v>45966.56431712963</v>
      </c>
      <c r="C1424" s="1" t="n">
        <v>46089</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54784-2025</t>
        </is>
      </c>
      <c r="B1425" s="1" t="n">
        <v>45966.62114583333</v>
      </c>
      <c r="C1425" s="1" t="n">
        <v>46089</v>
      </c>
      <c r="D1425" t="inlineStr">
        <is>
          <t>VÄRMLANDS LÄN</t>
        </is>
      </c>
      <c r="E1425" t="inlineStr">
        <is>
          <t>TORSBY</t>
        </is>
      </c>
      <c r="F1425" t="inlineStr">
        <is>
          <t>Bergvik skog väst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51644-2025</t>
        </is>
      </c>
      <c r="B1426" s="1" t="n">
        <v>45951</v>
      </c>
      <c r="C1426" s="1" t="n">
        <v>46089</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54729-2025</t>
        </is>
      </c>
      <c r="B1427" s="1" t="n">
        <v>45966</v>
      </c>
      <c r="C1427" s="1" t="n">
        <v>46089</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54817-2025</t>
        </is>
      </c>
      <c r="B1428" s="1" t="n">
        <v>45966.65671296296</v>
      </c>
      <c r="C1428" s="1" t="n">
        <v>46089</v>
      </c>
      <c r="D1428" t="inlineStr">
        <is>
          <t>VÄRMLANDS LÄN</t>
        </is>
      </c>
      <c r="E1428" t="inlineStr">
        <is>
          <t>TORSBY</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10589-2024</t>
        </is>
      </c>
      <c r="B1429" s="1" t="n">
        <v>45366</v>
      </c>
      <c r="C1429" s="1" t="n">
        <v>46089</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1148-2026</t>
        </is>
      </c>
      <c r="B1430" s="1" t="n">
        <v>46030</v>
      </c>
      <c r="C1430" s="1" t="n">
        <v>46089</v>
      </c>
      <c r="D1430" t="inlineStr">
        <is>
          <t>VÄRMLANDS LÄN</t>
        </is>
      </c>
      <c r="E1430" t="inlineStr">
        <is>
          <t>TORSBY</t>
        </is>
      </c>
      <c r="F1430" t="inlineStr">
        <is>
          <t>Bergvik skog väst AB</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54780-2025</t>
        </is>
      </c>
      <c r="B1431" s="1" t="n">
        <v>45966</v>
      </c>
      <c r="C1431" s="1" t="n">
        <v>46089</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54692-2025</t>
        </is>
      </c>
      <c r="B1432" s="1" t="n">
        <v>45966</v>
      </c>
      <c r="C1432" s="1" t="n">
        <v>46089</v>
      </c>
      <c r="D1432" t="inlineStr">
        <is>
          <t>VÄRMLANDS LÄN</t>
        </is>
      </c>
      <c r="E1432" t="inlineStr">
        <is>
          <t>TORSBY</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54996-2025</t>
        </is>
      </c>
      <c r="B1433" s="1" t="n">
        <v>45967</v>
      </c>
      <c r="C1433" s="1" t="n">
        <v>46089</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21587-2024</t>
        </is>
      </c>
      <c r="B1434" s="1" t="n">
        <v>45441</v>
      </c>
      <c r="C1434" s="1" t="n">
        <v>46089</v>
      </c>
      <c r="D1434" t="inlineStr">
        <is>
          <t>VÄRMLANDS LÄN</t>
        </is>
      </c>
      <c r="E1434" t="inlineStr">
        <is>
          <t>TORSBY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17001-2024</t>
        </is>
      </c>
      <c r="B1435" s="1" t="n">
        <v>45412.35605324074</v>
      </c>
      <c r="C1435" s="1" t="n">
        <v>46089</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52357-2025</t>
        </is>
      </c>
      <c r="B1436" s="1" t="n">
        <v>45952</v>
      </c>
      <c r="C1436" s="1" t="n">
        <v>46089</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52362-2025</t>
        </is>
      </c>
      <c r="B1437" s="1" t="n">
        <v>45952</v>
      </c>
      <c r="C1437" s="1" t="n">
        <v>46089</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17018-2025</t>
        </is>
      </c>
      <c r="B1438" s="1" t="n">
        <v>45755</v>
      </c>
      <c r="C1438" s="1" t="n">
        <v>46089</v>
      </c>
      <c r="D1438" t="inlineStr">
        <is>
          <t>VÄRMLANDS LÄN</t>
        </is>
      </c>
      <c r="E1438" t="inlineStr">
        <is>
          <t>TORSBY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58707-2024</t>
        </is>
      </c>
      <c r="B1439" s="1" t="n">
        <v>45635</v>
      </c>
      <c r="C1439" s="1" t="n">
        <v>46089</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39069-2022</t>
        </is>
      </c>
      <c r="B1440" s="1" t="n">
        <v>44816</v>
      </c>
      <c r="C1440" s="1" t="n">
        <v>46089</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40788-2022</t>
        </is>
      </c>
      <c r="B1441" s="1" t="n">
        <v>44824</v>
      </c>
      <c r="C1441" s="1" t="n">
        <v>46089</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55269-2025</t>
        </is>
      </c>
      <c r="B1442" s="1" t="n">
        <v>45968</v>
      </c>
      <c r="C1442" s="1" t="n">
        <v>46089</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55386-2025</t>
        </is>
      </c>
      <c r="B1443" s="1" t="n">
        <v>45971</v>
      </c>
      <c r="C1443" s="1" t="n">
        <v>46089</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55177-2025</t>
        </is>
      </c>
      <c r="B1444" s="1" t="n">
        <v>45968</v>
      </c>
      <c r="C1444" s="1" t="n">
        <v>46089</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52483-2022</t>
        </is>
      </c>
      <c r="B1445" s="1" t="n">
        <v>44874.48637731482</v>
      </c>
      <c r="C1445" s="1" t="n">
        <v>46089</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48762-2023</t>
        </is>
      </c>
      <c r="B1446" s="1" t="n">
        <v>45208</v>
      </c>
      <c r="C1446" s="1" t="n">
        <v>46089</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51661-2024</t>
        </is>
      </c>
      <c r="B1447" s="1" t="n">
        <v>45606.74392361111</v>
      </c>
      <c r="C1447" s="1" t="n">
        <v>46089</v>
      </c>
      <c r="D1447" t="inlineStr">
        <is>
          <t>VÄRMLANDS LÄN</t>
        </is>
      </c>
      <c r="E1447" t="inlineStr">
        <is>
          <t>TORSBY</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51663-2024</t>
        </is>
      </c>
      <c r="B1448" s="1" t="n">
        <v>45606.76396990741</v>
      </c>
      <c r="C1448" s="1" t="n">
        <v>46089</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55296-2025</t>
        </is>
      </c>
      <c r="B1449" s="1" t="n">
        <v>45969.53423611111</v>
      </c>
      <c r="C1449" s="1" t="n">
        <v>46089</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3098-2023</t>
        </is>
      </c>
      <c r="B1450" s="1" t="n">
        <v>44946.46096064815</v>
      </c>
      <c r="C1450" s="1" t="n">
        <v>46089</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3103-2023</t>
        </is>
      </c>
      <c r="B1451" s="1" t="n">
        <v>44946</v>
      </c>
      <c r="C1451" s="1" t="n">
        <v>46089</v>
      </c>
      <c r="D1451" t="inlineStr">
        <is>
          <t>VÄRMLANDS LÄN</t>
        </is>
      </c>
      <c r="E1451" t="inlineStr">
        <is>
          <t>TORSBY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1828-2026</t>
        </is>
      </c>
      <c r="B1452" s="1" t="n">
        <v>46035</v>
      </c>
      <c r="C1452" s="1" t="n">
        <v>46089</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55139-2025</t>
        </is>
      </c>
      <c r="B1453" s="1" t="n">
        <v>45968.42827546296</v>
      </c>
      <c r="C1453" s="1" t="n">
        <v>46089</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55178-2025</t>
        </is>
      </c>
      <c r="B1454" s="1" t="n">
        <v>45968</v>
      </c>
      <c r="C1454" s="1" t="n">
        <v>46089</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55622-2025</t>
        </is>
      </c>
      <c r="B1455" s="1" t="n">
        <v>45971</v>
      </c>
      <c r="C1455" s="1" t="n">
        <v>46089</v>
      </c>
      <c r="D1455" t="inlineStr">
        <is>
          <t>VÄRMLANDS LÄN</t>
        </is>
      </c>
      <c r="E1455" t="inlineStr">
        <is>
          <t>TORSBY</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55320-2025</t>
        </is>
      </c>
      <c r="B1456" s="1" t="n">
        <v>45971.31269675926</v>
      </c>
      <c r="C1456" s="1" t="n">
        <v>46089</v>
      </c>
      <c r="D1456" t="inlineStr">
        <is>
          <t>VÄRMLANDS LÄN</t>
        </is>
      </c>
      <c r="E1456" t="inlineStr">
        <is>
          <t>TORSBY</t>
        </is>
      </c>
      <c r="F1456" t="inlineStr">
        <is>
          <t>Bergvik skog väst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2057-2026</t>
        </is>
      </c>
      <c r="B1457" s="1" t="n">
        <v>46033</v>
      </c>
      <c r="C1457" s="1" t="n">
        <v>46089</v>
      </c>
      <c r="D1457" t="inlineStr">
        <is>
          <t>VÄRMLANDS LÄN</t>
        </is>
      </c>
      <c r="E1457" t="inlineStr">
        <is>
          <t>TORSBY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56098-2025</t>
        </is>
      </c>
      <c r="B1458" s="1" t="n">
        <v>45973</v>
      </c>
      <c r="C1458" s="1" t="n">
        <v>46089</v>
      </c>
      <c r="D1458" t="inlineStr">
        <is>
          <t>VÄRMLANDS LÄN</t>
        </is>
      </c>
      <c r="E1458" t="inlineStr">
        <is>
          <t>TORSBY</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56129-2025</t>
        </is>
      </c>
      <c r="B1459" s="1" t="n">
        <v>45973</v>
      </c>
      <c r="C1459" s="1" t="n">
        <v>46089</v>
      </c>
      <c r="D1459" t="inlineStr">
        <is>
          <t>VÄRMLANDS LÄN</t>
        </is>
      </c>
      <c r="E1459" t="inlineStr">
        <is>
          <t>TORSBY</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54076-2025</t>
        </is>
      </c>
      <c r="B1460" s="1" t="n">
        <v>45964</v>
      </c>
      <c r="C1460" s="1" t="n">
        <v>46089</v>
      </c>
      <c r="D1460" t="inlineStr">
        <is>
          <t>VÄRMLANDS LÄN</t>
        </is>
      </c>
      <c r="E1460" t="inlineStr">
        <is>
          <t>TORSBY</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55953-2025</t>
        </is>
      </c>
      <c r="B1461" s="1" t="n">
        <v>45973</v>
      </c>
      <c r="C1461" s="1" t="n">
        <v>46089</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55958-2025</t>
        </is>
      </c>
      <c r="B1462" s="1" t="n">
        <v>45973</v>
      </c>
      <c r="C1462" s="1" t="n">
        <v>46089</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10536-2026</t>
        </is>
      </c>
      <c r="B1463" s="1" t="n">
        <v>46077.59946759259</v>
      </c>
      <c r="C1463" s="1" t="n">
        <v>46089</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55938-2025</t>
        </is>
      </c>
      <c r="B1464" s="1" t="n">
        <v>45973.44658564815</v>
      </c>
      <c r="C1464" s="1" t="n">
        <v>46089</v>
      </c>
      <c r="D1464" t="inlineStr">
        <is>
          <t>VÄRMLANDS LÄN</t>
        </is>
      </c>
      <c r="E1464" t="inlineStr">
        <is>
          <t>TORSBY</t>
        </is>
      </c>
      <c r="F1464" t="inlineStr">
        <is>
          <t>Bergvik skog väst AB</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56033-2025</t>
        </is>
      </c>
      <c r="B1465" s="1" t="n">
        <v>45973.6066087963</v>
      </c>
      <c r="C1465" s="1" t="n">
        <v>46089</v>
      </c>
      <c r="D1465" t="inlineStr">
        <is>
          <t>VÄRMLANDS LÄN</t>
        </is>
      </c>
      <c r="E1465" t="inlineStr">
        <is>
          <t>TORSBY</t>
        </is>
      </c>
      <c r="F1465" t="inlineStr">
        <is>
          <t>Bergvik skog väst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56052-2025</t>
        </is>
      </c>
      <c r="B1466" s="1" t="n">
        <v>45973.63180555555</v>
      </c>
      <c r="C1466" s="1" t="n">
        <v>46089</v>
      </c>
      <c r="D1466" t="inlineStr">
        <is>
          <t>VÄRMLANDS LÄN</t>
        </is>
      </c>
      <c r="E1466" t="inlineStr">
        <is>
          <t>TORSBY</t>
        </is>
      </c>
      <c r="F1466" t="inlineStr">
        <is>
          <t>Bergvik skog väst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55664-2025</t>
        </is>
      </c>
      <c r="B1467" s="1" t="n">
        <v>45972.39621527777</v>
      </c>
      <c r="C1467" s="1" t="n">
        <v>46089</v>
      </c>
      <c r="D1467" t="inlineStr">
        <is>
          <t>VÄRMLANDS LÄN</t>
        </is>
      </c>
      <c r="E1467" t="inlineStr">
        <is>
          <t>TORSBY</t>
        </is>
      </c>
      <c r="F1467" t="inlineStr">
        <is>
          <t>Bergvik skog väst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55675-2025</t>
        </is>
      </c>
      <c r="B1468" s="1" t="n">
        <v>45972.4175</v>
      </c>
      <c r="C1468" s="1" t="n">
        <v>46089</v>
      </c>
      <c r="D1468" t="inlineStr">
        <is>
          <t>VÄRMLANDS LÄN</t>
        </is>
      </c>
      <c r="E1468" t="inlineStr">
        <is>
          <t>TORSBY</t>
        </is>
      </c>
      <c r="F1468" t="inlineStr">
        <is>
          <t>Bergvik skog väst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17941-2021</t>
        </is>
      </c>
      <c r="B1469" s="1" t="n">
        <v>44301</v>
      </c>
      <c r="C1469" s="1" t="n">
        <v>46089</v>
      </c>
      <c r="D1469" t="inlineStr">
        <is>
          <t>VÄRMLANDS LÄN</t>
        </is>
      </c>
      <c r="E1469" t="inlineStr">
        <is>
          <t>TORSBY</t>
        </is>
      </c>
      <c r="F1469" t="inlineStr">
        <is>
          <t>Kommuner</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56130-2025</t>
        </is>
      </c>
      <c r="B1470" s="1" t="n">
        <v>45973</v>
      </c>
      <c r="C1470" s="1" t="n">
        <v>46089</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55863-2025</t>
        </is>
      </c>
      <c r="B1471" s="1" t="n">
        <v>45973.3465162037</v>
      </c>
      <c r="C1471" s="1" t="n">
        <v>46089</v>
      </c>
      <c r="D1471" t="inlineStr">
        <is>
          <t>VÄRMLANDS LÄN</t>
        </is>
      </c>
      <c r="E1471" t="inlineStr">
        <is>
          <t>TORSBY</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15660-2025</t>
        </is>
      </c>
      <c r="B1472" s="1" t="n">
        <v>45748</v>
      </c>
      <c r="C1472" s="1" t="n">
        <v>46089</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56187-2025</t>
        </is>
      </c>
      <c r="B1473" s="1" t="n">
        <v>45974.42451388889</v>
      </c>
      <c r="C1473" s="1" t="n">
        <v>46089</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10533-2026</t>
        </is>
      </c>
      <c r="B1474" s="1" t="n">
        <v>46077</v>
      </c>
      <c r="C1474" s="1" t="n">
        <v>46089</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20737-2023</t>
        </is>
      </c>
      <c r="B1475" s="1" t="n">
        <v>45058</v>
      </c>
      <c r="C1475" s="1" t="n">
        <v>46089</v>
      </c>
      <c r="D1475" t="inlineStr">
        <is>
          <t>VÄRMLANDS LÄN</t>
        </is>
      </c>
      <c r="E1475" t="inlineStr">
        <is>
          <t>TORSBY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62250-2023</t>
        </is>
      </c>
      <c r="B1476" s="1" t="n">
        <v>45266</v>
      </c>
      <c r="C1476" s="1" t="n">
        <v>46089</v>
      </c>
      <c r="D1476" t="inlineStr">
        <is>
          <t>VÄRMLANDS LÄN</t>
        </is>
      </c>
      <c r="E1476" t="inlineStr">
        <is>
          <t>TORSBY</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56263-2025</t>
        </is>
      </c>
      <c r="B1477" s="1" t="n">
        <v>45974.57358796296</v>
      </c>
      <c r="C1477" s="1" t="n">
        <v>46089</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8428-2025</t>
        </is>
      </c>
      <c r="B1478" s="1" t="n">
        <v>45709.41995370371</v>
      </c>
      <c r="C1478" s="1" t="n">
        <v>46089</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1635-2026</t>
        </is>
      </c>
      <c r="B1479" s="1" t="n">
        <v>46034.491875</v>
      </c>
      <c r="C1479" s="1" t="n">
        <v>46089</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32496-2022</t>
        </is>
      </c>
      <c r="B1480" s="1" t="n">
        <v>44782</v>
      </c>
      <c r="C1480" s="1" t="n">
        <v>46089</v>
      </c>
      <c r="D1480" t="inlineStr">
        <is>
          <t>VÄRMLANDS LÄN</t>
        </is>
      </c>
      <c r="E1480" t="inlineStr">
        <is>
          <t>TORSBY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56575-2025</t>
        </is>
      </c>
      <c r="B1481" s="1" t="n">
        <v>45975</v>
      </c>
      <c r="C1481" s="1" t="n">
        <v>46089</v>
      </c>
      <c r="D1481" t="inlineStr">
        <is>
          <t>VÄRMLANDS LÄN</t>
        </is>
      </c>
      <c r="E1481" t="inlineStr">
        <is>
          <t>TORSBY</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10277-2026</t>
        </is>
      </c>
      <c r="B1482" s="1" t="n">
        <v>46076.58681712963</v>
      </c>
      <c r="C1482" s="1" t="n">
        <v>46089</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10295-2026</t>
        </is>
      </c>
      <c r="B1483" s="1" t="n">
        <v>46076.62011574074</v>
      </c>
      <c r="C1483" s="1" t="n">
        <v>46089</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10596-2026</t>
        </is>
      </c>
      <c r="B1484" s="1" t="n">
        <v>46077.71212962963</v>
      </c>
      <c r="C1484" s="1" t="n">
        <v>46089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11195-2025</t>
        </is>
      </c>
      <c r="B1485" s="1" t="n">
        <v>45725.85177083333</v>
      </c>
      <c r="C1485" s="1" t="n">
        <v>46089</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56170-2023</t>
        </is>
      </c>
      <c r="B1486" s="1" t="n">
        <v>45240.62975694444</v>
      </c>
      <c r="C1486" s="1" t="n">
        <v>46089</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9578-2023</t>
        </is>
      </c>
      <c r="B1487" s="1" t="n">
        <v>44982.69790509259</v>
      </c>
      <c r="C1487" s="1" t="n">
        <v>46089</v>
      </c>
      <c r="D1487" t="inlineStr">
        <is>
          <t>VÄRMLANDS LÄN</t>
        </is>
      </c>
      <c r="E1487" t="inlineStr">
        <is>
          <t>TORSBY</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56258-2025</t>
        </is>
      </c>
      <c r="B1488" s="1" t="n">
        <v>45974.56655092593</v>
      </c>
      <c r="C1488" s="1" t="n">
        <v>46089</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47241-2023</t>
        </is>
      </c>
      <c r="B1489" s="1" t="n">
        <v>45202.39821759259</v>
      </c>
      <c r="C1489" s="1" t="n">
        <v>46089</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55811-2021</t>
        </is>
      </c>
      <c r="B1490" s="1" t="n">
        <v>44476</v>
      </c>
      <c r="C1490" s="1" t="n">
        <v>46089</v>
      </c>
      <c r="D1490" t="inlineStr">
        <is>
          <t>VÄRMLANDS LÄN</t>
        </is>
      </c>
      <c r="E1490" t="inlineStr">
        <is>
          <t>TORSBY</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2008-2026</t>
        </is>
      </c>
      <c r="B1491" s="1" t="n">
        <v>46035</v>
      </c>
      <c r="C1491" s="1" t="n">
        <v>46089</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56786-2025</t>
        </is>
      </c>
      <c r="B1492" s="1" t="n">
        <v>45978.4254050926</v>
      </c>
      <c r="C1492" s="1" t="n">
        <v>46089</v>
      </c>
      <c r="D1492" t="inlineStr">
        <is>
          <t>VÄRMLANDS LÄN</t>
        </is>
      </c>
      <c r="E1492" t="inlineStr">
        <is>
          <t>TORSBY</t>
        </is>
      </c>
      <c r="F1492" t="inlineStr">
        <is>
          <t>Bergvik skog väst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10332-2026</t>
        </is>
      </c>
      <c r="B1493" s="1" t="n">
        <v>46076</v>
      </c>
      <c r="C1493" s="1" t="n">
        <v>46089</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2005-2026</t>
        </is>
      </c>
      <c r="B1494" s="1" t="n">
        <v>46035.69554398148</v>
      </c>
      <c r="C1494" s="1" t="n">
        <v>46089</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57980-2023</t>
        </is>
      </c>
      <c r="B1495" s="1" t="n">
        <v>45247.59328703704</v>
      </c>
      <c r="C1495" s="1" t="n">
        <v>46089</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1428-2026</t>
        </is>
      </c>
      <c r="B1496" s="1" t="n">
        <v>46032</v>
      </c>
      <c r="C1496" s="1" t="n">
        <v>46089</v>
      </c>
      <c r="D1496" t="inlineStr">
        <is>
          <t>VÄRMLANDS LÄN</t>
        </is>
      </c>
      <c r="E1496" t="inlineStr">
        <is>
          <t>TORSBY</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25090-2023</t>
        </is>
      </c>
      <c r="B1497" s="1" t="n">
        <v>45086</v>
      </c>
      <c r="C1497" s="1" t="n">
        <v>46089</v>
      </c>
      <c r="D1497" t="inlineStr">
        <is>
          <t>VÄRMLANDS LÄN</t>
        </is>
      </c>
      <c r="E1497" t="inlineStr">
        <is>
          <t>TORSBY</t>
        </is>
      </c>
      <c r="F1497" t="inlineStr">
        <is>
          <t>Bergvik skog väst AB</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57137-2025</t>
        </is>
      </c>
      <c r="B1498" s="1" t="n">
        <v>45979</v>
      </c>
      <c r="C1498" s="1" t="n">
        <v>46089</v>
      </c>
      <c r="D1498" t="inlineStr">
        <is>
          <t>VÄRMLANDS LÄN</t>
        </is>
      </c>
      <c r="E1498" t="inlineStr">
        <is>
          <t>TORSBY</t>
        </is>
      </c>
      <c r="F1498" t="inlineStr">
        <is>
          <t>Övriga statliga verk och myndigheter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56761-2025</t>
        </is>
      </c>
      <c r="B1499" s="1" t="n">
        <v>45978.37505787037</v>
      </c>
      <c r="C1499" s="1" t="n">
        <v>46089</v>
      </c>
      <c r="D1499" t="inlineStr">
        <is>
          <t>VÄRMLANDS LÄN</t>
        </is>
      </c>
      <c r="E1499" t="inlineStr">
        <is>
          <t>TORSBY</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15315-2024</t>
        </is>
      </c>
      <c r="B1500" s="1" t="n">
        <v>45400</v>
      </c>
      <c r="C1500" s="1" t="n">
        <v>46089</v>
      </c>
      <c r="D1500" t="inlineStr">
        <is>
          <t>VÄRMLANDS LÄN</t>
        </is>
      </c>
      <c r="E1500" t="inlineStr">
        <is>
          <t>TORSBY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56772-2025</t>
        </is>
      </c>
      <c r="B1501" s="1" t="n">
        <v>45978</v>
      </c>
      <c r="C1501" s="1" t="n">
        <v>46089</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56778-2025</t>
        </is>
      </c>
      <c r="B1502" s="1" t="n">
        <v>45978</v>
      </c>
      <c r="C1502" s="1" t="n">
        <v>46089</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56747-2025</t>
        </is>
      </c>
      <c r="B1503" s="1" t="n">
        <v>45978</v>
      </c>
      <c r="C1503" s="1" t="n">
        <v>46089</v>
      </c>
      <c r="D1503" t="inlineStr">
        <is>
          <t>VÄRMLANDS LÄN</t>
        </is>
      </c>
      <c r="E1503" t="inlineStr">
        <is>
          <t>TORSBY</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10119-2026</t>
        </is>
      </c>
      <c r="B1504" s="1" t="n">
        <v>46075.74895833333</v>
      </c>
      <c r="C1504" s="1" t="n">
        <v>46089</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57370-2025</t>
        </is>
      </c>
      <c r="B1505" s="1" t="n">
        <v>45979</v>
      </c>
      <c r="C1505" s="1" t="n">
        <v>46089</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46233-2023</t>
        </is>
      </c>
      <c r="B1506" s="1" t="n">
        <v>45196.69575231482</v>
      </c>
      <c r="C1506" s="1" t="n">
        <v>46089</v>
      </c>
      <c r="D1506" t="inlineStr">
        <is>
          <t>VÄRMLANDS LÄN</t>
        </is>
      </c>
      <c r="E1506" t="inlineStr">
        <is>
          <t>TORSBY</t>
        </is>
      </c>
      <c r="F1506" t="inlineStr">
        <is>
          <t>Kyrkan</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36850-2024</t>
        </is>
      </c>
      <c r="B1507" s="1" t="n">
        <v>45538</v>
      </c>
      <c r="C1507" s="1" t="n">
        <v>46089</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56889-2025</t>
        </is>
      </c>
      <c r="B1508" s="1" t="n">
        <v>45978</v>
      </c>
      <c r="C1508" s="1" t="n">
        <v>46089</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13924-2025</t>
        </is>
      </c>
      <c r="B1509" s="1" t="n">
        <v>45737</v>
      </c>
      <c r="C1509" s="1" t="n">
        <v>46089</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10515-2026</t>
        </is>
      </c>
      <c r="B1510" s="1" t="n">
        <v>46077</v>
      </c>
      <c r="C1510" s="1" t="n">
        <v>46089</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56848-2025</t>
        </is>
      </c>
      <c r="B1511" s="1" t="n">
        <v>45978.4887037037</v>
      </c>
      <c r="C1511" s="1" t="n">
        <v>46089</v>
      </c>
      <c r="D1511" t="inlineStr">
        <is>
          <t>VÄRMLANDS LÄN</t>
        </is>
      </c>
      <c r="E1511" t="inlineStr">
        <is>
          <t>TORSBY</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10871-2026</t>
        </is>
      </c>
      <c r="B1512" s="1" t="n">
        <v>46078.6843287037</v>
      </c>
      <c r="C1512" s="1" t="n">
        <v>46089</v>
      </c>
      <c r="D1512" t="inlineStr">
        <is>
          <t>VÄRMLANDS LÄN</t>
        </is>
      </c>
      <c r="E1512" t="inlineStr">
        <is>
          <t>TORSBY</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57073-2025</t>
        </is>
      </c>
      <c r="B1513" s="1" t="n">
        <v>45979</v>
      </c>
      <c r="C1513" s="1" t="n">
        <v>46089</v>
      </c>
      <c r="D1513" t="inlineStr">
        <is>
          <t>VÄRMLANDS LÄN</t>
        </is>
      </c>
      <c r="E1513" t="inlineStr">
        <is>
          <t>TORSBY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56784-2025</t>
        </is>
      </c>
      <c r="B1514" s="1" t="n">
        <v>45978.41734953703</v>
      </c>
      <c r="C1514" s="1" t="n">
        <v>46089</v>
      </c>
      <c r="D1514" t="inlineStr">
        <is>
          <t>VÄRMLANDS LÄN</t>
        </is>
      </c>
      <c r="E1514" t="inlineStr">
        <is>
          <t>TORSBY</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56785-2025</t>
        </is>
      </c>
      <c r="B1515" s="1" t="n">
        <v>45978.42228009259</v>
      </c>
      <c r="C1515" s="1" t="n">
        <v>46089</v>
      </c>
      <c r="D1515" t="inlineStr">
        <is>
          <t>VÄRMLANDS LÄN</t>
        </is>
      </c>
      <c r="E1515" t="inlineStr">
        <is>
          <t>TORSBY</t>
        </is>
      </c>
      <c r="F1515" t="inlineStr">
        <is>
          <t>Bergvik skog väst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58246-2025</t>
        </is>
      </c>
      <c r="B1516" s="1" t="n">
        <v>45981</v>
      </c>
      <c r="C1516" s="1" t="n">
        <v>46089</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57364-2025</t>
        </is>
      </c>
      <c r="B1517" s="1" t="n">
        <v>45980</v>
      </c>
      <c r="C1517" s="1" t="n">
        <v>46089</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57348-2025</t>
        </is>
      </c>
      <c r="B1518" s="1" t="n">
        <v>45980.35927083333</v>
      </c>
      <c r="C1518" s="1" t="n">
        <v>46089</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7643-2025</t>
        </is>
      </c>
      <c r="B1519" s="1" t="n">
        <v>45705.78703703704</v>
      </c>
      <c r="C1519" s="1" t="n">
        <v>46089</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11259-2024</t>
        </is>
      </c>
      <c r="B1520" s="1" t="n">
        <v>45371</v>
      </c>
      <c r="C1520" s="1" t="n">
        <v>46089</v>
      </c>
      <c r="D1520" t="inlineStr">
        <is>
          <t>VÄRMLANDS LÄN</t>
        </is>
      </c>
      <c r="E1520" t="inlineStr">
        <is>
          <t>TORSBY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57695-2025</t>
        </is>
      </c>
      <c r="B1521" s="1" t="n">
        <v>45981.45201388889</v>
      </c>
      <c r="C1521" s="1" t="n">
        <v>46089</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57787-2025</t>
        </is>
      </c>
      <c r="B1522" s="1" t="n">
        <v>45981</v>
      </c>
      <c r="C1522" s="1" t="n">
        <v>46089</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34405-2023</t>
        </is>
      </c>
      <c r="B1523" s="1" t="n">
        <v>45139.55131944444</v>
      </c>
      <c r="C1523" s="1" t="n">
        <v>46089</v>
      </c>
      <c r="D1523" t="inlineStr">
        <is>
          <t>VÄRMLANDS LÄN</t>
        </is>
      </c>
      <c r="E1523" t="inlineStr">
        <is>
          <t>TORSBY</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57935-2025</t>
        </is>
      </c>
      <c r="B1524" s="1" t="n">
        <v>45981</v>
      </c>
      <c r="C1524" s="1" t="n">
        <v>46089</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34697-2024</t>
        </is>
      </c>
      <c r="B1525" s="1" t="n">
        <v>45526.55518518519</v>
      </c>
      <c r="C1525" s="1" t="n">
        <v>46089</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57446-2025</t>
        </is>
      </c>
      <c r="B1526" s="1" t="n">
        <v>45980</v>
      </c>
      <c r="C1526" s="1" t="n">
        <v>46089</v>
      </c>
      <c r="D1526" t="inlineStr">
        <is>
          <t>VÄRMLANDS LÄN</t>
        </is>
      </c>
      <c r="E1526" t="inlineStr">
        <is>
          <t>TORSBY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60383-2024</t>
        </is>
      </c>
      <c r="B1527" s="1" t="n">
        <v>45643.47674768518</v>
      </c>
      <c r="C1527" s="1" t="n">
        <v>46089</v>
      </c>
      <c r="D1527" t="inlineStr">
        <is>
          <t>VÄRMLANDS LÄN</t>
        </is>
      </c>
      <c r="E1527" t="inlineStr">
        <is>
          <t>TORSBY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60386-2024</t>
        </is>
      </c>
      <c r="B1528" s="1" t="n">
        <v>45643</v>
      </c>
      <c r="C1528" s="1" t="n">
        <v>46089</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58396-2025</t>
        </is>
      </c>
      <c r="B1529" s="1" t="n">
        <v>45985</v>
      </c>
      <c r="C1529" s="1" t="n">
        <v>46089</v>
      </c>
      <c r="D1529" t="inlineStr">
        <is>
          <t>VÄRMLANDS LÄN</t>
        </is>
      </c>
      <c r="E1529" t="inlineStr">
        <is>
          <t>TORSBY</t>
        </is>
      </c>
      <c r="F1529" t="inlineStr">
        <is>
          <t>Bergvik skog väst AB</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17065-2025</t>
        </is>
      </c>
      <c r="B1530" s="1" t="n">
        <v>45754</v>
      </c>
      <c r="C1530" s="1" t="n">
        <v>46089</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60477-2024</t>
        </is>
      </c>
      <c r="B1531" s="1" t="n">
        <v>45643</v>
      </c>
      <c r="C1531" s="1" t="n">
        <v>46089</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57647-2023</t>
        </is>
      </c>
      <c r="B1532" s="1" t="n">
        <v>45246.59627314815</v>
      </c>
      <c r="C1532" s="1" t="n">
        <v>46089</v>
      </c>
      <c r="D1532" t="inlineStr">
        <is>
          <t>VÄRMLANDS LÄN</t>
        </is>
      </c>
      <c r="E1532" t="inlineStr">
        <is>
          <t>TORSBY</t>
        </is>
      </c>
      <c r="G1532" t="n">
        <v>10.3</v>
      </c>
      <c r="H1532" t="n">
        <v>0</v>
      </c>
      <c r="I1532" t="n">
        <v>0</v>
      </c>
      <c r="J1532" t="n">
        <v>0</v>
      </c>
      <c r="K1532" t="n">
        <v>0</v>
      </c>
      <c r="L1532" t="n">
        <v>0</v>
      </c>
      <c r="M1532" t="n">
        <v>0</v>
      </c>
      <c r="N1532" t="n">
        <v>0</v>
      </c>
      <c r="O1532" t="n">
        <v>0</v>
      </c>
      <c r="P1532" t="n">
        <v>0</v>
      </c>
      <c r="Q1532" t="n">
        <v>0</v>
      </c>
      <c r="R1532" s="2" t="inlineStr"/>
    </row>
    <row r="1533" ht="15" customHeight="1">
      <c r="A1533" t="inlineStr">
        <is>
          <t>A 21089-2022</t>
        </is>
      </c>
      <c r="B1533" s="1" t="n">
        <v>44704</v>
      </c>
      <c r="C1533" s="1" t="n">
        <v>46089</v>
      </c>
      <c r="D1533" t="inlineStr">
        <is>
          <t>VÄRMLANDS LÄN</t>
        </is>
      </c>
      <c r="E1533" t="inlineStr">
        <is>
          <t>TORSBY</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58537-2025</t>
        </is>
      </c>
      <c r="B1534" s="1" t="n">
        <v>45985</v>
      </c>
      <c r="C1534" s="1" t="n">
        <v>46089</v>
      </c>
      <c r="D1534" t="inlineStr">
        <is>
          <t>VÄRMLANDS LÄN</t>
        </is>
      </c>
      <c r="E1534" t="inlineStr">
        <is>
          <t>TORSBY</t>
        </is>
      </c>
      <c r="F1534" t="inlineStr">
        <is>
          <t>Övriga statliga verk och myndigheter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58540-2025</t>
        </is>
      </c>
      <c r="B1535" s="1" t="n">
        <v>45985</v>
      </c>
      <c r="C1535" s="1" t="n">
        <v>46089</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53331-2024</t>
        </is>
      </c>
      <c r="B1536" s="1" t="n">
        <v>45614</v>
      </c>
      <c r="C1536" s="1" t="n">
        <v>46089</v>
      </c>
      <c r="D1536" t="inlineStr">
        <is>
          <t>VÄRMLANDS LÄN</t>
        </is>
      </c>
      <c r="E1536" t="inlineStr">
        <is>
          <t>TORSBY</t>
        </is>
      </c>
      <c r="F1536" t="inlineStr">
        <is>
          <t>Bergvik skog väst AB</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16591-2024</t>
        </is>
      </c>
      <c r="B1537" s="1" t="n">
        <v>45408.49420138889</v>
      </c>
      <c r="C1537" s="1" t="n">
        <v>46089</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57931-2025</t>
        </is>
      </c>
      <c r="B1538" s="1" t="n">
        <v>45981.90670138889</v>
      </c>
      <c r="C1538" s="1" t="n">
        <v>46089</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56021-2023</t>
        </is>
      </c>
      <c r="B1539" s="1" t="n">
        <v>45240</v>
      </c>
      <c r="C1539" s="1" t="n">
        <v>46089</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58363-2025</t>
        </is>
      </c>
      <c r="B1540" s="1" t="n">
        <v>45985</v>
      </c>
      <c r="C1540" s="1" t="n">
        <v>46089</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32340-2024</t>
        </is>
      </c>
      <c r="B1541" s="1" t="n">
        <v>45512.50826388889</v>
      </c>
      <c r="C1541" s="1" t="n">
        <v>46089</v>
      </c>
      <c r="D1541" t="inlineStr">
        <is>
          <t>VÄRMLANDS LÄN</t>
        </is>
      </c>
      <c r="E1541" t="inlineStr">
        <is>
          <t>TORSBY</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36917-2024</t>
        </is>
      </c>
      <c r="B1542" s="1" t="n">
        <v>45538.65065972223</v>
      </c>
      <c r="C1542" s="1" t="n">
        <v>46089</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36922-2024</t>
        </is>
      </c>
      <c r="B1543" s="1" t="n">
        <v>45538</v>
      </c>
      <c r="C1543" s="1" t="n">
        <v>46089</v>
      </c>
      <c r="D1543" t="inlineStr">
        <is>
          <t>VÄRMLANDS LÄN</t>
        </is>
      </c>
      <c r="E1543" t="inlineStr">
        <is>
          <t>TORSBY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58978-2025</t>
        </is>
      </c>
      <c r="B1544" s="1" t="n">
        <v>45987</v>
      </c>
      <c r="C1544" s="1" t="n">
        <v>46089</v>
      </c>
      <c r="D1544" t="inlineStr">
        <is>
          <t>VÄRMLANDS LÄN</t>
        </is>
      </c>
      <c r="E1544" t="inlineStr">
        <is>
          <t>TORSBY</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58956-2022</t>
        </is>
      </c>
      <c r="B1545" s="1" t="n">
        <v>44903.65895833333</v>
      </c>
      <c r="C1545" s="1" t="n">
        <v>46089</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58836-2025</t>
        </is>
      </c>
      <c r="B1546" s="1" t="n">
        <v>45987.35586805556</v>
      </c>
      <c r="C1546" s="1" t="n">
        <v>46089</v>
      </c>
      <c r="D1546" t="inlineStr">
        <is>
          <t>VÄRMLANDS LÄN</t>
        </is>
      </c>
      <c r="E1546" t="inlineStr">
        <is>
          <t>TORSBY</t>
        </is>
      </c>
      <c r="F1546" t="inlineStr">
        <is>
          <t>Bergvik skog väst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345-2023</t>
        </is>
      </c>
      <c r="B1547" s="1" t="n">
        <v>44923</v>
      </c>
      <c r="C1547" s="1" t="n">
        <v>46089</v>
      </c>
      <c r="D1547" t="inlineStr">
        <is>
          <t>VÄRMLANDS LÄN</t>
        </is>
      </c>
      <c r="E1547" t="inlineStr">
        <is>
          <t>TORSBY</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58678-2025</t>
        </is>
      </c>
      <c r="B1548" s="1" t="n">
        <v>45986.56342592592</v>
      </c>
      <c r="C1548" s="1" t="n">
        <v>46089</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58919-2025</t>
        </is>
      </c>
      <c r="B1549" s="1" t="n">
        <v>45987</v>
      </c>
      <c r="C1549" s="1" t="n">
        <v>46089</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2559-2026</t>
        </is>
      </c>
      <c r="B1550" s="1" t="n">
        <v>46037</v>
      </c>
      <c r="C1550" s="1" t="n">
        <v>46089</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58625-2025</t>
        </is>
      </c>
      <c r="B1551" s="1" t="n">
        <v>45986.4740625</v>
      </c>
      <c r="C1551" s="1" t="n">
        <v>46089</v>
      </c>
      <c r="D1551" t="inlineStr">
        <is>
          <t>VÄRMLANDS LÄN</t>
        </is>
      </c>
      <c r="E1551" t="inlineStr">
        <is>
          <t>TORSBY</t>
        </is>
      </c>
      <c r="F1551" t="inlineStr">
        <is>
          <t>Kyrkan</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2351-2026</t>
        </is>
      </c>
      <c r="B1552" s="1" t="n">
        <v>46036</v>
      </c>
      <c r="C1552" s="1" t="n">
        <v>46089</v>
      </c>
      <c r="D1552" t="inlineStr">
        <is>
          <t>VÄRMLANDS LÄN</t>
        </is>
      </c>
      <c r="E1552" t="inlineStr">
        <is>
          <t>TORSBY</t>
        </is>
      </c>
      <c r="F1552" t="inlineStr">
        <is>
          <t>Bergvik skog väst AB</t>
        </is>
      </c>
      <c r="G1552" t="n">
        <v>13.2</v>
      </c>
      <c r="H1552" t="n">
        <v>0</v>
      </c>
      <c r="I1552" t="n">
        <v>0</v>
      </c>
      <c r="J1552" t="n">
        <v>0</v>
      </c>
      <c r="K1552" t="n">
        <v>0</v>
      </c>
      <c r="L1552" t="n">
        <v>0</v>
      </c>
      <c r="M1552" t="n">
        <v>0</v>
      </c>
      <c r="N1552" t="n">
        <v>0</v>
      </c>
      <c r="O1552" t="n">
        <v>0</v>
      </c>
      <c r="P1552" t="n">
        <v>0</v>
      </c>
      <c r="Q1552" t="n">
        <v>0</v>
      </c>
      <c r="R1552" s="2" t="inlineStr"/>
    </row>
    <row r="1553" ht="15" customHeight="1">
      <c r="A1553" t="inlineStr">
        <is>
          <t>A 59009-2025</t>
        </is>
      </c>
      <c r="B1553" s="1" t="n">
        <v>45987</v>
      </c>
      <c r="C1553" s="1" t="n">
        <v>46089</v>
      </c>
      <c r="D1553" t="inlineStr">
        <is>
          <t>VÄRMLANDS LÄN</t>
        </is>
      </c>
      <c r="E1553" t="inlineStr">
        <is>
          <t>TORSBY</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58928-2025</t>
        </is>
      </c>
      <c r="B1554" s="1" t="n">
        <v>45987</v>
      </c>
      <c r="C1554" s="1" t="n">
        <v>46089</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10684-2026</t>
        </is>
      </c>
      <c r="B1555" s="1" t="n">
        <v>46078.41681712963</v>
      </c>
      <c r="C1555" s="1" t="n">
        <v>46089</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58840-2025</t>
        </is>
      </c>
      <c r="B1556" s="1" t="n">
        <v>45987.36246527778</v>
      </c>
      <c r="C1556" s="1" t="n">
        <v>46089</v>
      </c>
      <c r="D1556" t="inlineStr">
        <is>
          <t>VÄRMLANDS LÄN</t>
        </is>
      </c>
      <c r="E1556" t="inlineStr">
        <is>
          <t>TORSBY</t>
        </is>
      </c>
      <c r="F1556" t="inlineStr">
        <is>
          <t>Bergvik skog väst AB</t>
        </is>
      </c>
      <c r="G1556" t="n">
        <v>18.9</v>
      </c>
      <c r="H1556" t="n">
        <v>0</v>
      </c>
      <c r="I1556" t="n">
        <v>0</v>
      </c>
      <c r="J1556" t="n">
        <v>0</v>
      </c>
      <c r="K1556" t="n">
        <v>0</v>
      </c>
      <c r="L1556" t="n">
        <v>0</v>
      </c>
      <c r="M1556" t="n">
        <v>0</v>
      </c>
      <c r="N1556" t="n">
        <v>0</v>
      </c>
      <c r="O1556" t="n">
        <v>0</v>
      </c>
      <c r="P1556" t="n">
        <v>0</v>
      </c>
      <c r="Q1556" t="n">
        <v>0</v>
      </c>
      <c r="R1556" s="2" t="inlineStr"/>
    </row>
    <row r="1557" ht="15" customHeight="1">
      <c r="A1557" t="inlineStr">
        <is>
          <t>A 3667-2023</t>
        </is>
      </c>
      <c r="B1557" s="1" t="n">
        <v>44950</v>
      </c>
      <c r="C1557" s="1" t="n">
        <v>46089</v>
      </c>
      <c r="D1557" t="inlineStr">
        <is>
          <t>VÄRMLANDS LÄN</t>
        </is>
      </c>
      <c r="E1557" t="inlineStr">
        <is>
          <t>TORSBY</t>
        </is>
      </c>
      <c r="G1557" t="n">
        <v>21.2</v>
      </c>
      <c r="H1557" t="n">
        <v>0</v>
      </c>
      <c r="I1557" t="n">
        <v>0</v>
      </c>
      <c r="J1557" t="n">
        <v>0</v>
      </c>
      <c r="K1557" t="n">
        <v>0</v>
      </c>
      <c r="L1557" t="n">
        <v>0</v>
      </c>
      <c r="M1557" t="n">
        <v>0</v>
      </c>
      <c r="N1557" t="n">
        <v>0</v>
      </c>
      <c r="O1557" t="n">
        <v>0</v>
      </c>
      <c r="P1557" t="n">
        <v>0</v>
      </c>
      <c r="Q1557" t="n">
        <v>0</v>
      </c>
      <c r="R1557" s="2" t="inlineStr"/>
    </row>
    <row r="1558" ht="15" customHeight="1">
      <c r="A1558" t="inlineStr">
        <is>
          <t>A 2279-2026</t>
        </is>
      </c>
      <c r="B1558" s="1" t="n">
        <v>46036.57755787037</v>
      </c>
      <c r="C1558" s="1" t="n">
        <v>46089</v>
      </c>
      <c r="D1558" t="inlineStr">
        <is>
          <t>VÄRMLANDS LÄN</t>
        </is>
      </c>
      <c r="E1558" t="inlineStr">
        <is>
          <t>TORSBY</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58903-2025</t>
        </is>
      </c>
      <c r="B1559" s="1" t="n">
        <v>45987.50533564815</v>
      </c>
      <c r="C1559" s="1" t="n">
        <v>46089</v>
      </c>
      <c r="D1559" t="inlineStr">
        <is>
          <t>VÄRMLANDS LÄN</t>
        </is>
      </c>
      <c r="E1559" t="inlineStr">
        <is>
          <t>TORSBY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58897-2025</t>
        </is>
      </c>
      <c r="B1560" s="1" t="n">
        <v>45987.49574074074</v>
      </c>
      <c r="C1560" s="1" t="n">
        <v>46089</v>
      </c>
      <c r="D1560" t="inlineStr">
        <is>
          <t>VÄRMLANDS LÄN</t>
        </is>
      </c>
      <c r="E1560" t="inlineStr">
        <is>
          <t>TORSBY</t>
        </is>
      </c>
      <c r="F1560" t="inlineStr">
        <is>
          <t>Bergvik skog väst AB</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58899-2025</t>
        </is>
      </c>
      <c r="B1561" s="1" t="n">
        <v>45987.500625</v>
      </c>
      <c r="C1561" s="1" t="n">
        <v>46089</v>
      </c>
      <c r="D1561" t="inlineStr">
        <is>
          <t>VÄRMLANDS LÄN</t>
        </is>
      </c>
      <c r="E1561" t="inlineStr">
        <is>
          <t>TORSBY</t>
        </is>
      </c>
      <c r="F1561" t="inlineStr">
        <is>
          <t>Bergvik skog väst AB</t>
        </is>
      </c>
      <c r="G1561" t="n">
        <v>18.9</v>
      </c>
      <c r="H1561" t="n">
        <v>0</v>
      </c>
      <c r="I1561" t="n">
        <v>0</v>
      </c>
      <c r="J1561" t="n">
        <v>0</v>
      </c>
      <c r="K1561" t="n">
        <v>0</v>
      </c>
      <c r="L1561" t="n">
        <v>0</v>
      </c>
      <c r="M1561" t="n">
        <v>0</v>
      </c>
      <c r="N1561" t="n">
        <v>0</v>
      </c>
      <c r="O1561" t="n">
        <v>0</v>
      </c>
      <c r="P1561" t="n">
        <v>0</v>
      </c>
      <c r="Q1561" t="n">
        <v>0</v>
      </c>
      <c r="R1561" s="2" t="inlineStr"/>
    </row>
    <row r="1562" ht="15" customHeight="1">
      <c r="A1562" t="inlineStr">
        <is>
          <t>A 11872-2025</t>
        </is>
      </c>
      <c r="B1562" s="1" t="n">
        <v>45728.43021990741</v>
      </c>
      <c r="C1562" s="1" t="n">
        <v>46089</v>
      </c>
      <c r="D1562" t="inlineStr">
        <is>
          <t>VÄRMLANDS LÄN</t>
        </is>
      </c>
      <c r="E1562" t="inlineStr">
        <is>
          <t>TORSBY</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9203-2024</t>
        </is>
      </c>
      <c r="B1563" s="1" t="n">
        <v>45358</v>
      </c>
      <c r="C1563" s="1" t="n">
        <v>46089</v>
      </c>
      <c r="D1563" t="inlineStr">
        <is>
          <t>VÄRMLANDS LÄN</t>
        </is>
      </c>
      <c r="E1563" t="inlineStr">
        <is>
          <t>TORSBY</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58901-2025</t>
        </is>
      </c>
      <c r="B1564" s="1" t="n">
        <v>45987.50243055556</v>
      </c>
      <c r="C1564" s="1" t="n">
        <v>46089</v>
      </c>
      <c r="D1564" t="inlineStr">
        <is>
          <t>VÄRMLANDS LÄN</t>
        </is>
      </c>
      <c r="E1564" t="inlineStr">
        <is>
          <t>TORSBY</t>
        </is>
      </c>
      <c r="F1564" t="inlineStr">
        <is>
          <t>Bergvik skog väst AB</t>
        </is>
      </c>
      <c r="G1564" t="n">
        <v>25.3</v>
      </c>
      <c r="H1564" t="n">
        <v>0</v>
      </c>
      <c r="I1564" t="n">
        <v>0</v>
      </c>
      <c r="J1564" t="n">
        <v>0</v>
      </c>
      <c r="K1564" t="n">
        <v>0</v>
      </c>
      <c r="L1564" t="n">
        <v>0</v>
      </c>
      <c r="M1564" t="n">
        <v>0</v>
      </c>
      <c r="N1564" t="n">
        <v>0</v>
      </c>
      <c r="O1564" t="n">
        <v>0</v>
      </c>
      <c r="P1564" t="n">
        <v>0</v>
      </c>
      <c r="Q1564" t="n">
        <v>0</v>
      </c>
      <c r="R1564" s="2" t="inlineStr"/>
    </row>
    <row r="1565" ht="15" customHeight="1">
      <c r="A1565" t="inlineStr">
        <is>
          <t>A 27090-2024</t>
        </is>
      </c>
      <c r="B1565" s="1" t="n">
        <v>45471</v>
      </c>
      <c r="C1565" s="1" t="n">
        <v>46089</v>
      </c>
      <c r="D1565" t="inlineStr">
        <is>
          <t>VÄRMLANDS LÄN</t>
        </is>
      </c>
      <c r="E1565" t="inlineStr">
        <is>
          <t>TORSBY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58538-2025</t>
        </is>
      </c>
      <c r="B1566" s="1" t="n">
        <v>45985.89356481482</v>
      </c>
      <c r="C1566" s="1" t="n">
        <v>46089</v>
      </c>
      <c r="D1566" t="inlineStr">
        <is>
          <t>VÄRMLANDS LÄN</t>
        </is>
      </c>
      <c r="E1566" t="inlineStr">
        <is>
          <t>TORSBY</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58864-2025</t>
        </is>
      </c>
      <c r="B1567" s="1" t="n">
        <v>45987.44736111111</v>
      </c>
      <c r="C1567" s="1" t="n">
        <v>46089</v>
      </c>
      <c r="D1567" t="inlineStr">
        <is>
          <t>VÄRMLANDS LÄN</t>
        </is>
      </c>
      <c r="E1567" t="inlineStr">
        <is>
          <t>TORSBY</t>
        </is>
      </c>
      <c r="F1567" t="inlineStr">
        <is>
          <t>Kyrkan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2687-2026</t>
        </is>
      </c>
      <c r="B1568" s="1" t="n">
        <v>46037</v>
      </c>
      <c r="C1568" s="1" t="n">
        <v>46089</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53748-2024</t>
        </is>
      </c>
      <c r="B1569" s="1" t="n">
        <v>45615.48322916667</v>
      </c>
      <c r="C1569" s="1" t="n">
        <v>46089</v>
      </c>
      <c r="D1569" t="inlineStr">
        <is>
          <t>VÄRMLANDS LÄN</t>
        </is>
      </c>
      <c r="E1569" t="inlineStr">
        <is>
          <t>TORSBY</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53358-2024</t>
        </is>
      </c>
      <c r="B1570" s="1" t="n">
        <v>45614</v>
      </c>
      <c r="C1570" s="1" t="n">
        <v>46089</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59030-2025</t>
        </is>
      </c>
      <c r="B1571" s="1" t="n">
        <v>45988</v>
      </c>
      <c r="C1571" s="1" t="n">
        <v>46089</v>
      </c>
      <c r="D1571" t="inlineStr">
        <is>
          <t>VÄRMLANDS LÄN</t>
        </is>
      </c>
      <c r="E1571" t="inlineStr">
        <is>
          <t>TORSBY</t>
        </is>
      </c>
      <c r="F1571" t="inlineStr">
        <is>
          <t>Kyrkan</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59536-2025</t>
        </is>
      </c>
      <c r="B1572" s="1" t="n">
        <v>45989</v>
      </c>
      <c r="C1572" s="1" t="n">
        <v>46089</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56299-2025</t>
        </is>
      </c>
      <c r="B1573" s="1" t="n">
        <v>45974</v>
      </c>
      <c r="C1573" s="1" t="n">
        <v>46089</v>
      </c>
      <c r="D1573" t="inlineStr">
        <is>
          <t>VÄRMLANDS LÄN</t>
        </is>
      </c>
      <c r="E1573" t="inlineStr">
        <is>
          <t>TORSBY</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44423-2024</t>
        </is>
      </c>
      <c r="B1574" s="1" t="n">
        <v>45573</v>
      </c>
      <c r="C1574" s="1" t="n">
        <v>46089</v>
      </c>
      <c r="D1574" t="inlineStr">
        <is>
          <t>VÄRMLANDS LÄN</t>
        </is>
      </c>
      <c r="E1574" t="inlineStr">
        <is>
          <t>TORSBY</t>
        </is>
      </c>
      <c r="G1574" t="n">
        <v>34.1</v>
      </c>
      <c r="H1574" t="n">
        <v>0</v>
      </c>
      <c r="I1574" t="n">
        <v>0</v>
      </c>
      <c r="J1574" t="n">
        <v>0</v>
      </c>
      <c r="K1574" t="n">
        <v>0</v>
      </c>
      <c r="L1574" t="n">
        <v>0</v>
      </c>
      <c r="M1574" t="n">
        <v>0</v>
      </c>
      <c r="N1574" t="n">
        <v>0</v>
      </c>
      <c r="O1574" t="n">
        <v>0</v>
      </c>
      <c r="P1574" t="n">
        <v>0</v>
      </c>
      <c r="Q1574" t="n">
        <v>0</v>
      </c>
      <c r="R1574" s="2" t="inlineStr"/>
    </row>
    <row r="1575" ht="15" customHeight="1">
      <c r="A1575" t="inlineStr">
        <is>
          <t>A 25579-2023</t>
        </is>
      </c>
      <c r="B1575" s="1" t="n">
        <v>45089.62266203704</v>
      </c>
      <c r="C1575" s="1" t="n">
        <v>46089</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7283-2023</t>
        </is>
      </c>
      <c r="B1576" s="1" t="n">
        <v>44970</v>
      </c>
      <c r="C1576" s="1" t="n">
        <v>46089</v>
      </c>
      <c r="D1576" t="inlineStr">
        <is>
          <t>VÄRMLANDS LÄN</t>
        </is>
      </c>
      <c r="E1576" t="inlineStr">
        <is>
          <t>TORSBY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54532-2023</t>
        </is>
      </c>
      <c r="B1577" s="1" t="n">
        <v>45233</v>
      </c>
      <c r="C1577" s="1" t="n">
        <v>46089</v>
      </c>
      <c r="D1577" t="inlineStr">
        <is>
          <t>VÄRMLANDS LÄN</t>
        </is>
      </c>
      <c r="E1577" t="inlineStr">
        <is>
          <t>TORSBY</t>
        </is>
      </c>
      <c r="F1577" t="inlineStr">
        <is>
          <t>Bergvik skog väst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59744-2025</t>
        </is>
      </c>
      <c r="B1578" s="1" t="n">
        <v>45992</v>
      </c>
      <c r="C1578" s="1" t="n">
        <v>46089</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59685-2025</t>
        </is>
      </c>
      <c r="B1579" s="1" t="n">
        <v>45992.47407407407</v>
      </c>
      <c r="C1579" s="1" t="n">
        <v>46089</v>
      </c>
      <c r="D1579" t="inlineStr">
        <is>
          <t>VÄRMLANDS LÄN</t>
        </is>
      </c>
      <c r="E1579" t="inlineStr">
        <is>
          <t>TORSBY</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59729-2025</t>
        </is>
      </c>
      <c r="B1580" s="1" t="n">
        <v>45992</v>
      </c>
      <c r="C1580" s="1" t="n">
        <v>46089</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15899-2024</t>
        </is>
      </c>
      <c r="B1581" s="1" t="n">
        <v>45405.4034837963</v>
      </c>
      <c r="C1581" s="1" t="n">
        <v>46089</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13586-2023</t>
        </is>
      </c>
      <c r="B1582" s="1" t="n">
        <v>45006</v>
      </c>
      <c r="C1582" s="1" t="n">
        <v>46089</v>
      </c>
      <c r="D1582" t="inlineStr">
        <is>
          <t>VÄRMLANDS LÄN</t>
        </is>
      </c>
      <c r="E1582" t="inlineStr">
        <is>
          <t>TORSBY</t>
        </is>
      </c>
      <c r="F1582" t="inlineStr">
        <is>
          <t>Kommuner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62510-2023</t>
        </is>
      </c>
      <c r="B1583" s="1" t="n">
        <v>45268.61853009259</v>
      </c>
      <c r="C1583" s="1" t="n">
        <v>46089</v>
      </c>
      <c r="D1583" t="inlineStr">
        <is>
          <t>VÄRMLANDS LÄN</t>
        </is>
      </c>
      <c r="E1583" t="inlineStr">
        <is>
          <t>TORSBY</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15083-2024</t>
        </is>
      </c>
      <c r="B1584" s="1" t="n">
        <v>45399.63163194444</v>
      </c>
      <c r="C1584" s="1" t="n">
        <v>46089</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59864-2025</t>
        </is>
      </c>
      <c r="B1585" s="1" t="n">
        <v>45992.83108796296</v>
      </c>
      <c r="C1585" s="1" t="n">
        <v>46089</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59913-2025</t>
        </is>
      </c>
      <c r="B1586" s="1" t="n">
        <v>45993.36527777778</v>
      </c>
      <c r="C1586" s="1" t="n">
        <v>46089</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41022-2023</t>
        </is>
      </c>
      <c r="B1587" s="1" t="n">
        <v>45173</v>
      </c>
      <c r="C1587" s="1" t="n">
        <v>46089</v>
      </c>
      <c r="D1587" t="inlineStr">
        <is>
          <t>VÄRMLANDS LÄN</t>
        </is>
      </c>
      <c r="E1587" t="inlineStr">
        <is>
          <t>TORSBY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27115-2024</t>
        </is>
      </c>
      <c r="B1588" s="1" t="n">
        <v>45471</v>
      </c>
      <c r="C1588" s="1" t="n">
        <v>46089</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2510-2026</t>
        </is>
      </c>
      <c r="B1589" s="1" t="n">
        <v>46037</v>
      </c>
      <c r="C1589" s="1" t="n">
        <v>46089</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54609-2024</t>
        </is>
      </c>
      <c r="B1590" s="1" t="n">
        <v>45617</v>
      </c>
      <c r="C1590" s="1" t="n">
        <v>46089</v>
      </c>
      <c r="D1590" t="inlineStr">
        <is>
          <t>VÄRMLANDS LÄN</t>
        </is>
      </c>
      <c r="E1590" t="inlineStr">
        <is>
          <t>TORSBY</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60479-2025</t>
        </is>
      </c>
      <c r="B1591" s="1" t="n">
        <v>45995.59563657407</v>
      </c>
      <c r="C1591" s="1" t="n">
        <v>46089</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60485-2025</t>
        </is>
      </c>
      <c r="B1592" s="1" t="n">
        <v>45995.59924768518</v>
      </c>
      <c r="C1592" s="1" t="n">
        <v>46089</v>
      </c>
      <c r="D1592" t="inlineStr">
        <is>
          <t>VÄRMLANDS LÄN</t>
        </is>
      </c>
      <c r="E1592" t="inlineStr">
        <is>
          <t>TORSBY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3211-2026</t>
        </is>
      </c>
      <c r="B1593" s="1" t="n">
        <v>46041</v>
      </c>
      <c r="C1593" s="1" t="n">
        <v>46089</v>
      </c>
      <c r="D1593" t="inlineStr">
        <is>
          <t>VÄRMLANDS LÄN</t>
        </is>
      </c>
      <c r="E1593" t="inlineStr">
        <is>
          <t>TORSBY</t>
        </is>
      </c>
      <c r="F1593" t="inlineStr">
        <is>
          <t>Bergvik skog väst AB</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67933-2021</t>
        </is>
      </c>
      <c r="B1594" s="1" t="n">
        <v>44525</v>
      </c>
      <c r="C1594" s="1" t="n">
        <v>46089</v>
      </c>
      <c r="D1594" t="inlineStr">
        <is>
          <t>VÄRMLANDS LÄN</t>
        </is>
      </c>
      <c r="E1594" t="inlineStr">
        <is>
          <t>TORSBY</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34164-2024</t>
        </is>
      </c>
      <c r="B1595" s="1" t="n">
        <v>45524.41924768518</v>
      </c>
      <c r="C1595" s="1" t="n">
        <v>46089</v>
      </c>
      <c r="D1595" t="inlineStr">
        <is>
          <t>VÄRMLANDS LÄN</t>
        </is>
      </c>
      <c r="E1595" t="inlineStr">
        <is>
          <t>TORSBY</t>
        </is>
      </c>
      <c r="F1595" t="inlineStr">
        <is>
          <t>Bergvik skog väst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4219-2024</t>
        </is>
      </c>
      <c r="B1596" s="1" t="n">
        <v>45324</v>
      </c>
      <c r="C1596" s="1" t="n">
        <v>46089</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60189-2025</t>
        </is>
      </c>
      <c r="B1597" s="1" t="n">
        <v>45994</v>
      </c>
      <c r="C1597" s="1" t="n">
        <v>46089</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13262-2024</t>
        </is>
      </c>
      <c r="B1598" s="1" t="n">
        <v>45386.59236111111</v>
      </c>
      <c r="C1598" s="1" t="n">
        <v>46089</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3223-2025</t>
        </is>
      </c>
      <c r="B1599" s="1" t="n">
        <v>45679</v>
      </c>
      <c r="C1599" s="1" t="n">
        <v>46089</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3226-2025</t>
        </is>
      </c>
      <c r="B1600" s="1" t="n">
        <v>45679.48003472222</v>
      </c>
      <c r="C1600" s="1" t="n">
        <v>46089</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60133-2023</t>
        </is>
      </c>
      <c r="B1601" s="1" t="n">
        <v>45258</v>
      </c>
      <c r="C1601" s="1" t="n">
        <v>46089</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7133-2023</t>
        </is>
      </c>
      <c r="B1602" s="1" t="n">
        <v>44970.43622685185</v>
      </c>
      <c r="C1602" s="1" t="n">
        <v>46089</v>
      </c>
      <c r="D1602" t="inlineStr">
        <is>
          <t>VÄRMLANDS LÄN</t>
        </is>
      </c>
      <c r="E1602" t="inlineStr">
        <is>
          <t>TORSBY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60392-2025</t>
        </is>
      </c>
      <c r="B1603" s="1" t="n">
        <v>45995.38917824074</v>
      </c>
      <c r="C1603" s="1" t="n">
        <v>46089</v>
      </c>
      <c r="D1603" t="inlineStr">
        <is>
          <t>VÄRMLANDS LÄN</t>
        </is>
      </c>
      <c r="E1603" t="inlineStr">
        <is>
          <t>TORSBY</t>
        </is>
      </c>
      <c r="F1603" t="inlineStr">
        <is>
          <t>Bergvik skog väst AB</t>
        </is>
      </c>
      <c r="G1603" t="n">
        <v>32.3</v>
      </c>
      <c r="H1603" t="n">
        <v>0</v>
      </c>
      <c r="I1603" t="n">
        <v>0</v>
      </c>
      <c r="J1603" t="n">
        <v>0</v>
      </c>
      <c r="K1603" t="n">
        <v>0</v>
      </c>
      <c r="L1603" t="n">
        <v>0</v>
      </c>
      <c r="M1603" t="n">
        <v>0</v>
      </c>
      <c r="N1603" t="n">
        <v>0</v>
      </c>
      <c r="O1603" t="n">
        <v>0</v>
      </c>
      <c r="P1603" t="n">
        <v>0</v>
      </c>
      <c r="Q1603" t="n">
        <v>0</v>
      </c>
      <c r="R1603" s="2" t="inlineStr"/>
    </row>
    <row r="1604" ht="15" customHeight="1">
      <c r="A1604" t="inlineStr">
        <is>
          <t>A 60459-2025</t>
        </is>
      </c>
      <c r="B1604" s="1" t="n">
        <v>45995.54590277778</v>
      </c>
      <c r="C1604" s="1" t="n">
        <v>46089</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60411-2025</t>
        </is>
      </c>
      <c r="B1605" s="1" t="n">
        <v>45995</v>
      </c>
      <c r="C1605" s="1" t="n">
        <v>46089</v>
      </c>
      <c r="D1605" t="inlineStr">
        <is>
          <t>VÄRMLANDS LÄN</t>
        </is>
      </c>
      <c r="E1605" t="inlineStr">
        <is>
          <t>TORSBY</t>
        </is>
      </c>
      <c r="F1605" t="inlineStr">
        <is>
          <t>Bergvik skog väst AB</t>
        </is>
      </c>
      <c r="G1605" t="n">
        <v>10.5</v>
      </c>
      <c r="H1605" t="n">
        <v>0</v>
      </c>
      <c r="I1605" t="n">
        <v>0</v>
      </c>
      <c r="J1605" t="n">
        <v>0</v>
      </c>
      <c r="K1605" t="n">
        <v>0</v>
      </c>
      <c r="L1605" t="n">
        <v>0</v>
      </c>
      <c r="M1605" t="n">
        <v>0</v>
      </c>
      <c r="N1605" t="n">
        <v>0</v>
      </c>
      <c r="O1605" t="n">
        <v>0</v>
      </c>
      <c r="P1605" t="n">
        <v>0</v>
      </c>
      <c r="Q1605" t="n">
        <v>0</v>
      </c>
      <c r="R1605" s="2" t="inlineStr"/>
    </row>
    <row r="1606" ht="15" customHeight="1">
      <c r="A1606" t="inlineStr">
        <is>
          <t>A 60414-2025</t>
        </is>
      </c>
      <c r="B1606" s="1" t="n">
        <v>45995</v>
      </c>
      <c r="C1606" s="1" t="n">
        <v>46089</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60486-2025</t>
        </is>
      </c>
      <c r="B1607" s="1" t="n">
        <v>45995.60109953704</v>
      </c>
      <c r="C1607" s="1" t="n">
        <v>46089</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57393-2022</t>
        </is>
      </c>
      <c r="B1608" s="1" t="n">
        <v>44896.47630787037</v>
      </c>
      <c r="C1608" s="1" t="n">
        <v>46089</v>
      </c>
      <c r="D1608" t="inlineStr">
        <is>
          <t>VÄRMLANDS LÄN</t>
        </is>
      </c>
      <c r="E1608" t="inlineStr">
        <is>
          <t>TORSBY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60461-2025</t>
        </is>
      </c>
      <c r="B1609" s="1" t="n">
        <v>45995.54976851852</v>
      </c>
      <c r="C1609" s="1" t="n">
        <v>46089</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62258-2023</t>
        </is>
      </c>
      <c r="B1610" s="1" t="n">
        <v>45266</v>
      </c>
      <c r="C1610" s="1" t="n">
        <v>46089</v>
      </c>
      <c r="D1610" t="inlineStr">
        <is>
          <t>VÄRMLANDS LÄN</t>
        </is>
      </c>
      <c r="E1610" t="inlineStr">
        <is>
          <t>TORSBY</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7362-2026</t>
        </is>
      </c>
      <c r="B1611" s="1" t="n">
        <v>46059.3088425926</v>
      </c>
      <c r="C1611" s="1" t="n">
        <v>46089</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2960-2026</t>
        </is>
      </c>
      <c r="B1612" s="1" t="n">
        <v>46038</v>
      </c>
      <c r="C1612" s="1" t="n">
        <v>46089</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19743-2025</t>
        </is>
      </c>
      <c r="B1613" s="1" t="n">
        <v>45771.37554398148</v>
      </c>
      <c r="C1613" s="1" t="n">
        <v>46089</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15022-2025</t>
        </is>
      </c>
      <c r="B1614" s="1" t="n">
        <v>45743</v>
      </c>
      <c r="C1614" s="1" t="n">
        <v>46089</v>
      </c>
      <c r="D1614" t="inlineStr">
        <is>
          <t>VÄRMLANDS LÄN</t>
        </is>
      </c>
      <c r="E1614" t="inlineStr">
        <is>
          <t>TORSBY</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11364-2023</t>
        </is>
      </c>
      <c r="B1615" s="1" t="n">
        <v>44993.43150462963</v>
      </c>
      <c r="C1615" s="1" t="n">
        <v>46089</v>
      </c>
      <c r="D1615" t="inlineStr">
        <is>
          <t>VÄRMLANDS LÄN</t>
        </is>
      </c>
      <c r="E1615" t="inlineStr">
        <is>
          <t>TORSBY</t>
        </is>
      </c>
      <c r="G1615" t="n">
        <v>31.9</v>
      </c>
      <c r="H1615" t="n">
        <v>0</v>
      </c>
      <c r="I1615" t="n">
        <v>0</v>
      </c>
      <c r="J1615" t="n">
        <v>0</v>
      </c>
      <c r="K1615" t="n">
        <v>0</v>
      </c>
      <c r="L1615" t="n">
        <v>0</v>
      </c>
      <c r="M1615" t="n">
        <v>0</v>
      </c>
      <c r="N1615" t="n">
        <v>0</v>
      </c>
      <c r="O1615" t="n">
        <v>0</v>
      </c>
      <c r="P1615" t="n">
        <v>0</v>
      </c>
      <c r="Q1615" t="n">
        <v>0</v>
      </c>
      <c r="R1615" s="2" t="inlineStr"/>
    </row>
    <row r="1616" ht="15" customHeight="1">
      <c r="A1616" t="inlineStr">
        <is>
          <t>A 46503-2024</t>
        </is>
      </c>
      <c r="B1616" s="1" t="n">
        <v>45582</v>
      </c>
      <c r="C1616" s="1" t="n">
        <v>46089</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60593-2025</t>
        </is>
      </c>
      <c r="B1617" s="1" t="n">
        <v>45996.34353009259</v>
      </c>
      <c r="C1617" s="1" t="n">
        <v>46089</v>
      </c>
      <c r="D1617" t="inlineStr">
        <is>
          <t>VÄRMLANDS LÄN</t>
        </is>
      </c>
      <c r="E1617" t="inlineStr">
        <is>
          <t>TORSBY</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2856-2026</t>
        </is>
      </c>
      <c r="B1618" s="1" t="n">
        <v>46038.48686342593</v>
      </c>
      <c r="C1618" s="1" t="n">
        <v>46089</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2768-2026</t>
        </is>
      </c>
      <c r="B1619" s="1" t="n">
        <v>46038</v>
      </c>
      <c r="C1619" s="1" t="n">
        <v>46089</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14369-2025</t>
        </is>
      </c>
      <c r="B1620" s="1" t="n">
        <v>45741</v>
      </c>
      <c r="C1620" s="1" t="n">
        <v>46089</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54822-2023</t>
        </is>
      </c>
      <c r="B1621" s="1" t="n">
        <v>45229</v>
      </c>
      <c r="C1621" s="1" t="n">
        <v>46089</v>
      </c>
      <c r="D1621" t="inlineStr">
        <is>
          <t>VÄRMLANDS LÄN</t>
        </is>
      </c>
      <c r="E1621" t="inlineStr">
        <is>
          <t>TORSBY</t>
        </is>
      </c>
      <c r="F1621" t="inlineStr">
        <is>
          <t>Övriga Aktiebolag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60592-2025</t>
        </is>
      </c>
      <c r="B1622" s="1" t="n">
        <v>45996</v>
      </c>
      <c r="C1622" s="1" t="n">
        <v>46089</v>
      </c>
      <c r="D1622" t="inlineStr">
        <is>
          <t>VÄRMLANDS LÄN</t>
        </is>
      </c>
      <c r="E1622" t="inlineStr">
        <is>
          <t>TORSBY</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36775-2024</t>
        </is>
      </c>
      <c r="B1623" s="1" t="n">
        <v>45538</v>
      </c>
      <c r="C1623" s="1" t="n">
        <v>46089</v>
      </c>
      <c r="D1623" t="inlineStr">
        <is>
          <t>VÄRMLANDS LÄN</t>
        </is>
      </c>
      <c r="E1623" t="inlineStr">
        <is>
          <t>TORSBY</t>
        </is>
      </c>
      <c r="F1623" t="inlineStr">
        <is>
          <t>Kyrkan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61497-2025</t>
        </is>
      </c>
      <c r="B1624" s="1" t="n">
        <v>46001</v>
      </c>
      <c r="C1624" s="1" t="n">
        <v>46089</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2845-2026</t>
        </is>
      </c>
      <c r="B1625" s="1" t="n">
        <v>46038.47104166666</v>
      </c>
      <c r="C1625" s="1" t="n">
        <v>46089</v>
      </c>
      <c r="D1625" t="inlineStr">
        <is>
          <t>VÄRMLANDS LÄN</t>
        </is>
      </c>
      <c r="E1625" t="inlineStr">
        <is>
          <t>TORSBY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14730-2024</t>
        </is>
      </c>
      <c r="B1626" s="1" t="n">
        <v>45397.58518518518</v>
      </c>
      <c r="C1626" s="1" t="n">
        <v>46089</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36758-2024</t>
        </is>
      </c>
      <c r="B1627" s="1" t="n">
        <v>45538.35525462963</v>
      </c>
      <c r="C1627" s="1" t="n">
        <v>46089</v>
      </c>
      <c r="D1627" t="inlineStr">
        <is>
          <t>VÄRMLANDS LÄN</t>
        </is>
      </c>
      <c r="E1627" t="inlineStr">
        <is>
          <t>TORSBY</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61531-2025</t>
        </is>
      </c>
      <c r="B1628" s="1" t="n">
        <v>46001</v>
      </c>
      <c r="C1628" s="1" t="n">
        <v>46089</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2390-2025</t>
        </is>
      </c>
      <c r="B1629" s="1" t="n">
        <v>45674.32071759259</v>
      </c>
      <c r="C1629" s="1" t="n">
        <v>46089</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60346-2025</t>
        </is>
      </c>
      <c r="B1630" s="1" t="n">
        <v>45995</v>
      </c>
      <c r="C1630" s="1" t="n">
        <v>46089</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14613-2025</t>
        </is>
      </c>
      <c r="B1631" s="1" t="n">
        <v>45742.39615740741</v>
      </c>
      <c r="C1631" s="1" t="n">
        <v>46089</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2865-2026</t>
        </is>
      </c>
      <c r="B1632" s="1" t="n">
        <v>46038.49953703704</v>
      </c>
      <c r="C1632" s="1" t="n">
        <v>46089</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37279-2022</t>
        </is>
      </c>
      <c r="B1633" s="1" t="n">
        <v>44807</v>
      </c>
      <c r="C1633" s="1" t="n">
        <v>46089</v>
      </c>
      <c r="D1633" t="inlineStr">
        <is>
          <t>VÄRMLANDS LÄN</t>
        </is>
      </c>
      <c r="E1633" t="inlineStr">
        <is>
          <t>TORSBY</t>
        </is>
      </c>
      <c r="G1633" t="n">
        <v>18.2</v>
      </c>
      <c r="H1633" t="n">
        <v>0</v>
      </c>
      <c r="I1633" t="n">
        <v>0</v>
      </c>
      <c r="J1633" t="n">
        <v>0</v>
      </c>
      <c r="K1633" t="n">
        <v>0</v>
      </c>
      <c r="L1633" t="n">
        <v>0</v>
      </c>
      <c r="M1633" t="n">
        <v>0</v>
      </c>
      <c r="N1633" t="n">
        <v>0</v>
      </c>
      <c r="O1633" t="n">
        <v>0</v>
      </c>
      <c r="P1633" t="n">
        <v>0</v>
      </c>
      <c r="Q1633" t="n">
        <v>0</v>
      </c>
      <c r="R1633" s="2" t="inlineStr"/>
    </row>
    <row r="1634" ht="15" customHeight="1">
      <c r="A1634" t="inlineStr">
        <is>
          <t>A 37340-2022</t>
        </is>
      </c>
      <c r="B1634" s="1" t="n">
        <v>44809</v>
      </c>
      <c r="C1634" s="1" t="n">
        <v>46089</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61361-2025</t>
        </is>
      </c>
      <c r="B1635" s="1" t="n">
        <v>46001.42508101852</v>
      </c>
      <c r="C1635" s="1" t="n">
        <v>46089</v>
      </c>
      <c r="D1635" t="inlineStr">
        <is>
          <t>VÄRMLANDS LÄN</t>
        </is>
      </c>
      <c r="E1635" t="inlineStr">
        <is>
          <t>TORSBY</t>
        </is>
      </c>
      <c r="F1635" t="inlineStr">
        <is>
          <t>Bergvik skog väst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61365-2025</t>
        </is>
      </c>
      <c r="B1636" s="1" t="n">
        <v>46001</v>
      </c>
      <c r="C1636" s="1" t="n">
        <v>46089</v>
      </c>
      <c r="D1636" t="inlineStr">
        <is>
          <t>VÄRMLANDS LÄN</t>
        </is>
      </c>
      <c r="E1636" t="inlineStr">
        <is>
          <t>TORSBY</t>
        </is>
      </c>
      <c r="F1636" t="inlineStr">
        <is>
          <t>Bergvik skog väst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2861-2026</t>
        </is>
      </c>
      <c r="B1637" s="1" t="n">
        <v>46038.49465277778</v>
      </c>
      <c r="C1637" s="1" t="n">
        <v>46089</v>
      </c>
      <c r="D1637" t="inlineStr">
        <is>
          <t>VÄRMLANDS LÄN</t>
        </is>
      </c>
      <c r="E1637" t="inlineStr">
        <is>
          <t>TORSBY</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61388-2025</t>
        </is>
      </c>
      <c r="B1638" s="1" t="n">
        <v>46001</v>
      </c>
      <c r="C1638" s="1" t="n">
        <v>46089</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61367-2025</t>
        </is>
      </c>
      <c r="B1639" s="1" t="n">
        <v>46001</v>
      </c>
      <c r="C1639" s="1" t="n">
        <v>46089</v>
      </c>
      <c r="D1639" t="inlineStr">
        <is>
          <t>VÄRMLANDS LÄN</t>
        </is>
      </c>
      <c r="E1639" t="inlineStr">
        <is>
          <t>TORSBY</t>
        </is>
      </c>
      <c r="F1639" t="inlineStr">
        <is>
          <t>Bergvik skog väst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61368-2025</t>
        </is>
      </c>
      <c r="B1640" s="1" t="n">
        <v>46001</v>
      </c>
      <c r="C1640" s="1" t="n">
        <v>46089</v>
      </c>
      <c r="D1640" t="inlineStr">
        <is>
          <t>VÄRMLANDS LÄN</t>
        </is>
      </c>
      <c r="E1640" t="inlineStr">
        <is>
          <t>TORSBY</t>
        </is>
      </c>
      <c r="F1640" t="inlineStr">
        <is>
          <t>Bergvik skog väst AB</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61463-2025</t>
        </is>
      </c>
      <c r="B1641" s="1" t="n">
        <v>46001.60186342592</v>
      </c>
      <c r="C1641" s="1" t="n">
        <v>46089</v>
      </c>
      <c r="D1641" t="inlineStr">
        <is>
          <t>VÄRMLANDS LÄN</t>
        </is>
      </c>
      <c r="E1641" t="inlineStr">
        <is>
          <t>TORSBY</t>
        </is>
      </c>
      <c r="F1641" t="inlineStr">
        <is>
          <t>Bergvik skog väst AB</t>
        </is>
      </c>
      <c r="G1641" t="n">
        <v>33.8</v>
      </c>
      <c r="H1641" t="n">
        <v>0</v>
      </c>
      <c r="I1641" t="n">
        <v>0</v>
      </c>
      <c r="J1641" t="n">
        <v>0</v>
      </c>
      <c r="K1641" t="n">
        <v>0</v>
      </c>
      <c r="L1641" t="n">
        <v>0</v>
      </c>
      <c r="M1641" t="n">
        <v>0</v>
      </c>
      <c r="N1641" t="n">
        <v>0</v>
      </c>
      <c r="O1641" t="n">
        <v>0</v>
      </c>
      <c r="P1641" t="n">
        <v>0</v>
      </c>
      <c r="Q1641" t="n">
        <v>0</v>
      </c>
      <c r="R1641" s="2" t="inlineStr"/>
    </row>
    <row r="1642" ht="15" customHeight="1">
      <c r="A1642" t="inlineStr">
        <is>
          <t>A 59236-2023</t>
        </is>
      </c>
      <c r="B1642" s="1" t="n">
        <v>45253</v>
      </c>
      <c r="C1642" s="1" t="n">
        <v>46089</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61504-2025</t>
        </is>
      </c>
      <c r="B1643" s="1" t="n">
        <v>46001</v>
      </c>
      <c r="C1643" s="1" t="n">
        <v>46089</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8022-2025</t>
        </is>
      </c>
      <c r="B1644" s="1" t="n">
        <v>45707.57733796296</v>
      </c>
      <c r="C1644" s="1" t="n">
        <v>46089</v>
      </c>
      <c r="D1644" t="inlineStr">
        <is>
          <t>VÄRMLANDS LÄN</t>
        </is>
      </c>
      <c r="E1644" t="inlineStr">
        <is>
          <t>TORSBY</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61510-2025</t>
        </is>
      </c>
      <c r="B1645" s="1" t="n">
        <v>46001</v>
      </c>
      <c r="C1645" s="1" t="n">
        <v>46089</v>
      </c>
      <c r="D1645" t="inlineStr">
        <is>
          <t>VÄRMLANDS LÄN</t>
        </is>
      </c>
      <c r="E1645" t="inlineStr">
        <is>
          <t>TORSBY</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36184-2024</t>
        </is>
      </c>
      <c r="B1646" s="1" t="n">
        <v>45534.4178125</v>
      </c>
      <c r="C1646" s="1" t="n">
        <v>46089</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2966-2026</t>
        </is>
      </c>
      <c r="B1647" s="1" t="n">
        <v>46038</v>
      </c>
      <c r="C1647" s="1" t="n">
        <v>46089</v>
      </c>
      <c r="D1647" t="inlineStr">
        <is>
          <t>VÄRMLANDS LÄN</t>
        </is>
      </c>
      <c r="E1647" t="inlineStr">
        <is>
          <t>TORSBY</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62007-2025</t>
        </is>
      </c>
      <c r="B1648" s="1" t="n">
        <v>46003</v>
      </c>
      <c r="C1648" s="1" t="n">
        <v>46089</v>
      </c>
      <c r="D1648" t="inlineStr">
        <is>
          <t>VÄRMLANDS LÄN</t>
        </is>
      </c>
      <c r="E1648" t="inlineStr">
        <is>
          <t>TORSBY</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7356-2026</t>
        </is>
      </c>
      <c r="B1649" s="1" t="n">
        <v>46059.30347222222</v>
      </c>
      <c r="C1649" s="1" t="n">
        <v>46089</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14801-2025</t>
        </is>
      </c>
      <c r="B1650" s="1" t="n">
        <v>45743</v>
      </c>
      <c r="C1650" s="1" t="n">
        <v>46089</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62010-2025</t>
        </is>
      </c>
      <c r="B1651" s="1" t="n">
        <v>46003.67737268518</v>
      </c>
      <c r="C1651" s="1" t="n">
        <v>46089</v>
      </c>
      <c r="D1651" t="inlineStr">
        <is>
          <t>VÄRMLANDS LÄN</t>
        </is>
      </c>
      <c r="E1651" t="inlineStr">
        <is>
          <t>TORSBY</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23818-2022</t>
        </is>
      </c>
      <c r="B1652" s="1" t="n">
        <v>44722</v>
      </c>
      <c r="C1652" s="1" t="n">
        <v>46089</v>
      </c>
      <c r="D1652" t="inlineStr">
        <is>
          <t>VÄRMLANDS LÄN</t>
        </is>
      </c>
      <c r="E1652" t="inlineStr">
        <is>
          <t>TORSBY</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11909-2026</t>
        </is>
      </c>
      <c r="B1653" s="1" t="n">
        <v>46085.54694444445</v>
      </c>
      <c r="C1653" s="1" t="n">
        <v>46089</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3409-2026</t>
        </is>
      </c>
      <c r="B1654" s="1" t="n">
        <v>46042</v>
      </c>
      <c r="C1654" s="1" t="n">
        <v>46089</v>
      </c>
      <c r="D1654" t="inlineStr">
        <is>
          <t>VÄRMLANDS LÄN</t>
        </is>
      </c>
      <c r="E1654" t="inlineStr">
        <is>
          <t>TORSBY</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3417-2026</t>
        </is>
      </c>
      <c r="B1655" s="1" t="n">
        <v>46042.42310185185</v>
      </c>
      <c r="C1655" s="1" t="n">
        <v>46089</v>
      </c>
      <c r="D1655" t="inlineStr">
        <is>
          <t>VÄRMLANDS LÄN</t>
        </is>
      </c>
      <c r="E1655" t="inlineStr">
        <is>
          <t>TORSBY</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3411-2026</t>
        </is>
      </c>
      <c r="B1656" s="1" t="n">
        <v>46042.41546296296</v>
      </c>
      <c r="C1656" s="1" t="n">
        <v>46089</v>
      </c>
      <c r="D1656" t="inlineStr">
        <is>
          <t>VÄRMLANDS LÄN</t>
        </is>
      </c>
      <c r="E1656" t="inlineStr">
        <is>
          <t>TORSBY</t>
        </is>
      </c>
      <c r="F1656" t="inlineStr">
        <is>
          <t>Bergvik skog väst AB</t>
        </is>
      </c>
      <c r="G1656" t="n">
        <v>22.9</v>
      </c>
      <c r="H1656" t="n">
        <v>0</v>
      </c>
      <c r="I1656" t="n">
        <v>0</v>
      </c>
      <c r="J1656" t="n">
        <v>0</v>
      </c>
      <c r="K1656" t="n">
        <v>0</v>
      </c>
      <c r="L1656" t="n">
        <v>0</v>
      </c>
      <c r="M1656" t="n">
        <v>0</v>
      </c>
      <c r="N1656" t="n">
        <v>0</v>
      </c>
      <c r="O1656" t="n">
        <v>0</v>
      </c>
      <c r="P1656" t="n">
        <v>0</v>
      </c>
      <c r="Q1656" t="n">
        <v>0</v>
      </c>
      <c r="R1656" s="2" t="inlineStr"/>
    </row>
    <row r="1657" ht="15" customHeight="1">
      <c r="A1657" t="inlineStr">
        <is>
          <t>A 3414-2026</t>
        </is>
      </c>
      <c r="B1657" s="1" t="n">
        <v>46042.41920138889</v>
      </c>
      <c r="C1657" s="1" t="n">
        <v>46089</v>
      </c>
      <c r="D1657" t="inlineStr">
        <is>
          <t>VÄRMLANDS LÄN</t>
        </is>
      </c>
      <c r="E1657" t="inlineStr">
        <is>
          <t>TORSBY</t>
        </is>
      </c>
      <c r="F1657" t="inlineStr">
        <is>
          <t>Bergvik skog väst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11901-2026</t>
        </is>
      </c>
      <c r="B1658" s="1" t="n">
        <v>46085.54050925926</v>
      </c>
      <c r="C1658" s="1" t="n">
        <v>46089</v>
      </c>
      <c r="D1658" t="inlineStr">
        <is>
          <t>VÄRMLANDS LÄN</t>
        </is>
      </c>
      <c r="E1658" t="inlineStr">
        <is>
          <t>TORSBY</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17548-2023</t>
        </is>
      </c>
      <c r="B1659" s="1" t="n">
        <v>45036</v>
      </c>
      <c r="C1659" s="1" t="n">
        <v>46089</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65134-2023</t>
        </is>
      </c>
      <c r="B1660" s="1" t="n">
        <v>45288.52010416667</v>
      </c>
      <c r="C1660" s="1" t="n">
        <v>46089</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62005-2025</t>
        </is>
      </c>
      <c r="B1661" s="1" t="n">
        <v>46003</v>
      </c>
      <c r="C1661" s="1" t="n">
        <v>46089</v>
      </c>
      <c r="D1661" t="inlineStr">
        <is>
          <t>VÄRMLANDS LÄN</t>
        </is>
      </c>
      <c r="E1661" t="inlineStr">
        <is>
          <t>TORSBY</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3884-2026</t>
        </is>
      </c>
      <c r="B1662" s="1" t="n">
        <v>46043</v>
      </c>
      <c r="C1662" s="1" t="n">
        <v>46089</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40573-2024</t>
        </is>
      </c>
      <c r="B1663" s="1" t="n">
        <v>45555.69518518518</v>
      </c>
      <c r="C1663" s="1" t="n">
        <v>46089</v>
      </c>
      <c r="D1663" t="inlineStr">
        <is>
          <t>VÄRMLANDS LÄN</t>
        </is>
      </c>
      <c r="E1663" t="inlineStr">
        <is>
          <t>TORSBY</t>
        </is>
      </c>
      <c r="F1663" t="inlineStr">
        <is>
          <t>Bergvik skog väst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3680-2026</t>
        </is>
      </c>
      <c r="B1664" s="1" t="n">
        <v>46043.42990740741</v>
      </c>
      <c r="C1664" s="1" t="n">
        <v>46089</v>
      </c>
      <c r="D1664" t="inlineStr">
        <is>
          <t>VÄRMLANDS LÄN</t>
        </is>
      </c>
      <c r="E1664" t="inlineStr">
        <is>
          <t>TORSBY</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3606-2026</t>
        </is>
      </c>
      <c r="B1665" s="1" t="n">
        <v>46042.88337962963</v>
      </c>
      <c r="C1665" s="1" t="n">
        <v>46089</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502-2024</t>
        </is>
      </c>
      <c r="B1666" s="1" t="n">
        <v>45299</v>
      </c>
      <c r="C1666" s="1" t="n">
        <v>46089</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4302-2025</t>
        </is>
      </c>
      <c r="B1667" s="1" t="n">
        <v>45685.67939814815</v>
      </c>
      <c r="C1667" s="1" t="n">
        <v>46089</v>
      </c>
      <c r="D1667" t="inlineStr">
        <is>
          <t>VÄRMLANDS LÄN</t>
        </is>
      </c>
      <c r="E1667" t="inlineStr">
        <is>
          <t>TORSBY</t>
        </is>
      </c>
      <c r="F1667" t="inlineStr">
        <is>
          <t>Kommuner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62016-2025</t>
        </is>
      </c>
      <c r="B1668" s="1" t="n">
        <v>46003.68759259259</v>
      </c>
      <c r="C1668" s="1" t="n">
        <v>46089</v>
      </c>
      <c r="D1668" t="inlineStr">
        <is>
          <t>VÄRMLANDS LÄN</t>
        </is>
      </c>
      <c r="E1668" t="inlineStr">
        <is>
          <t>TORSBY</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62015-2025</t>
        </is>
      </c>
      <c r="B1669" s="1" t="n">
        <v>46003</v>
      </c>
      <c r="C1669" s="1" t="n">
        <v>46089</v>
      </c>
      <c r="D1669" t="inlineStr">
        <is>
          <t>VÄRMLANDS LÄN</t>
        </is>
      </c>
      <c r="E1669" t="inlineStr">
        <is>
          <t>TORSBY</t>
        </is>
      </c>
      <c r="F1669" t="inlineStr">
        <is>
          <t>Kommuner</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11274-2026</t>
        </is>
      </c>
      <c r="B1670" s="1" t="n">
        <v>46080</v>
      </c>
      <c r="C1670" s="1" t="n">
        <v>46089</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62401-2025</t>
        </is>
      </c>
      <c r="B1671" s="1" t="n">
        <v>46007</v>
      </c>
      <c r="C1671" s="1" t="n">
        <v>46089</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62186-2025</t>
        </is>
      </c>
      <c r="B1672" s="1" t="n">
        <v>46006</v>
      </c>
      <c r="C1672" s="1" t="n">
        <v>46089</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4703-2026</t>
        </is>
      </c>
      <c r="B1673" s="1" t="n">
        <v>46048.45079861111</v>
      </c>
      <c r="C1673" s="1" t="n">
        <v>46089</v>
      </c>
      <c r="D1673" t="inlineStr">
        <is>
          <t>VÄRMLANDS LÄN</t>
        </is>
      </c>
      <c r="E1673" t="inlineStr">
        <is>
          <t>TORSBY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2797-2025</t>
        </is>
      </c>
      <c r="B1674" s="1" t="n">
        <v>45677</v>
      </c>
      <c r="C1674" s="1" t="n">
        <v>46089</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62120-2025</t>
        </is>
      </c>
      <c r="B1675" s="1" t="n">
        <v>46006.44184027778</v>
      </c>
      <c r="C1675" s="1" t="n">
        <v>46089</v>
      </c>
      <c r="D1675" t="inlineStr">
        <is>
          <t>VÄRMLANDS LÄN</t>
        </is>
      </c>
      <c r="E1675" t="inlineStr">
        <is>
          <t>TORSBY</t>
        </is>
      </c>
      <c r="F1675" t="inlineStr">
        <is>
          <t>Övriga statliga verk och myndigheter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63158-2023</t>
        </is>
      </c>
      <c r="B1676" s="1" t="n">
        <v>45273.51715277778</v>
      </c>
      <c r="C1676" s="1" t="n">
        <v>46089</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34568-2022</t>
        </is>
      </c>
      <c r="B1677" s="1" t="n">
        <v>44795.28277777778</v>
      </c>
      <c r="C1677" s="1" t="n">
        <v>46089</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3737-2026</t>
        </is>
      </c>
      <c r="B1678" s="1" t="n">
        <v>46043.52572916666</v>
      </c>
      <c r="C1678" s="1" t="n">
        <v>46089</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11722-2026</t>
        </is>
      </c>
      <c r="B1679" s="1" t="n">
        <v>46084</v>
      </c>
      <c r="C1679" s="1" t="n">
        <v>46089</v>
      </c>
      <c r="D1679" t="inlineStr">
        <is>
          <t>VÄRMLANDS LÄN</t>
        </is>
      </c>
      <c r="E1679" t="inlineStr">
        <is>
          <t>TORSBY</t>
        </is>
      </c>
      <c r="F1679" t="inlineStr">
        <is>
          <t>Bergvik skog väst AB</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11765-2026</t>
        </is>
      </c>
      <c r="B1680" s="1" t="n">
        <v>46084</v>
      </c>
      <c r="C1680" s="1" t="n">
        <v>46089</v>
      </c>
      <c r="D1680" t="inlineStr">
        <is>
          <t>VÄRMLANDS LÄN</t>
        </is>
      </c>
      <c r="E1680" t="inlineStr">
        <is>
          <t>TORSBY</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62363-2025</t>
        </is>
      </c>
      <c r="B1681" s="1" t="n">
        <v>46006</v>
      </c>
      <c r="C1681" s="1" t="n">
        <v>46089</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11583-2026</t>
        </is>
      </c>
      <c r="B1682" s="1" t="n">
        <v>46084</v>
      </c>
      <c r="C1682" s="1" t="n">
        <v>46089</v>
      </c>
      <c r="D1682" t="inlineStr">
        <is>
          <t>VÄRMLANDS LÄN</t>
        </is>
      </c>
      <c r="E1682" t="inlineStr">
        <is>
          <t>TORSBY</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3658-2026</t>
        </is>
      </c>
      <c r="B1683" s="1" t="n">
        <v>46043.38148148148</v>
      </c>
      <c r="C1683" s="1" t="n">
        <v>46089</v>
      </c>
      <c r="D1683" t="inlineStr">
        <is>
          <t>VÄRMLANDS LÄN</t>
        </is>
      </c>
      <c r="E1683" t="inlineStr">
        <is>
          <t>TORSBY</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4516-2025</t>
        </is>
      </c>
      <c r="B1684" s="1" t="n">
        <v>45686.88212962963</v>
      </c>
      <c r="C1684" s="1" t="n">
        <v>46089</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4517-2025</t>
        </is>
      </c>
      <c r="B1685" s="1" t="n">
        <v>45686</v>
      </c>
      <c r="C1685" s="1" t="n">
        <v>46089</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25537-2022</t>
        </is>
      </c>
      <c r="B1686" s="1" t="n">
        <v>44732</v>
      </c>
      <c r="C1686" s="1" t="n">
        <v>46089</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57642-2023</t>
        </is>
      </c>
      <c r="B1687" s="1" t="n">
        <v>45246.5915625</v>
      </c>
      <c r="C1687" s="1" t="n">
        <v>46089</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58013-2023</t>
        </is>
      </c>
      <c r="B1688" s="1" t="n">
        <v>45247.62346064814</v>
      </c>
      <c r="C1688" s="1" t="n">
        <v>46089</v>
      </c>
      <c r="D1688" t="inlineStr">
        <is>
          <t>VÄRMLANDS LÄN</t>
        </is>
      </c>
      <c r="E1688" t="inlineStr">
        <is>
          <t>TORSBY</t>
        </is>
      </c>
      <c r="F1688" t="inlineStr">
        <is>
          <t>Bergvik skog väst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36290-2022</t>
        </is>
      </c>
      <c r="B1689" s="1" t="n">
        <v>44803</v>
      </c>
      <c r="C1689" s="1" t="n">
        <v>46089</v>
      </c>
      <c r="D1689" t="inlineStr">
        <is>
          <t>VÄRMLANDS LÄN</t>
        </is>
      </c>
      <c r="E1689" t="inlineStr">
        <is>
          <t>TORSBY</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39075-2024</t>
        </is>
      </c>
      <c r="B1690" s="1" t="n">
        <v>45548</v>
      </c>
      <c r="C1690" s="1" t="n">
        <v>46089</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46089</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11711-2026</t>
        </is>
      </c>
      <c r="B1692" s="1" t="n">
        <v>46084</v>
      </c>
      <c r="C1692" s="1" t="n">
        <v>46089</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7745-2023</t>
        </is>
      </c>
      <c r="B1693" s="1" t="n">
        <v>44973.35336805556</v>
      </c>
      <c r="C1693" s="1" t="n">
        <v>46089</v>
      </c>
      <c r="D1693" t="inlineStr">
        <is>
          <t>VÄRMLANDS LÄN</t>
        </is>
      </c>
      <c r="E1693" t="inlineStr">
        <is>
          <t>TORSBY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5084-2026</t>
        </is>
      </c>
      <c r="B1694" s="1" t="n">
        <v>46049.54569444444</v>
      </c>
      <c r="C1694" s="1" t="n">
        <v>46089</v>
      </c>
      <c r="D1694" t="inlineStr">
        <is>
          <t>VÄRMLANDS LÄN</t>
        </is>
      </c>
      <c r="E1694" t="inlineStr">
        <is>
          <t>TORSBY</t>
        </is>
      </c>
      <c r="F1694" t="inlineStr">
        <is>
          <t>Bergvik skog väst AB</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22826-2022</t>
        </is>
      </c>
      <c r="B1695" s="1" t="n">
        <v>44714</v>
      </c>
      <c r="C1695" s="1" t="n">
        <v>46089</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34717-2024</t>
        </is>
      </c>
      <c r="B1696" s="1" t="n">
        <v>45526.56409722222</v>
      </c>
      <c r="C1696" s="1" t="n">
        <v>46089</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14304-2023</t>
        </is>
      </c>
      <c r="B1697" s="1" t="n">
        <v>45011.76541666667</v>
      </c>
      <c r="C1697" s="1" t="n">
        <v>46089</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33620-2024</t>
        </is>
      </c>
      <c r="B1698" s="1" t="n">
        <v>45520.41530092592</v>
      </c>
      <c r="C1698" s="1" t="n">
        <v>46089</v>
      </c>
      <c r="D1698" t="inlineStr">
        <is>
          <t>VÄRMLANDS LÄN</t>
        </is>
      </c>
      <c r="E1698" t="inlineStr">
        <is>
          <t>TORSBY</t>
        </is>
      </c>
      <c r="F1698" t="inlineStr">
        <is>
          <t>Bergvik skog väst AB</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11896-2026</t>
        </is>
      </c>
      <c r="B1699" s="1" t="n">
        <v>46085.53572916667</v>
      </c>
      <c r="C1699" s="1" t="n">
        <v>46089</v>
      </c>
      <c r="D1699" t="inlineStr">
        <is>
          <t>VÄRMLANDS LÄN</t>
        </is>
      </c>
      <c r="E1699" t="inlineStr">
        <is>
          <t>TORSBY</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46089</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46089</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3685-2026</t>
        </is>
      </c>
      <c r="B1702" s="1" t="n">
        <v>46043</v>
      </c>
      <c r="C1702" s="1" t="n">
        <v>46089</v>
      </c>
      <c r="D1702" t="inlineStr">
        <is>
          <t>VÄRMLANDS LÄN</t>
        </is>
      </c>
      <c r="E1702" t="inlineStr">
        <is>
          <t>TORSBY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18314-2025</t>
        </is>
      </c>
      <c r="B1703" s="1" t="n">
        <v>45762.44986111111</v>
      </c>
      <c r="C1703" s="1" t="n">
        <v>46089</v>
      </c>
      <c r="D1703" t="inlineStr">
        <is>
          <t>VÄRMLANDS LÄN</t>
        </is>
      </c>
      <c r="E1703" t="inlineStr">
        <is>
          <t>TORSBY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34961-2024</t>
        </is>
      </c>
      <c r="B1704" s="1" t="n">
        <v>45527.48923611111</v>
      </c>
      <c r="C1704" s="1" t="n">
        <v>46089</v>
      </c>
      <c r="D1704" t="inlineStr">
        <is>
          <t>VÄRMLANDS LÄN</t>
        </is>
      </c>
      <c r="E1704" t="inlineStr">
        <is>
          <t>TORSBY</t>
        </is>
      </c>
      <c r="F1704" t="inlineStr">
        <is>
          <t>Bergvik skog väst AB</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62518-2025</t>
        </is>
      </c>
      <c r="B1705" s="1" t="n">
        <v>46007</v>
      </c>
      <c r="C1705" s="1" t="n">
        <v>46089</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62538-2025</t>
        </is>
      </c>
      <c r="B1706" s="1" t="n">
        <v>46007</v>
      </c>
      <c r="C1706" s="1" t="n">
        <v>46089</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62559-2025</t>
        </is>
      </c>
      <c r="B1707" s="1" t="n">
        <v>46007</v>
      </c>
      <c r="C1707" s="1" t="n">
        <v>46089</v>
      </c>
      <c r="D1707" t="inlineStr">
        <is>
          <t>VÄRMLANDS LÄN</t>
        </is>
      </c>
      <c r="E1707" t="inlineStr">
        <is>
          <t>TORSBY</t>
        </is>
      </c>
      <c r="F1707" t="inlineStr">
        <is>
          <t>Kommuner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62366-2025</t>
        </is>
      </c>
      <c r="B1708" s="1" t="n">
        <v>46006</v>
      </c>
      <c r="C1708" s="1" t="n">
        <v>46089</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62568-2025</t>
        </is>
      </c>
      <c r="B1709" s="1" t="n">
        <v>46007</v>
      </c>
      <c r="C1709" s="1" t="n">
        <v>46089</v>
      </c>
      <c r="D1709" t="inlineStr">
        <is>
          <t>VÄRMLANDS LÄN</t>
        </is>
      </c>
      <c r="E1709" t="inlineStr">
        <is>
          <t>TORSBY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5088-2026</t>
        </is>
      </c>
      <c r="B1710" s="1" t="n">
        <v>46049.55236111111</v>
      </c>
      <c r="C1710" s="1" t="n">
        <v>46089</v>
      </c>
      <c r="D1710" t="inlineStr">
        <is>
          <t>VÄRMLANDS LÄN</t>
        </is>
      </c>
      <c r="E1710" t="inlineStr">
        <is>
          <t>TORSBY</t>
        </is>
      </c>
      <c r="F1710" t="inlineStr">
        <is>
          <t>Bergvik skog väst AB</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39746-2024</t>
        </is>
      </c>
      <c r="B1711" s="1" t="n">
        <v>45552</v>
      </c>
      <c r="C1711" s="1" t="n">
        <v>46089</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15460-2022</t>
        </is>
      </c>
      <c r="B1712" s="1" t="n">
        <v>44661</v>
      </c>
      <c r="C1712" s="1" t="n">
        <v>46089</v>
      </c>
      <c r="D1712" t="inlineStr">
        <is>
          <t>VÄRMLANDS LÄN</t>
        </is>
      </c>
      <c r="E1712" t="inlineStr">
        <is>
          <t>TORSBY</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51987-2024</t>
        </is>
      </c>
      <c r="B1713" s="1" t="n">
        <v>45607</v>
      </c>
      <c r="C1713" s="1" t="n">
        <v>46089</v>
      </c>
      <c r="D1713" t="inlineStr">
        <is>
          <t>VÄRMLANDS LÄN</t>
        </is>
      </c>
      <c r="E1713" t="inlineStr">
        <is>
          <t>TORSBY</t>
        </is>
      </c>
      <c r="G1713" t="n">
        <v>17.7</v>
      </c>
      <c r="H1713" t="n">
        <v>0</v>
      </c>
      <c r="I1713" t="n">
        <v>0</v>
      </c>
      <c r="J1713" t="n">
        <v>0</v>
      </c>
      <c r="K1713" t="n">
        <v>0</v>
      </c>
      <c r="L1713" t="n">
        <v>0</v>
      </c>
      <c r="M1713" t="n">
        <v>0</v>
      </c>
      <c r="N1713" t="n">
        <v>0</v>
      </c>
      <c r="O1713" t="n">
        <v>0</v>
      </c>
      <c r="P1713" t="n">
        <v>0</v>
      </c>
      <c r="Q1713" t="n">
        <v>0</v>
      </c>
      <c r="R1713" s="2" t="inlineStr"/>
    </row>
    <row r="1714" ht="15" customHeight="1">
      <c r="A1714" t="inlineStr">
        <is>
          <t>A 57726-2022</t>
        </is>
      </c>
      <c r="B1714" s="1" t="n">
        <v>44897.56420138889</v>
      </c>
      <c r="C1714" s="1" t="n">
        <v>46089</v>
      </c>
      <c r="D1714" t="inlineStr">
        <is>
          <t>VÄRMLANDS LÄN</t>
        </is>
      </c>
      <c r="E1714" t="inlineStr">
        <is>
          <t>TORSBY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11692-2026</t>
        </is>
      </c>
      <c r="B1715" s="1" t="n">
        <v>46084</v>
      </c>
      <c r="C1715" s="1" t="n">
        <v>46089</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5493-2026</t>
        </is>
      </c>
      <c r="B1716" s="1" t="n">
        <v>46050</v>
      </c>
      <c r="C1716" s="1" t="n">
        <v>46089</v>
      </c>
      <c r="D1716" t="inlineStr">
        <is>
          <t>VÄRMLANDS LÄN</t>
        </is>
      </c>
      <c r="E1716" t="inlineStr">
        <is>
          <t>TORSBY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4789-2026</t>
        </is>
      </c>
      <c r="B1717" s="1" t="n">
        <v>46048</v>
      </c>
      <c r="C1717" s="1" t="n">
        <v>46089</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20528-2023</t>
        </is>
      </c>
      <c r="B1718" s="1" t="n">
        <v>45057</v>
      </c>
      <c r="C1718" s="1" t="n">
        <v>46089</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63036-2025</t>
        </is>
      </c>
      <c r="B1719" s="1" t="n">
        <v>46009.61314814815</v>
      </c>
      <c r="C1719" s="1" t="n">
        <v>46089</v>
      </c>
      <c r="D1719" t="inlineStr">
        <is>
          <t>VÄRMLANDS LÄN</t>
        </is>
      </c>
      <c r="E1719" t="inlineStr">
        <is>
          <t>TORSBY</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5554-2026</t>
        </is>
      </c>
      <c r="B1720" s="1" t="n">
        <v>46050.72899305556</v>
      </c>
      <c r="C1720" s="1" t="n">
        <v>46089</v>
      </c>
      <c r="D1720" t="inlineStr">
        <is>
          <t>VÄRMLANDS LÄN</t>
        </is>
      </c>
      <c r="E1720" t="inlineStr">
        <is>
          <t>TORSBY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18876-2023</t>
        </is>
      </c>
      <c r="B1721" s="1" t="n">
        <v>45044.50101851852</v>
      </c>
      <c r="C1721" s="1" t="n">
        <v>46089</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28624-2024</t>
        </is>
      </c>
      <c r="B1722" s="1" t="n">
        <v>45478.44297453704</v>
      </c>
      <c r="C1722" s="1" t="n">
        <v>46089</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11214-2024</t>
        </is>
      </c>
      <c r="B1723" s="1" t="n">
        <v>45371</v>
      </c>
      <c r="C1723" s="1" t="n">
        <v>46089</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4988-2026</t>
        </is>
      </c>
      <c r="B1724" s="1" t="n">
        <v>46049</v>
      </c>
      <c r="C1724" s="1" t="n">
        <v>46089</v>
      </c>
      <c r="D1724" t="inlineStr">
        <is>
          <t>VÄRMLANDS LÄN</t>
        </is>
      </c>
      <c r="E1724" t="inlineStr">
        <is>
          <t>TORSBY</t>
        </is>
      </c>
      <c r="F1724" t="inlineStr">
        <is>
          <t>Bergvik skog väst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5553-2026</t>
        </is>
      </c>
      <c r="B1725" s="1" t="n">
        <v>46050.72769675926</v>
      </c>
      <c r="C1725" s="1" t="n">
        <v>46089</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5562-2026</t>
        </is>
      </c>
      <c r="B1726" s="1" t="n">
        <v>46050</v>
      </c>
      <c r="C1726" s="1" t="n">
        <v>46089</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4782-2026</t>
        </is>
      </c>
      <c r="B1727" s="1" t="n">
        <v>46048</v>
      </c>
      <c r="C1727" s="1" t="n">
        <v>46089</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63098-2025</t>
        </is>
      </c>
      <c r="B1728" s="1" t="n">
        <v>46009.69278935185</v>
      </c>
      <c r="C1728" s="1" t="n">
        <v>46089</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62629-2025</t>
        </is>
      </c>
      <c r="B1729" s="1" t="n">
        <v>46008</v>
      </c>
      <c r="C1729" s="1" t="n">
        <v>46089</v>
      </c>
      <c r="D1729" t="inlineStr">
        <is>
          <t>VÄRMLANDS LÄN</t>
        </is>
      </c>
      <c r="E1729" t="inlineStr">
        <is>
          <t>TORSBY</t>
        </is>
      </c>
      <c r="F1729" t="inlineStr">
        <is>
          <t>Bergvik skog väst AB</t>
        </is>
      </c>
      <c r="G1729" t="n">
        <v>16.2</v>
      </c>
      <c r="H1729" t="n">
        <v>0</v>
      </c>
      <c r="I1729" t="n">
        <v>0</v>
      </c>
      <c r="J1729" t="n">
        <v>0</v>
      </c>
      <c r="K1729" t="n">
        <v>0</v>
      </c>
      <c r="L1729" t="n">
        <v>0</v>
      </c>
      <c r="M1729" t="n">
        <v>0</v>
      </c>
      <c r="N1729" t="n">
        <v>0</v>
      </c>
      <c r="O1729" t="n">
        <v>0</v>
      </c>
      <c r="P1729" t="n">
        <v>0</v>
      </c>
      <c r="Q1729" t="n">
        <v>0</v>
      </c>
      <c r="R1729" s="2" t="inlineStr"/>
    </row>
    <row r="1730" ht="15" customHeight="1">
      <c r="A1730" t="inlineStr">
        <is>
          <t>A 4171-2026</t>
        </is>
      </c>
      <c r="B1730" s="1" t="n">
        <v>46044.6733912037</v>
      </c>
      <c r="C1730" s="1" t="n">
        <v>46089</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43179-2023</t>
        </is>
      </c>
      <c r="B1731" s="1" t="n">
        <v>45183.37615740741</v>
      </c>
      <c r="C1731" s="1" t="n">
        <v>46089</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16017-2025</t>
        </is>
      </c>
      <c r="B1732" s="1" t="n">
        <v>45749</v>
      </c>
      <c r="C1732" s="1" t="n">
        <v>46089</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12933-2023</t>
        </is>
      </c>
      <c r="B1733" s="1" t="n">
        <v>45001</v>
      </c>
      <c r="C1733" s="1" t="n">
        <v>46089</v>
      </c>
      <c r="D1733" t="inlineStr">
        <is>
          <t>VÄRMLANDS LÄN</t>
        </is>
      </c>
      <c r="E1733" t="inlineStr">
        <is>
          <t>TORSBY</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5720-2026</t>
        </is>
      </c>
      <c r="B1734" s="1" t="n">
        <v>46051.54165509259</v>
      </c>
      <c r="C1734" s="1" t="n">
        <v>46089</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18447-2025</t>
        </is>
      </c>
      <c r="B1735" s="1" t="n">
        <v>45762</v>
      </c>
      <c r="C1735" s="1" t="n">
        <v>46089</v>
      </c>
      <c r="D1735" t="inlineStr">
        <is>
          <t>VÄRMLANDS LÄN</t>
        </is>
      </c>
      <c r="E1735" t="inlineStr">
        <is>
          <t>TORSBY</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5714-2026</t>
        </is>
      </c>
      <c r="B1736" s="1" t="n">
        <v>46051.52498842592</v>
      </c>
      <c r="C1736" s="1" t="n">
        <v>46089</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5193-2026</t>
        </is>
      </c>
      <c r="B1737" s="1" t="n">
        <v>46049</v>
      </c>
      <c r="C1737" s="1" t="n">
        <v>46089</v>
      </c>
      <c r="D1737" t="inlineStr">
        <is>
          <t>VÄRMLANDS LÄN</t>
        </is>
      </c>
      <c r="E1737" t="inlineStr">
        <is>
          <t>TORSBY</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12271-2026</t>
        </is>
      </c>
      <c r="B1738" s="1" t="n">
        <v>46087.51574074074</v>
      </c>
      <c r="C1738" s="1" t="n">
        <v>46089</v>
      </c>
      <c r="D1738" t="inlineStr">
        <is>
          <t>VÄRMLANDS LÄN</t>
        </is>
      </c>
      <c r="E1738" t="inlineStr">
        <is>
          <t>TORSBY</t>
        </is>
      </c>
      <c r="F1738" t="inlineStr">
        <is>
          <t>Bergvik skog väst AB</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63379-2025</t>
        </is>
      </c>
      <c r="B1739" s="1" t="n">
        <v>46010.75222222223</v>
      </c>
      <c r="C1739" s="1" t="n">
        <v>46089</v>
      </c>
      <c r="D1739" t="inlineStr">
        <is>
          <t>VÄRMLANDS LÄN</t>
        </is>
      </c>
      <c r="E1739" t="inlineStr">
        <is>
          <t>TORSBY</t>
        </is>
      </c>
      <c r="F1739" t="inlineStr">
        <is>
          <t>Bergvik skog väst AB</t>
        </is>
      </c>
      <c r="G1739" t="n">
        <v>21.9</v>
      </c>
      <c r="H1739" t="n">
        <v>0</v>
      </c>
      <c r="I1739" t="n">
        <v>0</v>
      </c>
      <c r="J1739" t="n">
        <v>0</v>
      </c>
      <c r="K1739" t="n">
        <v>0</v>
      </c>
      <c r="L1739" t="n">
        <v>0</v>
      </c>
      <c r="M1739" t="n">
        <v>0</v>
      </c>
      <c r="N1739" t="n">
        <v>0</v>
      </c>
      <c r="O1739" t="n">
        <v>0</v>
      </c>
      <c r="P1739" t="n">
        <v>0</v>
      </c>
      <c r="Q1739" t="n">
        <v>0</v>
      </c>
      <c r="R1739" s="2" t="inlineStr"/>
    </row>
    <row r="1740" ht="15" customHeight="1">
      <c r="A1740" t="inlineStr">
        <is>
          <t>A 2308-2024</t>
        </is>
      </c>
      <c r="B1740" s="1" t="n">
        <v>45310</v>
      </c>
      <c r="C1740" s="1" t="n">
        <v>46089</v>
      </c>
      <c r="D1740" t="inlineStr">
        <is>
          <t>VÄRMLANDS LÄN</t>
        </is>
      </c>
      <c r="E1740" t="inlineStr">
        <is>
          <t>TORSBY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46195-2023</t>
        </is>
      </c>
      <c r="B1741" s="1" t="n">
        <v>45196</v>
      </c>
      <c r="C1741" s="1" t="n">
        <v>46089</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43943-2022</t>
        </is>
      </c>
      <c r="B1742" s="1" t="n">
        <v>44838</v>
      </c>
      <c r="C1742" s="1" t="n">
        <v>46089</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6322-2026</t>
        </is>
      </c>
      <c r="B1743" s="1" t="n">
        <v>46055.58591435185</v>
      </c>
      <c r="C1743" s="1" t="n">
        <v>46089</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24244-2023</t>
        </is>
      </c>
      <c r="B1744" s="1" t="n">
        <v>45079.61969907407</v>
      </c>
      <c r="C1744" s="1" t="n">
        <v>46089</v>
      </c>
      <c r="D1744" t="inlineStr">
        <is>
          <t>VÄRMLANDS LÄN</t>
        </is>
      </c>
      <c r="E1744" t="inlineStr">
        <is>
          <t>TORSBY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18959-2024</t>
        </is>
      </c>
      <c r="B1745" s="1" t="n">
        <v>45427.53032407408</v>
      </c>
      <c r="C1745" s="1" t="n">
        <v>46089</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10976-2026</t>
        </is>
      </c>
      <c r="B1746" s="1" t="n">
        <v>46079</v>
      </c>
      <c r="C1746" s="1" t="n">
        <v>46089</v>
      </c>
      <c r="D1746" t="inlineStr">
        <is>
          <t>VÄRMLANDS LÄN</t>
        </is>
      </c>
      <c r="E1746" t="inlineStr">
        <is>
          <t>TORSBY</t>
        </is>
      </c>
      <c r="F1746" t="inlineStr">
        <is>
          <t>Bergvik skog väst AB</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12289-2026</t>
        </is>
      </c>
      <c r="B1747" s="1" t="n">
        <v>46087.55357638889</v>
      </c>
      <c r="C1747" s="1" t="n">
        <v>46089</v>
      </c>
      <c r="D1747" t="inlineStr">
        <is>
          <t>VÄRMLANDS LÄN</t>
        </is>
      </c>
      <c r="E1747" t="inlineStr">
        <is>
          <t>TORSBY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5639-2026</t>
        </is>
      </c>
      <c r="B1748" s="1" t="n">
        <v>46051</v>
      </c>
      <c r="C1748" s="1" t="n">
        <v>46089</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12178-2026</t>
        </is>
      </c>
      <c r="B1749" s="1" t="n">
        <v>46086</v>
      </c>
      <c r="C1749" s="1" t="n">
        <v>46089</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19630-2025</t>
        </is>
      </c>
      <c r="B1750" s="1" t="n">
        <v>45770.64239583333</v>
      </c>
      <c r="C1750" s="1" t="n">
        <v>46089</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14413-2025</t>
        </is>
      </c>
      <c r="B1751" s="1" t="n">
        <v>45741</v>
      </c>
      <c r="C1751" s="1" t="n">
        <v>46089</v>
      </c>
      <c r="D1751" t="inlineStr">
        <is>
          <t>VÄRMLANDS LÄN</t>
        </is>
      </c>
      <c r="E1751" t="inlineStr">
        <is>
          <t>TORSBY</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14419-2025</t>
        </is>
      </c>
      <c r="B1752" s="1" t="n">
        <v>45741</v>
      </c>
      <c r="C1752" s="1" t="n">
        <v>46089</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44838-2024</t>
        </is>
      </c>
      <c r="B1753" s="1" t="n">
        <v>45574.7069675926</v>
      </c>
      <c r="C1753" s="1" t="n">
        <v>46089</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16362-2025</t>
        </is>
      </c>
      <c r="B1754" s="1" t="n">
        <v>45751</v>
      </c>
      <c r="C1754" s="1" t="n">
        <v>46089</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20060-2025</t>
        </is>
      </c>
      <c r="B1755" s="1" t="n">
        <v>45772.41831018519</v>
      </c>
      <c r="C1755" s="1" t="n">
        <v>46089</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62210-2023</t>
        </is>
      </c>
      <c r="B1756" s="1" t="n">
        <v>45267.49430555556</v>
      </c>
      <c r="C1756" s="1" t="n">
        <v>46089</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67147-2021</t>
        </is>
      </c>
      <c r="B1757" s="1" t="n">
        <v>44523</v>
      </c>
      <c r="C1757" s="1" t="n">
        <v>46089</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63512-2025</t>
        </is>
      </c>
      <c r="B1758" s="1" t="n">
        <v>46013</v>
      </c>
      <c r="C1758" s="1" t="n">
        <v>46089</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25328-2025</t>
        </is>
      </c>
      <c r="B1759" s="1" t="n">
        <v>45800</v>
      </c>
      <c r="C1759" s="1" t="n">
        <v>46089</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6084-2026</t>
        </is>
      </c>
      <c r="B1760" s="1" t="n">
        <v>46052.69313657407</v>
      </c>
      <c r="C1760" s="1" t="n">
        <v>46089</v>
      </c>
      <c r="D1760" t="inlineStr">
        <is>
          <t>VÄRMLANDS LÄN</t>
        </is>
      </c>
      <c r="E1760" t="inlineStr">
        <is>
          <t>TORSBY</t>
        </is>
      </c>
      <c r="G1760" t="n">
        <v>19.5</v>
      </c>
      <c r="H1760" t="n">
        <v>0</v>
      </c>
      <c r="I1760" t="n">
        <v>0</v>
      </c>
      <c r="J1760" t="n">
        <v>0</v>
      </c>
      <c r="K1760" t="n">
        <v>0</v>
      </c>
      <c r="L1760" t="n">
        <v>0</v>
      </c>
      <c r="M1760" t="n">
        <v>0</v>
      </c>
      <c r="N1760" t="n">
        <v>0</v>
      </c>
      <c r="O1760" t="n">
        <v>0</v>
      </c>
      <c r="P1760" t="n">
        <v>0</v>
      </c>
      <c r="Q1760" t="n">
        <v>0</v>
      </c>
      <c r="R1760" s="2" t="inlineStr"/>
    </row>
    <row r="1761" ht="15" customHeight="1">
      <c r="A1761" t="inlineStr">
        <is>
          <t>A 64602-2023</t>
        </is>
      </c>
      <c r="B1761" s="1" t="n">
        <v>45281.50085648148</v>
      </c>
      <c r="C1761" s="1" t="n">
        <v>46089</v>
      </c>
      <c r="D1761" t="inlineStr">
        <is>
          <t>VÄRMLANDS LÄN</t>
        </is>
      </c>
      <c r="E1761" t="inlineStr">
        <is>
          <t>TORSBY</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53570-2024</t>
        </is>
      </c>
      <c r="B1762" s="1" t="n">
        <v>45614.65956018519</v>
      </c>
      <c r="C1762" s="1" t="n">
        <v>46089</v>
      </c>
      <c r="D1762" t="inlineStr">
        <is>
          <t>VÄRMLANDS LÄN</t>
        </is>
      </c>
      <c r="E1762" t="inlineStr">
        <is>
          <t>TORSBY</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11489-2026</t>
        </is>
      </c>
      <c r="B1763" s="1" t="n">
        <v>46083</v>
      </c>
      <c r="C1763" s="1" t="n">
        <v>46089</v>
      </c>
      <c r="D1763" t="inlineStr">
        <is>
          <t>VÄRMLANDS LÄN</t>
        </is>
      </c>
      <c r="E1763" t="inlineStr">
        <is>
          <t>TORSBY</t>
        </is>
      </c>
      <c r="F1763" t="inlineStr">
        <is>
          <t>Bergvik skog väst AB</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15170-2025</t>
        </is>
      </c>
      <c r="B1764" s="1" t="n">
        <v>45743</v>
      </c>
      <c r="C1764" s="1" t="n">
        <v>46089</v>
      </c>
      <c r="D1764" t="inlineStr">
        <is>
          <t>VÄRMLANDS LÄN</t>
        </is>
      </c>
      <c r="E1764" t="inlineStr">
        <is>
          <t>TORSBY</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29702-2025</t>
        </is>
      </c>
      <c r="B1765" s="1" t="n">
        <v>45825.55667824074</v>
      </c>
      <c r="C1765" s="1" t="n">
        <v>46089</v>
      </c>
      <c r="D1765" t="inlineStr">
        <is>
          <t>VÄRMLANDS LÄN</t>
        </is>
      </c>
      <c r="E1765" t="inlineStr">
        <is>
          <t>TORSBY</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38397-2025</t>
        </is>
      </c>
      <c r="B1766" s="1" t="n">
        <v>45883</v>
      </c>
      <c r="C1766" s="1" t="n">
        <v>46089</v>
      </c>
      <c r="D1766" t="inlineStr">
        <is>
          <t>VÄRMLANDS LÄN</t>
        </is>
      </c>
      <c r="E1766" t="inlineStr">
        <is>
          <t>TORSBY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63507-2025</t>
        </is>
      </c>
      <c r="B1767" s="1" t="n">
        <v>46013</v>
      </c>
      <c r="C1767" s="1" t="n">
        <v>46089</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63390-2025</t>
        </is>
      </c>
      <c r="B1768" s="1" t="n">
        <v>46011</v>
      </c>
      <c r="C1768" s="1" t="n">
        <v>46089</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37381-2025</t>
        </is>
      </c>
      <c r="B1769" s="1" t="n">
        <v>45877</v>
      </c>
      <c r="C1769" s="1" t="n">
        <v>46089</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3940-2026</t>
        </is>
      </c>
      <c r="B1770" s="1" t="n">
        <v>46043.88917824074</v>
      </c>
      <c r="C1770" s="1" t="n">
        <v>46089</v>
      </c>
      <c r="D1770" t="inlineStr">
        <is>
          <t>VÄRMLANDS LÄN</t>
        </is>
      </c>
      <c r="E1770" t="inlineStr">
        <is>
          <t>TORSBY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29921-2022</t>
        </is>
      </c>
      <c r="B1771" s="1" t="n">
        <v>44756</v>
      </c>
      <c r="C1771" s="1" t="n">
        <v>46089</v>
      </c>
      <c r="D1771" t="inlineStr">
        <is>
          <t>VÄRMLANDS LÄN</t>
        </is>
      </c>
      <c r="E1771" t="inlineStr">
        <is>
          <t>TORSBY</t>
        </is>
      </c>
      <c r="F1771" t="inlineStr">
        <is>
          <t>Kommuner</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12250-2026</t>
        </is>
      </c>
      <c r="B1772" s="1" t="n">
        <v>46087.4499537037</v>
      </c>
      <c r="C1772" s="1" t="n">
        <v>46089</v>
      </c>
      <c r="D1772" t="inlineStr">
        <is>
          <t>VÄRMLANDS LÄN</t>
        </is>
      </c>
      <c r="E1772" t="inlineStr">
        <is>
          <t>TORSBY</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18883-2024</t>
        </is>
      </c>
      <c r="B1773" s="1" t="n">
        <v>45426</v>
      </c>
      <c r="C1773" s="1" t="n">
        <v>46089</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64641-2023</t>
        </is>
      </c>
      <c r="B1774" s="1" t="n">
        <v>45281.55908564815</v>
      </c>
      <c r="C1774" s="1" t="n">
        <v>46089</v>
      </c>
      <c r="D1774" t="inlineStr">
        <is>
          <t>VÄRMLANDS LÄN</t>
        </is>
      </c>
      <c r="E1774" t="inlineStr">
        <is>
          <t>TORSBY</t>
        </is>
      </c>
      <c r="F1774" t="inlineStr">
        <is>
          <t>Bergvik skog väst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7766-2026</t>
        </is>
      </c>
      <c r="B1775" s="1" t="n">
        <v>46059</v>
      </c>
      <c r="C1775" s="1" t="n">
        <v>46089</v>
      </c>
      <c r="D1775" t="inlineStr">
        <is>
          <t>VÄRMLANDS LÄN</t>
        </is>
      </c>
      <c r="E1775" t="inlineStr">
        <is>
          <t>TORSBY</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33189-2025</t>
        </is>
      </c>
      <c r="B1776" s="1" t="n">
        <v>45840.59884259259</v>
      </c>
      <c r="C1776" s="1" t="n">
        <v>46089</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33196-2025</t>
        </is>
      </c>
      <c r="B1777" s="1" t="n">
        <v>45840.60381944444</v>
      </c>
      <c r="C1777" s="1" t="n">
        <v>46089</v>
      </c>
      <c r="D1777" t="inlineStr">
        <is>
          <t>VÄRMLANDS LÄN</t>
        </is>
      </c>
      <c r="E1777" t="inlineStr">
        <is>
          <t>TORSBY</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11569-2025</t>
        </is>
      </c>
      <c r="B1778" s="1" t="n">
        <v>45727.37971064815</v>
      </c>
      <c r="C1778" s="1" t="n">
        <v>46089</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63626-2025</t>
        </is>
      </c>
      <c r="B1779" s="1" t="n">
        <v>46014</v>
      </c>
      <c r="C1779" s="1" t="n">
        <v>46089</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16427-2023</t>
        </is>
      </c>
      <c r="B1780" s="1" t="n">
        <v>45022</v>
      </c>
      <c r="C1780" s="1" t="n">
        <v>46089</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34434-2022</t>
        </is>
      </c>
      <c r="B1781" s="1" t="n">
        <v>44792</v>
      </c>
      <c r="C1781" s="1" t="n">
        <v>46089</v>
      </c>
      <c r="D1781" t="inlineStr">
        <is>
          <t>VÄRMLANDS LÄN</t>
        </is>
      </c>
      <c r="E1781" t="inlineStr">
        <is>
          <t>TORSBY</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11362-2026</t>
        </is>
      </c>
      <c r="B1782" s="1" t="n">
        <v>46083</v>
      </c>
      <c r="C1782" s="1" t="n">
        <v>46089</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53583-2024</t>
        </is>
      </c>
      <c r="B1783" s="1" t="n">
        <v>45614.66449074074</v>
      </c>
      <c r="C1783" s="1" t="n">
        <v>46089</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17488-2023</t>
        </is>
      </c>
      <c r="B1784" s="1" t="n">
        <v>45036</v>
      </c>
      <c r="C1784" s="1" t="n">
        <v>46089</v>
      </c>
      <c r="D1784" t="inlineStr">
        <is>
          <t>VÄRMLANDS LÄN</t>
        </is>
      </c>
      <c r="E1784" t="inlineStr">
        <is>
          <t>TORSBY</t>
        </is>
      </c>
      <c r="G1784" t="n">
        <v>15.6</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45188.59809027778</v>
      </c>
      <c r="C1785" s="1" t="n">
        <v>46089</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15885-2025</t>
        </is>
      </c>
      <c r="B1786" s="1" t="n">
        <v>45749</v>
      </c>
      <c r="C1786" s="1" t="n">
        <v>46089</v>
      </c>
      <c r="D1786" t="inlineStr">
        <is>
          <t>VÄRMLANDS LÄN</t>
        </is>
      </c>
      <c r="E1786" t="inlineStr">
        <is>
          <t>TORSBY</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6603-2026</t>
        </is>
      </c>
      <c r="B1787" s="1" t="n">
        <v>46056.47186342593</v>
      </c>
      <c r="C1787" s="1" t="n">
        <v>46089</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7636-2024</t>
        </is>
      </c>
      <c r="B1788" s="1" t="n">
        <v>45348</v>
      </c>
      <c r="C1788" s="1" t="n">
        <v>46089</v>
      </c>
      <c r="D1788" t="inlineStr">
        <is>
          <t>VÄRMLANDS LÄN</t>
        </is>
      </c>
      <c r="E1788" t="inlineStr">
        <is>
          <t>TORSBY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63609-2025</t>
        </is>
      </c>
      <c r="B1789" s="1" t="n">
        <v>46014.34188657408</v>
      </c>
      <c r="C1789" s="1" t="n">
        <v>46089</v>
      </c>
      <c r="D1789" t="inlineStr">
        <is>
          <t>VÄRMLANDS LÄN</t>
        </is>
      </c>
      <c r="E1789" t="inlineStr">
        <is>
          <t>TORSBY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63636-2025</t>
        </is>
      </c>
      <c r="B1790" s="1" t="n">
        <v>46014</v>
      </c>
      <c r="C1790" s="1" t="n">
        <v>46089</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3590-2024</t>
        </is>
      </c>
      <c r="B1791" s="1" t="n">
        <v>45320</v>
      </c>
      <c r="C1791" s="1" t="n">
        <v>46089</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12458-2023</t>
        </is>
      </c>
      <c r="B1792" s="1" t="n">
        <v>44999</v>
      </c>
      <c r="C1792" s="1" t="n">
        <v>46089</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11153-2024</t>
        </is>
      </c>
      <c r="B1793" s="1" t="n">
        <v>45371.4759837963</v>
      </c>
      <c r="C1793" s="1" t="n">
        <v>46089</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45548-2024</t>
        </is>
      </c>
      <c r="B1794" s="1" t="n">
        <v>45579</v>
      </c>
      <c r="C1794" s="1" t="n">
        <v>46089</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52057-2024</t>
        </is>
      </c>
      <c r="B1795" s="1" t="n">
        <v>45608</v>
      </c>
      <c r="C1795" s="1" t="n">
        <v>46089</v>
      </c>
      <c r="D1795" t="inlineStr">
        <is>
          <t>VÄRMLANDS LÄN</t>
        </is>
      </c>
      <c r="E1795" t="inlineStr">
        <is>
          <t>TORSBY</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52062-2024</t>
        </is>
      </c>
      <c r="B1796" s="1" t="n">
        <v>45608</v>
      </c>
      <c r="C1796" s="1" t="n">
        <v>46089</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4707-2023</t>
        </is>
      </c>
      <c r="B1797" s="1" t="n">
        <v>44957</v>
      </c>
      <c r="C1797" s="1" t="n">
        <v>46089</v>
      </c>
      <c r="D1797" t="inlineStr">
        <is>
          <t>VÄRMLANDS LÄN</t>
        </is>
      </c>
      <c r="E1797" t="inlineStr">
        <is>
          <t>TORSBY</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18258-2025</t>
        </is>
      </c>
      <c r="B1798" s="1" t="n">
        <v>45762.35762731481</v>
      </c>
      <c r="C1798" s="1" t="n">
        <v>46089</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63617-2025</t>
        </is>
      </c>
      <c r="B1799" s="1" t="n">
        <v>46014.34938657407</v>
      </c>
      <c r="C1799" s="1" t="n">
        <v>46089</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63622-2025</t>
        </is>
      </c>
      <c r="B1800" s="1" t="n">
        <v>46014</v>
      </c>
      <c r="C1800" s="1" t="n">
        <v>46089</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37822-2023</t>
        </is>
      </c>
      <c r="B1801" s="1" t="n">
        <v>45160.30215277777</v>
      </c>
      <c r="C1801" s="1" t="n">
        <v>46089</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63697-2025</t>
        </is>
      </c>
      <c r="B1802" s="1" t="n">
        <v>46014</v>
      </c>
      <c r="C1802" s="1" t="n">
        <v>46089</v>
      </c>
      <c r="D1802" t="inlineStr">
        <is>
          <t>VÄRMLANDS LÄN</t>
        </is>
      </c>
      <c r="E1802" t="inlineStr">
        <is>
          <t>TORSBY</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11670-2025</t>
        </is>
      </c>
      <c r="B1803" s="1" t="n">
        <v>45727</v>
      </c>
      <c r="C1803" s="1" t="n">
        <v>46089</v>
      </c>
      <c r="D1803" t="inlineStr">
        <is>
          <t>VÄRMLANDS LÄN</t>
        </is>
      </c>
      <c r="E1803" t="inlineStr">
        <is>
          <t>TORSBY</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11672-2025</t>
        </is>
      </c>
      <c r="B1804" s="1" t="n">
        <v>45727</v>
      </c>
      <c r="C1804" s="1" t="n">
        <v>46089</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15873-2025</t>
        </is>
      </c>
      <c r="B1805" s="1" t="n">
        <v>45749.3759375</v>
      </c>
      <c r="C1805" s="1" t="n">
        <v>46089</v>
      </c>
      <c r="D1805" t="inlineStr">
        <is>
          <t>VÄRMLANDS LÄN</t>
        </is>
      </c>
      <c r="E1805" t="inlineStr">
        <is>
          <t>TORSBY</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28380-2025</t>
        </is>
      </c>
      <c r="B1806" s="1" t="n">
        <v>45819.30581018519</v>
      </c>
      <c r="C1806" s="1" t="n">
        <v>46089</v>
      </c>
      <c r="D1806" t="inlineStr">
        <is>
          <t>VÄRMLANDS LÄN</t>
        </is>
      </c>
      <c r="E1806" t="inlineStr">
        <is>
          <t>TORSBY</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4908-2024</t>
        </is>
      </c>
      <c r="B1807" s="1" t="n">
        <v>45329</v>
      </c>
      <c r="C1807" s="1" t="n">
        <v>46089</v>
      </c>
      <c r="D1807" t="inlineStr">
        <is>
          <t>VÄRMLANDS LÄN</t>
        </is>
      </c>
      <c r="E1807" t="inlineStr">
        <is>
          <t>TORSBY</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21825-2024</t>
        </is>
      </c>
      <c r="B1808" s="1" t="n">
        <v>45442</v>
      </c>
      <c r="C1808" s="1" t="n">
        <v>46089</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20721-2023</t>
        </is>
      </c>
      <c r="B1809" s="1" t="n">
        <v>45058</v>
      </c>
      <c r="C1809" s="1" t="n">
        <v>46089</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16369-2024</t>
        </is>
      </c>
      <c r="B1810" s="1" t="n">
        <v>45407</v>
      </c>
      <c r="C1810" s="1" t="n">
        <v>46089</v>
      </c>
      <c r="D1810" t="inlineStr">
        <is>
          <t>VÄRMLANDS LÄN</t>
        </is>
      </c>
      <c r="E1810" t="inlineStr">
        <is>
          <t>TORSBY</t>
        </is>
      </c>
      <c r="F1810" t="inlineStr">
        <is>
          <t>Kommuner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42615-2021</t>
        </is>
      </c>
      <c r="B1811" s="1" t="n">
        <v>44428</v>
      </c>
      <c r="C1811" s="1" t="n">
        <v>46089</v>
      </c>
      <c r="D1811" t="inlineStr">
        <is>
          <t>VÄRMLANDS LÄN</t>
        </is>
      </c>
      <c r="E1811" t="inlineStr">
        <is>
          <t>TORSBY</t>
        </is>
      </c>
      <c r="F1811" t="inlineStr">
        <is>
          <t>Bergvik skog väst AB</t>
        </is>
      </c>
      <c r="G1811" t="n">
        <v>37.2</v>
      </c>
      <c r="H1811" t="n">
        <v>0</v>
      </c>
      <c r="I1811" t="n">
        <v>0</v>
      </c>
      <c r="J1811" t="n">
        <v>0</v>
      </c>
      <c r="K1811" t="n">
        <v>0</v>
      </c>
      <c r="L1811" t="n">
        <v>0</v>
      </c>
      <c r="M1811" t="n">
        <v>0</v>
      </c>
      <c r="N1811" t="n">
        <v>0</v>
      </c>
      <c r="O1811" t="n">
        <v>0</v>
      </c>
      <c r="P1811" t="n">
        <v>0</v>
      </c>
      <c r="Q1811" t="n">
        <v>0</v>
      </c>
      <c r="R1811" s="2" t="inlineStr"/>
    </row>
    <row r="1812" ht="15" customHeight="1">
      <c r="A1812" t="inlineStr">
        <is>
          <t>A 18337-2024</t>
        </is>
      </c>
      <c r="B1812" s="1" t="n">
        <v>45422</v>
      </c>
      <c r="C1812" s="1" t="n">
        <v>46089</v>
      </c>
      <c r="D1812" t="inlineStr">
        <is>
          <t>VÄRMLANDS LÄN</t>
        </is>
      </c>
      <c r="E1812" t="inlineStr">
        <is>
          <t>TORSBY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43111-2022</t>
        </is>
      </c>
      <c r="B1813" s="1" t="n">
        <v>44833</v>
      </c>
      <c r="C1813" s="1" t="n">
        <v>46089</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392-2025</t>
        </is>
      </c>
      <c r="B1814" s="1" t="n">
        <v>45663.35111111111</v>
      </c>
      <c r="C1814" s="1" t="n">
        <v>46089</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19964-2025</t>
        </is>
      </c>
      <c r="B1815" s="1" t="n">
        <v>45771.67315972222</v>
      </c>
      <c r="C1815" s="1" t="n">
        <v>46089</v>
      </c>
      <c r="D1815" t="inlineStr">
        <is>
          <t>VÄRMLANDS LÄN</t>
        </is>
      </c>
      <c r="E1815" t="inlineStr">
        <is>
          <t>TORSBY</t>
        </is>
      </c>
      <c r="F1815" t="inlineStr">
        <is>
          <t>Bergvik skog väst AB</t>
        </is>
      </c>
      <c r="G1815" t="n">
        <v>23.8</v>
      </c>
      <c r="H1815" t="n">
        <v>0</v>
      </c>
      <c r="I1815" t="n">
        <v>0</v>
      </c>
      <c r="J1815" t="n">
        <v>0</v>
      </c>
      <c r="K1815" t="n">
        <v>0</v>
      </c>
      <c r="L1815" t="n">
        <v>0</v>
      </c>
      <c r="M1815" t="n">
        <v>0</v>
      </c>
      <c r="N1815" t="n">
        <v>0</v>
      </c>
      <c r="O1815" t="n">
        <v>0</v>
      </c>
      <c r="P1815" t="n">
        <v>0</v>
      </c>
      <c r="Q1815" t="n">
        <v>0</v>
      </c>
      <c r="R1815" s="2" t="inlineStr"/>
    </row>
    <row r="1816" ht="15" customHeight="1">
      <c r="A1816" t="inlineStr">
        <is>
          <t>A 27273-2024</t>
        </is>
      </c>
      <c r="B1816" s="1" t="n">
        <v>45471.84013888889</v>
      </c>
      <c r="C1816" s="1" t="n">
        <v>46089</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27275-2024</t>
        </is>
      </c>
      <c r="B1817" s="1" t="n">
        <v>45471.85645833334</v>
      </c>
      <c r="C1817" s="1" t="n">
        <v>46089</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1947-2023</t>
        </is>
      </c>
      <c r="B1818" s="1" t="n">
        <v>44939</v>
      </c>
      <c r="C1818" s="1" t="n">
        <v>46089</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60537-2024</t>
        </is>
      </c>
      <c r="B1819" s="1" t="n">
        <v>45643.77138888889</v>
      </c>
      <c r="C1819" s="1" t="n">
        <v>46089</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44342-2024</t>
        </is>
      </c>
      <c r="B1820" s="1" t="n">
        <v>45573.61793981482</v>
      </c>
      <c r="C1820" s="1" t="n">
        <v>46089</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52809-2024</t>
        </is>
      </c>
      <c r="B1821" s="1" t="n">
        <v>45610</v>
      </c>
      <c r="C1821" s="1" t="n">
        <v>46089</v>
      </c>
      <c r="D1821" t="inlineStr">
        <is>
          <t>VÄRMLANDS LÄN</t>
        </is>
      </c>
      <c r="E1821" t="inlineStr">
        <is>
          <t>TORSBY</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10979-2025</t>
        </is>
      </c>
      <c r="B1822" s="1" t="n">
        <v>45723.39988425926</v>
      </c>
      <c r="C1822" s="1" t="n">
        <v>46089</v>
      </c>
      <c r="D1822" t="inlineStr">
        <is>
          <t>VÄRMLANDS LÄN</t>
        </is>
      </c>
      <c r="E1822" t="inlineStr">
        <is>
          <t>TORSBY</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27292-2024</t>
        </is>
      </c>
      <c r="B1823" s="1" t="n">
        <v>45471.93378472222</v>
      </c>
      <c r="C1823" s="1" t="n">
        <v>46089</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53044-2024</t>
        </is>
      </c>
      <c r="B1824" s="1" t="n">
        <v>45611.44701388889</v>
      </c>
      <c r="C1824" s="1" t="n">
        <v>46089</v>
      </c>
      <c r="D1824" t="inlineStr">
        <is>
          <t>VÄRMLANDS LÄN</t>
        </is>
      </c>
      <c r="E1824" t="inlineStr">
        <is>
          <t>TORSBY</t>
        </is>
      </c>
      <c r="F1824" t="inlineStr">
        <is>
          <t>Kyrkan</t>
        </is>
      </c>
      <c r="G1824" t="n">
        <v>25.8</v>
      </c>
      <c r="H1824" t="n">
        <v>0</v>
      </c>
      <c r="I1824" t="n">
        <v>0</v>
      </c>
      <c r="J1824" t="n">
        <v>0</v>
      </c>
      <c r="K1824" t="n">
        <v>0</v>
      </c>
      <c r="L1824" t="n">
        <v>0</v>
      </c>
      <c r="M1824" t="n">
        <v>0</v>
      </c>
      <c r="N1824" t="n">
        <v>0</v>
      </c>
      <c r="O1824" t="n">
        <v>0</v>
      </c>
      <c r="P1824" t="n">
        <v>0</v>
      </c>
      <c r="Q1824" t="n">
        <v>0</v>
      </c>
      <c r="R1824" s="2" t="inlineStr"/>
    </row>
    <row r="1825" ht="15" customHeight="1">
      <c r="A1825" t="inlineStr">
        <is>
          <t>A 17039-2025</t>
        </is>
      </c>
      <c r="B1825" s="1" t="n">
        <v>45754</v>
      </c>
      <c r="C1825" s="1" t="n">
        <v>46089</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17062-2025</t>
        </is>
      </c>
      <c r="B1826" s="1" t="n">
        <v>45754</v>
      </c>
      <c r="C1826" s="1" t="n">
        <v>46089</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11575-2024</t>
        </is>
      </c>
      <c r="B1827" s="1" t="n">
        <v>45373</v>
      </c>
      <c r="C1827" s="1" t="n">
        <v>46089</v>
      </c>
      <c r="D1827" t="inlineStr">
        <is>
          <t>VÄRMLANDS LÄN</t>
        </is>
      </c>
      <c r="E1827" t="inlineStr">
        <is>
          <t>TORSBY</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39642-2021</t>
        </is>
      </c>
      <c r="B1828" s="1" t="n">
        <v>44417</v>
      </c>
      <c r="C1828" s="1" t="n">
        <v>46089</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14945-2023</t>
        </is>
      </c>
      <c r="B1829" s="1" t="n">
        <v>45014</v>
      </c>
      <c r="C1829" s="1" t="n">
        <v>46089</v>
      </c>
      <c r="D1829" t="inlineStr">
        <is>
          <t>VÄRMLANDS LÄN</t>
        </is>
      </c>
      <c r="E1829" t="inlineStr">
        <is>
          <t>TORSBY</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55100-2023</t>
        </is>
      </c>
      <c r="B1830" s="1" t="n">
        <v>45237.45715277778</v>
      </c>
      <c r="C1830" s="1" t="n">
        <v>46089</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59423-2024</t>
        </is>
      </c>
      <c r="B1831" s="1" t="n">
        <v>45638</v>
      </c>
      <c r="C1831" s="1" t="n">
        <v>46089</v>
      </c>
      <c r="D1831" t="inlineStr">
        <is>
          <t>VÄRMLANDS LÄN</t>
        </is>
      </c>
      <c r="E1831" t="inlineStr">
        <is>
          <t>TORSBY</t>
        </is>
      </c>
      <c r="G1831" t="n">
        <v>23.7</v>
      </c>
      <c r="H1831" t="n">
        <v>0</v>
      </c>
      <c r="I1831" t="n">
        <v>0</v>
      </c>
      <c r="J1831" t="n">
        <v>0</v>
      </c>
      <c r="K1831" t="n">
        <v>0</v>
      </c>
      <c r="L1831" t="n">
        <v>0</v>
      </c>
      <c r="M1831" t="n">
        <v>0</v>
      </c>
      <c r="N1831" t="n">
        <v>0</v>
      </c>
      <c r="O1831" t="n">
        <v>0</v>
      </c>
      <c r="P1831" t="n">
        <v>0</v>
      </c>
      <c r="Q1831" t="n">
        <v>0</v>
      </c>
      <c r="R1831" s="2" t="inlineStr"/>
    </row>
    <row r="1832" ht="15" customHeight="1">
      <c r="A1832" t="inlineStr">
        <is>
          <t>A 27086-2024</t>
        </is>
      </c>
      <c r="B1832" s="1" t="n">
        <v>45471</v>
      </c>
      <c r="C1832" s="1" t="n">
        <v>46089</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15274-2024</t>
        </is>
      </c>
      <c r="B1833" s="1" t="n">
        <v>45400.58201388889</v>
      </c>
      <c r="C1833" s="1" t="n">
        <v>46089</v>
      </c>
      <c r="D1833" t="inlineStr">
        <is>
          <t>VÄRMLANDS LÄN</t>
        </is>
      </c>
      <c r="E1833" t="inlineStr">
        <is>
          <t>TORSBY</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34966-2024</t>
        </is>
      </c>
      <c r="B1834" s="1" t="n">
        <v>45527.49600694444</v>
      </c>
      <c r="C1834" s="1" t="n">
        <v>46089</v>
      </c>
      <c r="D1834" t="inlineStr">
        <is>
          <t>VÄRMLANDS LÄN</t>
        </is>
      </c>
      <c r="E1834" t="inlineStr">
        <is>
          <t>TORSBY</t>
        </is>
      </c>
      <c r="F1834" t="inlineStr">
        <is>
          <t>Bergvik skog väst AB</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44670-2023</t>
        </is>
      </c>
      <c r="B1835" s="1" t="n">
        <v>45189</v>
      </c>
      <c r="C1835" s="1" t="n">
        <v>46089</v>
      </c>
      <c r="D1835" t="inlineStr">
        <is>
          <t>VÄRMLANDS LÄN</t>
        </is>
      </c>
      <c r="E1835" t="inlineStr">
        <is>
          <t>TORSBY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44710-2023</t>
        </is>
      </c>
      <c r="B1836" s="1" t="n">
        <v>45190</v>
      </c>
      <c r="C1836" s="1" t="n">
        <v>46089</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16488-2024</t>
        </is>
      </c>
      <c r="B1837" s="1" t="n">
        <v>45408.34597222223</v>
      </c>
      <c r="C1837" s="1" t="n">
        <v>46089</v>
      </c>
      <c r="D1837" t="inlineStr">
        <is>
          <t>VÄRMLANDS LÄN</t>
        </is>
      </c>
      <c r="E1837" t="inlineStr">
        <is>
          <t>TORSBY</t>
        </is>
      </c>
      <c r="F1837" t="inlineStr">
        <is>
          <t>Bergvik skog väst AB</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16592-2024</t>
        </is>
      </c>
      <c r="B1838" s="1" t="n">
        <v>45408.49623842593</v>
      </c>
      <c r="C1838" s="1" t="n">
        <v>46089</v>
      </c>
      <c r="D1838" t="inlineStr">
        <is>
          <t>VÄRMLANDS LÄN</t>
        </is>
      </c>
      <c r="E1838" t="inlineStr">
        <is>
          <t>TORSBY</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54014-2024</t>
        </is>
      </c>
      <c r="B1839" s="1" t="n">
        <v>45616.38003472222</v>
      </c>
      <c r="C1839" s="1" t="n">
        <v>46089</v>
      </c>
      <c r="D1839" t="inlineStr">
        <is>
          <t>VÄRMLANDS LÄN</t>
        </is>
      </c>
      <c r="E1839" t="inlineStr">
        <is>
          <t>TORSBY</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44448-2024</t>
        </is>
      </c>
      <c r="B1840" s="1" t="n">
        <v>45574</v>
      </c>
      <c r="C1840" s="1" t="n">
        <v>46089</v>
      </c>
      <c r="D1840" t="inlineStr">
        <is>
          <t>VÄRMLANDS LÄN</t>
        </is>
      </c>
      <c r="E1840" t="inlineStr">
        <is>
          <t>TORSBY</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739-2022</t>
        </is>
      </c>
      <c r="B1841" s="1" t="n">
        <v>44568</v>
      </c>
      <c r="C1841" s="1" t="n">
        <v>46089</v>
      </c>
      <c r="D1841" t="inlineStr">
        <is>
          <t>VÄRMLANDS LÄN</t>
        </is>
      </c>
      <c r="E1841" t="inlineStr">
        <is>
          <t>TORSBY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36318-2022</t>
        </is>
      </c>
      <c r="B1842" s="1" t="n">
        <v>44803</v>
      </c>
      <c r="C1842" s="1" t="n">
        <v>46089</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50380-2024</t>
        </is>
      </c>
      <c r="B1843" s="1" t="n">
        <v>45601.30582175926</v>
      </c>
      <c r="C1843" s="1" t="n">
        <v>46089</v>
      </c>
      <c r="D1843" t="inlineStr">
        <is>
          <t>VÄRMLANDS LÄN</t>
        </is>
      </c>
      <c r="E1843" t="inlineStr">
        <is>
          <t>TORSBY</t>
        </is>
      </c>
      <c r="F1843" t="inlineStr">
        <is>
          <t>Bergvik skog väst AB</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32444-2022</t>
        </is>
      </c>
      <c r="B1844" s="1" t="n">
        <v>44782</v>
      </c>
      <c r="C1844" s="1" t="n">
        <v>46089</v>
      </c>
      <c r="D1844" t="inlineStr">
        <is>
          <t>VÄRMLANDS LÄN</t>
        </is>
      </c>
      <c r="E1844" t="inlineStr">
        <is>
          <t>TORSBY</t>
        </is>
      </c>
      <c r="F1844" t="inlineStr">
        <is>
          <t>Bergvik skog väst AB</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15773-2023</t>
        </is>
      </c>
      <c r="B1845" s="1" t="n">
        <v>45021</v>
      </c>
      <c r="C1845" s="1" t="n">
        <v>46089</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15992-2023</t>
        </is>
      </c>
      <c r="B1846" s="1" t="n">
        <v>45023.5066087963</v>
      </c>
      <c r="C1846" s="1" t="n">
        <v>46089</v>
      </c>
      <c r="D1846" t="inlineStr">
        <is>
          <t>VÄRMLANDS LÄN</t>
        </is>
      </c>
      <c r="E1846" t="inlineStr">
        <is>
          <t>TORSBY</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16044-2023</t>
        </is>
      </c>
      <c r="B1847" s="1" t="n">
        <v>45027</v>
      </c>
      <c r="C1847" s="1" t="n">
        <v>46089</v>
      </c>
      <c r="D1847" t="inlineStr">
        <is>
          <t>VÄRMLANDS LÄN</t>
        </is>
      </c>
      <c r="E1847" t="inlineStr">
        <is>
          <t>TORSBY</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10288-2025</t>
        </is>
      </c>
      <c r="B1848" s="1" t="n">
        <v>45720.41396990741</v>
      </c>
      <c r="C1848" s="1" t="n">
        <v>46089</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14367-2025</t>
        </is>
      </c>
      <c r="B1849" s="1" t="n">
        <v>45741.38988425926</v>
      </c>
      <c r="C1849" s="1" t="n">
        <v>46089</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36050-2023</t>
        </is>
      </c>
      <c r="B1850" s="1" t="n">
        <v>45149</v>
      </c>
      <c r="C1850" s="1" t="n">
        <v>46089</v>
      </c>
      <c r="D1850" t="inlineStr">
        <is>
          <t>VÄRMLANDS LÄN</t>
        </is>
      </c>
      <c r="E1850" t="inlineStr">
        <is>
          <t>TORSBY</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11187-2024</t>
        </is>
      </c>
      <c r="B1851" s="1" t="n">
        <v>45371</v>
      </c>
      <c r="C1851" s="1" t="n">
        <v>46089</v>
      </c>
      <c r="D1851" t="inlineStr">
        <is>
          <t>VÄRMLANDS LÄN</t>
        </is>
      </c>
      <c r="E1851" t="inlineStr">
        <is>
          <t>TORSBY</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67457-2021</t>
        </is>
      </c>
      <c r="B1852" s="1" t="n">
        <v>44524</v>
      </c>
      <c r="C1852" s="1" t="n">
        <v>46089</v>
      </c>
      <c r="D1852" t="inlineStr">
        <is>
          <t>VÄRMLANDS LÄN</t>
        </is>
      </c>
      <c r="E1852" t="inlineStr">
        <is>
          <t>TORSBY</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21308-2024</t>
        </is>
      </c>
      <c r="B1853" s="1" t="n">
        <v>45440</v>
      </c>
      <c r="C1853" s="1" t="n">
        <v>46089</v>
      </c>
      <c r="D1853" t="inlineStr">
        <is>
          <t>VÄRMLANDS LÄN</t>
        </is>
      </c>
      <c r="E1853" t="inlineStr">
        <is>
          <t>TORSBY</t>
        </is>
      </c>
      <c r="G1853" t="n">
        <v>18.9</v>
      </c>
      <c r="H1853" t="n">
        <v>0</v>
      </c>
      <c r="I1853" t="n">
        <v>0</v>
      </c>
      <c r="J1853" t="n">
        <v>0</v>
      </c>
      <c r="K1853" t="n">
        <v>0</v>
      </c>
      <c r="L1853" t="n">
        <v>0</v>
      </c>
      <c r="M1853" t="n">
        <v>0</v>
      </c>
      <c r="N1853" t="n">
        <v>0</v>
      </c>
      <c r="O1853" t="n">
        <v>0</v>
      </c>
      <c r="P1853" t="n">
        <v>0</v>
      </c>
      <c r="Q1853" t="n">
        <v>0</v>
      </c>
      <c r="R1853" s="2" t="inlineStr"/>
    </row>
    <row r="1854" ht="15" customHeight="1">
      <c r="A1854" t="inlineStr">
        <is>
          <t>A 9067-2023</t>
        </is>
      </c>
      <c r="B1854" s="1" t="n">
        <v>44979</v>
      </c>
      <c r="C1854" s="1" t="n">
        <v>46089</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19887-2024</t>
        </is>
      </c>
      <c r="B1855" s="1" t="n">
        <v>45433</v>
      </c>
      <c r="C1855" s="1" t="n">
        <v>46089</v>
      </c>
      <c r="D1855" t="inlineStr">
        <is>
          <t>VÄRMLANDS LÄN</t>
        </is>
      </c>
      <c r="E1855" t="inlineStr">
        <is>
          <t>TORSBY</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24965-2023</t>
        </is>
      </c>
      <c r="B1856" s="1" t="n">
        <v>45085</v>
      </c>
      <c r="C1856" s="1" t="n">
        <v>46089</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24969-2023</t>
        </is>
      </c>
      <c r="B1857" s="1" t="n">
        <v>45085.61429398148</v>
      </c>
      <c r="C1857" s="1" t="n">
        <v>46089</v>
      </c>
      <c r="D1857" t="inlineStr">
        <is>
          <t>VÄRMLANDS LÄN</t>
        </is>
      </c>
      <c r="E1857" t="inlineStr">
        <is>
          <t>TORSBY</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43137-2024</t>
        </is>
      </c>
      <c r="B1858" s="1" t="n">
        <v>45567</v>
      </c>
      <c r="C1858" s="1" t="n">
        <v>46089</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17554-2023</t>
        </is>
      </c>
      <c r="B1859" s="1" t="n">
        <v>45034</v>
      </c>
      <c r="C1859" s="1" t="n">
        <v>46089</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44150-2023</t>
        </is>
      </c>
      <c r="B1860" s="1" t="n">
        <v>45188.47791666666</v>
      </c>
      <c r="C1860" s="1" t="n">
        <v>46089</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37081-2023</t>
        </is>
      </c>
      <c r="B1861" s="1" t="n">
        <v>45155</v>
      </c>
      <c r="C1861" s="1" t="n">
        <v>46089</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62507-2023</t>
        </is>
      </c>
      <c r="B1862" s="1" t="n">
        <v>45267</v>
      </c>
      <c r="C1862" s="1" t="n">
        <v>46089</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15087-2023</t>
        </is>
      </c>
      <c r="B1863" s="1" t="n">
        <v>45016</v>
      </c>
      <c r="C1863" s="1" t="n">
        <v>46089</v>
      </c>
      <c r="D1863" t="inlineStr">
        <is>
          <t>VÄRMLANDS LÄN</t>
        </is>
      </c>
      <c r="E1863" t="inlineStr">
        <is>
          <t>TORSBY</t>
        </is>
      </c>
      <c r="F1863" t="inlineStr">
        <is>
          <t>Bergvik skog väst AB</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20647-2024</t>
        </is>
      </c>
      <c r="B1864" s="1" t="n">
        <v>45436</v>
      </c>
      <c r="C1864" s="1" t="n">
        <v>46089</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17898-2023</t>
        </is>
      </c>
      <c r="B1865" s="1" t="n">
        <v>45039.72086805556</v>
      </c>
      <c r="C1865" s="1" t="n">
        <v>46089</v>
      </c>
      <c r="D1865" t="inlineStr">
        <is>
          <t>VÄRMLANDS LÄN</t>
        </is>
      </c>
      <c r="E1865" t="inlineStr">
        <is>
          <t>TORSBY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13785-2023</t>
        </is>
      </c>
      <c r="B1866" s="1" t="n">
        <v>45007</v>
      </c>
      <c r="C1866" s="1" t="n">
        <v>46089</v>
      </c>
      <c r="D1866" t="inlineStr">
        <is>
          <t>VÄRMLANDS LÄN</t>
        </is>
      </c>
      <c r="E1866" t="inlineStr">
        <is>
          <t>TORSBY</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35134-2022</t>
        </is>
      </c>
      <c r="B1867" s="1" t="n">
        <v>44797</v>
      </c>
      <c r="C1867" s="1" t="n">
        <v>46089</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8048-2022</t>
        </is>
      </c>
      <c r="B1868" s="1" t="n">
        <v>44609</v>
      </c>
      <c r="C1868" s="1" t="n">
        <v>46089</v>
      </c>
      <c r="D1868" t="inlineStr">
        <is>
          <t>VÄRMLANDS LÄN</t>
        </is>
      </c>
      <c r="E1868" t="inlineStr">
        <is>
          <t>TORSBY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55794-2021</t>
        </is>
      </c>
      <c r="B1869" s="1" t="n">
        <v>44476</v>
      </c>
      <c r="C1869" s="1" t="n">
        <v>46089</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41631-2024</t>
        </is>
      </c>
      <c r="B1870" s="1" t="n">
        <v>45560</v>
      </c>
      <c r="C1870" s="1" t="n">
        <v>46089</v>
      </c>
      <c r="D1870" t="inlineStr">
        <is>
          <t>VÄRMLANDS LÄN</t>
        </is>
      </c>
      <c r="E1870" t="inlineStr">
        <is>
          <t>TORSBY</t>
        </is>
      </c>
      <c r="F1870" t="inlineStr">
        <is>
          <t>Bergvik skog väst AB</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70658-2021</t>
        </is>
      </c>
      <c r="B1871" s="1" t="n">
        <v>44537.52368055555</v>
      </c>
      <c r="C1871" s="1" t="n">
        <v>46089</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1979-2023</t>
        </is>
      </c>
      <c r="B1872" s="1" t="n">
        <v>44939</v>
      </c>
      <c r="C1872" s="1" t="n">
        <v>46089</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46909-2024</t>
        </is>
      </c>
      <c r="B1873" s="1" t="n">
        <v>45583</v>
      </c>
      <c r="C1873" s="1" t="n">
        <v>46089</v>
      </c>
      <c r="D1873" t="inlineStr">
        <is>
          <t>VÄRMLANDS LÄN</t>
        </is>
      </c>
      <c r="E1873" t="inlineStr">
        <is>
          <t>TORSBY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26887-2024</t>
        </is>
      </c>
      <c r="B1874" s="1" t="n">
        <v>45470.64864583333</v>
      </c>
      <c r="C1874" s="1" t="n">
        <v>46089</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58727-2021</t>
        </is>
      </c>
      <c r="B1875" s="1" t="n">
        <v>44489.49052083334</v>
      </c>
      <c r="C1875" s="1" t="n">
        <v>46089</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36700-2021</t>
        </is>
      </c>
      <c r="B1876" s="1" t="n">
        <v>44392</v>
      </c>
      <c r="C1876" s="1" t="n">
        <v>46089</v>
      </c>
      <c r="D1876" t="inlineStr">
        <is>
          <t>VÄRMLANDS LÄN</t>
        </is>
      </c>
      <c r="E1876" t="inlineStr">
        <is>
          <t>TORSBY</t>
        </is>
      </c>
      <c r="F1876" t="inlineStr">
        <is>
          <t>Bergvik skog väst AB</t>
        </is>
      </c>
      <c r="G1876" t="n">
        <v>9.9</v>
      </c>
      <c r="H1876" t="n">
        <v>0</v>
      </c>
      <c r="I1876" t="n">
        <v>0</v>
      </c>
      <c r="J1876" t="n">
        <v>0</v>
      </c>
      <c r="K1876" t="n">
        <v>0</v>
      </c>
      <c r="L1876" t="n">
        <v>0</v>
      </c>
      <c r="M1876" t="n">
        <v>0</v>
      </c>
      <c r="N1876" t="n">
        <v>0</v>
      </c>
      <c r="O1876" t="n">
        <v>0</v>
      </c>
      <c r="P1876" t="n">
        <v>0</v>
      </c>
      <c r="Q1876" t="n">
        <v>0</v>
      </c>
      <c r="R1876" s="2" t="inlineStr"/>
    </row>
    <row r="1877" ht="15" customHeight="1">
      <c r="A1877" t="inlineStr">
        <is>
          <t>A 25163-2023</t>
        </is>
      </c>
      <c r="B1877" s="1" t="n">
        <v>45086</v>
      </c>
      <c r="C1877" s="1" t="n">
        <v>46089</v>
      </c>
      <c r="D1877" t="inlineStr">
        <is>
          <t>VÄRMLANDS LÄN</t>
        </is>
      </c>
      <c r="E1877" t="inlineStr">
        <is>
          <t>TORSBY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47651-2024</t>
        </is>
      </c>
      <c r="B1878" s="1" t="n">
        <v>45588</v>
      </c>
      <c r="C1878" s="1" t="n">
        <v>46089</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61367-2022</t>
        </is>
      </c>
      <c r="B1879" s="1" t="n">
        <v>44915.82997685186</v>
      </c>
      <c r="C1879" s="1" t="n">
        <v>46089</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30110-2023</t>
        </is>
      </c>
      <c r="B1880" s="1" t="n">
        <v>45110</v>
      </c>
      <c r="C1880" s="1" t="n">
        <v>46089</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44340-2022</t>
        </is>
      </c>
      <c r="B1881" s="1" t="n">
        <v>44838</v>
      </c>
      <c r="C1881" s="1" t="n">
        <v>46089</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49206-2022</t>
        </is>
      </c>
      <c r="B1882" s="1" t="n">
        <v>44860.95984953704</v>
      </c>
      <c r="C1882" s="1" t="n">
        <v>46089</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18101-2022</t>
        </is>
      </c>
      <c r="B1883" s="1" t="n">
        <v>44684</v>
      </c>
      <c r="C1883" s="1" t="n">
        <v>46089</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21076-2023</t>
        </is>
      </c>
      <c r="B1884" s="1" t="n">
        <v>45061</v>
      </c>
      <c r="C1884" s="1" t="n">
        <v>46089</v>
      </c>
      <c r="D1884" t="inlineStr">
        <is>
          <t>VÄRMLANDS LÄN</t>
        </is>
      </c>
      <c r="E1884" t="inlineStr">
        <is>
          <t>TORSBY</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18244-2023</t>
        </is>
      </c>
      <c r="B1885" s="1" t="n">
        <v>45041</v>
      </c>
      <c r="C1885" s="1" t="n">
        <v>46089</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20968-2024</t>
        </is>
      </c>
      <c r="B1886" s="1" t="n">
        <v>45439</v>
      </c>
      <c r="C1886" s="1" t="n">
        <v>46089</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19148-2025</t>
        </is>
      </c>
      <c r="B1887" s="1" t="n">
        <v>45769</v>
      </c>
      <c r="C1887" s="1" t="n">
        <v>46089</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54452-2022</t>
        </is>
      </c>
      <c r="B1888" s="1" t="n">
        <v>44880</v>
      </c>
      <c r="C1888" s="1" t="n">
        <v>46089</v>
      </c>
      <c r="D1888" t="inlineStr">
        <is>
          <t>VÄRMLANDS LÄN</t>
        </is>
      </c>
      <c r="E1888" t="inlineStr">
        <is>
          <t>TORSBY</t>
        </is>
      </c>
      <c r="F1888" t="inlineStr">
        <is>
          <t>Kyrkan</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41843-2023</t>
        </is>
      </c>
      <c r="B1889" s="1" t="n">
        <v>45176.60533564815</v>
      </c>
      <c r="C1889" s="1" t="n">
        <v>46089</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41264-2022</t>
        </is>
      </c>
      <c r="B1890" s="1" t="n">
        <v>44823</v>
      </c>
      <c r="C1890" s="1" t="n">
        <v>46089</v>
      </c>
      <c r="D1890" t="inlineStr">
        <is>
          <t>VÄRMLANDS LÄN</t>
        </is>
      </c>
      <c r="E1890" t="inlineStr">
        <is>
          <t>TORSBY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64902-2021</t>
        </is>
      </c>
      <c r="B1891" s="1" t="n">
        <v>44512.64336805556</v>
      </c>
      <c r="C1891" s="1" t="n">
        <v>46089</v>
      </c>
      <c r="D1891" t="inlineStr">
        <is>
          <t>VÄRMLANDS LÄN</t>
        </is>
      </c>
      <c r="E1891" t="inlineStr">
        <is>
          <t>TORSBY</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61546-2024</t>
        </is>
      </c>
      <c r="B1892" s="1" t="n">
        <v>45645</v>
      </c>
      <c r="C1892" s="1" t="n">
        <v>46089</v>
      </c>
      <c r="D1892" t="inlineStr">
        <is>
          <t>VÄRMLANDS LÄN</t>
        </is>
      </c>
      <c r="E1892" t="inlineStr">
        <is>
          <t>TORSBY</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276-2024</t>
        </is>
      </c>
      <c r="B1893" s="1" t="n">
        <v>45295</v>
      </c>
      <c r="C1893" s="1" t="n">
        <v>46089</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11135-2024</t>
        </is>
      </c>
      <c r="B1894" s="1" t="n">
        <v>45371</v>
      </c>
      <c r="C1894" s="1" t="n">
        <v>46089</v>
      </c>
      <c r="D1894" t="inlineStr">
        <is>
          <t>VÄRMLANDS LÄN</t>
        </is>
      </c>
      <c r="E1894" t="inlineStr">
        <is>
          <t>TORSBY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21258-2023</t>
        </is>
      </c>
      <c r="B1895" s="1" t="n">
        <v>45058</v>
      </c>
      <c r="C1895" s="1" t="n">
        <v>46089</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53988-2022</t>
        </is>
      </c>
      <c r="B1896" s="1" t="n">
        <v>44876</v>
      </c>
      <c r="C1896" s="1" t="n">
        <v>46089</v>
      </c>
      <c r="D1896" t="inlineStr">
        <is>
          <t>VÄRMLANDS LÄN</t>
        </is>
      </c>
      <c r="E1896" t="inlineStr">
        <is>
          <t>TORSBY</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61128-2022</t>
        </is>
      </c>
      <c r="B1897" s="1" t="n">
        <v>44915.4455787037</v>
      </c>
      <c r="C1897" s="1" t="n">
        <v>46089</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21390-2023</t>
        </is>
      </c>
      <c r="B1898" s="1" t="n">
        <v>45063</v>
      </c>
      <c r="C1898" s="1" t="n">
        <v>46089</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7215-2025</t>
        </is>
      </c>
      <c r="B1899" s="1" t="n">
        <v>45702</v>
      </c>
      <c r="C1899" s="1" t="n">
        <v>46089</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56101-2024</t>
        </is>
      </c>
      <c r="B1900" s="1" t="n">
        <v>45624</v>
      </c>
      <c r="C1900" s="1" t="n">
        <v>46089</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45849-2024</t>
        </is>
      </c>
      <c r="B1901" s="1" t="n">
        <v>45580</v>
      </c>
      <c r="C1901" s="1" t="n">
        <v>46089</v>
      </c>
      <c r="D1901" t="inlineStr">
        <is>
          <t>VÄRMLANDS LÄN</t>
        </is>
      </c>
      <c r="E1901" t="inlineStr">
        <is>
          <t>TORSBY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41781-2022</t>
        </is>
      </c>
      <c r="B1902" s="1" t="n">
        <v>44827.70537037037</v>
      </c>
      <c r="C1902" s="1" t="n">
        <v>46089</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3387-2025</t>
        </is>
      </c>
      <c r="B1903" s="1" t="n">
        <v>45680</v>
      </c>
      <c r="C1903" s="1" t="n">
        <v>46089</v>
      </c>
      <c r="D1903" t="inlineStr">
        <is>
          <t>VÄRMLANDS LÄN</t>
        </is>
      </c>
      <c r="E1903" t="inlineStr">
        <is>
          <t>TORSBY</t>
        </is>
      </c>
      <c r="F1903" t="inlineStr">
        <is>
          <t>Kommuner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46089</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44659-2024</t>
        </is>
      </c>
      <c r="B1905" s="1" t="n">
        <v>45574</v>
      </c>
      <c r="C1905" s="1" t="n">
        <v>46089</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26166-2024</t>
        </is>
      </c>
      <c r="B1906" s="1" t="n">
        <v>45468.55357638889</v>
      </c>
      <c r="C1906" s="1" t="n">
        <v>46089</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6828-2024</t>
        </is>
      </c>
      <c r="B1907" s="1" t="n">
        <v>45342</v>
      </c>
      <c r="C1907" s="1" t="n">
        <v>46089</v>
      </c>
      <c r="D1907" t="inlineStr">
        <is>
          <t>VÄRMLANDS LÄN</t>
        </is>
      </c>
      <c r="E1907" t="inlineStr">
        <is>
          <t>TORSBY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33268-2023</t>
        </is>
      </c>
      <c r="B1908" s="1" t="n">
        <v>45127.58094907407</v>
      </c>
      <c r="C1908" s="1" t="n">
        <v>46089</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50445-2023</t>
        </is>
      </c>
      <c r="B1909" s="1" t="n">
        <v>45216</v>
      </c>
      <c r="C1909" s="1" t="n">
        <v>46089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22426-2024</t>
        </is>
      </c>
      <c r="B1910" s="1" t="n">
        <v>45446</v>
      </c>
      <c r="C1910" s="1" t="n">
        <v>46089</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60454-2024</t>
        </is>
      </c>
      <c r="B1911" s="1" t="n">
        <v>45643</v>
      </c>
      <c r="C1911" s="1" t="n">
        <v>46089</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60458-2024</t>
        </is>
      </c>
      <c r="B1912" s="1" t="n">
        <v>45643</v>
      </c>
      <c r="C1912" s="1" t="n">
        <v>46089</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10587-2024</t>
        </is>
      </c>
      <c r="B1913" s="1" t="n">
        <v>45366</v>
      </c>
      <c r="C1913" s="1" t="n">
        <v>46089</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1095-2025</t>
        </is>
      </c>
      <c r="B1914" s="1" t="n">
        <v>45666.63681712963</v>
      </c>
      <c r="C1914" s="1" t="n">
        <v>46089</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53705-2021</t>
        </is>
      </c>
      <c r="B1915" s="1" t="n">
        <v>44469</v>
      </c>
      <c r="C1915" s="1" t="n">
        <v>46089</v>
      </c>
      <c r="D1915" t="inlineStr">
        <is>
          <t>VÄRMLANDS LÄN</t>
        </is>
      </c>
      <c r="E1915" t="inlineStr">
        <is>
          <t>TORSBY</t>
        </is>
      </c>
      <c r="F1915" t="inlineStr">
        <is>
          <t>Kyrkan</t>
        </is>
      </c>
      <c r="G1915" t="n">
        <v>12.4</v>
      </c>
      <c r="H1915" t="n">
        <v>0</v>
      </c>
      <c r="I1915" t="n">
        <v>0</v>
      </c>
      <c r="J1915" t="n">
        <v>0</v>
      </c>
      <c r="K1915" t="n">
        <v>0</v>
      </c>
      <c r="L1915" t="n">
        <v>0</v>
      </c>
      <c r="M1915" t="n">
        <v>0</v>
      </c>
      <c r="N1915" t="n">
        <v>0</v>
      </c>
      <c r="O1915" t="n">
        <v>0</v>
      </c>
      <c r="P1915" t="n">
        <v>0</v>
      </c>
      <c r="Q1915" t="n">
        <v>0</v>
      </c>
      <c r="R1915" s="2" t="inlineStr"/>
    </row>
    <row r="1916" ht="15" customHeight="1">
      <c r="A1916" t="inlineStr">
        <is>
          <t>A 53396-2024</t>
        </is>
      </c>
      <c r="B1916" s="1" t="n">
        <v>45614</v>
      </c>
      <c r="C1916" s="1" t="n">
        <v>46089</v>
      </c>
      <c r="D1916" t="inlineStr">
        <is>
          <t>VÄRMLANDS LÄN</t>
        </is>
      </c>
      <c r="E1916" t="inlineStr">
        <is>
          <t>TORSBY</t>
        </is>
      </c>
      <c r="F1916" t="inlineStr">
        <is>
          <t>Bergvik skog väst AB</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60781-2024</t>
        </is>
      </c>
      <c r="B1917" s="1" t="n">
        <v>45642</v>
      </c>
      <c r="C1917" s="1" t="n">
        <v>46089</v>
      </c>
      <c r="D1917" t="inlineStr">
        <is>
          <t>VÄRMLANDS LÄN</t>
        </is>
      </c>
      <c r="E1917" t="inlineStr">
        <is>
          <t>TORSBY</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21280-2024</t>
        </is>
      </c>
      <c r="B1918" s="1" t="n">
        <v>45440</v>
      </c>
      <c r="C1918" s="1" t="n">
        <v>46089</v>
      </c>
      <c r="D1918" t="inlineStr">
        <is>
          <t>VÄRMLANDS LÄN</t>
        </is>
      </c>
      <c r="E1918" t="inlineStr">
        <is>
          <t>TORSBY</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36327-2021</t>
        </is>
      </c>
      <c r="B1919" s="1" t="n">
        <v>44390</v>
      </c>
      <c r="C1919" s="1" t="n">
        <v>46089</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27346-2024</t>
        </is>
      </c>
      <c r="B1920" s="1" t="n">
        <v>45473.58984953703</v>
      </c>
      <c r="C1920" s="1" t="n">
        <v>46089</v>
      </c>
      <c r="D1920" t="inlineStr">
        <is>
          <t>VÄRMLANDS LÄN</t>
        </is>
      </c>
      <c r="E1920" t="inlineStr">
        <is>
          <t>TORSBY</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27349-2024</t>
        </is>
      </c>
      <c r="B1921" s="1" t="n">
        <v>45473.65679398148</v>
      </c>
      <c r="C1921" s="1" t="n">
        <v>46089</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44532-2022</t>
        </is>
      </c>
      <c r="B1922" s="1" t="n">
        <v>44840</v>
      </c>
      <c r="C1922" s="1" t="n">
        <v>46089</v>
      </c>
      <c r="D1922" t="inlineStr">
        <is>
          <t>VÄRMLANDS LÄN</t>
        </is>
      </c>
      <c r="E1922" t="inlineStr">
        <is>
          <t>TORSBY</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16073-2024</t>
        </is>
      </c>
      <c r="B1923" s="1" t="n">
        <v>45406</v>
      </c>
      <c r="C1923" s="1" t="n">
        <v>46089</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1042-2024</t>
        </is>
      </c>
      <c r="B1924" s="1" t="n">
        <v>45301</v>
      </c>
      <c r="C1924" s="1" t="n">
        <v>46089</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48540-2024</t>
        </is>
      </c>
      <c r="B1925" s="1" t="n">
        <v>45593</v>
      </c>
      <c r="C1925" s="1" t="n">
        <v>46089</v>
      </c>
      <c r="D1925" t="inlineStr">
        <is>
          <t>VÄRMLANDS LÄN</t>
        </is>
      </c>
      <c r="E1925" t="inlineStr">
        <is>
          <t>TORSBY</t>
        </is>
      </c>
      <c r="G1925" t="n">
        <v>16.5</v>
      </c>
      <c r="H1925" t="n">
        <v>0</v>
      </c>
      <c r="I1925" t="n">
        <v>0</v>
      </c>
      <c r="J1925" t="n">
        <v>0</v>
      </c>
      <c r="K1925" t="n">
        <v>0</v>
      </c>
      <c r="L1925" t="n">
        <v>0</v>
      </c>
      <c r="M1925" t="n">
        <v>0</v>
      </c>
      <c r="N1925" t="n">
        <v>0</v>
      </c>
      <c r="O1925" t="n">
        <v>0</v>
      </c>
      <c r="P1925" t="n">
        <v>0</v>
      </c>
      <c r="Q1925" t="n">
        <v>0</v>
      </c>
      <c r="R1925" s="2" t="inlineStr"/>
    </row>
    <row r="1926" ht="15" customHeight="1">
      <c r="A1926" t="inlineStr">
        <is>
          <t>A 43060-2021</t>
        </is>
      </c>
      <c r="B1926" s="1" t="n">
        <v>44431</v>
      </c>
      <c r="C1926" s="1" t="n">
        <v>46089</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58948-2024</t>
        </is>
      </c>
      <c r="B1927" s="1" t="n">
        <v>45636</v>
      </c>
      <c r="C1927" s="1" t="n">
        <v>46089</v>
      </c>
      <c r="D1927" t="inlineStr">
        <is>
          <t>VÄRMLANDS LÄN</t>
        </is>
      </c>
      <c r="E1927" t="inlineStr">
        <is>
          <t>TORSBY</t>
        </is>
      </c>
      <c r="F1927" t="inlineStr">
        <is>
          <t>Bergvik skog väst AB</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18676-2025</t>
        </is>
      </c>
      <c r="B1928" s="1" t="n">
        <v>45763</v>
      </c>
      <c r="C1928" s="1" t="n">
        <v>46089</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59256-2023</t>
        </is>
      </c>
      <c r="B1929" s="1" t="n">
        <v>45251</v>
      </c>
      <c r="C1929" s="1" t="n">
        <v>46089</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55836-2024</t>
        </is>
      </c>
      <c r="B1930" s="1" t="n">
        <v>45623.49150462963</v>
      </c>
      <c r="C1930" s="1" t="n">
        <v>46089</v>
      </c>
      <c r="D1930" t="inlineStr">
        <is>
          <t>VÄRMLANDS LÄN</t>
        </is>
      </c>
      <c r="E1930" t="inlineStr">
        <is>
          <t>TORSBY</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37357-2023</t>
        </is>
      </c>
      <c r="B1931" s="1" t="n">
        <v>45156.48006944444</v>
      </c>
      <c r="C1931" s="1" t="n">
        <v>46089</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5763-2023</t>
        </is>
      </c>
      <c r="B1932" s="1" t="n">
        <v>44963.36383101852</v>
      </c>
      <c r="C1932" s="1" t="n">
        <v>46089</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38467-2021</t>
        </is>
      </c>
      <c r="B1933" s="1" t="n">
        <v>44405</v>
      </c>
      <c r="C1933" s="1" t="n">
        <v>46089</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63177-2023</t>
        </is>
      </c>
      <c r="B1934" s="1" t="n">
        <v>45272</v>
      </c>
      <c r="C1934" s="1" t="n">
        <v>46089</v>
      </c>
      <c r="D1934" t="inlineStr">
        <is>
          <t>VÄRMLANDS LÄN</t>
        </is>
      </c>
      <c r="E1934" t="inlineStr">
        <is>
          <t>TORSBY</t>
        </is>
      </c>
      <c r="G1934" t="n">
        <v>14.9</v>
      </c>
      <c r="H1934" t="n">
        <v>0</v>
      </c>
      <c r="I1934" t="n">
        <v>0</v>
      </c>
      <c r="J1934" t="n">
        <v>0</v>
      </c>
      <c r="K1934" t="n">
        <v>0</v>
      </c>
      <c r="L1934" t="n">
        <v>0</v>
      </c>
      <c r="M1934" t="n">
        <v>0</v>
      </c>
      <c r="N1934" t="n">
        <v>0</v>
      </c>
      <c r="O1934" t="n">
        <v>0</v>
      </c>
      <c r="P1934" t="n">
        <v>0</v>
      </c>
      <c r="Q1934" t="n">
        <v>0</v>
      </c>
      <c r="R1934" s="2" t="inlineStr"/>
    </row>
    <row r="1935" ht="15" customHeight="1">
      <c r="A1935" t="inlineStr">
        <is>
          <t>A 9904-2024</t>
        </is>
      </c>
      <c r="B1935" s="1" t="n">
        <v>45363</v>
      </c>
      <c r="C1935" s="1" t="n">
        <v>46089</v>
      </c>
      <c r="D1935" t="inlineStr">
        <is>
          <t>VÄRMLANDS LÄN</t>
        </is>
      </c>
      <c r="E1935" t="inlineStr">
        <is>
          <t>TORSBY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9908-2024</t>
        </is>
      </c>
      <c r="B1936" s="1" t="n">
        <v>45363</v>
      </c>
      <c r="C1936" s="1" t="n">
        <v>46089</v>
      </c>
      <c r="D1936" t="inlineStr">
        <is>
          <t>VÄRMLANDS LÄN</t>
        </is>
      </c>
      <c r="E1936" t="inlineStr">
        <is>
          <t>TORSBY</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4585-2023</t>
        </is>
      </c>
      <c r="B1937" s="1" t="n">
        <v>44956.79790509259</v>
      </c>
      <c r="C1937" s="1" t="n">
        <v>46089</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29925-2024</t>
        </is>
      </c>
      <c r="B1938" s="1" t="n">
        <v>45488</v>
      </c>
      <c r="C1938" s="1" t="n">
        <v>46089</v>
      </c>
      <c r="D1938" t="inlineStr">
        <is>
          <t>VÄRMLANDS LÄN</t>
        </is>
      </c>
      <c r="E1938" t="inlineStr">
        <is>
          <t>TORSBY</t>
        </is>
      </c>
      <c r="F1938" t="inlineStr">
        <is>
          <t>Kyrkan</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15101-2024</t>
        </is>
      </c>
      <c r="B1939" s="1" t="n">
        <v>45399.66148148148</v>
      </c>
      <c r="C1939" s="1" t="n">
        <v>46089</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41253-2021</t>
        </is>
      </c>
      <c r="B1940" s="1" t="n">
        <v>44424</v>
      </c>
      <c r="C1940" s="1" t="n">
        <v>46089</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52669-2024</t>
        </is>
      </c>
      <c r="B1941" s="1" t="n">
        <v>45610</v>
      </c>
      <c r="C1941" s="1" t="n">
        <v>46089</v>
      </c>
      <c r="D1941" t="inlineStr">
        <is>
          <t>VÄRMLANDS LÄN</t>
        </is>
      </c>
      <c r="E1941" t="inlineStr">
        <is>
          <t>TORSBY</t>
        </is>
      </c>
      <c r="F1941" t="inlineStr">
        <is>
          <t>Kyrkan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23804-2022</t>
        </is>
      </c>
      <c r="B1942" s="1" t="n">
        <v>44722</v>
      </c>
      <c r="C1942" s="1" t="n">
        <v>46089</v>
      </c>
      <c r="D1942" t="inlineStr">
        <is>
          <t>VÄRMLANDS LÄN</t>
        </is>
      </c>
      <c r="E1942" t="inlineStr">
        <is>
          <t>TORSBY</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42457-2024</t>
        </is>
      </c>
      <c r="B1943" s="1" t="n">
        <v>45565.46346064815</v>
      </c>
      <c r="C1943" s="1" t="n">
        <v>46089</v>
      </c>
      <c r="D1943" t="inlineStr">
        <is>
          <t>VÄRMLANDS LÄN</t>
        </is>
      </c>
      <c r="E1943" t="inlineStr">
        <is>
          <t>TORSBY</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8728-2024</t>
        </is>
      </c>
      <c r="B1944" s="1" t="n">
        <v>45356.42799768518</v>
      </c>
      <c r="C1944" s="1" t="n">
        <v>46089</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39771-2024</t>
        </is>
      </c>
      <c r="B1945" s="1" t="n">
        <v>45552</v>
      </c>
      <c r="C1945" s="1" t="n">
        <v>46089</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71679-2021</t>
        </is>
      </c>
      <c r="B1946" s="1" t="n">
        <v>44543</v>
      </c>
      <c r="C1946" s="1" t="n">
        <v>46089</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22124-2022</t>
        </is>
      </c>
      <c r="B1947" s="1" t="n">
        <v>44712</v>
      </c>
      <c r="C1947" s="1" t="n">
        <v>46089</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22943-2023</t>
        </is>
      </c>
      <c r="B1948" s="1" t="n">
        <v>45072</v>
      </c>
      <c r="C1948" s="1" t="n">
        <v>46089</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38497-2024</t>
        </is>
      </c>
      <c r="B1949" s="1" t="n">
        <v>45546.51869212963</v>
      </c>
      <c r="C1949" s="1" t="n">
        <v>46089</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17931-2024</t>
        </is>
      </c>
      <c r="B1950" s="1" t="n">
        <v>45419</v>
      </c>
      <c r="C1950" s="1" t="n">
        <v>46089</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54006-2024</t>
        </is>
      </c>
      <c r="B1951" s="1" t="n">
        <v>45616.3717824074</v>
      </c>
      <c r="C1951" s="1" t="n">
        <v>46089</v>
      </c>
      <c r="D1951" t="inlineStr">
        <is>
          <t>VÄRMLANDS LÄN</t>
        </is>
      </c>
      <c r="E1951" t="inlineStr">
        <is>
          <t>TORSBY</t>
        </is>
      </c>
      <c r="F1951" t="inlineStr">
        <is>
          <t>Kommuner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32847-2024</t>
        </is>
      </c>
      <c r="B1952" s="1" t="n">
        <v>45516.63021990741</v>
      </c>
      <c r="C1952" s="1" t="n">
        <v>46089</v>
      </c>
      <c r="D1952" t="inlineStr">
        <is>
          <t>VÄRMLANDS LÄN</t>
        </is>
      </c>
      <c r="E1952" t="inlineStr">
        <is>
          <t>TORSBY</t>
        </is>
      </c>
      <c r="F1952" t="inlineStr">
        <is>
          <t>Bergvik skog väst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8016-2023</t>
        </is>
      </c>
      <c r="B1953" s="1" t="n">
        <v>44973</v>
      </c>
      <c r="C1953" s="1" t="n">
        <v>46089</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68136-2021</t>
        </is>
      </c>
      <c r="B1954" s="1" t="n">
        <v>44526.40984953703</v>
      </c>
      <c r="C1954" s="1" t="n">
        <v>46089</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40227-2024</t>
        </is>
      </c>
      <c r="B1955" s="1" t="n">
        <v>45554</v>
      </c>
      <c r="C1955" s="1" t="n">
        <v>46089</v>
      </c>
      <c r="D1955" t="inlineStr">
        <is>
          <t>VÄRMLANDS LÄN</t>
        </is>
      </c>
      <c r="E1955" t="inlineStr">
        <is>
          <t>TORSBY</t>
        </is>
      </c>
      <c r="F1955" t="inlineStr">
        <is>
          <t>Bergvik skog väst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41501-2024</t>
        </is>
      </c>
      <c r="B1956" s="1" t="n">
        <v>45560</v>
      </c>
      <c r="C1956" s="1" t="n">
        <v>46089</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3922-2024</t>
        </is>
      </c>
      <c r="B1957" s="1" t="n">
        <v>45322.57271990741</v>
      </c>
      <c r="C1957" s="1" t="n">
        <v>46089</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17944-2021</t>
        </is>
      </c>
      <c r="B1958" s="1" t="n">
        <v>44301</v>
      </c>
      <c r="C1958" s="1" t="n">
        <v>46089</v>
      </c>
      <c r="D1958" t="inlineStr">
        <is>
          <t>VÄRMLANDS LÄN</t>
        </is>
      </c>
      <c r="E1958" t="inlineStr">
        <is>
          <t>TORSBY</t>
        </is>
      </c>
      <c r="F1958" t="inlineStr">
        <is>
          <t>Kommuner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27195-2023</t>
        </is>
      </c>
      <c r="B1959" s="1" t="n">
        <v>45096</v>
      </c>
      <c r="C1959" s="1" t="n">
        <v>46089</v>
      </c>
      <c r="D1959" t="inlineStr">
        <is>
          <t>VÄRMLANDS LÄN</t>
        </is>
      </c>
      <c r="E1959" t="inlineStr">
        <is>
          <t>TORSBY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60796-2024</t>
        </is>
      </c>
      <c r="B1960" s="1" t="n">
        <v>45642</v>
      </c>
      <c r="C1960" s="1" t="n">
        <v>46089</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18344-2021</t>
        </is>
      </c>
      <c r="B1961" s="1" t="n">
        <v>44305</v>
      </c>
      <c r="C1961" s="1" t="n">
        <v>46089</v>
      </c>
      <c r="D1961" t="inlineStr">
        <is>
          <t>VÄRMLANDS LÄN</t>
        </is>
      </c>
      <c r="E1961" t="inlineStr">
        <is>
          <t>TORSBY</t>
        </is>
      </c>
      <c r="F1961" t="inlineStr">
        <is>
          <t>Kommuner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57990-2023</t>
        </is>
      </c>
      <c r="B1962" s="1" t="n">
        <v>45247.60293981482</v>
      </c>
      <c r="C1962" s="1" t="n">
        <v>46089</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27223-2022</t>
        </is>
      </c>
      <c r="B1963" s="1" t="n">
        <v>44741</v>
      </c>
      <c r="C1963" s="1" t="n">
        <v>46089</v>
      </c>
      <c r="D1963" t="inlineStr">
        <is>
          <t>VÄRMLANDS LÄN</t>
        </is>
      </c>
      <c r="E1963" t="inlineStr">
        <is>
          <t>TORSBY</t>
        </is>
      </c>
      <c r="F1963" t="inlineStr">
        <is>
          <t>Bergvik skog väst AB</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423-2024</t>
        </is>
      </c>
      <c r="B1964" s="1" t="n">
        <v>45296.53034722222</v>
      </c>
      <c r="C1964" s="1" t="n">
        <v>46089</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12365-2022</t>
        </is>
      </c>
      <c r="B1965" s="1" t="n">
        <v>44637.70670138889</v>
      </c>
      <c r="C1965" s="1" t="n">
        <v>46089</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58430-2023</t>
        </is>
      </c>
      <c r="B1966" s="1" t="n">
        <v>45250.80646990741</v>
      </c>
      <c r="C1966" s="1" t="n">
        <v>46089</v>
      </c>
      <c r="D1966" t="inlineStr">
        <is>
          <t>VÄRMLANDS LÄN</t>
        </is>
      </c>
      <c r="E1966" t="inlineStr">
        <is>
          <t>TORSBY</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27270-2024</t>
        </is>
      </c>
      <c r="B1967" s="1" t="n">
        <v>45471.81967592592</v>
      </c>
      <c r="C1967" s="1" t="n">
        <v>46089</v>
      </c>
      <c r="D1967" t="inlineStr">
        <is>
          <t>VÄRMLANDS LÄN</t>
        </is>
      </c>
      <c r="E1967" t="inlineStr">
        <is>
          <t>TORSBY</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40180-2024</t>
        </is>
      </c>
      <c r="B1968" s="1" t="n">
        <v>45554.55413194445</v>
      </c>
      <c r="C1968" s="1" t="n">
        <v>46089</v>
      </c>
      <c r="D1968" t="inlineStr">
        <is>
          <t>VÄRMLANDS LÄN</t>
        </is>
      </c>
      <c r="E1968" t="inlineStr">
        <is>
          <t>TORSBY</t>
        </is>
      </c>
      <c r="F1968" t="inlineStr">
        <is>
          <t>Bergvik skog väst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10584-2023</t>
        </is>
      </c>
      <c r="B1969" s="1" t="n">
        <v>44988.36736111111</v>
      </c>
      <c r="C1969" s="1" t="n">
        <v>46089</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42632-2023</t>
        </is>
      </c>
      <c r="B1970" s="1" t="n">
        <v>45181</v>
      </c>
      <c r="C1970" s="1" t="n">
        <v>46089</v>
      </c>
      <c r="D1970" t="inlineStr">
        <is>
          <t>VÄRMLANDS LÄN</t>
        </is>
      </c>
      <c r="E1970" t="inlineStr">
        <is>
          <t>TORSBY</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42635-2023</t>
        </is>
      </c>
      <c r="B1971" s="1" t="n">
        <v>45181.49310185185</v>
      </c>
      <c r="C1971" s="1" t="n">
        <v>46089</v>
      </c>
      <c r="D1971" t="inlineStr">
        <is>
          <t>VÄRMLANDS LÄN</t>
        </is>
      </c>
      <c r="E1971" t="inlineStr">
        <is>
          <t>TORSBY</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4510-2023</t>
        </is>
      </c>
      <c r="B1972" s="1" t="n">
        <v>44956.57528935185</v>
      </c>
      <c r="C1972" s="1" t="n">
        <v>46089</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33499-2024</t>
        </is>
      </c>
      <c r="B1973" s="1" t="n">
        <v>45519.62280092593</v>
      </c>
      <c r="C1973" s="1" t="n">
        <v>46089</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31052-2023</t>
        </is>
      </c>
      <c r="B1974" s="1" t="n">
        <v>45113</v>
      </c>
      <c r="C1974" s="1" t="n">
        <v>46089</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27358-2024</t>
        </is>
      </c>
      <c r="B1975" s="1" t="n">
        <v>45473.71635416667</v>
      </c>
      <c r="C1975" s="1" t="n">
        <v>46089</v>
      </c>
      <c r="D1975" t="inlineStr">
        <is>
          <t>VÄRMLANDS LÄN</t>
        </is>
      </c>
      <c r="E1975" t="inlineStr">
        <is>
          <t>TORSBY</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27360-2024</t>
        </is>
      </c>
      <c r="B1976" s="1" t="n">
        <v>45473</v>
      </c>
      <c r="C1976" s="1" t="n">
        <v>46089</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39768-2024</t>
        </is>
      </c>
      <c r="B1977" s="1" t="n">
        <v>45552</v>
      </c>
      <c r="C1977" s="1" t="n">
        <v>46089</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31936-2023</t>
        </is>
      </c>
      <c r="B1978" s="1" t="n">
        <v>45107</v>
      </c>
      <c r="C1978" s="1" t="n">
        <v>46089</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54011-2024</t>
        </is>
      </c>
      <c r="B1979" s="1" t="n">
        <v>45616.37576388889</v>
      </c>
      <c r="C1979" s="1" t="n">
        <v>46089</v>
      </c>
      <c r="D1979" t="inlineStr">
        <is>
          <t>VÄRMLANDS LÄN</t>
        </is>
      </c>
      <c r="E1979" t="inlineStr">
        <is>
          <t>TORSBY</t>
        </is>
      </c>
      <c r="F1979" t="inlineStr">
        <is>
          <t>Kommuner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54026-2024</t>
        </is>
      </c>
      <c r="B1980" s="1" t="n">
        <v>45616</v>
      </c>
      <c r="C1980" s="1" t="n">
        <v>46089</v>
      </c>
      <c r="D1980" t="inlineStr">
        <is>
          <t>VÄRMLANDS LÄN</t>
        </is>
      </c>
      <c r="E1980" t="inlineStr">
        <is>
          <t>TORSBY</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56509-2024</t>
        </is>
      </c>
      <c r="B1981" s="1" t="n">
        <v>45625</v>
      </c>
      <c r="C1981" s="1" t="n">
        <v>46089</v>
      </c>
      <c r="D1981" t="inlineStr">
        <is>
          <t>VÄRMLANDS LÄN</t>
        </is>
      </c>
      <c r="E1981" t="inlineStr">
        <is>
          <t>TORSBY</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54223-2023</t>
        </is>
      </c>
      <c r="B1982" s="1" t="n">
        <v>45232</v>
      </c>
      <c r="C1982" s="1" t="n">
        <v>46089</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40157-2024</t>
        </is>
      </c>
      <c r="B1983" s="1" t="n">
        <v>45554</v>
      </c>
      <c r="C1983" s="1" t="n">
        <v>46089</v>
      </c>
      <c r="D1983" t="inlineStr">
        <is>
          <t>VÄRMLANDS LÄN</t>
        </is>
      </c>
      <c r="E1983" t="inlineStr">
        <is>
          <t>TORSBY</t>
        </is>
      </c>
      <c r="F1983" t="inlineStr">
        <is>
          <t>Bergvik skog väst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56880-2023</t>
        </is>
      </c>
      <c r="B1984" s="1" t="n">
        <v>45244</v>
      </c>
      <c r="C1984" s="1" t="n">
        <v>46089</v>
      </c>
      <c r="D1984" t="inlineStr">
        <is>
          <t>VÄRMLANDS LÄN</t>
        </is>
      </c>
      <c r="E1984" t="inlineStr">
        <is>
          <t>TORSBY</t>
        </is>
      </c>
      <c r="F1984" t="inlineStr">
        <is>
          <t>Övriga Aktiebolag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40207-2023</t>
        </is>
      </c>
      <c r="B1985" s="1" t="n">
        <v>45169.44604166667</v>
      </c>
      <c r="C1985" s="1" t="n">
        <v>46089</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55485-2023</t>
        </is>
      </c>
      <c r="B1986" s="1" t="n">
        <v>45238.52023148148</v>
      </c>
      <c r="C1986" s="1" t="n">
        <v>46089</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54714-2023</t>
        </is>
      </c>
      <c r="B1987" s="1" t="n">
        <v>45236.3515162037</v>
      </c>
      <c r="C1987" s="1" t="n">
        <v>46089</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21094-2022</t>
        </is>
      </c>
      <c r="B1988" s="1" t="n">
        <v>44704</v>
      </c>
      <c r="C1988" s="1" t="n">
        <v>46089</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50973-2023</t>
        </is>
      </c>
      <c r="B1989" s="1" t="n">
        <v>45218.50408564815</v>
      </c>
      <c r="C1989" s="1" t="n">
        <v>46089</v>
      </c>
      <c r="D1989" t="inlineStr">
        <is>
          <t>VÄRMLANDS LÄN</t>
        </is>
      </c>
      <c r="E1989" t="inlineStr">
        <is>
          <t>TORSBY</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51836-2024</t>
        </is>
      </c>
      <c r="B1990" s="1" t="n">
        <v>45607</v>
      </c>
      <c r="C1990" s="1" t="n">
        <v>46089</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54489-2024</t>
        </is>
      </c>
      <c r="B1991" s="1" t="n">
        <v>45617.56674768519</v>
      </c>
      <c r="C1991" s="1" t="n">
        <v>46089</v>
      </c>
      <c r="D1991" t="inlineStr">
        <is>
          <t>VÄRMLANDS LÄN</t>
        </is>
      </c>
      <c r="E1991" t="inlineStr">
        <is>
          <t>TORSBY</t>
        </is>
      </c>
      <c r="F1991" t="inlineStr">
        <is>
          <t>Bergvik skog väst AB</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924-2024</t>
        </is>
      </c>
      <c r="B1992" s="1" t="n">
        <v>45301</v>
      </c>
      <c r="C1992" s="1" t="n">
        <v>46089</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11695-2021</t>
        </is>
      </c>
      <c r="B1993" s="1" t="n">
        <v>44264.87736111111</v>
      </c>
      <c r="C1993" s="1" t="n">
        <v>46089</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20309-2025</t>
        </is>
      </c>
      <c r="B1994" s="1" t="n">
        <v>45775.28427083333</v>
      </c>
      <c r="C1994" s="1" t="n">
        <v>46089</v>
      </c>
      <c r="D1994" t="inlineStr">
        <is>
          <t>VÄRMLANDS LÄN</t>
        </is>
      </c>
      <c r="E1994" t="inlineStr">
        <is>
          <t>TORSBY</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16498-2022</t>
        </is>
      </c>
      <c r="B1995" s="1" t="n">
        <v>44671</v>
      </c>
      <c r="C1995" s="1" t="n">
        <v>46089</v>
      </c>
      <c r="D1995" t="inlineStr">
        <is>
          <t>VÄRMLANDS LÄN</t>
        </is>
      </c>
      <c r="E1995" t="inlineStr">
        <is>
          <t>TORSBY</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21411-2023</t>
        </is>
      </c>
      <c r="B1996" s="1" t="n">
        <v>45063.38505787037</v>
      </c>
      <c r="C1996" s="1" t="n">
        <v>46089</v>
      </c>
      <c r="D1996" t="inlineStr">
        <is>
          <t>VÄRMLANDS LÄN</t>
        </is>
      </c>
      <c r="E1996" t="inlineStr">
        <is>
          <t>TORSBY</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48320-2022</t>
        </is>
      </c>
      <c r="B1997" s="1" t="n">
        <v>44853</v>
      </c>
      <c r="C1997" s="1" t="n">
        <v>46089</v>
      </c>
      <c r="D1997" t="inlineStr">
        <is>
          <t>VÄRMLANDS LÄN</t>
        </is>
      </c>
      <c r="E1997" t="inlineStr">
        <is>
          <t>TORSBY</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3841-2022</t>
        </is>
      </c>
      <c r="B1998" s="1" t="n">
        <v>44587</v>
      </c>
      <c r="C1998" s="1" t="n">
        <v>46089</v>
      </c>
      <c r="D1998" t="inlineStr">
        <is>
          <t>VÄRMLANDS LÄN</t>
        </is>
      </c>
      <c r="E1998" t="inlineStr">
        <is>
          <t>TORSBY</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58185-2023</t>
        </is>
      </c>
      <c r="B1999" s="1" t="n">
        <v>45250.41873842593</v>
      </c>
      <c r="C1999" s="1" t="n">
        <v>46089</v>
      </c>
      <c r="D1999" t="inlineStr">
        <is>
          <t>VÄRMLANDS LÄN</t>
        </is>
      </c>
      <c r="E1999" t="inlineStr">
        <is>
          <t>TORSBY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27038-2024</t>
        </is>
      </c>
      <c r="B2000" s="1" t="n">
        <v>45471</v>
      </c>
      <c r="C2000" s="1" t="n">
        <v>46089</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27045-2024</t>
        </is>
      </c>
      <c r="B2001" s="1" t="n">
        <v>45471</v>
      </c>
      <c r="C2001" s="1" t="n">
        <v>46089</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27920-2023</t>
        </is>
      </c>
      <c r="B2002" s="1" t="n">
        <v>45098.64269675926</v>
      </c>
      <c r="C2002" s="1" t="n">
        <v>46089</v>
      </c>
      <c r="D2002" t="inlineStr">
        <is>
          <t>VÄRMLANDS LÄN</t>
        </is>
      </c>
      <c r="E2002" t="inlineStr">
        <is>
          <t>TORSBY</t>
        </is>
      </c>
      <c r="F2002" t="inlineStr">
        <is>
          <t>Kyrkan</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14614-2025</t>
        </is>
      </c>
      <c r="B2003" s="1" t="n">
        <v>45742</v>
      </c>
      <c r="C2003" s="1" t="n">
        <v>46089</v>
      </c>
      <c r="D2003" t="inlineStr">
        <is>
          <t>VÄRMLANDS LÄN</t>
        </is>
      </c>
      <c r="E2003" t="inlineStr">
        <is>
          <t>TORSBY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24639-2023</t>
        </is>
      </c>
      <c r="B2004" s="1" t="n">
        <v>45084</v>
      </c>
      <c r="C2004" s="1" t="n">
        <v>46089</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57072-2022</t>
        </is>
      </c>
      <c r="B2005" s="1" t="n">
        <v>44895.4252662037</v>
      </c>
      <c r="C2005" s="1" t="n">
        <v>46089</v>
      </c>
      <c r="D2005" t="inlineStr">
        <is>
          <t>VÄRMLANDS LÄN</t>
        </is>
      </c>
      <c r="E2005" t="inlineStr">
        <is>
          <t>TORSBY</t>
        </is>
      </c>
      <c r="F2005" t="inlineStr">
        <is>
          <t>Övriga statliga verk och myndigheter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18544-2023</t>
        </is>
      </c>
      <c r="B2006" s="1" t="n">
        <v>45041</v>
      </c>
      <c r="C2006" s="1" t="n">
        <v>46089</v>
      </c>
      <c r="D2006" t="inlineStr">
        <is>
          <t>VÄRMLANDS LÄN</t>
        </is>
      </c>
      <c r="E2006" t="inlineStr">
        <is>
          <t>TORSBY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52581-2024</t>
        </is>
      </c>
      <c r="B2007" s="1" t="n">
        <v>45609</v>
      </c>
      <c r="C2007" s="1" t="n">
        <v>46089</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44708-2022</t>
        </is>
      </c>
      <c r="B2008" s="1" t="n">
        <v>44840.73633101852</v>
      </c>
      <c r="C2008" s="1" t="n">
        <v>46089</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56970-2023</t>
        </is>
      </c>
      <c r="B2009" s="1" t="n">
        <v>45244.63689814815</v>
      </c>
      <c r="C2009" s="1" t="n">
        <v>46089</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38100-2024</t>
        </is>
      </c>
      <c r="B2010" s="1" t="n">
        <v>45545</v>
      </c>
      <c r="C2010" s="1" t="n">
        <v>46089</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41529-2024</t>
        </is>
      </c>
      <c r="B2011" s="1" t="n">
        <v>45560.48552083333</v>
      </c>
      <c r="C2011" s="1" t="n">
        <v>46089</v>
      </c>
      <c r="D2011" t="inlineStr">
        <is>
          <t>VÄRMLANDS LÄN</t>
        </is>
      </c>
      <c r="E2011" t="inlineStr">
        <is>
          <t>TORSBY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56281-2022</t>
        </is>
      </c>
      <c r="B2012" s="1" t="n">
        <v>44890</v>
      </c>
      <c r="C2012" s="1" t="n">
        <v>46089</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47355-2023</t>
        </is>
      </c>
      <c r="B2013" s="1" t="n">
        <v>45202</v>
      </c>
      <c r="C2013" s="1" t="n">
        <v>46089</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40997-2022</t>
        </is>
      </c>
      <c r="B2014" s="1" t="n">
        <v>44825.50576388889</v>
      </c>
      <c r="C2014" s="1" t="n">
        <v>46089</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39770-2024</t>
        </is>
      </c>
      <c r="B2015" s="1" t="n">
        <v>45552</v>
      </c>
      <c r="C2015" s="1" t="n">
        <v>46089</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18682-2024</t>
        </is>
      </c>
      <c r="B2016" s="1" t="n">
        <v>45426.37251157407</v>
      </c>
      <c r="C2016" s="1" t="n">
        <v>46089</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3542-2023</t>
        </is>
      </c>
      <c r="B2017" s="1" t="n">
        <v>44950</v>
      </c>
      <c r="C2017" s="1" t="n">
        <v>46089</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60737-2022</t>
        </is>
      </c>
      <c r="B2018" s="1" t="n">
        <v>44913.88537037037</v>
      </c>
      <c r="C2018" s="1" t="n">
        <v>46089</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37929-2022</t>
        </is>
      </c>
      <c r="B2019" s="1" t="n">
        <v>44811.45628472222</v>
      </c>
      <c r="C2019" s="1" t="n">
        <v>46089</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53297-2024</t>
        </is>
      </c>
      <c r="B2020" s="1" t="n">
        <v>45614.38802083334</v>
      </c>
      <c r="C2020" s="1" t="n">
        <v>46089</v>
      </c>
      <c r="D2020" t="inlineStr">
        <is>
          <t>VÄRMLANDS LÄN</t>
        </is>
      </c>
      <c r="E2020" t="inlineStr">
        <is>
          <t>TORSBY</t>
        </is>
      </c>
      <c r="F2020" t="inlineStr">
        <is>
          <t>Bergvik skog väst AB</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22973-2024</t>
        </is>
      </c>
      <c r="B2021" s="1" t="n">
        <v>45449</v>
      </c>
      <c r="C2021" s="1" t="n">
        <v>46089</v>
      </c>
      <c r="D2021" t="inlineStr">
        <is>
          <t>VÄRMLANDS LÄN</t>
        </is>
      </c>
      <c r="E2021" t="inlineStr">
        <is>
          <t>TORSBY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9057-2022</t>
        </is>
      </c>
      <c r="B2022" s="1" t="n">
        <v>44615</v>
      </c>
      <c r="C2022" s="1" t="n">
        <v>46089</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13189-2025</t>
        </is>
      </c>
      <c r="B2023" s="1" t="n">
        <v>45735.39708333334</v>
      </c>
      <c r="C2023" s="1" t="n">
        <v>46089</v>
      </c>
      <c r="D2023" t="inlineStr">
        <is>
          <t>VÄRMLANDS LÄN</t>
        </is>
      </c>
      <c r="E2023" t="inlineStr">
        <is>
          <t>TORSBY</t>
        </is>
      </c>
      <c r="G2023" t="n">
        <v>15.4</v>
      </c>
      <c r="H2023" t="n">
        <v>0</v>
      </c>
      <c r="I2023" t="n">
        <v>0</v>
      </c>
      <c r="J2023" t="n">
        <v>0</v>
      </c>
      <c r="K2023" t="n">
        <v>0</v>
      </c>
      <c r="L2023" t="n">
        <v>0</v>
      </c>
      <c r="M2023" t="n">
        <v>0</v>
      </c>
      <c r="N2023" t="n">
        <v>0</v>
      </c>
      <c r="O2023" t="n">
        <v>0</v>
      </c>
      <c r="P2023" t="n">
        <v>0</v>
      </c>
      <c r="Q2023" t="n">
        <v>0</v>
      </c>
      <c r="R2023" s="2" t="inlineStr"/>
    </row>
    <row r="2024" ht="15" customHeight="1">
      <c r="A2024" t="inlineStr">
        <is>
          <t>A 3326-2024</t>
        </is>
      </c>
      <c r="B2024" s="1" t="n">
        <v>45317</v>
      </c>
      <c r="C2024" s="1" t="n">
        <v>46089</v>
      </c>
      <c r="D2024" t="inlineStr">
        <is>
          <t>VÄRMLANDS LÄN</t>
        </is>
      </c>
      <c r="E2024" t="inlineStr">
        <is>
          <t>TORSBY</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10329-2025</t>
        </is>
      </c>
      <c r="B2025" s="1" t="n">
        <v>45720</v>
      </c>
      <c r="C2025" s="1" t="n">
        <v>46089</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10343-2025</t>
        </is>
      </c>
      <c r="B2026" s="1" t="n">
        <v>45720</v>
      </c>
      <c r="C2026" s="1" t="n">
        <v>46089</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52901-2022</t>
        </is>
      </c>
      <c r="B2027" s="1" t="n">
        <v>44872</v>
      </c>
      <c r="C2027" s="1" t="n">
        <v>46089</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47077-2023</t>
        </is>
      </c>
      <c r="B2028" s="1" t="n">
        <v>45201</v>
      </c>
      <c r="C2028" s="1" t="n">
        <v>46089</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20745-2023</t>
        </is>
      </c>
      <c r="B2029" s="1" t="n">
        <v>45058</v>
      </c>
      <c r="C2029" s="1" t="n">
        <v>46089</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70926-2021</t>
        </is>
      </c>
      <c r="B2030" s="1" t="n">
        <v>44538</v>
      </c>
      <c r="C2030" s="1" t="n">
        <v>46089</v>
      </c>
      <c r="D2030" t="inlineStr">
        <is>
          <t>VÄRMLANDS LÄN</t>
        </is>
      </c>
      <c r="E2030" t="inlineStr">
        <is>
          <t>TORSBY</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72200-2021</t>
        </is>
      </c>
      <c r="B2031" s="1" t="n">
        <v>44544.67358796296</v>
      </c>
      <c r="C2031" s="1" t="n">
        <v>46089</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52592-2024</t>
        </is>
      </c>
      <c r="B2032" s="1" t="n">
        <v>45609</v>
      </c>
      <c r="C2032" s="1" t="n">
        <v>46089</v>
      </c>
      <c r="D2032" t="inlineStr">
        <is>
          <t>VÄRMLANDS LÄN</t>
        </is>
      </c>
      <c r="E2032" t="inlineStr">
        <is>
          <t>TORSBY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18877-2022</t>
        </is>
      </c>
      <c r="B2033" s="1" t="n">
        <v>44690.52556712963</v>
      </c>
      <c r="C2033" s="1" t="n">
        <v>46089</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5830-2023</t>
        </is>
      </c>
      <c r="B2034" s="1" t="n">
        <v>44963</v>
      </c>
      <c r="C2034" s="1" t="n">
        <v>46089</v>
      </c>
      <c r="D2034" t="inlineStr">
        <is>
          <t>VÄRMLANDS LÄN</t>
        </is>
      </c>
      <c r="E2034" t="inlineStr">
        <is>
          <t>TORSBY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22158-2022</t>
        </is>
      </c>
      <c r="B2035" s="1" t="n">
        <v>44708</v>
      </c>
      <c r="C2035" s="1" t="n">
        <v>46089</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20175-2022</t>
        </is>
      </c>
      <c r="B2036" s="1" t="n">
        <v>44698</v>
      </c>
      <c r="C2036" s="1" t="n">
        <v>46089</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6646-2024</t>
        </is>
      </c>
      <c r="B2037" s="1" t="n">
        <v>45341.66643518519</v>
      </c>
      <c r="C2037" s="1" t="n">
        <v>46089</v>
      </c>
      <c r="D2037" t="inlineStr">
        <is>
          <t>VÄRMLANDS LÄN</t>
        </is>
      </c>
      <c r="E2037" t="inlineStr">
        <is>
          <t>TORSBY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6648-2024</t>
        </is>
      </c>
      <c r="B2038" s="1" t="n">
        <v>45341</v>
      </c>
      <c r="C2038" s="1" t="n">
        <v>46089</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41841-2023</t>
        </is>
      </c>
      <c r="B2039" s="1" t="n">
        <v>45176.60436342593</v>
      </c>
      <c r="C2039" s="1" t="n">
        <v>46089</v>
      </c>
      <c r="D2039" t="inlineStr">
        <is>
          <t>VÄRMLANDS LÄN</t>
        </is>
      </c>
      <c r="E2039" t="inlineStr">
        <is>
          <t>TORSBY</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6713-2023</t>
        </is>
      </c>
      <c r="B2040" s="1" t="n">
        <v>44960</v>
      </c>
      <c r="C2040" s="1" t="n">
        <v>46089</v>
      </c>
      <c r="D2040" t="inlineStr">
        <is>
          <t>VÄRMLANDS LÄN</t>
        </is>
      </c>
      <c r="E2040" t="inlineStr">
        <is>
          <t>TORSBY</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45274.51719907407</v>
      </c>
      <c r="C2041" s="1" t="n">
        <v>46089</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12051-2024</t>
        </is>
      </c>
      <c r="B2042" s="1" t="n">
        <v>45377</v>
      </c>
      <c r="C2042" s="1" t="n">
        <v>46089</v>
      </c>
      <c r="D2042" t="inlineStr">
        <is>
          <t>VÄRMLANDS LÄN</t>
        </is>
      </c>
      <c r="E2042" t="inlineStr">
        <is>
          <t>TORSBY</t>
        </is>
      </c>
      <c r="F2042" t="inlineStr">
        <is>
          <t>Bergvik skog väst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73553-2021</t>
        </is>
      </c>
      <c r="B2043" s="1" t="n">
        <v>44551</v>
      </c>
      <c r="C2043" s="1" t="n">
        <v>46089</v>
      </c>
      <c r="D2043" t="inlineStr">
        <is>
          <t>VÄRMLANDS LÄN</t>
        </is>
      </c>
      <c r="E2043" t="inlineStr">
        <is>
          <t>TORSBY</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18099-2022</t>
        </is>
      </c>
      <c r="B2044" s="1" t="n">
        <v>44684</v>
      </c>
      <c r="C2044" s="1" t="n">
        <v>46089</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54306-2024</t>
        </is>
      </c>
      <c r="B2045" s="1" t="n">
        <v>45617</v>
      </c>
      <c r="C2045" s="1" t="n">
        <v>46089</v>
      </c>
      <c r="D2045" t="inlineStr">
        <is>
          <t>VÄRMLANDS LÄN</t>
        </is>
      </c>
      <c r="E2045" t="inlineStr">
        <is>
          <t>TORSBY</t>
        </is>
      </c>
      <c r="F2045" t="inlineStr">
        <is>
          <t>Bergvik skog väst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54265-2024</t>
        </is>
      </c>
      <c r="B2046" s="1" t="n">
        <v>45616</v>
      </c>
      <c r="C2046" s="1" t="n">
        <v>46089</v>
      </c>
      <c r="D2046" t="inlineStr">
        <is>
          <t>VÄRMLANDS LÄN</t>
        </is>
      </c>
      <c r="E2046" t="inlineStr">
        <is>
          <t>TORSBY</t>
        </is>
      </c>
      <c r="F2046" t="inlineStr">
        <is>
          <t>Kommuner</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1161-2025</t>
        </is>
      </c>
      <c r="B2047" s="1" t="n">
        <v>45666</v>
      </c>
      <c r="C2047" s="1" t="n">
        <v>46089</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14301-2025</t>
        </is>
      </c>
      <c r="B2048" s="1" t="n">
        <v>45740</v>
      </c>
      <c r="C2048" s="1" t="n">
        <v>46089</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11395-2025</t>
        </is>
      </c>
      <c r="B2049" s="1" t="n">
        <v>45726.5728125</v>
      </c>
      <c r="C2049" s="1" t="n">
        <v>46089</v>
      </c>
      <c r="D2049" t="inlineStr">
        <is>
          <t>VÄRMLANDS LÄN</t>
        </is>
      </c>
      <c r="E2049" t="inlineStr">
        <is>
          <t>TORSBY</t>
        </is>
      </c>
      <c r="G2049" t="n">
        <v>25.3</v>
      </c>
      <c r="H2049" t="n">
        <v>0</v>
      </c>
      <c r="I2049" t="n">
        <v>0</v>
      </c>
      <c r="J2049" t="n">
        <v>0</v>
      </c>
      <c r="K2049" t="n">
        <v>0</v>
      </c>
      <c r="L2049" t="n">
        <v>0</v>
      </c>
      <c r="M2049" t="n">
        <v>0</v>
      </c>
      <c r="N2049" t="n">
        <v>0</v>
      </c>
      <c r="O2049" t="n">
        <v>0</v>
      </c>
      <c r="P2049" t="n">
        <v>0</v>
      </c>
      <c r="Q2049" t="n">
        <v>0</v>
      </c>
      <c r="R2049" s="2" t="inlineStr"/>
    </row>
    <row r="2050" ht="15" customHeight="1">
      <c r="A2050" t="inlineStr">
        <is>
          <t>A 19575-2025</t>
        </is>
      </c>
      <c r="B2050" s="1" t="n">
        <v>45770.55957175926</v>
      </c>
      <c r="C2050" s="1" t="n">
        <v>46089</v>
      </c>
      <c r="D2050" t="inlineStr">
        <is>
          <t>VÄRMLANDS LÄN</t>
        </is>
      </c>
      <c r="E2050" t="inlineStr">
        <is>
          <t>TORSBY</t>
        </is>
      </c>
      <c r="F2050" t="inlineStr">
        <is>
          <t>Bergvik skog väst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1100-2025</t>
        </is>
      </c>
      <c r="B2051" s="1" t="n">
        <v>45666.64099537037</v>
      </c>
      <c r="C2051" s="1" t="n">
        <v>46089</v>
      </c>
      <c r="D2051" t="inlineStr">
        <is>
          <t>VÄRMLANDS LÄN</t>
        </is>
      </c>
      <c r="E2051" t="inlineStr">
        <is>
          <t>TORSBY</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49982-2023</t>
        </is>
      </c>
      <c r="B2052" s="1" t="n">
        <v>45215.4216087963</v>
      </c>
      <c r="C2052" s="1" t="n">
        <v>46089</v>
      </c>
      <c r="D2052" t="inlineStr">
        <is>
          <t>VÄRMLANDS LÄN</t>
        </is>
      </c>
      <c r="E2052" t="inlineStr">
        <is>
          <t>TORSBY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48874-2024</t>
        </is>
      </c>
      <c r="B2053" s="1" t="n">
        <v>45594</v>
      </c>
      <c r="C2053" s="1" t="n">
        <v>46089</v>
      </c>
      <c r="D2053" t="inlineStr">
        <is>
          <t>VÄRMLANDS LÄN</t>
        </is>
      </c>
      <c r="E2053" t="inlineStr">
        <is>
          <t>TORSBY</t>
        </is>
      </c>
      <c r="F2053" t="inlineStr">
        <is>
          <t>Bergvik skog väst AB</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10027-2023</t>
        </is>
      </c>
      <c r="B2054" s="1" t="n">
        <v>44979</v>
      </c>
      <c r="C2054" s="1" t="n">
        <v>46089</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26343-2023</t>
        </is>
      </c>
      <c r="B2055" s="1" t="n">
        <v>45091</v>
      </c>
      <c r="C2055" s="1" t="n">
        <v>46089</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24148-2024</t>
        </is>
      </c>
      <c r="B2056" s="1" t="n">
        <v>45456</v>
      </c>
      <c r="C2056" s="1" t="n">
        <v>46089</v>
      </c>
      <c r="D2056" t="inlineStr">
        <is>
          <t>VÄRMLANDS LÄN</t>
        </is>
      </c>
      <c r="E2056" t="inlineStr">
        <is>
          <t>TORSBY</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34427-2023</t>
        </is>
      </c>
      <c r="B2057" s="1" t="n">
        <v>45139.61741898148</v>
      </c>
      <c r="C2057" s="1" t="n">
        <v>46089</v>
      </c>
      <c r="D2057" t="inlineStr">
        <is>
          <t>VÄRMLANDS LÄN</t>
        </is>
      </c>
      <c r="E2057" t="inlineStr">
        <is>
          <t>TORSBY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23264-2022</t>
        </is>
      </c>
      <c r="B2058" s="1" t="n">
        <v>44720.40818287037</v>
      </c>
      <c r="C2058" s="1" t="n">
        <v>46089</v>
      </c>
      <c r="D2058" t="inlineStr">
        <is>
          <t>VÄRMLANDS LÄN</t>
        </is>
      </c>
      <c r="E2058" t="inlineStr">
        <is>
          <t>TORSBY</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9574-2023</t>
        </is>
      </c>
      <c r="B2059" s="1" t="n">
        <v>44982.55168981481</v>
      </c>
      <c r="C2059" s="1" t="n">
        <v>46089</v>
      </c>
      <c r="D2059" t="inlineStr">
        <is>
          <t>VÄRMLANDS LÄN</t>
        </is>
      </c>
      <c r="E2059" t="inlineStr">
        <is>
          <t>TORSBY</t>
        </is>
      </c>
      <c r="F2059" t="inlineStr">
        <is>
          <t>Övriga statliga verk och myndigheter</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35777-2024</t>
        </is>
      </c>
      <c r="B2060" s="1" t="n">
        <v>45532</v>
      </c>
      <c r="C2060" s="1" t="n">
        <v>46089</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37752-2022</t>
        </is>
      </c>
      <c r="B2061" s="1" t="n">
        <v>44810</v>
      </c>
      <c r="C2061" s="1" t="n">
        <v>46089</v>
      </c>
      <c r="D2061" t="inlineStr">
        <is>
          <t>VÄRMLANDS LÄN</t>
        </is>
      </c>
      <c r="E2061" t="inlineStr">
        <is>
          <t>TORSBY</t>
        </is>
      </c>
      <c r="F2061" t="inlineStr">
        <is>
          <t>Kyrkan</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17841-2025</t>
        </is>
      </c>
      <c r="B2062" s="1" t="n">
        <v>45758</v>
      </c>
      <c r="C2062" s="1" t="n">
        <v>46089</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41156-2023</t>
        </is>
      </c>
      <c r="B2063" s="1" t="n">
        <v>45174</v>
      </c>
      <c r="C2063" s="1" t="n">
        <v>46089</v>
      </c>
      <c r="D2063" t="inlineStr">
        <is>
          <t>VÄRMLANDS LÄN</t>
        </is>
      </c>
      <c r="E2063" t="inlineStr">
        <is>
          <t>TORSBY</t>
        </is>
      </c>
      <c r="F2063" t="inlineStr">
        <is>
          <t>Kyrkan</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45281.61913194445</v>
      </c>
      <c r="C2064" s="1" t="n">
        <v>46089</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55031-2023</t>
        </is>
      </c>
      <c r="B2065" s="1" t="n">
        <v>45237.34733796296</v>
      </c>
      <c r="C2065" s="1" t="n">
        <v>46089</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9871-2024</t>
        </is>
      </c>
      <c r="B2066" s="1" t="n">
        <v>45363</v>
      </c>
      <c r="C2066" s="1" t="n">
        <v>46089</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29043-2023</t>
        </is>
      </c>
      <c r="B2067" s="1" t="n">
        <v>45104</v>
      </c>
      <c r="C2067" s="1" t="n">
        <v>46089</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60058-2023</t>
        </is>
      </c>
      <c r="B2068" s="1" t="n">
        <v>45258.37978009259</v>
      </c>
      <c r="C2068" s="1" t="n">
        <v>46089</v>
      </c>
      <c r="D2068" t="inlineStr">
        <is>
          <t>VÄRMLANDS LÄN</t>
        </is>
      </c>
      <c r="E2068" t="inlineStr">
        <is>
          <t>TORSBY</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27363-2024</t>
        </is>
      </c>
      <c r="B2069" s="1" t="n">
        <v>45473</v>
      </c>
      <c r="C2069" s="1" t="n">
        <v>46089</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8197-2025</t>
        </is>
      </c>
      <c r="B2070" s="1" t="n">
        <v>45708.4318287037</v>
      </c>
      <c r="C2070" s="1" t="n">
        <v>46089</v>
      </c>
      <c r="D2070" t="inlineStr">
        <is>
          <t>VÄRMLANDS LÄN</t>
        </is>
      </c>
      <c r="E2070" t="inlineStr">
        <is>
          <t>TORSBY</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56571-2024</t>
        </is>
      </c>
      <c r="B2071" s="1" t="n">
        <v>45625</v>
      </c>
      <c r="C2071" s="1" t="n">
        <v>46089</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33232-2024</t>
        </is>
      </c>
      <c r="B2072" s="1" t="n">
        <v>45518</v>
      </c>
      <c r="C2072" s="1" t="n">
        <v>46089</v>
      </c>
      <c r="D2072" t="inlineStr">
        <is>
          <t>VÄRMLANDS LÄN</t>
        </is>
      </c>
      <c r="E2072" t="inlineStr">
        <is>
          <t>TORSBY</t>
        </is>
      </c>
      <c r="F2072" t="inlineStr">
        <is>
          <t>Bergvik skog väst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48253-2024</t>
        </is>
      </c>
      <c r="B2073" s="1" t="n">
        <v>45590</v>
      </c>
      <c r="C2073" s="1" t="n">
        <v>46089</v>
      </c>
      <c r="D2073" t="inlineStr">
        <is>
          <t>VÄRMLANDS LÄN</t>
        </is>
      </c>
      <c r="E2073" t="inlineStr">
        <is>
          <t>TORSBY</t>
        </is>
      </c>
      <c r="F2073" t="inlineStr">
        <is>
          <t>Bergvik skog väst AB</t>
        </is>
      </c>
      <c r="G2073" t="n">
        <v>20.7</v>
      </c>
      <c r="H2073" t="n">
        <v>0</v>
      </c>
      <c r="I2073" t="n">
        <v>0</v>
      </c>
      <c r="J2073" t="n">
        <v>0</v>
      </c>
      <c r="K2073" t="n">
        <v>0</v>
      </c>
      <c r="L2073" t="n">
        <v>0</v>
      </c>
      <c r="M2073" t="n">
        <v>0</v>
      </c>
      <c r="N2073" t="n">
        <v>0</v>
      </c>
      <c r="O2073" t="n">
        <v>0</v>
      </c>
      <c r="P2073" t="n">
        <v>0</v>
      </c>
      <c r="Q2073" t="n">
        <v>0</v>
      </c>
      <c r="R2073" s="2" t="inlineStr"/>
    </row>
    <row r="2074" ht="15" customHeight="1">
      <c r="A2074" t="inlineStr">
        <is>
          <t>A 43301-2024</t>
        </is>
      </c>
      <c r="B2074" s="1" t="n">
        <v>45568</v>
      </c>
      <c r="C2074" s="1" t="n">
        <v>46089</v>
      </c>
      <c r="D2074" t="inlineStr">
        <is>
          <t>VÄRMLANDS LÄN</t>
        </is>
      </c>
      <c r="E2074" t="inlineStr">
        <is>
          <t>TORSBY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24004-2024</t>
        </is>
      </c>
      <c r="B2075" s="1" t="n">
        <v>45456</v>
      </c>
      <c r="C2075" s="1" t="n">
        <v>46089</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37623-2023</t>
        </is>
      </c>
      <c r="B2076" s="1" t="n">
        <v>45159.45560185185</v>
      </c>
      <c r="C2076" s="1" t="n">
        <v>46089</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42347-2021</t>
        </is>
      </c>
      <c r="B2077" s="1" t="n">
        <v>44427</v>
      </c>
      <c r="C2077" s="1" t="n">
        <v>46089</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23044-2024</t>
        </is>
      </c>
      <c r="B2078" s="1" t="n">
        <v>45450</v>
      </c>
      <c r="C2078" s="1" t="n">
        <v>46089</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18354-2021</t>
        </is>
      </c>
      <c r="B2079" s="1" t="n">
        <v>44305.56186342592</v>
      </c>
      <c r="C2079" s="1" t="n">
        <v>46089</v>
      </c>
      <c r="D2079" t="inlineStr">
        <is>
          <t>VÄRMLANDS LÄN</t>
        </is>
      </c>
      <c r="E2079" t="inlineStr">
        <is>
          <t>TORSBY</t>
        </is>
      </c>
      <c r="F2079" t="inlineStr">
        <is>
          <t>Kommuner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17184-2023</t>
        </is>
      </c>
      <c r="B2080" s="1" t="n">
        <v>45034.69127314815</v>
      </c>
      <c r="C2080" s="1" t="n">
        <v>46089</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44424-2024</t>
        </is>
      </c>
      <c r="B2081" s="1" t="n">
        <v>45573</v>
      </c>
      <c r="C2081" s="1" t="n">
        <v>46089</v>
      </c>
      <c r="D2081" t="inlineStr">
        <is>
          <t>VÄRMLANDS LÄN</t>
        </is>
      </c>
      <c r="E2081" t="inlineStr">
        <is>
          <t>TORSBY</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33853-2021</t>
        </is>
      </c>
      <c r="B2082" s="1" t="n">
        <v>44378.61460648148</v>
      </c>
      <c r="C2082" s="1" t="n">
        <v>46089</v>
      </c>
      <c r="D2082" t="inlineStr">
        <is>
          <t>VÄRMLANDS LÄN</t>
        </is>
      </c>
      <c r="E2082" t="inlineStr">
        <is>
          <t>TORSBY</t>
        </is>
      </c>
      <c r="F2082" t="inlineStr">
        <is>
          <t>Bergvik skog väst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49936-2024</t>
        </is>
      </c>
      <c r="B2083" s="1" t="n">
        <v>45597</v>
      </c>
      <c r="C2083" s="1" t="n">
        <v>46089</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33072-2023</t>
        </is>
      </c>
      <c r="B2084" s="1" t="n">
        <v>45126</v>
      </c>
      <c r="C2084" s="1" t="n">
        <v>46089</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52078-2023</t>
        </is>
      </c>
      <c r="B2085" s="1" t="n">
        <v>45223</v>
      </c>
      <c r="C2085" s="1" t="n">
        <v>46089</v>
      </c>
      <c r="D2085" t="inlineStr">
        <is>
          <t>VÄRMLANDS LÄN</t>
        </is>
      </c>
      <c r="E2085" t="inlineStr">
        <is>
          <t>TORSBY</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3670-2023</t>
        </is>
      </c>
      <c r="B2086" s="1" t="n">
        <v>44950</v>
      </c>
      <c r="C2086" s="1" t="n">
        <v>46089</v>
      </c>
      <c r="D2086" t="inlineStr">
        <is>
          <t>VÄRMLANDS LÄN</t>
        </is>
      </c>
      <c r="E2086" t="inlineStr">
        <is>
          <t>TORSBY</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26979-2023</t>
        </is>
      </c>
      <c r="B2087" s="1" t="n">
        <v>45091</v>
      </c>
      <c r="C2087" s="1" t="n">
        <v>46089</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22702-2023</t>
        </is>
      </c>
      <c r="B2088" s="1" t="n">
        <v>45071</v>
      </c>
      <c r="C2088" s="1" t="n">
        <v>46089</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8188-2025</t>
        </is>
      </c>
      <c r="B2089" s="1" t="n">
        <v>45708.40246527778</v>
      </c>
      <c r="C2089" s="1" t="n">
        <v>46089</v>
      </c>
      <c r="D2089" t="inlineStr">
        <is>
          <t>VÄRMLANDS LÄN</t>
        </is>
      </c>
      <c r="E2089" t="inlineStr">
        <is>
          <t>TORSBY</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10888-2023</t>
        </is>
      </c>
      <c r="B2090" s="1" t="n">
        <v>44985</v>
      </c>
      <c r="C2090" s="1" t="n">
        <v>46089</v>
      </c>
      <c r="D2090" t="inlineStr">
        <is>
          <t>VÄRMLANDS LÄN</t>
        </is>
      </c>
      <c r="E2090" t="inlineStr">
        <is>
          <t>TORSBY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50608-2023</t>
        </is>
      </c>
      <c r="B2091" s="1" t="n">
        <v>45217</v>
      </c>
      <c r="C2091" s="1" t="n">
        <v>46089</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56716-2023</t>
        </is>
      </c>
      <c r="B2092" s="1" t="n">
        <v>45238</v>
      </c>
      <c r="C2092" s="1" t="n">
        <v>46089</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54556-2023</t>
        </is>
      </c>
      <c r="B2093" s="1" t="n">
        <v>45233.63445601852</v>
      </c>
      <c r="C2093" s="1" t="n">
        <v>46089</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30700-2024</t>
        </is>
      </c>
      <c r="B2094" s="1" t="n">
        <v>45496.35869212963</v>
      </c>
      <c r="C2094" s="1" t="n">
        <v>46089</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30705-2024</t>
        </is>
      </c>
      <c r="B2095" s="1" t="n">
        <v>45496.38092592593</v>
      </c>
      <c r="C2095" s="1" t="n">
        <v>46089</v>
      </c>
      <c r="D2095" t="inlineStr">
        <is>
          <t>VÄRMLANDS LÄN</t>
        </is>
      </c>
      <c r="E2095" t="inlineStr">
        <is>
          <t>TORSBY</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26686-2022</t>
        </is>
      </c>
      <c r="B2096" s="1" t="n">
        <v>44739.67833333334</v>
      </c>
      <c r="C2096" s="1" t="n">
        <v>46089</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63266-2023</t>
        </is>
      </c>
      <c r="B2097" s="1" t="n">
        <v>45273.741875</v>
      </c>
      <c r="C2097" s="1" t="n">
        <v>46089</v>
      </c>
      <c r="D2097" t="inlineStr">
        <is>
          <t>VÄRMLANDS LÄN</t>
        </is>
      </c>
      <c r="E2097" t="inlineStr">
        <is>
          <t>TORSBY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38914-2022</t>
        </is>
      </c>
      <c r="B2098" s="1" t="n">
        <v>44816.61194444444</v>
      </c>
      <c r="C2098" s="1" t="n">
        <v>46089</v>
      </c>
      <c r="D2098" t="inlineStr">
        <is>
          <t>VÄRMLANDS LÄN</t>
        </is>
      </c>
      <c r="E2098" t="inlineStr">
        <is>
          <t>TORSBY</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38882-2022</t>
        </is>
      </c>
      <c r="B2099" s="1" t="n">
        <v>44816.565625</v>
      </c>
      <c r="C2099" s="1" t="n">
        <v>46089</v>
      </c>
      <c r="D2099" t="inlineStr">
        <is>
          <t>VÄRMLANDS LÄN</t>
        </is>
      </c>
      <c r="E2099" t="inlineStr">
        <is>
          <t>TORSBY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10895-2024</t>
        </is>
      </c>
      <c r="B2100" s="1" t="n">
        <v>45370.34901620371</v>
      </c>
      <c r="C2100" s="1" t="n">
        <v>46089</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44170-2022</t>
        </is>
      </c>
      <c r="B2101" s="1" t="n">
        <v>44838</v>
      </c>
      <c r="C2101" s="1" t="n">
        <v>46089</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7907-2025</t>
        </is>
      </c>
      <c r="B2102" s="1" t="n">
        <v>45707</v>
      </c>
      <c r="C2102" s="1" t="n">
        <v>46089</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6529-2025</t>
        </is>
      </c>
      <c r="B2103" s="1" t="n">
        <v>45699</v>
      </c>
      <c r="C2103" s="1" t="n">
        <v>46089</v>
      </c>
      <c r="D2103" t="inlineStr">
        <is>
          <t>VÄRMLANDS LÄN</t>
        </is>
      </c>
      <c r="E2103" t="inlineStr">
        <is>
          <t>TORSBY</t>
        </is>
      </c>
      <c r="F2103" t="inlineStr">
        <is>
          <t>Kommuner</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33469-2024</t>
        </is>
      </c>
      <c r="B2104" s="1" t="n">
        <v>45519.5996875</v>
      </c>
      <c r="C2104" s="1" t="n">
        <v>46089</v>
      </c>
      <c r="D2104" t="inlineStr">
        <is>
          <t>VÄRMLANDS LÄN</t>
        </is>
      </c>
      <c r="E2104" t="inlineStr">
        <is>
          <t>TORSBY</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3071-2022</t>
        </is>
      </c>
      <c r="B2105" s="1" t="n">
        <v>44582.42109953704</v>
      </c>
      <c r="C2105" s="1" t="n">
        <v>46089</v>
      </c>
      <c r="D2105" t="inlineStr">
        <is>
          <t>VÄRMLANDS LÄN</t>
        </is>
      </c>
      <c r="E2105" t="inlineStr">
        <is>
          <t>TORSBY</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15154-2025</t>
        </is>
      </c>
      <c r="B2106" s="1" t="n">
        <v>45744.46157407408</v>
      </c>
      <c r="C2106" s="1" t="n">
        <v>46089</v>
      </c>
      <c r="D2106" t="inlineStr">
        <is>
          <t>VÄRMLANDS LÄN</t>
        </is>
      </c>
      <c r="E2106" t="inlineStr">
        <is>
          <t>TORSBY</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19307-2022</t>
        </is>
      </c>
      <c r="B2107" s="1" t="n">
        <v>44692.55497685185</v>
      </c>
      <c r="C2107" s="1" t="n">
        <v>46089</v>
      </c>
      <c r="D2107" t="inlineStr">
        <is>
          <t>VÄRMLANDS LÄN</t>
        </is>
      </c>
      <c r="E2107" t="inlineStr">
        <is>
          <t>TORSBY</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58945-2024</t>
        </is>
      </c>
      <c r="B2108" s="1" t="n">
        <v>45636</v>
      </c>
      <c r="C2108" s="1" t="n">
        <v>46089</v>
      </c>
      <c r="D2108" t="inlineStr">
        <is>
          <t>VÄRMLANDS LÄN</t>
        </is>
      </c>
      <c r="E2108" t="inlineStr">
        <is>
          <t>TORSBY</t>
        </is>
      </c>
      <c r="F2108" t="inlineStr">
        <is>
          <t>Bergvik skog väst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58386-2023</t>
        </is>
      </c>
      <c r="B2109" s="1" t="n">
        <v>45250</v>
      </c>
      <c r="C2109" s="1" t="n">
        <v>46089</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61138-2022</t>
        </is>
      </c>
      <c r="B2110" s="1" t="n">
        <v>44915</v>
      </c>
      <c r="C2110" s="1" t="n">
        <v>46089</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3904-2025</t>
        </is>
      </c>
      <c r="B2111" s="1" t="n">
        <v>45684</v>
      </c>
      <c r="C2111" s="1" t="n">
        <v>46089</v>
      </c>
      <c r="D2111" t="inlineStr">
        <is>
          <t>VÄRMLANDS LÄN</t>
        </is>
      </c>
      <c r="E2111" t="inlineStr">
        <is>
          <t>TORSBY</t>
        </is>
      </c>
      <c r="F2111" t="inlineStr">
        <is>
          <t>Övriga statliga verk och myndigheter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3951-2025</t>
        </is>
      </c>
      <c r="B2112" s="1" t="n">
        <v>45684.49333333333</v>
      </c>
      <c r="C2112" s="1" t="n">
        <v>46089</v>
      </c>
      <c r="D2112" t="inlineStr">
        <is>
          <t>VÄRMLANDS LÄN</t>
        </is>
      </c>
      <c r="E2112" t="inlineStr">
        <is>
          <t>TORSBY</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46089</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11235-2024</t>
        </is>
      </c>
      <c r="B2114" s="1" t="n">
        <v>45371</v>
      </c>
      <c r="C2114" s="1" t="n">
        <v>46089</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11242-2024</t>
        </is>
      </c>
      <c r="B2115" s="1" t="n">
        <v>45371</v>
      </c>
      <c r="C2115" s="1" t="n">
        <v>46089</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11253-2024</t>
        </is>
      </c>
      <c r="B2116" s="1" t="n">
        <v>45371</v>
      </c>
      <c r="C2116" s="1" t="n">
        <v>46089</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38991-2023</t>
        </is>
      </c>
      <c r="B2117" s="1" t="n">
        <v>45163.65929398148</v>
      </c>
      <c r="C2117" s="1" t="n">
        <v>46089</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16949-2025</t>
        </is>
      </c>
      <c r="B2118" s="1" t="n">
        <v>45755</v>
      </c>
      <c r="C2118" s="1" t="n">
        <v>46089</v>
      </c>
      <c r="D2118" t="inlineStr">
        <is>
          <t>VÄRMLANDS LÄN</t>
        </is>
      </c>
      <c r="E2118" t="inlineStr">
        <is>
          <t>TORSBY</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55436-2022</t>
        </is>
      </c>
      <c r="B2119" s="1" t="n">
        <v>44887</v>
      </c>
      <c r="C2119" s="1" t="n">
        <v>46089</v>
      </c>
      <c r="D2119" t="inlineStr">
        <is>
          <t>VÄRMLANDS LÄN</t>
        </is>
      </c>
      <c r="E2119" t="inlineStr">
        <is>
          <t>TORSBY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1911-2022</t>
        </is>
      </c>
      <c r="B2120" s="1" t="n">
        <v>44575</v>
      </c>
      <c r="C2120" s="1" t="n">
        <v>46089</v>
      </c>
      <c r="D2120" t="inlineStr">
        <is>
          <t>VÄRMLANDS LÄN</t>
        </is>
      </c>
      <c r="E2120" t="inlineStr">
        <is>
          <t>TORSBY</t>
        </is>
      </c>
      <c r="F2120" t="inlineStr">
        <is>
          <t>Kommuner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53921-2023</t>
        </is>
      </c>
      <c r="B2121" s="1" t="n">
        <v>45231</v>
      </c>
      <c r="C2121" s="1" t="n">
        <v>46089</v>
      </c>
      <c r="D2121" t="inlineStr">
        <is>
          <t>VÄRMLANDS LÄN</t>
        </is>
      </c>
      <c r="E2121" t="inlineStr">
        <is>
          <t>TORSBY</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4342-2025</t>
        </is>
      </c>
      <c r="B2122" s="1" t="n">
        <v>45685</v>
      </c>
      <c r="C2122" s="1" t="n">
        <v>46089</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45812-2024</t>
        </is>
      </c>
      <c r="B2123" s="1" t="n">
        <v>45579</v>
      </c>
      <c r="C2123" s="1" t="n">
        <v>46089</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49814-2022</t>
        </is>
      </c>
      <c r="B2124" s="1" t="n">
        <v>44859</v>
      </c>
      <c r="C2124" s="1" t="n">
        <v>46089</v>
      </c>
      <c r="D2124" t="inlineStr">
        <is>
          <t>VÄRMLANDS LÄN</t>
        </is>
      </c>
      <c r="E2124" t="inlineStr">
        <is>
          <t>TORSBY</t>
        </is>
      </c>
      <c r="F2124" t="inlineStr">
        <is>
          <t>Kyrkan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40541-2024</t>
        </is>
      </c>
      <c r="B2125" s="1" t="n">
        <v>45555.62736111111</v>
      </c>
      <c r="C2125" s="1" t="n">
        <v>46089</v>
      </c>
      <c r="D2125" t="inlineStr">
        <is>
          <t>VÄRMLANDS LÄN</t>
        </is>
      </c>
      <c r="E2125" t="inlineStr">
        <is>
          <t>TORSBY</t>
        </is>
      </c>
      <c r="F2125" t="inlineStr">
        <is>
          <t>Bergvik skog väst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234-2024</t>
        </is>
      </c>
      <c r="B2126" s="1" t="n">
        <v>45294.8253587963</v>
      </c>
      <c r="C2126" s="1" t="n">
        <v>46089</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236-2024</t>
        </is>
      </c>
      <c r="B2127" s="1" t="n">
        <v>45294.85927083333</v>
      </c>
      <c r="C2127" s="1" t="n">
        <v>46089</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30104-2023</t>
        </is>
      </c>
      <c r="B2128" s="1" t="n">
        <v>45110</v>
      </c>
      <c r="C2128" s="1" t="n">
        <v>46089</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1839-2022</t>
        </is>
      </c>
      <c r="B2129" s="1" t="n">
        <v>44574</v>
      </c>
      <c r="C2129" s="1" t="n">
        <v>46089</v>
      </c>
      <c r="D2129" t="inlineStr">
        <is>
          <t>VÄRMLANDS LÄN</t>
        </is>
      </c>
      <c r="E2129" t="inlineStr">
        <is>
          <t>TORSBY</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21465-2022</t>
        </is>
      </c>
      <c r="B2130" s="1" t="n">
        <v>44706.38893518518</v>
      </c>
      <c r="C2130" s="1" t="n">
        <v>46089</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21078-2023</t>
        </is>
      </c>
      <c r="B2131" s="1" t="n">
        <v>45061</v>
      </c>
      <c r="C2131" s="1" t="n">
        <v>46089</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36718-2024</t>
        </is>
      </c>
      <c r="B2132" s="1" t="n">
        <v>45537</v>
      </c>
      <c r="C2132" s="1" t="n">
        <v>46089</v>
      </c>
      <c r="D2132" t="inlineStr">
        <is>
          <t>VÄRMLANDS LÄN</t>
        </is>
      </c>
      <c r="E2132" t="inlineStr">
        <is>
          <t>TORSBY</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15019-2025</t>
        </is>
      </c>
      <c r="B2133" s="1" t="n">
        <v>45743.63811342593</v>
      </c>
      <c r="C2133" s="1" t="n">
        <v>46089</v>
      </c>
      <c r="D2133" t="inlineStr">
        <is>
          <t>VÄRMLANDS LÄN</t>
        </is>
      </c>
      <c r="E2133" t="inlineStr">
        <is>
          <t>TORSBY</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45328-2022</t>
        </is>
      </c>
      <c r="B2134" s="1" t="n">
        <v>44844</v>
      </c>
      <c r="C2134" s="1" t="n">
        <v>46089</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10608-2022</t>
        </is>
      </c>
      <c r="B2135" s="1" t="n">
        <v>44624</v>
      </c>
      <c r="C2135" s="1" t="n">
        <v>46089</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33429-2024</t>
        </is>
      </c>
      <c r="B2136" s="1" t="n">
        <v>45519.52792824074</v>
      </c>
      <c r="C2136" s="1" t="n">
        <v>46089</v>
      </c>
      <c r="D2136" t="inlineStr">
        <is>
          <t>VÄRMLANDS LÄN</t>
        </is>
      </c>
      <c r="E2136" t="inlineStr">
        <is>
          <t>TORSBY</t>
        </is>
      </c>
      <c r="F2136" t="inlineStr">
        <is>
          <t>Bergvik skog väst AB</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61073-2024</t>
        </is>
      </c>
      <c r="B2137" s="1" t="n">
        <v>45645.50665509259</v>
      </c>
      <c r="C2137" s="1" t="n">
        <v>46089</v>
      </c>
      <c r="D2137" t="inlineStr">
        <is>
          <t>VÄRMLANDS LÄN</t>
        </is>
      </c>
      <c r="E2137" t="inlineStr">
        <is>
          <t>TORSBY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1997-2025</t>
        </is>
      </c>
      <c r="B2138" s="1" t="n">
        <v>45672.44431712963</v>
      </c>
      <c r="C2138" s="1" t="n">
        <v>46089</v>
      </c>
      <c r="D2138" t="inlineStr">
        <is>
          <t>VÄRMLANDS LÄN</t>
        </is>
      </c>
      <c r="E2138" t="inlineStr">
        <is>
          <t>TORSBY</t>
        </is>
      </c>
      <c r="G2138" t="n">
        <v>20.1</v>
      </c>
      <c r="H2138" t="n">
        <v>0</v>
      </c>
      <c r="I2138" t="n">
        <v>0</v>
      </c>
      <c r="J2138" t="n">
        <v>0</v>
      </c>
      <c r="K2138" t="n">
        <v>0</v>
      </c>
      <c r="L2138" t="n">
        <v>0</v>
      </c>
      <c r="M2138" t="n">
        <v>0</v>
      </c>
      <c r="N2138" t="n">
        <v>0</v>
      </c>
      <c r="O2138" t="n">
        <v>0</v>
      </c>
      <c r="P2138" t="n">
        <v>0</v>
      </c>
      <c r="Q2138" t="n">
        <v>0</v>
      </c>
      <c r="R2138" s="2" t="inlineStr"/>
    </row>
    <row r="2139" ht="15" customHeight="1">
      <c r="A2139" t="inlineStr">
        <is>
          <t>A 25932-2024</t>
        </is>
      </c>
      <c r="B2139" s="1" t="n">
        <v>45467.62097222222</v>
      </c>
      <c r="C2139" s="1" t="n">
        <v>46089</v>
      </c>
      <c r="D2139" t="inlineStr">
        <is>
          <t>VÄRMLANDS LÄN</t>
        </is>
      </c>
      <c r="E2139" t="inlineStr">
        <is>
          <t>TORSBY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48185-2024</t>
        </is>
      </c>
      <c r="B2140" s="1" t="n">
        <v>45589.90284722222</v>
      </c>
      <c r="C2140" s="1" t="n">
        <v>46089</v>
      </c>
      <c r="D2140" t="inlineStr">
        <is>
          <t>VÄRMLANDS LÄN</t>
        </is>
      </c>
      <c r="E2140" t="inlineStr">
        <is>
          <t>TORSBY</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38541-2023</t>
        </is>
      </c>
      <c r="B2141" s="1" t="n">
        <v>45162</v>
      </c>
      <c r="C2141" s="1" t="n">
        <v>46089</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19878-2025</t>
        </is>
      </c>
      <c r="B2142" s="1" t="n">
        <v>45771.55361111111</v>
      </c>
      <c r="C2142" s="1" t="n">
        <v>46089</v>
      </c>
      <c r="D2142" t="inlineStr">
        <is>
          <t>VÄRMLANDS LÄN</t>
        </is>
      </c>
      <c r="E2142" t="inlineStr">
        <is>
          <t>TORSBY</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2616-2025</t>
        </is>
      </c>
      <c r="B2143" s="1" t="n">
        <v>45675</v>
      </c>
      <c r="C2143" s="1" t="n">
        <v>46089</v>
      </c>
      <c r="D2143" t="inlineStr">
        <is>
          <t>VÄRMLANDS LÄN</t>
        </is>
      </c>
      <c r="E2143" t="inlineStr">
        <is>
          <t>TORSBY</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14026-2025</t>
        </is>
      </c>
      <c r="B2144" s="1" t="n">
        <v>45740.35003472222</v>
      </c>
      <c r="C2144" s="1" t="n">
        <v>46089</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32747-2021</t>
        </is>
      </c>
      <c r="B2145" s="1" t="n">
        <v>44375</v>
      </c>
      <c r="C2145" s="1" t="n">
        <v>46089</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9286-2025</t>
        </is>
      </c>
      <c r="B2146" s="1" t="n">
        <v>45714</v>
      </c>
      <c r="C2146" s="1" t="n">
        <v>46089</v>
      </c>
      <c r="D2146" t="inlineStr">
        <is>
          <t>VÄRMLANDS LÄN</t>
        </is>
      </c>
      <c r="E2146" t="inlineStr">
        <is>
          <t>TORSBY</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51505-2021</t>
        </is>
      </c>
      <c r="B2147" s="1" t="n">
        <v>44460</v>
      </c>
      <c r="C2147" s="1" t="n">
        <v>46089</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15052-2024</t>
        </is>
      </c>
      <c r="B2148" s="1" t="n">
        <v>45399.52613425926</v>
      </c>
      <c r="C2148" s="1" t="n">
        <v>46089</v>
      </c>
      <c r="D2148" t="inlineStr">
        <is>
          <t>VÄRMLANDS LÄN</t>
        </is>
      </c>
      <c r="E2148" t="inlineStr">
        <is>
          <t>TORSBY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19787-2025</t>
        </is>
      </c>
      <c r="B2149" s="1" t="n">
        <v>45771.4408912037</v>
      </c>
      <c r="C2149" s="1" t="n">
        <v>46089</v>
      </c>
      <c r="D2149" t="inlineStr">
        <is>
          <t>VÄRMLANDS LÄN</t>
        </is>
      </c>
      <c r="E2149" t="inlineStr">
        <is>
          <t>TORSBY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49298-2024</t>
        </is>
      </c>
      <c r="B2150" s="1" t="n">
        <v>45595.54357638889</v>
      </c>
      <c r="C2150" s="1" t="n">
        <v>46089</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1040-2024</t>
        </is>
      </c>
      <c r="B2151" s="1" t="n">
        <v>45301</v>
      </c>
      <c r="C2151" s="1" t="n">
        <v>46089</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14303-2023</t>
        </is>
      </c>
      <c r="B2152" s="1" t="n">
        <v>45011.75886574074</v>
      </c>
      <c r="C2152" s="1" t="n">
        <v>46089</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21828-2024</t>
        </is>
      </c>
      <c r="B2153" s="1" t="n">
        <v>45442</v>
      </c>
      <c r="C2153" s="1" t="n">
        <v>46089</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17153-2025</t>
        </is>
      </c>
      <c r="B2154" s="1" t="n">
        <v>45756</v>
      </c>
      <c r="C2154" s="1" t="n">
        <v>46089</v>
      </c>
      <c r="D2154" t="inlineStr">
        <is>
          <t>VÄRMLANDS LÄN</t>
        </is>
      </c>
      <c r="E2154" t="inlineStr">
        <is>
          <t>TORSBY</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41671-2021</t>
        </is>
      </c>
      <c r="B2155" s="1" t="n">
        <v>44425</v>
      </c>
      <c r="C2155" s="1" t="n">
        <v>46089</v>
      </c>
      <c r="D2155" t="inlineStr">
        <is>
          <t>VÄRMLANDS LÄN</t>
        </is>
      </c>
      <c r="E2155" t="inlineStr">
        <is>
          <t>TORSBY</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13191-2025</t>
        </is>
      </c>
      <c r="B2156" s="1" t="n">
        <v>45735.40501157408</v>
      </c>
      <c r="C2156" s="1" t="n">
        <v>46089</v>
      </c>
      <c r="D2156" t="inlineStr">
        <is>
          <t>VÄRMLANDS LÄN</t>
        </is>
      </c>
      <c r="E2156" t="inlineStr">
        <is>
          <t>TORSBY</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33133-2024</t>
        </is>
      </c>
      <c r="B2157" s="1" t="n">
        <v>45518.31722222222</v>
      </c>
      <c r="C2157" s="1" t="n">
        <v>46089</v>
      </c>
      <c r="D2157" t="inlineStr">
        <is>
          <t>VÄRMLANDS LÄN</t>
        </is>
      </c>
      <c r="E2157" t="inlineStr">
        <is>
          <t>TORSBY</t>
        </is>
      </c>
      <c r="F2157" t="inlineStr">
        <is>
          <t>Bergvik skog väst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14162-2025</t>
        </is>
      </c>
      <c r="B2158" s="1" t="n">
        <v>45740</v>
      </c>
      <c r="C2158" s="1" t="n">
        <v>46089</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43545-2024</t>
        </is>
      </c>
      <c r="B2159" s="1" t="n">
        <v>45569.36980324074</v>
      </c>
      <c r="C2159" s="1" t="n">
        <v>46089</v>
      </c>
      <c r="D2159" t="inlineStr">
        <is>
          <t>VÄRMLANDS LÄN</t>
        </is>
      </c>
      <c r="E2159" t="inlineStr">
        <is>
          <t>TORSBY</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21365-2023</t>
        </is>
      </c>
      <c r="B2160" s="1" t="n">
        <v>45063.26761574074</v>
      </c>
      <c r="C2160" s="1" t="n">
        <v>46089</v>
      </c>
      <c r="D2160" t="inlineStr">
        <is>
          <t>VÄRMLANDS LÄN</t>
        </is>
      </c>
      <c r="E2160" t="inlineStr">
        <is>
          <t>TORSBY</t>
        </is>
      </c>
      <c r="F2160" t="inlineStr">
        <is>
          <t>Kyrkan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19527-2023</t>
        </is>
      </c>
      <c r="B2161" s="1" t="n">
        <v>45050</v>
      </c>
      <c r="C2161" s="1" t="n">
        <v>46089</v>
      </c>
      <c r="D2161" t="inlineStr">
        <is>
          <t>VÄRMLANDS LÄN</t>
        </is>
      </c>
      <c r="E2161" t="inlineStr">
        <is>
          <t>TORSBY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4236-2023</t>
        </is>
      </c>
      <c r="B2162" s="1" t="n">
        <v>44953.48950231481</v>
      </c>
      <c r="C2162" s="1" t="n">
        <v>46089</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4250-2023</t>
        </is>
      </c>
      <c r="B2163" s="1" t="n">
        <v>44953.51747685186</v>
      </c>
      <c r="C2163" s="1" t="n">
        <v>46089</v>
      </c>
      <c r="D2163" t="inlineStr">
        <is>
          <t>VÄRMLANDS LÄN</t>
        </is>
      </c>
      <c r="E2163" t="inlineStr">
        <is>
          <t>TORSBY</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29256-2023</t>
        </is>
      </c>
      <c r="B2164" s="1" t="n">
        <v>45105.65310185185</v>
      </c>
      <c r="C2164" s="1" t="n">
        <v>46089</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29990-2022</t>
        </is>
      </c>
      <c r="B2165" s="1" t="n">
        <v>44756.73530092592</v>
      </c>
      <c r="C2165" s="1" t="n">
        <v>46089</v>
      </c>
      <c r="D2165" t="inlineStr">
        <is>
          <t>VÄRMLANDS LÄN</t>
        </is>
      </c>
      <c r="E2165" t="inlineStr">
        <is>
          <t>TORSBY</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18308-2024</t>
        </is>
      </c>
      <c r="B2166" s="1" t="n">
        <v>45422</v>
      </c>
      <c r="C2166" s="1" t="n">
        <v>46089</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25355-2024</t>
        </is>
      </c>
      <c r="B2167" s="1" t="n">
        <v>45462.92868055555</v>
      </c>
      <c r="C2167" s="1" t="n">
        <v>46089</v>
      </c>
      <c r="D2167" t="inlineStr">
        <is>
          <t>VÄRMLANDS LÄN</t>
        </is>
      </c>
      <c r="E2167" t="inlineStr">
        <is>
          <t>TORSBY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12701-2024</t>
        </is>
      </c>
      <c r="B2168" s="1" t="n">
        <v>45384</v>
      </c>
      <c r="C2168" s="1" t="n">
        <v>46089</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39781-2022</t>
        </is>
      </c>
      <c r="B2169" s="1" t="n">
        <v>44819</v>
      </c>
      <c r="C2169" s="1" t="n">
        <v>46089</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6013-2024</t>
        </is>
      </c>
      <c r="B2170" s="1" t="n">
        <v>45336.60763888889</v>
      </c>
      <c r="C2170" s="1" t="n">
        <v>46089</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43289-2022</t>
        </is>
      </c>
      <c r="B2171" s="1" t="n">
        <v>44834.51623842592</v>
      </c>
      <c r="C2171" s="1" t="n">
        <v>46089</v>
      </c>
      <c r="D2171" t="inlineStr">
        <is>
          <t>VÄRMLANDS LÄN</t>
        </is>
      </c>
      <c r="E2171" t="inlineStr">
        <is>
          <t>TORSBY</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35553-2023</t>
        </is>
      </c>
      <c r="B2172" s="1" t="n">
        <v>45147</v>
      </c>
      <c r="C2172" s="1" t="n">
        <v>46089</v>
      </c>
      <c r="D2172" t="inlineStr">
        <is>
          <t>VÄRMLANDS LÄN</t>
        </is>
      </c>
      <c r="E2172" t="inlineStr">
        <is>
          <t>TORSBY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60272-2024</t>
        </is>
      </c>
      <c r="B2173" s="1" t="n">
        <v>45642</v>
      </c>
      <c r="C2173" s="1" t="n">
        <v>46089</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37075-2021</t>
        </is>
      </c>
      <c r="B2174" s="1" t="n">
        <v>44394</v>
      </c>
      <c r="C2174" s="1" t="n">
        <v>46089</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22565-2024</t>
        </is>
      </c>
      <c r="B2175" s="1" t="n">
        <v>45447</v>
      </c>
      <c r="C2175" s="1" t="n">
        <v>46089</v>
      </c>
      <c r="D2175" t="inlineStr">
        <is>
          <t>VÄRMLANDS LÄN</t>
        </is>
      </c>
      <c r="E2175" t="inlineStr">
        <is>
          <t>TORSBY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53460-2024</t>
        </is>
      </c>
      <c r="B2176" s="1" t="n">
        <v>45611</v>
      </c>
      <c r="C2176" s="1" t="n">
        <v>46089</v>
      </c>
      <c r="D2176" t="inlineStr">
        <is>
          <t>VÄRMLANDS LÄN</t>
        </is>
      </c>
      <c r="E2176" t="inlineStr">
        <is>
          <t>TORSBY</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46914-2024</t>
        </is>
      </c>
      <c r="B2177" s="1" t="n">
        <v>45583.7577662037</v>
      </c>
      <c r="C2177" s="1" t="n">
        <v>46089</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35057-2023</t>
        </is>
      </c>
      <c r="B2178" s="1" t="n">
        <v>45145.3909375</v>
      </c>
      <c r="C2178" s="1" t="n">
        <v>46089</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8012-2023</t>
        </is>
      </c>
      <c r="B2179" s="1" t="n">
        <v>44973</v>
      </c>
      <c r="C2179" s="1" t="n">
        <v>46089</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27446-2021</t>
        </is>
      </c>
      <c r="B2180" s="1" t="n">
        <v>44351</v>
      </c>
      <c r="C2180" s="1" t="n">
        <v>46089</v>
      </c>
      <c r="D2180" t="inlineStr">
        <is>
          <t>VÄRMLANDS LÄN</t>
        </is>
      </c>
      <c r="E2180" t="inlineStr">
        <is>
          <t>TORSBY</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28559-2021</t>
        </is>
      </c>
      <c r="B2181" s="1" t="n">
        <v>44356</v>
      </c>
      <c r="C2181" s="1" t="n">
        <v>46089</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21757-2024</t>
        </is>
      </c>
      <c r="B2182" s="1" t="n">
        <v>45442</v>
      </c>
      <c r="C2182" s="1" t="n">
        <v>46089</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34430-2023</t>
        </is>
      </c>
      <c r="B2183" s="1" t="n">
        <v>45139.62216435185</v>
      </c>
      <c r="C2183" s="1" t="n">
        <v>46089</v>
      </c>
      <c r="D2183" t="inlineStr">
        <is>
          <t>VÄRMLANDS LÄN</t>
        </is>
      </c>
      <c r="E2183" t="inlineStr">
        <is>
          <t>TORSBY</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43988-2024</t>
        </is>
      </c>
      <c r="B2184" s="1" t="n">
        <v>45572</v>
      </c>
      <c r="C2184" s="1" t="n">
        <v>46089</v>
      </c>
      <c r="D2184" t="inlineStr">
        <is>
          <t>VÄRMLANDS LÄN</t>
        </is>
      </c>
      <c r="E2184" t="inlineStr">
        <is>
          <t>TORSBY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18331-2025</t>
        </is>
      </c>
      <c r="B2185" s="1" t="n">
        <v>45762</v>
      </c>
      <c r="C2185" s="1" t="n">
        <v>46089</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47271-2021</t>
        </is>
      </c>
      <c r="B2186" s="1" t="n">
        <v>44447</v>
      </c>
      <c r="C2186" s="1" t="n">
        <v>46089</v>
      </c>
      <c r="D2186" t="inlineStr">
        <is>
          <t>VÄRMLANDS LÄN</t>
        </is>
      </c>
      <c r="E2186" t="inlineStr">
        <is>
          <t>TORSBY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50680-2023</t>
        </is>
      </c>
      <c r="B2187" s="1" t="n">
        <v>45217.5165625</v>
      </c>
      <c r="C2187" s="1" t="n">
        <v>46089</v>
      </c>
      <c r="D2187" t="inlineStr">
        <is>
          <t>VÄRMLANDS LÄN</t>
        </is>
      </c>
      <c r="E2187" t="inlineStr">
        <is>
          <t>TORSBY</t>
        </is>
      </c>
      <c r="F2187" t="inlineStr">
        <is>
          <t>Bergvik skog väst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21409-2023</t>
        </is>
      </c>
      <c r="B2188" s="1" t="n">
        <v>45063</v>
      </c>
      <c r="C2188" s="1" t="n">
        <v>46089</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15939-2021</t>
        </is>
      </c>
      <c r="B2189" s="1" t="n">
        <v>44287</v>
      </c>
      <c r="C2189" s="1" t="n">
        <v>46089</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14025-2025</t>
        </is>
      </c>
      <c r="B2190" s="1" t="n">
        <v>45740</v>
      </c>
      <c r="C2190" s="1" t="n">
        <v>46089</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42945-2024</t>
        </is>
      </c>
      <c r="B2191" s="1" t="n">
        <v>45567</v>
      </c>
      <c r="C2191" s="1" t="n">
        <v>46089</v>
      </c>
      <c r="D2191" t="inlineStr">
        <is>
          <t>VÄRMLANDS LÄN</t>
        </is>
      </c>
      <c r="E2191" t="inlineStr">
        <is>
          <t>TORSBY</t>
        </is>
      </c>
      <c r="F2191" t="inlineStr">
        <is>
          <t>Bergvik skog väst AB</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20725-2024</t>
        </is>
      </c>
      <c r="B2192" s="1" t="n">
        <v>45436.65284722222</v>
      </c>
      <c r="C2192" s="1" t="n">
        <v>46089</v>
      </c>
      <c r="D2192" t="inlineStr">
        <is>
          <t>VÄRMLANDS LÄN</t>
        </is>
      </c>
      <c r="E2192" t="inlineStr">
        <is>
          <t>TORSBY</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20461-2025</t>
        </is>
      </c>
      <c r="B2193" s="1" t="n">
        <v>45775.53158564815</v>
      </c>
      <c r="C2193" s="1" t="n">
        <v>46089</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11211-2024</t>
        </is>
      </c>
      <c r="B2194" s="1" t="n">
        <v>45371</v>
      </c>
      <c r="C2194" s="1" t="n">
        <v>46089</v>
      </c>
      <c r="D2194" t="inlineStr">
        <is>
          <t>VÄRMLANDS LÄN</t>
        </is>
      </c>
      <c r="E2194" t="inlineStr">
        <is>
          <t>TORSBY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31547-2023</t>
        </is>
      </c>
      <c r="B2195" s="1" t="n">
        <v>45117</v>
      </c>
      <c r="C2195" s="1" t="n">
        <v>46089</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22301-2023</t>
        </is>
      </c>
      <c r="B2196" s="1" t="n">
        <v>45070</v>
      </c>
      <c r="C2196" s="1" t="n">
        <v>46089</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14709-2023</t>
        </is>
      </c>
      <c r="B2197" s="1" t="n">
        <v>45014.41900462963</v>
      </c>
      <c r="C2197" s="1" t="n">
        <v>46089</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19489-2022</t>
        </is>
      </c>
      <c r="B2198" s="1" t="n">
        <v>44693</v>
      </c>
      <c r="C2198" s="1" t="n">
        <v>46089</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36558-2024</t>
        </is>
      </c>
      <c r="B2199" s="1" t="n">
        <v>45537</v>
      </c>
      <c r="C2199" s="1" t="n">
        <v>46089</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11581-2025</t>
        </is>
      </c>
      <c r="B2200" s="1" t="n">
        <v>45727</v>
      </c>
      <c r="C2200" s="1" t="n">
        <v>46089</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23073-2023</t>
        </is>
      </c>
      <c r="B2201" s="1" t="n">
        <v>45070</v>
      </c>
      <c r="C2201" s="1" t="n">
        <v>46089</v>
      </c>
      <c r="D2201" t="inlineStr">
        <is>
          <t>VÄRMLANDS LÄN</t>
        </is>
      </c>
      <c r="E2201" t="inlineStr">
        <is>
          <t>TORSBY</t>
        </is>
      </c>
      <c r="G2201" t="n">
        <v>15.1</v>
      </c>
      <c r="H2201" t="n">
        <v>0</v>
      </c>
      <c r="I2201" t="n">
        <v>0</v>
      </c>
      <c r="J2201" t="n">
        <v>0</v>
      </c>
      <c r="K2201" t="n">
        <v>0</v>
      </c>
      <c r="L2201" t="n">
        <v>0</v>
      </c>
      <c r="M2201" t="n">
        <v>0</v>
      </c>
      <c r="N2201" t="n">
        <v>0</v>
      </c>
      <c r="O2201" t="n">
        <v>0</v>
      </c>
      <c r="P2201" t="n">
        <v>0</v>
      </c>
      <c r="Q2201" t="n">
        <v>0</v>
      </c>
      <c r="R2201" s="2" t="inlineStr"/>
    </row>
    <row r="2202" ht="15" customHeight="1">
      <c r="A2202" t="inlineStr">
        <is>
          <t>A 63083-2023</t>
        </is>
      </c>
      <c r="B2202" s="1" t="n">
        <v>45273.348125</v>
      </c>
      <c r="C2202" s="1" t="n">
        <v>46089</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54004-2024</t>
        </is>
      </c>
      <c r="B2203" s="1" t="n">
        <v>45616.36659722222</v>
      </c>
      <c r="C2203" s="1" t="n">
        <v>46089</v>
      </c>
      <c r="D2203" t="inlineStr">
        <is>
          <t>VÄRMLANDS LÄN</t>
        </is>
      </c>
      <c r="E2203" t="inlineStr">
        <is>
          <t>TORSBY</t>
        </is>
      </c>
      <c r="F2203" t="inlineStr">
        <is>
          <t>Kommuner</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33862-2024</t>
        </is>
      </c>
      <c r="B2204" s="1" t="n">
        <v>45520.69163194444</v>
      </c>
      <c r="C2204" s="1" t="n">
        <v>46089</v>
      </c>
      <c r="D2204" t="inlineStr">
        <is>
          <t>VÄRMLANDS LÄN</t>
        </is>
      </c>
      <c r="E2204" t="inlineStr">
        <is>
          <t>TORSBY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57536-2024</t>
        </is>
      </c>
      <c r="B2205" s="1" t="n">
        <v>45630.43023148148</v>
      </c>
      <c r="C2205" s="1" t="n">
        <v>46089</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26086-2024</t>
        </is>
      </c>
      <c r="B2206" s="1" t="n">
        <v>45468</v>
      </c>
      <c r="C2206" s="1" t="n">
        <v>46089</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22536-2024</t>
        </is>
      </c>
      <c r="B2207" s="1" t="n">
        <v>45447</v>
      </c>
      <c r="C2207" s="1" t="n">
        <v>46089</v>
      </c>
      <c r="D2207" t="inlineStr">
        <is>
          <t>VÄRMLANDS LÄN</t>
        </is>
      </c>
      <c r="E2207" t="inlineStr">
        <is>
          <t>TORSBY</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62574-2022</t>
        </is>
      </c>
      <c r="B2208" s="1" t="n">
        <v>44924.85943287037</v>
      </c>
      <c r="C2208" s="1" t="n">
        <v>46089</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59005-2024</t>
        </is>
      </c>
      <c r="B2209" s="1" t="n">
        <v>45636.65234953703</v>
      </c>
      <c r="C2209" s="1" t="n">
        <v>46089</v>
      </c>
      <c r="D2209" t="inlineStr">
        <is>
          <t>VÄRMLANDS LÄN</t>
        </is>
      </c>
      <c r="E2209" t="inlineStr">
        <is>
          <t>TORSBY</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21580-2024</t>
        </is>
      </c>
      <c r="B2210" s="1" t="n">
        <v>45441</v>
      </c>
      <c r="C2210" s="1" t="n">
        <v>46089</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45587-2023</t>
        </is>
      </c>
      <c r="B2211" s="1" t="n">
        <v>45194.62877314815</v>
      </c>
      <c r="C2211" s="1" t="n">
        <v>46089</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20393-2023</t>
        </is>
      </c>
      <c r="B2212" s="1" t="n">
        <v>45056</v>
      </c>
      <c r="C2212" s="1" t="n">
        <v>46089</v>
      </c>
      <c r="D2212" t="inlineStr">
        <is>
          <t>VÄRMLANDS LÄN</t>
        </is>
      </c>
      <c r="E2212" t="inlineStr">
        <is>
          <t>TORSBY</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14917-2023</t>
        </is>
      </c>
      <c r="B2213" s="1" t="n">
        <v>45015.39938657408</v>
      </c>
      <c r="C2213" s="1" t="n">
        <v>46089</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19614-2022</t>
        </is>
      </c>
      <c r="B2214" s="1" t="n">
        <v>44694</v>
      </c>
      <c r="C2214" s="1" t="n">
        <v>46089</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1547-2024</t>
        </is>
      </c>
      <c r="B2215" s="1" t="n">
        <v>45306.48456018518</v>
      </c>
      <c r="C2215" s="1" t="n">
        <v>46089</v>
      </c>
      <c r="D2215" t="inlineStr">
        <is>
          <t>VÄRMLANDS LÄN</t>
        </is>
      </c>
      <c r="E2215" t="inlineStr">
        <is>
          <t>TORSBY</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11842-2025</t>
        </is>
      </c>
      <c r="B2216" s="1" t="n">
        <v>45728.36950231482</v>
      </c>
      <c r="C2216" s="1" t="n">
        <v>46089</v>
      </c>
      <c r="D2216" t="inlineStr">
        <is>
          <t>VÄRMLANDS LÄN</t>
        </is>
      </c>
      <c r="E2216" t="inlineStr">
        <is>
          <t>TORSBY</t>
        </is>
      </c>
      <c r="F2216" t="inlineStr">
        <is>
          <t>Bergvik skog väst AB</t>
        </is>
      </c>
      <c r="G2216" t="n">
        <v>32.1</v>
      </c>
      <c r="H2216" t="n">
        <v>0</v>
      </c>
      <c r="I2216" t="n">
        <v>0</v>
      </c>
      <c r="J2216" t="n">
        <v>0</v>
      </c>
      <c r="K2216" t="n">
        <v>0</v>
      </c>
      <c r="L2216" t="n">
        <v>0</v>
      </c>
      <c r="M2216" t="n">
        <v>0</v>
      </c>
      <c r="N2216" t="n">
        <v>0</v>
      </c>
      <c r="O2216" t="n">
        <v>0</v>
      </c>
      <c r="P2216" t="n">
        <v>0</v>
      </c>
      <c r="Q2216" t="n">
        <v>0</v>
      </c>
      <c r="R2216" s="2" t="inlineStr"/>
    </row>
    <row r="2217" ht="15" customHeight="1">
      <c r="A2217" t="inlineStr">
        <is>
          <t>A 34968-2024</t>
        </is>
      </c>
      <c r="B2217" s="1" t="n">
        <v>45527.49986111111</v>
      </c>
      <c r="C2217" s="1" t="n">
        <v>46089</v>
      </c>
      <c r="D2217" t="inlineStr">
        <is>
          <t>VÄRMLANDS LÄN</t>
        </is>
      </c>
      <c r="E2217" t="inlineStr">
        <is>
          <t>TORSBY</t>
        </is>
      </c>
      <c r="F2217" t="inlineStr">
        <is>
          <t>Bergvik skog väst AB</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22705-2023</t>
        </is>
      </c>
      <c r="B2218" s="1" t="n">
        <v>45071</v>
      </c>
      <c r="C2218" s="1" t="n">
        <v>46089</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61206-2024</t>
        </is>
      </c>
      <c r="B2219" s="1" t="n">
        <v>45645.64626157407</v>
      </c>
      <c r="C2219" s="1" t="n">
        <v>46089</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59781-2023</t>
        </is>
      </c>
      <c r="B2220" s="1" t="n">
        <v>45257.44043981482</v>
      </c>
      <c r="C2220" s="1" t="n">
        <v>46089</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20843-2025</t>
        </is>
      </c>
      <c r="B2221" s="1" t="n">
        <v>45776.9233912037</v>
      </c>
      <c r="C2221" s="1" t="n">
        <v>46089</v>
      </c>
      <c r="D2221" t="inlineStr">
        <is>
          <t>VÄRMLANDS LÄN</t>
        </is>
      </c>
      <c r="E2221" t="inlineStr">
        <is>
          <t>TORSBY</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20816-2025</t>
        </is>
      </c>
      <c r="B2222" s="1" t="n">
        <v>45776</v>
      </c>
      <c r="C2222" s="1" t="n">
        <v>46089</v>
      </c>
      <c r="D2222" t="inlineStr">
        <is>
          <t>VÄRMLANDS LÄN</t>
        </is>
      </c>
      <c r="E2222" t="inlineStr">
        <is>
          <t>TORSBY</t>
        </is>
      </c>
      <c r="F2222" t="inlineStr">
        <is>
          <t>Bergvik skog väst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20740-2025</t>
        </is>
      </c>
      <c r="B2223" s="1" t="n">
        <v>45776.54284722222</v>
      </c>
      <c r="C2223" s="1" t="n">
        <v>46089</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20914-2025</t>
        </is>
      </c>
      <c r="B2224" s="1" t="n">
        <v>45777</v>
      </c>
      <c r="C2224" s="1" t="n">
        <v>46089</v>
      </c>
      <c r="D2224" t="inlineStr">
        <is>
          <t>VÄRMLANDS LÄN</t>
        </is>
      </c>
      <c r="E2224" t="inlineStr">
        <is>
          <t>TORSBY</t>
        </is>
      </c>
      <c r="F2224" t="inlineStr">
        <is>
          <t>Bergvik skog väst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20773-2025</t>
        </is>
      </c>
      <c r="B2225" s="1" t="n">
        <v>45776.59321759259</v>
      </c>
      <c r="C2225" s="1" t="n">
        <v>46089</v>
      </c>
      <c r="D2225" t="inlineStr">
        <is>
          <t>VÄRMLANDS LÄN</t>
        </is>
      </c>
      <c r="E2225" t="inlineStr">
        <is>
          <t>TORSBY</t>
        </is>
      </c>
      <c r="F2225" t="inlineStr">
        <is>
          <t>Bergvik skog väst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21274-2025</t>
        </is>
      </c>
      <c r="B2226" s="1" t="n">
        <v>45779.62877314815</v>
      </c>
      <c r="C2226" s="1" t="n">
        <v>46089</v>
      </c>
      <c r="D2226" t="inlineStr">
        <is>
          <t>VÄRMLANDS LÄN</t>
        </is>
      </c>
      <c r="E2226" t="inlineStr">
        <is>
          <t>TORSBY</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21462-2025</t>
        </is>
      </c>
      <c r="B2227" s="1" t="n">
        <v>45782.56770833334</v>
      </c>
      <c r="C2227" s="1" t="n">
        <v>46089</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21808-2025</t>
        </is>
      </c>
      <c r="B2228" s="1" t="n">
        <v>45783.70846064815</v>
      </c>
      <c r="C2228" s="1" t="n">
        <v>46089</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21759-2025</t>
        </is>
      </c>
      <c r="B2229" s="1" t="n">
        <v>45783</v>
      </c>
      <c r="C2229" s="1" t="n">
        <v>46089</v>
      </c>
      <c r="D2229" t="inlineStr">
        <is>
          <t>VÄRMLANDS LÄN</t>
        </is>
      </c>
      <c r="E2229" t="inlineStr">
        <is>
          <t>TORSBY</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21324-2025</t>
        </is>
      </c>
      <c r="B2230" s="1" t="n">
        <v>45782.34947916667</v>
      </c>
      <c r="C2230" s="1" t="n">
        <v>46089</v>
      </c>
      <c r="D2230" t="inlineStr">
        <is>
          <t>VÄRMLANDS LÄN</t>
        </is>
      </c>
      <c r="E2230" t="inlineStr">
        <is>
          <t>TORSBY</t>
        </is>
      </c>
      <c r="F2230" t="inlineStr">
        <is>
          <t>Bergvik skog väst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21576-2025</t>
        </is>
      </c>
      <c r="B2231" s="1" t="n">
        <v>45782.86440972222</v>
      </c>
      <c r="C2231" s="1" t="n">
        <v>46089</v>
      </c>
      <c r="D2231" t="inlineStr">
        <is>
          <t>VÄRMLANDS LÄN</t>
        </is>
      </c>
      <c r="E2231" t="inlineStr">
        <is>
          <t>TORSBY</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41633-2021</t>
        </is>
      </c>
      <c r="B2232" s="1" t="n">
        <v>44425</v>
      </c>
      <c r="C2232" s="1" t="n">
        <v>46089</v>
      </c>
      <c r="D2232" t="inlineStr">
        <is>
          <t>VÄRMLANDS LÄN</t>
        </is>
      </c>
      <c r="E2232" t="inlineStr">
        <is>
          <t>TORSBY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25313-2024</t>
        </is>
      </c>
      <c r="B2233" s="1" t="n">
        <v>45462</v>
      </c>
      <c r="C2233" s="1" t="n">
        <v>46089</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33495-2024</t>
        </is>
      </c>
      <c r="B2234" s="1" t="n">
        <v>45519</v>
      </c>
      <c r="C2234" s="1" t="n">
        <v>46089</v>
      </c>
      <c r="D2234" t="inlineStr">
        <is>
          <t>VÄRMLANDS LÄN</t>
        </is>
      </c>
      <c r="E2234" t="inlineStr">
        <is>
          <t>TORSBY</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33085-2024</t>
        </is>
      </c>
      <c r="B2235" s="1" t="n">
        <v>45517.67784722222</v>
      </c>
      <c r="C2235" s="1" t="n">
        <v>46089</v>
      </c>
      <c r="D2235" t="inlineStr">
        <is>
          <t>VÄRMLANDS LÄN</t>
        </is>
      </c>
      <c r="E2235" t="inlineStr">
        <is>
          <t>TORSBY</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6448-2025</t>
        </is>
      </c>
      <c r="B2236" s="1" t="n">
        <v>45699</v>
      </c>
      <c r="C2236" s="1" t="n">
        <v>46089</v>
      </c>
      <c r="D2236" t="inlineStr">
        <is>
          <t>VÄRMLANDS LÄN</t>
        </is>
      </c>
      <c r="E2236" t="inlineStr">
        <is>
          <t>TORSBY</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21744-2024</t>
        </is>
      </c>
      <c r="B2237" s="1" t="n">
        <v>45442</v>
      </c>
      <c r="C2237" s="1" t="n">
        <v>46089</v>
      </c>
      <c r="D2237" t="inlineStr">
        <is>
          <t>VÄRMLANDS LÄN</t>
        </is>
      </c>
      <c r="E2237" t="inlineStr">
        <is>
          <t>TORSBY</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20170-2021</t>
        </is>
      </c>
      <c r="B2238" s="1" t="n">
        <v>44312</v>
      </c>
      <c r="C2238" s="1" t="n">
        <v>46089</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22090-2025</t>
        </is>
      </c>
      <c r="B2239" s="1" t="n">
        <v>45785.45212962963</v>
      </c>
      <c r="C2239" s="1" t="n">
        <v>46089</v>
      </c>
      <c r="D2239" t="inlineStr">
        <is>
          <t>VÄRMLANDS LÄN</t>
        </is>
      </c>
      <c r="E2239" t="inlineStr">
        <is>
          <t>TORSBY</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21963-2025</t>
        </is>
      </c>
      <c r="B2240" s="1" t="n">
        <v>45784</v>
      </c>
      <c r="C2240" s="1" t="n">
        <v>46089</v>
      </c>
      <c r="D2240" t="inlineStr">
        <is>
          <t>VÄRMLANDS LÄN</t>
        </is>
      </c>
      <c r="E2240" t="inlineStr">
        <is>
          <t>TORSBY</t>
        </is>
      </c>
      <c r="F2240" t="inlineStr">
        <is>
          <t>Bergvik skog väst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21974-2025</t>
        </is>
      </c>
      <c r="B2241" s="1" t="n">
        <v>45784.63689814815</v>
      </c>
      <c r="C2241" s="1" t="n">
        <v>46089</v>
      </c>
      <c r="D2241" t="inlineStr">
        <is>
          <t>VÄRMLANDS LÄN</t>
        </is>
      </c>
      <c r="E2241" t="inlineStr">
        <is>
          <t>TORSBY</t>
        </is>
      </c>
      <c r="F2241" t="inlineStr">
        <is>
          <t>Bergvik skog väst AB</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24113-2024</t>
        </is>
      </c>
      <c r="B2242" s="1" t="n">
        <v>45456.61590277778</v>
      </c>
      <c r="C2242" s="1" t="n">
        <v>46089</v>
      </c>
      <c r="D2242" t="inlineStr">
        <is>
          <t>VÄRMLANDS LÄN</t>
        </is>
      </c>
      <c r="E2242" t="inlineStr">
        <is>
          <t>TORSBY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55036-2024</t>
        </is>
      </c>
      <c r="B2243" s="1" t="n">
        <v>45621.38342592592</v>
      </c>
      <c r="C2243" s="1" t="n">
        <v>46089</v>
      </c>
      <c r="D2243" t="inlineStr">
        <is>
          <t>VÄRMLANDS LÄN</t>
        </is>
      </c>
      <c r="E2243" t="inlineStr">
        <is>
          <t>TORSBY</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19031-2021</t>
        </is>
      </c>
      <c r="B2244" s="1" t="n">
        <v>44308.51076388889</v>
      </c>
      <c r="C2244" s="1" t="n">
        <v>46089</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22178-2025</t>
        </is>
      </c>
      <c r="B2245" s="1" t="n">
        <v>45785</v>
      </c>
      <c r="C2245" s="1" t="n">
        <v>46089</v>
      </c>
      <c r="D2245" t="inlineStr">
        <is>
          <t>VÄRMLANDS LÄN</t>
        </is>
      </c>
      <c r="E2245" t="inlineStr">
        <is>
          <t>TORSBY</t>
        </is>
      </c>
      <c r="G2245" t="n">
        <v>25.5</v>
      </c>
      <c r="H2245" t="n">
        <v>0</v>
      </c>
      <c r="I2245" t="n">
        <v>0</v>
      </c>
      <c r="J2245" t="n">
        <v>0</v>
      </c>
      <c r="K2245" t="n">
        <v>0</v>
      </c>
      <c r="L2245" t="n">
        <v>0</v>
      </c>
      <c r="M2245" t="n">
        <v>0</v>
      </c>
      <c r="N2245" t="n">
        <v>0</v>
      </c>
      <c r="O2245" t="n">
        <v>0</v>
      </c>
      <c r="P2245" t="n">
        <v>0</v>
      </c>
      <c r="Q2245" t="n">
        <v>0</v>
      </c>
      <c r="R2245" s="2" t="inlineStr"/>
    </row>
    <row r="2246" ht="15" customHeight="1">
      <c r="A2246" t="inlineStr">
        <is>
          <t>A 73874-2021</t>
        </is>
      </c>
      <c r="B2246" s="1" t="n">
        <v>44553.39755787037</v>
      </c>
      <c r="C2246" s="1" t="n">
        <v>46089</v>
      </c>
      <c r="D2246" t="inlineStr">
        <is>
          <t>VÄRMLANDS LÄN</t>
        </is>
      </c>
      <c r="E2246" t="inlineStr">
        <is>
          <t>TORSBY</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22269-2025</t>
        </is>
      </c>
      <c r="B2247" s="1" t="n">
        <v>45785</v>
      </c>
      <c r="C2247" s="1" t="n">
        <v>46089</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22076-2025</t>
        </is>
      </c>
      <c r="B2248" s="1" t="n">
        <v>45785.41473379629</v>
      </c>
      <c r="C2248" s="1" t="n">
        <v>46089</v>
      </c>
      <c r="D2248" t="inlineStr">
        <is>
          <t>VÄRMLANDS LÄN</t>
        </is>
      </c>
      <c r="E2248" t="inlineStr">
        <is>
          <t>TORSBY</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21858-2025</t>
        </is>
      </c>
      <c r="B2249" s="1" t="n">
        <v>45784.36265046296</v>
      </c>
      <c r="C2249" s="1" t="n">
        <v>46089</v>
      </c>
      <c r="D2249" t="inlineStr">
        <is>
          <t>VÄRMLANDS LÄN</t>
        </is>
      </c>
      <c r="E2249" t="inlineStr">
        <is>
          <t>TORSBY</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29897-2024</t>
        </is>
      </c>
      <c r="B2250" s="1" t="n">
        <v>45487.51834490741</v>
      </c>
      <c r="C2250" s="1" t="n">
        <v>46089</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33088-2024</t>
        </is>
      </c>
      <c r="B2251" s="1" t="n">
        <v>45517</v>
      </c>
      <c r="C2251" s="1" t="n">
        <v>46089</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22715-2025</t>
        </is>
      </c>
      <c r="B2252" s="1" t="n">
        <v>45789.56496527778</v>
      </c>
      <c r="C2252" s="1" t="n">
        <v>46089</v>
      </c>
      <c r="D2252" t="inlineStr">
        <is>
          <t>VÄRMLANDS LÄN</t>
        </is>
      </c>
      <c r="E2252" t="inlineStr">
        <is>
          <t>TORSBY</t>
        </is>
      </c>
      <c r="F2252" t="inlineStr">
        <is>
          <t>Kyrkan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60626-2024</t>
        </is>
      </c>
      <c r="B2253" s="1" t="n">
        <v>45642</v>
      </c>
      <c r="C2253" s="1" t="n">
        <v>46089</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22596-2025</t>
        </is>
      </c>
      <c r="B2254" s="1" t="n">
        <v>45789.41362268518</v>
      </c>
      <c r="C2254" s="1" t="n">
        <v>46089</v>
      </c>
      <c r="D2254" t="inlineStr">
        <is>
          <t>VÄRMLANDS LÄN</t>
        </is>
      </c>
      <c r="E2254" t="inlineStr">
        <is>
          <t>TORSBY</t>
        </is>
      </c>
      <c r="F2254" t="inlineStr">
        <is>
          <t>Bergvik skog väst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22278-2025</t>
        </is>
      </c>
      <c r="B2255" s="1" t="n">
        <v>45786.33332175926</v>
      </c>
      <c r="C2255" s="1" t="n">
        <v>46089</v>
      </c>
      <c r="D2255" t="inlineStr">
        <is>
          <t>VÄRMLANDS LÄN</t>
        </is>
      </c>
      <c r="E2255" t="inlineStr">
        <is>
          <t>TORSBY</t>
        </is>
      </c>
      <c r="F2255" t="inlineStr">
        <is>
          <t>Bergvik skog väst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22316-2025</t>
        </is>
      </c>
      <c r="B2256" s="1" t="n">
        <v>45786.39013888889</v>
      </c>
      <c r="C2256" s="1" t="n">
        <v>46089</v>
      </c>
      <c r="D2256" t="inlineStr">
        <is>
          <t>VÄRMLANDS LÄN</t>
        </is>
      </c>
      <c r="E2256" t="inlineStr">
        <is>
          <t>TORSBY</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22593-2025</t>
        </is>
      </c>
      <c r="B2257" s="1" t="n">
        <v>45789.41113425926</v>
      </c>
      <c r="C2257" s="1" t="n">
        <v>46089</v>
      </c>
      <c r="D2257" t="inlineStr">
        <is>
          <t>VÄRMLANDS LÄN</t>
        </is>
      </c>
      <c r="E2257" t="inlineStr">
        <is>
          <t>TORSBY</t>
        </is>
      </c>
      <c r="F2257" t="inlineStr">
        <is>
          <t>Bergvik skog väst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22708-2025</t>
        </is>
      </c>
      <c r="B2258" s="1" t="n">
        <v>45789.55561342592</v>
      </c>
      <c r="C2258" s="1" t="n">
        <v>46089</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15014-2025</t>
        </is>
      </c>
      <c r="B2259" s="1" t="n">
        <v>45743</v>
      </c>
      <c r="C2259" s="1" t="n">
        <v>46089</v>
      </c>
      <c r="D2259" t="inlineStr">
        <is>
          <t>VÄRMLANDS LÄN</t>
        </is>
      </c>
      <c r="E2259" t="inlineStr">
        <is>
          <t>TORSBY</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19253-2025</t>
        </is>
      </c>
      <c r="B2260" s="1" t="n">
        <v>45769</v>
      </c>
      <c r="C2260" s="1" t="n">
        <v>46089</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22320-2025</t>
        </is>
      </c>
      <c r="B2261" s="1" t="n">
        <v>45786.40542824074</v>
      </c>
      <c r="C2261" s="1" t="n">
        <v>46089</v>
      </c>
      <c r="D2261" t="inlineStr">
        <is>
          <t>VÄRMLANDS LÄN</t>
        </is>
      </c>
      <c r="E2261" t="inlineStr">
        <is>
          <t>TORSBY</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22339-2025</t>
        </is>
      </c>
      <c r="B2262" s="1" t="n">
        <v>45786</v>
      </c>
      <c r="C2262" s="1" t="n">
        <v>46089</v>
      </c>
      <c r="D2262" t="inlineStr">
        <is>
          <t>VÄRMLANDS LÄN</t>
        </is>
      </c>
      <c r="E2262" t="inlineStr">
        <is>
          <t>TORSBY</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22760-2025</t>
        </is>
      </c>
      <c r="B2263" s="1" t="n">
        <v>45789</v>
      </c>
      <c r="C2263" s="1" t="n">
        <v>46089</v>
      </c>
      <c r="D2263" t="inlineStr">
        <is>
          <t>VÄRMLANDS LÄN</t>
        </is>
      </c>
      <c r="E2263" t="inlineStr">
        <is>
          <t>TORSBY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22331-2025</t>
        </is>
      </c>
      <c r="B2264" s="1" t="n">
        <v>45786</v>
      </c>
      <c r="C2264" s="1" t="n">
        <v>46089</v>
      </c>
      <c r="D2264" t="inlineStr">
        <is>
          <t>VÄRMLANDS LÄN</t>
        </is>
      </c>
      <c r="E2264" t="inlineStr">
        <is>
          <t>TORSBY</t>
        </is>
      </c>
      <c r="F2264" t="inlineStr">
        <is>
          <t>Bergvik skog väst AB</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22757-2025</t>
        </is>
      </c>
      <c r="B2265" s="1" t="n">
        <v>45789.61908564815</v>
      </c>
      <c r="C2265" s="1" t="n">
        <v>46089</v>
      </c>
      <c r="D2265" t="inlineStr">
        <is>
          <t>VÄRMLANDS LÄN</t>
        </is>
      </c>
      <c r="E2265" t="inlineStr">
        <is>
          <t>TORSBY</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60207-2024</t>
        </is>
      </c>
      <c r="B2266" s="1" t="n">
        <v>45642.67428240741</v>
      </c>
      <c r="C2266" s="1" t="n">
        <v>46089</v>
      </c>
      <c r="D2266" t="inlineStr">
        <is>
          <t>VÄRMLANDS LÄN</t>
        </is>
      </c>
      <c r="E2266" t="inlineStr">
        <is>
          <t>TORSBY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23367-2025</t>
        </is>
      </c>
      <c r="B2267" s="1" t="n">
        <v>45791.69582175926</v>
      </c>
      <c r="C2267" s="1" t="n">
        <v>46089</v>
      </c>
      <c r="D2267" t="inlineStr">
        <is>
          <t>VÄRMLANDS LÄN</t>
        </is>
      </c>
      <c r="E2267" t="inlineStr">
        <is>
          <t>TORSBY</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7101-2025</t>
        </is>
      </c>
      <c r="B2268" s="1" t="n">
        <v>45701</v>
      </c>
      <c r="C2268" s="1" t="n">
        <v>46089</v>
      </c>
      <c r="D2268" t="inlineStr">
        <is>
          <t>VÄRMLANDS LÄN</t>
        </is>
      </c>
      <c r="E2268" t="inlineStr">
        <is>
          <t>TORSBY</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23287-2025</t>
        </is>
      </c>
      <c r="B2269" s="1" t="n">
        <v>45791.5816087963</v>
      </c>
      <c r="C2269" s="1" t="n">
        <v>46089</v>
      </c>
      <c r="D2269" t="inlineStr">
        <is>
          <t>VÄRMLANDS LÄN</t>
        </is>
      </c>
      <c r="E2269" t="inlineStr">
        <is>
          <t>TORSBY</t>
        </is>
      </c>
      <c r="F2269" t="inlineStr">
        <is>
          <t>Bergvik skog väst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58259-2024</t>
        </is>
      </c>
      <c r="B2270" s="1" t="n">
        <v>45632.56155092592</v>
      </c>
      <c r="C2270" s="1" t="n">
        <v>46089</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22845-2025</t>
        </is>
      </c>
      <c r="B2271" s="1" t="n">
        <v>45790</v>
      </c>
      <c r="C2271" s="1" t="n">
        <v>46089</v>
      </c>
      <c r="D2271" t="inlineStr">
        <is>
          <t>VÄRMLANDS LÄN</t>
        </is>
      </c>
      <c r="E2271" t="inlineStr">
        <is>
          <t>TORSBY</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34906-2024</t>
        </is>
      </c>
      <c r="B2272" s="1" t="n">
        <v>45527</v>
      </c>
      <c r="C2272" s="1" t="n">
        <v>46089</v>
      </c>
      <c r="D2272" t="inlineStr">
        <is>
          <t>VÄRMLANDS LÄN</t>
        </is>
      </c>
      <c r="E2272" t="inlineStr">
        <is>
          <t>TORSBY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22954-2025</t>
        </is>
      </c>
      <c r="B2273" s="1" t="n">
        <v>45790.5184375</v>
      </c>
      <c r="C2273" s="1" t="n">
        <v>46089</v>
      </c>
      <c r="D2273" t="inlineStr">
        <is>
          <t>VÄRMLANDS LÄN</t>
        </is>
      </c>
      <c r="E2273" t="inlineStr">
        <is>
          <t>TORSBY</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42403-2023</t>
        </is>
      </c>
      <c r="B2274" s="1" t="n">
        <v>45180.59174768518</v>
      </c>
      <c r="C2274" s="1" t="n">
        <v>46089</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34568-2024</t>
        </is>
      </c>
      <c r="B2275" s="1" t="n">
        <v>45526</v>
      </c>
      <c r="C2275" s="1" t="n">
        <v>46089</v>
      </c>
      <c r="D2275" t="inlineStr">
        <is>
          <t>VÄRMLANDS LÄN</t>
        </is>
      </c>
      <c r="E2275" t="inlineStr">
        <is>
          <t>TORSBY</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54790-2024</t>
        </is>
      </c>
      <c r="B2276" s="1" t="n">
        <v>45618</v>
      </c>
      <c r="C2276" s="1" t="n">
        <v>46089</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14575-2025</t>
        </is>
      </c>
      <c r="B2277" s="1" t="n">
        <v>45742.29048611111</v>
      </c>
      <c r="C2277" s="1" t="n">
        <v>46089</v>
      </c>
      <c r="D2277" t="inlineStr">
        <is>
          <t>VÄRMLANDS LÄN</t>
        </is>
      </c>
      <c r="E2277" t="inlineStr">
        <is>
          <t>TORSBY</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4070-2024</t>
        </is>
      </c>
      <c r="B2278" s="1" t="n">
        <v>45323</v>
      </c>
      <c r="C2278" s="1" t="n">
        <v>46089</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30370-2023</t>
        </is>
      </c>
      <c r="B2279" s="1" t="n">
        <v>45111</v>
      </c>
      <c r="C2279" s="1" t="n">
        <v>46089</v>
      </c>
      <c r="D2279" t="inlineStr">
        <is>
          <t>VÄRMLANDS LÄN</t>
        </is>
      </c>
      <c r="E2279" t="inlineStr">
        <is>
          <t>TORSBY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2471-2023</t>
        </is>
      </c>
      <c r="B2280" s="1" t="n">
        <v>44943.48373842592</v>
      </c>
      <c r="C2280" s="1" t="n">
        <v>46089</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23280-2025</t>
        </is>
      </c>
      <c r="B2281" s="1" t="n">
        <v>45791.57217592592</v>
      </c>
      <c r="C2281" s="1" t="n">
        <v>46089</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31945-2024</t>
        </is>
      </c>
      <c r="B2282" s="1" t="n">
        <v>45510</v>
      </c>
      <c r="C2282" s="1" t="n">
        <v>46089</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23557-2025</t>
        </is>
      </c>
      <c r="B2283" s="1" t="n">
        <v>45792.58086805556</v>
      </c>
      <c r="C2283" s="1" t="n">
        <v>46089</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42656-2023</t>
        </is>
      </c>
      <c r="B2284" s="1" t="n">
        <v>45181.53928240741</v>
      </c>
      <c r="C2284" s="1" t="n">
        <v>46089</v>
      </c>
      <c r="D2284" t="inlineStr">
        <is>
          <t>VÄRMLANDS LÄN</t>
        </is>
      </c>
      <c r="E2284" t="inlineStr">
        <is>
          <t>TORSBY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62957-2023</t>
        </is>
      </c>
      <c r="B2285" s="1" t="n">
        <v>45271</v>
      </c>
      <c r="C2285" s="1" t="n">
        <v>46089</v>
      </c>
      <c r="D2285" t="inlineStr">
        <is>
          <t>VÄRMLANDS LÄN</t>
        </is>
      </c>
      <c r="E2285" t="inlineStr">
        <is>
          <t>TORSBY</t>
        </is>
      </c>
      <c r="F2285" t="inlineStr">
        <is>
          <t>Övriga statliga verk och myndigheter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23677-2025</t>
        </is>
      </c>
      <c r="B2286" s="1" t="n">
        <v>45793.31969907408</v>
      </c>
      <c r="C2286" s="1" t="n">
        <v>46089</v>
      </c>
      <c r="D2286" t="inlineStr">
        <is>
          <t>VÄRMLANDS LÄN</t>
        </is>
      </c>
      <c r="E2286" t="inlineStr">
        <is>
          <t>TORSBY</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23741-2025</t>
        </is>
      </c>
      <c r="B2287" s="1" t="n">
        <v>45793</v>
      </c>
      <c r="C2287" s="1" t="n">
        <v>46089</v>
      </c>
      <c r="D2287" t="inlineStr">
        <is>
          <t>VÄRMLANDS LÄN</t>
        </is>
      </c>
      <c r="E2287" t="inlineStr">
        <is>
          <t>TORSBY</t>
        </is>
      </c>
      <c r="G2287" t="n">
        <v>1.5</v>
      </c>
      <c r="H2287" t="n">
        <v>0</v>
      </c>
      <c r="I2287" t="n">
        <v>0</v>
      </c>
      <c r="J2287" t="n">
        <v>0</v>
      </c>
      <c r="K2287" t="n">
        <v>0</v>
      </c>
      <c r="L2287" t="n">
        <v>0</v>
      </c>
      <c r="M2287" t="n">
        <v>0</v>
      </c>
      <c r="N2287" t="n">
        <v>0</v>
      </c>
      <c r="O2287" t="n">
        <v>0</v>
      </c>
      <c r="P2287" t="n">
        <v>0</v>
      </c>
      <c r="Q2287" t="n">
        <v>0</v>
      </c>
      <c r="R2287" s="2" t="inlineStr"/>
    </row>
    <row r="2288">
      <c r="A2288" t="inlineStr">
        <is>
          <t>A 4078-2024</t>
        </is>
      </c>
      <c r="B2288" s="1" t="n">
        <v>45323</v>
      </c>
      <c r="C2288" s="1" t="n">
        <v>46089</v>
      </c>
      <c r="D2288" t="inlineStr">
        <is>
          <t>VÄRMLANDS LÄN</t>
        </is>
      </c>
      <c r="E2288" t="inlineStr">
        <is>
          <t>TORSBY</t>
        </is>
      </c>
      <c r="G2288" t="n">
        <v>1.2</v>
      </c>
      <c r="H2288" t="n">
        <v>0</v>
      </c>
      <c r="I2288" t="n">
        <v>0</v>
      </c>
      <c r="J2288" t="n">
        <v>0</v>
      </c>
      <c r="K2288" t="n">
        <v>0</v>
      </c>
      <c r="L2288" t="n">
        <v>0</v>
      </c>
      <c r="M2288" t="n">
        <v>0</v>
      </c>
      <c r="N2288" t="n">
        <v>0</v>
      </c>
      <c r="O2288" t="n">
        <v>0</v>
      </c>
      <c r="P2288" t="n">
        <v>0</v>
      </c>
      <c r="Q2288" t="n">
        <v>0</v>
      </c>
      <c r="R2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2026-03-08T11:21:19Z</dcterms:created>
  <dcterms:modified xmlns:dcterms="http://purl.org/dc/terms/" xmlns:xsi="http://www.w3.org/2001/XMLSchema-instance" xsi:type="dcterms:W3CDTF">2026-03-08T11:21:21Z</dcterms:modified>
</cp:coreProperties>
</file>